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シン・ツゥ・コーポレーション\"/>
    </mc:Choice>
  </mc:AlternateContent>
  <xr:revisionPtr revIDLastSave="0" documentId="13_ncr:1_{A143ADA7-9FF9-4A93-A146-813ED4E0636D}" xr6:coauthVersionLast="47" xr6:coauthVersionMax="47" xr10:uidLastSave="{00000000-0000-0000-0000-000000000000}"/>
  <bookViews>
    <workbookView xWindow="9165" yWindow="1395" windowWidth="16065" windowHeight="12450" xr2:uid="{00000000-000D-0000-FFFF-FFFF00000000}"/>
  </bookViews>
  <sheets>
    <sheet name="sheet1" sheetId="1" r:id="rId1"/>
    <sheet name="Sheet2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896" i="1" l="1"/>
  <c r="Q1896" i="1"/>
  <c r="R1858" i="1"/>
  <c r="W1858" i="1"/>
  <c r="U1896" i="1"/>
  <c r="X1896" i="1" s="1"/>
  <c r="T1896" i="1"/>
  <c r="V1858" i="1"/>
  <c r="U1858" i="1"/>
  <c r="X1858" i="1" s="1"/>
  <c r="T1858" i="1"/>
  <c r="Q1858" i="1"/>
  <c r="P1896" i="1"/>
  <c r="P1858" i="1"/>
  <c r="O1896" i="1"/>
  <c r="O1858" i="1"/>
  <c r="S1855" i="1"/>
  <c r="X1855" i="1"/>
  <c r="Y1855" i="1"/>
  <c r="S1856" i="1"/>
  <c r="Y1856" i="1" s="1"/>
  <c r="X1856" i="1"/>
  <c r="S1858" i="1"/>
  <c r="X1857" i="1"/>
  <c r="S1857" i="1"/>
  <c r="Y1857" i="1" s="1"/>
  <c r="S1896" i="1"/>
  <c r="X1895" i="1"/>
  <c r="S1895" i="1"/>
  <c r="Y1895" i="1" s="1"/>
  <c r="S1892" i="1"/>
  <c r="Y1892" i="1" s="1"/>
  <c r="X1892" i="1"/>
  <c r="S1893" i="1"/>
  <c r="Y1893" i="1" s="1"/>
  <c r="X1893" i="1"/>
  <c r="S1894" i="1"/>
  <c r="X1894" i="1"/>
  <c r="Y1894" i="1" s="1"/>
  <c r="X1934" i="1"/>
  <c r="S1934" i="1"/>
  <c r="Y1934" i="1" s="1"/>
  <c r="Y1933" i="1"/>
  <c r="X1933" i="1"/>
  <c r="S1933" i="1"/>
  <c r="X1932" i="1"/>
  <c r="Y1932" i="1" s="1"/>
  <c r="S1932" i="1"/>
  <c r="X1931" i="1"/>
  <c r="S1931" i="1"/>
  <c r="Y1931" i="1" s="1"/>
  <c r="X1930" i="1"/>
  <c r="S1930" i="1"/>
  <c r="Y1930" i="1" s="1"/>
  <c r="X1972" i="1"/>
  <c r="S1972" i="1"/>
  <c r="Y1972" i="1" s="1"/>
  <c r="Y1971" i="1"/>
  <c r="X1971" i="1"/>
  <c r="S1971" i="1"/>
  <c r="X1970" i="1"/>
  <c r="Y1970" i="1" s="1"/>
  <c r="S1970" i="1"/>
  <c r="X1969" i="1"/>
  <c r="S1969" i="1"/>
  <c r="Y1969" i="1" s="1"/>
  <c r="J2011" i="1"/>
  <c r="I2011" i="1"/>
  <c r="H2011" i="1"/>
  <c r="G2011" i="1"/>
  <c r="K2011" i="1" s="1"/>
  <c r="E2011" i="1"/>
  <c r="D2011" i="1"/>
  <c r="C2011" i="1"/>
  <c r="B2011" i="1"/>
  <c r="F2011" i="1" s="1"/>
  <c r="L2011" i="1" s="1"/>
  <c r="K2010" i="1"/>
  <c r="F2010" i="1"/>
  <c r="L2010" i="1" s="1"/>
  <c r="K2009" i="1"/>
  <c r="F2009" i="1"/>
  <c r="L2009" i="1" s="1"/>
  <c r="K2008" i="1"/>
  <c r="L2008" i="1" s="1"/>
  <c r="F2008" i="1"/>
  <c r="L2007" i="1"/>
  <c r="K2007" i="1"/>
  <c r="F2007" i="1"/>
  <c r="K2006" i="1"/>
  <c r="F2006" i="1"/>
  <c r="L2006" i="1" s="1"/>
  <c r="K2005" i="1"/>
  <c r="F2005" i="1"/>
  <c r="L2005" i="1" s="1"/>
  <c r="K2004" i="1"/>
  <c r="L2004" i="1" s="1"/>
  <c r="F2004" i="1"/>
  <c r="L2003" i="1"/>
  <c r="K2003" i="1"/>
  <c r="F2003" i="1"/>
  <c r="K2002" i="1"/>
  <c r="F2002" i="1"/>
  <c r="L2002" i="1" s="1"/>
  <c r="K2001" i="1"/>
  <c r="F2001" i="1"/>
  <c r="L2001" i="1" s="1"/>
  <c r="K2000" i="1"/>
  <c r="L2000" i="1" s="1"/>
  <c r="F2000" i="1"/>
  <c r="L1999" i="1"/>
  <c r="K1999" i="1"/>
  <c r="F1999" i="1"/>
  <c r="K1998" i="1"/>
  <c r="F1998" i="1"/>
  <c r="L1998" i="1" s="1"/>
  <c r="K1997" i="1"/>
  <c r="F1997" i="1"/>
  <c r="L1997" i="1" s="1"/>
  <c r="K1996" i="1"/>
  <c r="L1996" i="1" s="1"/>
  <c r="F1996" i="1"/>
  <c r="L1995" i="1"/>
  <c r="K1995" i="1"/>
  <c r="F1995" i="1"/>
  <c r="K1994" i="1"/>
  <c r="F1994" i="1"/>
  <c r="L1994" i="1" s="1"/>
  <c r="K1993" i="1"/>
  <c r="F1993" i="1"/>
  <c r="L1993" i="1" s="1"/>
  <c r="K1992" i="1"/>
  <c r="L1992" i="1" s="1"/>
  <c r="F1992" i="1"/>
  <c r="L1991" i="1"/>
  <c r="K1991" i="1"/>
  <c r="F1991" i="1"/>
  <c r="K1990" i="1"/>
  <c r="F1990" i="1"/>
  <c r="L1990" i="1" s="1"/>
  <c r="K1989" i="1"/>
  <c r="F1989" i="1"/>
  <c r="L1989" i="1" s="1"/>
  <c r="K1988" i="1"/>
  <c r="L1988" i="1" s="1"/>
  <c r="F1988" i="1"/>
  <c r="L1987" i="1"/>
  <c r="K1987" i="1"/>
  <c r="F1987" i="1"/>
  <c r="K1986" i="1"/>
  <c r="F1986" i="1"/>
  <c r="L1986" i="1" s="1"/>
  <c r="K1984" i="1"/>
  <c r="F1984" i="1"/>
  <c r="L1984" i="1" s="1"/>
  <c r="L1983" i="1"/>
  <c r="K1983" i="1"/>
  <c r="F1983" i="1"/>
  <c r="K1982" i="1"/>
  <c r="F1982" i="1"/>
  <c r="L1982" i="1" s="1"/>
  <c r="K1981" i="1"/>
  <c r="F1981" i="1"/>
  <c r="L1981" i="1" s="1"/>
  <c r="S1944" i="1"/>
  <c r="Y1944" i="1" s="1"/>
  <c r="X1944" i="1"/>
  <c r="W2011" i="1"/>
  <c r="V2011" i="1"/>
  <c r="U2011" i="1"/>
  <c r="T2011" i="1"/>
  <c r="X2011" i="1" s="1"/>
  <c r="R2011" i="1"/>
  <c r="Q2011" i="1"/>
  <c r="P2011" i="1"/>
  <c r="O2011" i="1"/>
  <c r="S2011" i="1" s="1"/>
  <c r="Y2011" i="1" s="1"/>
  <c r="X2010" i="1"/>
  <c r="S2010" i="1"/>
  <c r="Y2010" i="1" s="1"/>
  <c r="X2009" i="1"/>
  <c r="S2009" i="1"/>
  <c r="Y2009" i="1" s="1"/>
  <c r="X2008" i="1"/>
  <c r="Y2008" i="1" s="1"/>
  <c r="S2008" i="1"/>
  <c r="Y2007" i="1"/>
  <c r="X2007" i="1"/>
  <c r="S2007" i="1"/>
  <c r="X2006" i="1"/>
  <c r="S2006" i="1"/>
  <c r="Y2006" i="1" s="1"/>
  <c r="X2005" i="1"/>
  <c r="S2005" i="1"/>
  <c r="Y2005" i="1" s="1"/>
  <c r="X2004" i="1"/>
  <c r="Y2004" i="1" s="1"/>
  <c r="S2004" i="1"/>
  <c r="Y2003" i="1"/>
  <c r="X2003" i="1"/>
  <c r="S2003" i="1"/>
  <c r="X2002" i="1"/>
  <c r="S2002" i="1"/>
  <c r="Y2002" i="1" s="1"/>
  <c r="X2001" i="1"/>
  <c r="S2001" i="1"/>
  <c r="Y2001" i="1" s="1"/>
  <c r="X2000" i="1"/>
  <c r="Y2000" i="1" s="1"/>
  <c r="S2000" i="1"/>
  <c r="Y1999" i="1"/>
  <c r="X1999" i="1"/>
  <c r="S1999" i="1"/>
  <c r="X1998" i="1"/>
  <c r="S1998" i="1"/>
  <c r="Y1998" i="1" s="1"/>
  <c r="X1997" i="1"/>
  <c r="S1997" i="1"/>
  <c r="Y1997" i="1" s="1"/>
  <c r="X1996" i="1"/>
  <c r="Y1996" i="1" s="1"/>
  <c r="S1996" i="1"/>
  <c r="Y1995" i="1"/>
  <c r="X1995" i="1"/>
  <c r="S1995" i="1"/>
  <c r="X1994" i="1"/>
  <c r="S1994" i="1"/>
  <c r="Y1994" i="1" s="1"/>
  <c r="X1993" i="1"/>
  <c r="S1993" i="1"/>
  <c r="Y1993" i="1" s="1"/>
  <c r="X1992" i="1"/>
  <c r="Y1992" i="1" s="1"/>
  <c r="S1992" i="1"/>
  <c r="Y1991" i="1"/>
  <c r="X1991" i="1"/>
  <c r="S1991" i="1"/>
  <c r="X1990" i="1"/>
  <c r="S1990" i="1"/>
  <c r="Y1990" i="1" s="1"/>
  <c r="X1989" i="1"/>
  <c r="S1989" i="1"/>
  <c r="Y1989" i="1" s="1"/>
  <c r="X1988" i="1"/>
  <c r="Y1988" i="1" s="1"/>
  <c r="S1988" i="1"/>
  <c r="Y1987" i="1"/>
  <c r="X1987" i="1"/>
  <c r="S1987" i="1"/>
  <c r="X1986" i="1"/>
  <c r="S1986" i="1"/>
  <c r="Y1986" i="1" s="1"/>
  <c r="X1984" i="1"/>
  <c r="Y1984" i="1" s="1"/>
  <c r="S1984" i="1"/>
  <c r="Y1983" i="1"/>
  <c r="X1983" i="1"/>
  <c r="S1983" i="1"/>
  <c r="X1982" i="1"/>
  <c r="S1982" i="1"/>
  <c r="Y1982" i="1" s="1"/>
  <c r="X1981" i="1"/>
  <c r="S1981" i="1"/>
  <c r="S1872" i="1"/>
  <c r="X1872" i="1"/>
  <c r="Y1872" i="1" s="1"/>
  <c r="X1839" i="1"/>
  <c r="S1839" i="1"/>
  <c r="Y1839" i="1" s="1"/>
  <c r="W1820" i="1"/>
  <c r="V1820" i="1"/>
  <c r="U1820" i="1"/>
  <c r="T1820" i="1"/>
  <c r="X1820" i="1" s="1"/>
  <c r="O1820" i="1"/>
  <c r="S1813" i="1"/>
  <c r="X1813" i="1"/>
  <c r="Y1813" i="1"/>
  <c r="S1814" i="1"/>
  <c r="Y1814" i="1" s="1"/>
  <c r="X1814" i="1"/>
  <c r="S1815" i="1"/>
  <c r="X1815" i="1"/>
  <c r="Y1815" i="1"/>
  <c r="S1816" i="1"/>
  <c r="X1816" i="1"/>
  <c r="Y1816" i="1"/>
  <c r="R1820" i="1"/>
  <c r="Q1820" i="1"/>
  <c r="P1820" i="1"/>
  <c r="X1819" i="1"/>
  <c r="S1819" i="1"/>
  <c r="Y1819" i="1" s="1"/>
  <c r="S1847" i="1"/>
  <c r="X1847" i="1"/>
  <c r="Y1847" i="1"/>
  <c r="S1848" i="1"/>
  <c r="X1848" i="1"/>
  <c r="S1849" i="1"/>
  <c r="X1849" i="1"/>
  <c r="S1850" i="1"/>
  <c r="X1850" i="1"/>
  <c r="Y1850" i="1"/>
  <c r="S1851" i="1"/>
  <c r="Y1851" i="1" s="1"/>
  <c r="X1851" i="1"/>
  <c r="S1852" i="1"/>
  <c r="X1852" i="1"/>
  <c r="S1853" i="1"/>
  <c r="X1853" i="1"/>
  <c r="S1854" i="1"/>
  <c r="Y1854" i="1" s="1"/>
  <c r="X1854" i="1"/>
  <c r="S1846" i="1"/>
  <c r="X1846" i="1"/>
  <c r="X1907" i="1"/>
  <c r="S1907" i="1"/>
  <c r="Y1907" i="1" s="1"/>
  <c r="X1906" i="1"/>
  <c r="S1906" i="1"/>
  <c r="W1973" i="1"/>
  <c r="V1973" i="1"/>
  <c r="U1973" i="1"/>
  <c r="T1973" i="1"/>
  <c r="R1973" i="1"/>
  <c r="Q1973" i="1"/>
  <c r="P1973" i="1"/>
  <c r="O1973" i="1"/>
  <c r="J1973" i="1"/>
  <c r="I1973" i="1"/>
  <c r="H1973" i="1"/>
  <c r="G1973" i="1"/>
  <c r="E1973" i="1"/>
  <c r="D1973" i="1"/>
  <c r="C1973" i="1"/>
  <c r="B1973" i="1"/>
  <c r="L1972" i="1"/>
  <c r="K1972" i="1"/>
  <c r="F1972" i="1"/>
  <c r="K1971" i="1"/>
  <c r="F1971" i="1"/>
  <c r="L1971" i="1" s="1"/>
  <c r="K1970" i="1"/>
  <c r="F1970" i="1"/>
  <c r="L1970" i="1" s="1"/>
  <c r="K1969" i="1"/>
  <c r="F1969" i="1"/>
  <c r="L1969" i="1" s="1"/>
  <c r="X1968" i="1"/>
  <c r="S1968" i="1"/>
  <c r="K1968" i="1"/>
  <c r="F1968" i="1"/>
  <c r="L1968" i="1" s="1"/>
  <c r="X1967" i="1"/>
  <c r="S1967" i="1"/>
  <c r="Y1967" i="1" s="1"/>
  <c r="K1967" i="1"/>
  <c r="F1967" i="1"/>
  <c r="L1967" i="1" s="1"/>
  <c r="X1966" i="1"/>
  <c r="S1966" i="1"/>
  <c r="Y1966" i="1" s="1"/>
  <c r="K1966" i="1"/>
  <c r="L1966" i="1" s="1"/>
  <c r="F1966" i="1"/>
  <c r="X1965" i="1"/>
  <c r="S1965" i="1"/>
  <c r="K1965" i="1"/>
  <c r="F1965" i="1"/>
  <c r="X1964" i="1"/>
  <c r="S1964" i="1"/>
  <c r="Y1964" i="1" s="1"/>
  <c r="L1964" i="1"/>
  <c r="K1964" i="1"/>
  <c r="F1964" i="1"/>
  <c r="X1963" i="1"/>
  <c r="S1963" i="1"/>
  <c r="K1963" i="1"/>
  <c r="F1963" i="1"/>
  <c r="L1963" i="1" s="1"/>
  <c r="X1962" i="1"/>
  <c r="S1962" i="1"/>
  <c r="Y1962" i="1" s="1"/>
  <c r="K1962" i="1"/>
  <c r="F1962" i="1"/>
  <c r="L1962" i="1" s="1"/>
  <c r="X1961" i="1"/>
  <c r="Y1961" i="1" s="1"/>
  <c r="S1961" i="1"/>
  <c r="K1961" i="1"/>
  <c r="F1961" i="1"/>
  <c r="L1961" i="1" s="1"/>
  <c r="X1960" i="1"/>
  <c r="S1960" i="1"/>
  <c r="K1960" i="1"/>
  <c r="F1960" i="1"/>
  <c r="L1960" i="1" s="1"/>
  <c r="X1959" i="1"/>
  <c r="S1959" i="1"/>
  <c r="K1959" i="1"/>
  <c r="F1959" i="1"/>
  <c r="L1959" i="1" s="1"/>
  <c r="X1958" i="1"/>
  <c r="S1958" i="1"/>
  <c r="Y1958" i="1" s="1"/>
  <c r="K1958" i="1"/>
  <c r="L1958" i="1" s="1"/>
  <c r="F1958" i="1"/>
  <c r="X1957" i="1"/>
  <c r="S1957" i="1"/>
  <c r="K1957" i="1"/>
  <c r="F1957" i="1"/>
  <c r="X1956" i="1"/>
  <c r="S1956" i="1"/>
  <c r="Y1956" i="1" s="1"/>
  <c r="L1956" i="1"/>
  <c r="K1956" i="1"/>
  <c r="F1956" i="1"/>
  <c r="X1955" i="1"/>
  <c r="S1955" i="1"/>
  <c r="K1955" i="1"/>
  <c r="F1955" i="1"/>
  <c r="L1955" i="1" s="1"/>
  <c r="X1954" i="1"/>
  <c r="S1954" i="1"/>
  <c r="Y1954" i="1" s="1"/>
  <c r="K1954" i="1"/>
  <c r="F1954" i="1"/>
  <c r="L1954" i="1" s="1"/>
  <c r="X1953" i="1"/>
  <c r="Y1953" i="1" s="1"/>
  <c r="S1953" i="1"/>
  <c r="K1953" i="1"/>
  <c r="F1953" i="1"/>
  <c r="L1953" i="1" s="1"/>
  <c r="X1952" i="1"/>
  <c r="S1952" i="1"/>
  <c r="K1952" i="1"/>
  <c r="F1952" i="1"/>
  <c r="L1952" i="1" s="1"/>
  <c r="X1951" i="1"/>
  <c r="S1951" i="1"/>
  <c r="K1951" i="1"/>
  <c r="F1951" i="1"/>
  <c r="L1951" i="1" s="1"/>
  <c r="X1950" i="1"/>
  <c r="S1950" i="1"/>
  <c r="Y1950" i="1" s="1"/>
  <c r="K1950" i="1"/>
  <c r="L1950" i="1" s="1"/>
  <c r="F1950" i="1"/>
  <c r="X1949" i="1"/>
  <c r="S1949" i="1"/>
  <c r="K1949" i="1"/>
  <c r="F1949" i="1"/>
  <c r="X1948" i="1"/>
  <c r="S1948" i="1"/>
  <c r="Y1948" i="1" s="1"/>
  <c r="L1948" i="1"/>
  <c r="K1948" i="1"/>
  <c r="F1948" i="1"/>
  <c r="X1946" i="1"/>
  <c r="S1946" i="1"/>
  <c r="Y1946" i="1" s="1"/>
  <c r="K1946" i="1"/>
  <c r="F1946" i="1"/>
  <c r="L1946" i="1" s="1"/>
  <c r="X1945" i="1"/>
  <c r="Y1945" i="1" s="1"/>
  <c r="S1945" i="1"/>
  <c r="K1945" i="1"/>
  <c r="F1945" i="1"/>
  <c r="L1945" i="1" s="1"/>
  <c r="K1944" i="1"/>
  <c r="F1944" i="1"/>
  <c r="L1944" i="1" s="1"/>
  <c r="X1943" i="1"/>
  <c r="S1943" i="1"/>
  <c r="K1943" i="1"/>
  <c r="F1943" i="1"/>
  <c r="L1943" i="1" s="1"/>
  <c r="K1914" i="1"/>
  <c r="F1914" i="1"/>
  <c r="L1914" i="1" s="1"/>
  <c r="K1913" i="1"/>
  <c r="F1913" i="1"/>
  <c r="K1912" i="1"/>
  <c r="F1912" i="1"/>
  <c r="L1912" i="1" s="1"/>
  <c r="K1911" i="1"/>
  <c r="F1911" i="1"/>
  <c r="K1910" i="1"/>
  <c r="F1910" i="1"/>
  <c r="L1910" i="1" s="1"/>
  <c r="J1935" i="1"/>
  <c r="I1935" i="1"/>
  <c r="H1935" i="1"/>
  <c r="G1935" i="1"/>
  <c r="E1935" i="1"/>
  <c r="D1935" i="1"/>
  <c r="C1935" i="1"/>
  <c r="B1935" i="1"/>
  <c r="K1934" i="1"/>
  <c r="F1934" i="1"/>
  <c r="K1933" i="1"/>
  <c r="F1933" i="1"/>
  <c r="L1933" i="1" s="1"/>
  <c r="K1932" i="1"/>
  <c r="F1932" i="1"/>
  <c r="K1931" i="1"/>
  <c r="F1931" i="1"/>
  <c r="L1931" i="1" s="1"/>
  <c r="K1930" i="1"/>
  <c r="F1930" i="1"/>
  <c r="L1930" i="1" s="1"/>
  <c r="K1929" i="1"/>
  <c r="F1929" i="1"/>
  <c r="L1929" i="1" s="1"/>
  <c r="K1928" i="1"/>
  <c r="F1928" i="1"/>
  <c r="L1928" i="1" s="1"/>
  <c r="K1927" i="1"/>
  <c r="L1927" i="1" s="1"/>
  <c r="F1927" i="1"/>
  <c r="K1926" i="1"/>
  <c r="F1926" i="1"/>
  <c r="L1926" i="1" s="1"/>
  <c r="K1925" i="1"/>
  <c r="F1925" i="1"/>
  <c r="K1924" i="1"/>
  <c r="F1924" i="1"/>
  <c r="L1924" i="1" s="1"/>
  <c r="L1923" i="1"/>
  <c r="K1923" i="1"/>
  <c r="F1923" i="1"/>
  <c r="K1922" i="1"/>
  <c r="F1922" i="1"/>
  <c r="K1921" i="1"/>
  <c r="F1921" i="1"/>
  <c r="L1921" i="1" s="1"/>
  <c r="K1920" i="1"/>
  <c r="F1920" i="1"/>
  <c r="L1920" i="1" s="1"/>
  <c r="K1919" i="1"/>
  <c r="F1919" i="1"/>
  <c r="L1919" i="1" s="1"/>
  <c r="K1918" i="1"/>
  <c r="L1918" i="1" s="1"/>
  <c r="F1918" i="1"/>
  <c r="K1917" i="1"/>
  <c r="F1917" i="1"/>
  <c r="L1917" i="1" s="1"/>
  <c r="K1916" i="1"/>
  <c r="F1916" i="1"/>
  <c r="K1915" i="1"/>
  <c r="F1915" i="1"/>
  <c r="L1915" i="1" s="1"/>
  <c r="K1908" i="1"/>
  <c r="F1908" i="1"/>
  <c r="L1908" i="1" s="1"/>
  <c r="K1907" i="1"/>
  <c r="L1907" i="1" s="1"/>
  <c r="F1907" i="1"/>
  <c r="K1906" i="1"/>
  <c r="F1906" i="1"/>
  <c r="K1905" i="1"/>
  <c r="F1905" i="1"/>
  <c r="S1868" i="1"/>
  <c r="X1868" i="1"/>
  <c r="W1935" i="1"/>
  <c r="V1935" i="1"/>
  <c r="U1935" i="1"/>
  <c r="T1935" i="1"/>
  <c r="R1935" i="1"/>
  <c r="Q1935" i="1"/>
  <c r="P1935" i="1"/>
  <c r="O1935" i="1"/>
  <c r="X1929" i="1"/>
  <c r="S1929" i="1"/>
  <c r="Y1929" i="1" s="1"/>
  <c r="X1928" i="1"/>
  <c r="S1928" i="1"/>
  <c r="X1927" i="1"/>
  <c r="S1927" i="1"/>
  <c r="Y1927" i="1" s="1"/>
  <c r="X1926" i="1"/>
  <c r="S1926" i="1"/>
  <c r="X1925" i="1"/>
  <c r="S1925" i="1"/>
  <c r="Y1925" i="1" s="1"/>
  <c r="X1924" i="1"/>
  <c r="S1924" i="1"/>
  <c r="Y1924" i="1" s="1"/>
  <c r="X1923" i="1"/>
  <c r="Y1923" i="1" s="1"/>
  <c r="S1923" i="1"/>
  <c r="X1922" i="1"/>
  <c r="S1922" i="1"/>
  <c r="X1921" i="1"/>
  <c r="S1921" i="1"/>
  <c r="X1920" i="1"/>
  <c r="S1920" i="1"/>
  <c r="Y1920" i="1" s="1"/>
  <c r="Y1919" i="1"/>
  <c r="X1919" i="1"/>
  <c r="S1919" i="1"/>
  <c r="X1918" i="1"/>
  <c r="S1918" i="1"/>
  <c r="X1917" i="1"/>
  <c r="S1917" i="1"/>
  <c r="Y1917" i="1" s="1"/>
  <c r="X1916" i="1"/>
  <c r="S1916" i="1"/>
  <c r="Y1916" i="1" s="1"/>
  <c r="X1915" i="1"/>
  <c r="S1915" i="1"/>
  <c r="Y1915" i="1" s="1"/>
  <c r="X1914" i="1"/>
  <c r="Y1914" i="1" s="1"/>
  <c r="S1914" i="1"/>
  <c r="X1913" i="1"/>
  <c r="S1913" i="1"/>
  <c r="Y1913" i="1" s="1"/>
  <c r="X1912" i="1"/>
  <c r="S1912" i="1"/>
  <c r="X1911" i="1"/>
  <c r="S1911" i="1"/>
  <c r="Y1911" i="1" s="1"/>
  <c r="X1910" i="1"/>
  <c r="S1910" i="1"/>
  <c r="X1908" i="1"/>
  <c r="S1908" i="1"/>
  <c r="Y1908" i="1" s="1"/>
  <c r="X1905" i="1"/>
  <c r="S1905" i="1"/>
  <c r="Y1905" i="1" s="1"/>
  <c r="X1818" i="1"/>
  <c r="X1817" i="1"/>
  <c r="Y1817" i="1" s="1"/>
  <c r="S1817" i="1"/>
  <c r="S1818" i="1"/>
  <c r="L1913" i="1" l="1"/>
  <c r="L1911" i="1"/>
  <c r="Y1896" i="1"/>
  <c r="Y1858" i="1"/>
  <c r="Y1981" i="1"/>
  <c r="Y1918" i="1"/>
  <c r="L1922" i="1"/>
  <c r="F1935" i="1"/>
  <c r="K1935" i="1"/>
  <c r="Y1955" i="1"/>
  <c r="Y1963" i="1"/>
  <c r="Y1846" i="1"/>
  <c r="Y1852" i="1"/>
  <c r="Y1849" i="1"/>
  <c r="Y1922" i="1"/>
  <c r="Y1868" i="1"/>
  <c r="L1906" i="1"/>
  <c r="Y1949" i="1"/>
  <c r="Y1957" i="1"/>
  <c r="Y1965" i="1"/>
  <c r="Y1910" i="1"/>
  <c r="Y1912" i="1"/>
  <c r="Y1921" i="1"/>
  <c r="Y1926" i="1"/>
  <c r="Y1928" i="1"/>
  <c r="L1905" i="1"/>
  <c r="L1916" i="1"/>
  <c r="L1925" i="1"/>
  <c r="L1932" i="1"/>
  <c r="L1934" i="1"/>
  <c r="L1949" i="1"/>
  <c r="Y1951" i="1"/>
  <c r="Y1952" i="1"/>
  <c r="L1957" i="1"/>
  <c r="Y1959" i="1"/>
  <c r="Y1960" i="1"/>
  <c r="L1965" i="1"/>
  <c r="Y1968" i="1"/>
  <c r="F1973" i="1"/>
  <c r="K1973" i="1"/>
  <c r="S1973" i="1"/>
  <c r="X1973" i="1"/>
  <c r="Y1906" i="1"/>
  <c r="Y1853" i="1"/>
  <c r="Y1848" i="1"/>
  <c r="S1820" i="1"/>
  <c r="Y1820" i="1" s="1"/>
  <c r="Y1943" i="1"/>
  <c r="X1935" i="1"/>
  <c r="S1935" i="1"/>
  <c r="Y1818" i="1"/>
  <c r="Y1973" i="1" l="1"/>
  <c r="L1935" i="1"/>
  <c r="L1973" i="1"/>
  <c r="Y1935" i="1"/>
  <c r="X1900" i="1"/>
  <c r="S1900" i="1"/>
  <c r="J1897" i="1"/>
  <c r="I1897" i="1"/>
  <c r="H1897" i="1"/>
  <c r="G1897" i="1"/>
  <c r="E1897" i="1"/>
  <c r="D1897" i="1"/>
  <c r="C1897" i="1"/>
  <c r="B1897" i="1"/>
  <c r="K1896" i="1"/>
  <c r="F1896" i="1"/>
  <c r="L1896" i="1" s="1"/>
  <c r="K1895" i="1"/>
  <c r="F1895" i="1"/>
  <c r="L1895" i="1" s="1"/>
  <c r="K1894" i="1"/>
  <c r="F1894" i="1"/>
  <c r="K1893" i="1"/>
  <c r="F1893" i="1"/>
  <c r="L1893" i="1" s="1"/>
  <c r="K1892" i="1"/>
  <c r="F1892" i="1"/>
  <c r="K1891" i="1"/>
  <c r="F1891" i="1"/>
  <c r="L1891" i="1" s="1"/>
  <c r="K1890" i="1"/>
  <c r="F1890" i="1"/>
  <c r="K1889" i="1"/>
  <c r="F1889" i="1"/>
  <c r="L1889" i="1" s="1"/>
  <c r="K1888" i="1"/>
  <c r="F1888" i="1"/>
  <c r="K1887" i="1"/>
  <c r="F1887" i="1"/>
  <c r="L1887" i="1" s="1"/>
  <c r="K1886" i="1"/>
  <c r="F1886" i="1"/>
  <c r="K1885" i="1"/>
  <c r="F1885" i="1"/>
  <c r="L1885" i="1" s="1"/>
  <c r="K1884" i="1"/>
  <c r="F1884" i="1"/>
  <c r="K1883" i="1"/>
  <c r="F1883" i="1"/>
  <c r="L1883" i="1" s="1"/>
  <c r="K1882" i="1"/>
  <c r="F1882" i="1"/>
  <c r="K1881" i="1"/>
  <c r="F1881" i="1"/>
  <c r="K1880" i="1"/>
  <c r="F1880" i="1"/>
  <c r="K1879" i="1"/>
  <c r="F1879" i="1"/>
  <c r="L1879" i="1" s="1"/>
  <c r="K1878" i="1"/>
  <c r="F1878" i="1"/>
  <c r="K1877" i="1"/>
  <c r="F1877" i="1"/>
  <c r="K1876" i="1"/>
  <c r="L1876" i="1" s="1"/>
  <c r="F1876" i="1"/>
  <c r="K1875" i="1"/>
  <c r="F1875" i="1"/>
  <c r="K1874" i="1"/>
  <c r="F1874" i="1"/>
  <c r="K1873" i="1"/>
  <c r="F1873" i="1"/>
  <c r="K1872" i="1"/>
  <c r="F1872" i="1"/>
  <c r="K1870" i="1"/>
  <c r="F1870" i="1"/>
  <c r="L1870" i="1" s="1"/>
  <c r="K1869" i="1"/>
  <c r="L1869" i="1" s="1"/>
  <c r="F1869" i="1"/>
  <c r="K1868" i="1"/>
  <c r="F1868" i="1"/>
  <c r="K1867" i="1"/>
  <c r="F1867" i="1"/>
  <c r="S1830" i="1"/>
  <c r="X1830" i="1"/>
  <c r="S1889" i="1"/>
  <c r="X1889" i="1"/>
  <c r="S1890" i="1"/>
  <c r="X1890" i="1"/>
  <c r="S1891" i="1"/>
  <c r="X1891" i="1"/>
  <c r="Y1891" i="1" s="1"/>
  <c r="W1897" i="1"/>
  <c r="V1897" i="1"/>
  <c r="U1897" i="1"/>
  <c r="T1897" i="1"/>
  <c r="R1897" i="1"/>
  <c r="Q1897" i="1"/>
  <c r="P1897" i="1"/>
  <c r="O1897" i="1"/>
  <c r="X1888" i="1"/>
  <c r="S1888" i="1"/>
  <c r="Y1888" i="1" s="1"/>
  <c r="X1887" i="1"/>
  <c r="S1887" i="1"/>
  <c r="Y1887" i="1" s="1"/>
  <c r="X1886" i="1"/>
  <c r="Y1886" i="1" s="1"/>
  <c r="S1886" i="1"/>
  <c r="X1885" i="1"/>
  <c r="S1885" i="1"/>
  <c r="X1884" i="1"/>
  <c r="S1884" i="1"/>
  <c r="X1883" i="1"/>
  <c r="S1883" i="1"/>
  <c r="Y1883" i="1" s="1"/>
  <c r="Y1882" i="1"/>
  <c r="X1882" i="1"/>
  <c r="S1882" i="1"/>
  <c r="X1881" i="1"/>
  <c r="S1881" i="1"/>
  <c r="X1880" i="1"/>
  <c r="S1880" i="1"/>
  <c r="Y1880" i="1" s="1"/>
  <c r="X1879" i="1"/>
  <c r="S1879" i="1"/>
  <c r="Y1879" i="1" s="1"/>
  <c r="X1878" i="1"/>
  <c r="S1878" i="1"/>
  <c r="X1877" i="1"/>
  <c r="Y1877" i="1" s="1"/>
  <c r="S1877" i="1"/>
  <c r="X1876" i="1"/>
  <c r="S1876" i="1"/>
  <c r="X1875" i="1"/>
  <c r="S1875" i="1"/>
  <c r="Y1874" i="1"/>
  <c r="X1874" i="1"/>
  <c r="S1874" i="1"/>
  <c r="X1873" i="1"/>
  <c r="S1873" i="1"/>
  <c r="X1870" i="1"/>
  <c r="S1870" i="1"/>
  <c r="Y1870" i="1" s="1"/>
  <c r="X1869" i="1"/>
  <c r="Y1869" i="1" s="1"/>
  <c r="S1869" i="1"/>
  <c r="X1867" i="1"/>
  <c r="S1867" i="1"/>
  <c r="Y1867" i="1" s="1"/>
  <c r="S1797" i="1"/>
  <c r="X1797" i="1"/>
  <c r="S1798" i="1"/>
  <c r="Y1798" i="1" s="1"/>
  <c r="X1798" i="1"/>
  <c r="X1796" i="1"/>
  <c r="S1796" i="1"/>
  <c r="Y1796" i="1" s="1"/>
  <c r="X1771" i="1"/>
  <c r="S1771" i="1"/>
  <c r="X1770" i="1"/>
  <c r="S1770" i="1"/>
  <c r="Y1770" i="1" s="1"/>
  <c r="X1862" i="1"/>
  <c r="S1862" i="1"/>
  <c r="W1859" i="1"/>
  <c r="V1859" i="1"/>
  <c r="U1859" i="1"/>
  <c r="T1859" i="1"/>
  <c r="R1859" i="1"/>
  <c r="Q1859" i="1"/>
  <c r="P1859" i="1"/>
  <c r="O1859" i="1"/>
  <c r="J1859" i="1"/>
  <c r="I1859" i="1"/>
  <c r="H1859" i="1"/>
  <c r="G1859" i="1"/>
  <c r="E1859" i="1"/>
  <c r="D1859" i="1"/>
  <c r="C1859" i="1"/>
  <c r="B1859" i="1"/>
  <c r="K1858" i="1"/>
  <c r="F1858" i="1"/>
  <c r="L1858" i="1" s="1"/>
  <c r="K1857" i="1"/>
  <c r="F1857" i="1"/>
  <c r="K1856" i="1"/>
  <c r="F1856" i="1"/>
  <c r="K1855" i="1"/>
  <c r="F1855" i="1"/>
  <c r="K1854" i="1"/>
  <c r="F1854" i="1"/>
  <c r="L1854" i="1" s="1"/>
  <c r="K1853" i="1"/>
  <c r="F1853" i="1"/>
  <c r="K1852" i="1"/>
  <c r="F1852" i="1"/>
  <c r="L1852" i="1" s="1"/>
  <c r="K1851" i="1"/>
  <c r="F1851" i="1"/>
  <c r="K1850" i="1"/>
  <c r="F1850" i="1"/>
  <c r="L1850" i="1" s="1"/>
  <c r="K1849" i="1"/>
  <c r="F1849" i="1"/>
  <c r="K1848" i="1"/>
  <c r="F1848" i="1"/>
  <c r="L1848" i="1" s="1"/>
  <c r="K1847" i="1"/>
  <c r="F1847" i="1"/>
  <c r="K1846" i="1"/>
  <c r="F1846" i="1"/>
  <c r="X1845" i="1"/>
  <c r="Y1845" i="1" s="1"/>
  <c r="S1845" i="1"/>
  <c r="K1845" i="1"/>
  <c r="F1845" i="1"/>
  <c r="X1844" i="1"/>
  <c r="S1844" i="1"/>
  <c r="K1844" i="1"/>
  <c r="F1844" i="1"/>
  <c r="L1844" i="1" s="1"/>
  <c r="X1843" i="1"/>
  <c r="S1843" i="1"/>
  <c r="K1843" i="1"/>
  <c r="F1843" i="1"/>
  <c r="X1842" i="1"/>
  <c r="S1842" i="1"/>
  <c r="K1842" i="1"/>
  <c r="F1842" i="1"/>
  <c r="X1841" i="1"/>
  <c r="S1841" i="1"/>
  <c r="K1841" i="1"/>
  <c r="F1841" i="1"/>
  <c r="X1840" i="1"/>
  <c r="S1840" i="1"/>
  <c r="Y1840" i="1" s="1"/>
  <c r="K1840" i="1"/>
  <c r="F1840" i="1"/>
  <c r="K1839" i="1"/>
  <c r="F1839" i="1"/>
  <c r="X1838" i="1"/>
  <c r="S1838" i="1"/>
  <c r="Y1838" i="1" s="1"/>
  <c r="K1838" i="1"/>
  <c r="F1838" i="1"/>
  <c r="X1837" i="1"/>
  <c r="S1837" i="1"/>
  <c r="K1837" i="1"/>
  <c r="F1837" i="1"/>
  <c r="X1836" i="1"/>
  <c r="S1836" i="1"/>
  <c r="K1836" i="1"/>
  <c r="F1836" i="1"/>
  <c r="X1835" i="1"/>
  <c r="S1835" i="1"/>
  <c r="K1835" i="1"/>
  <c r="F1835" i="1"/>
  <c r="L1835" i="1" s="1"/>
  <c r="X1834" i="1"/>
  <c r="S1834" i="1"/>
  <c r="Y1834" i="1" s="1"/>
  <c r="K1834" i="1"/>
  <c r="F1834" i="1"/>
  <c r="X1832" i="1"/>
  <c r="S1832" i="1"/>
  <c r="Y1832" i="1" s="1"/>
  <c r="K1832" i="1"/>
  <c r="F1832" i="1"/>
  <c r="X1831" i="1"/>
  <c r="S1831" i="1"/>
  <c r="Y1831" i="1" s="1"/>
  <c r="K1831" i="1"/>
  <c r="F1831" i="1"/>
  <c r="K1830" i="1"/>
  <c r="F1830" i="1"/>
  <c r="X1829" i="1"/>
  <c r="S1829" i="1"/>
  <c r="Y1829" i="1" s="1"/>
  <c r="K1829" i="1"/>
  <c r="F1829" i="1"/>
  <c r="X1744" i="1"/>
  <c r="U1745" i="1"/>
  <c r="S1729" i="1"/>
  <c r="X1729" i="1"/>
  <c r="K1740" i="1"/>
  <c r="F1740" i="1"/>
  <c r="L1740" i="1" s="1"/>
  <c r="X1739" i="1"/>
  <c r="G1734" i="1"/>
  <c r="B1734" i="1"/>
  <c r="S1690" i="1"/>
  <c r="X1690" i="1"/>
  <c r="Y1690" i="1" s="1"/>
  <c r="X1689" i="1"/>
  <c r="S1689" i="1"/>
  <c r="Y1689" i="1" s="1"/>
  <c r="X1721" i="1"/>
  <c r="Y1721" i="1" s="1"/>
  <c r="S1721" i="1"/>
  <c r="W1821" i="1"/>
  <c r="V1821" i="1"/>
  <c r="U1821" i="1"/>
  <c r="T1821" i="1"/>
  <c r="R1821" i="1"/>
  <c r="Q1821" i="1"/>
  <c r="P1821" i="1"/>
  <c r="O1821" i="1"/>
  <c r="J1821" i="1"/>
  <c r="I1821" i="1"/>
  <c r="H1821" i="1"/>
  <c r="G1821" i="1"/>
  <c r="E1821" i="1"/>
  <c r="D1821" i="1"/>
  <c r="C1821" i="1"/>
  <c r="B1821" i="1"/>
  <c r="K1820" i="1"/>
  <c r="F1820" i="1"/>
  <c r="L1820" i="1" s="1"/>
  <c r="K1819" i="1"/>
  <c r="F1819" i="1"/>
  <c r="K1818" i="1"/>
  <c r="F1818" i="1"/>
  <c r="K1817" i="1"/>
  <c r="F1817" i="1"/>
  <c r="K1816" i="1"/>
  <c r="F1816" i="1"/>
  <c r="K1815" i="1"/>
  <c r="F1815" i="1"/>
  <c r="K1814" i="1"/>
  <c r="F1814" i="1"/>
  <c r="K1813" i="1"/>
  <c r="F1813" i="1"/>
  <c r="X1812" i="1"/>
  <c r="S1812" i="1"/>
  <c r="Y1812" i="1" s="1"/>
  <c r="K1812" i="1"/>
  <c r="F1812" i="1"/>
  <c r="X1811" i="1"/>
  <c r="S1811" i="1"/>
  <c r="Y1811" i="1" s="1"/>
  <c r="K1811" i="1"/>
  <c r="L1811" i="1" s="1"/>
  <c r="F1811" i="1"/>
  <c r="X1810" i="1"/>
  <c r="S1810" i="1"/>
  <c r="K1810" i="1"/>
  <c r="F1810" i="1"/>
  <c r="X1809" i="1"/>
  <c r="S1809" i="1"/>
  <c r="K1809" i="1"/>
  <c r="F1809" i="1"/>
  <c r="X1808" i="1"/>
  <c r="S1808" i="1"/>
  <c r="K1808" i="1"/>
  <c r="F1808" i="1"/>
  <c r="X1807" i="1"/>
  <c r="S1807" i="1"/>
  <c r="K1807" i="1"/>
  <c r="L1807" i="1" s="1"/>
  <c r="F1807" i="1"/>
  <c r="X1806" i="1"/>
  <c r="S1806" i="1"/>
  <c r="K1806" i="1"/>
  <c r="L1806" i="1" s="1"/>
  <c r="F1806" i="1"/>
  <c r="X1805" i="1"/>
  <c r="S1805" i="1"/>
  <c r="Y1805" i="1" s="1"/>
  <c r="K1805" i="1"/>
  <c r="F1805" i="1"/>
  <c r="X1804" i="1"/>
  <c r="S1804" i="1"/>
  <c r="Y1804" i="1" s="1"/>
  <c r="K1804" i="1"/>
  <c r="F1804" i="1"/>
  <c r="X1803" i="1"/>
  <c r="S1803" i="1"/>
  <c r="Y1803" i="1" s="1"/>
  <c r="K1803" i="1"/>
  <c r="F1803" i="1"/>
  <c r="X1802" i="1"/>
  <c r="S1802" i="1"/>
  <c r="K1802" i="1"/>
  <c r="F1802" i="1"/>
  <c r="X1801" i="1"/>
  <c r="S1801" i="1"/>
  <c r="K1801" i="1"/>
  <c r="F1801" i="1"/>
  <c r="X1800" i="1"/>
  <c r="S1800" i="1"/>
  <c r="Y1800" i="1" s="1"/>
  <c r="K1800" i="1"/>
  <c r="F1800" i="1"/>
  <c r="X1799" i="1"/>
  <c r="S1799" i="1"/>
  <c r="Y1799" i="1" s="1"/>
  <c r="K1799" i="1"/>
  <c r="F1799" i="1"/>
  <c r="K1798" i="1"/>
  <c r="F1798" i="1"/>
  <c r="K1797" i="1"/>
  <c r="F1797" i="1"/>
  <c r="K1796" i="1"/>
  <c r="F1796" i="1"/>
  <c r="X1794" i="1"/>
  <c r="S1794" i="1"/>
  <c r="Y1794" i="1" s="1"/>
  <c r="K1794" i="1"/>
  <c r="F1794" i="1"/>
  <c r="X1793" i="1"/>
  <c r="S1793" i="1"/>
  <c r="K1793" i="1"/>
  <c r="F1793" i="1"/>
  <c r="L1793" i="1" s="1"/>
  <c r="X1792" i="1"/>
  <c r="S1792" i="1"/>
  <c r="Y1792" i="1" s="1"/>
  <c r="K1792" i="1"/>
  <c r="F1792" i="1"/>
  <c r="X1791" i="1"/>
  <c r="S1791" i="1"/>
  <c r="K1791" i="1"/>
  <c r="F1791" i="1"/>
  <c r="S1699" i="1"/>
  <c r="Y1699" i="1" s="1"/>
  <c r="X1699" i="1"/>
  <c r="S1700" i="1"/>
  <c r="X1700" i="1"/>
  <c r="S1701" i="1"/>
  <c r="X1701" i="1"/>
  <c r="S1702" i="1"/>
  <c r="X1702" i="1"/>
  <c r="Y1702" i="1" s="1"/>
  <c r="X1706" i="1"/>
  <c r="S1706" i="1"/>
  <c r="X1705" i="1"/>
  <c r="S1705" i="1"/>
  <c r="X1704" i="1"/>
  <c r="S1704" i="1"/>
  <c r="Y1703" i="1"/>
  <c r="X1703" i="1"/>
  <c r="S1703" i="1"/>
  <c r="X1741" i="1"/>
  <c r="O1745" i="1"/>
  <c r="X1740" i="1"/>
  <c r="S1740" i="1"/>
  <c r="Y1740" i="1" s="1"/>
  <c r="Q1745" i="1"/>
  <c r="Y1738" i="1"/>
  <c r="X1738" i="1"/>
  <c r="S1738" i="1"/>
  <c r="J1783" i="1"/>
  <c r="I1783" i="1"/>
  <c r="H1783" i="1"/>
  <c r="G1783" i="1"/>
  <c r="E1783" i="1"/>
  <c r="D1783" i="1"/>
  <c r="C1783" i="1"/>
  <c r="B1783" i="1"/>
  <c r="K1782" i="1"/>
  <c r="F1782" i="1"/>
  <c r="L1782" i="1" s="1"/>
  <c r="K1781" i="1"/>
  <c r="F1781" i="1"/>
  <c r="L1781" i="1" s="1"/>
  <c r="K1780" i="1"/>
  <c r="F1780" i="1"/>
  <c r="K1779" i="1"/>
  <c r="F1779" i="1"/>
  <c r="L1779" i="1" s="1"/>
  <c r="K1778" i="1"/>
  <c r="F1778" i="1"/>
  <c r="K1777" i="1"/>
  <c r="F1777" i="1"/>
  <c r="K1776" i="1"/>
  <c r="F1776" i="1"/>
  <c r="K1775" i="1"/>
  <c r="L1775" i="1" s="1"/>
  <c r="F1775" i="1"/>
  <c r="K1774" i="1"/>
  <c r="F1774" i="1"/>
  <c r="K1773" i="1"/>
  <c r="F1773" i="1"/>
  <c r="K1772" i="1"/>
  <c r="F1772" i="1"/>
  <c r="K1771" i="1"/>
  <c r="F1771" i="1"/>
  <c r="L1771" i="1" s="1"/>
  <c r="K1770" i="1"/>
  <c r="F1770" i="1"/>
  <c r="L1770" i="1" s="1"/>
  <c r="K1769" i="1"/>
  <c r="F1769" i="1"/>
  <c r="L1769" i="1" s="1"/>
  <c r="K1768" i="1"/>
  <c r="F1768" i="1"/>
  <c r="K1767" i="1"/>
  <c r="F1767" i="1"/>
  <c r="K1766" i="1"/>
  <c r="F1766" i="1"/>
  <c r="L1766" i="1" s="1"/>
  <c r="K1765" i="1"/>
  <c r="F1765" i="1"/>
  <c r="L1765" i="1" s="1"/>
  <c r="K1764" i="1"/>
  <c r="F1764" i="1"/>
  <c r="L1764" i="1" s="1"/>
  <c r="K1763" i="1"/>
  <c r="F1763" i="1"/>
  <c r="L1763" i="1" s="1"/>
  <c r="K1762" i="1"/>
  <c r="F1762" i="1"/>
  <c r="K1761" i="1"/>
  <c r="F1761" i="1"/>
  <c r="L1761" i="1" s="1"/>
  <c r="K1760" i="1"/>
  <c r="F1760" i="1"/>
  <c r="K1759" i="1"/>
  <c r="F1759" i="1"/>
  <c r="L1759" i="1" s="1"/>
  <c r="K1758" i="1"/>
  <c r="F1758" i="1"/>
  <c r="K1756" i="1"/>
  <c r="F1756" i="1"/>
  <c r="L1756" i="1" s="1"/>
  <c r="K1755" i="1"/>
  <c r="F1755" i="1"/>
  <c r="K1754" i="1"/>
  <c r="F1754" i="1"/>
  <c r="K1753" i="1"/>
  <c r="F1753" i="1"/>
  <c r="X1742" i="1"/>
  <c r="S1742" i="1"/>
  <c r="S1744" i="1"/>
  <c r="X1743" i="1"/>
  <c r="S1743" i="1"/>
  <c r="Y1743" i="1" s="1"/>
  <c r="S1776" i="1"/>
  <c r="Y1776" i="1" s="1"/>
  <c r="X1776" i="1"/>
  <c r="S1777" i="1"/>
  <c r="X1777" i="1"/>
  <c r="S1778" i="1"/>
  <c r="X1778" i="1"/>
  <c r="X1780" i="1"/>
  <c r="S1780" i="1"/>
  <c r="X1779" i="1"/>
  <c r="S1779" i="1"/>
  <c r="S1758" i="1"/>
  <c r="X1758" i="1"/>
  <c r="U1783" i="1"/>
  <c r="Q1783" i="1"/>
  <c r="X1782" i="1"/>
  <c r="S1782" i="1"/>
  <c r="X1781" i="1"/>
  <c r="S1781" i="1"/>
  <c r="W1783" i="1"/>
  <c r="V1783" i="1"/>
  <c r="T1783" i="1"/>
  <c r="R1783" i="1"/>
  <c r="P1783" i="1"/>
  <c r="O1783" i="1"/>
  <c r="X1775" i="1"/>
  <c r="S1775" i="1"/>
  <c r="X1774" i="1"/>
  <c r="S1774" i="1"/>
  <c r="X1773" i="1"/>
  <c r="S1773" i="1"/>
  <c r="X1772" i="1"/>
  <c r="S1772" i="1"/>
  <c r="X1769" i="1"/>
  <c r="S1769" i="1"/>
  <c r="X1768" i="1"/>
  <c r="S1768" i="1"/>
  <c r="Y1768" i="1" s="1"/>
  <c r="X1767" i="1"/>
  <c r="S1767" i="1"/>
  <c r="X1766" i="1"/>
  <c r="S1766" i="1"/>
  <c r="X1765" i="1"/>
  <c r="S1765" i="1"/>
  <c r="X1764" i="1"/>
  <c r="S1764" i="1"/>
  <c r="X1763" i="1"/>
  <c r="S1763" i="1"/>
  <c r="X1762" i="1"/>
  <c r="S1762" i="1"/>
  <c r="X1761" i="1"/>
  <c r="S1761" i="1"/>
  <c r="X1760" i="1"/>
  <c r="S1760" i="1"/>
  <c r="X1759" i="1"/>
  <c r="S1759" i="1"/>
  <c r="X1756" i="1"/>
  <c r="S1756" i="1"/>
  <c r="Y1756" i="1" s="1"/>
  <c r="Y1755" i="1"/>
  <c r="X1755" i="1"/>
  <c r="S1755" i="1"/>
  <c r="X1754" i="1"/>
  <c r="S1754" i="1"/>
  <c r="Y1754" i="1" s="1"/>
  <c r="X1753" i="1"/>
  <c r="S1753" i="1"/>
  <c r="T1707" i="1"/>
  <c r="S1668" i="1"/>
  <c r="X1664" i="1"/>
  <c r="S1646" i="1"/>
  <c r="X1646" i="1"/>
  <c r="Y1646" i="1" s="1"/>
  <c r="X1645" i="1"/>
  <c r="S1645" i="1"/>
  <c r="K1650" i="1"/>
  <c r="F1650" i="1"/>
  <c r="L1650" i="1" s="1"/>
  <c r="P1745" i="1"/>
  <c r="S1602" i="1"/>
  <c r="X1602" i="1"/>
  <c r="S1603" i="1"/>
  <c r="Y1603" i="1" s="1"/>
  <c r="X1603" i="1"/>
  <c r="X1641" i="1"/>
  <c r="S1641" i="1"/>
  <c r="Y1641" i="1" s="1"/>
  <c r="X1640" i="1"/>
  <c r="S1640" i="1"/>
  <c r="S1610" i="1"/>
  <c r="X1610" i="1"/>
  <c r="Y1610" i="1" s="1"/>
  <c r="J1745" i="1"/>
  <c r="I1745" i="1"/>
  <c r="H1745" i="1"/>
  <c r="G1745" i="1"/>
  <c r="E1745" i="1"/>
  <c r="D1745" i="1"/>
  <c r="C1745" i="1"/>
  <c r="B1745" i="1"/>
  <c r="K1744" i="1"/>
  <c r="L1744" i="1" s="1"/>
  <c r="F1744" i="1"/>
  <c r="K1743" i="1"/>
  <c r="F1743" i="1"/>
  <c r="K1742" i="1"/>
  <c r="F1742" i="1"/>
  <c r="K1741" i="1"/>
  <c r="F1741" i="1"/>
  <c r="L1741" i="1" s="1"/>
  <c r="K1739" i="1"/>
  <c r="F1739" i="1"/>
  <c r="K1738" i="1"/>
  <c r="F1738" i="1"/>
  <c r="L1738" i="1" s="1"/>
  <c r="K1737" i="1"/>
  <c r="L1737" i="1" s="1"/>
  <c r="F1737" i="1"/>
  <c r="K1736" i="1"/>
  <c r="F1736" i="1"/>
  <c r="K1735" i="1"/>
  <c r="F1735" i="1"/>
  <c r="K1734" i="1"/>
  <c r="F1734" i="1"/>
  <c r="L1734" i="1" s="1"/>
  <c r="K1733" i="1"/>
  <c r="L1733" i="1" s="1"/>
  <c r="F1733" i="1"/>
  <c r="K1732" i="1"/>
  <c r="F1732" i="1"/>
  <c r="K1731" i="1"/>
  <c r="F1731" i="1"/>
  <c r="K1730" i="1"/>
  <c r="F1730" i="1"/>
  <c r="K1729" i="1"/>
  <c r="F1729" i="1"/>
  <c r="K1728" i="1"/>
  <c r="F1728" i="1"/>
  <c r="K1727" i="1"/>
  <c r="F1727" i="1"/>
  <c r="K1726" i="1"/>
  <c r="F1726" i="1"/>
  <c r="L1726" i="1" s="1"/>
  <c r="L1725" i="1"/>
  <c r="K1725" i="1"/>
  <c r="F1725" i="1"/>
  <c r="K1724" i="1"/>
  <c r="F1724" i="1"/>
  <c r="K1723" i="1"/>
  <c r="F1723" i="1"/>
  <c r="L1723" i="1" s="1"/>
  <c r="K1722" i="1"/>
  <c r="F1722" i="1"/>
  <c r="L1722" i="1" s="1"/>
  <c r="K1721" i="1"/>
  <c r="F1721" i="1"/>
  <c r="L1721" i="1" s="1"/>
  <c r="K1720" i="1"/>
  <c r="F1720" i="1"/>
  <c r="K1718" i="1"/>
  <c r="F1718" i="1"/>
  <c r="L1718" i="1" s="1"/>
  <c r="K1717" i="1"/>
  <c r="F1717" i="1"/>
  <c r="K1716" i="1"/>
  <c r="F1716" i="1"/>
  <c r="K1715" i="1"/>
  <c r="F1715" i="1"/>
  <c r="L1715" i="1" s="1"/>
  <c r="W1745" i="1"/>
  <c r="X1737" i="1"/>
  <c r="S1737" i="1"/>
  <c r="Y1737" i="1" s="1"/>
  <c r="X1736" i="1"/>
  <c r="S1736" i="1"/>
  <c r="X1735" i="1"/>
  <c r="S1735" i="1"/>
  <c r="Y1735" i="1" s="1"/>
  <c r="X1734" i="1"/>
  <c r="S1734" i="1"/>
  <c r="X1733" i="1"/>
  <c r="S1733" i="1"/>
  <c r="X1732" i="1"/>
  <c r="S1732" i="1"/>
  <c r="X1731" i="1"/>
  <c r="S1731" i="1"/>
  <c r="Y1731" i="1" s="1"/>
  <c r="X1730" i="1"/>
  <c r="Y1730" i="1" s="1"/>
  <c r="S1730" i="1"/>
  <c r="X1728" i="1"/>
  <c r="S1728" i="1"/>
  <c r="Y1728" i="1" s="1"/>
  <c r="X1727" i="1"/>
  <c r="S1727" i="1"/>
  <c r="X1726" i="1"/>
  <c r="S1726" i="1"/>
  <c r="Y1726" i="1" s="1"/>
  <c r="X1725" i="1"/>
  <c r="S1725" i="1"/>
  <c r="X1724" i="1"/>
  <c r="S1724" i="1"/>
  <c r="X1723" i="1"/>
  <c r="S1723" i="1"/>
  <c r="X1722" i="1"/>
  <c r="S1722" i="1"/>
  <c r="X1720" i="1"/>
  <c r="S1720" i="1"/>
  <c r="X1718" i="1"/>
  <c r="S1718" i="1"/>
  <c r="Y1718" i="1" s="1"/>
  <c r="X1717" i="1"/>
  <c r="S1717" i="1"/>
  <c r="Y1717" i="1" s="1"/>
  <c r="X1716" i="1"/>
  <c r="S1716" i="1"/>
  <c r="X1715" i="1"/>
  <c r="S1715" i="1"/>
  <c r="Y1715" i="1" s="1"/>
  <c r="S1591" i="1"/>
  <c r="X1591" i="1"/>
  <c r="S1592" i="1"/>
  <c r="X1592" i="1"/>
  <c r="Y1592" i="1"/>
  <c r="S1625" i="1"/>
  <c r="X1625" i="1"/>
  <c r="Y1625" i="1" s="1"/>
  <c r="S1626" i="1"/>
  <c r="X1626" i="1"/>
  <c r="S1627" i="1"/>
  <c r="X1627" i="1"/>
  <c r="S1628" i="1"/>
  <c r="X1628" i="1"/>
  <c r="Y1628" i="1"/>
  <c r="X1630" i="1"/>
  <c r="S1630" i="1"/>
  <c r="X1629" i="1"/>
  <c r="S1629" i="1"/>
  <c r="Y1629" i="1" s="1"/>
  <c r="X1668" i="1"/>
  <c r="X1667" i="1"/>
  <c r="S1667" i="1"/>
  <c r="X1666" i="1"/>
  <c r="S1666" i="1"/>
  <c r="X1665" i="1"/>
  <c r="S1665" i="1"/>
  <c r="S1664" i="1"/>
  <c r="X1663" i="1"/>
  <c r="S1663" i="1"/>
  <c r="S1662" i="1"/>
  <c r="X1662" i="1"/>
  <c r="Y1662" i="1" s="1"/>
  <c r="W1707" i="1"/>
  <c r="U1707" i="1"/>
  <c r="R1707" i="1"/>
  <c r="P1707" i="1"/>
  <c r="O1707" i="1"/>
  <c r="J1707" i="1"/>
  <c r="I1707" i="1"/>
  <c r="H1707" i="1"/>
  <c r="G1707" i="1"/>
  <c r="E1707" i="1"/>
  <c r="D1707" i="1"/>
  <c r="C1707" i="1"/>
  <c r="B1707" i="1"/>
  <c r="K1706" i="1"/>
  <c r="F1706" i="1"/>
  <c r="L1706" i="1" s="1"/>
  <c r="K1705" i="1"/>
  <c r="F1705" i="1"/>
  <c r="K1704" i="1"/>
  <c r="F1704" i="1"/>
  <c r="K1703" i="1"/>
  <c r="F1703" i="1"/>
  <c r="K1702" i="1"/>
  <c r="F1702" i="1"/>
  <c r="K1701" i="1"/>
  <c r="F1701" i="1"/>
  <c r="K1700" i="1"/>
  <c r="F1700" i="1"/>
  <c r="L1700" i="1" s="1"/>
  <c r="K1699" i="1"/>
  <c r="F1699" i="1"/>
  <c r="L1699" i="1" s="1"/>
  <c r="X1698" i="1"/>
  <c r="S1698" i="1"/>
  <c r="Y1698" i="1" s="1"/>
  <c r="K1698" i="1"/>
  <c r="F1698" i="1"/>
  <c r="L1698" i="1" s="1"/>
  <c r="X1697" i="1"/>
  <c r="S1697" i="1"/>
  <c r="Y1697" i="1" s="1"/>
  <c r="K1697" i="1"/>
  <c r="F1697" i="1"/>
  <c r="L1697" i="1" s="1"/>
  <c r="X1696" i="1"/>
  <c r="S1696" i="1"/>
  <c r="Y1696" i="1" s="1"/>
  <c r="K1696" i="1"/>
  <c r="F1696" i="1"/>
  <c r="X1695" i="1"/>
  <c r="S1695" i="1"/>
  <c r="Y1695" i="1" s="1"/>
  <c r="K1695" i="1"/>
  <c r="F1695" i="1"/>
  <c r="L1695" i="1" s="1"/>
  <c r="X1694" i="1"/>
  <c r="S1694" i="1"/>
  <c r="Y1694" i="1" s="1"/>
  <c r="K1694" i="1"/>
  <c r="F1694" i="1"/>
  <c r="X1693" i="1"/>
  <c r="S1693" i="1"/>
  <c r="Y1693" i="1" s="1"/>
  <c r="K1693" i="1"/>
  <c r="F1693" i="1"/>
  <c r="X1692" i="1"/>
  <c r="S1692" i="1"/>
  <c r="K1692" i="1"/>
  <c r="F1692" i="1"/>
  <c r="X1691" i="1"/>
  <c r="S1691" i="1"/>
  <c r="K1691" i="1"/>
  <c r="F1691" i="1"/>
  <c r="K1690" i="1"/>
  <c r="F1690" i="1"/>
  <c r="L1690" i="1" s="1"/>
  <c r="K1689" i="1"/>
  <c r="F1689" i="1"/>
  <c r="L1689" i="1" s="1"/>
  <c r="X1688" i="1"/>
  <c r="S1688" i="1"/>
  <c r="K1688" i="1"/>
  <c r="F1688" i="1"/>
  <c r="X1687" i="1"/>
  <c r="S1687" i="1"/>
  <c r="K1687" i="1"/>
  <c r="F1687" i="1"/>
  <c r="L1687" i="1" s="1"/>
  <c r="X1686" i="1"/>
  <c r="S1686" i="1"/>
  <c r="K1686" i="1"/>
  <c r="F1686" i="1"/>
  <c r="X1685" i="1"/>
  <c r="S1685" i="1"/>
  <c r="K1685" i="1"/>
  <c r="F1685" i="1"/>
  <c r="L1685" i="1" s="1"/>
  <c r="X1684" i="1"/>
  <c r="S1684" i="1"/>
  <c r="K1684" i="1"/>
  <c r="F1684" i="1"/>
  <c r="X1683" i="1"/>
  <c r="S1683" i="1"/>
  <c r="K1683" i="1"/>
  <c r="F1683" i="1"/>
  <c r="X1682" i="1"/>
  <c r="S1682" i="1"/>
  <c r="K1682" i="1"/>
  <c r="F1682" i="1"/>
  <c r="X1680" i="1"/>
  <c r="S1680" i="1"/>
  <c r="Y1680" i="1" s="1"/>
  <c r="K1680" i="1"/>
  <c r="F1680" i="1"/>
  <c r="X1679" i="1"/>
  <c r="S1679" i="1"/>
  <c r="K1679" i="1"/>
  <c r="F1679" i="1"/>
  <c r="X1678" i="1"/>
  <c r="S1678" i="1"/>
  <c r="Y1678" i="1" s="1"/>
  <c r="K1678" i="1"/>
  <c r="F1678" i="1"/>
  <c r="L1678" i="1" s="1"/>
  <c r="X1677" i="1"/>
  <c r="S1677" i="1"/>
  <c r="K1677" i="1"/>
  <c r="F1677" i="1"/>
  <c r="U1631" i="1"/>
  <c r="S1564" i="1"/>
  <c r="X1564" i="1"/>
  <c r="S1565" i="1"/>
  <c r="X1565" i="1"/>
  <c r="Y1565" i="1"/>
  <c r="K1554" i="1"/>
  <c r="F1554" i="1"/>
  <c r="T1555" i="1"/>
  <c r="U1555" i="1"/>
  <c r="W1669" i="1"/>
  <c r="V1669" i="1"/>
  <c r="U1669" i="1"/>
  <c r="T1669" i="1"/>
  <c r="R1669" i="1"/>
  <c r="Q1669" i="1"/>
  <c r="P1669" i="1"/>
  <c r="O1669" i="1"/>
  <c r="J1669" i="1"/>
  <c r="I1669" i="1"/>
  <c r="H1669" i="1"/>
  <c r="G1669" i="1"/>
  <c r="E1669" i="1"/>
  <c r="D1669" i="1"/>
  <c r="C1669" i="1"/>
  <c r="B1669" i="1"/>
  <c r="K1668" i="1"/>
  <c r="F1668" i="1"/>
  <c r="K1667" i="1"/>
  <c r="F1667" i="1"/>
  <c r="L1667" i="1" s="1"/>
  <c r="K1666" i="1"/>
  <c r="F1666" i="1"/>
  <c r="K1665" i="1"/>
  <c r="F1665" i="1"/>
  <c r="K1664" i="1"/>
  <c r="F1664" i="1"/>
  <c r="K1663" i="1"/>
  <c r="F1663" i="1"/>
  <c r="K1662" i="1"/>
  <c r="F1662" i="1"/>
  <c r="X1661" i="1"/>
  <c r="S1661" i="1"/>
  <c r="Y1661" i="1" s="1"/>
  <c r="K1661" i="1"/>
  <c r="F1661" i="1"/>
  <c r="X1660" i="1"/>
  <c r="S1660" i="1"/>
  <c r="K1660" i="1"/>
  <c r="F1660" i="1"/>
  <c r="X1659" i="1"/>
  <c r="S1659" i="1"/>
  <c r="Y1659" i="1" s="1"/>
  <c r="K1659" i="1"/>
  <c r="F1659" i="1"/>
  <c r="X1658" i="1"/>
  <c r="S1658" i="1"/>
  <c r="K1658" i="1"/>
  <c r="F1658" i="1"/>
  <c r="X1657" i="1"/>
  <c r="S1657" i="1"/>
  <c r="Y1657" i="1" s="1"/>
  <c r="K1657" i="1"/>
  <c r="F1657" i="1"/>
  <c r="X1656" i="1"/>
  <c r="S1656" i="1"/>
  <c r="K1656" i="1"/>
  <c r="F1656" i="1"/>
  <c r="X1655" i="1"/>
  <c r="S1655" i="1"/>
  <c r="K1655" i="1"/>
  <c r="F1655" i="1"/>
  <c r="X1654" i="1"/>
  <c r="S1654" i="1"/>
  <c r="K1654" i="1"/>
  <c r="F1654" i="1"/>
  <c r="X1653" i="1"/>
  <c r="S1653" i="1"/>
  <c r="K1653" i="1"/>
  <c r="F1653" i="1"/>
  <c r="X1652" i="1"/>
  <c r="S1652" i="1"/>
  <c r="K1652" i="1"/>
  <c r="F1652" i="1"/>
  <c r="X1651" i="1"/>
  <c r="S1651" i="1"/>
  <c r="K1651" i="1"/>
  <c r="F1651" i="1"/>
  <c r="X1650" i="1"/>
  <c r="S1650" i="1"/>
  <c r="X1649" i="1"/>
  <c r="S1649" i="1"/>
  <c r="K1649" i="1"/>
  <c r="F1649" i="1"/>
  <c r="L1649" i="1" s="1"/>
  <c r="X1648" i="1"/>
  <c r="Y1648" i="1" s="1"/>
  <c r="S1648" i="1"/>
  <c r="K1648" i="1"/>
  <c r="F1648" i="1"/>
  <c r="X1647" i="1"/>
  <c r="S1647" i="1"/>
  <c r="K1647" i="1"/>
  <c r="F1647" i="1"/>
  <c r="L1647" i="1" s="1"/>
  <c r="K1646" i="1"/>
  <c r="F1646" i="1"/>
  <c r="K1645" i="1"/>
  <c r="L1645" i="1" s="1"/>
  <c r="F1645" i="1"/>
  <c r="X1644" i="1"/>
  <c r="S1644" i="1"/>
  <c r="K1644" i="1"/>
  <c r="F1644" i="1"/>
  <c r="X1642" i="1"/>
  <c r="S1642" i="1"/>
  <c r="K1642" i="1"/>
  <c r="F1642" i="1"/>
  <c r="K1641" i="1"/>
  <c r="F1641" i="1"/>
  <c r="L1641" i="1" s="1"/>
  <c r="K1640" i="1"/>
  <c r="F1640" i="1"/>
  <c r="X1639" i="1"/>
  <c r="S1639" i="1"/>
  <c r="Y1639" i="1" s="1"/>
  <c r="K1639" i="1"/>
  <c r="F1639" i="1"/>
  <c r="F1551" i="1"/>
  <c r="S1585" i="1"/>
  <c r="X1585" i="1"/>
  <c r="S1586" i="1"/>
  <c r="Y1586" i="1" s="1"/>
  <c r="X1586" i="1"/>
  <c r="S1587" i="1"/>
  <c r="X1587" i="1"/>
  <c r="S1588" i="1"/>
  <c r="X1588" i="1"/>
  <c r="Y1588" i="1"/>
  <c r="S1589" i="1"/>
  <c r="Y1589" i="1" s="1"/>
  <c r="X1589" i="1"/>
  <c r="S1590" i="1"/>
  <c r="X1590" i="1"/>
  <c r="J1631" i="1"/>
  <c r="I1631" i="1"/>
  <c r="H1631" i="1"/>
  <c r="G1631" i="1"/>
  <c r="E1631" i="1"/>
  <c r="D1631" i="1"/>
  <c r="C1631" i="1"/>
  <c r="B1631" i="1"/>
  <c r="K1630" i="1"/>
  <c r="F1630" i="1"/>
  <c r="K1629" i="1"/>
  <c r="F1629" i="1"/>
  <c r="K1628" i="1"/>
  <c r="F1628" i="1"/>
  <c r="K1627" i="1"/>
  <c r="F1627" i="1"/>
  <c r="K1626" i="1"/>
  <c r="F1626" i="1"/>
  <c r="K1625" i="1"/>
  <c r="F1625" i="1"/>
  <c r="L1624" i="1"/>
  <c r="K1624" i="1"/>
  <c r="F1624" i="1"/>
  <c r="K1623" i="1"/>
  <c r="F1623" i="1"/>
  <c r="K1622" i="1"/>
  <c r="F1622" i="1"/>
  <c r="L1622" i="1" s="1"/>
  <c r="K1621" i="1"/>
  <c r="F1621" i="1"/>
  <c r="L1621" i="1" s="1"/>
  <c r="K1620" i="1"/>
  <c r="F1620" i="1"/>
  <c r="L1620" i="1" s="1"/>
  <c r="K1619" i="1"/>
  <c r="F1619" i="1"/>
  <c r="K1618" i="1"/>
  <c r="F1618" i="1"/>
  <c r="L1618" i="1" s="1"/>
  <c r="K1617" i="1"/>
  <c r="F1617" i="1"/>
  <c r="K1616" i="1"/>
  <c r="F1616" i="1"/>
  <c r="K1615" i="1"/>
  <c r="F1615" i="1"/>
  <c r="K1614" i="1"/>
  <c r="F1614" i="1"/>
  <c r="L1614" i="1" s="1"/>
  <c r="K1613" i="1"/>
  <c r="F1613" i="1"/>
  <c r="K1612" i="1"/>
  <c r="F1612" i="1"/>
  <c r="L1612" i="1" s="1"/>
  <c r="K1611" i="1"/>
  <c r="F1611" i="1"/>
  <c r="K1610" i="1"/>
  <c r="F1610" i="1"/>
  <c r="L1610" i="1" s="1"/>
  <c r="K1609" i="1"/>
  <c r="F1609" i="1"/>
  <c r="K1608" i="1"/>
  <c r="F1608" i="1"/>
  <c r="K1607" i="1"/>
  <c r="F1607" i="1"/>
  <c r="K1606" i="1"/>
  <c r="F1606" i="1"/>
  <c r="L1606" i="1" s="1"/>
  <c r="K1604" i="1"/>
  <c r="F1604" i="1"/>
  <c r="K1603" i="1"/>
  <c r="F1603" i="1"/>
  <c r="L1603" i="1" s="1"/>
  <c r="K1602" i="1"/>
  <c r="F1602" i="1"/>
  <c r="K1601" i="1"/>
  <c r="F1601" i="1"/>
  <c r="L1601" i="1" s="1"/>
  <c r="S1623" i="1"/>
  <c r="Y1623" i="1" s="1"/>
  <c r="X1623" i="1"/>
  <c r="S1624" i="1"/>
  <c r="X1624" i="1"/>
  <c r="W1631" i="1"/>
  <c r="V1631" i="1"/>
  <c r="T1631" i="1"/>
  <c r="R1631" i="1"/>
  <c r="Q1631" i="1"/>
  <c r="P1631" i="1"/>
  <c r="O1631" i="1"/>
  <c r="X1622" i="1"/>
  <c r="S1622" i="1"/>
  <c r="X1621" i="1"/>
  <c r="S1621" i="1"/>
  <c r="Y1621" i="1" s="1"/>
  <c r="Y1620" i="1"/>
  <c r="X1620" i="1"/>
  <c r="S1620" i="1"/>
  <c r="X1619" i="1"/>
  <c r="Y1619" i="1" s="1"/>
  <c r="S1619" i="1"/>
  <c r="X1618" i="1"/>
  <c r="S1618" i="1"/>
  <c r="Y1618" i="1" s="1"/>
  <c r="X1617" i="1"/>
  <c r="S1617" i="1"/>
  <c r="X1616" i="1"/>
  <c r="S1616" i="1"/>
  <c r="Y1616" i="1" s="1"/>
  <c r="X1615" i="1"/>
  <c r="S1615" i="1"/>
  <c r="X1614" i="1"/>
  <c r="S1614" i="1"/>
  <c r="X1613" i="1"/>
  <c r="S1613" i="1"/>
  <c r="X1612" i="1"/>
  <c r="Y1612" i="1" s="1"/>
  <c r="S1612" i="1"/>
  <c r="Y1611" i="1"/>
  <c r="X1611" i="1"/>
  <c r="S1611" i="1"/>
  <c r="X1609" i="1"/>
  <c r="S1609" i="1"/>
  <c r="Y1609" i="1" s="1"/>
  <c r="X1608" i="1"/>
  <c r="S1608" i="1"/>
  <c r="X1607" i="1"/>
  <c r="S1607" i="1"/>
  <c r="Y1607" i="1" s="1"/>
  <c r="X1606" i="1"/>
  <c r="S1606" i="1"/>
  <c r="X1604" i="1"/>
  <c r="Y1604" i="1" s="1"/>
  <c r="S1604" i="1"/>
  <c r="X1601" i="1"/>
  <c r="S1601" i="1"/>
  <c r="W1517" i="1"/>
  <c r="K1450" i="1"/>
  <c r="F1450" i="1"/>
  <c r="H1506" i="1"/>
  <c r="K1506" i="1" s="1"/>
  <c r="C1506" i="1"/>
  <c r="F1506" i="1" s="1"/>
  <c r="I1500" i="1"/>
  <c r="F1516" i="1"/>
  <c r="K1516" i="1"/>
  <c r="L1516" i="1" s="1"/>
  <c r="V1479" i="1"/>
  <c r="X1478" i="1"/>
  <c r="I1466" i="1"/>
  <c r="D1466" i="1"/>
  <c r="X1423" i="1"/>
  <c r="Y1423" i="1" s="1"/>
  <c r="S1423" i="1"/>
  <c r="H1460" i="1"/>
  <c r="X1420" i="1"/>
  <c r="S1420" i="1"/>
  <c r="Y1420" i="1" s="1"/>
  <c r="X1439" i="1"/>
  <c r="I1432" i="1"/>
  <c r="G1429" i="1"/>
  <c r="B1429" i="1"/>
  <c r="F1478" i="1"/>
  <c r="K1478" i="1"/>
  <c r="X1416" i="1"/>
  <c r="S1416" i="1"/>
  <c r="Y1416" i="1" s="1"/>
  <c r="X1596" i="1"/>
  <c r="S1596" i="1"/>
  <c r="S1471" i="1"/>
  <c r="Y1471" i="1" s="1"/>
  <c r="X1471" i="1"/>
  <c r="S1472" i="1"/>
  <c r="X1472" i="1"/>
  <c r="X1516" i="1"/>
  <c r="S1516" i="1"/>
  <c r="X1515" i="1"/>
  <c r="S1515" i="1"/>
  <c r="J1593" i="1"/>
  <c r="I1593" i="1"/>
  <c r="H1593" i="1"/>
  <c r="G1593" i="1"/>
  <c r="E1593" i="1"/>
  <c r="D1593" i="1"/>
  <c r="C1593" i="1"/>
  <c r="B1593" i="1"/>
  <c r="K1592" i="1"/>
  <c r="L1592" i="1" s="1"/>
  <c r="F1592" i="1"/>
  <c r="K1591" i="1"/>
  <c r="F1591" i="1"/>
  <c r="L1591" i="1" s="1"/>
  <c r="K1590" i="1"/>
  <c r="F1590" i="1"/>
  <c r="K1589" i="1"/>
  <c r="F1589" i="1"/>
  <c r="K1588" i="1"/>
  <c r="L1588" i="1" s="1"/>
  <c r="F1588" i="1"/>
  <c r="K1587" i="1"/>
  <c r="F1587" i="1"/>
  <c r="L1587" i="1" s="1"/>
  <c r="K1586" i="1"/>
  <c r="F1586" i="1"/>
  <c r="K1585" i="1"/>
  <c r="F1585" i="1"/>
  <c r="K1584" i="1"/>
  <c r="F1584" i="1"/>
  <c r="K1583" i="1"/>
  <c r="F1583" i="1"/>
  <c r="L1583" i="1" s="1"/>
  <c r="K1582" i="1"/>
  <c r="F1582" i="1"/>
  <c r="K1581" i="1"/>
  <c r="F1581" i="1"/>
  <c r="L1581" i="1" s="1"/>
  <c r="K1580" i="1"/>
  <c r="L1580" i="1" s="1"/>
  <c r="F1580" i="1"/>
  <c r="K1579" i="1"/>
  <c r="F1579" i="1"/>
  <c r="K1578" i="1"/>
  <c r="F1578" i="1"/>
  <c r="K1577" i="1"/>
  <c r="F1577" i="1"/>
  <c r="L1577" i="1" s="1"/>
  <c r="K1576" i="1"/>
  <c r="F1576" i="1"/>
  <c r="K1575" i="1"/>
  <c r="F1575" i="1"/>
  <c r="K1574" i="1"/>
  <c r="F1574" i="1"/>
  <c r="K1573" i="1"/>
  <c r="F1573" i="1"/>
  <c r="L1573" i="1" s="1"/>
  <c r="K1572" i="1"/>
  <c r="F1572" i="1"/>
  <c r="K1571" i="1"/>
  <c r="F1571" i="1"/>
  <c r="L1571" i="1" s="1"/>
  <c r="K1570" i="1"/>
  <c r="F1570" i="1"/>
  <c r="K1569" i="1"/>
  <c r="F1569" i="1"/>
  <c r="K1568" i="1"/>
  <c r="F1568" i="1"/>
  <c r="K1566" i="1"/>
  <c r="F1566" i="1"/>
  <c r="K1565" i="1"/>
  <c r="F1565" i="1"/>
  <c r="K1564" i="1"/>
  <c r="F1564" i="1"/>
  <c r="K1563" i="1"/>
  <c r="F1563" i="1"/>
  <c r="X1554" i="1"/>
  <c r="S1554" i="1"/>
  <c r="X1553" i="1"/>
  <c r="S1553" i="1"/>
  <c r="X1527" i="1"/>
  <c r="S1527" i="1"/>
  <c r="Y1527" i="1" s="1"/>
  <c r="X1526" i="1"/>
  <c r="S1526" i="1"/>
  <c r="W1593" i="1"/>
  <c r="V1593" i="1"/>
  <c r="U1593" i="1"/>
  <c r="T1593" i="1"/>
  <c r="R1593" i="1"/>
  <c r="Q1593" i="1"/>
  <c r="P1593" i="1"/>
  <c r="O1593" i="1"/>
  <c r="X1584" i="1"/>
  <c r="S1584" i="1"/>
  <c r="Y1584" i="1" s="1"/>
  <c r="X1583" i="1"/>
  <c r="S1583" i="1"/>
  <c r="X1582" i="1"/>
  <c r="S1582" i="1"/>
  <c r="Y1582" i="1" s="1"/>
  <c r="X1581" i="1"/>
  <c r="S1581" i="1"/>
  <c r="Y1581" i="1" s="1"/>
  <c r="X1580" i="1"/>
  <c r="S1580" i="1"/>
  <c r="X1579" i="1"/>
  <c r="S1579" i="1"/>
  <c r="Y1579" i="1" s="1"/>
  <c r="Y1578" i="1"/>
  <c r="X1578" i="1"/>
  <c r="S1578" i="1"/>
  <c r="X1577" i="1"/>
  <c r="Y1577" i="1" s="1"/>
  <c r="S1577" i="1"/>
  <c r="X1576" i="1"/>
  <c r="S1576" i="1"/>
  <c r="Y1576" i="1" s="1"/>
  <c r="X1575" i="1"/>
  <c r="S1575" i="1"/>
  <c r="X1574" i="1"/>
  <c r="S1574" i="1"/>
  <c r="Y1574" i="1" s="1"/>
  <c r="X1573" i="1"/>
  <c r="S1573" i="1"/>
  <c r="X1572" i="1"/>
  <c r="S1572" i="1"/>
  <c r="X1571" i="1"/>
  <c r="S1571" i="1"/>
  <c r="X1570" i="1"/>
  <c r="S1570" i="1"/>
  <c r="X1569" i="1"/>
  <c r="S1569" i="1"/>
  <c r="X1568" i="1"/>
  <c r="S1568" i="1"/>
  <c r="Y1566" i="1"/>
  <c r="X1566" i="1"/>
  <c r="S1566" i="1"/>
  <c r="X1563" i="1"/>
  <c r="S1563" i="1"/>
  <c r="J1555" i="1"/>
  <c r="I1555" i="1"/>
  <c r="H1555" i="1"/>
  <c r="G1555" i="1"/>
  <c r="E1555" i="1"/>
  <c r="D1555" i="1"/>
  <c r="C1555" i="1"/>
  <c r="B1555" i="1"/>
  <c r="K1553" i="1"/>
  <c r="F1553" i="1"/>
  <c r="L1553" i="1" s="1"/>
  <c r="K1552" i="1"/>
  <c r="F1552" i="1"/>
  <c r="L1552" i="1" s="1"/>
  <c r="K1551" i="1"/>
  <c r="L1551" i="1"/>
  <c r="K1550" i="1"/>
  <c r="F1550" i="1"/>
  <c r="K1549" i="1"/>
  <c r="F1549" i="1"/>
  <c r="L1549" i="1" s="1"/>
  <c r="K1548" i="1"/>
  <c r="F1548" i="1"/>
  <c r="L1548" i="1" s="1"/>
  <c r="K1547" i="1"/>
  <c r="F1547" i="1"/>
  <c r="L1547" i="1" s="1"/>
  <c r="K1546" i="1"/>
  <c r="F1546" i="1"/>
  <c r="K1545" i="1"/>
  <c r="F1545" i="1"/>
  <c r="L1545" i="1" s="1"/>
  <c r="K1544" i="1"/>
  <c r="F1544" i="1"/>
  <c r="L1544" i="1" s="1"/>
  <c r="K1543" i="1"/>
  <c r="F1543" i="1"/>
  <c r="L1543" i="1" s="1"/>
  <c r="K1542" i="1"/>
  <c r="F1542" i="1"/>
  <c r="K1541" i="1"/>
  <c r="F1541" i="1"/>
  <c r="L1541" i="1" s="1"/>
  <c r="K1540" i="1"/>
  <c r="F1540" i="1"/>
  <c r="K1539" i="1"/>
  <c r="F1539" i="1"/>
  <c r="K1538" i="1"/>
  <c r="F1538" i="1"/>
  <c r="K1537" i="1"/>
  <c r="F1537" i="1"/>
  <c r="L1537" i="1" s="1"/>
  <c r="K1536" i="1"/>
  <c r="F1536" i="1"/>
  <c r="L1536" i="1" s="1"/>
  <c r="K1535" i="1"/>
  <c r="F1535" i="1"/>
  <c r="K1534" i="1"/>
  <c r="F1534" i="1"/>
  <c r="K1533" i="1"/>
  <c r="F1533" i="1"/>
  <c r="K1532" i="1"/>
  <c r="F1532" i="1"/>
  <c r="K1531" i="1"/>
  <c r="F1531" i="1"/>
  <c r="K1530" i="1"/>
  <c r="F1530" i="1"/>
  <c r="K1528" i="1"/>
  <c r="F1528" i="1"/>
  <c r="L1528" i="1" s="1"/>
  <c r="K1527" i="1"/>
  <c r="F1527" i="1"/>
  <c r="K1526" i="1"/>
  <c r="F1526" i="1"/>
  <c r="K1525" i="1"/>
  <c r="F1525" i="1"/>
  <c r="L1525" i="1" s="1"/>
  <c r="X1558" i="1"/>
  <c r="S1558" i="1"/>
  <c r="W1555" i="1"/>
  <c r="V1555" i="1"/>
  <c r="R1555" i="1"/>
  <c r="Q1555" i="1"/>
  <c r="P1555" i="1"/>
  <c r="O1555" i="1"/>
  <c r="X1552" i="1"/>
  <c r="S1552" i="1"/>
  <c r="X1551" i="1"/>
  <c r="Y1551" i="1" s="1"/>
  <c r="S1551" i="1"/>
  <c r="X1550" i="1"/>
  <c r="S1550" i="1"/>
  <c r="Y1550" i="1" s="1"/>
  <c r="X1549" i="1"/>
  <c r="S1549" i="1"/>
  <c r="X1548" i="1"/>
  <c r="S1548" i="1"/>
  <c r="Y1548" i="1" s="1"/>
  <c r="X1547" i="1"/>
  <c r="S1547" i="1"/>
  <c r="Y1547" i="1" s="1"/>
  <c r="X1546" i="1"/>
  <c r="S1546" i="1"/>
  <c r="X1545" i="1"/>
  <c r="S1545" i="1"/>
  <c r="Y1545" i="1" s="1"/>
  <c r="Y1544" i="1"/>
  <c r="X1544" i="1"/>
  <c r="S1544" i="1"/>
  <c r="X1543" i="1"/>
  <c r="Y1543" i="1" s="1"/>
  <c r="S1543" i="1"/>
  <c r="X1542" i="1"/>
  <c r="S1542" i="1"/>
  <c r="Y1542" i="1" s="1"/>
  <c r="X1541" i="1"/>
  <c r="S1541" i="1"/>
  <c r="X1540" i="1"/>
  <c r="S1540" i="1"/>
  <c r="Y1540" i="1" s="1"/>
  <c r="X1539" i="1"/>
  <c r="S1539" i="1"/>
  <c r="Y1539" i="1" s="1"/>
  <c r="X1538" i="1"/>
  <c r="S1538" i="1"/>
  <c r="X1537" i="1"/>
  <c r="S1537" i="1"/>
  <c r="Y1537" i="1" s="1"/>
  <c r="X1536" i="1"/>
  <c r="S1536" i="1"/>
  <c r="X1535" i="1"/>
  <c r="S1535" i="1"/>
  <c r="Y1535" i="1" s="1"/>
  <c r="X1534" i="1"/>
  <c r="S1534" i="1"/>
  <c r="X1533" i="1"/>
  <c r="S1533" i="1"/>
  <c r="Y1533" i="1" s="1"/>
  <c r="X1532" i="1"/>
  <c r="S1532" i="1"/>
  <c r="X1531" i="1"/>
  <c r="S1531" i="1"/>
  <c r="Y1531" i="1" s="1"/>
  <c r="X1530" i="1"/>
  <c r="S1530" i="1"/>
  <c r="X1528" i="1"/>
  <c r="S1528" i="1"/>
  <c r="X1525" i="1"/>
  <c r="S1525" i="1"/>
  <c r="X1350" i="1"/>
  <c r="S1350" i="1"/>
  <c r="Y1350" i="1" s="1"/>
  <c r="W1441" i="1"/>
  <c r="V1441" i="1"/>
  <c r="U1441" i="1"/>
  <c r="T1441" i="1"/>
  <c r="R1441" i="1"/>
  <c r="Q1441" i="1"/>
  <c r="P1441" i="1"/>
  <c r="O1441" i="1"/>
  <c r="S1397" i="1"/>
  <c r="X1397" i="1"/>
  <c r="Y1397" i="1"/>
  <c r="S1398" i="1"/>
  <c r="Y1398" i="1" s="1"/>
  <c r="X1398" i="1"/>
  <c r="S1399" i="1"/>
  <c r="Y1399" i="1" s="1"/>
  <c r="X1399" i="1"/>
  <c r="S1400" i="1"/>
  <c r="X1400" i="1"/>
  <c r="Y1400" i="1"/>
  <c r="S1401" i="1"/>
  <c r="X1401" i="1"/>
  <c r="Y1401" i="1"/>
  <c r="S1402" i="1"/>
  <c r="Y1402" i="1" s="1"/>
  <c r="X1402" i="1"/>
  <c r="X1440" i="1"/>
  <c r="S1440" i="1"/>
  <c r="X1438" i="1"/>
  <c r="S1438" i="1"/>
  <c r="Y1438" i="1" s="1"/>
  <c r="X1437" i="1"/>
  <c r="S1437" i="1"/>
  <c r="Y1437" i="1" s="1"/>
  <c r="X1436" i="1"/>
  <c r="S1436" i="1"/>
  <c r="X1435" i="1"/>
  <c r="S1435" i="1"/>
  <c r="Y1435" i="1" s="1"/>
  <c r="X1434" i="1"/>
  <c r="S1434" i="1"/>
  <c r="Y1434" i="1" s="1"/>
  <c r="X1433" i="1"/>
  <c r="S1433" i="1"/>
  <c r="X1432" i="1"/>
  <c r="S1432" i="1"/>
  <c r="Y1432" i="1" s="1"/>
  <c r="X1431" i="1"/>
  <c r="S1431" i="1"/>
  <c r="Y1431" i="1" s="1"/>
  <c r="X1430" i="1"/>
  <c r="Y1430" i="1" s="1"/>
  <c r="S1430" i="1"/>
  <c r="X1429" i="1"/>
  <c r="S1429" i="1"/>
  <c r="Y1429" i="1" s="1"/>
  <c r="Y1428" i="1"/>
  <c r="X1428" i="1"/>
  <c r="S1428" i="1"/>
  <c r="X1427" i="1"/>
  <c r="S1427" i="1"/>
  <c r="Y1427" i="1" s="1"/>
  <c r="X1426" i="1"/>
  <c r="S1426" i="1"/>
  <c r="Y1426" i="1" s="1"/>
  <c r="X1425" i="1"/>
  <c r="S1425" i="1"/>
  <c r="X1424" i="1"/>
  <c r="S1424" i="1"/>
  <c r="Y1424" i="1" s="1"/>
  <c r="X1422" i="1"/>
  <c r="S1422" i="1"/>
  <c r="Y1422" i="1" s="1"/>
  <c r="X1421" i="1"/>
  <c r="S1421" i="1"/>
  <c r="X1419" i="1"/>
  <c r="S1419" i="1"/>
  <c r="X1418" i="1"/>
  <c r="S1418" i="1"/>
  <c r="X1417" i="1"/>
  <c r="S1417" i="1"/>
  <c r="Y1417" i="1" s="1"/>
  <c r="X1414" i="1"/>
  <c r="S1414" i="1"/>
  <c r="Y1414" i="1" s="1"/>
  <c r="X1413" i="1"/>
  <c r="S1413" i="1"/>
  <c r="X1412" i="1"/>
  <c r="S1412" i="1"/>
  <c r="Y1412" i="1" s="1"/>
  <c r="X1411" i="1"/>
  <c r="S1411" i="1"/>
  <c r="W1479" i="1"/>
  <c r="U1479" i="1"/>
  <c r="R1479" i="1"/>
  <c r="Q1479" i="1"/>
  <c r="P1479" i="1"/>
  <c r="O1479" i="1"/>
  <c r="S1478" i="1"/>
  <c r="X1477" i="1"/>
  <c r="S1477" i="1"/>
  <c r="X1476" i="1"/>
  <c r="S1476" i="1"/>
  <c r="X1475" i="1"/>
  <c r="S1475" i="1"/>
  <c r="X1474" i="1"/>
  <c r="S1474" i="1"/>
  <c r="X1473" i="1"/>
  <c r="S1473" i="1"/>
  <c r="X1470" i="1"/>
  <c r="Y1470" i="1" s="1"/>
  <c r="S1470" i="1"/>
  <c r="X1469" i="1"/>
  <c r="S1469" i="1"/>
  <c r="X1468" i="1"/>
  <c r="S1468" i="1"/>
  <c r="X1467" i="1"/>
  <c r="S1467" i="1"/>
  <c r="Y1467" i="1" s="1"/>
  <c r="X1466" i="1"/>
  <c r="S1466" i="1"/>
  <c r="X1465" i="1"/>
  <c r="S1465" i="1"/>
  <c r="Y1465" i="1" s="1"/>
  <c r="X1464" i="1"/>
  <c r="S1464" i="1"/>
  <c r="X1463" i="1"/>
  <c r="S1463" i="1"/>
  <c r="Y1463" i="1" s="1"/>
  <c r="X1462" i="1"/>
  <c r="S1462" i="1"/>
  <c r="X1461" i="1"/>
  <c r="S1461" i="1"/>
  <c r="Y1461" i="1" s="1"/>
  <c r="X1460" i="1"/>
  <c r="S1460" i="1"/>
  <c r="X1459" i="1"/>
  <c r="S1459" i="1"/>
  <c r="Y1459" i="1" s="1"/>
  <c r="X1458" i="1"/>
  <c r="S1458" i="1"/>
  <c r="X1457" i="1"/>
  <c r="S1457" i="1"/>
  <c r="X1456" i="1"/>
  <c r="S1456" i="1"/>
  <c r="X1455" i="1"/>
  <c r="S1455" i="1"/>
  <c r="X1454" i="1"/>
  <c r="S1454" i="1"/>
  <c r="X1452" i="1"/>
  <c r="S1452" i="1"/>
  <c r="Y1452" i="1" s="1"/>
  <c r="X1451" i="1"/>
  <c r="S1451" i="1"/>
  <c r="Y1451" i="1" s="1"/>
  <c r="X1450" i="1"/>
  <c r="S1450" i="1"/>
  <c r="Y1450" i="1" s="1"/>
  <c r="X1449" i="1"/>
  <c r="S1449" i="1"/>
  <c r="Y1449" i="1" s="1"/>
  <c r="V1517" i="1"/>
  <c r="U1517" i="1"/>
  <c r="T1517" i="1"/>
  <c r="R1517" i="1"/>
  <c r="Q1517" i="1"/>
  <c r="P1517" i="1"/>
  <c r="O1517" i="1"/>
  <c r="J1517" i="1"/>
  <c r="I1517" i="1"/>
  <c r="H1517" i="1"/>
  <c r="G1517" i="1"/>
  <c r="E1517" i="1"/>
  <c r="D1517" i="1"/>
  <c r="C1517" i="1"/>
  <c r="B1517" i="1"/>
  <c r="K1515" i="1"/>
  <c r="F1515" i="1"/>
  <c r="L1515" i="1" s="1"/>
  <c r="X1514" i="1"/>
  <c r="S1514" i="1"/>
  <c r="K1514" i="1"/>
  <c r="F1514" i="1"/>
  <c r="L1514" i="1" s="1"/>
  <c r="X1513" i="1"/>
  <c r="S1513" i="1"/>
  <c r="K1513" i="1"/>
  <c r="F1513" i="1"/>
  <c r="L1513" i="1" s="1"/>
  <c r="Y1512" i="1"/>
  <c r="X1512" i="1"/>
  <c r="S1512" i="1"/>
  <c r="K1512" i="1"/>
  <c r="F1512" i="1"/>
  <c r="L1512" i="1" s="1"/>
  <c r="X1511" i="1"/>
  <c r="S1511" i="1"/>
  <c r="Y1511" i="1" s="1"/>
  <c r="K1511" i="1"/>
  <c r="F1511" i="1"/>
  <c r="X1510" i="1"/>
  <c r="S1510" i="1"/>
  <c r="Y1510" i="1" s="1"/>
  <c r="K1510" i="1"/>
  <c r="F1510" i="1"/>
  <c r="X1509" i="1"/>
  <c r="Y1509" i="1" s="1"/>
  <c r="S1509" i="1"/>
  <c r="K1509" i="1"/>
  <c r="F1509" i="1"/>
  <c r="L1509" i="1" s="1"/>
  <c r="Y1508" i="1"/>
  <c r="X1508" i="1"/>
  <c r="S1508" i="1"/>
  <c r="K1508" i="1"/>
  <c r="F1508" i="1"/>
  <c r="L1508" i="1" s="1"/>
  <c r="X1507" i="1"/>
  <c r="S1507" i="1"/>
  <c r="Y1507" i="1" s="1"/>
  <c r="K1507" i="1"/>
  <c r="F1507" i="1"/>
  <c r="X1506" i="1"/>
  <c r="S1506" i="1"/>
  <c r="Y1506" i="1" s="1"/>
  <c r="X1505" i="1"/>
  <c r="Y1505" i="1" s="1"/>
  <c r="S1505" i="1"/>
  <c r="K1505" i="1"/>
  <c r="F1505" i="1"/>
  <c r="L1505" i="1" s="1"/>
  <c r="Y1504" i="1"/>
  <c r="X1504" i="1"/>
  <c r="S1504" i="1"/>
  <c r="K1504" i="1"/>
  <c r="F1504" i="1"/>
  <c r="X1503" i="1"/>
  <c r="S1503" i="1"/>
  <c r="Y1503" i="1" s="1"/>
  <c r="K1503" i="1"/>
  <c r="F1503" i="1"/>
  <c r="X1502" i="1"/>
  <c r="S1502" i="1"/>
  <c r="Y1502" i="1" s="1"/>
  <c r="K1502" i="1"/>
  <c r="F1502" i="1"/>
  <c r="L1502" i="1" s="1"/>
  <c r="X1501" i="1"/>
  <c r="Y1501" i="1" s="1"/>
  <c r="S1501" i="1"/>
  <c r="K1501" i="1"/>
  <c r="F1501" i="1"/>
  <c r="Y1500" i="1"/>
  <c r="X1500" i="1"/>
  <c r="S1500" i="1"/>
  <c r="K1500" i="1"/>
  <c r="F1500" i="1"/>
  <c r="X1499" i="1"/>
  <c r="S1499" i="1"/>
  <c r="Y1499" i="1" s="1"/>
  <c r="K1499" i="1"/>
  <c r="F1499" i="1"/>
  <c r="X1498" i="1"/>
  <c r="S1498" i="1"/>
  <c r="Y1498" i="1" s="1"/>
  <c r="K1498" i="1"/>
  <c r="F1498" i="1"/>
  <c r="X1497" i="1"/>
  <c r="S1497" i="1"/>
  <c r="K1497" i="1"/>
  <c r="F1497" i="1"/>
  <c r="L1497" i="1" s="1"/>
  <c r="X1496" i="1"/>
  <c r="S1496" i="1"/>
  <c r="K1496" i="1"/>
  <c r="F1496" i="1"/>
  <c r="L1496" i="1" s="1"/>
  <c r="X1495" i="1"/>
  <c r="S1495" i="1"/>
  <c r="K1495" i="1"/>
  <c r="F1495" i="1"/>
  <c r="X1494" i="1"/>
  <c r="S1494" i="1"/>
  <c r="K1494" i="1"/>
  <c r="F1494" i="1"/>
  <c r="L1494" i="1" s="1"/>
  <c r="X1493" i="1"/>
  <c r="S1493" i="1"/>
  <c r="K1493" i="1"/>
  <c r="F1493" i="1"/>
  <c r="X1492" i="1"/>
  <c r="S1492" i="1"/>
  <c r="Y1492" i="1" s="1"/>
  <c r="K1492" i="1"/>
  <c r="F1492" i="1"/>
  <c r="L1492" i="1" s="1"/>
  <c r="X1490" i="1"/>
  <c r="S1490" i="1"/>
  <c r="Y1490" i="1" s="1"/>
  <c r="K1490" i="1"/>
  <c r="F1490" i="1"/>
  <c r="L1490" i="1" s="1"/>
  <c r="X1489" i="1"/>
  <c r="S1489" i="1"/>
  <c r="Y1489" i="1" s="1"/>
  <c r="K1489" i="1"/>
  <c r="F1489" i="1"/>
  <c r="L1489" i="1" s="1"/>
  <c r="X1488" i="1"/>
  <c r="S1488" i="1"/>
  <c r="K1488" i="1"/>
  <c r="F1488" i="1"/>
  <c r="X1487" i="1"/>
  <c r="S1487" i="1"/>
  <c r="Y1487" i="1" s="1"/>
  <c r="K1487" i="1"/>
  <c r="F1487" i="1"/>
  <c r="L1487" i="1" s="1"/>
  <c r="L1894" i="1" l="1"/>
  <c r="Y1843" i="1"/>
  <c r="Y1842" i="1"/>
  <c r="L1890" i="1"/>
  <c r="L1886" i="1"/>
  <c r="Y1841" i="1"/>
  <c r="L1881" i="1"/>
  <c r="L1880" i="1"/>
  <c r="L1534" i="1"/>
  <c r="L1538" i="1"/>
  <c r="L1623" i="1"/>
  <c r="Y1587" i="1"/>
  <c r="Y1585" i="1"/>
  <c r="Y1652" i="1"/>
  <c r="Y1654" i="1"/>
  <c r="Y1656" i="1"/>
  <c r="Y1658" i="1"/>
  <c r="Y1660" i="1"/>
  <c r="L1665" i="1"/>
  <c r="L1717" i="1"/>
  <c r="L1845" i="1"/>
  <c r="L1888" i="1"/>
  <c r="Y1528" i="1"/>
  <c r="Y1624" i="1"/>
  <c r="L1627" i="1"/>
  <c r="Y1590" i="1"/>
  <c r="Y1626" i="1"/>
  <c r="Y1722" i="1"/>
  <c r="L1732" i="1"/>
  <c r="L1792" i="1"/>
  <c r="L1794" i="1"/>
  <c r="Y1881" i="1"/>
  <c r="Y1890" i="1"/>
  <c r="Y1830" i="1"/>
  <c r="L1868" i="1"/>
  <c r="L1499" i="1"/>
  <c r="L1503" i="1"/>
  <c r="L1507" i="1"/>
  <c r="Y1458" i="1"/>
  <c r="Y1460" i="1"/>
  <c r="Y1464" i="1"/>
  <c r="Y1411" i="1"/>
  <c r="Y1413" i="1"/>
  <c r="Y1425" i="1"/>
  <c r="Y1433" i="1"/>
  <c r="Y1541" i="1"/>
  <c r="Y1546" i="1"/>
  <c r="Y1549" i="1"/>
  <c r="L1535" i="1"/>
  <c r="Y1569" i="1"/>
  <c r="Y1573" i="1"/>
  <c r="L1586" i="1"/>
  <c r="L1590" i="1"/>
  <c r="Y1613" i="1"/>
  <c r="Y1615" i="1"/>
  <c r="L1554" i="1"/>
  <c r="Y1564" i="1"/>
  <c r="Y1627" i="1"/>
  <c r="Y1640" i="1"/>
  <c r="Y1645" i="1"/>
  <c r="Y1759" i="1"/>
  <c r="Y1761" i="1"/>
  <c r="Y1763" i="1"/>
  <c r="Y1769" i="1"/>
  <c r="L1768" i="1"/>
  <c r="L1774" i="1"/>
  <c r="Y1701" i="1"/>
  <c r="Y1791" i="1"/>
  <c r="Y1807" i="1"/>
  <c r="L1818" i="1"/>
  <c r="L1843" i="1"/>
  <c r="L1847" i="1"/>
  <c r="L1851" i="1"/>
  <c r="Y1771" i="1"/>
  <c r="Y1876" i="1"/>
  <c r="Y1878" i="1"/>
  <c r="Y1885" i="1"/>
  <c r="L1542" i="1"/>
  <c r="L1546" i="1"/>
  <c r="Y1568" i="1"/>
  <c r="Y1570" i="1"/>
  <c r="Y1572" i="1"/>
  <c r="Y1575" i="1"/>
  <c r="Y1580" i="1"/>
  <c r="Y1583" i="1"/>
  <c r="Y1526" i="1"/>
  <c r="L1565" i="1"/>
  <c r="L1570" i="1"/>
  <c r="L1589" i="1"/>
  <c r="L1450" i="1"/>
  <c r="Y1606" i="1"/>
  <c r="Y1614" i="1"/>
  <c r="Y1617" i="1"/>
  <c r="Y1622" i="1"/>
  <c r="L1602" i="1"/>
  <c r="L1604" i="1"/>
  <c r="L1617" i="1"/>
  <c r="L1619" i="1"/>
  <c r="L1630" i="1"/>
  <c r="Y1642" i="1"/>
  <c r="Y1644" i="1"/>
  <c r="L1646" i="1"/>
  <c r="Y1647" i="1"/>
  <c r="L1656" i="1"/>
  <c r="L1657" i="1"/>
  <c r="L1658" i="1"/>
  <c r="L1659" i="1"/>
  <c r="L1660" i="1"/>
  <c r="Y1665" i="1"/>
  <c r="Y1591" i="1"/>
  <c r="Y1716" i="1"/>
  <c r="Y1720" i="1"/>
  <c r="Y1723" i="1"/>
  <c r="Y1725" i="1"/>
  <c r="Y1727" i="1"/>
  <c r="Y1734" i="1"/>
  <c r="Y1736" i="1"/>
  <c r="L1727" i="1"/>
  <c r="L1729" i="1"/>
  <c r="L1735" i="1"/>
  <c r="L1739" i="1"/>
  <c r="Y1602" i="1"/>
  <c r="Y1753" i="1"/>
  <c r="L1753" i="1"/>
  <c r="L1762" i="1"/>
  <c r="L1773" i="1"/>
  <c r="L1776" i="1"/>
  <c r="Y1700" i="1"/>
  <c r="L1801" i="1"/>
  <c r="L1808" i="1"/>
  <c r="L1809" i="1"/>
  <c r="L1812" i="1"/>
  <c r="Y1729" i="1"/>
  <c r="L1840" i="1"/>
  <c r="Y1844" i="1"/>
  <c r="Y1797" i="1"/>
  <c r="Y1873" i="1"/>
  <c r="Y1875" i="1"/>
  <c r="Y1884" i="1"/>
  <c r="Y1889" i="1"/>
  <c r="L1874" i="1"/>
  <c r="L1882" i="1"/>
  <c r="L1884" i="1"/>
  <c r="L1892" i="1"/>
  <c r="L1878" i="1"/>
  <c r="L1877" i="1"/>
  <c r="Y1837" i="1"/>
  <c r="L1867" i="1"/>
  <c r="X1897" i="1"/>
  <c r="L1875" i="1"/>
  <c r="Y1836" i="1"/>
  <c r="L1873" i="1"/>
  <c r="F1897" i="1"/>
  <c r="K1897" i="1"/>
  <c r="L1872" i="1"/>
  <c r="L1857" i="1"/>
  <c r="L1856" i="1"/>
  <c r="Y1835" i="1"/>
  <c r="L1855" i="1"/>
  <c r="L1853" i="1"/>
  <c r="Y1810" i="1"/>
  <c r="L1849" i="1"/>
  <c r="L1832" i="1"/>
  <c r="Y1809" i="1"/>
  <c r="Y1808" i="1"/>
  <c r="L1846" i="1"/>
  <c r="Y1806" i="1"/>
  <c r="L1831" i="1"/>
  <c r="L1842" i="1"/>
  <c r="L1841" i="1"/>
  <c r="Y1802" i="1"/>
  <c r="L1830" i="1"/>
  <c r="L1839" i="1"/>
  <c r="L1838" i="1"/>
  <c r="L1837" i="1"/>
  <c r="Y1801" i="1"/>
  <c r="L1829" i="1"/>
  <c r="F1859" i="1"/>
  <c r="L1836" i="1"/>
  <c r="K1859" i="1"/>
  <c r="L1834" i="1"/>
  <c r="L1819" i="1"/>
  <c r="Y1779" i="1"/>
  <c r="L1817" i="1"/>
  <c r="L1816" i="1"/>
  <c r="L1815" i="1"/>
  <c r="Y1775" i="1"/>
  <c r="Y1782" i="1"/>
  <c r="Y1781" i="1"/>
  <c r="Y1774" i="1"/>
  <c r="S1897" i="1"/>
  <c r="L1814" i="1"/>
  <c r="L1813" i="1"/>
  <c r="Y1773" i="1"/>
  <c r="L1810" i="1"/>
  <c r="Y1780" i="1"/>
  <c r="Y1772" i="1"/>
  <c r="L1805" i="1"/>
  <c r="Y1777" i="1"/>
  <c r="Y1778" i="1"/>
  <c r="L1804" i="1"/>
  <c r="L1803" i="1"/>
  <c r="L1802" i="1"/>
  <c r="F1821" i="1"/>
  <c r="L1800" i="1"/>
  <c r="L1799" i="1"/>
  <c r="L1798" i="1"/>
  <c r="L1797" i="1"/>
  <c r="L1791" i="1"/>
  <c r="K1821" i="1"/>
  <c r="L1796" i="1"/>
  <c r="S1859" i="1"/>
  <c r="X1859" i="1"/>
  <c r="Y1767" i="1"/>
  <c r="Y1766" i="1"/>
  <c r="L1780" i="1"/>
  <c r="L1778" i="1"/>
  <c r="L1777" i="1"/>
  <c r="Y1765" i="1"/>
  <c r="Y1764" i="1"/>
  <c r="L1772" i="1"/>
  <c r="Y1762" i="1"/>
  <c r="L1767" i="1"/>
  <c r="L1755" i="1"/>
  <c r="Y1760" i="1"/>
  <c r="Y1758" i="1"/>
  <c r="Y1742" i="1"/>
  <c r="V1745" i="1"/>
  <c r="Y1733" i="1"/>
  <c r="L1760" i="1"/>
  <c r="Y1744" i="1"/>
  <c r="Y1732" i="1"/>
  <c r="L1758" i="1"/>
  <c r="K1783" i="1"/>
  <c r="F1783" i="1"/>
  <c r="L1754" i="1"/>
  <c r="L1743" i="1"/>
  <c r="L1742" i="1"/>
  <c r="T1745" i="1"/>
  <c r="L1736" i="1"/>
  <c r="Y1724" i="1"/>
  <c r="L1731" i="1"/>
  <c r="L1730" i="1"/>
  <c r="L1728" i="1"/>
  <c r="Y1705" i="1"/>
  <c r="L1724" i="1"/>
  <c r="L1716" i="1"/>
  <c r="K1745" i="1"/>
  <c r="F1745" i="1"/>
  <c r="L1720" i="1"/>
  <c r="Y1692" i="1"/>
  <c r="Y1691" i="1"/>
  <c r="L1705" i="1"/>
  <c r="L1680" i="1"/>
  <c r="L1704" i="1"/>
  <c r="Y1688" i="1"/>
  <c r="L1703" i="1"/>
  <c r="L1702" i="1"/>
  <c r="L1701" i="1"/>
  <c r="S1821" i="1"/>
  <c r="X1821" i="1"/>
  <c r="Y1793" i="1"/>
  <c r="Y1704" i="1"/>
  <c r="L1696" i="1"/>
  <c r="Y1706" i="1"/>
  <c r="Q1707" i="1"/>
  <c r="S1707" i="1" s="1"/>
  <c r="R1745" i="1"/>
  <c r="S1745" i="1" s="1"/>
  <c r="S1741" i="1"/>
  <c r="Y1741" i="1" s="1"/>
  <c r="S1739" i="1"/>
  <c r="Y1739" i="1" s="1"/>
  <c r="S1783" i="1"/>
  <c r="X1783" i="1"/>
  <c r="Y1667" i="1"/>
  <c r="Y1663" i="1"/>
  <c r="L1694" i="1"/>
  <c r="L1693" i="1"/>
  <c r="V1707" i="1"/>
  <c r="X1707" i="1" s="1"/>
  <c r="Y1686" i="1"/>
  <c r="L1679" i="1"/>
  <c r="L1692" i="1"/>
  <c r="L1691" i="1"/>
  <c r="Y1684" i="1"/>
  <c r="L1688" i="1"/>
  <c r="L1686" i="1"/>
  <c r="L1684" i="1"/>
  <c r="L1683" i="1"/>
  <c r="F1707" i="1"/>
  <c r="Y1655" i="1"/>
  <c r="L1677" i="1"/>
  <c r="Y1682" i="1"/>
  <c r="L1682" i="1"/>
  <c r="K1707" i="1"/>
  <c r="L1642" i="1"/>
  <c r="L1668" i="1"/>
  <c r="L1666" i="1"/>
  <c r="Y1653" i="1"/>
  <c r="L1664" i="1"/>
  <c r="L1663" i="1"/>
  <c r="L1662" i="1"/>
  <c r="Y1651" i="1"/>
  <c r="L1661" i="1"/>
  <c r="Y1650" i="1"/>
  <c r="Y1666" i="1"/>
  <c r="Y1649" i="1"/>
  <c r="L1655" i="1"/>
  <c r="L1654" i="1"/>
  <c r="L1640" i="1"/>
  <c r="Y1668" i="1"/>
  <c r="L1653" i="1"/>
  <c r="L1652" i="1"/>
  <c r="L1651" i="1"/>
  <c r="L1648" i="1"/>
  <c r="L1644" i="1"/>
  <c r="K1669" i="1"/>
  <c r="F1669" i="1"/>
  <c r="L1639" i="1"/>
  <c r="L1629" i="1"/>
  <c r="L1628" i="1"/>
  <c r="L1626" i="1"/>
  <c r="L1625" i="1"/>
  <c r="L1616" i="1"/>
  <c r="Y1630" i="1"/>
  <c r="L1615" i="1"/>
  <c r="L1613" i="1"/>
  <c r="L1611" i="1"/>
  <c r="Y1664" i="1"/>
  <c r="Y1608" i="1"/>
  <c r="Y1677" i="1"/>
  <c r="Y1679" i="1"/>
  <c r="Y1683" i="1"/>
  <c r="Y1685" i="1"/>
  <c r="Y1687" i="1"/>
  <c r="L1609" i="1"/>
  <c r="K1631" i="1"/>
  <c r="L1608" i="1"/>
  <c r="F1631" i="1"/>
  <c r="L1607" i="1"/>
  <c r="Y1571" i="1"/>
  <c r="L1566" i="1"/>
  <c r="L1585" i="1"/>
  <c r="L1584" i="1"/>
  <c r="L1582" i="1"/>
  <c r="L1579" i="1"/>
  <c r="L1578" i="1"/>
  <c r="L1576" i="1"/>
  <c r="L1575" i="1"/>
  <c r="L1574" i="1"/>
  <c r="Y1553" i="1"/>
  <c r="Y1538" i="1"/>
  <c r="L1564" i="1"/>
  <c r="L1572" i="1"/>
  <c r="Y1536" i="1"/>
  <c r="Y1554" i="1"/>
  <c r="K1593" i="1"/>
  <c r="L1569" i="1"/>
  <c r="F1593" i="1"/>
  <c r="L1568" i="1"/>
  <c r="X1669" i="1"/>
  <c r="S1669" i="1"/>
  <c r="L1563" i="1"/>
  <c r="Y1534" i="1"/>
  <c r="L1550" i="1"/>
  <c r="Y1532" i="1"/>
  <c r="L1527" i="1"/>
  <c r="X1631" i="1"/>
  <c r="S1631" i="1"/>
  <c r="Y1601" i="1"/>
  <c r="L1540" i="1"/>
  <c r="L1526" i="1"/>
  <c r="L1539" i="1"/>
  <c r="Y1530" i="1"/>
  <c r="Y1497" i="1"/>
  <c r="L1533" i="1"/>
  <c r="K1555" i="1"/>
  <c r="L1532" i="1"/>
  <c r="F1555" i="1"/>
  <c r="L1531" i="1"/>
  <c r="L1530" i="1"/>
  <c r="Y1515" i="1"/>
  <c r="Y1496" i="1"/>
  <c r="Y1475" i="1"/>
  <c r="Y1495" i="1"/>
  <c r="Y1494" i="1"/>
  <c r="L1511" i="1"/>
  <c r="Y1516" i="1"/>
  <c r="Y1493" i="1"/>
  <c r="L1510" i="1"/>
  <c r="L1488" i="1"/>
  <c r="L1506" i="1"/>
  <c r="X1593" i="1"/>
  <c r="S1593" i="1"/>
  <c r="Y1466" i="1"/>
  <c r="L1504" i="1"/>
  <c r="L1501" i="1"/>
  <c r="Y1473" i="1"/>
  <c r="L1500" i="1"/>
  <c r="Y1476" i="1"/>
  <c r="Y1462" i="1"/>
  <c r="L1498" i="1"/>
  <c r="Y1474" i="1"/>
  <c r="L1495" i="1"/>
  <c r="L1493" i="1"/>
  <c r="F1517" i="1"/>
  <c r="L1478" i="1"/>
  <c r="Y1477" i="1"/>
  <c r="Y1468" i="1"/>
  <c r="Y1457" i="1"/>
  <c r="Y1456" i="1"/>
  <c r="T1479" i="1"/>
  <c r="X1479" i="1" s="1"/>
  <c r="Y1455" i="1"/>
  <c r="Y1478" i="1"/>
  <c r="Y1454" i="1"/>
  <c r="Y1440" i="1"/>
  <c r="K1517" i="1"/>
  <c r="Y1421" i="1"/>
  <c r="Y1419" i="1"/>
  <c r="Y1418" i="1"/>
  <c r="Y1472" i="1"/>
  <c r="Y1514" i="1"/>
  <c r="Y1552" i="1"/>
  <c r="Y1488" i="1"/>
  <c r="Y1563" i="1"/>
  <c r="Y1469" i="1"/>
  <c r="Y1436" i="1"/>
  <c r="X1441" i="1"/>
  <c r="S1479" i="1"/>
  <c r="Y1513" i="1"/>
  <c r="X1517" i="1"/>
  <c r="S1517" i="1"/>
  <c r="S1555" i="1"/>
  <c r="X1555" i="1"/>
  <c r="Y1525" i="1"/>
  <c r="S1441" i="1"/>
  <c r="S1439" i="1"/>
  <c r="Y1439" i="1" s="1"/>
  <c r="W871" i="1"/>
  <c r="V871" i="1"/>
  <c r="U871" i="1"/>
  <c r="T871" i="1"/>
  <c r="R871" i="1"/>
  <c r="Q871" i="1"/>
  <c r="P871" i="1"/>
  <c r="O871" i="1"/>
  <c r="S871" i="1" s="1"/>
  <c r="W909" i="1"/>
  <c r="V909" i="1"/>
  <c r="U909" i="1"/>
  <c r="T909" i="1"/>
  <c r="R909" i="1"/>
  <c r="Q909" i="1"/>
  <c r="P909" i="1"/>
  <c r="O909" i="1"/>
  <c r="W947" i="1"/>
  <c r="X947" i="1" s="1"/>
  <c r="V947" i="1"/>
  <c r="U947" i="1"/>
  <c r="T947" i="1"/>
  <c r="R947" i="1"/>
  <c r="Q947" i="1"/>
  <c r="P947" i="1"/>
  <c r="O947" i="1"/>
  <c r="S947" i="1" s="1"/>
  <c r="W985" i="1"/>
  <c r="V985" i="1"/>
  <c r="U985" i="1"/>
  <c r="T985" i="1"/>
  <c r="R985" i="1"/>
  <c r="Q985" i="1"/>
  <c r="P985" i="1"/>
  <c r="O985" i="1"/>
  <c r="W1023" i="1"/>
  <c r="V1023" i="1"/>
  <c r="U1023" i="1"/>
  <c r="T1023" i="1"/>
  <c r="X1023" i="1" s="1"/>
  <c r="R1023" i="1"/>
  <c r="Q1023" i="1"/>
  <c r="P1023" i="1"/>
  <c r="O1023" i="1"/>
  <c r="W1061" i="1"/>
  <c r="V1061" i="1"/>
  <c r="U1061" i="1"/>
  <c r="T1061" i="1"/>
  <c r="X1061" i="1" s="1"/>
  <c r="R1061" i="1"/>
  <c r="Q1061" i="1"/>
  <c r="P1061" i="1"/>
  <c r="O1061" i="1"/>
  <c r="S1061" i="1" s="1"/>
  <c r="W1099" i="1"/>
  <c r="V1099" i="1"/>
  <c r="U1099" i="1"/>
  <c r="T1099" i="1"/>
  <c r="R1099" i="1"/>
  <c r="Q1099" i="1"/>
  <c r="P1099" i="1"/>
  <c r="O1099" i="1"/>
  <c r="S1099" i="1" s="1"/>
  <c r="W1137" i="1"/>
  <c r="V1137" i="1"/>
  <c r="U1137" i="1"/>
  <c r="T1137" i="1"/>
  <c r="R1137" i="1"/>
  <c r="Q1137" i="1"/>
  <c r="P1137" i="1"/>
  <c r="O1137" i="1"/>
  <c r="S1137" i="1" s="1"/>
  <c r="W1175" i="1"/>
  <c r="V1175" i="1"/>
  <c r="U1175" i="1"/>
  <c r="T1175" i="1"/>
  <c r="R1175" i="1"/>
  <c r="Q1175" i="1"/>
  <c r="P1175" i="1"/>
  <c r="O1175" i="1"/>
  <c r="S1175" i="1" s="1"/>
  <c r="W1213" i="1"/>
  <c r="V1213" i="1"/>
  <c r="U1213" i="1"/>
  <c r="T1213" i="1"/>
  <c r="R1213" i="1"/>
  <c r="Q1213" i="1"/>
  <c r="P1213" i="1"/>
  <c r="O1213" i="1"/>
  <c r="W1251" i="1"/>
  <c r="V1251" i="1"/>
  <c r="U1251" i="1"/>
  <c r="T1251" i="1"/>
  <c r="R1251" i="1"/>
  <c r="Q1251" i="1"/>
  <c r="P1251" i="1"/>
  <c r="O1251" i="1"/>
  <c r="U1289" i="1"/>
  <c r="T1289" i="1"/>
  <c r="P1289" i="1"/>
  <c r="W1327" i="1"/>
  <c r="V1327" i="1"/>
  <c r="U1327" i="1"/>
  <c r="T1327" i="1"/>
  <c r="R1327" i="1"/>
  <c r="Q1327" i="1"/>
  <c r="P1327" i="1"/>
  <c r="O1327" i="1"/>
  <c r="W1365" i="1"/>
  <c r="V1365" i="1"/>
  <c r="U1365" i="1"/>
  <c r="T1365" i="1"/>
  <c r="R1365" i="1"/>
  <c r="Q1365" i="1"/>
  <c r="P1365" i="1"/>
  <c r="O1365" i="1"/>
  <c r="W1403" i="1"/>
  <c r="V1403" i="1"/>
  <c r="U1403" i="1"/>
  <c r="T1403" i="1"/>
  <c r="R1403" i="1"/>
  <c r="Q1403" i="1"/>
  <c r="P1403" i="1"/>
  <c r="O1403" i="1"/>
  <c r="S1403" i="1" s="1"/>
  <c r="X1349" i="1"/>
  <c r="S1349" i="1"/>
  <c r="Y1349" i="1" s="1"/>
  <c r="I1397" i="1"/>
  <c r="K1397" i="1" s="1"/>
  <c r="X1348" i="1"/>
  <c r="S1348" i="1"/>
  <c r="F1374" i="1"/>
  <c r="H1389" i="1"/>
  <c r="C1389" i="1"/>
  <c r="C1403" i="1" s="1"/>
  <c r="J1389" i="1"/>
  <c r="E1389" i="1"/>
  <c r="B1389" i="1"/>
  <c r="G1389" i="1"/>
  <c r="G1403" i="1" s="1"/>
  <c r="G1387" i="1"/>
  <c r="K1387" i="1" s="1"/>
  <c r="B1387" i="1"/>
  <c r="S1378" i="1"/>
  <c r="X1378" i="1"/>
  <c r="Y1378" i="1" s="1"/>
  <c r="S1379" i="1"/>
  <c r="X1379" i="1"/>
  <c r="Y1379" i="1"/>
  <c r="Y1343" i="1"/>
  <c r="X1343" i="1"/>
  <c r="S1343" i="1"/>
  <c r="X1342" i="1"/>
  <c r="Y1342" i="1" s="1"/>
  <c r="S1342" i="1"/>
  <c r="D1381" i="1"/>
  <c r="D1403" i="1" s="1"/>
  <c r="X1364" i="1"/>
  <c r="D1336" i="1"/>
  <c r="F1336" i="1" s="1"/>
  <c r="L1336" i="1" s="1"/>
  <c r="X1309" i="1"/>
  <c r="S1309" i="1"/>
  <c r="Y1309" i="1" s="1"/>
  <c r="I1349" i="1"/>
  <c r="I1365" i="1"/>
  <c r="K1336" i="1"/>
  <c r="X1304" i="1"/>
  <c r="S1304" i="1"/>
  <c r="Y1304" i="1" s="1"/>
  <c r="J1479" i="1"/>
  <c r="I1479" i="1"/>
  <c r="H1479" i="1"/>
  <c r="G1479" i="1"/>
  <c r="E1479" i="1"/>
  <c r="D1479" i="1"/>
  <c r="C1479" i="1"/>
  <c r="B1479" i="1"/>
  <c r="K1477" i="1"/>
  <c r="F1477" i="1"/>
  <c r="L1477" i="1" s="1"/>
  <c r="K1476" i="1"/>
  <c r="F1476" i="1"/>
  <c r="L1476" i="1" s="1"/>
  <c r="K1475" i="1"/>
  <c r="F1475" i="1"/>
  <c r="L1475" i="1" s="1"/>
  <c r="K1474" i="1"/>
  <c r="L1474" i="1" s="1"/>
  <c r="F1474" i="1"/>
  <c r="K1473" i="1"/>
  <c r="F1473" i="1"/>
  <c r="K1472" i="1"/>
  <c r="F1472" i="1"/>
  <c r="K1471" i="1"/>
  <c r="F1471" i="1"/>
  <c r="K1470" i="1"/>
  <c r="F1470" i="1"/>
  <c r="K1469" i="1"/>
  <c r="F1469" i="1"/>
  <c r="K1468" i="1"/>
  <c r="F1468" i="1"/>
  <c r="K1467" i="1"/>
  <c r="F1467" i="1"/>
  <c r="L1467" i="1" s="1"/>
  <c r="K1466" i="1"/>
  <c r="F1466" i="1"/>
  <c r="K1465" i="1"/>
  <c r="F1465" i="1"/>
  <c r="L1465" i="1" s="1"/>
  <c r="K1464" i="1"/>
  <c r="F1464" i="1"/>
  <c r="K1463" i="1"/>
  <c r="F1463" i="1"/>
  <c r="K1462" i="1"/>
  <c r="F1462" i="1"/>
  <c r="K1461" i="1"/>
  <c r="F1461" i="1"/>
  <c r="L1461" i="1" s="1"/>
  <c r="K1460" i="1"/>
  <c r="F1460" i="1"/>
  <c r="K1459" i="1"/>
  <c r="F1459" i="1"/>
  <c r="K1458" i="1"/>
  <c r="F1458" i="1"/>
  <c r="K1457" i="1"/>
  <c r="F1457" i="1"/>
  <c r="K1456" i="1"/>
  <c r="F1456" i="1"/>
  <c r="K1455" i="1"/>
  <c r="F1455" i="1"/>
  <c r="L1455" i="1" s="1"/>
  <c r="K1454" i="1"/>
  <c r="F1454" i="1"/>
  <c r="K1452" i="1"/>
  <c r="F1452" i="1"/>
  <c r="L1452" i="1" s="1"/>
  <c r="L1451" i="1"/>
  <c r="K1451" i="1"/>
  <c r="F1451" i="1"/>
  <c r="K1449" i="1"/>
  <c r="F1449" i="1"/>
  <c r="L1449" i="1" s="1"/>
  <c r="J1441" i="1"/>
  <c r="I1441" i="1"/>
  <c r="H1441" i="1"/>
  <c r="G1441" i="1"/>
  <c r="E1441" i="1"/>
  <c r="D1441" i="1"/>
  <c r="C1441" i="1"/>
  <c r="B1441" i="1"/>
  <c r="K1440" i="1"/>
  <c r="F1440" i="1"/>
  <c r="K1439" i="1"/>
  <c r="F1439" i="1"/>
  <c r="K1438" i="1"/>
  <c r="F1438" i="1"/>
  <c r="K1437" i="1"/>
  <c r="F1437" i="1"/>
  <c r="L1437" i="1" s="1"/>
  <c r="K1436" i="1"/>
  <c r="F1436" i="1"/>
  <c r="K1435" i="1"/>
  <c r="F1435" i="1"/>
  <c r="L1435" i="1" s="1"/>
  <c r="K1434" i="1"/>
  <c r="F1434" i="1"/>
  <c r="K1433" i="1"/>
  <c r="F1433" i="1"/>
  <c r="L1433" i="1" s="1"/>
  <c r="K1432" i="1"/>
  <c r="F1432" i="1"/>
  <c r="K1431" i="1"/>
  <c r="F1431" i="1"/>
  <c r="L1431" i="1" s="1"/>
  <c r="K1430" i="1"/>
  <c r="F1430" i="1"/>
  <c r="K1429" i="1"/>
  <c r="F1429" i="1"/>
  <c r="L1429" i="1" s="1"/>
  <c r="K1428" i="1"/>
  <c r="F1428" i="1"/>
  <c r="K1427" i="1"/>
  <c r="F1427" i="1"/>
  <c r="K1426" i="1"/>
  <c r="F1426" i="1"/>
  <c r="L1426" i="1" s="1"/>
  <c r="K1425" i="1"/>
  <c r="F1425" i="1"/>
  <c r="L1425" i="1" s="1"/>
  <c r="K1424" i="1"/>
  <c r="F1424" i="1"/>
  <c r="K1423" i="1"/>
  <c r="F1423" i="1"/>
  <c r="K1422" i="1"/>
  <c r="F1422" i="1"/>
  <c r="K1421" i="1"/>
  <c r="F1421" i="1"/>
  <c r="K1420" i="1"/>
  <c r="F1420" i="1"/>
  <c r="K1419" i="1"/>
  <c r="F1419" i="1"/>
  <c r="K1418" i="1"/>
  <c r="F1418" i="1"/>
  <c r="K1417" i="1"/>
  <c r="F1417" i="1"/>
  <c r="K1416" i="1"/>
  <c r="F1416" i="1"/>
  <c r="K1414" i="1"/>
  <c r="F1414" i="1"/>
  <c r="L1414" i="1" s="1"/>
  <c r="K1413" i="1"/>
  <c r="F1413" i="1"/>
  <c r="L1413" i="1" s="1"/>
  <c r="K1412" i="1"/>
  <c r="F1412" i="1"/>
  <c r="K1411" i="1"/>
  <c r="F1411" i="1"/>
  <c r="S1323" i="1"/>
  <c r="X1323" i="1"/>
  <c r="S1324" i="1"/>
  <c r="X1324" i="1"/>
  <c r="X1362" i="1"/>
  <c r="S1362" i="1"/>
  <c r="X1361" i="1"/>
  <c r="S1361" i="1"/>
  <c r="S1364" i="1"/>
  <c r="X1363" i="1"/>
  <c r="S1363" i="1"/>
  <c r="F1378" i="1"/>
  <c r="K1378" i="1"/>
  <c r="F1379" i="1"/>
  <c r="K1379" i="1"/>
  <c r="J1403" i="1"/>
  <c r="I1403" i="1"/>
  <c r="H1403" i="1"/>
  <c r="E1403" i="1"/>
  <c r="B1403" i="1"/>
  <c r="K1402" i="1"/>
  <c r="F1402" i="1"/>
  <c r="K1401" i="1"/>
  <c r="F1401" i="1"/>
  <c r="K1400" i="1"/>
  <c r="F1400" i="1"/>
  <c r="K1399" i="1"/>
  <c r="F1399" i="1"/>
  <c r="L1399" i="1" s="1"/>
  <c r="K1398" i="1"/>
  <c r="F1398" i="1"/>
  <c r="F1397" i="1"/>
  <c r="K1396" i="1"/>
  <c r="F1396" i="1"/>
  <c r="K1395" i="1"/>
  <c r="F1395" i="1"/>
  <c r="L1395" i="1" s="1"/>
  <c r="K1394" i="1"/>
  <c r="L1394" i="1" s="1"/>
  <c r="F1394" i="1"/>
  <c r="K1393" i="1"/>
  <c r="F1393" i="1"/>
  <c r="K1392" i="1"/>
  <c r="F1392" i="1"/>
  <c r="K1391" i="1"/>
  <c r="F1391" i="1"/>
  <c r="L1391" i="1" s="1"/>
  <c r="K1390" i="1"/>
  <c r="F1390" i="1"/>
  <c r="K1388" i="1"/>
  <c r="F1388" i="1"/>
  <c r="F1387" i="1"/>
  <c r="K1386" i="1"/>
  <c r="F1386" i="1"/>
  <c r="K1385" i="1"/>
  <c r="F1385" i="1"/>
  <c r="K1384" i="1"/>
  <c r="F1384" i="1"/>
  <c r="L1384" i="1" s="1"/>
  <c r="K1383" i="1"/>
  <c r="F1383" i="1"/>
  <c r="K1382" i="1"/>
  <c r="F1382" i="1"/>
  <c r="K1381" i="1"/>
  <c r="F1381" i="1"/>
  <c r="K1380" i="1"/>
  <c r="F1380" i="1"/>
  <c r="L1380" i="1" s="1"/>
  <c r="K1376" i="1"/>
  <c r="F1376" i="1"/>
  <c r="K1375" i="1"/>
  <c r="F1375" i="1"/>
  <c r="K1374" i="1"/>
  <c r="K1373" i="1"/>
  <c r="F1373" i="1"/>
  <c r="X1396" i="1"/>
  <c r="S1396" i="1"/>
  <c r="Y1396" i="1" s="1"/>
  <c r="Y1395" i="1"/>
  <c r="X1395" i="1"/>
  <c r="S1395" i="1"/>
  <c r="X1394" i="1"/>
  <c r="S1394" i="1"/>
  <c r="X1393" i="1"/>
  <c r="S1393" i="1"/>
  <c r="Y1393" i="1" s="1"/>
  <c r="X1392" i="1"/>
  <c r="S1392" i="1"/>
  <c r="Y1392" i="1" s="1"/>
  <c r="X1391" i="1"/>
  <c r="S1391" i="1"/>
  <c r="Y1391" i="1" s="1"/>
  <c r="X1390" i="1"/>
  <c r="Y1390" i="1" s="1"/>
  <c r="S1390" i="1"/>
  <c r="X1389" i="1"/>
  <c r="S1389" i="1"/>
  <c r="Y1389" i="1" s="1"/>
  <c r="X1388" i="1"/>
  <c r="S1388" i="1"/>
  <c r="X1387" i="1"/>
  <c r="S1387" i="1"/>
  <c r="Y1387" i="1" s="1"/>
  <c r="X1386" i="1"/>
  <c r="S1386" i="1"/>
  <c r="X1385" i="1"/>
  <c r="S1385" i="1"/>
  <c r="Y1385" i="1" s="1"/>
  <c r="X1384" i="1"/>
  <c r="S1384" i="1"/>
  <c r="Y1384" i="1" s="1"/>
  <c r="X1383" i="1"/>
  <c r="Y1383" i="1" s="1"/>
  <c r="S1383" i="1"/>
  <c r="X1382" i="1"/>
  <c r="S1382" i="1"/>
  <c r="X1381" i="1"/>
  <c r="S1381" i="1"/>
  <c r="X1380" i="1"/>
  <c r="S1380" i="1"/>
  <c r="Y1380" i="1" s="1"/>
  <c r="X1376" i="1"/>
  <c r="S1376" i="1"/>
  <c r="X1375" i="1"/>
  <c r="S1375" i="1"/>
  <c r="Y1375" i="1" s="1"/>
  <c r="X1374" i="1"/>
  <c r="S1374" i="1"/>
  <c r="X1373" i="1"/>
  <c r="S1373" i="1"/>
  <c r="Y1373" i="1" s="1"/>
  <c r="K1299" i="1"/>
  <c r="F1299" i="1"/>
  <c r="L1299" i="1" s="1"/>
  <c r="T1288" i="1"/>
  <c r="X1288" i="1" s="1"/>
  <c r="O1288" i="1"/>
  <c r="S1288" i="1" s="1"/>
  <c r="Y1288" i="1" s="1"/>
  <c r="J1319" i="1"/>
  <c r="E1319" i="1"/>
  <c r="X1277" i="1"/>
  <c r="S1277" i="1"/>
  <c r="Y1277" i="1" s="1"/>
  <c r="J1313" i="1"/>
  <c r="I1311" i="1"/>
  <c r="D1311" i="1"/>
  <c r="F1340" i="1"/>
  <c r="K1340" i="1"/>
  <c r="F1341" i="1"/>
  <c r="K1341" i="1"/>
  <c r="F1342" i="1"/>
  <c r="K1342" i="1"/>
  <c r="F1343" i="1"/>
  <c r="K1343" i="1"/>
  <c r="J1365" i="1"/>
  <c r="H1365" i="1"/>
  <c r="G1365" i="1"/>
  <c r="E1365" i="1"/>
  <c r="D1365" i="1"/>
  <c r="B1365" i="1"/>
  <c r="K1364" i="1"/>
  <c r="F1364" i="1"/>
  <c r="K1363" i="1"/>
  <c r="F1363" i="1"/>
  <c r="K1362" i="1"/>
  <c r="F1362" i="1"/>
  <c r="L1362" i="1" s="1"/>
  <c r="K1361" i="1"/>
  <c r="L1361" i="1" s="1"/>
  <c r="F1361" i="1"/>
  <c r="K1360" i="1"/>
  <c r="F1360" i="1"/>
  <c r="K1359" i="1"/>
  <c r="F1359" i="1"/>
  <c r="K1358" i="1"/>
  <c r="F1358" i="1"/>
  <c r="L1358" i="1" s="1"/>
  <c r="L1357" i="1"/>
  <c r="K1357" i="1"/>
  <c r="F1357" i="1"/>
  <c r="K1356" i="1"/>
  <c r="F1356" i="1"/>
  <c r="K1355" i="1"/>
  <c r="F1355" i="1"/>
  <c r="K1354" i="1"/>
  <c r="F1354" i="1"/>
  <c r="K1353" i="1"/>
  <c r="F1353" i="1"/>
  <c r="K1352" i="1"/>
  <c r="F1352" i="1"/>
  <c r="K1351" i="1"/>
  <c r="F1351" i="1"/>
  <c r="K1350" i="1"/>
  <c r="F1350" i="1"/>
  <c r="F1349" i="1"/>
  <c r="K1348" i="1"/>
  <c r="F1348" i="1"/>
  <c r="K1347" i="1"/>
  <c r="F1347" i="1"/>
  <c r="K1346" i="1"/>
  <c r="F1346" i="1"/>
  <c r="L1346" i="1" s="1"/>
  <c r="K1345" i="1"/>
  <c r="F1345" i="1"/>
  <c r="K1344" i="1"/>
  <c r="F1344" i="1"/>
  <c r="C1365" i="1"/>
  <c r="K1338" i="1"/>
  <c r="F1338" i="1"/>
  <c r="K1337" i="1"/>
  <c r="F1337" i="1"/>
  <c r="L1337" i="1" s="1"/>
  <c r="K1335" i="1"/>
  <c r="F1335" i="1"/>
  <c r="S1360" i="1"/>
  <c r="X1360" i="1"/>
  <c r="S1322" i="1"/>
  <c r="X1322" i="1"/>
  <c r="Y1322" i="1"/>
  <c r="X1326" i="1"/>
  <c r="S1326" i="1"/>
  <c r="X1325" i="1"/>
  <c r="S1325" i="1"/>
  <c r="Y1359" i="1"/>
  <c r="X1359" i="1"/>
  <c r="S1359" i="1"/>
  <c r="X1358" i="1"/>
  <c r="S1358" i="1"/>
  <c r="X1357" i="1"/>
  <c r="S1357" i="1"/>
  <c r="Y1357" i="1" s="1"/>
  <c r="X1356" i="1"/>
  <c r="S1356" i="1"/>
  <c r="Y1356" i="1" s="1"/>
  <c r="X1355" i="1"/>
  <c r="S1355" i="1"/>
  <c r="Y1355" i="1" s="1"/>
  <c r="X1354" i="1"/>
  <c r="Y1354" i="1" s="1"/>
  <c r="S1354" i="1"/>
  <c r="X1353" i="1"/>
  <c r="S1353" i="1"/>
  <c r="Y1353" i="1" s="1"/>
  <c r="X1352" i="1"/>
  <c r="S1352" i="1"/>
  <c r="X1351" i="1"/>
  <c r="S1351" i="1"/>
  <c r="Y1351" i="1" s="1"/>
  <c r="X1347" i="1"/>
  <c r="S1347" i="1"/>
  <c r="X1346" i="1"/>
  <c r="S1346" i="1"/>
  <c r="X1345" i="1"/>
  <c r="S1345" i="1"/>
  <c r="Y1345" i="1" s="1"/>
  <c r="X1344" i="1"/>
  <c r="S1344" i="1"/>
  <c r="Y1344" i="1" s="1"/>
  <c r="X1341" i="1"/>
  <c r="S1341" i="1"/>
  <c r="X1340" i="1"/>
  <c r="S1340" i="1"/>
  <c r="X1338" i="1"/>
  <c r="S1338" i="1"/>
  <c r="X1337" i="1"/>
  <c r="S1337" i="1"/>
  <c r="Y1337" i="1" s="1"/>
  <c r="X1336" i="1"/>
  <c r="S1336" i="1"/>
  <c r="Y1336" i="1" s="1"/>
  <c r="X1335" i="1"/>
  <c r="Y1335" i="1" s="1"/>
  <c r="S1335" i="1"/>
  <c r="S1286" i="1"/>
  <c r="X1286" i="1"/>
  <c r="Y1286" i="1"/>
  <c r="S1287" i="1"/>
  <c r="X1287" i="1"/>
  <c r="W1288" i="1"/>
  <c r="W1289" i="1" s="1"/>
  <c r="V1288" i="1"/>
  <c r="V1289" i="1" s="1"/>
  <c r="U1288" i="1"/>
  <c r="R1288" i="1"/>
  <c r="R1289" i="1" s="1"/>
  <c r="Q1288" i="1"/>
  <c r="Q1289" i="1" s="1"/>
  <c r="P1288" i="1"/>
  <c r="C1303" i="1"/>
  <c r="Y1897" i="1" l="1"/>
  <c r="O1289" i="1"/>
  <c r="X1289" i="1"/>
  <c r="Y1358" i="1"/>
  <c r="Y1394" i="1"/>
  <c r="L1383" i="1"/>
  <c r="Y1323" i="1"/>
  <c r="L1421" i="1"/>
  <c r="K1389" i="1"/>
  <c r="X1175" i="1"/>
  <c r="X985" i="1"/>
  <c r="X909" i="1"/>
  <c r="L1348" i="1"/>
  <c r="L1364" i="1"/>
  <c r="Y1382" i="1"/>
  <c r="L1463" i="1"/>
  <c r="X1137" i="1"/>
  <c r="X871" i="1"/>
  <c r="Y1287" i="1"/>
  <c r="Y1338" i="1"/>
  <c r="Y1352" i="1"/>
  <c r="L1345" i="1"/>
  <c r="Y1374" i="1"/>
  <c r="Y1376" i="1"/>
  <c r="Y1381" i="1"/>
  <c r="Y1386" i="1"/>
  <c r="Y1388" i="1"/>
  <c r="L1386" i="1"/>
  <c r="L1396" i="1"/>
  <c r="L1398" i="1"/>
  <c r="L1402" i="1"/>
  <c r="L1416" i="1"/>
  <c r="L1420" i="1"/>
  <c r="L1436" i="1"/>
  <c r="L1456" i="1"/>
  <c r="L1460" i="1"/>
  <c r="L1464" i="1"/>
  <c r="L1468" i="1"/>
  <c r="Y1348" i="1"/>
  <c r="X1099" i="1"/>
  <c r="Y1099" i="1" s="1"/>
  <c r="L1897" i="1"/>
  <c r="L1859" i="1"/>
  <c r="L1821" i="1"/>
  <c r="Y1859" i="1"/>
  <c r="X1745" i="1"/>
  <c r="Y1745" i="1" s="1"/>
  <c r="L1783" i="1"/>
  <c r="L1745" i="1"/>
  <c r="Y1821" i="1"/>
  <c r="Y1783" i="1"/>
  <c r="L1707" i="1"/>
  <c r="L1669" i="1"/>
  <c r="Y1707" i="1"/>
  <c r="L1631" i="1"/>
  <c r="L1593" i="1"/>
  <c r="Y1669" i="1"/>
  <c r="L1555" i="1"/>
  <c r="Y1631" i="1"/>
  <c r="Y1593" i="1"/>
  <c r="L1517" i="1"/>
  <c r="L1473" i="1"/>
  <c r="L1472" i="1"/>
  <c r="L1471" i="1"/>
  <c r="L1470" i="1"/>
  <c r="L1469" i="1"/>
  <c r="L1466" i="1"/>
  <c r="L1462" i="1"/>
  <c r="L1459" i="1"/>
  <c r="L1458" i="1"/>
  <c r="L1457" i="1"/>
  <c r="L1454" i="1"/>
  <c r="L1440" i="1"/>
  <c r="L1439" i="1"/>
  <c r="L1438" i="1"/>
  <c r="L1434" i="1"/>
  <c r="L1432" i="1"/>
  <c r="L1430" i="1"/>
  <c r="L1428" i="1"/>
  <c r="L1412" i="1"/>
  <c r="L1427" i="1"/>
  <c r="L1424" i="1"/>
  <c r="L1423" i="1"/>
  <c r="L1422" i="1"/>
  <c r="Y1555" i="1"/>
  <c r="L1419" i="1"/>
  <c r="K1441" i="1"/>
  <c r="L1353" i="1"/>
  <c r="Y1479" i="1"/>
  <c r="Y1517" i="1"/>
  <c r="K1479" i="1"/>
  <c r="F1479" i="1"/>
  <c r="X1365" i="1"/>
  <c r="S1365" i="1"/>
  <c r="L1411" i="1"/>
  <c r="L1418" i="1"/>
  <c r="F1441" i="1"/>
  <c r="L1417" i="1"/>
  <c r="Y1441" i="1"/>
  <c r="X1403" i="1"/>
  <c r="Y871" i="1"/>
  <c r="S909" i="1"/>
  <c r="Y947" i="1"/>
  <c r="S985" i="1"/>
  <c r="S1023" i="1"/>
  <c r="Y1061" i="1"/>
  <c r="Y1137" i="1"/>
  <c r="Y1175" i="1"/>
  <c r="X1213" i="1"/>
  <c r="S1213" i="1"/>
  <c r="S1251" i="1"/>
  <c r="X1251" i="1"/>
  <c r="S1289" i="1"/>
  <c r="X1327" i="1"/>
  <c r="S1327" i="1"/>
  <c r="Y1365" i="1"/>
  <c r="Y1403" i="1"/>
  <c r="L1376" i="1"/>
  <c r="L1401" i="1"/>
  <c r="L1400" i="1"/>
  <c r="L1397" i="1"/>
  <c r="L1393" i="1"/>
  <c r="L1392" i="1"/>
  <c r="L1390" i="1"/>
  <c r="L1375" i="1"/>
  <c r="L1374" i="1"/>
  <c r="F1389" i="1"/>
  <c r="L1389" i="1" s="1"/>
  <c r="L1388" i="1"/>
  <c r="L1387" i="1"/>
  <c r="Y1363" i="1"/>
  <c r="Y1347" i="1"/>
  <c r="Y1346" i="1"/>
  <c r="L1385" i="1"/>
  <c r="L1382" i="1"/>
  <c r="L1373" i="1"/>
  <c r="Y1361" i="1"/>
  <c r="Y1362" i="1"/>
  <c r="Y1341" i="1"/>
  <c r="L1381" i="1"/>
  <c r="L1379" i="1"/>
  <c r="L1378" i="1"/>
  <c r="L1363" i="1"/>
  <c r="Y1364" i="1"/>
  <c r="Y1340" i="1"/>
  <c r="L1338" i="1"/>
  <c r="L1360" i="1"/>
  <c r="L1359" i="1"/>
  <c r="L1356" i="1"/>
  <c r="L1355" i="1"/>
  <c r="L1354" i="1"/>
  <c r="L1352" i="1"/>
  <c r="L1351" i="1"/>
  <c r="L1350" i="1"/>
  <c r="Y1360" i="1"/>
  <c r="K1349" i="1"/>
  <c r="L1349" i="1" s="1"/>
  <c r="Y1324" i="1"/>
  <c r="L1347" i="1"/>
  <c r="Y1326" i="1"/>
  <c r="Y1325" i="1"/>
  <c r="L1344" i="1"/>
  <c r="L1343" i="1"/>
  <c r="L1342" i="1"/>
  <c r="F1403" i="1"/>
  <c r="K1403" i="1"/>
  <c r="L1341" i="1"/>
  <c r="L1340" i="1"/>
  <c r="L1335" i="1"/>
  <c r="K1365" i="1"/>
  <c r="F1365" i="1"/>
  <c r="X1276" i="1"/>
  <c r="S1276" i="1"/>
  <c r="Y1276" i="1" s="1"/>
  <c r="X1274" i="1"/>
  <c r="S1274" i="1"/>
  <c r="H1285" i="1"/>
  <c r="D1285" i="1"/>
  <c r="D1289" i="1" s="1"/>
  <c r="C1285" i="1"/>
  <c r="F1285" i="1" s="1"/>
  <c r="G1285" i="1"/>
  <c r="X1268" i="1"/>
  <c r="S1268" i="1"/>
  <c r="Y1268" i="1" s="1"/>
  <c r="X1240" i="1"/>
  <c r="S1240" i="1"/>
  <c r="Y1240" i="1" s="1"/>
  <c r="H1272" i="1"/>
  <c r="C1272" i="1"/>
  <c r="E1272" i="1"/>
  <c r="E1289" i="1" s="1"/>
  <c r="X1239" i="1"/>
  <c r="S1239" i="1"/>
  <c r="S1302" i="1"/>
  <c r="X1302" i="1"/>
  <c r="J1327" i="1"/>
  <c r="H1327" i="1"/>
  <c r="G1327" i="1"/>
  <c r="E1327" i="1"/>
  <c r="D1327" i="1"/>
  <c r="C1327" i="1"/>
  <c r="B1327" i="1"/>
  <c r="K1326" i="1"/>
  <c r="F1326" i="1"/>
  <c r="L1326" i="1" s="1"/>
  <c r="K1325" i="1"/>
  <c r="F1325" i="1"/>
  <c r="L1325" i="1" s="1"/>
  <c r="K1324" i="1"/>
  <c r="F1324" i="1"/>
  <c r="K1323" i="1"/>
  <c r="F1323" i="1"/>
  <c r="K1322" i="1"/>
  <c r="F1322" i="1"/>
  <c r="L1322" i="1" s="1"/>
  <c r="X1321" i="1"/>
  <c r="S1321" i="1"/>
  <c r="Y1321" i="1" s="1"/>
  <c r="K1321" i="1"/>
  <c r="F1321" i="1"/>
  <c r="L1321" i="1" s="1"/>
  <c r="X1320" i="1"/>
  <c r="S1320" i="1"/>
  <c r="Y1320" i="1" s="1"/>
  <c r="K1320" i="1"/>
  <c r="F1320" i="1"/>
  <c r="X1319" i="1"/>
  <c r="S1319" i="1"/>
  <c r="Y1319" i="1" s="1"/>
  <c r="K1319" i="1"/>
  <c r="F1319" i="1"/>
  <c r="X1318" i="1"/>
  <c r="S1318" i="1"/>
  <c r="K1318" i="1"/>
  <c r="F1318" i="1"/>
  <c r="X1317" i="1"/>
  <c r="S1317" i="1"/>
  <c r="Y1317" i="1" s="1"/>
  <c r="K1317" i="1"/>
  <c r="F1317" i="1"/>
  <c r="X1316" i="1"/>
  <c r="S1316" i="1"/>
  <c r="Y1316" i="1" s="1"/>
  <c r="K1316" i="1"/>
  <c r="F1316" i="1"/>
  <c r="X1315" i="1"/>
  <c r="S1315" i="1"/>
  <c r="Y1315" i="1" s="1"/>
  <c r="K1315" i="1"/>
  <c r="F1315" i="1"/>
  <c r="X1314" i="1"/>
  <c r="S1314" i="1"/>
  <c r="K1314" i="1"/>
  <c r="F1314" i="1"/>
  <c r="X1313" i="1"/>
  <c r="S1313" i="1"/>
  <c r="Y1313" i="1" s="1"/>
  <c r="K1313" i="1"/>
  <c r="F1313" i="1"/>
  <c r="X1312" i="1"/>
  <c r="Y1312" i="1" s="1"/>
  <c r="S1312" i="1"/>
  <c r="K1312" i="1"/>
  <c r="F1312" i="1"/>
  <c r="L1312" i="1" s="1"/>
  <c r="X1311" i="1"/>
  <c r="S1311" i="1"/>
  <c r="K1311" i="1"/>
  <c r="F1311" i="1"/>
  <c r="X1310" i="1"/>
  <c r="Y1310" i="1" s="1"/>
  <c r="S1310" i="1"/>
  <c r="K1310" i="1"/>
  <c r="F1310" i="1"/>
  <c r="L1310" i="1" s="1"/>
  <c r="K1309" i="1"/>
  <c r="F1309" i="1"/>
  <c r="X1308" i="1"/>
  <c r="S1308" i="1"/>
  <c r="K1308" i="1"/>
  <c r="F1308" i="1"/>
  <c r="X1307" i="1"/>
  <c r="S1307" i="1"/>
  <c r="K1307" i="1"/>
  <c r="F1307" i="1"/>
  <c r="X1306" i="1"/>
  <c r="S1306" i="1"/>
  <c r="K1306" i="1"/>
  <c r="F1306" i="1"/>
  <c r="X1305" i="1"/>
  <c r="S1305" i="1"/>
  <c r="Y1305" i="1" s="1"/>
  <c r="K1305" i="1"/>
  <c r="I1327" i="1"/>
  <c r="F1305" i="1"/>
  <c r="K1304" i="1"/>
  <c r="F1304" i="1"/>
  <c r="X1303" i="1"/>
  <c r="S1303" i="1"/>
  <c r="K1303" i="1"/>
  <c r="F1303" i="1"/>
  <c r="K1302" i="1"/>
  <c r="F1302" i="1"/>
  <c r="X1300" i="1"/>
  <c r="S1300" i="1"/>
  <c r="K1300" i="1"/>
  <c r="F1300" i="1"/>
  <c r="X1299" i="1"/>
  <c r="S1299" i="1"/>
  <c r="Y1299" i="1" s="1"/>
  <c r="X1298" i="1"/>
  <c r="S1298" i="1"/>
  <c r="Y1298" i="1" s="1"/>
  <c r="K1298" i="1"/>
  <c r="F1298" i="1"/>
  <c r="X1297" i="1"/>
  <c r="S1297" i="1"/>
  <c r="Y1297" i="1" s="1"/>
  <c r="K1297" i="1"/>
  <c r="F1297" i="1"/>
  <c r="I1267" i="1"/>
  <c r="I1250" i="1"/>
  <c r="H1250" i="1"/>
  <c r="K1250" i="1" s="1"/>
  <c r="G1250" i="1"/>
  <c r="D1250" i="1"/>
  <c r="D1251" i="1" s="1"/>
  <c r="B1250" i="1"/>
  <c r="F1250" i="1" s="1"/>
  <c r="H1249" i="1"/>
  <c r="K1249" i="1" s="1"/>
  <c r="B1249" i="1"/>
  <c r="C1249" i="1"/>
  <c r="H1248" i="1"/>
  <c r="K1248" i="1" s="1"/>
  <c r="C1248" i="1"/>
  <c r="C1251" i="1" s="1"/>
  <c r="X1237" i="1"/>
  <c r="S1237" i="1"/>
  <c r="I1243" i="1"/>
  <c r="I1251" i="1" s="1"/>
  <c r="H1243" i="1"/>
  <c r="K1243" i="1" s="1"/>
  <c r="C1243" i="1"/>
  <c r="F1243" i="1" s="1"/>
  <c r="X1231" i="1"/>
  <c r="S1231" i="1"/>
  <c r="Y1231" i="1" s="1"/>
  <c r="X1201" i="1"/>
  <c r="S1201" i="1"/>
  <c r="X1222" i="1"/>
  <c r="S1222" i="1"/>
  <c r="Y1222" i="1" s="1"/>
  <c r="X1221" i="1"/>
  <c r="S1221" i="1"/>
  <c r="X1185" i="1"/>
  <c r="S1185" i="1"/>
  <c r="Y1185" i="1" s="1"/>
  <c r="I1199" i="1"/>
  <c r="D1199" i="1"/>
  <c r="J1199" i="1"/>
  <c r="H1198" i="1"/>
  <c r="H1194" i="1"/>
  <c r="C1194" i="1"/>
  <c r="H1189" i="1"/>
  <c r="C1189" i="1"/>
  <c r="X1209" i="1"/>
  <c r="H1188" i="1"/>
  <c r="X1192" i="1"/>
  <c r="S1192" i="1"/>
  <c r="Y1192" i="1" s="1"/>
  <c r="S1148" i="1"/>
  <c r="X1148" i="1"/>
  <c r="Y1148" i="1" s="1"/>
  <c r="S1224" i="1"/>
  <c r="S1172" i="1"/>
  <c r="X1172" i="1"/>
  <c r="S1173" i="1"/>
  <c r="X1173" i="1"/>
  <c r="S1207" i="1"/>
  <c r="Y1207" i="1" s="1"/>
  <c r="X1207" i="1"/>
  <c r="S1208" i="1"/>
  <c r="X1208" i="1"/>
  <c r="S1209" i="1"/>
  <c r="X1174" i="1"/>
  <c r="S1174" i="1"/>
  <c r="Y1174" i="1" s="1"/>
  <c r="X1171" i="1"/>
  <c r="S1171" i="1"/>
  <c r="Y1171" i="1" s="1"/>
  <c r="S1184" i="1"/>
  <c r="X1184" i="1"/>
  <c r="X1223" i="1"/>
  <c r="S1223" i="1"/>
  <c r="S1284" i="1"/>
  <c r="X1284" i="1"/>
  <c r="S1285" i="1"/>
  <c r="Y1285" i="1" s="1"/>
  <c r="X1285" i="1"/>
  <c r="J1289" i="1"/>
  <c r="I1289" i="1"/>
  <c r="G1289" i="1"/>
  <c r="B1289" i="1"/>
  <c r="K1288" i="1"/>
  <c r="L1288" i="1" s="1"/>
  <c r="F1288" i="1"/>
  <c r="K1287" i="1"/>
  <c r="F1287" i="1"/>
  <c r="L1287" i="1" s="1"/>
  <c r="K1286" i="1"/>
  <c r="F1286" i="1"/>
  <c r="K1284" i="1"/>
  <c r="F1284" i="1"/>
  <c r="X1283" i="1"/>
  <c r="S1283" i="1"/>
  <c r="Y1283" i="1" s="1"/>
  <c r="K1283" i="1"/>
  <c r="F1283" i="1"/>
  <c r="L1283" i="1" s="1"/>
  <c r="X1282" i="1"/>
  <c r="S1282" i="1"/>
  <c r="Y1282" i="1" s="1"/>
  <c r="K1282" i="1"/>
  <c r="F1282" i="1"/>
  <c r="X1281" i="1"/>
  <c r="S1281" i="1"/>
  <c r="Y1281" i="1" s="1"/>
  <c r="K1281" i="1"/>
  <c r="F1281" i="1"/>
  <c r="X1280" i="1"/>
  <c r="S1280" i="1"/>
  <c r="Y1280" i="1" s="1"/>
  <c r="K1280" i="1"/>
  <c r="F1280" i="1"/>
  <c r="X1279" i="1"/>
  <c r="S1279" i="1"/>
  <c r="Y1279" i="1" s="1"/>
  <c r="K1279" i="1"/>
  <c r="F1279" i="1"/>
  <c r="X1278" i="1"/>
  <c r="S1278" i="1"/>
  <c r="K1278" i="1"/>
  <c r="F1278" i="1"/>
  <c r="K1277" i="1"/>
  <c r="F1277" i="1"/>
  <c r="K1276" i="1"/>
  <c r="F1276" i="1"/>
  <c r="X1275" i="1"/>
  <c r="S1275" i="1"/>
  <c r="Y1275" i="1" s="1"/>
  <c r="K1275" i="1"/>
  <c r="F1275" i="1"/>
  <c r="K1274" i="1"/>
  <c r="F1274" i="1"/>
  <c r="X1273" i="1"/>
  <c r="S1273" i="1"/>
  <c r="K1273" i="1"/>
  <c r="F1273" i="1"/>
  <c r="L1273" i="1" s="1"/>
  <c r="X1272" i="1"/>
  <c r="S1272" i="1"/>
  <c r="K1272" i="1"/>
  <c r="X1271" i="1"/>
  <c r="S1271" i="1"/>
  <c r="Y1271" i="1" s="1"/>
  <c r="K1271" i="1"/>
  <c r="F1271" i="1"/>
  <c r="L1271" i="1" s="1"/>
  <c r="X1270" i="1"/>
  <c r="S1270" i="1"/>
  <c r="Y1270" i="1" s="1"/>
  <c r="K1270" i="1"/>
  <c r="F1270" i="1"/>
  <c r="X1269" i="1"/>
  <c r="S1269" i="1"/>
  <c r="K1269" i="1"/>
  <c r="F1269" i="1"/>
  <c r="L1269" i="1" s="1"/>
  <c r="K1268" i="1"/>
  <c r="F1268" i="1"/>
  <c r="X1267" i="1"/>
  <c r="S1267" i="1"/>
  <c r="Y1267" i="1" s="1"/>
  <c r="K1267" i="1"/>
  <c r="F1267" i="1"/>
  <c r="X1266" i="1"/>
  <c r="S1266" i="1"/>
  <c r="Y1266" i="1" s="1"/>
  <c r="K1266" i="1"/>
  <c r="F1266" i="1"/>
  <c r="X1265" i="1"/>
  <c r="S1265" i="1"/>
  <c r="K1265" i="1"/>
  <c r="F1265" i="1"/>
  <c r="L1265" i="1" s="1"/>
  <c r="X1264" i="1"/>
  <c r="S1264" i="1"/>
  <c r="Y1264" i="1" s="1"/>
  <c r="K1264" i="1"/>
  <c r="F1264" i="1"/>
  <c r="L1264" i="1" s="1"/>
  <c r="X1262" i="1"/>
  <c r="S1262" i="1"/>
  <c r="Y1262" i="1" s="1"/>
  <c r="K1262" i="1"/>
  <c r="F1262" i="1"/>
  <c r="X1261" i="1"/>
  <c r="S1261" i="1"/>
  <c r="Y1261" i="1" s="1"/>
  <c r="K1261" i="1"/>
  <c r="F1261" i="1"/>
  <c r="X1260" i="1"/>
  <c r="S1260" i="1"/>
  <c r="Y1260" i="1" s="1"/>
  <c r="K1260" i="1"/>
  <c r="L1260" i="1" s="1"/>
  <c r="F1260" i="1"/>
  <c r="X1259" i="1"/>
  <c r="S1259" i="1"/>
  <c r="Y1259" i="1" s="1"/>
  <c r="K1259" i="1"/>
  <c r="F1259" i="1"/>
  <c r="X1155" i="1"/>
  <c r="S1155" i="1"/>
  <c r="Y1155" i="1" s="1"/>
  <c r="Y1188" i="1"/>
  <c r="X1188" i="1"/>
  <c r="S1188" i="1"/>
  <c r="S1154" i="1"/>
  <c r="X1154" i="1"/>
  <c r="Y1154" i="1" s="1"/>
  <c r="K1155" i="1"/>
  <c r="F1155" i="1"/>
  <c r="L1155" i="1" s="1"/>
  <c r="X1153" i="1"/>
  <c r="S1153" i="1"/>
  <c r="Y1153" i="1" s="1"/>
  <c r="S1242" i="1"/>
  <c r="X1242" i="1"/>
  <c r="S1243" i="1"/>
  <c r="X1243" i="1"/>
  <c r="S1244" i="1"/>
  <c r="X1244" i="1"/>
  <c r="Y1244" i="1" s="1"/>
  <c r="S1245" i="1"/>
  <c r="Y1245" i="1" s="1"/>
  <c r="X1245" i="1"/>
  <c r="S1210" i="1"/>
  <c r="X1210" i="1"/>
  <c r="S1150" i="1"/>
  <c r="X1150" i="1"/>
  <c r="J1132" i="1"/>
  <c r="E1132" i="1"/>
  <c r="I1132" i="1"/>
  <c r="D1132" i="1"/>
  <c r="C1132" i="1"/>
  <c r="X1119" i="1"/>
  <c r="S1119" i="1"/>
  <c r="Y1119" i="1" s="1"/>
  <c r="S1248" i="1"/>
  <c r="X1248" i="1"/>
  <c r="S1249" i="1"/>
  <c r="X1249" i="1"/>
  <c r="Y1249" i="1" s="1"/>
  <c r="S1250" i="1"/>
  <c r="X1250" i="1"/>
  <c r="J1251" i="1"/>
  <c r="E1251" i="1"/>
  <c r="F1249" i="1"/>
  <c r="X1247" i="1"/>
  <c r="S1247" i="1"/>
  <c r="K1247" i="1"/>
  <c r="F1247" i="1"/>
  <c r="L1247" i="1" s="1"/>
  <c r="X1246" i="1"/>
  <c r="S1246" i="1"/>
  <c r="K1246" i="1"/>
  <c r="F1246" i="1"/>
  <c r="L1246" i="1" s="1"/>
  <c r="K1245" i="1"/>
  <c r="F1245" i="1"/>
  <c r="L1245" i="1" s="1"/>
  <c r="K1244" i="1"/>
  <c r="F1244" i="1"/>
  <c r="L1244" i="1" s="1"/>
  <c r="K1242" i="1"/>
  <c r="F1242" i="1"/>
  <c r="L1242" i="1" s="1"/>
  <c r="X1241" i="1"/>
  <c r="S1241" i="1"/>
  <c r="Y1241" i="1" s="1"/>
  <c r="K1241" i="1"/>
  <c r="F1241" i="1"/>
  <c r="K1240" i="1"/>
  <c r="F1240" i="1"/>
  <c r="K1239" i="1"/>
  <c r="F1239" i="1"/>
  <c r="X1238" i="1"/>
  <c r="S1238" i="1"/>
  <c r="Y1238" i="1" s="1"/>
  <c r="K1238" i="1"/>
  <c r="F1238" i="1"/>
  <c r="K1237" i="1"/>
  <c r="F1237" i="1"/>
  <c r="X1236" i="1"/>
  <c r="S1236" i="1"/>
  <c r="K1236" i="1"/>
  <c r="F1236" i="1"/>
  <c r="L1236" i="1" s="1"/>
  <c r="X1235" i="1"/>
  <c r="S1235" i="1"/>
  <c r="K1235" i="1"/>
  <c r="F1235" i="1"/>
  <c r="X1234" i="1"/>
  <c r="S1234" i="1"/>
  <c r="K1234" i="1"/>
  <c r="F1234" i="1"/>
  <c r="X1233" i="1"/>
  <c r="S1233" i="1"/>
  <c r="K1233" i="1"/>
  <c r="F1233" i="1"/>
  <c r="L1233" i="1" s="1"/>
  <c r="X1232" i="1"/>
  <c r="S1232" i="1"/>
  <c r="K1232" i="1"/>
  <c r="F1232" i="1"/>
  <c r="K1231" i="1"/>
  <c r="F1231" i="1"/>
  <c r="X1230" i="1"/>
  <c r="S1230" i="1"/>
  <c r="K1230" i="1"/>
  <c r="F1230" i="1"/>
  <c r="X1229" i="1"/>
  <c r="S1229" i="1"/>
  <c r="K1229" i="1"/>
  <c r="F1229" i="1"/>
  <c r="L1229" i="1" s="1"/>
  <c r="X1228" i="1"/>
  <c r="S1228" i="1"/>
  <c r="K1228" i="1"/>
  <c r="F1228" i="1"/>
  <c r="X1227" i="1"/>
  <c r="S1227" i="1"/>
  <c r="K1227" i="1"/>
  <c r="F1227" i="1"/>
  <c r="X1226" i="1"/>
  <c r="S1226" i="1"/>
  <c r="K1226" i="1"/>
  <c r="F1226" i="1"/>
  <c r="L1226" i="1" s="1"/>
  <c r="X1224" i="1"/>
  <c r="K1224" i="1"/>
  <c r="F1224" i="1"/>
  <c r="L1224" i="1" s="1"/>
  <c r="K1223" i="1"/>
  <c r="F1223" i="1"/>
  <c r="K1222" i="1"/>
  <c r="F1222" i="1"/>
  <c r="K1221" i="1"/>
  <c r="F1221" i="1"/>
  <c r="X1132" i="1"/>
  <c r="S1132" i="1"/>
  <c r="Y1243" i="1" l="1"/>
  <c r="L1268" i="1"/>
  <c r="Y1300" i="1"/>
  <c r="L1304" i="1"/>
  <c r="Y1314" i="1"/>
  <c r="Y1274" i="1"/>
  <c r="F1248" i="1"/>
  <c r="Y1208" i="1"/>
  <c r="Y1173" i="1"/>
  <c r="Y1306" i="1"/>
  <c r="Y1308" i="1"/>
  <c r="L1311" i="1"/>
  <c r="Y1318" i="1"/>
  <c r="F1272" i="1"/>
  <c r="L1221" i="1"/>
  <c r="L1223" i="1"/>
  <c r="Y1224" i="1"/>
  <c r="Y1242" i="1"/>
  <c r="Y1272" i="1"/>
  <c r="Y1273" i="1"/>
  <c r="L1275" i="1"/>
  <c r="L1276" i="1"/>
  <c r="Y1284" i="1"/>
  <c r="Y1172" i="1"/>
  <c r="Y1221" i="1"/>
  <c r="Y1201" i="1"/>
  <c r="Y1237" i="1"/>
  <c r="L1309" i="1"/>
  <c r="Y1311" i="1"/>
  <c r="L1315" i="1"/>
  <c r="L1316" i="1"/>
  <c r="L1317" i="1"/>
  <c r="L1318" i="1"/>
  <c r="Y1239" i="1"/>
  <c r="L1441" i="1"/>
  <c r="L1479" i="1"/>
  <c r="Y909" i="1"/>
  <c r="Y985" i="1"/>
  <c r="Y1023" i="1"/>
  <c r="Y1213" i="1"/>
  <c r="Y1251" i="1"/>
  <c r="Y1289" i="1"/>
  <c r="Y1327" i="1"/>
  <c r="Y1307" i="1"/>
  <c r="Y1303" i="1"/>
  <c r="L1403" i="1"/>
  <c r="Y1302" i="1"/>
  <c r="L1365" i="1"/>
  <c r="L1324" i="1"/>
  <c r="L1323" i="1"/>
  <c r="L1300" i="1"/>
  <c r="Y1278" i="1"/>
  <c r="L1320" i="1"/>
  <c r="L1319" i="1"/>
  <c r="L1298" i="1"/>
  <c r="L1314" i="1"/>
  <c r="L1313" i="1"/>
  <c r="L1308" i="1"/>
  <c r="L1307" i="1"/>
  <c r="L1306" i="1"/>
  <c r="K1327" i="1"/>
  <c r="F1327" i="1"/>
  <c r="L1303" i="1"/>
  <c r="L1297" i="1"/>
  <c r="L1286" i="1"/>
  <c r="K1285" i="1"/>
  <c r="L1285" i="1" s="1"/>
  <c r="H1289" i="1"/>
  <c r="K1289" i="1" s="1"/>
  <c r="L1284" i="1"/>
  <c r="L1282" i="1"/>
  <c r="L1281" i="1"/>
  <c r="L1280" i="1"/>
  <c r="L1262" i="1"/>
  <c r="Y1269" i="1"/>
  <c r="L1261" i="1"/>
  <c r="L1279" i="1"/>
  <c r="L1278" i="1"/>
  <c r="L1277" i="1"/>
  <c r="Y1265" i="1"/>
  <c r="L1274" i="1"/>
  <c r="C1289" i="1"/>
  <c r="F1289" i="1" s="1"/>
  <c r="L1272" i="1"/>
  <c r="L1259" i="1"/>
  <c r="L1270" i="1"/>
  <c r="L1302" i="1"/>
  <c r="L1305" i="1"/>
  <c r="L1267" i="1"/>
  <c r="L1266" i="1"/>
  <c r="B1251" i="1"/>
  <c r="F1251" i="1" s="1"/>
  <c r="G1251" i="1"/>
  <c r="L1250" i="1"/>
  <c r="L1249" i="1"/>
  <c r="L1248" i="1"/>
  <c r="H1251" i="1"/>
  <c r="K1251" i="1" s="1"/>
  <c r="L1243" i="1"/>
  <c r="Y1236" i="1"/>
  <c r="L1241" i="1"/>
  <c r="L1240" i="1"/>
  <c r="L1239" i="1"/>
  <c r="L1238" i="1"/>
  <c r="L1237" i="1"/>
  <c r="Y1247" i="1"/>
  <c r="Y1234" i="1"/>
  <c r="L1235" i="1"/>
  <c r="Y1232" i="1"/>
  <c r="L1234" i="1"/>
  <c r="Y1230" i="1"/>
  <c r="L1232" i="1"/>
  <c r="L1231" i="1"/>
  <c r="Y1228" i="1"/>
  <c r="L1230" i="1"/>
  <c r="Y1226" i="1"/>
  <c r="L1228" i="1"/>
  <c r="L1227" i="1"/>
  <c r="L1222" i="1"/>
  <c r="Y1223" i="1"/>
  <c r="Y1248" i="1"/>
  <c r="Y1209" i="1"/>
  <c r="Y1184" i="1"/>
  <c r="Y1246" i="1"/>
  <c r="Y1150" i="1"/>
  <c r="Y1210" i="1"/>
  <c r="Y1132" i="1"/>
  <c r="Y1250" i="1"/>
  <c r="Y1227" i="1"/>
  <c r="Y1229" i="1"/>
  <c r="Y1233" i="1"/>
  <c r="Y1235" i="1"/>
  <c r="X1117" i="1"/>
  <c r="S1117" i="1"/>
  <c r="K1107" i="1"/>
  <c r="F1107" i="1"/>
  <c r="S1098" i="1"/>
  <c r="Y1098" i="1" s="1"/>
  <c r="X1098" i="1"/>
  <c r="X1133" i="1"/>
  <c r="S1133" i="1"/>
  <c r="Y1133" i="1" s="1"/>
  <c r="S1078" i="1"/>
  <c r="Y1078" i="1" s="1"/>
  <c r="X1078" i="1"/>
  <c r="S1079" i="1"/>
  <c r="Y1079" i="1" s="1"/>
  <c r="X1079" i="1"/>
  <c r="S1080" i="1"/>
  <c r="X1080" i="1"/>
  <c r="X1114" i="1"/>
  <c r="Y1114" i="1" s="1"/>
  <c r="S1114" i="1"/>
  <c r="X1113" i="1"/>
  <c r="S1113" i="1"/>
  <c r="X1112" i="1"/>
  <c r="S1112" i="1"/>
  <c r="S1095" i="1"/>
  <c r="X1095" i="1"/>
  <c r="Y1095" i="1"/>
  <c r="S1096" i="1"/>
  <c r="X1096" i="1"/>
  <c r="S1097" i="1"/>
  <c r="X1097" i="1"/>
  <c r="X1134" i="1"/>
  <c r="S1134" i="1"/>
  <c r="Y1134" i="1" s="1"/>
  <c r="X1136" i="1"/>
  <c r="S1136" i="1"/>
  <c r="X1135" i="1"/>
  <c r="S1135" i="1"/>
  <c r="X1170" i="1"/>
  <c r="S1170" i="1"/>
  <c r="Y1170" i="1" s="1"/>
  <c r="X1169" i="1"/>
  <c r="S1169" i="1"/>
  <c r="Y1169" i="1" s="1"/>
  <c r="X1168" i="1"/>
  <c r="S1168" i="1"/>
  <c r="Y1168" i="1" s="1"/>
  <c r="X1167" i="1"/>
  <c r="S1167" i="1"/>
  <c r="Y1167" i="1" s="1"/>
  <c r="X1166" i="1"/>
  <c r="S1166" i="1"/>
  <c r="Y1166" i="1" s="1"/>
  <c r="X1165" i="1"/>
  <c r="S1165" i="1"/>
  <c r="Y1165" i="1" s="1"/>
  <c r="X1164" i="1"/>
  <c r="S1164" i="1"/>
  <c r="Y1164" i="1" s="1"/>
  <c r="X1163" i="1"/>
  <c r="S1163" i="1"/>
  <c r="Y1163" i="1" s="1"/>
  <c r="X1162" i="1"/>
  <c r="S1162" i="1"/>
  <c r="Y1162" i="1" s="1"/>
  <c r="X1161" i="1"/>
  <c r="S1161" i="1"/>
  <c r="Y1161" i="1" s="1"/>
  <c r="X1160" i="1"/>
  <c r="S1160" i="1"/>
  <c r="Y1160" i="1" s="1"/>
  <c r="X1159" i="1"/>
  <c r="S1159" i="1"/>
  <c r="Y1159" i="1" s="1"/>
  <c r="X1158" i="1"/>
  <c r="S1158" i="1"/>
  <c r="Y1158" i="1" s="1"/>
  <c r="X1157" i="1"/>
  <c r="S1157" i="1"/>
  <c r="Y1157" i="1" s="1"/>
  <c r="X1156" i="1"/>
  <c r="S1156" i="1"/>
  <c r="X1152" i="1"/>
  <c r="S1152" i="1"/>
  <c r="X1151" i="1"/>
  <c r="S1151" i="1"/>
  <c r="X1147" i="1"/>
  <c r="S1147" i="1"/>
  <c r="Y1147" i="1" s="1"/>
  <c r="X1146" i="1"/>
  <c r="S1146" i="1"/>
  <c r="Y1146" i="1" s="1"/>
  <c r="X1145" i="1"/>
  <c r="S1145" i="1"/>
  <c r="Y1145" i="1" s="1"/>
  <c r="J1213" i="1"/>
  <c r="I1213" i="1"/>
  <c r="H1213" i="1"/>
  <c r="G1213" i="1"/>
  <c r="E1213" i="1"/>
  <c r="D1213" i="1"/>
  <c r="C1213" i="1"/>
  <c r="B1213" i="1"/>
  <c r="X1212" i="1"/>
  <c r="S1212" i="1"/>
  <c r="K1212" i="1"/>
  <c r="F1212" i="1"/>
  <c r="L1212" i="1" s="1"/>
  <c r="X1211" i="1"/>
  <c r="S1211" i="1"/>
  <c r="K1211" i="1"/>
  <c r="F1211" i="1"/>
  <c r="L1211" i="1" s="1"/>
  <c r="K1210" i="1"/>
  <c r="F1210" i="1"/>
  <c r="L1210" i="1" s="1"/>
  <c r="K1209" i="1"/>
  <c r="F1209" i="1"/>
  <c r="L1209" i="1" s="1"/>
  <c r="K1208" i="1"/>
  <c r="F1208" i="1"/>
  <c r="L1208" i="1" s="1"/>
  <c r="K1207" i="1"/>
  <c r="F1207" i="1"/>
  <c r="L1207" i="1" s="1"/>
  <c r="X1206" i="1"/>
  <c r="S1206" i="1"/>
  <c r="Y1206" i="1" s="1"/>
  <c r="K1206" i="1"/>
  <c r="F1206" i="1"/>
  <c r="L1206" i="1" s="1"/>
  <c r="X1205" i="1"/>
  <c r="S1205" i="1"/>
  <c r="Y1205" i="1" s="1"/>
  <c r="K1205" i="1"/>
  <c r="F1205" i="1"/>
  <c r="X1204" i="1"/>
  <c r="S1204" i="1"/>
  <c r="Y1204" i="1" s="1"/>
  <c r="K1204" i="1"/>
  <c r="F1204" i="1"/>
  <c r="L1204" i="1" s="1"/>
  <c r="X1203" i="1"/>
  <c r="S1203" i="1"/>
  <c r="K1203" i="1"/>
  <c r="F1203" i="1"/>
  <c r="X1202" i="1"/>
  <c r="S1202" i="1"/>
  <c r="K1202" i="1"/>
  <c r="F1202" i="1"/>
  <c r="L1202" i="1" s="1"/>
  <c r="K1201" i="1"/>
  <c r="F1201" i="1"/>
  <c r="L1201" i="1" s="1"/>
  <c r="X1200" i="1"/>
  <c r="S1200" i="1"/>
  <c r="Y1200" i="1" s="1"/>
  <c r="K1200" i="1"/>
  <c r="F1200" i="1"/>
  <c r="X1199" i="1"/>
  <c r="S1199" i="1"/>
  <c r="K1199" i="1"/>
  <c r="F1199" i="1"/>
  <c r="X1198" i="1"/>
  <c r="S1198" i="1"/>
  <c r="Y1198" i="1" s="1"/>
  <c r="K1198" i="1"/>
  <c r="F1198" i="1"/>
  <c r="X1197" i="1"/>
  <c r="S1197" i="1"/>
  <c r="K1197" i="1"/>
  <c r="F1197" i="1"/>
  <c r="L1197" i="1" s="1"/>
  <c r="X1196" i="1"/>
  <c r="S1196" i="1"/>
  <c r="Y1196" i="1" s="1"/>
  <c r="K1196" i="1"/>
  <c r="F1196" i="1"/>
  <c r="X1195" i="1"/>
  <c r="S1195" i="1"/>
  <c r="K1195" i="1"/>
  <c r="F1195" i="1"/>
  <c r="L1195" i="1" s="1"/>
  <c r="X1194" i="1"/>
  <c r="S1194" i="1"/>
  <c r="K1194" i="1"/>
  <c r="F1194" i="1"/>
  <c r="X1193" i="1"/>
  <c r="S1193" i="1"/>
  <c r="K1193" i="1"/>
  <c r="F1193" i="1"/>
  <c r="K1192" i="1"/>
  <c r="F1192" i="1"/>
  <c r="L1192" i="1" s="1"/>
  <c r="X1191" i="1"/>
  <c r="S1191" i="1"/>
  <c r="K1191" i="1"/>
  <c r="F1191" i="1"/>
  <c r="X1190" i="1"/>
  <c r="S1190" i="1"/>
  <c r="K1190" i="1"/>
  <c r="F1190" i="1"/>
  <c r="X1189" i="1"/>
  <c r="S1189" i="1"/>
  <c r="K1189" i="1"/>
  <c r="F1189" i="1"/>
  <c r="K1188" i="1"/>
  <c r="F1188" i="1"/>
  <c r="X1186" i="1"/>
  <c r="S1186" i="1"/>
  <c r="K1186" i="1"/>
  <c r="F1186" i="1"/>
  <c r="K1185" i="1"/>
  <c r="F1185" i="1"/>
  <c r="L1185" i="1" s="1"/>
  <c r="K1184" i="1"/>
  <c r="F1184" i="1"/>
  <c r="X1183" i="1"/>
  <c r="S1183" i="1"/>
  <c r="K1183" i="1"/>
  <c r="F1183" i="1"/>
  <c r="L1183" i="1" s="1"/>
  <c r="E1116" i="1"/>
  <c r="G1087" i="1"/>
  <c r="G1099" i="1" s="1"/>
  <c r="H1085" i="1"/>
  <c r="H1099" i="1" s="1"/>
  <c r="C1085" i="1"/>
  <c r="X1049" i="1"/>
  <c r="S1049" i="1"/>
  <c r="Y1049" i="1" s="1"/>
  <c r="I1055" i="1"/>
  <c r="H1054" i="1"/>
  <c r="X1041" i="1"/>
  <c r="S1041" i="1"/>
  <c r="Y1041" i="1" s="1"/>
  <c r="J1175" i="1"/>
  <c r="I1175" i="1"/>
  <c r="H1175" i="1"/>
  <c r="G1175" i="1"/>
  <c r="E1175" i="1"/>
  <c r="D1175" i="1"/>
  <c r="C1175" i="1"/>
  <c r="B1175" i="1"/>
  <c r="K1174" i="1"/>
  <c r="F1174" i="1"/>
  <c r="K1173" i="1"/>
  <c r="F1173" i="1"/>
  <c r="L1173" i="1" s="1"/>
  <c r="K1172" i="1"/>
  <c r="F1172" i="1"/>
  <c r="K1171" i="1"/>
  <c r="F1171" i="1"/>
  <c r="L1171" i="1" s="1"/>
  <c r="K1170" i="1"/>
  <c r="L1170" i="1" s="1"/>
  <c r="F1170" i="1"/>
  <c r="K1169" i="1"/>
  <c r="F1169" i="1"/>
  <c r="K1168" i="1"/>
  <c r="F1168" i="1"/>
  <c r="K1167" i="1"/>
  <c r="F1167" i="1"/>
  <c r="K1166" i="1"/>
  <c r="F1166" i="1"/>
  <c r="K1165" i="1"/>
  <c r="F1165" i="1"/>
  <c r="K1164" i="1"/>
  <c r="F1164" i="1"/>
  <c r="K1163" i="1"/>
  <c r="F1163" i="1"/>
  <c r="K1162" i="1"/>
  <c r="F1162" i="1"/>
  <c r="K1161" i="1"/>
  <c r="F1161" i="1"/>
  <c r="K1160" i="1"/>
  <c r="F1160" i="1"/>
  <c r="K1159" i="1"/>
  <c r="F1159" i="1"/>
  <c r="L1158" i="1"/>
  <c r="K1158" i="1"/>
  <c r="F1158" i="1"/>
  <c r="K1157" i="1"/>
  <c r="F1157" i="1"/>
  <c r="L1157" i="1" s="1"/>
  <c r="K1156" i="1"/>
  <c r="F1156" i="1"/>
  <c r="L1156" i="1" s="1"/>
  <c r="K1154" i="1"/>
  <c r="F1154" i="1"/>
  <c r="L1154" i="1" s="1"/>
  <c r="K1153" i="1"/>
  <c r="F1153" i="1"/>
  <c r="L1153" i="1" s="1"/>
  <c r="K1152" i="1"/>
  <c r="F1152" i="1"/>
  <c r="L1152" i="1" s="1"/>
  <c r="K1151" i="1"/>
  <c r="F1151" i="1"/>
  <c r="L1151" i="1" s="1"/>
  <c r="K1150" i="1"/>
  <c r="F1150" i="1"/>
  <c r="K1148" i="1"/>
  <c r="F1148" i="1"/>
  <c r="K1147" i="1"/>
  <c r="F1147" i="1"/>
  <c r="L1147" i="1" s="1"/>
  <c r="K1146" i="1"/>
  <c r="F1146" i="1"/>
  <c r="K1145" i="1"/>
  <c r="F1145" i="1"/>
  <c r="L1145" i="1" s="1"/>
  <c r="C1050" i="1"/>
  <c r="X1037" i="1"/>
  <c r="S1037" i="1"/>
  <c r="B1043" i="1"/>
  <c r="I1041" i="1"/>
  <c r="D1041" i="1"/>
  <c r="J1137" i="1"/>
  <c r="I1137" i="1"/>
  <c r="H1137" i="1"/>
  <c r="G1137" i="1"/>
  <c r="E1137" i="1"/>
  <c r="D1137" i="1"/>
  <c r="C1137" i="1"/>
  <c r="B1137" i="1"/>
  <c r="K1136" i="1"/>
  <c r="F1136" i="1"/>
  <c r="K1135" i="1"/>
  <c r="F1135" i="1"/>
  <c r="K1134" i="1"/>
  <c r="F1134" i="1"/>
  <c r="K1133" i="1"/>
  <c r="F1133" i="1"/>
  <c r="K1132" i="1"/>
  <c r="F1132" i="1"/>
  <c r="K1131" i="1"/>
  <c r="F1131" i="1"/>
  <c r="K1130" i="1"/>
  <c r="F1130" i="1"/>
  <c r="K1129" i="1"/>
  <c r="F1129" i="1"/>
  <c r="K1128" i="1"/>
  <c r="F1128" i="1"/>
  <c r="K1127" i="1"/>
  <c r="F1127" i="1"/>
  <c r="K1126" i="1"/>
  <c r="F1126" i="1"/>
  <c r="K1125" i="1"/>
  <c r="L1125" i="1" s="1"/>
  <c r="F1125" i="1"/>
  <c r="K1124" i="1"/>
  <c r="L1124" i="1" s="1"/>
  <c r="F1124" i="1"/>
  <c r="K1123" i="1"/>
  <c r="F1123" i="1"/>
  <c r="K1122" i="1"/>
  <c r="F1122" i="1"/>
  <c r="K1121" i="1"/>
  <c r="F1121" i="1"/>
  <c r="K1120" i="1"/>
  <c r="F1120" i="1"/>
  <c r="K1119" i="1"/>
  <c r="F1119" i="1"/>
  <c r="K1118" i="1"/>
  <c r="F1118" i="1"/>
  <c r="K1117" i="1"/>
  <c r="F1117" i="1"/>
  <c r="K1116" i="1"/>
  <c r="F1116" i="1"/>
  <c r="K1115" i="1"/>
  <c r="F1115" i="1"/>
  <c r="K1114" i="1"/>
  <c r="F1114" i="1"/>
  <c r="K1113" i="1"/>
  <c r="L1113" i="1" s="1"/>
  <c r="F1113" i="1"/>
  <c r="K1112" i="1"/>
  <c r="F1112" i="1"/>
  <c r="K1110" i="1"/>
  <c r="F1110" i="1"/>
  <c r="K1109" i="1"/>
  <c r="F1109" i="1"/>
  <c r="K1108" i="1"/>
  <c r="F1108" i="1"/>
  <c r="S1094" i="1"/>
  <c r="X1094" i="1"/>
  <c r="S1074" i="1"/>
  <c r="Y1074" i="1" s="1"/>
  <c r="X1074" i="1"/>
  <c r="X1131" i="1"/>
  <c r="S1131" i="1"/>
  <c r="X1130" i="1"/>
  <c r="S1130" i="1"/>
  <c r="X1129" i="1"/>
  <c r="S1129" i="1"/>
  <c r="Y1129" i="1" s="1"/>
  <c r="X1128" i="1"/>
  <c r="Y1128" i="1" s="1"/>
  <c r="S1128" i="1"/>
  <c r="X1127" i="1"/>
  <c r="S1127" i="1"/>
  <c r="Y1127" i="1" s="1"/>
  <c r="X1126" i="1"/>
  <c r="S1126" i="1"/>
  <c r="X1125" i="1"/>
  <c r="S1125" i="1"/>
  <c r="Y1125" i="1" s="1"/>
  <c r="X1124" i="1"/>
  <c r="Y1124" i="1" s="1"/>
  <c r="S1124" i="1"/>
  <c r="X1123" i="1"/>
  <c r="S1123" i="1"/>
  <c r="Y1123" i="1" s="1"/>
  <c r="X1122" i="1"/>
  <c r="S1122" i="1"/>
  <c r="X1121" i="1"/>
  <c r="S1121" i="1"/>
  <c r="X1120" i="1"/>
  <c r="S1120" i="1"/>
  <c r="X1118" i="1"/>
  <c r="S1118" i="1"/>
  <c r="Y1118" i="1" s="1"/>
  <c r="X1116" i="1"/>
  <c r="S1116" i="1"/>
  <c r="X1115" i="1"/>
  <c r="S1115" i="1"/>
  <c r="X1110" i="1"/>
  <c r="S1110" i="1"/>
  <c r="X1109" i="1"/>
  <c r="S1109" i="1"/>
  <c r="Y1109" i="1" s="1"/>
  <c r="X1108" i="1"/>
  <c r="S1108" i="1"/>
  <c r="X1107" i="1"/>
  <c r="S1107" i="1"/>
  <c r="Y1107" i="1" s="1"/>
  <c r="X1007" i="1"/>
  <c r="S1007" i="1"/>
  <c r="Y1007" i="1" s="1"/>
  <c r="X1006" i="1"/>
  <c r="S1006" i="1"/>
  <c r="Y1006" i="1" s="1"/>
  <c r="I1016" i="1"/>
  <c r="H1016" i="1"/>
  <c r="K1016" i="1" s="1"/>
  <c r="S1002" i="1"/>
  <c r="X1002" i="1"/>
  <c r="H1005" i="1"/>
  <c r="X999" i="1"/>
  <c r="Y999" i="1" s="1"/>
  <c r="S999" i="1"/>
  <c r="H999" i="1"/>
  <c r="J999" i="1"/>
  <c r="J1023" i="1" s="1"/>
  <c r="G998" i="1"/>
  <c r="K998" i="1" s="1"/>
  <c r="C998" i="1"/>
  <c r="E998" i="1"/>
  <c r="H998" i="1"/>
  <c r="H1023" i="1" s="1"/>
  <c r="X963" i="1"/>
  <c r="Y963" i="1" s="1"/>
  <c r="S963" i="1"/>
  <c r="J972" i="1"/>
  <c r="J985" i="1" s="1"/>
  <c r="J1099" i="1"/>
  <c r="I1099" i="1"/>
  <c r="E1099" i="1"/>
  <c r="D1099" i="1"/>
  <c r="B1099" i="1"/>
  <c r="K1098" i="1"/>
  <c r="F1098" i="1"/>
  <c r="K1097" i="1"/>
  <c r="F1097" i="1"/>
  <c r="K1096" i="1"/>
  <c r="F1096" i="1"/>
  <c r="K1095" i="1"/>
  <c r="F1095" i="1"/>
  <c r="K1094" i="1"/>
  <c r="L1094" i="1"/>
  <c r="F1094" i="1"/>
  <c r="K1093" i="1"/>
  <c r="F1093" i="1"/>
  <c r="L1093" i="1"/>
  <c r="K1092" i="1"/>
  <c r="F1092" i="1"/>
  <c r="K1091" i="1"/>
  <c r="F1091" i="1"/>
  <c r="K1090" i="1"/>
  <c r="F1090" i="1"/>
  <c r="L1090" i="1" s="1"/>
  <c r="K1089" i="1"/>
  <c r="F1089" i="1"/>
  <c r="K1088" i="1"/>
  <c r="F1088" i="1"/>
  <c r="L1088" i="1" s="1"/>
  <c r="K1087" i="1"/>
  <c r="F1087" i="1"/>
  <c r="K1086" i="1"/>
  <c r="F1086" i="1"/>
  <c r="K1085" i="1"/>
  <c r="K1084" i="1"/>
  <c r="F1084" i="1"/>
  <c r="K1083" i="1"/>
  <c r="F1083" i="1"/>
  <c r="K1082" i="1"/>
  <c r="F1082" i="1"/>
  <c r="K1081" i="1"/>
  <c r="F1081" i="1"/>
  <c r="L1081" i="1"/>
  <c r="K1080" i="1"/>
  <c r="F1080" i="1"/>
  <c r="K1079" i="1"/>
  <c r="F1079" i="1"/>
  <c r="K1078" i="1"/>
  <c r="F1078" i="1"/>
  <c r="K1077" i="1"/>
  <c r="F1077" i="1"/>
  <c r="L1077" i="1" s="1"/>
  <c r="K1076" i="1"/>
  <c r="F1076" i="1"/>
  <c r="L1076" i="1"/>
  <c r="K1075" i="1"/>
  <c r="F1075" i="1"/>
  <c r="K1074" i="1"/>
  <c r="L1074" i="1"/>
  <c r="F1074" i="1"/>
  <c r="K1072" i="1"/>
  <c r="F1072" i="1"/>
  <c r="K1071" i="1"/>
  <c r="F1071" i="1"/>
  <c r="K1070" i="1"/>
  <c r="F1070" i="1"/>
  <c r="K1069" i="1"/>
  <c r="F1069" i="1"/>
  <c r="S994" i="1"/>
  <c r="X994" i="1"/>
  <c r="Y994" i="1" s="1"/>
  <c r="S982" i="1"/>
  <c r="X982" i="1"/>
  <c r="Y982" i="1"/>
  <c r="S983" i="1"/>
  <c r="Y983" i="1" s="1"/>
  <c r="X983" i="1"/>
  <c r="X984" i="1"/>
  <c r="S984" i="1"/>
  <c r="Y984" i="1" s="1"/>
  <c r="S980" i="1"/>
  <c r="Y980" i="1"/>
  <c r="X980" i="1"/>
  <c r="S981" i="1"/>
  <c r="X981" i="1"/>
  <c r="X1020" i="1"/>
  <c r="Y1020" i="1" s="1"/>
  <c r="S1020" i="1"/>
  <c r="X1019" i="1"/>
  <c r="S1019" i="1"/>
  <c r="Y1019" i="1" s="1"/>
  <c r="X1022" i="1"/>
  <c r="S1022" i="1"/>
  <c r="S1021" i="1"/>
  <c r="X1021" i="1"/>
  <c r="S1017" i="1"/>
  <c r="Y1017" i="1" s="1"/>
  <c r="X1017" i="1"/>
  <c r="S1018" i="1"/>
  <c r="Y1018" i="1"/>
  <c r="X1018" i="1"/>
  <c r="S1031" i="1"/>
  <c r="X1031" i="1"/>
  <c r="Y1031" i="1" s="1"/>
  <c r="S1032" i="1"/>
  <c r="Y1032" i="1" s="1"/>
  <c r="X1032" i="1"/>
  <c r="S1033" i="1"/>
  <c r="X1033" i="1"/>
  <c r="S1034" i="1"/>
  <c r="X1034" i="1"/>
  <c r="Y1034" i="1"/>
  <c r="S1036" i="1"/>
  <c r="Y1036" i="1"/>
  <c r="X1036" i="1"/>
  <c r="S1038" i="1"/>
  <c r="X1038" i="1"/>
  <c r="S1039" i="1"/>
  <c r="X1039" i="1"/>
  <c r="S1040" i="1"/>
  <c r="X1040" i="1"/>
  <c r="S1042" i="1"/>
  <c r="X1042" i="1"/>
  <c r="Y1042" i="1"/>
  <c r="S1043" i="1"/>
  <c r="X1043" i="1"/>
  <c r="S1044" i="1"/>
  <c r="Y1044" i="1"/>
  <c r="X1044" i="1"/>
  <c r="S1045" i="1"/>
  <c r="X1045" i="1"/>
  <c r="Y1045" i="1"/>
  <c r="S1046" i="1"/>
  <c r="X1046" i="1"/>
  <c r="Y1046" i="1" s="1"/>
  <c r="S1047" i="1"/>
  <c r="X1047" i="1"/>
  <c r="S1048" i="1"/>
  <c r="Y1048" i="1"/>
  <c r="X1048" i="1"/>
  <c r="S1050" i="1"/>
  <c r="Y1050" i="1" s="1"/>
  <c r="X1050" i="1"/>
  <c r="S1051" i="1"/>
  <c r="Y1051" i="1"/>
  <c r="X1051" i="1"/>
  <c r="S1052" i="1"/>
  <c r="X1052" i="1"/>
  <c r="S1053" i="1"/>
  <c r="X1053" i="1"/>
  <c r="S1054" i="1"/>
  <c r="X1054" i="1"/>
  <c r="S1055" i="1"/>
  <c r="X1055" i="1"/>
  <c r="S1056" i="1"/>
  <c r="X1056" i="1"/>
  <c r="S1057" i="1"/>
  <c r="X1057" i="1"/>
  <c r="S1058" i="1"/>
  <c r="X1058" i="1"/>
  <c r="S1059" i="1"/>
  <c r="X1059" i="1"/>
  <c r="S1060" i="1"/>
  <c r="X1060" i="1"/>
  <c r="S1069" i="1"/>
  <c r="X1069" i="1"/>
  <c r="S1070" i="1"/>
  <c r="Y1070" i="1" s="1"/>
  <c r="X1070" i="1"/>
  <c r="S1071" i="1"/>
  <c r="X1071" i="1"/>
  <c r="S1072" i="1"/>
  <c r="X1072" i="1"/>
  <c r="Y1072" i="1" s="1"/>
  <c r="S1075" i="1"/>
  <c r="X1075" i="1"/>
  <c r="S1076" i="1"/>
  <c r="X1076" i="1"/>
  <c r="S1077" i="1"/>
  <c r="X1077" i="1"/>
  <c r="S1081" i="1"/>
  <c r="Y1081" i="1" s="1"/>
  <c r="X1081" i="1"/>
  <c r="S1082" i="1"/>
  <c r="Y1082" i="1"/>
  <c r="X1082" i="1"/>
  <c r="S1083" i="1"/>
  <c r="X1083" i="1"/>
  <c r="Y1083" i="1"/>
  <c r="S1084" i="1"/>
  <c r="Y1084" i="1" s="1"/>
  <c r="X1084" i="1"/>
  <c r="S1085" i="1"/>
  <c r="Y1085" i="1"/>
  <c r="X1085" i="1"/>
  <c r="S1086" i="1"/>
  <c r="X1086" i="1"/>
  <c r="Y1086" i="1" s="1"/>
  <c r="S1087" i="1"/>
  <c r="X1087" i="1"/>
  <c r="Y1087" i="1"/>
  <c r="S1088" i="1"/>
  <c r="X1088" i="1"/>
  <c r="S1089" i="1"/>
  <c r="X1089" i="1"/>
  <c r="Y1089" i="1" s="1"/>
  <c r="S1090" i="1"/>
  <c r="X1090" i="1"/>
  <c r="Y1090" i="1" s="1"/>
  <c r="S1091" i="1"/>
  <c r="Y1091" i="1" s="1"/>
  <c r="X1091" i="1"/>
  <c r="S1092" i="1"/>
  <c r="X1092" i="1"/>
  <c r="S1093" i="1"/>
  <c r="X1093" i="1"/>
  <c r="Y1093" i="1" s="1"/>
  <c r="J1061" i="1"/>
  <c r="I1061" i="1"/>
  <c r="G1061" i="1"/>
  <c r="E1061" i="1"/>
  <c r="C1061" i="1"/>
  <c r="K1060" i="1"/>
  <c r="F1060" i="1"/>
  <c r="L1060" i="1" s="1"/>
  <c r="K1059" i="1"/>
  <c r="F1059" i="1"/>
  <c r="K1058" i="1"/>
  <c r="F1058" i="1"/>
  <c r="K1057" i="1"/>
  <c r="F1057" i="1"/>
  <c r="K1056" i="1"/>
  <c r="F1056" i="1"/>
  <c r="L1056" i="1"/>
  <c r="K1055" i="1"/>
  <c r="F1055" i="1"/>
  <c r="F1054" i="1"/>
  <c r="K1053" i="1"/>
  <c r="F1053" i="1"/>
  <c r="K1052" i="1"/>
  <c r="F1052" i="1"/>
  <c r="L1052" i="1"/>
  <c r="K1051" i="1"/>
  <c r="F1051" i="1"/>
  <c r="L1051" i="1" s="1"/>
  <c r="K1050" i="1"/>
  <c r="F1050" i="1"/>
  <c r="L1050" i="1" s="1"/>
  <c r="K1049" i="1"/>
  <c r="F1049" i="1"/>
  <c r="K1048" i="1"/>
  <c r="L1048" i="1"/>
  <c r="F1048" i="1"/>
  <c r="K1047" i="1"/>
  <c r="F1047" i="1"/>
  <c r="L1047" i="1"/>
  <c r="K1046" i="1"/>
  <c r="F1046" i="1"/>
  <c r="L1046" i="1"/>
  <c r="K1045" i="1"/>
  <c r="F1045" i="1"/>
  <c r="K1044" i="1"/>
  <c r="F1044" i="1"/>
  <c r="K1043" i="1"/>
  <c r="K1042" i="1"/>
  <c r="F1042" i="1"/>
  <c r="K1041" i="1"/>
  <c r="K1040" i="1"/>
  <c r="F1040" i="1"/>
  <c r="K1039" i="1"/>
  <c r="F1039" i="1"/>
  <c r="K1038" i="1"/>
  <c r="F1038" i="1"/>
  <c r="K1037" i="1"/>
  <c r="F1037" i="1"/>
  <c r="K1036" i="1"/>
  <c r="L1036" i="1" s="1"/>
  <c r="F1036" i="1"/>
  <c r="K1034" i="1"/>
  <c r="F1034" i="1"/>
  <c r="K1033" i="1"/>
  <c r="F1033" i="1"/>
  <c r="K1032" i="1"/>
  <c r="F1032" i="1"/>
  <c r="K1031" i="1"/>
  <c r="F1031" i="1"/>
  <c r="S978" i="1"/>
  <c r="Y978" i="1"/>
  <c r="X978" i="1"/>
  <c r="S979" i="1"/>
  <c r="X979" i="1"/>
  <c r="S1016" i="1"/>
  <c r="Y1016" i="1" s="1"/>
  <c r="X1016" i="1"/>
  <c r="G967" i="1"/>
  <c r="K967" i="1" s="1"/>
  <c r="X934" i="1"/>
  <c r="S934" i="1"/>
  <c r="Y934" i="1" s="1"/>
  <c r="I945" i="1"/>
  <c r="H945" i="1"/>
  <c r="G945" i="1"/>
  <c r="K945" i="1" s="1"/>
  <c r="D945" i="1"/>
  <c r="B945" i="1"/>
  <c r="C945" i="1"/>
  <c r="C943" i="1"/>
  <c r="F943" i="1" s="1"/>
  <c r="E943" i="1"/>
  <c r="X929" i="1"/>
  <c r="S929" i="1"/>
  <c r="Y929" i="1" s="1"/>
  <c r="H934" i="1"/>
  <c r="X924" i="1"/>
  <c r="S924" i="1"/>
  <c r="Y924" i="1"/>
  <c r="D927" i="1"/>
  <c r="I927" i="1"/>
  <c r="I947" i="1" s="1"/>
  <c r="G922" i="1"/>
  <c r="K922" i="1" s="1"/>
  <c r="X885" i="1"/>
  <c r="Y885" i="1" s="1"/>
  <c r="S885" i="1"/>
  <c r="I1023" i="1"/>
  <c r="G1023" i="1"/>
  <c r="E1023" i="1"/>
  <c r="D1023" i="1"/>
  <c r="C1023" i="1"/>
  <c r="B1023" i="1"/>
  <c r="L1022" i="1"/>
  <c r="K1022" i="1"/>
  <c r="F1022" i="1"/>
  <c r="K1021" i="1"/>
  <c r="F1021" i="1"/>
  <c r="L1021" i="1" s="1"/>
  <c r="K1020" i="1"/>
  <c r="F1020" i="1"/>
  <c r="L1020" i="1" s="1"/>
  <c r="K1019" i="1"/>
  <c r="F1019" i="1"/>
  <c r="K1018" i="1"/>
  <c r="F1018" i="1"/>
  <c r="L1018" i="1" s="1"/>
  <c r="K1017" i="1"/>
  <c r="L1017" i="1" s="1"/>
  <c r="F1017" i="1"/>
  <c r="F1016" i="1"/>
  <c r="L1016" i="1" s="1"/>
  <c r="X1015" i="1"/>
  <c r="Y1015" i="1" s="1"/>
  <c r="S1015" i="1"/>
  <c r="K1015" i="1"/>
  <c r="F1015" i="1"/>
  <c r="L1015" i="1" s="1"/>
  <c r="Y1014" i="1"/>
  <c r="X1014" i="1"/>
  <c r="S1014" i="1"/>
  <c r="F1014" i="1"/>
  <c r="K1014" i="1"/>
  <c r="X1013" i="1"/>
  <c r="S1013" i="1"/>
  <c r="Y1013" i="1" s="1"/>
  <c r="K1013" i="1"/>
  <c r="F1013" i="1"/>
  <c r="L1013" i="1" s="1"/>
  <c r="X1012" i="1"/>
  <c r="S1012" i="1"/>
  <c r="K1012" i="1"/>
  <c r="F1012" i="1"/>
  <c r="L1012" i="1" s="1"/>
  <c r="X1011" i="1"/>
  <c r="S1011" i="1"/>
  <c r="Y1011" i="1"/>
  <c r="K1011" i="1"/>
  <c r="F1011" i="1"/>
  <c r="L1011" i="1"/>
  <c r="Y1010" i="1"/>
  <c r="X1010" i="1"/>
  <c r="S1010" i="1"/>
  <c r="K1010" i="1"/>
  <c r="F1010" i="1"/>
  <c r="L1010" i="1" s="1"/>
  <c r="X1009" i="1"/>
  <c r="S1009" i="1"/>
  <c r="Y1009" i="1" s="1"/>
  <c r="K1009" i="1"/>
  <c r="F1009" i="1"/>
  <c r="L1009" i="1"/>
  <c r="X1008" i="1"/>
  <c r="S1008" i="1"/>
  <c r="K1008" i="1"/>
  <c r="F1008" i="1"/>
  <c r="L1008" i="1" s="1"/>
  <c r="K1007" i="1"/>
  <c r="F1007" i="1"/>
  <c r="K1006" i="1"/>
  <c r="F1006" i="1"/>
  <c r="L1006" i="1" s="1"/>
  <c r="X1005" i="1"/>
  <c r="S1005" i="1"/>
  <c r="Y1005" i="1"/>
  <c r="K1005" i="1"/>
  <c r="F1005" i="1"/>
  <c r="X1004" i="1"/>
  <c r="S1004" i="1"/>
  <c r="Y1004" i="1" s="1"/>
  <c r="K1004" i="1"/>
  <c r="F1004" i="1"/>
  <c r="X1003" i="1"/>
  <c r="S1003" i="1"/>
  <c r="K1003" i="1"/>
  <c r="F1003" i="1"/>
  <c r="K1002" i="1"/>
  <c r="L1002" i="1" s="1"/>
  <c r="F1002" i="1"/>
  <c r="X1001" i="1"/>
  <c r="S1001" i="1"/>
  <c r="Y1001" i="1" s="1"/>
  <c r="K1001" i="1"/>
  <c r="F1001" i="1"/>
  <c r="X1000" i="1"/>
  <c r="S1000" i="1"/>
  <c r="Y1000" i="1" s="1"/>
  <c r="K1000" i="1"/>
  <c r="L1000" i="1" s="1"/>
  <c r="F1000" i="1"/>
  <c r="F999" i="1"/>
  <c r="X998" i="1"/>
  <c r="Y998" i="1"/>
  <c r="S998" i="1"/>
  <c r="F998" i="1"/>
  <c r="L998" i="1"/>
  <c r="X996" i="1"/>
  <c r="S996" i="1"/>
  <c r="Y996" i="1"/>
  <c r="K996" i="1"/>
  <c r="F996" i="1"/>
  <c r="X995" i="1"/>
  <c r="Y995" i="1"/>
  <c r="S995" i="1"/>
  <c r="K995" i="1"/>
  <c r="F995" i="1"/>
  <c r="L995" i="1"/>
  <c r="F994" i="1"/>
  <c r="K994" i="1"/>
  <c r="L994" i="1"/>
  <c r="X993" i="1"/>
  <c r="Y993" i="1" s="1"/>
  <c r="S993" i="1"/>
  <c r="K993" i="1"/>
  <c r="F993" i="1"/>
  <c r="K881" i="1"/>
  <c r="F881" i="1"/>
  <c r="L881" i="1"/>
  <c r="L1005" i="1"/>
  <c r="L1004" i="1"/>
  <c r="L1003" i="1"/>
  <c r="L993" i="1"/>
  <c r="X884" i="1"/>
  <c r="Y884" i="1" s="1"/>
  <c r="S884" i="1"/>
  <c r="S903" i="1"/>
  <c r="Y903" i="1"/>
  <c r="X903" i="1"/>
  <c r="S904" i="1"/>
  <c r="Y904" i="1" s="1"/>
  <c r="X904" i="1"/>
  <c r="S905" i="1"/>
  <c r="Y905" i="1" s="1"/>
  <c r="X905" i="1"/>
  <c r="X946" i="1"/>
  <c r="S946" i="1"/>
  <c r="X945" i="1"/>
  <c r="Y945" i="1" s="1"/>
  <c r="S945" i="1"/>
  <c r="X944" i="1"/>
  <c r="S944" i="1"/>
  <c r="Y944" i="1" s="1"/>
  <c r="S943" i="1"/>
  <c r="Y943" i="1" s="1"/>
  <c r="X943" i="1"/>
  <c r="I891" i="1"/>
  <c r="D891" i="1"/>
  <c r="F891" i="1" s="1"/>
  <c r="L891" i="1" s="1"/>
  <c r="F922" i="1"/>
  <c r="L922" i="1" s="1"/>
  <c r="J890" i="1"/>
  <c r="X848" i="1"/>
  <c r="Y848" i="1"/>
  <c r="S848" i="1"/>
  <c r="H886" i="1"/>
  <c r="I886" i="1"/>
  <c r="I909" i="1" s="1"/>
  <c r="D886" i="1"/>
  <c r="D909" i="1" s="1"/>
  <c r="F886" i="1"/>
  <c r="I985" i="1"/>
  <c r="H985" i="1"/>
  <c r="G985" i="1"/>
  <c r="E985" i="1"/>
  <c r="D985" i="1"/>
  <c r="C985" i="1"/>
  <c r="B985" i="1"/>
  <c r="F985" i="1" s="1"/>
  <c r="L985" i="1" s="1"/>
  <c r="K984" i="1"/>
  <c r="F984" i="1"/>
  <c r="L984" i="1"/>
  <c r="K983" i="1"/>
  <c r="L983" i="1" s="1"/>
  <c r="F983" i="1"/>
  <c r="K982" i="1"/>
  <c r="F982" i="1"/>
  <c r="L982" i="1" s="1"/>
  <c r="K981" i="1"/>
  <c r="F981" i="1"/>
  <c r="L981" i="1"/>
  <c r="K980" i="1"/>
  <c r="F980" i="1"/>
  <c r="K979" i="1"/>
  <c r="F979" i="1"/>
  <c r="L979" i="1" s="1"/>
  <c r="K978" i="1"/>
  <c r="F978" i="1"/>
  <c r="K977" i="1"/>
  <c r="F977" i="1"/>
  <c r="L977" i="1" s="1"/>
  <c r="K976" i="1"/>
  <c r="L976" i="1" s="1"/>
  <c r="F976" i="1"/>
  <c r="K975" i="1"/>
  <c r="L975" i="1" s="1"/>
  <c r="F975" i="1"/>
  <c r="K974" i="1"/>
  <c r="F974" i="1"/>
  <c r="K973" i="1"/>
  <c r="F973" i="1"/>
  <c r="K972" i="1"/>
  <c r="L972" i="1" s="1"/>
  <c r="F972" i="1"/>
  <c r="K971" i="1"/>
  <c r="F971" i="1"/>
  <c r="K970" i="1"/>
  <c r="L970" i="1" s="1"/>
  <c r="F970" i="1"/>
  <c r="K969" i="1"/>
  <c r="L969" i="1" s="1"/>
  <c r="F969" i="1"/>
  <c r="K968" i="1"/>
  <c r="L968" i="1" s="1"/>
  <c r="F968" i="1"/>
  <c r="F967" i="1"/>
  <c r="K966" i="1"/>
  <c r="L966" i="1" s="1"/>
  <c r="F966" i="1"/>
  <c r="K965" i="1"/>
  <c r="F965" i="1"/>
  <c r="L965" i="1"/>
  <c r="K964" i="1"/>
  <c r="F964" i="1"/>
  <c r="K963" i="1"/>
  <c r="F963" i="1"/>
  <c r="L963" i="1" s="1"/>
  <c r="K962" i="1"/>
  <c r="F962" i="1"/>
  <c r="L962" i="1" s="1"/>
  <c r="K961" i="1"/>
  <c r="F961" i="1"/>
  <c r="L961" i="1" s="1"/>
  <c r="K960" i="1"/>
  <c r="F960" i="1"/>
  <c r="L960" i="1" s="1"/>
  <c r="K958" i="1"/>
  <c r="F958" i="1"/>
  <c r="L958" i="1" s="1"/>
  <c r="K957" i="1"/>
  <c r="F957" i="1"/>
  <c r="L957" i="1" s="1"/>
  <c r="K956" i="1"/>
  <c r="F956" i="1"/>
  <c r="L956" i="1" s="1"/>
  <c r="K955" i="1"/>
  <c r="L955" i="1" s="1"/>
  <c r="F955" i="1"/>
  <c r="X977" i="1"/>
  <c r="S977" i="1"/>
  <c r="Y977" i="1" s="1"/>
  <c r="X976" i="1"/>
  <c r="Y976" i="1"/>
  <c r="S976" i="1"/>
  <c r="X975" i="1"/>
  <c r="Y975" i="1" s="1"/>
  <c r="S975" i="1"/>
  <c r="X974" i="1"/>
  <c r="S974" i="1"/>
  <c r="Y974" i="1" s="1"/>
  <c r="X973" i="1"/>
  <c r="S973" i="1"/>
  <c r="X972" i="1"/>
  <c r="S972" i="1"/>
  <c r="Y972" i="1" s="1"/>
  <c r="X971" i="1"/>
  <c r="Y971" i="1" s="1"/>
  <c r="S971" i="1"/>
  <c r="X970" i="1"/>
  <c r="S970" i="1"/>
  <c r="Y970" i="1" s="1"/>
  <c r="Y969" i="1"/>
  <c r="X969" i="1"/>
  <c r="S969" i="1"/>
  <c r="X968" i="1"/>
  <c r="Y968" i="1"/>
  <c r="S968" i="1"/>
  <c r="X967" i="1"/>
  <c r="S967" i="1"/>
  <c r="Y967" i="1"/>
  <c r="X966" i="1"/>
  <c r="S966" i="1"/>
  <c r="Y966" i="1" s="1"/>
  <c r="X965" i="1"/>
  <c r="Y965" i="1" s="1"/>
  <c r="S965" i="1"/>
  <c r="X964" i="1"/>
  <c r="S964" i="1"/>
  <c r="Y964" i="1" s="1"/>
  <c r="X962" i="1"/>
  <c r="S962" i="1"/>
  <c r="X961" i="1"/>
  <c r="S961" i="1"/>
  <c r="X960" i="1"/>
  <c r="S960" i="1"/>
  <c r="X958" i="1"/>
  <c r="S958" i="1"/>
  <c r="Y958" i="1" s="1"/>
  <c r="Y957" i="1"/>
  <c r="X957" i="1"/>
  <c r="S957" i="1"/>
  <c r="X956" i="1"/>
  <c r="Y956" i="1"/>
  <c r="S956" i="1"/>
  <c r="X955" i="1"/>
  <c r="S955" i="1"/>
  <c r="Y955" i="1"/>
  <c r="H867" i="1"/>
  <c r="K867" i="1"/>
  <c r="X869" i="1"/>
  <c r="I866" i="1"/>
  <c r="B866" i="1"/>
  <c r="F866" i="1" s="1"/>
  <c r="G857" i="1"/>
  <c r="K857" i="1"/>
  <c r="X809" i="1"/>
  <c r="Y809" i="1" s="1"/>
  <c r="S809" i="1"/>
  <c r="H851" i="1"/>
  <c r="H871" i="1" s="1"/>
  <c r="B832" i="1"/>
  <c r="S830" i="1"/>
  <c r="X830" i="1"/>
  <c r="Y830" i="1"/>
  <c r="S831" i="1"/>
  <c r="Y831" i="1" s="1"/>
  <c r="X831" i="1"/>
  <c r="X832" i="1"/>
  <c r="S832" i="1"/>
  <c r="Y832" i="1" s="1"/>
  <c r="X870" i="1"/>
  <c r="S870" i="1"/>
  <c r="S869" i="1"/>
  <c r="S841" i="1"/>
  <c r="Y841" i="1" s="1"/>
  <c r="X841" i="1"/>
  <c r="S842" i="1"/>
  <c r="Y842" i="1" s="1"/>
  <c r="X842" i="1"/>
  <c r="X880" i="1"/>
  <c r="Y880" i="1"/>
  <c r="S880" i="1"/>
  <c r="X879" i="1"/>
  <c r="S879" i="1"/>
  <c r="S868" i="1"/>
  <c r="Y868" i="1" s="1"/>
  <c r="X868" i="1"/>
  <c r="X908" i="1"/>
  <c r="S908" i="1"/>
  <c r="Y908" i="1" s="1"/>
  <c r="X907" i="1"/>
  <c r="S907" i="1"/>
  <c r="X906" i="1"/>
  <c r="Y906" i="1"/>
  <c r="S906" i="1"/>
  <c r="X942" i="1"/>
  <c r="S942" i="1"/>
  <c r="Y942" i="1" s="1"/>
  <c r="X941" i="1"/>
  <c r="S941" i="1"/>
  <c r="Y941" i="1" s="1"/>
  <c r="X940" i="1"/>
  <c r="S940" i="1"/>
  <c r="Y940" i="1"/>
  <c r="X939" i="1"/>
  <c r="Y939" i="1" s="1"/>
  <c r="S939" i="1"/>
  <c r="X938" i="1"/>
  <c r="S938" i="1"/>
  <c r="Y938" i="1" s="1"/>
  <c r="X937" i="1"/>
  <c r="S937" i="1"/>
  <c r="Y937" i="1" s="1"/>
  <c r="X936" i="1"/>
  <c r="Y936" i="1" s="1"/>
  <c r="S936" i="1"/>
  <c r="X935" i="1"/>
  <c r="Y935" i="1" s="1"/>
  <c r="S935" i="1"/>
  <c r="X933" i="1"/>
  <c r="Y933" i="1" s="1"/>
  <c r="S933" i="1"/>
  <c r="X932" i="1"/>
  <c r="S932" i="1"/>
  <c r="X931" i="1"/>
  <c r="S931" i="1"/>
  <c r="Y931" i="1"/>
  <c r="X930" i="1"/>
  <c r="S930" i="1"/>
  <c r="Y930" i="1" s="1"/>
  <c r="X928" i="1"/>
  <c r="S928" i="1"/>
  <c r="Y928" i="1" s="1"/>
  <c r="X927" i="1"/>
  <c r="S927" i="1"/>
  <c r="X926" i="1"/>
  <c r="S926" i="1"/>
  <c r="Y926" i="1" s="1"/>
  <c r="X925" i="1"/>
  <c r="S925" i="1"/>
  <c r="Y925" i="1" s="1"/>
  <c r="X923" i="1"/>
  <c r="S923" i="1"/>
  <c r="X922" i="1"/>
  <c r="S922" i="1"/>
  <c r="X920" i="1"/>
  <c r="S920" i="1"/>
  <c r="Y920" i="1"/>
  <c r="X919" i="1"/>
  <c r="Y919" i="1" s="1"/>
  <c r="S919" i="1"/>
  <c r="X918" i="1"/>
  <c r="S918" i="1"/>
  <c r="X917" i="1"/>
  <c r="S917" i="1"/>
  <c r="Y917" i="1" s="1"/>
  <c r="J947" i="1"/>
  <c r="K947" i="1" s="1"/>
  <c r="H947" i="1"/>
  <c r="G947" i="1"/>
  <c r="E947" i="1"/>
  <c r="D947" i="1"/>
  <c r="B947" i="1"/>
  <c r="K946" i="1"/>
  <c r="F946" i="1"/>
  <c r="F945" i="1"/>
  <c r="K944" i="1"/>
  <c r="F944" i="1"/>
  <c r="L944" i="1" s="1"/>
  <c r="K943" i="1"/>
  <c r="K942" i="1"/>
  <c r="F942" i="1"/>
  <c r="L942" i="1" s="1"/>
  <c r="K941" i="1"/>
  <c r="L941" i="1" s="1"/>
  <c r="F941" i="1"/>
  <c r="K940" i="1"/>
  <c r="F940" i="1"/>
  <c r="L940" i="1" s="1"/>
  <c r="K939" i="1"/>
  <c r="F939" i="1"/>
  <c r="K938" i="1"/>
  <c r="F938" i="1"/>
  <c r="L938" i="1" s="1"/>
  <c r="K937" i="1"/>
  <c r="F937" i="1"/>
  <c r="K936" i="1"/>
  <c r="F936" i="1"/>
  <c r="L936" i="1" s="1"/>
  <c r="K935" i="1"/>
  <c r="F935" i="1"/>
  <c r="K934" i="1"/>
  <c r="F934" i="1"/>
  <c r="L934" i="1" s="1"/>
  <c r="K933" i="1"/>
  <c r="F933" i="1"/>
  <c r="K932" i="1"/>
  <c r="F932" i="1"/>
  <c r="L932" i="1" s="1"/>
  <c r="K931" i="1"/>
  <c r="F931" i="1"/>
  <c r="L931" i="1" s="1"/>
  <c r="K930" i="1"/>
  <c r="L930" i="1"/>
  <c r="F930" i="1"/>
  <c r="K929" i="1"/>
  <c r="F929" i="1"/>
  <c r="K928" i="1"/>
  <c r="L928" i="1" s="1"/>
  <c r="F928" i="1"/>
  <c r="K927" i="1"/>
  <c r="F927" i="1"/>
  <c r="K926" i="1"/>
  <c r="L926" i="1" s="1"/>
  <c r="F926" i="1"/>
  <c r="K925" i="1"/>
  <c r="F925" i="1"/>
  <c r="K924" i="1"/>
  <c r="L924" i="1" s="1"/>
  <c r="F924" i="1"/>
  <c r="K923" i="1"/>
  <c r="F923" i="1"/>
  <c r="L923" i="1" s="1"/>
  <c r="K920" i="1"/>
  <c r="L920" i="1" s="1"/>
  <c r="F920" i="1"/>
  <c r="K919" i="1"/>
  <c r="F919" i="1"/>
  <c r="L919" i="1" s="1"/>
  <c r="K918" i="1"/>
  <c r="L918" i="1" s="1"/>
  <c r="F918" i="1"/>
  <c r="K917" i="1"/>
  <c r="F917" i="1"/>
  <c r="L917" i="1" s="1"/>
  <c r="B831" i="1"/>
  <c r="F831" i="1" s="1"/>
  <c r="L831" i="1" s="1"/>
  <c r="X781" i="1"/>
  <c r="S781" i="1"/>
  <c r="P795" i="1"/>
  <c r="V795" i="1"/>
  <c r="H824" i="1"/>
  <c r="C824" i="1"/>
  <c r="X774" i="1"/>
  <c r="Y774" i="1" s="1"/>
  <c r="S774" i="1"/>
  <c r="H822" i="1"/>
  <c r="H833" i="1"/>
  <c r="C822" i="1"/>
  <c r="F822" i="1" s="1"/>
  <c r="L822" i="1" s="1"/>
  <c r="B822" i="1"/>
  <c r="B833" i="1" s="1"/>
  <c r="G909" i="1"/>
  <c r="E909" i="1"/>
  <c r="C909" i="1"/>
  <c r="B909" i="1"/>
  <c r="K908" i="1"/>
  <c r="F908" i="1"/>
  <c r="K907" i="1"/>
  <c r="F907" i="1"/>
  <c r="K906" i="1"/>
  <c r="F906" i="1"/>
  <c r="K905" i="1"/>
  <c r="F905" i="1"/>
  <c r="L905" i="1" s="1"/>
  <c r="K904" i="1"/>
  <c r="L904" i="1" s="1"/>
  <c r="F904" i="1"/>
  <c r="K903" i="1"/>
  <c r="L903" i="1" s="1"/>
  <c r="F903" i="1"/>
  <c r="X902" i="1"/>
  <c r="S902" i="1"/>
  <c r="Y902" i="1"/>
  <c r="K902" i="1"/>
  <c r="F902" i="1"/>
  <c r="X901" i="1"/>
  <c r="Y901" i="1"/>
  <c r="S901" i="1"/>
  <c r="K901" i="1"/>
  <c r="F901" i="1"/>
  <c r="Y900" i="1"/>
  <c r="X900" i="1"/>
  <c r="S900" i="1"/>
  <c r="K900" i="1"/>
  <c r="F900" i="1"/>
  <c r="L900" i="1" s="1"/>
  <c r="X899" i="1"/>
  <c r="S899" i="1"/>
  <c r="Y899" i="1" s="1"/>
  <c r="K899" i="1"/>
  <c r="L899" i="1" s="1"/>
  <c r="F899" i="1"/>
  <c r="X898" i="1"/>
  <c r="S898" i="1"/>
  <c r="Y898" i="1"/>
  <c r="K898" i="1"/>
  <c r="F898" i="1"/>
  <c r="L898" i="1" s="1"/>
  <c r="X897" i="1"/>
  <c r="S897" i="1"/>
  <c r="Y897" i="1" s="1"/>
  <c r="K897" i="1"/>
  <c r="F897" i="1"/>
  <c r="X896" i="1"/>
  <c r="S896" i="1"/>
  <c r="Y896" i="1" s="1"/>
  <c r="K896" i="1"/>
  <c r="F896" i="1"/>
  <c r="L896" i="1" s="1"/>
  <c r="X895" i="1"/>
  <c r="Y895" i="1" s="1"/>
  <c r="S895" i="1"/>
  <c r="K895" i="1"/>
  <c r="L895" i="1" s="1"/>
  <c r="F895" i="1"/>
  <c r="X894" i="1"/>
  <c r="S894" i="1"/>
  <c r="Y894" i="1"/>
  <c r="K894" i="1"/>
  <c r="L894" i="1" s="1"/>
  <c r="F894" i="1"/>
  <c r="X893" i="1"/>
  <c r="Y893" i="1"/>
  <c r="S893" i="1"/>
  <c r="K893" i="1"/>
  <c r="F893" i="1"/>
  <c r="Y892" i="1"/>
  <c r="X892" i="1"/>
  <c r="S892" i="1"/>
  <c r="K892" i="1"/>
  <c r="L892" i="1"/>
  <c r="F892" i="1"/>
  <c r="X891" i="1"/>
  <c r="S891" i="1"/>
  <c r="Y891" i="1"/>
  <c r="K891" i="1"/>
  <c r="X890" i="1"/>
  <c r="S890" i="1"/>
  <c r="Y890" i="1"/>
  <c r="F890" i="1"/>
  <c r="X889" i="1"/>
  <c r="S889" i="1"/>
  <c r="K889" i="1"/>
  <c r="F889" i="1"/>
  <c r="X888" i="1"/>
  <c r="S888" i="1"/>
  <c r="Y888" i="1"/>
  <c r="K888" i="1"/>
  <c r="L888" i="1"/>
  <c r="F888" i="1"/>
  <c r="X887" i="1"/>
  <c r="S887" i="1"/>
  <c r="K887" i="1"/>
  <c r="L887" i="1" s="1"/>
  <c r="F887" i="1"/>
  <c r="X886" i="1"/>
  <c r="Y886" i="1" s="1"/>
  <c r="S886" i="1"/>
  <c r="K885" i="1"/>
  <c r="F885" i="1"/>
  <c r="L885" i="1" s="1"/>
  <c r="K884" i="1"/>
  <c r="F884" i="1"/>
  <c r="X882" i="1"/>
  <c r="Y882" i="1" s="1"/>
  <c r="S882" i="1"/>
  <c r="K882" i="1"/>
  <c r="F882" i="1"/>
  <c r="L882" i="1" s="1"/>
  <c r="X881" i="1"/>
  <c r="Y881" i="1"/>
  <c r="S881" i="1"/>
  <c r="K880" i="1"/>
  <c r="L880" i="1" s="1"/>
  <c r="F880" i="1"/>
  <c r="K879" i="1"/>
  <c r="F879" i="1"/>
  <c r="L879" i="1" s="1"/>
  <c r="C820" i="1"/>
  <c r="F820" i="1" s="1"/>
  <c r="X792" i="1"/>
  <c r="X772" i="1"/>
  <c r="Y772" i="1" s="1"/>
  <c r="S772" i="1"/>
  <c r="H809" i="1"/>
  <c r="F846" i="1"/>
  <c r="L846" i="1" s="1"/>
  <c r="K846" i="1"/>
  <c r="F841" i="1"/>
  <c r="K841" i="1"/>
  <c r="L841" i="1" s="1"/>
  <c r="J871" i="1"/>
  <c r="G871" i="1"/>
  <c r="E871" i="1"/>
  <c r="D871" i="1"/>
  <c r="C871" i="1"/>
  <c r="B871" i="1"/>
  <c r="K870" i="1"/>
  <c r="L870" i="1" s="1"/>
  <c r="F870" i="1"/>
  <c r="K869" i="1"/>
  <c r="L869" i="1" s="1"/>
  <c r="F869" i="1"/>
  <c r="K868" i="1"/>
  <c r="F868" i="1"/>
  <c r="F867" i="1"/>
  <c r="L867" i="1" s="1"/>
  <c r="K865" i="1"/>
  <c r="F865" i="1"/>
  <c r="K864" i="1"/>
  <c r="L864" i="1" s="1"/>
  <c r="F864" i="1"/>
  <c r="K863" i="1"/>
  <c r="F863" i="1"/>
  <c r="L863" i="1" s="1"/>
  <c r="K862" i="1"/>
  <c r="L862" i="1" s="1"/>
  <c r="F862" i="1"/>
  <c r="K861" i="1"/>
  <c r="F861" i="1"/>
  <c r="L861" i="1" s="1"/>
  <c r="K860" i="1"/>
  <c r="F860" i="1"/>
  <c r="L860" i="1"/>
  <c r="K859" i="1"/>
  <c r="F859" i="1"/>
  <c r="K858" i="1"/>
  <c r="F858" i="1"/>
  <c r="L858" i="1" s="1"/>
  <c r="F857" i="1"/>
  <c r="K856" i="1"/>
  <c r="L856" i="1" s="1"/>
  <c r="F856" i="1"/>
  <c r="K855" i="1"/>
  <c r="F855" i="1"/>
  <c r="K854" i="1"/>
  <c r="F854" i="1"/>
  <c r="K853" i="1"/>
  <c r="F853" i="1"/>
  <c r="L853" i="1" s="1"/>
  <c r="K852" i="1"/>
  <c r="L852" i="1" s="1"/>
  <c r="F852" i="1"/>
  <c r="F851" i="1"/>
  <c r="K850" i="1"/>
  <c r="F850" i="1"/>
  <c r="L850" i="1" s="1"/>
  <c r="K849" i="1"/>
  <c r="F849" i="1"/>
  <c r="L849" i="1" s="1"/>
  <c r="K848" i="1"/>
  <c r="F848" i="1"/>
  <c r="L848" i="1" s="1"/>
  <c r="K847" i="1"/>
  <c r="F847" i="1"/>
  <c r="L847" i="1" s="1"/>
  <c r="K844" i="1"/>
  <c r="F844" i="1"/>
  <c r="L844" i="1"/>
  <c r="K843" i="1"/>
  <c r="L843" i="1" s="1"/>
  <c r="F843" i="1"/>
  <c r="K842" i="1"/>
  <c r="L842" i="1"/>
  <c r="F842" i="1"/>
  <c r="S829" i="1"/>
  <c r="X829" i="1"/>
  <c r="Y829" i="1"/>
  <c r="S803" i="1"/>
  <c r="X803" i="1"/>
  <c r="S804" i="1"/>
  <c r="Y804" i="1"/>
  <c r="X804" i="1"/>
  <c r="S867" i="1"/>
  <c r="Y867" i="1" s="1"/>
  <c r="X867" i="1"/>
  <c r="X866" i="1"/>
  <c r="Y866" i="1"/>
  <c r="S866" i="1"/>
  <c r="X865" i="1"/>
  <c r="S865" i="1"/>
  <c r="Y865" i="1"/>
  <c r="X864" i="1"/>
  <c r="S864" i="1"/>
  <c r="Y864" i="1" s="1"/>
  <c r="X863" i="1"/>
  <c r="Y863" i="1" s="1"/>
  <c r="S863" i="1"/>
  <c r="X862" i="1"/>
  <c r="S862" i="1"/>
  <c r="Y862" i="1" s="1"/>
  <c r="X861" i="1"/>
  <c r="S861" i="1"/>
  <c r="Y861" i="1"/>
  <c r="X860" i="1"/>
  <c r="S860" i="1"/>
  <c r="Y859" i="1"/>
  <c r="X859" i="1"/>
  <c r="S859" i="1"/>
  <c r="X858" i="1"/>
  <c r="Y858" i="1"/>
  <c r="S858" i="1"/>
  <c r="X857" i="1"/>
  <c r="S857" i="1"/>
  <c r="Y857" i="1"/>
  <c r="X856" i="1"/>
  <c r="S856" i="1"/>
  <c r="Y856" i="1" s="1"/>
  <c r="X855" i="1"/>
  <c r="S855" i="1"/>
  <c r="Y855" i="1" s="1"/>
  <c r="X854" i="1"/>
  <c r="S854" i="1"/>
  <c r="Y854" i="1" s="1"/>
  <c r="X853" i="1"/>
  <c r="Y853" i="1" s="1"/>
  <c r="S853" i="1"/>
  <c r="X852" i="1"/>
  <c r="S852" i="1"/>
  <c r="Y852" i="1" s="1"/>
  <c r="Y851" i="1"/>
  <c r="X851" i="1"/>
  <c r="S851" i="1"/>
  <c r="X850" i="1"/>
  <c r="Y850" i="1"/>
  <c r="S850" i="1"/>
  <c r="X849" i="1"/>
  <c r="S849" i="1"/>
  <c r="Y849" i="1"/>
  <c r="X847" i="1"/>
  <c r="S847" i="1"/>
  <c r="X846" i="1"/>
  <c r="S846" i="1"/>
  <c r="X844" i="1"/>
  <c r="S844" i="1"/>
  <c r="Y844" i="1" s="1"/>
  <c r="X843" i="1"/>
  <c r="Y843" i="1" s="1"/>
  <c r="S843" i="1"/>
  <c r="S791" i="1"/>
  <c r="X791" i="1"/>
  <c r="Y791" i="1"/>
  <c r="S792" i="1"/>
  <c r="S793" i="1"/>
  <c r="X793" i="1"/>
  <c r="S794" i="1"/>
  <c r="H790" i="1"/>
  <c r="X739" i="1"/>
  <c r="S739" i="1"/>
  <c r="Y739" i="1"/>
  <c r="S770" i="1"/>
  <c r="X770" i="1"/>
  <c r="S738" i="1"/>
  <c r="Y738" i="1"/>
  <c r="X738" i="1"/>
  <c r="O757" i="1"/>
  <c r="P757" i="1"/>
  <c r="X755" i="1"/>
  <c r="Y755" i="1" s="1"/>
  <c r="T757" i="1"/>
  <c r="E780" i="1"/>
  <c r="D776" i="1"/>
  <c r="X737" i="1"/>
  <c r="Y737" i="1" s="1"/>
  <c r="S737" i="1"/>
  <c r="S702" i="1"/>
  <c r="Y702" i="1" s="1"/>
  <c r="X702" i="1"/>
  <c r="S703" i="1"/>
  <c r="X703" i="1"/>
  <c r="Y703" i="1"/>
  <c r="S704" i="1"/>
  <c r="X704" i="1"/>
  <c r="Y704" i="1"/>
  <c r="X734" i="1"/>
  <c r="Y734" i="1" s="1"/>
  <c r="S734" i="1"/>
  <c r="X733" i="1"/>
  <c r="S733" i="1"/>
  <c r="X732" i="1"/>
  <c r="Y732" i="1" s="1"/>
  <c r="S732" i="1"/>
  <c r="S714" i="1"/>
  <c r="X714" i="1"/>
  <c r="Y714" i="1" s="1"/>
  <c r="S715" i="1"/>
  <c r="Y715" i="1" s="1"/>
  <c r="X715" i="1"/>
  <c r="S716" i="1"/>
  <c r="X716" i="1"/>
  <c r="S717" i="1"/>
  <c r="Y717" i="1" s="1"/>
  <c r="X717" i="1"/>
  <c r="S718" i="1"/>
  <c r="X718" i="1"/>
  <c r="Y718" i="1" s="1"/>
  <c r="S756" i="1"/>
  <c r="S755" i="1"/>
  <c r="X754" i="1"/>
  <c r="S754" i="1"/>
  <c r="X753" i="1"/>
  <c r="S753" i="1"/>
  <c r="X752" i="1"/>
  <c r="S752" i="1"/>
  <c r="S728" i="1"/>
  <c r="X728" i="1"/>
  <c r="Y728" i="1"/>
  <c r="X766" i="1"/>
  <c r="Y766" i="1" s="1"/>
  <c r="S766" i="1"/>
  <c r="S765" i="1"/>
  <c r="X765" i="1"/>
  <c r="Y765" i="1" s="1"/>
  <c r="W833" i="1"/>
  <c r="V833" i="1"/>
  <c r="U833" i="1"/>
  <c r="T833" i="1"/>
  <c r="R833" i="1"/>
  <c r="Q833" i="1"/>
  <c r="P833" i="1"/>
  <c r="S833" i="1" s="1"/>
  <c r="O833" i="1"/>
  <c r="J833" i="1"/>
  <c r="I833" i="1"/>
  <c r="G833" i="1"/>
  <c r="K833" i="1" s="1"/>
  <c r="E833" i="1"/>
  <c r="D833" i="1"/>
  <c r="K832" i="1"/>
  <c r="F832" i="1"/>
  <c r="L832" i="1" s="1"/>
  <c r="K831" i="1"/>
  <c r="K830" i="1"/>
  <c r="F830" i="1"/>
  <c r="L830" i="1"/>
  <c r="K829" i="1"/>
  <c r="F829" i="1"/>
  <c r="L829" i="1"/>
  <c r="X828" i="1"/>
  <c r="S828" i="1"/>
  <c r="K828" i="1"/>
  <c r="F828" i="1"/>
  <c r="L828" i="1"/>
  <c r="X827" i="1"/>
  <c r="S827" i="1"/>
  <c r="Y827" i="1"/>
  <c r="K827" i="1"/>
  <c r="L827" i="1" s="1"/>
  <c r="F827" i="1"/>
  <c r="X826" i="1"/>
  <c r="S826" i="1"/>
  <c r="Y826" i="1"/>
  <c r="K826" i="1"/>
  <c r="F826" i="1"/>
  <c r="X825" i="1"/>
  <c r="S825" i="1"/>
  <c r="Y825" i="1" s="1"/>
  <c r="K825" i="1"/>
  <c r="F825" i="1"/>
  <c r="X824" i="1"/>
  <c r="Y824" i="1" s="1"/>
  <c r="S824" i="1"/>
  <c r="K824" i="1"/>
  <c r="F824" i="1"/>
  <c r="X823" i="1"/>
  <c r="S823" i="1"/>
  <c r="Y823" i="1"/>
  <c r="K823" i="1"/>
  <c r="F823" i="1"/>
  <c r="X822" i="1"/>
  <c r="S822" i="1"/>
  <c r="Y822" i="1" s="1"/>
  <c r="K822" i="1"/>
  <c r="X821" i="1"/>
  <c r="S821" i="1"/>
  <c r="Y821" i="1" s="1"/>
  <c r="K821" i="1"/>
  <c r="F821" i="1"/>
  <c r="L821" i="1"/>
  <c r="X820" i="1"/>
  <c r="S820" i="1"/>
  <c r="Y820" i="1" s="1"/>
  <c r="K820" i="1"/>
  <c r="X819" i="1"/>
  <c r="S819" i="1"/>
  <c r="Y819" i="1" s="1"/>
  <c r="K819" i="1"/>
  <c r="F819" i="1"/>
  <c r="L819" i="1"/>
  <c r="X818" i="1"/>
  <c r="S818" i="1"/>
  <c r="Y818" i="1"/>
  <c r="K818" i="1"/>
  <c r="L818" i="1" s="1"/>
  <c r="F818" i="1"/>
  <c r="X817" i="1"/>
  <c r="S817" i="1"/>
  <c r="Y817" i="1" s="1"/>
  <c r="K817" i="1"/>
  <c r="F817" i="1"/>
  <c r="X816" i="1"/>
  <c r="S816" i="1"/>
  <c r="Y816" i="1"/>
  <c r="K816" i="1"/>
  <c r="F816" i="1"/>
  <c r="X815" i="1"/>
  <c r="S815" i="1"/>
  <c r="Y815" i="1" s="1"/>
  <c r="K815" i="1"/>
  <c r="F815" i="1"/>
  <c r="X814" i="1"/>
  <c r="S814" i="1"/>
  <c r="Y814" i="1" s="1"/>
  <c r="K814" i="1"/>
  <c r="F814" i="1"/>
  <c r="L814" i="1"/>
  <c r="X813" i="1"/>
  <c r="S813" i="1"/>
  <c r="K813" i="1"/>
  <c r="F813" i="1"/>
  <c r="L813" i="1" s="1"/>
  <c r="X812" i="1"/>
  <c r="Y812" i="1" s="1"/>
  <c r="S812" i="1"/>
  <c r="K812" i="1"/>
  <c r="F812" i="1"/>
  <c r="X811" i="1"/>
  <c r="S811" i="1"/>
  <c r="K811" i="1"/>
  <c r="F811" i="1"/>
  <c r="L811" i="1" s="1"/>
  <c r="X810" i="1"/>
  <c r="S810" i="1"/>
  <c r="Y810" i="1" s="1"/>
  <c r="K810" i="1"/>
  <c r="F810" i="1"/>
  <c r="L810" i="1" s="1"/>
  <c r="K809" i="1"/>
  <c r="F809" i="1"/>
  <c r="X808" i="1"/>
  <c r="S808" i="1"/>
  <c r="K808" i="1"/>
  <c r="F808" i="1"/>
  <c r="X806" i="1"/>
  <c r="S806" i="1"/>
  <c r="Y806" i="1" s="1"/>
  <c r="K806" i="1"/>
  <c r="L806" i="1" s="1"/>
  <c r="F806" i="1"/>
  <c r="X805" i="1"/>
  <c r="S805" i="1"/>
  <c r="Y805" i="1" s="1"/>
  <c r="K805" i="1"/>
  <c r="F805" i="1"/>
  <c r="K804" i="1"/>
  <c r="F804" i="1"/>
  <c r="L804" i="1" s="1"/>
  <c r="K803" i="1"/>
  <c r="F803" i="1"/>
  <c r="I747" i="1"/>
  <c r="I757" i="1"/>
  <c r="H747" i="1"/>
  <c r="H757" i="1"/>
  <c r="C747" i="1"/>
  <c r="K747" i="1"/>
  <c r="G747" i="1"/>
  <c r="C757" i="1"/>
  <c r="X701" i="1"/>
  <c r="S701" i="1"/>
  <c r="Y701" i="1" s="1"/>
  <c r="X698" i="1"/>
  <c r="Y698" i="1" s="1"/>
  <c r="S698" i="1"/>
  <c r="X697" i="1"/>
  <c r="S697" i="1"/>
  <c r="Y697" i="1"/>
  <c r="F680" i="1"/>
  <c r="X695" i="1"/>
  <c r="S695" i="1"/>
  <c r="Y695" i="1"/>
  <c r="H712" i="1"/>
  <c r="K712" i="1" s="1"/>
  <c r="H708" i="1"/>
  <c r="K708" i="1" s="1"/>
  <c r="E689" i="1"/>
  <c r="F689" i="1" s="1"/>
  <c r="X631" i="1"/>
  <c r="S631" i="1"/>
  <c r="Y631" i="1" s="1"/>
  <c r="J689" i="1"/>
  <c r="I689" i="1"/>
  <c r="H689" i="1"/>
  <c r="K689" i="1" s="1"/>
  <c r="D689" i="1"/>
  <c r="K680" i="1"/>
  <c r="G681" i="1"/>
  <c r="X798" i="1"/>
  <c r="S798" i="1"/>
  <c r="J795" i="1"/>
  <c r="I795" i="1"/>
  <c r="H795" i="1"/>
  <c r="K795" i="1" s="1"/>
  <c r="G795" i="1"/>
  <c r="D795" i="1"/>
  <c r="C795" i="1"/>
  <c r="B795" i="1"/>
  <c r="K794" i="1"/>
  <c r="F794" i="1"/>
  <c r="L794" i="1" s="1"/>
  <c r="K793" i="1"/>
  <c r="F793" i="1"/>
  <c r="K792" i="1"/>
  <c r="F792" i="1"/>
  <c r="L792" i="1" s="1"/>
  <c r="K791" i="1"/>
  <c r="F791" i="1"/>
  <c r="L791" i="1" s="1"/>
  <c r="K790" i="1"/>
  <c r="F790" i="1"/>
  <c r="L790" i="1" s="1"/>
  <c r="K789" i="1"/>
  <c r="F789" i="1"/>
  <c r="K788" i="1"/>
  <c r="F788" i="1"/>
  <c r="K787" i="1"/>
  <c r="F787" i="1"/>
  <c r="K786" i="1"/>
  <c r="F786" i="1"/>
  <c r="L786" i="1" s="1"/>
  <c r="K785" i="1"/>
  <c r="F785" i="1"/>
  <c r="L785" i="1" s="1"/>
  <c r="K784" i="1"/>
  <c r="F784" i="1"/>
  <c r="L784" i="1"/>
  <c r="K783" i="1"/>
  <c r="F783" i="1"/>
  <c r="K782" i="1"/>
  <c r="L782" i="1"/>
  <c r="F782" i="1"/>
  <c r="K781" i="1"/>
  <c r="F781" i="1"/>
  <c r="L781" i="1"/>
  <c r="K780" i="1"/>
  <c r="K779" i="1"/>
  <c r="F779" i="1"/>
  <c r="L779" i="1"/>
  <c r="K778" i="1"/>
  <c r="F778" i="1"/>
  <c r="L778" i="1" s="1"/>
  <c r="K777" i="1"/>
  <c r="L777" i="1" s="1"/>
  <c r="F777" i="1"/>
  <c r="K776" i="1"/>
  <c r="F776" i="1"/>
  <c r="L776" i="1"/>
  <c r="K775" i="1"/>
  <c r="F775" i="1"/>
  <c r="K774" i="1"/>
  <c r="L774" i="1"/>
  <c r="F774" i="1"/>
  <c r="K773" i="1"/>
  <c r="F773" i="1"/>
  <c r="L773" i="1"/>
  <c r="K772" i="1"/>
  <c r="F772" i="1"/>
  <c r="L772" i="1"/>
  <c r="K771" i="1"/>
  <c r="F771" i="1"/>
  <c r="K770" i="1"/>
  <c r="L770" i="1"/>
  <c r="F770" i="1"/>
  <c r="K768" i="1"/>
  <c r="F768" i="1"/>
  <c r="K767" i="1"/>
  <c r="L767" i="1" s="1"/>
  <c r="F767" i="1"/>
  <c r="K766" i="1"/>
  <c r="F766" i="1"/>
  <c r="L766" i="1" s="1"/>
  <c r="K765" i="1"/>
  <c r="F765" i="1"/>
  <c r="W795" i="1"/>
  <c r="U795" i="1"/>
  <c r="X795" i="1" s="1"/>
  <c r="T795" i="1"/>
  <c r="R795" i="1"/>
  <c r="Q795" i="1"/>
  <c r="O795" i="1"/>
  <c r="X790" i="1"/>
  <c r="S790" i="1"/>
  <c r="X789" i="1"/>
  <c r="S789" i="1"/>
  <c r="Y789" i="1" s="1"/>
  <c r="X788" i="1"/>
  <c r="S788" i="1"/>
  <c r="Y788" i="1" s="1"/>
  <c r="X787" i="1"/>
  <c r="S787" i="1"/>
  <c r="Y787" i="1" s="1"/>
  <c r="X786" i="1"/>
  <c r="S786" i="1"/>
  <c r="Y786" i="1"/>
  <c r="X785" i="1"/>
  <c r="S785" i="1"/>
  <c r="Y784" i="1"/>
  <c r="X784" i="1"/>
  <c r="S784" i="1"/>
  <c r="X783" i="1"/>
  <c r="S783" i="1"/>
  <c r="Y783" i="1" s="1"/>
  <c r="X782" i="1"/>
  <c r="Y782" i="1" s="1"/>
  <c r="S782" i="1"/>
  <c r="X780" i="1"/>
  <c r="S780" i="1"/>
  <c r="Y780" i="1" s="1"/>
  <c r="X779" i="1"/>
  <c r="S779" i="1"/>
  <c r="X778" i="1"/>
  <c r="S778" i="1"/>
  <c r="Y778" i="1" s="1"/>
  <c r="X777" i="1"/>
  <c r="S777" i="1"/>
  <c r="X776" i="1"/>
  <c r="S776" i="1"/>
  <c r="Y776" i="1" s="1"/>
  <c r="X775" i="1"/>
  <c r="S775" i="1"/>
  <c r="X773" i="1"/>
  <c r="S773" i="1"/>
  <c r="X771" i="1"/>
  <c r="S771" i="1"/>
  <c r="Y771" i="1"/>
  <c r="X768" i="1"/>
  <c r="S768" i="1"/>
  <c r="X767" i="1"/>
  <c r="S767" i="1"/>
  <c r="Y767" i="1" s="1"/>
  <c r="F727" i="1"/>
  <c r="L727" i="1" s="1"/>
  <c r="K727" i="1"/>
  <c r="F728" i="1"/>
  <c r="K728" i="1"/>
  <c r="W757" i="1"/>
  <c r="X757" i="1" s="1"/>
  <c r="V757" i="1"/>
  <c r="R757" i="1"/>
  <c r="Q757" i="1"/>
  <c r="J757" i="1"/>
  <c r="G757" i="1"/>
  <c r="E757" i="1"/>
  <c r="D757" i="1"/>
  <c r="B757" i="1"/>
  <c r="F757" i="1" s="1"/>
  <c r="K756" i="1"/>
  <c r="F756" i="1"/>
  <c r="K755" i="1"/>
  <c r="F755" i="1"/>
  <c r="L755" i="1" s="1"/>
  <c r="K754" i="1"/>
  <c r="F754" i="1"/>
  <c r="L754" i="1" s="1"/>
  <c r="K753" i="1"/>
  <c r="L753" i="1" s="1"/>
  <c r="F753" i="1"/>
  <c r="K752" i="1"/>
  <c r="F752" i="1"/>
  <c r="X751" i="1"/>
  <c r="S751" i="1"/>
  <c r="Y751" i="1"/>
  <c r="K751" i="1"/>
  <c r="F751" i="1"/>
  <c r="X750" i="1"/>
  <c r="S750" i="1"/>
  <c r="Y750" i="1" s="1"/>
  <c r="K750" i="1"/>
  <c r="F750" i="1"/>
  <c r="L750" i="1"/>
  <c r="X749" i="1"/>
  <c r="S749" i="1"/>
  <c r="K749" i="1"/>
  <c r="L749" i="1"/>
  <c r="F749" i="1"/>
  <c r="X748" i="1"/>
  <c r="S748" i="1"/>
  <c r="Y748" i="1" s="1"/>
  <c r="K748" i="1"/>
  <c r="F748" i="1"/>
  <c r="X747" i="1"/>
  <c r="S747" i="1"/>
  <c r="Y747" i="1" s="1"/>
  <c r="F747" i="1"/>
  <c r="L747" i="1" s="1"/>
  <c r="X746" i="1"/>
  <c r="S746" i="1"/>
  <c r="Y746" i="1" s="1"/>
  <c r="K746" i="1"/>
  <c r="F746" i="1"/>
  <c r="L746" i="1" s="1"/>
  <c r="X745" i="1"/>
  <c r="S745" i="1"/>
  <c r="Y745" i="1" s="1"/>
  <c r="K745" i="1"/>
  <c r="F745" i="1"/>
  <c r="L745" i="1" s="1"/>
  <c r="X744" i="1"/>
  <c r="S744" i="1"/>
  <c r="Y744" i="1" s="1"/>
  <c r="K744" i="1"/>
  <c r="L744" i="1" s="1"/>
  <c r="F744" i="1"/>
  <c r="X743" i="1"/>
  <c r="S743" i="1"/>
  <c r="Y743" i="1" s="1"/>
  <c r="K743" i="1"/>
  <c r="L743" i="1" s="1"/>
  <c r="F743" i="1"/>
  <c r="X742" i="1"/>
  <c r="S742" i="1"/>
  <c r="Y742" i="1" s="1"/>
  <c r="K742" i="1"/>
  <c r="L742" i="1" s="1"/>
  <c r="F742" i="1"/>
  <c r="X741" i="1"/>
  <c r="S741" i="1"/>
  <c r="K741" i="1"/>
  <c r="L741" i="1"/>
  <c r="F741" i="1"/>
  <c r="Y740" i="1"/>
  <c r="X740" i="1"/>
  <c r="S740" i="1"/>
  <c r="K740" i="1"/>
  <c r="F740" i="1"/>
  <c r="K739" i="1"/>
  <c r="F739" i="1"/>
  <c r="K738" i="1"/>
  <c r="F738" i="1"/>
  <c r="L738" i="1" s="1"/>
  <c r="K737" i="1"/>
  <c r="L737" i="1" s="1"/>
  <c r="F737" i="1"/>
  <c r="X736" i="1"/>
  <c r="S736" i="1"/>
  <c r="Y736" i="1"/>
  <c r="K736" i="1"/>
  <c r="F736" i="1"/>
  <c r="X735" i="1"/>
  <c r="S735" i="1"/>
  <c r="Y735" i="1" s="1"/>
  <c r="K735" i="1"/>
  <c r="F735" i="1"/>
  <c r="L735" i="1" s="1"/>
  <c r="K734" i="1"/>
  <c r="F734" i="1"/>
  <c r="K733" i="1"/>
  <c r="L733" i="1"/>
  <c r="F733" i="1"/>
  <c r="K732" i="1"/>
  <c r="F732" i="1"/>
  <c r="X730" i="1"/>
  <c r="S730" i="1"/>
  <c r="K730" i="1"/>
  <c r="F730" i="1"/>
  <c r="X729" i="1"/>
  <c r="S729" i="1"/>
  <c r="K729" i="1"/>
  <c r="F729" i="1"/>
  <c r="X727" i="1"/>
  <c r="Y727" i="1" s="1"/>
  <c r="S727" i="1"/>
  <c r="B674" i="1"/>
  <c r="B681" i="1"/>
  <c r="U643" i="1"/>
  <c r="K653" i="1"/>
  <c r="F653" i="1"/>
  <c r="L653" i="1" s="1"/>
  <c r="F414" i="1"/>
  <c r="L414" i="1" s="1"/>
  <c r="K414" i="1"/>
  <c r="G669" i="1"/>
  <c r="K669" i="1"/>
  <c r="B669" i="1"/>
  <c r="D669" i="1"/>
  <c r="X629" i="1"/>
  <c r="S629" i="1"/>
  <c r="Y629" i="1" s="1"/>
  <c r="X680" i="1"/>
  <c r="S680" i="1"/>
  <c r="S678" i="1"/>
  <c r="X678" i="1"/>
  <c r="S679" i="1"/>
  <c r="X679" i="1"/>
  <c r="Y679" i="1"/>
  <c r="F694" i="1"/>
  <c r="K694" i="1"/>
  <c r="L694" i="1"/>
  <c r="F695" i="1"/>
  <c r="L695" i="1" s="1"/>
  <c r="K695" i="1"/>
  <c r="F696" i="1"/>
  <c r="K696" i="1"/>
  <c r="F697" i="1"/>
  <c r="K697" i="1"/>
  <c r="F698" i="1"/>
  <c r="K698" i="1"/>
  <c r="F699" i="1"/>
  <c r="K699" i="1"/>
  <c r="F700" i="1"/>
  <c r="L700" i="1" s="1"/>
  <c r="K700" i="1"/>
  <c r="F701" i="1"/>
  <c r="K701" i="1"/>
  <c r="L701" i="1"/>
  <c r="F702" i="1"/>
  <c r="L702" i="1" s="1"/>
  <c r="K702" i="1"/>
  <c r="F703" i="1"/>
  <c r="L703" i="1"/>
  <c r="K703" i="1"/>
  <c r="F704" i="1"/>
  <c r="K704" i="1"/>
  <c r="L704" i="1"/>
  <c r="F705" i="1"/>
  <c r="K705" i="1"/>
  <c r="W719" i="1"/>
  <c r="V719" i="1"/>
  <c r="X719" i="1" s="1"/>
  <c r="U719" i="1"/>
  <c r="T719" i="1"/>
  <c r="R719" i="1"/>
  <c r="Q719" i="1"/>
  <c r="S719" i="1" s="1"/>
  <c r="Y719" i="1" s="1"/>
  <c r="P719" i="1"/>
  <c r="O719" i="1"/>
  <c r="J719" i="1"/>
  <c r="I719" i="1"/>
  <c r="G719" i="1"/>
  <c r="E719" i="1"/>
  <c r="D719" i="1"/>
  <c r="C719" i="1"/>
  <c r="F719" i="1" s="1"/>
  <c r="B719" i="1"/>
  <c r="K718" i="1"/>
  <c r="F718" i="1"/>
  <c r="L718" i="1" s="1"/>
  <c r="K717" i="1"/>
  <c r="L717" i="1" s="1"/>
  <c r="F717" i="1"/>
  <c r="K716" i="1"/>
  <c r="F716" i="1"/>
  <c r="K715" i="1"/>
  <c r="F715" i="1"/>
  <c r="K714" i="1"/>
  <c r="F714" i="1"/>
  <c r="L714" i="1" s="1"/>
  <c r="X713" i="1"/>
  <c r="S713" i="1"/>
  <c r="K713" i="1"/>
  <c r="F713" i="1"/>
  <c r="L713" i="1" s="1"/>
  <c r="X712" i="1"/>
  <c r="Y712" i="1" s="1"/>
  <c r="S712" i="1"/>
  <c r="F712" i="1"/>
  <c r="X711" i="1"/>
  <c r="Y711" i="1" s="1"/>
  <c r="S711" i="1"/>
  <c r="K711" i="1"/>
  <c r="F711" i="1"/>
  <c r="L711" i="1" s="1"/>
  <c r="X710" i="1"/>
  <c r="Y710" i="1" s="1"/>
  <c r="S710" i="1"/>
  <c r="K710" i="1"/>
  <c r="F710" i="1"/>
  <c r="X709" i="1"/>
  <c r="S709" i="1"/>
  <c r="Y709" i="1" s="1"/>
  <c r="K709" i="1"/>
  <c r="F709" i="1"/>
  <c r="X708" i="1"/>
  <c r="S708" i="1"/>
  <c r="Y708" i="1"/>
  <c r="F708" i="1"/>
  <c r="X707" i="1"/>
  <c r="S707" i="1"/>
  <c r="Y707" i="1"/>
  <c r="K707" i="1"/>
  <c r="F707" i="1"/>
  <c r="X706" i="1"/>
  <c r="S706" i="1"/>
  <c r="Y706" i="1" s="1"/>
  <c r="K706" i="1"/>
  <c r="F706" i="1"/>
  <c r="X705" i="1"/>
  <c r="S705" i="1"/>
  <c r="X700" i="1"/>
  <c r="S700" i="1"/>
  <c r="Y700" i="1" s="1"/>
  <c r="X699" i="1"/>
  <c r="Y699" i="1" s="1"/>
  <c r="S699" i="1"/>
  <c r="X696" i="1"/>
  <c r="S696" i="1"/>
  <c r="X694" i="1"/>
  <c r="Y694" i="1" s="1"/>
  <c r="S694" i="1"/>
  <c r="X692" i="1"/>
  <c r="S692" i="1"/>
  <c r="Y692" i="1"/>
  <c r="K692" i="1"/>
  <c r="F692" i="1"/>
  <c r="L692" i="1"/>
  <c r="X691" i="1"/>
  <c r="Y691" i="1" s="1"/>
  <c r="S691" i="1"/>
  <c r="K691" i="1"/>
  <c r="F691" i="1"/>
  <c r="X690" i="1"/>
  <c r="Y690" i="1" s="1"/>
  <c r="S690" i="1"/>
  <c r="K690" i="1"/>
  <c r="F690" i="1"/>
  <c r="X689" i="1"/>
  <c r="S689" i="1"/>
  <c r="T643" i="1"/>
  <c r="R643" i="1"/>
  <c r="W643" i="1"/>
  <c r="V643" i="1"/>
  <c r="Q643" i="1"/>
  <c r="X622" i="1"/>
  <c r="S622" i="1"/>
  <c r="Y622" i="1"/>
  <c r="H640" i="1"/>
  <c r="K640" i="1" s="1"/>
  <c r="C640" i="1"/>
  <c r="F640" i="1" s="1"/>
  <c r="S640" i="1"/>
  <c r="S656" i="1"/>
  <c r="X656" i="1"/>
  <c r="Y656" i="1" s="1"/>
  <c r="S657" i="1"/>
  <c r="X657" i="1"/>
  <c r="Y657" i="1" s="1"/>
  <c r="S658" i="1"/>
  <c r="X658" i="1"/>
  <c r="Y658" i="1" s="1"/>
  <c r="S659" i="1"/>
  <c r="Y659" i="1" s="1"/>
  <c r="X659" i="1"/>
  <c r="F656" i="1"/>
  <c r="L656" i="1" s="1"/>
  <c r="K656" i="1"/>
  <c r="F657" i="1"/>
  <c r="K657" i="1"/>
  <c r="F658" i="1"/>
  <c r="L658" i="1" s="1"/>
  <c r="K658" i="1"/>
  <c r="F659" i="1"/>
  <c r="K659" i="1"/>
  <c r="L659" i="1" s="1"/>
  <c r="F660" i="1"/>
  <c r="K660" i="1"/>
  <c r="F661" i="1"/>
  <c r="K661" i="1"/>
  <c r="F662" i="1"/>
  <c r="L662" i="1" s="1"/>
  <c r="K662" i="1"/>
  <c r="F663" i="1"/>
  <c r="K663" i="1"/>
  <c r="L663" i="1"/>
  <c r="F664" i="1"/>
  <c r="K664" i="1"/>
  <c r="F665" i="1"/>
  <c r="K665" i="1"/>
  <c r="L665" i="1" s="1"/>
  <c r="F666" i="1"/>
  <c r="K666" i="1"/>
  <c r="F667" i="1"/>
  <c r="K667" i="1"/>
  <c r="F668" i="1"/>
  <c r="K668" i="1"/>
  <c r="L668" i="1" s="1"/>
  <c r="F669" i="1"/>
  <c r="L669" i="1" s="1"/>
  <c r="F670" i="1"/>
  <c r="L670" i="1"/>
  <c r="K670" i="1"/>
  <c r="F671" i="1"/>
  <c r="K671" i="1"/>
  <c r="L671" i="1"/>
  <c r="F672" i="1"/>
  <c r="K672" i="1"/>
  <c r="F673" i="1"/>
  <c r="K673" i="1"/>
  <c r="L673" i="1" s="1"/>
  <c r="F674" i="1"/>
  <c r="K674" i="1"/>
  <c r="L674" i="1" s="1"/>
  <c r="F675" i="1"/>
  <c r="L675" i="1"/>
  <c r="K675" i="1"/>
  <c r="F651" i="1"/>
  <c r="K651" i="1"/>
  <c r="F652" i="1"/>
  <c r="L652" i="1" s="1"/>
  <c r="K652" i="1"/>
  <c r="W681" i="1"/>
  <c r="V681" i="1"/>
  <c r="U681" i="1"/>
  <c r="X681" i="1" s="1"/>
  <c r="T681" i="1"/>
  <c r="R681" i="1"/>
  <c r="Q681" i="1"/>
  <c r="P681" i="1"/>
  <c r="S681" i="1" s="1"/>
  <c r="Y681" i="1" s="1"/>
  <c r="O681" i="1"/>
  <c r="I681" i="1"/>
  <c r="E681" i="1"/>
  <c r="D681" i="1"/>
  <c r="C681" i="1"/>
  <c r="K679" i="1"/>
  <c r="F679" i="1"/>
  <c r="L679" i="1"/>
  <c r="K678" i="1"/>
  <c r="F678" i="1"/>
  <c r="X677" i="1"/>
  <c r="S677" i="1"/>
  <c r="Y677" i="1" s="1"/>
  <c r="K677" i="1"/>
  <c r="F677" i="1"/>
  <c r="L677" i="1"/>
  <c r="X676" i="1"/>
  <c r="Y676" i="1" s="1"/>
  <c r="S676" i="1"/>
  <c r="K676" i="1"/>
  <c r="F676" i="1"/>
  <c r="L676" i="1" s="1"/>
  <c r="X675" i="1"/>
  <c r="S675" i="1"/>
  <c r="Y675" i="1" s="1"/>
  <c r="X674" i="1"/>
  <c r="S674" i="1"/>
  <c r="Y674" i="1" s="1"/>
  <c r="H681" i="1"/>
  <c r="X673" i="1"/>
  <c r="S673" i="1"/>
  <c r="Y673" i="1" s="1"/>
  <c r="X672" i="1"/>
  <c r="S672" i="1"/>
  <c r="Y672" i="1" s="1"/>
  <c r="X671" i="1"/>
  <c r="S671" i="1"/>
  <c r="Y671" i="1" s="1"/>
  <c r="X670" i="1"/>
  <c r="S670" i="1"/>
  <c r="Y670" i="1"/>
  <c r="Y669" i="1"/>
  <c r="X669" i="1"/>
  <c r="S669" i="1"/>
  <c r="X668" i="1"/>
  <c r="S668" i="1"/>
  <c r="Y668" i="1" s="1"/>
  <c r="X667" i="1"/>
  <c r="S667" i="1"/>
  <c r="Y667" i="1" s="1"/>
  <c r="X666" i="1"/>
  <c r="S666" i="1"/>
  <c r="Y666" i="1" s="1"/>
  <c r="X665" i="1"/>
  <c r="S665" i="1"/>
  <c r="Y665" i="1" s="1"/>
  <c r="X664" i="1"/>
  <c r="Y664" i="1"/>
  <c r="S664" i="1"/>
  <c r="X663" i="1"/>
  <c r="Y663" i="1" s="1"/>
  <c r="S663" i="1"/>
  <c r="X662" i="1"/>
  <c r="Y662" i="1"/>
  <c r="S662" i="1"/>
  <c r="X661" i="1"/>
  <c r="S661" i="1"/>
  <c r="Y661" i="1"/>
  <c r="X660" i="1"/>
  <c r="Y660" i="1"/>
  <c r="S660" i="1"/>
  <c r="X654" i="1"/>
  <c r="S654" i="1"/>
  <c r="K654" i="1"/>
  <c r="F654" i="1"/>
  <c r="L654" i="1" s="1"/>
  <c r="X653" i="1"/>
  <c r="Y653" i="1" s="1"/>
  <c r="S653" i="1"/>
  <c r="X652" i="1"/>
  <c r="Y652" i="1"/>
  <c r="S652" i="1"/>
  <c r="X651" i="1"/>
  <c r="S651" i="1"/>
  <c r="G636" i="1"/>
  <c r="K636" i="1" s="1"/>
  <c r="H636" i="1"/>
  <c r="G627" i="1"/>
  <c r="K627" i="1" s="1"/>
  <c r="S596" i="1"/>
  <c r="X596" i="1"/>
  <c r="Y596" i="1" s="1"/>
  <c r="X618" i="1"/>
  <c r="S618" i="1"/>
  <c r="Y618" i="1"/>
  <c r="X604" i="1"/>
  <c r="V605" i="1"/>
  <c r="U605" i="1"/>
  <c r="H604" i="1"/>
  <c r="K604" i="1" s="1"/>
  <c r="I604" i="1"/>
  <c r="C604" i="1"/>
  <c r="F604" i="1"/>
  <c r="S604" i="1"/>
  <c r="X589" i="1"/>
  <c r="S589" i="1"/>
  <c r="Y589" i="1"/>
  <c r="I598" i="1"/>
  <c r="D598" i="1"/>
  <c r="H598" i="1"/>
  <c r="K598" i="1" s="1"/>
  <c r="L598" i="1" s="1"/>
  <c r="C598" i="1"/>
  <c r="H595" i="1"/>
  <c r="C595" i="1"/>
  <c r="F595" i="1" s="1"/>
  <c r="I595" i="1"/>
  <c r="I605" i="1" s="1"/>
  <c r="X585" i="1"/>
  <c r="S585" i="1"/>
  <c r="Y585" i="1"/>
  <c r="H591" i="1"/>
  <c r="G591" i="1"/>
  <c r="C591" i="1"/>
  <c r="B591" i="1"/>
  <c r="F591" i="1" s="1"/>
  <c r="S549" i="1"/>
  <c r="Y549" i="1" s="1"/>
  <c r="X549" i="1"/>
  <c r="X582" i="1"/>
  <c r="S582" i="1"/>
  <c r="Y582" i="1"/>
  <c r="S583" i="1"/>
  <c r="X583" i="1"/>
  <c r="Y583" i="1"/>
  <c r="S584" i="1"/>
  <c r="Y584" i="1" s="1"/>
  <c r="X584" i="1"/>
  <c r="S564" i="1"/>
  <c r="X564" i="1"/>
  <c r="S565" i="1"/>
  <c r="Y565" i="1" s="1"/>
  <c r="X565" i="1"/>
  <c r="S566" i="1"/>
  <c r="X566" i="1"/>
  <c r="Y566" i="1" s="1"/>
  <c r="X603" i="1"/>
  <c r="Y603" i="1" s="1"/>
  <c r="S603" i="1"/>
  <c r="X602" i="1"/>
  <c r="S602" i="1"/>
  <c r="Y602" i="1" s="1"/>
  <c r="S619" i="1"/>
  <c r="X619" i="1"/>
  <c r="Y619" i="1" s="1"/>
  <c r="S620" i="1"/>
  <c r="X620" i="1"/>
  <c r="S621" i="1"/>
  <c r="X621" i="1"/>
  <c r="F618" i="1"/>
  <c r="K618" i="1"/>
  <c r="L618" i="1" s="1"/>
  <c r="F619" i="1"/>
  <c r="K619" i="1"/>
  <c r="L619" i="1"/>
  <c r="F620" i="1"/>
  <c r="K620" i="1"/>
  <c r="F621" i="1"/>
  <c r="K621" i="1"/>
  <c r="L621" i="1" s="1"/>
  <c r="F622" i="1"/>
  <c r="K622" i="1"/>
  <c r="F623" i="1"/>
  <c r="L623" i="1" s="1"/>
  <c r="K623" i="1"/>
  <c r="F624" i="1"/>
  <c r="K624" i="1"/>
  <c r="L624" i="1"/>
  <c r="F625" i="1"/>
  <c r="K625" i="1"/>
  <c r="L625" i="1"/>
  <c r="F626" i="1"/>
  <c r="L626" i="1" s="1"/>
  <c r="K626" i="1"/>
  <c r="F627" i="1"/>
  <c r="F628" i="1"/>
  <c r="K628" i="1"/>
  <c r="L628" i="1" s="1"/>
  <c r="F629" i="1"/>
  <c r="K629" i="1"/>
  <c r="L629" i="1"/>
  <c r="F630" i="1"/>
  <c r="L630" i="1" s="1"/>
  <c r="K630" i="1"/>
  <c r="P643" i="1"/>
  <c r="O643" i="1"/>
  <c r="J643" i="1"/>
  <c r="I643" i="1"/>
  <c r="E643" i="1"/>
  <c r="D643" i="1"/>
  <c r="B643" i="1"/>
  <c r="F643" i="1" s="1"/>
  <c r="K642" i="1"/>
  <c r="L642" i="1" s="1"/>
  <c r="F642" i="1"/>
  <c r="X641" i="1"/>
  <c r="S641" i="1"/>
  <c r="Y641" i="1" s="1"/>
  <c r="K641" i="1"/>
  <c r="F641" i="1"/>
  <c r="X639" i="1"/>
  <c r="S639" i="1"/>
  <c r="Y639" i="1" s="1"/>
  <c r="K639" i="1"/>
  <c r="F639" i="1"/>
  <c r="L639" i="1"/>
  <c r="X638" i="1"/>
  <c r="Y638" i="1" s="1"/>
  <c r="S638" i="1"/>
  <c r="K638" i="1"/>
  <c r="F638" i="1"/>
  <c r="L638" i="1" s="1"/>
  <c r="X637" i="1"/>
  <c r="S637" i="1"/>
  <c r="Y637" i="1"/>
  <c r="K637" i="1"/>
  <c r="F637" i="1"/>
  <c r="L637" i="1"/>
  <c r="X636" i="1"/>
  <c r="Y636" i="1" s="1"/>
  <c r="S636" i="1"/>
  <c r="F636" i="1"/>
  <c r="X635" i="1"/>
  <c r="Y635" i="1" s="1"/>
  <c r="S635" i="1"/>
  <c r="K635" i="1"/>
  <c r="L635" i="1" s="1"/>
  <c r="F635" i="1"/>
  <c r="X634" i="1"/>
  <c r="S634" i="1"/>
  <c r="Y634" i="1"/>
  <c r="K634" i="1"/>
  <c r="L634" i="1" s="1"/>
  <c r="F634" i="1"/>
  <c r="X633" i="1"/>
  <c r="S633" i="1"/>
  <c r="Y633" i="1" s="1"/>
  <c r="K633" i="1"/>
  <c r="L633" i="1" s="1"/>
  <c r="F633" i="1"/>
  <c r="X632" i="1"/>
  <c r="Y632" i="1" s="1"/>
  <c r="S632" i="1"/>
  <c r="K632" i="1"/>
  <c r="F632" i="1"/>
  <c r="K631" i="1"/>
  <c r="F631" i="1"/>
  <c r="L631" i="1" s="1"/>
  <c r="X630" i="1"/>
  <c r="S630" i="1"/>
  <c r="Y630" i="1"/>
  <c r="X628" i="1"/>
  <c r="S628" i="1"/>
  <c r="X627" i="1"/>
  <c r="S627" i="1"/>
  <c r="Y627" i="1" s="1"/>
  <c r="X626" i="1"/>
  <c r="S626" i="1"/>
  <c r="X625" i="1"/>
  <c r="S625" i="1"/>
  <c r="Y625" i="1" s="1"/>
  <c r="X624" i="1"/>
  <c r="S624" i="1"/>
  <c r="Y624" i="1" s="1"/>
  <c r="X623" i="1"/>
  <c r="S623" i="1"/>
  <c r="Y623" i="1" s="1"/>
  <c r="X616" i="1"/>
  <c r="S616" i="1"/>
  <c r="K616" i="1"/>
  <c r="F616" i="1"/>
  <c r="L616" i="1" s="1"/>
  <c r="X615" i="1"/>
  <c r="S615" i="1"/>
  <c r="Y615" i="1" s="1"/>
  <c r="K615" i="1"/>
  <c r="F615" i="1"/>
  <c r="L615" i="1" s="1"/>
  <c r="X614" i="1"/>
  <c r="S614" i="1"/>
  <c r="K614" i="1"/>
  <c r="F614" i="1"/>
  <c r="L614" i="1" s="1"/>
  <c r="X613" i="1"/>
  <c r="S613" i="1"/>
  <c r="Y613" i="1"/>
  <c r="K613" i="1"/>
  <c r="L613" i="1" s="1"/>
  <c r="F613" i="1"/>
  <c r="K578" i="1"/>
  <c r="F578" i="1"/>
  <c r="L578" i="1"/>
  <c r="K577" i="1"/>
  <c r="F577" i="1"/>
  <c r="L577" i="1"/>
  <c r="X581" i="1"/>
  <c r="S581" i="1"/>
  <c r="H562" i="1"/>
  <c r="H567" i="1" s="1"/>
  <c r="K539" i="1"/>
  <c r="F539" i="1"/>
  <c r="L539" i="1" s="1"/>
  <c r="K538" i="1"/>
  <c r="F538" i="1"/>
  <c r="L538" i="1"/>
  <c r="K537" i="1"/>
  <c r="F537" i="1"/>
  <c r="L537" i="1"/>
  <c r="K545" i="1"/>
  <c r="L545" i="1" s="1"/>
  <c r="F545" i="1"/>
  <c r="F546" i="1"/>
  <c r="L546" i="1" s="1"/>
  <c r="K546" i="1"/>
  <c r="F547" i="1"/>
  <c r="L547" i="1" s="1"/>
  <c r="K547" i="1"/>
  <c r="F548" i="1"/>
  <c r="K548" i="1"/>
  <c r="L548" i="1" s="1"/>
  <c r="F549" i="1"/>
  <c r="L549" i="1" s="1"/>
  <c r="K549" i="1"/>
  <c r="F550" i="1"/>
  <c r="K550" i="1"/>
  <c r="F551" i="1"/>
  <c r="L551" i="1" s="1"/>
  <c r="K551" i="1"/>
  <c r="F552" i="1"/>
  <c r="K552" i="1"/>
  <c r="L552" i="1"/>
  <c r="F553" i="1"/>
  <c r="K553" i="1"/>
  <c r="L553" i="1"/>
  <c r="F554" i="1"/>
  <c r="L554" i="1" s="1"/>
  <c r="K554" i="1"/>
  <c r="F555" i="1"/>
  <c r="K555" i="1"/>
  <c r="L555" i="1"/>
  <c r="F556" i="1"/>
  <c r="K556" i="1"/>
  <c r="L556" i="1"/>
  <c r="F557" i="1"/>
  <c r="L557" i="1" s="1"/>
  <c r="K557" i="1"/>
  <c r="F558" i="1"/>
  <c r="K558" i="1"/>
  <c r="F559" i="1"/>
  <c r="K559" i="1"/>
  <c r="L559" i="1"/>
  <c r="F560" i="1"/>
  <c r="K560" i="1"/>
  <c r="L560" i="1"/>
  <c r="F561" i="1"/>
  <c r="L561" i="1" s="1"/>
  <c r="K561" i="1"/>
  <c r="K540" i="1"/>
  <c r="F540" i="1"/>
  <c r="L540" i="1" s="1"/>
  <c r="X544" i="1"/>
  <c r="S544" i="1"/>
  <c r="Y544" i="1"/>
  <c r="S514" i="1"/>
  <c r="X514" i="1"/>
  <c r="S515" i="1"/>
  <c r="Y515" i="1"/>
  <c r="X515" i="1"/>
  <c r="S516" i="1"/>
  <c r="Y516" i="1" s="1"/>
  <c r="X516" i="1"/>
  <c r="X513" i="1"/>
  <c r="S513" i="1"/>
  <c r="Y513" i="1" s="1"/>
  <c r="Y512" i="1"/>
  <c r="X512" i="1"/>
  <c r="S512" i="1"/>
  <c r="X543" i="1"/>
  <c r="Y543" i="1" s="1"/>
  <c r="S543" i="1"/>
  <c r="X542" i="1"/>
  <c r="S542" i="1"/>
  <c r="Y542" i="1" s="1"/>
  <c r="G524" i="1"/>
  <c r="G521" i="1"/>
  <c r="K521" i="1" s="1"/>
  <c r="B521" i="1"/>
  <c r="Y508" i="1"/>
  <c r="X508" i="1"/>
  <c r="S508" i="1"/>
  <c r="I508" i="1"/>
  <c r="D508" i="1"/>
  <c r="D529" i="1" s="1"/>
  <c r="K463" i="1"/>
  <c r="F463" i="1"/>
  <c r="L463" i="1" s="1"/>
  <c r="X474" i="1"/>
  <c r="Y474" i="1" s="1"/>
  <c r="S474" i="1"/>
  <c r="C479" i="1"/>
  <c r="B479" i="1"/>
  <c r="S472" i="1"/>
  <c r="X472" i="1"/>
  <c r="Y472" i="1" s="1"/>
  <c r="X471" i="1"/>
  <c r="S471" i="1"/>
  <c r="Y471" i="1" s="1"/>
  <c r="K478" i="1"/>
  <c r="F478" i="1"/>
  <c r="L478" i="1" s="1"/>
  <c r="W605" i="1"/>
  <c r="R605" i="1"/>
  <c r="Q605" i="1"/>
  <c r="P605" i="1"/>
  <c r="O605" i="1"/>
  <c r="J605" i="1"/>
  <c r="G605" i="1"/>
  <c r="E605" i="1"/>
  <c r="D605" i="1"/>
  <c r="C605" i="1"/>
  <c r="K603" i="1"/>
  <c r="F603" i="1"/>
  <c r="L603" i="1"/>
  <c r="K602" i="1"/>
  <c r="F602" i="1"/>
  <c r="X601" i="1"/>
  <c r="Y601" i="1"/>
  <c r="S601" i="1"/>
  <c r="K601" i="1"/>
  <c r="F601" i="1"/>
  <c r="Y600" i="1"/>
  <c r="X600" i="1"/>
  <c r="S600" i="1"/>
  <c r="K600" i="1"/>
  <c r="F600" i="1"/>
  <c r="Y599" i="1"/>
  <c r="X599" i="1"/>
  <c r="S599" i="1"/>
  <c r="K599" i="1"/>
  <c r="F599" i="1"/>
  <c r="X598" i="1"/>
  <c r="S598" i="1"/>
  <c r="Y598" i="1"/>
  <c r="F598" i="1"/>
  <c r="X597" i="1"/>
  <c r="S597" i="1"/>
  <c r="Y597" i="1" s="1"/>
  <c r="K597" i="1"/>
  <c r="L597" i="1" s="1"/>
  <c r="F597" i="1"/>
  <c r="K596" i="1"/>
  <c r="F596" i="1"/>
  <c r="L596" i="1" s="1"/>
  <c r="X595" i="1"/>
  <c r="S595" i="1"/>
  <c r="X594" i="1"/>
  <c r="S594" i="1"/>
  <c r="Y594" i="1" s="1"/>
  <c r="K594" i="1"/>
  <c r="F594" i="1"/>
  <c r="X593" i="1"/>
  <c r="Y593" i="1"/>
  <c r="S593" i="1"/>
  <c r="K593" i="1"/>
  <c r="F593" i="1"/>
  <c r="L593" i="1" s="1"/>
  <c r="X592" i="1"/>
  <c r="Y592" i="1" s="1"/>
  <c r="S592" i="1"/>
  <c r="K592" i="1"/>
  <c r="F592" i="1"/>
  <c r="L592" i="1" s="1"/>
  <c r="X591" i="1"/>
  <c r="S591" i="1"/>
  <c r="Y591" i="1"/>
  <c r="X590" i="1"/>
  <c r="S590" i="1"/>
  <c r="K590" i="1"/>
  <c r="L590" i="1" s="1"/>
  <c r="F590" i="1"/>
  <c r="K589" i="1"/>
  <c r="F589" i="1"/>
  <c r="X588" i="1"/>
  <c r="Y588" i="1" s="1"/>
  <c r="S588" i="1"/>
  <c r="K588" i="1"/>
  <c r="F588" i="1"/>
  <c r="L588" i="1"/>
  <c r="X587" i="1"/>
  <c r="S587" i="1"/>
  <c r="Y587" i="1"/>
  <c r="K587" i="1"/>
  <c r="L587" i="1" s="1"/>
  <c r="F587" i="1"/>
  <c r="X586" i="1"/>
  <c r="S586" i="1"/>
  <c r="K586" i="1"/>
  <c r="F586" i="1"/>
  <c r="L586" i="1"/>
  <c r="K585" i="1"/>
  <c r="L585" i="1"/>
  <c r="F585" i="1"/>
  <c r="K584" i="1"/>
  <c r="L584" i="1" s="1"/>
  <c r="F584" i="1"/>
  <c r="K583" i="1"/>
  <c r="L583" i="1" s="1"/>
  <c r="F583" i="1"/>
  <c r="K582" i="1"/>
  <c r="F582" i="1"/>
  <c r="K581" i="1"/>
  <c r="L581" i="1" s="1"/>
  <c r="F581" i="1"/>
  <c r="X580" i="1"/>
  <c r="S580" i="1"/>
  <c r="K580" i="1"/>
  <c r="F580" i="1"/>
  <c r="X578" i="1"/>
  <c r="S578" i="1"/>
  <c r="X577" i="1"/>
  <c r="S577" i="1"/>
  <c r="Y577" i="1" s="1"/>
  <c r="X576" i="1"/>
  <c r="S576" i="1"/>
  <c r="Y576" i="1"/>
  <c r="K576" i="1"/>
  <c r="L576" i="1" s="1"/>
  <c r="F576" i="1"/>
  <c r="X575" i="1"/>
  <c r="S575" i="1"/>
  <c r="Y575" i="1" s="1"/>
  <c r="K575" i="1"/>
  <c r="L575" i="1" s="1"/>
  <c r="F575" i="1"/>
  <c r="J470" i="1"/>
  <c r="E470" i="1"/>
  <c r="F470" i="1" s="1"/>
  <c r="L470" i="1" s="1"/>
  <c r="J567" i="1"/>
  <c r="I567" i="1"/>
  <c r="G567" i="1"/>
  <c r="E567" i="1"/>
  <c r="D567" i="1"/>
  <c r="C567" i="1"/>
  <c r="B567" i="1"/>
  <c r="K566" i="1"/>
  <c r="F566" i="1"/>
  <c r="L566" i="1" s="1"/>
  <c r="K565" i="1"/>
  <c r="F565" i="1"/>
  <c r="K564" i="1"/>
  <c r="F564" i="1"/>
  <c r="L564" i="1" s="1"/>
  <c r="K563" i="1"/>
  <c r="F563" i="1"/>
  <c r="L563" i="1"/>
  <c r="K562" i="1"/>
  <c r="L562" i="1" s="1"/>
  <c r="F562" i="1"/>
  <c r="K544" i="1"/>
  <c r="F544" i="1"/>
  <c r="L544" i="1" s="1"/>
  <c r="K543" i="1"/>
  <c r="F543" i="1"/>
  <c r="L543" i="1" s="1"/>
  <c r="K542" i="1"/>
  <c r="F542" i="1"/>
  <c r="L542" i="1" s="1"/>
  <c r="L974" i="1"/>
  <c r="L973" i="1"/>
  <c r="L971" i="1"/>
  <c r="Y961" i="1"/>
  <c r="L967" i="1"/>
  <c r="L964" i="1"/>
  <c r="K985" i="1"/>
  <c r="L946" i="1"/>
  <c r="L943" i="1"/>
  <c r="Y932" i="1"/>
  <c r="L939" i="1"/>
  <c r="Y927" i="1"/>
  <c r="L937" i="1"/>
  <c r="L935" i="1"/>
  <c r="L933" i="1"/>
  <c r="Y946" i="1"/>
  <c r="Y923" i="1"/>
  <c r="L929" i="1"/>
  <c r="Y922" i="1"/>
  <c r="Y907" i="1"/>
  <c r="L927" i="1"/>
  <c r="L925" i="1"/>
  <c r="Y889" i="1"/>
  <c r="L908" i="1"/>
  <c r="L907" i="1"/>
  <c r="Y887" i="1"/>
  <c r="L906" i="1"/>
  <c r="L901" i="1"/>
  <c r="L893" i="1"/>
  <c r="L889" i="1"/>
  <c r="Y870" i="1"/>
  <c r="Y847" i="1"/>
  <c r="L884" i="1"/>
  <c r="L868" i="1"/>
  <c r="Y869" i="1"/>
  <c r="Y846" i="1"/>
  <c r="L865" i="1"/>
  <c r="L857" i="1"/>
  <c r="L855" i="1"/>
  <c r="K851" i="1"/>
  <c r="Y808" i="1"/>
  <c r="Y781" i="1"/>
  <c r="Y779" i="1"/>
  <c r="L826" i="1"/>
  <c r="L825" i="1"/>
  <c r="L824" i="1"/>
  <c r="Y777" i="1"/>
  <c r="X794" i="1"/>
  <c r="Y794" i="1"/>
  <c r="Y790" i="1"/>
  <c r="Y620" i="1"/>
  <c r="L805" i="1"/>
  <c r="L823" i="1"/>
  <c r="L820" i="1"/>
  <c r="Y792" i="1"/>
  <c r="Y773" i="1"/>
  <c r="L816" i="1"/>
  <c r="L815" i="1"/>
  <c r="L812" i="1"/>
  <c r="Y793" i="1"/>
  <c r="L809" i="1"/>
  <c r="F871" i="1"/>
  <c r="L803" i="1"/>
  <c r="L808" i="1"/>
  <c r="L793" i="1"/>
  <c r="L789" i="1"/>
  <c r="L768" i="1"/>
  <c r="L788" i="1"/>
  <c r="L787" i="1"/>
  <c r="L783" i="1"/>
  <c r="L765" i="1"/>
  <c r="L775" i="1"/>
  <c r="Y753" i="1"/>
  <c r="U757" i="1"/>
  <c r="L756" i="1"/>
  <c r="X756" i="1"/>
  <c r="Y756" i="1"/>
  <c r="Y811" i="1"/>
  <c r="Y813" i="1"/>
  <c r="L730" i="1"/>
  <c r="L751" i="1"/>
  <c r="L748" i="1"/>
  <c r="L729" i="1"/>
  <c r="L740" i="1"/>
  <c r="L739" i="1"/>
  <c r="Y680" i="1"/>
  <c r="L732" i="1"/>
  <c r="L716" i="1"/>
  <c r="L715" i="1"/>
  <c r="Y696" i="1"/>
  <c r="L712" i="1"/>
  <c r="L710" i="1"/>
  <c r="H719" i="1"/>
  <c r="K719" i="1" s="1"/>
  <c r="L719" i="1" s="1"/>
  <c r="L708" i="1"/>
  <c r="L706" i="1"/>
  <c r="L705" i="1"/>
  <c r="L699" i="1"/>
  <c r="L697" i="1"/>
  <c r="L691" i="1"/>
  <c r="J681" i="1"/>
  <c r="K681" i="1"/>
  <c r="L680" i="1"/>
  <c r="Y678" i="1"/>
  <c r="S757" i="1"/>
  <c r="L678" i="1"/>
  <c r="X640" i="1"/>
  <c r="Y640" i="1"/>
  <c r="Y651" i="1"/>
  <c r="Y689" i="1"/>
  <c r="L667" i="1"/>
  <c r="S642" i="1"/>
  <c r="Y642" i="1" s="1"/>
  <c r="L664" i="1"/>
  <c r="L661" i="1"/>
  <c r="L660" i="1"/>
  <c r="L657" i="1"/>
  <c r="X642" i="1"/>
  <c r="L651" i="1"/>
  <c r="L641" i="1"/>
  <c r="C643" i="1"/>
  <c r="L632" i="1"/>
  <c r="L627" i="1"/>
  <c r="Y595" i="1"/>
  <c r="L622" i="1"/>
  <c r="T605" i="1"/>
  <c r="X605" i="1"/>
  <c r="L620" i="1"/>
  <c r="Y604" i="1"/>
  <c r="Y590" i="1"/>
  <c r="L602" i="1"/>
  <c r="L601" i="1"/>
  <c r="L600" i="1"/>
  <c r="L594" i="1"/>
  <c r="Y614" i="1"/>
  <c r="Y616" i="1"/>
  <c r="Y626" i="1"/>
  <c r="Y628" i="1"/>
  <c r="L589" i="1"/>
  <c r="L580" i="1"/>
  <c r="L565" i="1"/>
  <c r="K567" i="1"/>
  <c r="S486" i="1"/>
  <c r="X486" i="1"/>
  <c r="Y486" i="1" s="1"/>
  <c r="S487" i="1"/>
  <c r="Y487" i="1" s="1"/>
  <c r="X487" i="1"/>
  <c r="S489" i="1"/>
  <c r="X489" i="1"/>
  <c r="S490" i="1"/>
  <c r="X490" i="1"/>
  <c r="Y490" i="1" s="1"/>
  <c r="X528" i="1"/>
  <c r="S528" i="1"/>
  <c r="Y528" i="1" s="1"/>
  <c r="X527" i="1"/>
  <c r="S527" i="1"/>
  <c r="S526" i="1"/>
  <c r="X526" i="1"/>
  <c r="W567" i="1"/>
  <c r="V567" i="1"/>
  <c r="U567" i="1"/>
  <c r="T567" i="1"/>
  <c r="R567" i="1"/>
  <c r="Q567" i="1"/>
  <c r="P567" i="1"/>
  <c r="O567" i="1"/>
  <c r="X563" i="1"/>
  <c r="S563" i="1"/>
  <c r="Y563" i="1"/>
  <c r="X562" i="1"/>
  <c r="S562" i="1"/>
  <c r="Y562" i="1" s="1"/>
  <c r="X561" i="1"/>
  <c r="S561" i="1"/>
  <c r="Y561" i="1" s="1"/>
  <c r="X560" i="1"/>
  <c r="S560" i="1"/>
  <c r="Y560" i="1" s="1"/>
  <c r="X559" i="1"/>
  <c r="Y559" i="1"/>
  <c r="S559" i="1"/>
  <c r="X558" i="1"/>
  <c r="S558" i="1"/>
  <c r="Y558" i="1"/>
  <c r="X557" i="1"/>
  <c r="S557" i="1"/>
  <c r="Y557" i="1" s="1"/>
  <c r="X556" i="1"/>
  <c r="S556" i="1"/>
  <c r="Y556" i="1" s="1"/>
  <c r="X555" i="1"/>
  <c r="S555" i="1"/>
  <c r="Y555" i="1" s="1"/>
  <c r="X554" i="1"/>
  <c r="Y554" i="1" s="1"/>
  <c r="S554" i="1"/>
  <c r="X553" i="1"/>
  <c r="S553" i="1"/>
  <c r="Y553" i="1" s="1"/>
  <c r="X552" i="1"/>
  <c r="S552" i="1"/>
  <c r="Y552" i="1"/>
  <c r="X551" i="1"/>
  <c r="Y551" i="1" s="1"/>
  <c r="S551" i="1"/>
  <c r="X550" i="1"/>
  <c r="S550" i="1"/>
  <c r="Y550" i="1" s="1"/>
  <c r="X548" i="1"/>
  <c r="S548" i="1"/>
  <c r="Y548" i="1" s="1"/>
  <c r="X547" i="1"/>
  <c r="S547" i="1"/>
  <c r="Y547" i="1" s="1"/>
  <c r="X546" i="1"/>
  <c r="S546" i="1"/>
  <c r="Y546" i="1" s="1"/>
  <c r="X545" i="1"/>
  <c r="S545" i="1"/>
  <c r="Y545" i="1" s="1"/>
  <c r="X540" i="1"/>
  <c r="Y540" i="1" s="1"/>
  <c r="S540" i="1"/>
  <c r="X539" i="1"/>
  <c r="S539" i="1"/>
  <c r="Y539" i="1"/>
  <c r="X538" i="1"/>
  <c r="Y538" i="1"/>
  <c r="S538" i="1"/>
  <c r="X537" i="1"/>
  <c r="Y537" i="1" s="1"/>
  <c r="S537" i="1"/>
  <c r="S488" i="1"/>
  <c r="X488" i="1"/>
  <c r="Y488" i="1"/>
  <c r="Y527" i="1"/>
  <c r="F461" i="1"/>
  <c r="K461" i="1"/>
  <c r="K425" i="1"/>
  <c r="L425" i="1" s="1"/>
  <c r="F425" i="1"/>
  <c r="F436" i="1"/>
  <c r="K436" i="1"/>
  <c r="L436" i="1" s="1"/>
  <c r="F437" i="1"/>
  <c r="K437" i="1"/>
  <c r="F438" i="1"/>
  <c r="K438" i="1"/>
  <c r="L438" i="1" s="1"/>
  <c r="F439" i="1"/>
  <c r="K439" i="1"/>
  <c r="F440" i="1"/>
  <c r="K440" i="1"/>
  <c r="L440" i="1" s="1"/>
  <c r="F441" i="1"/>
  <c r="K441" i="1"/>
  <c r="F442" i="1"/>
  <c r="K442" i="1"/>
  <c r="F443" i="1"/>
  <c r="K443" i="1"/>
  <c r="F444" i="1"/>
  <c r="J444" i="1"/>
  <c r="K444" i="1"/>
  <c r="F445" i="1"/>
  <c r="L445" i="1" s="1"/>
  <c r="K445" i="1"/>
  <c r="F446" i="1"/>
  <c r="K446" i="1"/>
  <c r="L446" i="1"/>
  <c r="F447" i="1"/>
  <c r="J447" i="1"/>
  <c r="K447" i="1" s="1"/>
  <c r="F448" i="1"/>
  <c r="K448" i="1"/>
  <c r="C449" i="1"/>
  <c r="F449" i="1"/>
  <c r="H449" i="1"/>
  <c r="I449" i="1"/>
  <c r="J449" i="1"/>
  <c r="F450" i="1"/>
  <c r="L450" i="1" s="1"/>
  <c r="K450" i="1"/>
  <c r="S398" i="1"/>
  <c r="Y398" i="1"/>
  <c r="X398" i="1"/>
  <c r="X428" i="1"/>
  <c r="S428" i="1"/>
  <c r="Y428" i="1" s="1"/>
  <c r="X466" i="1"/>
  <c r="Y466" i="1" s="1"/>
  <c r="S466" i="1"/>
  <c r="S451" i="1"/>
  <c r="X451" i="1"/>
  <c r="Y451" i="1" s="1"/>
  <c r="S452" i="1"/>
  <c r="X452" i="1"/>
  <c r="Y452" i="1"/>
  <c r="L461" i="1"/>
  <c r="L437" i="1"/>
  <c r="L439" i="1"/>
  <c r="L443" i="1"/>
  <c r="L441" i="1"/>
  <c r="S429" i="1"/>
  <c r="X429" i="1"/>
  <c r="S430" i="1"/>
  <c r="X430" i="1"/>
  <c r="Y430" i="1" s="1"/>
  <c r="S431" i="1"/>
  <c r="X431" i="1"/>
  <c r="S432" i="1"/>
  <c r="X432" i="1"/>
  <c r="Y432" i="1" s="1"/>
  <c r="S433" i="1"/>
  <c r="Y433" i="1"/>
  <c r="X433" i="1"/>
  <c r="X397" i="1"/>
  <c r="Y397" i="1" s="1"/>
  <c r="S397" i="1"/>
  <c r="Y429" i="1"/>
  <c r="W529" i="1"/>
  <c r="V529" i="1"/>
  <c r="U529" i="1"/>
  <c r="T529" i="1"/>
  <c r="X529" i="1" s="1"/>
  <c r="R529" i="1"/>
  <c r="Q529" i="1"/>
  <c r="P529" i="1"/>
  <c r="O529" i="1"/>
  <c r="J529" i="1"/>
  <c r="I529" i="1"/>
  <c r="H529" i="1"/>
  <c r="G529" i="1"/>
  <c r="K529" i="1" s="1"/>
  <c r="E529" i="1"/>
  <c r="C529" i="1"/>
  <c r="B529" i="1"/>
  <c r="K528" i="1"/>
  <c r="F528" i="1"/>
  <c r="K527" i="1"/>
  <c r="F527" i="1"/>
  <c r="L527" i="1" s="1"/>
  <c r="K526" i="1"/>
  <c r="F526" i="1"/>
  <c r="L526" i="1" s="1"/>
  <c r="X525" i="1"/>
  <c r="S525" i="1"/>
  <c r="Y525" i="1" s="1"/>
  <c r="K525" i="1"/>
  <c r="F525" i="1"/>
  <c r="X524" i="1"/>
  <c r="S524" i="1"/>
  <c r="Y524" i="1" s="1"/>
  <c r="K524" i="1"/>
  <c r="F524" i="1"/>
  <c r="X523" i="1"/>
  <c r="S523" i="1"/>
  <c r="Y523" i="1" s="1"/>
  <c r="K523" i="1"/>
  <c r="F523" i="1"/>
  <c r="L523" i="1" s="1"/>
  <c r="X522" i="1"/>
  <c r="S522" i="1"/>
  <c r="Y522" i="1" s="1"/>
  <c r="K522" i="1"/>
  <c r="F522" i="1"/>
  <c r="L522" i="1" s="1"/>
  <c r="X521" i="1"/>
  <c r="S521" i="1"/>
  <c r="Y521" i="1" s="1"/>
  <c r="F521" i="1"/>
  <c r="L521" i="1" s="1"/>
  <c r="X520" i="1"/>
  <c r="S520" i="1"/>
  <c r="K520" i="1"/>
  <c r="F520" i="1"/>
  <c r="X519" i="1"/>
  <c r="S519" i="1"/>
  <c r="Y519" i="1" s="1"/>
  <c r="K519" i="1"/>
  <c r="F519" i="1"/>
  <c r="X518" i="1"/>
  <c r="S518" i="1"/>
  <c r="K518" i="1"/>
  <c r="F518" i="1"/>
  <c r="L518" i="1" s="1"/>
  <c r="X517" i="1"/>
  <c r="S517" i="1"/>
  <c r="Y517" i="1" s="1"/>
  <c r="K517" i="1"/>
  <c r="F517" i="1"/>
  <c r="L517" i="1" s="1"/>
  <c r="K516" i="1"/>
  <c r="F516" i="1"/>
  <c r="K515" i="1"/>
  <c r="F515" i="1"/>
  <c r="L515" i="1" s="1"/>
  <c r="K514" i="1"/>
  <c r="F514" i="1"/>
  <c r="L514" i="1" s="1"/>
  <c r="K513" i="1"/>
  <c r="F513" i="1"/>
  <c r="L513" i="1" s="1"/>
  <c r="K512" i="1"/>
  <c r="F512" i="1"/>
  <c r="X511" i="1"/>
  <c r="S511" i="1"/>
  <c r="Y511" i="1" s="1"/>
  <c r="K511" i="1"/>
  <c r="F511" i="1"/>
  <c r="L511" i="1" s="1"/>
  <c r="X510" i="1"/>
  <c r="S510" i="1"/>
  <c r="Y510" i="1" s="1"/>
  <c r="K510" i="1"/>
  <c r="F510" i="1"/>
  <c r="X509" i="1"/>
  <c r="S509" i="1"/>
  <c r="K509" i="1"/>
  <c r="F509" i="1"/>
  <c r="K508" i="1"/>
  <c r="F508" i="1"/>
  <c r="L508" i="1" s="1"/>
  <c r="X507" i="1"/>
  <c r="S507" i="1"/>
  <c r="Y507" i="1" s="1"/>
  <c r="K507" i="1"/>
  <c r="F507" i="1"/>
  <c r="L507" i="1" s="1"/>
  <c r="X506" i="1"/>
  <c r="S506" i="1"/>
  <c r="K506" i="1"/>
  <c r="F506" i="1"/>
  <c r="L506" i="1" s="1"/>
  <c r="X505" i="1"/>
  <c r="S505" i="1"/>
  <c r="K505" i="1"/>
  <c r="F505" i="1"/>
  <c r="L505" i="1" s="1"/>
  <c r="X504" i="1"/>
  <c r="S504" i="1"/>
  <c r="Y504" i="1" s="1"/>
  <c r="K504" i="1"/>
  <c r="F504" i="1"/>
  <c r="L504" i="1" s="1"/>
  <c r="X502" i="1"/>
  <c r="S502" i="1"/>
  <c r="K502" i="1"/>
  <c r="F502" i="1"/>
  <c r="L502" i="1" s="1"/>
  <c r="X501" i="1"/>
  <c r="S501" i="1"/>
  <c r="Y501" i="1" s="1"/>
  <c r="K501" i="1"/>
  <c r="F501" i="1"/>
  <c r="L501" i="1" s="1"/>
  <c r="X500" i="1"/>
  <c r="S500" i="1"/>
  <c r="Y500" i="1" s="1"/>
  <c r="K500" i="1"/>
  <c r="F500" i="1"/>
  <c r="L500" i="1" s="1"/>
  <c r="X499" i="1"/>
  <c r="S499" i="1"/>
  <c r="K499" i="1"/>
  <c r="F499" i="1"/>
  <c r="L499" i="1" s="1"/>
  <c r="H431" i="1"/>
  <c r="K431" i="1" s="1"/>
  <c r="C431" i="1"/>
  <c r="C453" i="1" s="1"/>
  <c r="F453" i="1" s="1"/>
  <c r="X393" i="1"/>
  <c r="S393" i="1"/>
  <c r="Y393" i="1" s="1"/>
  <c r="Y499" i="1"/>
  <c r="Y520" i="1"/>
  <c r="L525" i="1"/>
  <c r="L528" i="1"/>
  <c r="L509" i="1"/>
  <c r="L512" i="1"/>
  <c r="L519" i="1"/>
  <c r="Y518" i="1"/>
  <c r="L520" i="1"/>
  <c r="L516" i="1"/>
  <c r="F529" i="1"/>
  <c r="Y506" i="1"/>
  <c r="L524" i="1"/>
  <c r="Y502" i="1"/>
  <c r="Y505" i="1"/>
  <c r="Y509" i="1"/>
  <c r="L510" i="1"/>
  <c r="S529" i="1"/>
  <c r="Y529" i="1" s="1"/>
  <c r="X391" i="1"/>
  <c r="S391" i="1"/>
  <c r="Y391" i="1" s="1"/>
  <c r="G407" i="1"/>
  <c r="B407" i="1"/>
  <c r="X357" i="1"/>
  <c r="Y357" i="1" s="1"/>
  <c r="S357" i="1"/>
  <c r="J396" i="1"/>
  <c r="J415" i="1" s="1"/>
  <c r="H396" i="1"/>
  <c r="H415" i="1" s="1"/>
  <c r="G396" i="1"/>
  <c r="E396" i="1"/>
  <c r="E415" i="1" s="1"/>
  <c r="C396" i="1"/>
  <c r="B396" i="1"/>
  <c r="F396" i="1" s="1"/>
  <c r="I396" i="1"/>
  <c r="D396" i="1"/>
  <c r="G394" i="1"/>
  <c r="B394" i="1"/>
  <c r="X353" i="1"/>
  <c r="S353" i="1"/>
  <c r="Y353" i="1" s="1"/>
  <c r="J491" i="1"/>
  <c r="I491" i="1"/>
  <c r="K491" i="1" s="1"/>
  <c r="H491" i="1"/>
  <c r="G491" i="1"/>
  <c r="D491" i="1"/>
  <c r="C491" i="1"/>
  <c r="K490" i="1"/>
  <c r="F490" i="1"/>
  <c r="L490" i="1" s="1"/>
  <c r="K489" i="1"/>
  <c r="F489" i="1"/>
  <c r="L489" i="1" s="1"/>
  <c r="K488" i="1"/>
  <c r="F488" i="1"/>
  <c r="L488" i="1" s="1"/>
  <c r="K487" i="1"/>
  <c r="F487" i="1"/>
  <c r="L487" i="1" s="1"/>
  <c r="K486" i="1"/>
  <c r="F486" i="1"/>
  <c r="L486" i="1" s="1"/>
  <c r="K485" i="1"/>
  <c r="F485" i="1"/>
  <c r="K484" i="1"/>
  <c r="F484" i="1"/>
  <c r="L484" i="1" s="1"/>
  <c r="K483" i="1"/>
  <c r="F483" i="1"/>
  <c r="L483" i="1" s="1"/>
  <c r="K482" i="1"/>
  <c r="F482" i="1"/>
  <c r="K481" i="1"/>
  <c r="F481" i="1"/>
  <c r="K480" i="1"/>
  <c r="F480" i="1"/>
  <c r="L480" i="1" s="1"/>
  <c r="K479" i="1"/>
  <c r="K477" i="1"/>
  <c r="F477" i="1"/>
  <c r="L477" i="1" s="1"/>
  <c r="K476" i="1"/>
  <c r="F476" i="1"/>
  <c r="K475" i="1"/>
  <c r="F475" i="1"/>
  <c r="L475" i="1" s="1"/>
  <c r="K474" i="1"/>
  <c r="F474" i="1"/>
  <c r="L474" i="1" s="1"/>
  <c r="K473" i="1"/>
  <c r="F473" i="1"/>
  <c r="L473" i="1" s="1"/>
  <c r="K472" i="1"/>
  <c r="F472" i="1"/>
  <c r="K471" i="1"/>
  <c r="F471" i="1"/>
  <c r="L471" i="1" s="1"/>
  <c r="K470" i="1"/>
  <c r="K469" i="1"/>
  <c r="F469" i="1"/>
  <c r="L469" i="1" s="1"/>
  <c r="K468" i="1"/>
  <c r="F468" i="1"/>
  <c r="K467" i="1"/>
  <c r="F467" i="1"/>
  <c r="L467" i="1" s="1"/>
  <c r="K466" i="1"/>
  <c r="F466" i="1"/>
  <c r="K464" i="1"/>
  <c r="F464" i="1"/>
  <c r="L464" i="1" s="1"/>
  <c r="K462" i="1"/>
  <c r="F462" i="1"/>
  <c r="S449" i="1"/>
  <c r="Y449" i="1" s="1"/>
  <c r="X449" i="1"/>
  <c r="S450" i="1"/>
  <c r="X450" i="1"/>
  <c r="W491" i="1"/>
  <c r="V491" i="1"/>
  <c r="U491" i="1"/>
  <c r="T491" i="1"/>
  <c r="R491" i="1"/>
  <c r="Q491" i="1"/>
  <c r="S491" i="1" s="1"/>
  <c r="P491" i="1"/>
  <c r="O491" i="1"/>
  <c r="X485" i="1"/>
  <c r="S485" i="1"/>
  <c r="X484" i="1"/>
  <c r="S484" i="1"/>
  <c r="X483" i="1"/>
  <c r="S483" i="1"/>
  <c r="X482" i="1"/>
  <c r="S482" i="1"/>
  <c r="X481" i="1"/>
  <c r="S481" i="1"/>
  <c r="X480" i="1"/>
  <c r="S480" i="1"/>
  <c r="X479" i="1"/>
  <c r="S479" i="1"/>
  <c r="Y479" i="1" s="1"/>
  <c r="X478" i="1"/>
  <c r="S478" i="1"/>
  <c r="X477" i="1"/>
  <c r="S477" i="1"/>
  <c r="X476" i="1"/>
  <c r="S476" i="1"/>
  <c r="Y476" i="1" s="1"/>
  <c r="X475" i="1"/>
  <c r="S475" i="1"/>
  <c r="Y475" i="1" s="1"/>
  <c r="X473" i="1"/>
  <c r="S473" i="1"/>
  <c r="X470" i="1"/>
  <c r="S470" i="1"/>
  <c r="Y470" i="1" s="1"/>
  <c r="X469" i="1"/>
  <c r="S469" i="1"/>
  <c r="X468" i="1"/>
  <c r="S468" i="1"/>
  <c r="Y468" i="1" s="1"/>
  <c r="X467" i="1"/>
  <c r="S467" i="1"/>
  <c r="X464" i="1"/>
  <c r="S464" i="1"/>
  <c r="Y464" i="1" s="1"/>
  <c r="X463" i="1"/>
  <c r="S463" i="1"/>
  <c r="Y463" i="1" s="1"/>
  <c r="X462" i="1"/>
  <c r="S462" i="1"/>
  <c r="Y462" i="1" s="1"/>
  <c r="X461" i="1"/>
  <c r="S461" i="1"/>
  <c r="Y461" i="1" s="1"/>
  <c r="S424" i="1"/>
  <c r="Y424" i="1" s="1"/>
  <c r="X424" i="1"/>
  <c r="S425" i="1"/>
  <c r="X425" i="1"/>
  <c r="X387" i="1"/>
  <c r="S387" i="1"/>
  <c r="Y387" i="1" s="1"/>
  <c r="X386" i="1"/>
  <c r="S386" i="1"/>
  <c r="F428" i="1"/>
  <c r="K428" i="1"/>
  <c r="I453" i="1"/>
  <c r="G453" i="1"/>
  <c r="E453" i="1"/>
  <c r="D453" i="1"/>
  <c r="B453" i="1"/>
  <c r="K452" i="1"/>
  <c r="F452" i="1"/>
  <c r="L452" i="1" s="1"/>
  <c r="K451" i="1"/>
  <c r="F451" i="1"/>
  <c r="K435" i="1"/>
  <c r="F435" i="1"/>
  <c r="L435" i="1" s="1"/>
  <c r="K434" i="1"/>
  <c r="F434" i="1"/>
  <c r="K433" i="1"/>
  <c r="F433" i="1"/>
  <c r="K432" i="1"/>
  <c r="F432" i="1"/>
  <c r="F431" i="1"/>
  <c r="L431" i="1" s="1"/>
  <c r="K430" i="1"/>
  <c r="F430" i="1"/>
  <c r="L430" i="1" s="1"/>
  <c r="K429" i="1"/>
  <c r="F429" i="1"/>
  <c r="L429" i="1" s="1"/>
  <c r="K424" i="1"/>
  <c r="F424" i="1"/>
  <c r="K423" i="1"/>
  <c r="F423" i="1"/>
  <c r="L423" i="1" s="1"/>
  <c r="S411" i="1"/>
  <c r="X411" i="1"/>
  <c r="S412" i="1"/>
  <c r="X412" i="1"/>
  <c r="Y412" i="1" s="1"/>
  <c r="S413" i="1"/>
  <c r="X413" i="1"/>
  <c r="S414" i="1"/>
  <c r="X414" i="1"/>
  <c r="Y414" i="1" s="1"/>
  <c r="W453" i="1"/>
  <c r="V453" i="1"/>
  <c r="U453" i="1"/>
  <c r="T453" i="1"/>
  <c r="R453" i="1"/>
  <c r="Q453" i="1"/>
  <c r="P453" i="1"/>
  <c r="O453" i="1"/>
  <c r="S453" i="1" s="1"/>
  <c r="Y453" i="1" s="1"/>
  <c r="X448" i="1"/>
  <c r="S448" i="1"/>
  <c r="X447" i="1"/>
  <c r="S447" i="1"/>
  <c r="Y447" i="1" s="1"/>
  <c r="X446" i="1"/>
  <c r="S446" i="1"/>
  <c r="Y446" i="1" s="1"/>
  <c r="X445" i="1"/>
  <c r="S445" i="1"/>
  <c r="X444" i="1"/>
  <c r="S444" i="1"/>
  <c r="Y444" i="1" s="1"/>
  <c r="X443" i="1"/>
  <c r="S443" i="1"/>
  <c r="Y443" i="1" s="1"/>
  <c r="X442" i="1"/>
  <c r="S442" i="1"/>
  <c r="Y442" i="1" s="1"/>
  <c r="X441" i="1"/>
  <c r="S441" i="1"/>
  <c r="X440" i="1"/>
  <c r="S440" i="1"/>
  <c r="X439" i="1"/>
  <c r="S439" i="1"/>
  <c r="Y439" i="1" s="1"/>
  <c r="X438" i="1"/>
  <c r="S438" i="1"/>
  <c r="X437" i="1"/>
  <c r="S437" i="1"/>
  <c r="Y437" i="1" s="1"/>
  <c r="X436" i="1"/>
  <c r="S436" i="1"/>
  <c r="Y436" i="1" s="1"/>
  <c r="X435" i="1"/>
  <c r="S435" i="1"/>
  <c r="Y435" i="1" s="1"/>
  <c r="X434" i="1"/>
  <c r="S434" i="1"/>
  <c r="Y434" i="1" s="1"/>
  <c r="X426" i="1"/>
  <c r="S426" i="1"/>
  <c r="Y426" i="1" s="1"/>
  <c r="X423" i="1"/>
  <c r="S423" i="1"/>
  <c r="L476" i="1"/>
  <c r="Y438" i="1"/>
  <c r="Y445" i="1"/>
  <c r="Y448" i="1"/>
  <c r="L472" i="1"/>
  <c r="Y484" i="1"/>
  <c r="L466" i="1"/>
  <c r="L434" i="1"/>
  <c r="Y480" i="1"/>
  <c r="Y386" i="1"/>
  <c r="Y478" i="1"/>
  <c r="Y450" i="1"/>
  <c r="L462" i="1"/>
  <c r="X453" i="1"/>
  <c r="Y483" i="1"/>
  <c r="Y413" i="1"/>
  <c r="Y467" i="1"/>
  <c r="Y440" i="1"/>
  <c r="L424" i="1"/>
  <c r="L432" i="1"/>
  <c r="Y423" i="1"/>
  <c r="Y441" i="1"/>
  <c r="Y411" i="1"/>
  <c r="L433" i="1"/>
  <c r="L451" i="1"/>
  <c r="Y425" i="1"/>
  <c r="Y482" i="1"/>
  <c r="L468" i="1"/>
  <c r="L482" i="1"/>
  <c r="Y469" i="1"/>
  <c r="Y481" i="1"/>
  <c r="L485" i="1"/>
  <c r="Y477" i="1"/>
  <c r="L481" i="1"/>
  <c r="Y473" i="1"/>
  <c r="Y485" i="1"/>
  <c r="F369" i="1"/>
  <c r="K369" i="1"/>
  <c r="K368" i="1"/>
  <c r="F368" i="1"/>
  <c r="L368" i="1" s="1"/>
  <c r="K349" i="1"/>
  <c r="F349" i="1"/>
  <c r="K348" i="1"/>
  <c r="F348" i="1"/>
  <c r="F358" i="1"/>
  <c r="K358" i="1"/>
  <c r="L358" i="1" s="1"/>
  <c r="F359" i="1"/>
  <c r="K359" i="1"/>
  <c r="L359" i="1" s="1"/>
  <c r="F360" i="1"/>
  <c r="K360" i="1"/>
  <c r="C361" i="1"/>
  <c r="D361" i="1"/>
  <c r="D377" i="1" s="1"/>
  <c r="H361" i="1"/>
  <c r="K361" i="1"/>
  <c r="F362" i="1"/>
  <c r="K362" i="1"/>
  <c r="F363" i="1"/>
  <c r="K363" i="1"/>
  <c r="F364" i="1"/>
  <c r="K364" i="1"/>
  <c r="L364" i="1" s="1"/>
  <c r="F365" i="1"/>
  <c r="K365" i="1"/>
  <c r="F366" i="1"/>
  <c r="K366" i="1"/>
  <c r="L366" i="1" s="1"/>
  <c r="F367" i="1"/>
  <c r="K367" i="1"/>
  <c r="L367" i="1" s="1"/>
  <c r="F361" i="1"/>
  <c r="L361" i="1" s="1"/>
  <c r="L363" i="1"/>
  <c r="L362" i="1"/>
  <c r="L348" i="1"/>
  <c r="L349" i="1"/>
  <c r="L365" i="1"/>
  <c r="L369" i="1"/>
  <c r="L360" i="1"/>
  <c r="X334" i="1"/>
  <c r="S334" i="1"/>
  <c r="X333" i="1"/>
  <c r="S333" i="1"/>
  <c r="G356" i="1"/>
  <c r="B356" i="1"/>
  <c r="X329" i="1"/>
  <c r="S329" i="1"/>
  <c r="Y329" i="1" s="1"/>
  <c r="B337" i="1"/>
  <c r="G337" i="1"/>
  <c r="H337" i="1"/>
  <c r="C337" i="1"/>
  <c r="S324" i="1"/>
  <c r="Y324" i="1" s="1"/>
  <c r="X324" i="1"/>
  <c r="S325" i="1"/>
  <c r="X325" i="1"/>
  <c r="S326" i="1"/>
  <c r="X326" i="1"/>
  <c r="S327" i="1"/>
  <c r="Y327" i="1" s="1"/>
  <c r="X327" i="1"/>
  <c r="S328" i="1"/>
  <c r="Y328" i="1" s="1"/>
  <c r="X328" i="1"/>
  <c r="Y334" i="1"/>
  <c r="Y333" i="1"/>
  <c r="Y326" i="1"/>
  <c r="F331" i="1"/>
  <c r="K331" i="1"/>
  <c r="K311" i="1"/>
  <c r="L311" i="1" s="1"/>
  <c r="F311" i="1"/>
  <c r="K310" i="1"/>
  <c r="F310" i="1"/>
  <c r="L310" i="1" s="1"/>
  <c r="F321" i="1"/>
  <c r="K321" i="1"/>
  <c r="F322" i="1"/>
  <c r="K322" i="1"/>
  <c r="F323" i="1"/>
  <c r="L323" i="1" s="1"/>
  <c r="K323" i="1"/>
  <c r="C324" i="1"/>
  <c r="F324" i="1"/>
  <c r="K324" i="1"/>
  <c r="F325" i="1"/>
  <c r="K325" i="1"/>
  <c r="F326" i="1"/>
  <c r="K326" i="1"/>
  <c r="F327" i="1"/>
  <c r="K327" i="1"/>
  <c r="F328" i="1"/>
  <c r="K328" i="1"/>
  <c r="F329" i="1"/>
  <c r="K329" i="1"/>
  <c r="F330" i="1"/>
  <c r="K330" i="1"/>
  <c r="L321" i="1"/>
  <c r="L328" i="1"/>
  <c r="L330" i="1"/>
  <c r="L329" i="1"/>
  <c r="L325" i="1"/>
  <c r="L327" i="1"/>
  <c r="X321" i="1"/>
  <c r="S321" i="1"/>
  <c r="Y321" i="1" s="1"/>
  <c r="X320" i="1"/>
  <c r="S320" i="1"/>
  <c r="Y320" i="1"/>
  <c r="X319" i="1"/>
  <c r="Y319" i="1" s="1"/>
  <c r="S319" i="1"/>
  <c r="S296" i="1"/>
  <c r="X296" i="1"/>
  <c r="S297" i="1"/>
  <c r="Y297" i="1" s="1"/>
  <c r="X297" i="1"/>
  <c r="S298" i="1"/>
  <c r="X298" i="1"/>
  <c r="X300" i="1"/>
  <c r="Y300" i="1" s="1"/>
  <c r="S300" i="1"/>
  <c r="X299" i="1"/>
  <c r="S299" i="1"/>
  <c r="Y299" i="1" s="1"/>
  <c r="X337" i="1"/>
  <c r="Y337" i="1" s="1"/>
  <c r="S337" i="1"/>
  <c r="Y296" i="1"/>
  <c r="Y298" i="1"/>
  <c r="S338" i="1"/>
  <c r="S336" i="1"/>
  <c r="X336" i="1"/>
  <c r="Y336" i="1" s="1"/>
  <c r="X338" i="1"/>
  <c r="X292" i="1"/>
  <c r="S292" i="1"/>
  <c r="Y292" i="1" s="1"/>
  <c r="Y338" i="1"/>
  <c r="H315" i="1"/>
  <c r="K315" i="1" s="1"/>
  <c r="C315" i="1"/>
  <c r="X280" i="1"/>
  <c r="S280" i="1"/>
  <c r="Y280" i="1"/>
  <c r="X279" i="1"/>
  <c r="S279" i="1"/>
  <c r="G295" i="1"/>
  <c r="B295" i="1"/>
  <c r="B301" i="1" s="1"/>
  <c r="H292" i="1"/>
  <c r="C292" i="1"/>
  <c r="K273" i="1"/>
  <c r="F273" i="1"/>
  <c r="L273" i="1" s="1"/>
  <c r="Y279" i="1"/>
  <c r="X253" i="1"/>
  <c r="S253" i="1"/>
  <c r="Y253" i="1" s="1"/>
  <c r="G284" i="1"/>
  <c r="B284" i="1"/>
  <c r="S409" i="1"/>
  <c r="X409" i="1"/>
  <c r="Y409" i="1" s="1"/>
  <c r="S410" i="1"/>
  <c r="Y410" i="1" s="1"/>
  <c r="X410" i="1"/>
  <c r="C259" i="1"/>
  <c r="F259" i="1" s="1"/>
  <c r="X247" i="1"/>
  <c r="S247" i="1"/>
  <c r="S274" i="1"/>
  <c r="X274" i="1"/>
  <c r="F300" i="1"/>
  <c r="K300" i="1"/>
  <c r="L300" i="1" s="1"/>
  <c r="Y247" i="1"/>
  <c r="Y274" i="1"/>
  <c r="X243" i="1"/>
  <c r="S243" i="1"/>
  <c r="Y243" i="1"/>
  <c r="I415" i="1"/>
  <c r="G415" i="1"/>
  <c r="K415" i="1" s="1"/>
  <c r="D415" i="1"/>
  <c r="C415" i="1"/>
  <c r="K413" i="1"/>
  <c r="F413" i="1"/>
  <c r="L413" i="1" s="1"/>
  <c r="K412" i="1"/>
  <c r="F412" i="1"/>
  <c r="K411" i="1"/>
  <c r="F411" i="1"/>
  <c r="L411" i="1" s="1"/>
  <c r="K410" i="1"/>
  <c r="F410" i="1"/>
  <c r="K409" i="1"/>
  <c r="F409" i="1"/>
  <c r="L409" i="1" s="1"/>
  <c r="K408" i="1"/>
  <c r="F408" i="1"/>
  <c r="K407" i="1"/>
  <c r="F407" i="1"/>
  <c r="L407" i="1" s="1"/>
  <c r="K406" i="1"/>
  <c r="F406" i="1"/>
  <c r="K405" i="1"/>
  <c r="F405" i="1"/>
  <c r="L405" i="1" s="1"/>
  <c r="K404" i="1"/>
  <c r="L404" i="1" s="1"/>
  <c r="F404" i="1"/>
  <c r="K403" i="1"/>
  <c r="F403" i="1"/>
  <c r="K402" i="1"/>
  <c r="L402" i="1" s="1"/>
  <c r="F402" i="1"/>
  <c r="K401" i="1"/>
  <c r="F401" i="1"/>
  <c r="L401" i="1" s="1"/>
  <c r="K400" i="1"/>
  <c r="L400" i="1" s="1"/>
  <c r="F400" i="1"/>
  <c r="K399" i="1"/>
  <c r="F399" i="1"/>
  <c r="L399" i="1" s="1"/>
  <c r="K398" i="1"/>
  <c r="F398" i="1"/>
  <c r="K397" i="1"/>
  <c r="F397" i="1"/>
  <c r="K395" i="1"/>
  <c r="F395" i="1"/>
  <c r="L395" i="1" s="1"/>
  <c r="K394" i="1"/>
  <c r="K393" i="1"/>
  <c r="F393" i="1"/>
  <c r="L393" i="1" s="1"/>
  <c r="K392" i="1"/>
  <c r="F392" i="1"/>
  <c r="K391" i="1"/>
  <c r="F391" i="1"/>
  <c r="K390" i="1"/>
  <c r="F390" i="1"/>
  <c r="K388" i="1"/>
  <c r="F388" i="1"/>
  <c r="K387" i="1"/>
  <c r="L387" i="1" s="1"/>
  <c r="F387" i="1"/>
  <c r="K386" i="1"/>
  <c r="F386" i="1"/>
  <c r="K385" i="1"/>
  <c r="L385" i="1" s="1"/>
  <c r="F385" i="1"/>
  <c r="S372" i="1"/>
  <c r="X372" i="1"/>
  <c r="S373" i="1"/>
  <c r="Y373" i="1" s="1"/>
  <c r="X373" i="1"/>
  <c r="S374" i="1"/>
  <c r="X374" i="1"/>
  <c r="S375" i="1"/>
  <c r="Y375" i="1" s="1"/>
  <c r="X375" i="1"/>
  <c r="S376" i="1"/>
  <c r="X376" i="1"/>
  <c r="W415" i="1"/>
  <c r="V415" i="1"/>
  <c r="U415" i="1"/>
  <c r="T415" i="1"/>
  <c r="R415" i="1"/>
  <c r="Q415" i="1"/>
  <c r="P415" i="1"/>
  <c r="O415" i="1"/>
  <c r="S415" i="1" s="1"/>
  <c r="X408" i="1"/>
  <c r="S408" i="1"/>
  <c r="X407" i="1"/>
  <c r="S407" i="1"/>
  <c r="X406" i="1"/>
  <c r="S406" i="1"/>
  <c r="X405" i="1"/>
  <c r="S405" i="1"/>
  <c r="Y405" i="1" s="1"/>
  <c r="X404" i="1"/>
  <c r="S404" i="1"/>
  <c r="X403" i="1"/>
  <c r="S403" i="1"/>
  <c r="Y403" i="1" s="1"/>
  <c r="X402" i="1"/>
  <c r="Y402" i="1" s="1"/>
  <c r="S402" i="1"/>
  <c r="X401" i="1"/>
  <c r="S401" i="1"/>
  <c r="Y401" i="1" s="1"/>
  <c r="X400" i="1"/>
  <c r="S400" i="1"/>
  <c r="X399" i="1"/>
  <c r="S399" i="1"/>
  <c r="Y399" i="1" s="1"/>
  <c r="X396" i="1"/>
  <c r="S396" i="1"/>
  <c r="X395" i="1"/>
  <c r="S395" i="1"/>
  <c r="Y395" i="1" s="1"/>
  <c r="X394" i="1"/>
  <c r="S394" i="1"/>
  <c r="X392" i="1"/>
  <c r="S392" i="1"/>
  <c r="X390" i="1"/>
  <c r="Y390" i="1" s="1"/>
  <c r="S390" i="1"/>
  <c r="X388" i="1"/>
  <c r="S388" i="1"/>
  <c r="Y388" i="1" s="1"/>
  <c r="X385" i="1"/>
  <c r="Y385" i="1" s="1"/>
  <c r="S385" i="1"/>
  <c r="X259" i="1"/>
  <c r="S259" i="1"/>
  <c r="Y259" i="1" s="1"/>
  <c r="X258" i="1"/>
  <c r="S258" i="1"/>
  <c r="L398" i="1"/>
  <c r="Y376" i="1"/>
  <c r="L412" i="1"/>
  <c r="L406" i="1"/>
  <c r="L408" i="1"/>
  <c r="Y374" i="1"/>
  <c r="L392" i="1"/>
  <c r="L386" i="1"/>
  <c r="Y372" i="1"/>
  <c r="L397" i="1"/>
  <c r="L388" i="1"/>
  <c r="Y394" i="1"/>
  <c r="Y392" i="1"/>
  <c r="X260" i="1"/>
  <c r="S260" i="1"/>
  <c r="Y407" i="1"/>
  <c r="L391" i="1"/>
  <c r="L403" i="1"/>
  <c r="S276" i="1"/>
  <c r="X276" i="1"/>
  <c r="S277" i="1"/>
  <c r="X277" i="1"/>
  <c r="S278" i="1"/>
  <c r="X278" i="1"/>
  <c r="Y278" i="1" s="1"/>
  <c r="X240" i="1"/>
  <c r="S240" i="1"/>
  <c r="Y240" i="1" s="1"/>
  <c r="Y277" i="1"/>
  <c r="Y260" i="1"/>
  <c r="S239" i="1"/>
  <c r="X239" i="1"/>
  <c r="F243" i="1"/>
  <c r="K243" i="1"/>
  <c r="F244" i="1"/>
  <c r="K244" i="1"/>
  <c r="L244" i="1" s="1"/>
  <c r="K242" i="1"/>
  <c r="L242" i="1" s="1"/>
  <c r="F242" i="1"/>
  <c r="K241" i="1"/>
  <c r="F241" i="1"/>
  <c r="L241" i="1"/>
  <c r="L243" i="1"/>
  <c r="F222" i="1"/>
  <c r="K222" i="1"/>
  <c r="K238" i="1"/>
  <c r="F238" i="1"/>
  <c r="L222" i="1"/>
  <c r="X212" i="1"/>
  <c r="S212" i="1"/>
  <c r="Y212" i="1" s="1"/>
  <c r="K218" i="1"/>
  <c r="F218" i="1"/>
  <c r="L218" i="1" s="1"/>
  <c r="F217" i="1"/>
  <c r="K217" i="1"/>
  <c r="L217" i="1" s="1"/>
  <c r="X238" i="1"/>
  <c r="S238" i="1"/>
  <c r="Y238" i="1"/>
  <c r="X223" i="1"/>
  <c r="S223" i="1"/>
  <c r="X224" i="1"/>
  <c r="S224" i="1"/>
  <c r="Y224" i="1" s="1"/>
  <c r="X209" i="1"/>
  <c r="S209" i="1"/>
  <c r="Y209" i="1"/>
  <c r="S272" i="1"/>
  <c r="Y272" i="1" s="1"/>
  <c r="X272" i="1"/>
  <c r="S273" i="1"/>
  <c r="X273" i="1"/>
  <c r="X235" i="1"/>
  <c r="Y235" i="1" s="1"/>
  <c r="S235" i="1"/>
  <c r="X234" i="1"/>
  <c r="S234" i="1"/>
  <c r="Y234" i="1" s="1"/>
  <c r="W377" i="1"/>
  <c r="V377" i="1"/>
  <c r="U377" i="1"/>
  <c r="T377" i="1"/>
  <c r="X377" i="1" s="1"/>
  <c r="R377" i="1"/>
  <c r="Q377" i="1"/>
  <c r="P377" i="1"/>
  <c r="O377" i="1"/>
  <c r="J377" i="1"/>
  <c r="K377" i="1" s="1"/>
  <c r="I377" i="1"/>
  <c r="H377" i="1"/>
  <c r="G377" i="1"/>
  <c r="E377" i="1"/>
  <c r="C377" i="1"/>
  <c r="F377" i="1" s="1"/>
  <c r="B377" i="1"/>
  <c r="K376" i="1"/>
  <c r="L376" i="1" s="1"/>
  <c r="F376" i="1"/>
  <c r="K375" i="1"/>
  <c r="F375" i="1"/>
  <c r="K374" i="1"/>
  <c r="F374" i="1"/>
  <c r="K373" i="1"/>
  <c r="F373" i="1"/>
  <c r="K372" i="1"/>
  <c r="F372" i="1"/>
  <c r="X371" i="1"/>
  <c r="S371" i="1"/>
  <c r="K371" i="1"/>
  <c r="L371" i="1" s="1"/>
  <c r="F371" i="1"/>
  <c r="X370" i="1"/>
  <c r="Y370" i="1" s="1"/>
  <c r="S370" i="1"/>
  <c r="K370" i="1"/>
  <c r="F370" i="1"/>
  <c r="X369" i="1"/>
  <c r="Y369" i="1" s="1"/>
  <c r="S369" i="1"/>
  <c r="X368" i="1"/>
  <c r="Y368" i="1" s="1"/>
  <c r="S368" i="1"/>
  <c r="X367" i="1"/>
  <c r="S367" i="1"/>
  <c r="X366" i="1"/>
  <c r="Y366" i="1" s="1"/>
  <c r="S366" i="1"/>
  <c r="X365" i="1"/>
  <c r="S365" i="1"/>
  <c r="X364" i="1"/>
  <c r="S364" i="1"/>
  <c r="X363" i="1"/>
  <c r="Y363" i="1" s="1"/>
  <c r="S363" i="1"/>
  <c r="X362" i="1"/>
  <c r="S362" i="1"/>
  <c r="X361" i="1"/>
  <c r="S361" i="1"/>
  <c r="X360" i="1"/>
  <c r="S360" i="1"/>
  <c r="X359" i="1"/>
  <c r="Y359" i="1" s="1"/>
  <c r="S359" i="1"/>
  <c r="X358" i="1"/>
  <c r="Y358" i="1" s="1"/>
  <c r="S358" i="1"/>
  <c r="K357" i="1"/>
  <c r="L357" i="1" s="1"/>
  <c r="F357" i="1"/>
  <c r="X356" i="1"/>
  <c r="Y356" i="1" s="1"/>
  <c r="S356" i="1"/>
  <c r="K356" i="1"/>
  <c r="L356" i="1" s="1"/>
  <c r="F356" i="1"/>
  <c r="X355" i="1"/>
  <c r="Y355" i="1" s="1"/>
  <c r="S355" i="1"/>
  <c r="K355" i="1"/>
  <c r="L355" i="1" s="1"/>
  <c r="F355" i="1"/>
  <c r="X354" i="1"/>
  <c r="S354" i="1"/>
  <c r="K354" i="1"/>
  <c r="L354" i="1" s="1"/>
  <c r="F354" i="1"/>
  <c r="K353" i="1"/>
  <c r="L353" i="1" s="1"/>
  <c r="F353" i="1"/>
  <c r="X352" i="1"/>
  <c r="S352" i="1"/>
  <c r="K352" i="1"/>
  <c r="L352" i="1" s="1"/>
  <c r="F352" i="1"/>
  <c r="X350" i="1"/>
  <c r="Y350" i="1" s="1"/>
  <c r="S350" i="1"/>
  <c r="K350" i="1"/>
  <c r="L350" i="1" s="1"/>
  <c r="F350" i="1"/>
  <c r="X349" i="1"/>
  <c r="Y349" i="1" s="1"/>
  <c r="S349" i="1"/>
  <c r="X348" i="1"/>
  <c r="Y348" i="1" s="1"/>
  <c r="S348" i="1"/>
  <c r="X347" i="1"/>
  <c r="Y347" i="1" s="1"/>
  <c r="S347" i="1"/>
  <c r="K347" i="1"/>
  <c r="L347" i="1" s="1"/>
  <c r="F347" i="1"/>
  <c r="H203" i="1"/>
  <c r="C203" i="1"/>
  <c r="B203" i="1"/>
  <c r="B225" i="1" s="1"/>
  <c r="F225" i="1" s="1"/>
  <c r="Y371" i="1"/>
  <c r="L372" i="1"/>
  <c r="L374" i="1"/>
  <c r="Y365" i="1"/>
  <c r="Y360" i="1"/>
  <c r="Y362" i="1"/>
  <c r="Y354" i="1"/>
  <c r="Y364" i="1"/>
  <c r="Y367" i="1"/>
  <c r="L370" i="1"/>
  <c r="Y361" i="1"/>
  <c r="L375" i="1"/>
  <c r="F262" i="1"/>
  <c r="K262" i="1"/>
  <c r="L262" i="1" s="1"/>
  <c r="S200" i="1"/>
  <c r="X200" i="1"/>
  <c r="Y200" i="1" s="1"/>
  <c r="S201" i="1"/>
  <c r="Y201" i="1" s="1"/>
  <c r="X201" i="1"/>
  <c r="S170" i="1"/>
  <c r="X170" i="1"/>
  <c r="Y170" i="1" s="1"/>
  <c r="S171" i="1"/>
  <c r="X171" i="1"/>
  <c r="S185" i="1"/>
  <c r="X185" i="1"/>
  <c r="Y171" i="1"/>
  <c r="Y185" i="1"/>
  <c r="S169" i="1"/>
  <c r="Y169" i="1" s="1"/>
  <c r="X169" i="1"/>
  <c r="K158" i="1"/>
  <c r="F158" i="1"/>
  <c r="K157" i="1"/>
  <c r="L157" i="1" s="1"/>
  <c r="F157" i="1"/>
  <c r="L158" i="1"/>
  <c r="X168" i="1"/>
  <c r="S168" i="1"/>
  <c r="H184" i="1"/>
  <c r="H187" i="1" s="1"/>
  <c r="G184" i="1"/>
  <c r="C184" i="1"/>
  <c r="B184" i="1"/>
  <c r="D184" i="1"/>
  <c r="Y168" i="1"/>
  <c r="J339" i="1"/>
  <c r="I339" i="1"/>
  <c r="H339" i="1"/>
  <c r="G339" i="1"/>
  <c r="K339" i="1" s="1"/>
  <c r="E339" i="1"/>
  <c r="D339" i="1"/>
  <c r="B339" i="1"/>
  <c r="K338" i="1"/>
  <c r="F338" i="1"/>
  <c r="L338" i="1" s="1"/>
  <c r="K337" i="1"/>
  <c r="F337" i="1"/>
  <c r="L337" i="1" s="1"/>
  <c r="K336" i="1"/>
  <c r="F336" i="1"/>
  <c r="L336" i="1" s="1"/>
  <c r="K335" i="1"/>
  <c r="F335" i="1"/>
  <c r="L335" i="1" s="1"/>
  <c r="K334" i="1"/>
  <c r="F334" i="1"/>
  <c r="L334" i="1" s="1"/>
  <c r="K333" i="1"/>
  <c r="F333" i="1"/>
  <c r="L333" i="1" s="1"/>
  <c r="K332" i="1"/>
  <c r="F332" i="1"/>
  <c r="K320" i="1"/>
  <c r="F320" i="1"/>
  <c r="L320" i="1" s="1"/>
  <c r="K319" i="1"/>
  <c r="F319" i="1"/>
  <c r="K318" i="1"/>
  <c r="F318" i="1"/>
  <c r="L318" i="1" s="1"/>
  <c r="K317" i="1"/>
  <c r="F317" i="1"/>
  <c r="K316" i="1"/>
  <c r="F316" i="1"/>
  <c r="L316" i="1" s="1"/>
  <c r="K314" i="1"/>
  <c r="F314" i="1"/>
  <c r="L314" i="1" s="1"/>
  <c r="K312" i="1"/>
  <c r="F312" i="1"/>
  <c r="K309" i="1"/>
  <c r="F309" i="1"/>
  <c r="L309" i="1" s="1"/>
  <c r="S335" i="1"/>
  <c r="X335" i="1"/>
  <c r="Y335" i="1" s="1"/>
  <c r="S314" i="1"/>
  <c r="X314" i="1"/>
  <c r="W339" i="1"/>
  <c r="V339" i="1"/>
  <c r="U339" i="1"/>
  <c r="T339" i="1"/>
  <c r="R339" i="1"/>
  <c r="Q339" i="1"/>
  <c r="P339" i="1"/>
  <c r="O339" i="1"/>
  <c r="S339" i="1" s="1"/>
  <c r="X332" i="1"/>
  <c r="S332" i="1"/>
  <c r="X331" i="1"/>
  <c r="S331" i="1"/>
  <c r="Y331" i="1" s="1"/>
  <c r="X330" i="1"/>
  <c r="S330" i="1"/>
  <c r="Y330" i="1" s="1"/>
  <c r="X323" i="1"/>
  <c r="S323" i="1"/>
  <c r="Y323" i="1" s="1"/>
  <c r="X322" i="1"/>
  <c r="S322" i="1"/>
  <c r="X318" i="1"/>
  <c r="S318" i="1"/>
  <c r="X317" i="1"/>
  <c r="S317" i="1"/>
  <c r="X316" i="1"/>
  <c r="S316" i="1"/>
  <c r="Y316" i="1" s="1"/>
  <c r="X315" i="1"/>
  <c r="S315" i="1"/>
  <c r="X312" i="1"/>
  <c r="S312" i="1"/>
  <c r="X311" i="1"/>
  <c r="S311" i="1"/>
  <c r="X310" i="1"/>
  <c r="S310" i="1"/>
  <c r="X309" i="1"/>
  <c r="S309" i="1"/>
  <c r="Y309" i="1"/>
  <c r="Y312" i="1"/>
  <c r="Y332" i="1"/>
  <c r="Y315" i="1"/>
  <c r="L319" i="1"/>
  <c r="L332" i="1"/>
  <c r="Y311" i="1"/>
  <c r="Y322" i="1"/>
  <c r="L312" i="1"/>
  <c r="Y317" i="1"/>
  <c r="L317" i="1"/>
  <c r="Y310" i="1"/>
  <c r="Y318" i="1"/>
  <c r="X339" i="1"/>
  <c r="X186" i="1"/>
  <c r="Y186" i="1" s="1"/>
  <c r="S186" i="1"/>
  <c r="S221" i="1"/>
  <c r="X221" i="1"/>
  <c r="S222" i="1"/>
  <c r="Y222" i="1" s="1"/>
  <c r="X222" i="1"/>
  <c r="X262" i="1"/>
  <c r="Y262" i="1" s="1"/>
  <c r="S262" i="1"/>
  <c r="X261" i="1"/>
  <c r="S261" i="1"/>
  <c r="S196" i="1"/>
  <c r="Y196" i="1" s="1"/>
  <c r="X196" i="1"/>
  <c r="J301" i="1"/>
  <c r="I301" i="1"/>
  <c r="E301" i="1"/>
  <c r="D301" i="1"/>
  <c r="C301" i="1"/>
  <c r="W301" i="1"/>
  <c r="V301" i="1"/>
  <c r="U301" i="1"/>
  <c r="X301" i="1" s="1"/>
  <c r="T301" i="1"/>
  <c r="R301" i="1"/>
  <c r="P301" i="1"/>
  <c r="O301" i="1"/>
  <c r="S301" i="1" s="1"/>
  <c r="Y301" i="1" s="1"/>
  <c r="K299" i="1"/>
  <c r="F299" i="1"/>
  <c r="K298" i="1"/>
  <c r="F298" i="1"/>
  <c r="L298" i="1" s="1"/>
  <c r="K297" i="1"/>
  <c r="F297" i="1"/>
  <c r="K296" i="1"/>
  <c r="F296" i="1"/>
  <c r="L296" i="1" s="1"/>
  <c r="X295" i="1"/>
  <c r="S295" i="1"/>
  <c r="Y295" i="1" s="1"/>
  <c r="K295" i="1"/>
  <c r="F295" i="1"/>
  <c r="L295" i="1" s="1"/>
  <c r="X294" i="1"/>
  <c r="S294" i="1"/>
  <c r="K294" i="1"/>
  <c r="F294" i="1"/>
  <c r="L294" i="1" s="1"/>
  <c r="X293" i="1"/>
  <c r="S293" i="1"/>
  <c r="K293" i="1"/>
  <c r="F293" i="1"/>
  <c r="L293" i="1" s="1"/>
  <c r="F292" i="1"/>
  <c r="X291" i="1"/>
  <c r="S291" i="1"/>
  <c r="K291" i="1"/>
  <c r="F291" i="1"/>
  <c r="X290" i="1"/>
  <c r="S290" i="1"/>
  <c r="K290" i="1"/>
  <c r="F290" i="1"/>
  <c r="L290" i="1" s="1"/>
  <c r="X289" i="1"/>
  <c r="S289" i="1"/>
  <c r="K289" i="1"/>
  <c r="F289" i="1"/>
  <c r="X288" i="1"/>
  <c r="S288" i="1"/>
  <c r="Y288" i="1" s="1"/>
  <c r="K288" i="1"/>
  <c r="F288" i="1"/>
  <c r="X287" i="1"/>
  <c r="S287" i="1"/>
  <c r="Y287" i="1" s="1"/>
  <c r="K287" i="1"/>
  <c r="F287" i="1"/>
  <c r="X286" i="1"/>
  <c r="S286" i="1"/>
  <c r="Y286" i="1" s="1"/>
  <c r="K286" i="1"/>
  <c r="F286" i="1"/>
  <c r="L286" i="1" s="1"/>
  <c r="X285" i="1"/>
  <c r="S285" i="1"/>
  <c r="K285" i="1"/>
  <c r="F285" i="1"/>
  <c r="L285" i="1" s="1"/>
  <c r="X284" i="1"/>
  <c r="S284" i="1"/>
  <c r="F284" i="1"/>
  <c r="X283" i="1"/>
  <c r="S283" i="1"/>
  <c r="K283" i="1"/>
  <c r="F283" i="1"/>
  <c r="L283" i="1" s="1"/>
  <c r="X282" i="1"/>
  <c r="S282" i="1"/>
  <c r="K282" i="1"/>
  <c r="F282" i="1"/>
  <c r="L282" i="1" s="1"/>
  <c r="X281" i="1"/>
  <c r="S281" i="1"/>
  <c r="Y281" i="1" s="1"/>
  <c r="K281" i="1"/>
  <c r="F281" i="1"/>
  <c r="L281" i="1" s="1"/>
  <c r="K280" i="1"/>
  <c r="F280" i="1"/>
  <c r="K279" i="1"/>
  <c r="F279" i="1"/>
  <c r="L279" i="1" s="1"/>
  <c r="K278" i="1"/>
  <c r="F278" i="1"/>
  <c r="L278" i="1" s="1"/>
  <c r="K277" i="1"/>
  <c r="F277" i="1"/>
  <c r="L277" i="1" s="1"/>
  <c r="K276" i="1"/>
  <c r="F276" i="1"/>
  <c r="L276" i="1" s="1"/>
  <c r="K274" i="1"/>
  <c r="F274" i="1"/>
  <c r="L274" i="1" s="1"/>
  <c r="K272" i="1"/>
  <c r="F272" i="1"/>
  <c r="L272" i="1" s="1"/>
  <c r="X271" i="1"/>
  <c r="S271" i="1"/>
  <c r="Y271" i="1" s="1"/>
  <c r="K271" i="1"/>
  <c r="F271" i="1"/>
  <c r="Y294" i="1"/>
  <c r="L288" i="1"/>
  <c r="Y289" i="1"/>
  <c r="Y221" i="1"/>
  <c r="Y293" i="1"/>
  <c r="Y282" i="1"/>
  <c r="Y285" i="1"/>
  <c r="L287" i="1"/>
  <c r="Y284" i="1"/>
  <c r="L289" i="1"/>
  <c r="Y290" i="1"/>
  <c r="L271" i="1"/>
  <c r="L280" i="1"/>
  <c r="Y291" i="1"/>
  <c r="Y283" i="1"/>
  <c r="L297" i="1"/>
  <c r="L291" i="1"/>
  <c r="L299" i="1"/>
  <c r="Q301" i="1"/>
  <c r="I174" i="1"/>
  <c r="D174" i="1"/>
  <c r="G172" i="1"/>
  <c r="S126" i="1"/>
  <c r="X126" i="1"/>
  <c r="Y126" i="1" s="1"/>
  <c r="X162" i="1"/>
  <c r="S162" i="1"/>
  <c r="Y162" i="1" s="1"/>
  <c r="F121" i="1"/>
  <c r="K121" i="1"/>
  <c r="F159" i="1"/>
  <c r="K159" i="1"/>
  <c r="S148" i="1"/>
  <c r="X148" i="1"/>
  <c r="S220" i="1"/>
  <c r="X220" i="1"/>
  <c r="S184" i="1"/>
  <c r="X184" i="1"/>
  <c r="L159" i="1"/>
  <c r="Y220" i="1"/>
  <c r="X125" i="1"/>
  <c r="S125" i="1"/>
  <c r="I138" i="1"/>
  <c r="K138" i="1" s="1"/>
  <c r="D138" i="1"/>
  <c r="S86" i="1"/>
  <c r="Y86" i="1" s="1"/>
  <c r="X86" i="1"/>
  <c r="S87" i="1"/>
  <c r="X87" i="1"/>
  <c r="X124" i="1"/>
  <c r="S124" i="1"/>
  <c r="Y124" i="1" s="1"/>
  <c r="X66" i="1"/>
  <c r="S66" i="1"/>
  <c r="Y66" i="1"/>
  <c r="Y125" i="1"/>
  <c r="Y87" i="1"/>
  <c r="F131" i="1"/>
  <c r="L131" i="1" s="1"/>
  <c r="I127" i="1"/>
  <c r="J263" i="1"/>
  <c r="I263" i="1"/>
  <c r="H263" i="1"/>
  <c r="G263" i="1"/>
  <c r="K263" i="1" s="1"/>
  <c r="E263" i="1"/>
  <c r="D263" i="1"/>
  <c r="C263" i="1"/>
  <c r="B263" i="1"/>
  <c r="F263" i="1" s="1"/>
  <c r="L263" i="1" s="1"/>
  <c r="K261" i="1"/>
  <c r="F261" i="1"/>
  <c r="K260" i="1"/>
  <c r="F260" i="1"/>
  <c r="L260" i="1" s="1"/>
  <c r="K259" i="1"/>
  <c r="K258" i="1"/>
  <c r="F258" i="1"/>
  <c r="L258" i="1" s="1"/>
  <c r="K257" i="1"/>
  <c r="F257" i="1"/>
  <c r="L257" i="1" s="1"/>
  <c r="K256" i="1"/>
  <c r="F256" i="1"/>
  <c r="L256" i="1" s="1"/>
  <c r="K255" i="1"/>
  <c r="F255" i="1"/>
  <c r="L255" i="1" s="1"/>
  <c r="K254" i="1"/>
  <c r="F254" i="1"/>
  <c r="L254" i="1" s="1"/>
  <c r="K253" i="1"/>
  <c r="F253" i="1"/>
  <c r="L253" i="1" s="1"/>
  <c r="K252" i="1"/>
  <c r="F252" i="1"/>
  <c r="K251" i="1"/>
  <c r="F251" i="1"/>
  <c r="K250" i="1"/>
  <c r="F250" i="1"/>
  <c r="L250" i="1" s="1"/>
  <c r="K249" i="1"/>
  <c r="F249" i="1"/>
  <c r="K248" i="1"/>
  <c r="F248" i="1"/>
  <c r="L248" i="1" s="1"/>
  <c r="K247" i="1"/>
  <c r="F247" i="1"/>
  <c r="L247" i="1" s="1"/>
  <c r="K246" i="1"/>
  <c r="F246" i="1"/>
  <c r="L246" i="1" s="1"/>
  <c r="K245" i="1"/>
  <c r="F245" i="1"/>
  <c r="L245" i="1" s="1"/>
  <c r="K240" i="1"/>
  <c r="F240" i="1"/>
  <c r="L240" i="1" s="1"/>
  <c r="K239" i="1"/>
  <c r="F239" i="1"/>
  <c r="K236" i="1"/>
  <c r="F236" i="1"/>
  <c r="L236" i="1" s="1"/>
  <c r="K235" i="1"/>
  <c r="F235" i="1"/>
  <c r="K234" i="1"/>
  <c r="F234" i="1"/>
  <c r="L234" i="1" s="1"/>
  <c r="K233" i="1"/>
  <c r="F233" i="1"/>
  <c r="S110" i="1"/>
  <c r="X110" i="1"/>
  <c r="S147" i="1"/>
  <c r="X147" i="1"/>
  <c r="S157" i="1"/>
  <c r="X157" i="1"/>
  <c r="S158" i="1"/>
  <c r="X158" i="1"/>
  <c r="Y158" i="1" s="1"/>
  <c r="S159" i="1"/>
  <c r="X159" i="1"/>
  <c r="S160" i="1"/>
  <c r="X160" i="1"/>
  <c r="S163" i="1"/>
  <c r="X163" i="1"/>
  <c r="S164" i="1"/>
  <c r="X164" i="1"/>
  <c r="S165" i="1"/>
  <c r="X165" i="1"/>
  <c r="S166" i="1"/>
  <c r="X166" i="1"/>
  <c r="Y166" i="1" s="1"/>
  <c r="S167" i="1"/>
  <c r="X167" i="1"/>
  <c r="Y167" i="1" s="1"/>
  <c r="S172" i="1"/>
  <c r="X172" i="1"/>
  <c r="Y172" i="1" s="1"/>
  <c r="S173" i="1"/>
  <c r="X173" i="1"/>
  <c r="Y173" i="1" s="1"/>
  <c r="S174" i="1"/>
  <c r="X174" i="1"/>
  <c r="S175" i="1"/>
  <c r="X175" i="1"/>
  <c r="S176" i="1"/>
  <c r="X176" i="1"/>
  <c r="S177" i="1"/>
  <c r="X177" i="1"/>
  <c r="S178" i="1"/>
  <c r="X178" i="1"/>
  <c r="S179" i="1"/>
  <c r="X179" i="1"/>
  <c r="S180" i="1"/>
  <c r="X180" i="1"/>
  <c r="S181" i="1"/>
  <c r="X181" i="1"/>
  <c r="S182" i="1"/>
  <c r="X182" i="1"/>
  <c r="S183" i="1"/>
  <c r="X183" i="1"/>
  <c r="O187" i="1"/>
  <c r="P187" i="1"/>
  <c r="Q187" i="1"/>
  <c r="R187" i="1"/>
  <c r="T187" i="1"/>
  <c r="U187" i="1"/>
  <c r="V187" i="1"/>
  <c r="W187" i="1"/>
  <c r="S195" i="1"/>
  <c r="X195" i="1"/>
  <c r="S197" i="1"/>
  <c r="X197" i="1"/>
  <c r="S198" i="1"/>
  <c r="X198" i="1"/>
  <c r="S202" i="1"/>
  <c r="X202" i="1"/>
  <c r="Y202" i="1" s="1"/>
  <c r="S203" i="1"/>
  <c r="X203" i="1"/>
  <c r="S204" i="1"/>
  <c r="X204" i="1"/>
  <c r="Y204" i="1" s="1"/>
  <c r="S205" i="1"/>
  <c r="X205" i="1"/>
  <c r="S206" i="1"/>
  <c r="X206" i="1"/>
  <c r="S207" i="1"/>
  <c r="X207" i="1"/>
  <c r="Y207" i="1" s="1"/>
  <c r="S208" i="1"/>
  <c r="X208" i="1"/>
  <c r="S210" i="1"/>
  <c r="X210" i="1"/>
  <c r="S211" i="1"/>
  <c r="X211" i="1"/>
  <c r="S213" i="1"/>
  <c r="X213" i="1"/>
  <c r="Y213" i="1" s="1"/>
  <c r="S214" i="1"/>
  <c r="X214" i="1"/>
  <c r="S215" i="1"/>
  <c r="X215" i="1"/>
  <c r="Y215" i="1" s="1"/>
  <c r="S216" i="1"/>
  <c r="X216" i="1"/>
  <c r="S217" i="1"/>
  <c r="X217" i="1"/>
  <c r="Y217" i="1" s="1"/>
  <c r="S218" i="1"/>
  <c r="X218" i="1"/>
  <c r="S219" i="1"/>
  <c r="X219" i="1"/>
  <c r="O225" i="1"/>
  <c r="P225" i="1"/>
  <c r="Q225" i="1"/>
  <c r="R225" i="1"/>
  <c r="T225" i="1"/>
  <c r="U225" i="1"/>
  <c r="X225" i="1" s="1"/>
  <c r="V225" i="1"/>
  <c r="W225" i="1"/>
  <c r="S233" i="1"/>
  <c r="X233" i="1"/>
  <c r="S236" i="1"/>
  <c r="X236" i="1"/>
  <c r="Y236" i="1" s="1"/>
  <c r="S241" i="1"/>
  <c r="X241" i="1"/>
  <c r="Y241" i="1" s="1"/>
  <c r="S242" i="1"/>
  <c r="X242" i="1"/>
  <c r="Y242" i="1" s="1"/>
  <c r="S244" i="1"/>
  <c r="X244" i="1"/>
  <c r="Y244" i="1" s="1"/>
  <c r="S245" i="1"/>
  <c r="X245" i="1"/>
  <c r="Y245" i="1" s="1"/>
  <c r="S246" i="1"/>
  <c r="X246" i="1"/>
  <c r="S248" i="1"/>
  <c r="X248" i="1"/>
  <c r="S249" i="1"/>
  <c r="X249" i="1"/>
  <c r="S250" i="1"/>
  <c r="X250" i="1"/>
  <c r="S251" i="1"/>
  <c r="X251" i="1"/>
  <c r="Y251" i="1" s="1"/>
  <c r="S252" i="1"/>
  <c r="X252" i="1"/>
  <c r="Y252" i="1" s="1"/>
  <c r="S254" i="1"/>
  <c r="X254" i="1"/>
  <c r="S255" i="1"/>
  <c r="X255" i="1"/>
  <c r="S256" i="1"/>
  <c r="X256" i="1"/>
  <c r="S257" i="1"/>
  <c r="X257" i="1"/>
  <c r="O263" i="1"/>
  <c r="P263" i="1"/>
  <c r="Q263" i="1"/>
  <c r="R263" i="1"/>
  <c r="T263" i="1"/>
  <c r="U263" i="1"/>
  <c r="U265" i="1" s="1"/>
  <c r="V263" i="1"/>
  <c r="W263" i="1"/>
  <c r="J225" i="1"/>
  <c r="I225" i="1"/>
  <c r="G225" i="1"/>
  <c r="E225" i="1"/>
  <c r="D225" i="1"/>
  <c r="C225" i="1"/>
  <c r="K224" i="1"/>
  <c r="F224" i="1"/>
  <c r="L224" i="1" s="1"/>
  <c r="K223" i="1"/>
  <c r="F223" i="1"/>
  <c r="K221" i="1"/>
  <c r="F221" i="1"/>
  <c r="L221" i="1" s="1"/>
  <c r="K220" i="1"/>
  <c r="F220" i="1"/>
  <c r="K219" i="1"/>
  <c r="F219" i="1"/>
  <c r="L219" i="1" s="1"/>
  <c r="K216" i="1"/>
  <c r="F216" i="1"/>
  <c r="L216" i="1" s="1"/>
  <c r="K215" i="1"/>
  <c r="F215" i="1"/>
  <c r="L215" i="1" s="1"/>
  <c r="K214" i="1"/>
  <c r="F214" i="1"/>
  <c r="K213" i="1"/>
  <c r="F213" i="1"/>
  <c r="K212" i="1"/>
  <c r="F212" i="1"/>
  <c r="K211" i="1"/>
  <c r="F211" i="1"/>
  <c r="L211" i="1" s="1"/>
  <c r="K210" i="1"/>
  <c r="F210" i="1"/>
  <c r="K209" i="1"/>
  <c r="F209" i="1"/>
  <c r="K208" i="1"/>
  <c r="F208" i="1"/>
  <c r="K207" i="1"/>
  <c r="F207" i="1"/>
  <c r="L207" i="1" s="1"/>
  <c r="K206" i="1"/>
  <c r="F206" i="1"/>
  <c r="K205" i="1"/>
  <c r="F205" i="1"/>
  <c r="L205" i="1" s="1"/>
  <c r="K204" i="1"/>
  <c r="F204" i="1"/>
  <c r="L204" i="1" s="1"/>
  <c r="F203" i="1"/>
  <c r="K202" i="1"/>
  <c r="F202" i="1"/>
  <c r="K201" i="1"/>
  <c r="F201" i="1"/>
  <c r="L201" i="1" s="1"/>
  <c r="K200" i="1"/>
  <c r="F200" i="1"/>
  <c r="K198" i="1"/>
  <c r="F198" i="1"/>
  <c r="L198" i="1" s="1"/>
  <c r="K197" i="1"/>
  <c r="F197" i="1"/>
  <c r="K196" i="1"/>
  <c r="F196" i="1"/>
  <c r="K195" i="1"/>
  <c r="F195" i="1"/>
  <c r="L200" i="1"/>
  <c r="L212" i="1"/>
  <c r="L195" i="1"/>
  <c r="L235" i="1"/>
  <c r="Y255" i="1"/>
  <c r="Y198" i="1"/>
  <c r="Y203" i="1"/>
  <c r="Y163" i="1"/>
  <c r="Y205" i="1"/>
  <c r="Y160" i="1"/>
  <c r="Y147" i="1"/>
  <c r="L259" i="1"/>
  <c r="L196" i="1"/>
  <c r="L209" i="1"/>
  <c r="Y176" i="1"/>
  <c r="S225" i="1"/>
  <c r="L197" i="1"/>
  <c r="L206" i="1"/>
  <c r="Y257" i="1"/>
  <c r="L233" i="1"/>
  <c r="Y250" i="1"/>
  <c r="Y219" i="1"/>
  <c r="X187" i="1"/>
  <c r="L202" i="1"/>
  <c r="L208" i="1"/>
  <c r="L214" i="1"/>
  <c r="L220" i="1"/>
  <c r="L223" i="1"/>
  <c r="Y174" i="1"/>
  <c r="Y164" i="1"/>
  <c r="L249" i="1"/>
  <c r="L252" i="1"/>
  <c r="L261" i="1"/>
  <c r="Y178" i="1"/>
  <c r="Y195" i="1"/>
  <c r="Y180" i="1"/>
  <c r="L210" i="1"/>
  <c r="L213" i="1"/>
  <c r="Y248" i="1"/>
  <c r="Y182" i="1"/>
  <c r="L239" i="1"/>
  <c r="L251" i="1"/>
  <c r="Y210" i="1"/>
  <c r="G99" i="1"/>
  <c r="B99" i="1"/>
  <c r="F99" i="1" s="1"/>
  <c r="L99" i="1" s="1"/>
  <c r="J187" i="1"/>
  <c r="E187" i="1"/>
  <c r="D187" i="1"/>
  <c r="C187" i="1"/>
  <c r="B187" i="1"/>
  <c r="K186" i="1"/>
  <c r="F186" i="1"/>
  <c r="K185" i="1"/>
  <c r="F185" i="1"/>
  <c r="F184" i="1"/>
  <c r="K183" i="1"/>
  <c r="F183" i="1"/>
  <c r="K182" i="1"/>
  <c r="F182" i="1"/>
  <c r="L182" i="1" s="1"/>
  <c r="K181" i="1"/>
  <c r="F181" i="1"/>
  <c r="L181" i="1" s="1"/>
  <c r="K180" i="1"/>
  <c r="F180" i="1"/>
  <c r="L180" i="1" s="1"/>
  <c r="K179" i="1"/>
  <c r="F179" i="1"/>
  <c r="L179" i="1" s="1"/>
  <c r="K178" i="1"/>
  <c r="F178" i="1"/>
  <c r="L178" i="1" s="1"/>
  <c r="K177" i="1"/>
  <c r="F177" i="1"/>
  <c r="K176" i="1"/>
  <c r="F176" i="1"/>
  <c r="L176" i="1" s="1"/>
  <c r="K175" i="1"/>
  <c r="F175" i="1"/>
  <c r="F174" i="1"/>
  <c r="K173" i="1"/>
  <c r="F173" i="1"/>
  <c r="K172" i="1"/>
  <c r="F172" i="1"/>
  <c r="K171" i="1"/>
  <c r="F171" i="1"/>
  <c r="L171" i="1" s="1"/>
  <c r="K170" i="1"/>
  <c r="F170" i="1"/>
  <c r="L170" i="1" s="1"/>
  <c r="K169" i="1"/>
  <c r="F169" i="1"/>
  <c r="K168" i="1"/>
  <c r="F168" i="1"/>
  <c r="L168" i="1" s="1"/>
  <c r="K167" i="1"/>
  <c r="F167" i="1"/>
  <c r="L167" i="1" s="1"/>
  <c r="K166" i="1"/>
  <c r="F166" i="1"/>
  <c r="L166" i="1" s="1"/>
  <c r="K165" i="1"/>
  <c r="F165" i="1"/>
  <c r="K164" i="1"/>
  <c r="F164" i="1"/>
  <c r="L164" i="1" s="1"/>
  <c r="K163" i="1"/>
  <c r="F163" i="1"/>
  <c r="L163" i="1" s="1"/>
  <c r="K162" i="1"/>
  <c r="F162" i="1"/>
  <c r="L162" i="1" s="1"/>
  <c r="K160" i="1"/>
  <c r="F160" i="1"/>
  <c r="L160" i="1" s="1"/>
  <c r="S109" i="1"/>
  <c r="Y109" i="1" s="1"/>
  <c r="X109" i="1"/>
  <c r="S119" i="1"/>
  <c r="X119" i="1"/>
  <c r="S120" i="1"/>
  <c r="X120" i="1"/>
  <c r="S121" i="1"/>
  <c r="X121" i="1"/>
  <c r="Y121" i="1" s="1"/>
  <c r="S122" i="1"/>
  <c r="X122" i="1"/>
  <c r="Y122" i="1" s="1"/>
  <c r="S127" i="1"/>
  <c r="X127" i="1"/>
  <c r="Y127" i="1" s="1"/>
  <c r="S128" i="1"/>
  <c r="X128" i="1"/>
  <c r="S129" i="1"/>
  <c r="X129" i="1"/>
  <c r="S130" i="1"/>
  <c r="Y130" i="1" s="1"/>
  <c r="X130" i="1"/>
  <c r="S131" i="1"/>
  <c r="X131" i="1"/>
  <c r="S132" i="1"/>
  <c r="X132" i="1"/>
  <c r="Y132" i="1" s="1"/>
  <c r="S133" i="1"/>
  <c r="X133" i="1"/>
  <c r="Y133" i="1" s="1"/>
  <c r="S134" i="1"/>
  <c r="X134" i="1"/>
  <c r="S135" i="1"/>
  <c r="X135" i="1"/>
  <c r="Y135" i="1" s="1"/>
  <c r="S136" i="1"/>
  <c r="Y136" i="1" s="1"/>
  <c r="X136" i="1"/>
  <c r="S137" i="1"/>
  <c r="X137" i="1"/>
  <c r="S138" i="1"/>
  <c r="X138" i="1"/>
  <c r="Y138" i="1" s="1"/>
  <c r="S139" i="1"/>
  <c r="X139" i="1"/>
  <c r="Y139" i="1" s="1"/>
  <c r="S140" i="1"/>
  <c r="Y140" i="1" s="1"/>
  <c r="X140" i="1"/>
  <c r="S141" i="1"/>
  <c r="X141" i="1"/>
  <c r="S142" i="1"/>
  <c r="X142" i="1"/>
  <c r="S143" i="1"/>
  <c r="X143" i="1"/>
  <c r="S144" i="1"/>
  <c r="Y144" i="1" s="1"/>
  <c r="X144" i="1"/>
  <c r="S145" i="1"/>
  <c r="X145" i="1"/>
  <c r="S146" i="1"/>
  <c r="Y146" i="1" s="1"/>
  <c r="X146" i="1"/>
  <c r="O149" i="1"/>
  <c r="P149" i="1"/>
  <c r="Q149" i="1"/>
  <c r="R149" i="1"/>
  <c r="T149" i="1"/>
  <c r="U149" i="1"/>
  <c r="V149" i="1"/>
  <c r="W149" i="1"/>
  <c r="Y137" i="1"/>
  <c r="Y131" i="1"/>
  <c r="X149" i="1"/>
  <c r="Y143" i="1"/>
  <c r="L173" i="1"/>
  <c r="L172" i="1"/>
  <c r="Y119" i="1"/>
  <c r="L165" i="1"/>
  <c r="L183" i="1"/>
  <c r="Y141" i="1"/>
  <c r="Y129" i="1"/>
  <c r="L177" i="1"/>
  <c r="Y145" i="1"/>
  <c r="L186" i="1"/>
  <c r="L185" i="1"/>
  <c r="Y142" i="1"/>
  <c r="L169" i="1"/>
  <c r="L175" i="1"/>
  <c r="J99" i="1"/>
  <c r="K99" i="1" s="1"/>
  <c r="H99" i="1"/>
  <c r="C99" i="1"/>
  <c r="C111" i="1" s="1"/>
  <c r="X60" i="1"/>
  <c r="S60" i="1"/>
  <c r="Y60" i="1"/>
  <c r="S58" i="1"/>
  <c r="X58" i="1"/>
  <c r="Y58" i="1"/>
  <c r="I71" i="1"/>
  <c r="K71" i="1" s="1"/>
  <c r="D71" i="1"/>
  <c r="G71" i="1"/>
  <c r="X54" i="1"/>
  <c r="S54" i="1"/>
  <c r="Y54" i="1" s="1"/>
  <c r="X50" i="1"/>
  <c r="S50" i="1"/>
  <c r="Y50" i="1" s="1"/>
  <c r="I63" i="1"/>
  <c r="S30" i="1"/>
  <c r="X30" i="1"/>
  <c r="X48" i="1"/>
  <c r="S48" i="1"/>
  <c r="Y48" i="1" s="1"/>
  <c r="Y30" i="1"/>
  <c r="X26" i="1"/>
  <c r="S26" i="1"/>
  <c r="Y26" i="1" s="1"/>
  <c r="J149" i="1"/>
  <c r="H149" i="1"/>
  <c r="G149" i="1"/>
  <c r="E149" i="1"/>
  <c r="D149" i="1"/>
  <c r="C149" i="1"/>
  <c r="B149" i="1"/>
  <c r="F149" i="1" s="1"/>
  <c r="K148" i="1"/>
  <c r="F148" i="1"/>
  <c r="K147" i="1"/>
  <c r="F147" i="1"/>
  <c r="L147" i="1" s="1"/>
  <c r="K146" i="1"/>
  <c r="F146" i="1"/>
  <c r="K145" i="1"/>
  <c r="F145" i="1"/>
  <c r="L145" i="1" s="1"/>
  <c r="K144" i="1"/>
  <c r="F144" i="1"/>
  <c r="L144" i="1" s="1"/>
  <c r="K143" i="1"/>
  <c r="F143" i="1"/>
  <c r="L143" i="1" s="1"/>
  <c r="K142" i="1"/>
  <c r="F142" i="1"/>
  <c r="K141" i="1"/>
  <c r="F141" i="1"/>
  <c r="L141" i="1" s="1"/>
  <c r="K140" i="1"/>
  <c r="F140" i="1"/>
  <c r="L140" i="1" s="1"/>
  <c r="K139" i="1"/>
  <c r="F139" i="1"/>
  <c r="L139" i="1" s="1"/>
  <c r="F138" i="1"/>
  <c r="L138" i="1" s="1"/>
  <c r="K137" i="1"/>
  <c r="F137" i="1"/>
  <c r="K136" i="1"/>
  <c r="F136" i="1"/>
  <c r="K135" i="1"/>
  <c r="F135" i="1"/>
  <c r="K134" i="1"/>
  <c r="F134" i="1"/>
  <c r="K133" i="1"/>
  <c r="F133" i="1"/>
  <c r="L133" i="1" s="1"/>
  <c r="K132" i="1"/>
  <c r="F132" i="1"/>
  <c r="K131" i="1"/>
  <c r="K130" i="1"/>
  <c r="F130" i="1"/>
  <c r="K129" i="1"/>
  <c r="F129" i="1"/>
  <c r="K128" i="1"/>
  <c r="L128" i="1" s="1"/>
  <c r="F128" i="1"/>
  <c r="F127" i="1"/>
  <c r="K126" i="1"/>
  <c r="F126" i="1"/>
  <c r="K125" i="1"/>
  <c r="F125" i="1"/>
  <c r="L125" i="1" s="1"/>
  <c r="K124" i="1"/>
  <c r="F124" i="1"/>
  <c r="K122" i="1"/>
  <c r="F122" i="1"/>
  <c r="L122" i="1" s="1"/>
  <c r="K120" i="1"/>
  <c r="F120" i="1"/>
  <c r="K119" i="1"/>
  <c r="F119" i="1"/>
  <c r="L119" i="1" s="1"/>
  <c r="L124" i="1"/>
  <c r="L130" i="1"/>
  <c r="L136" i="1"/>
  <c r="L132" i="1"/>
  <c r="L135" i="1"/>
  <c r="L148" i="1"/>
  <c r="L137" i="1"/>
  <c r="L134" i="1"/>
  <c r="L142" i="1"/>
  <c r="L146" i="1"/>
  <c r="L120" i="1"/>
  <c r="L126" i="1"/>
  <c r="L129" i="1"/>
  <c r="X22" i="1"/>
  <c r="Y22" i="1" s="1"/>
  <c r="S22" i="1"/>
  <c r="C51" i="1"/>
  <c r="X18" i="1"/>
  <c r="S18" i="1"/>
  <c r="Y18" i="1"/>
  <c r="B31" i="1"/>
  <c r="X16" i="1"/>
  <c r="S16" i="1"/>
  <c r="G30" i="1"/>
  <c r="G35" i="1" s="1"/>
  <c r="K35" i="1" s="1"/>
  <c r="K36" i="1" s="1"/>
  <c r="E29" i="1"/>
  <c r="J29" i="1"/>
  <c r="K29" i="1" s="1"/>
  <c r="X15" i="1"/>
  <c r="S15" i="1"/>
  <c r="Y15" i="1" s="1"/>
  <c r="Y16" i="1"/>
  <c r="X13" i="1"/>
  <c r="S13" i="1"/>
  <c r="Y13" i="1" s="1"/>
  <c r="I111" i="1"/>
  <c r="H111" i="1"/>
  <c r="G111" i="1"/>
  <c r="E111" i="1"/>
  <c r="D111" i="1"/>
  <c r="B111" i="1"/>
  <c r="K110" i="1"/>
  <c r="F110" i="1"/>
  <c r="K109" i="1"/>
  <c r="F109" i="1"/>
  <c r="L109" i="1" s="1"/>
  <c r="K108" i="1"/>
  <c r="L108" i="1" s="1"/>
  <c r="F108" i="1"/>
  <c r="K107" i="1"/>
  <c r="F107" i="1"/>
  <c r="L107" i="1" s="1"/>
  <c r="K106" i="1"/>
  <c r="F106" i="1"/>
  <c r="K105" i="1"/>
  <c r="F105" i="1"/>
  <c r="K104" i="1"/>
  <c r="L104" i="1" s="1"/>
  <c r="F104" i="1"/>
  <c r="K103" i="1"/>
  <c r="F103" i="1"/>
  <c r="K102" i="1"/>
  <c r="L102" i="1" s="1"/>
  <c r="F102" i="1"/>
  <c r="K101" i="1"/>
  <c r="F101" i="1"/>
  <c r="K100" i="1"/>
  <c r="F100" i="1"/>
  <c r="K98" i="1"/>
  <c r="F98" i="1"/>
  <c r="L98" i="1" s="1"/>
  <c r="K97" i="1"/>
  <c r="F97" i="1"/>
  <c r="K96" i="1"/>
  <c r="F96" i="1"/>
  <c r="L96" i="1" s="1"/>
  <c r="K95" i="1"/>
  <c r="F95" i="1"/>
  <c r="L95" i="1" s="1"/>
  <c r="K94" i="1"/>
  <c r="F94" i="1"/>
  <c r="L94" i="1" s="1"/>
  <c r="K93" i="1"/>
  <c r="F93" i="1"/>
  <c r="L93" i="1" s="1"/>
  <c r="K92" i="1"/>
  <c r="F92" i="1"/>
  <c r="L92" i="1" s="1"/>
  <c r="K91" i="1"/>
  <c r="F91" i="1"/>
  <c r="L91" i="1" s="1"/>
  <c r="K90" i="1"/>
  <c r="F90" i="1"/>
  <c r="L90" i="1" s="1"/>
  <c r="K89" i="1"/>
  <c r="F89" i="1"/>
  <c r="L89" i="1" s="1"/>
  <c r="K88" i="1"/>
  <c r="F88" i="1"/>
  <c r="K87" i="1"/>
  <c r="F87" i="1"/>
  <c r="K86" i="1"/>
  <c r="F86" i="1"/>
  <c r="L86" i="1" s="1"/>
  <c r="K84" i="1"/>
  <c r="F84" i="1"/>
  <c r="K83" i="1"/>
  <c r="F83" i="1"/>
  <c r="L83" i="1" s="1"/>
  <c r="K82" i="1"/>
  <c r="F82" i="1"/>
  <c r="L82" i="1" s="1"/>
  <c r="K81" i="1"/>
  <c r="F81" i="1"/>
  <c r="L81" i="1" s="1"/>
  <c r="W111" i="1"/>
  <c r="V111" i="1"/>
  <c r="U111" i="1"/>
  <c r="T111" i="1"/>
  <c r="X111" i="1" s="1"/>
  <c r="R111" i="1"/>
  <c r="Q111" i="1"/>
  <c r="P111" i="1"/>
  <c r="O111" i="1"/>
  <c r="X108" i="1"/>
  <c r="S108" i="1"/>
  <c r="X107" i="1"/>
  <c r="S107" i="1"/>
  <c r="Y107" i="1" s="1"/>
  <c r="X106" i="1"/>
  <c r="S106" i="1"/>
  <c r="Y106" i="1" s="1"/>
  <c r="X105" i="1"/>
  <c r="S105" i="1"/>
  <c r="Y105" i="1" s="1"/>
  <c r="X104" i="1"/>
  <c r="S104" i="1"/>
  <c r="Y104" i="1" s="1"/>
  <c r="X103" i="1"/>
  <c r="S103" i="1"/>
  <c r="Y103" i="1" s="1"/>
  <c r="X102" i="1"/>
  <c r="S102" i="1"/>
  <c r="X101" i="1"/>
  <c r="S101" i="1"/>
  <c r="Y101" i="1" s="1"/>
  <c r="X100" i="1"/>
  <c r="S100" i="1"/>
  <c r="Y100" i="1" s="1"/>
  <c r="X99" i="1"/>
  <c r="S99" i="1"/>
  <c r="Y99" i="1" s="1"/>
  <c r="X98" i="1"/>
  <c r="S98" i="1"/>
  <c r="Y98" i="1" s="1"/>
  <c r="X97" i="1"/>
  <c r="S97" i="1"/>
  <c r="Y97" i="1" s="1"/>
  <c r="X96" i="1"/>
  <c r="S96" i="1"/>
  <c r="Y96" i="1" s="1"/>
  <c r="X95" i="1"/>
  <c r="S95" i="1"/>
  <c r="Y95" i="1" s="1"/>
  <c r="X94" i="1"/>
  <c r="S94" i="1"/>
  <c r="X93" i="1"/>
  <c r="S93" i="1"/>
  <c r="X92" i="1"/>
  <c r="S92" i="1"/>
  <c r="X91" i="1"/>
  <c r="S91" i="1"/>
  <c r="Y91" i="1" s="1"/>
  <c r="X90" i="1"/>
  <c r="S90" i="1"/>
  <c r="X89" i="1"/>
  <c r="S89" i="1"/>
  <c r="Y89" i="1" s="1"/>
  <c r="X88" i="1"/>
  <c r="S88" i="1"/>
  <c r="Y88" i="1" s="1"/>
  <c r="X84" i="1"/>
  <c r="S84" i="1"/>
  <c r="Y84" i="1" s="1"/>
  <c r="X83" i="1"/>
  <c r="S83" i="1"/>
  <c r="X82" i="1"/>
  <c r="S82" i="1"/>
  <c r="Y82" i="1" s="1"/>
  <c r="X81" i="1"/>
  <c r="S81" i="1"/>
  <c r="Y93" i="1"/>
  <c r="Y108" i="1"/>
  <c r="Y94" i="1"/>
  <c r="Y90" i="1"/>
  <c r="F111" i="1"/>
  <c r="L84" i="1"/>
  <c r="Y92" i="1"/>
  <c r="L97" i="1"/>
  <c r="L101" i="1"/>
  <c r="L105" i="1"/>
  <c r="L87" i="1"/>
  <c r="Y102" i="1"/>
  <c r="L88" i="1"/>
  <c r="Y81" i="1"/>
  <c r="Y83" i="1"/>
  <c r="L103" i="1"/>
  <c r="X12" i="1"/>
  <c r="S12" i="1"/>
  <c r="Y12" i="1" s="1"/>
  <c r="X11" i="1"/>
  <c r="Y11" i="1" s="1"/>
  <c r="S11" i="1"/>
  <c r="G10" i="1"/>
  <c r="K10" i="1"/>
  <c r="B10" i="1"/>
  <c r="F10" i="1" s="1"/>
  <c r="S10" i="1"/>
  <c r="S49" i="1"/>
  <c r="X49" i="1"/>
  <c r="S51" i="1"/>
  <c r="X51" i="1"/>
  <c r="Y51" i="1" s="1"/>
  <c r="S52" i="1"/>
  <c r="X52" i="1"/>
  <c r="S53" i="1"/>
  <c r="X53" i="1"/>
  <c r="S55" i="1"/>
  <c r="X55" i="1"/>
  <c r="S56" i="1"/>
  <c r="X56" i="1"/>
  <c r="S57" i="1"/>
  <c r="X57" i="1"/>
  <c r="S59" i="1"/>
  <c r="X59" i="1"/>
  <c r="Y59" i="1" s="1"/>
  <c r="S27" i="1"/>
  <c r="X27" i="1"/>
  <c r="S28" i="1"/>
  <c r="X28" i="1"/>
  <c r="Y28" i="1" s="1"/>
  <c r="S29" i="1"/>
  <c r="X29" i="1"/>
  <c r="S31" i="1"/>
  <c r="X31" i="1"/>
  <c r="S32" i="1"/>
  <c r="X32" i="1"/>
  <c r="S33" i="1"/>
  <c r="X33" i="1"/>
  <c r="S34" i="1"/>
  <c r="X34" i="1"/>
  <c r="X10" i="1"/>
  <c r="S14" i="1"/>
  <c r="X14" i="1"/>
  <c r="S17" i="1"/>
  <c r="Y17" i="1" s="1"/>
  <c r="X17" i="1"/>
  <c r="S19" i="1"/>
  <c r="Y19" i="1" s="1"/>
  <c r="X19" i="1"/>
  <c r="S20" i="1"/>
  <c r="Y20" i="1" s="1"/>
  <c r="X20" i="1"/>
  <c r="S21" i="1"/>
  <c r="X21" i="1"/>
  <c r="Y21" i="1" s="1"/>
  <c r="S23" i="1"/>
  <c r="Y23" i="1" s="1"/>
  <c r="X23" i="1"/>
  <c r="F48" i="1"/>
  <c r="K48" i="1"/>
  <c r="F49" i="1"/>
  <c r="L49" i="1" s="1"/>
  <c r="K49" i="1"/>
  <c r="F50" i="1"/>
  <c r="K50" i="1"/>
  <c r="L50" i="1" s="1"/>
  <c r="F51" i="1"/>
  <c r="L51" i="1" s="1"/>
  <c r="K51" i="1"/>
  <c r="F52" i="1"/>
  <c r="K52" i="1"/>
  <c r="F53" i="1"/>
  <c r="L53" i="1" s="1"/>
  <c r="K53" i="1"/>
  <c r="F54" i="1"/>
  <c r="L54" i="1" s="1"/>
  <c r="K54" i="1"/>
  <c r="F55" i="1"/>
  <c r="L55" i="1" s="1"/>
  <c r="K55" i="1"/>
  <c r="F56" i="1"/>
  <c r="K56" i="1"/>
  <c r="F57" i="1"/>
  <c r="L57" i="1" s="1"/>
  <c r="K57" i="1"/>
  <c r="F58" i="1"/>
  <c r="K58" i="1"/>
  <c r="F59" i="1"/>
  <c r="K59" i="1"/>
  <c r="F60" i="1"/>
  <c r="K60" i="1"/>
  <c r="L60" i="1" s="1"/>
  <c r="F61" i="1"/>
  <c r="K61" i="1"/>
  <c r="F62" i="1"/>
  <c r="K62" i="1"/>
  <c r="F63" i="1"/>
  <c r="F64" i="1"/>
  <c r="K64" i="1"/>
  <c r="F65" i="1"/>
  <c r="K65" i="1"/>
  <c r="F66" i="1"/>
  <c r="K66" i="1"/>
  <c r="L66" i="1" s="1"/>
  <c r="F67" i="1"/>
  <c r="L67" i="1" s="1"/>
  <c r="K67" i="1"/>
  <c r="F68" i="1"/>
  <c r="K68" i="1"/>
  <c r="F11" i="1"/>
  <c r="L11" i="1" s="1"/>
  <c r="K11" i="1"/>
  <c r="F12" i="1"/>
  <c r="K12" i="1"/>
  <c r="F13" i="1"/>
  <c r="L13" i="1" s="1"/>
  <c r="K13" i="1"/>
  <c r="F14" i="1"/>
  <c r="K14" i="1"/>
  <c r="F15" i="1"/>
  <c r="K15" i="1"/>
  <c r="F16" i="1"/>
  <c r="K16" i="1"/>
  <c r="F17" i="1"/>
  <c r="L17" i="1" s="1"/>
  <c r="K17" i="1"/>
  <c r="F18" i="1"/>
  <c r="K18" i="1"/>
  <c r="L18" i="1" s="1"/>
  <c r="F19" i="1"/>
  <c r="K19" i="1"/>
  <c r="F20" i="1"/>
  <c r="K20" i="1"/>
  <c r="F21" i="1"/>
  <c r="L21" i="1" s="1"/>
  <c r="K21" i="1"/>
  <c r="F22" i="1"/>
  <c r="K22" i="1"/>
  <c r="F23" i="1"/>
  <c r="L23" i="1" s="1"/>
  <c r="K23" i="1"/>
  <c r="F24" i="1"/>
  <c r="K24" i="1"/>
  <c r="F25" i="1"/>
  <c r="L25" i="1" s="1"/>
  <c r="K25" i="1"/>
  <c r="F26" i="1"/>
  <c r="K26" i="1"/>
  <c r="F27" i="1"/>
  <c r="K27" i="1"/>
  <c r="F5" i="1"/>
  <c r="K5" i="1"/>
  <c r="F6" i="1"/>
  <c r="L6" i="1" s="1"/>
  <c r="K6" i="1"/>
  <c r="F7" i="1"/>
  <c r="K7" i="1"/>
  <c r="F8" i="1"/>
  <c r="K8" i="1"/>
  <c r="L65" i="1"/>
  <c r="L64" i="1"/>
  <c r="L52" i="1"/>
  <c r="L24" i="1"/>
  <c r="L62" i="1"/>
  <c r="Y56" i="1"/>
  <c r="Y31" i="1"/>
  <c r="L20" i="1"/>
  <c r="L56" i="1"/>
  <c r="Y53" i="1"/>
  <c r="L16" i="1"/>
  <c r="L14" i="1"/>
  <c r="Y10" i="1"/>
  <c r="L12" i="1"/>
  <c r="L27" i="1"/>
  <c r="L59" i="1"/>
  <c r="L5" i="1"/>
  <c r="L19" i="1"/>
  <c r="L61" i="1"/>
  <c r="L26" i="1"/>
  <c r="Y33" i="1"/>
  <c r="Y14" i="1"/>
  <c r="Y32" i="1"/>
  <c r="L15" i="1"/>
  <c r="L8" i="1"/>
  <c r="X61" i="1"/>
  <c r="S61" i="1"/>
  <c r="Y61" i="1" s="1"/>
  <c r="F28" i="1"/>
  <c r="K28" i="1"/>
  <c r="X70" i="1"/>
  <c r="S70" i="1"/>
  <c r="Y70" i="1" s="1"/>
  <c r="X69" i="1"/>
  <c r="Y69" i="1" s="1"/>
  <c r="S69" i="1"/>
  <c r="X72" i="1"/>
  <c r="S72" i="1"/>
  <c r="Y72" i="1" s="1"/>
  <c r="X71" i="1"/>
  <c r="S71" i="1"/>
  <c r="Y71" i="1"/>
  <c r="J73" i="1"/>
  <c r="H73" i="1"/>
  <c r="G73" i="1"/>
  <c r="E73" i="1"/>
  <c r="D73" i="1"/>
  <c r="C73" i="1"/>
  <c r="B73" i="1"/>
  <c r="F73" i="1" s="1"/>
  <c r="K72" i="1"/>
  <c r="F72" i="1"/>
  <c r="F71" i="1"/>
  <c r="L71" i="1" s="1"/>
  <c r="K70" i="1"/>
  <c r="F70" i="1"/>
  <c r="K69" i="1"/>
  <c r="F69" i="1"/>
  <c r="L69" i="1" s="1"/>
  <c r="K46" i="1"/>
  <c r="F46" i="1"/>
  <c r="K45" i="1"/>
  <c r="F45" i="1"/>
  <c r="L45" i="1" s="1"/>
  <c r="K44" i="1"/>
  <c r="F44" i="1"/>
  <c r="K43" i="1"/>
  <c r="F43" i="1"/>
  <c r="L43" i="1" s="1"/>
  <c r="X6" i="1"/>
  <c r="S6" i="1"/>
  <c r="X5" i="1"/>
  <c r="X9" i="1" s="1"/>
  <c r="S5" i="1"/>
  <c r="W73" i="1"/>
  <c r="V73" i="1"/>
  <c r="U73" i="1"/>
  <c r="U75" i="1" s="1"/>
  <c r="T73" i="1"/>
  <c r="R73" i="1"/>
  <c r="Q73" i="1"/>
  <c r="P73" i="1"/>
  <c r="S73" i="1" s="1"/>
  <c r="X68" i="1"/>
  <c r="Y68" i="1" s="1"/>
  <c r="S68" i="1"/>
  <c r="X67" i="1"/>
  <c r="S67" i="1"/>
  <c r="Y67" i="1" s="1"/>
  <c r="X65" i="1"/>
  <c r="Y65" i="1" s="1"/>
  <c r="S65" i="1"/>
  <c r="X64" i="1"/>
  <c r="S64" i="1"/>
  <c r="Y64" i="1" s="1"/>
  <c r="X63" i="1"/>
  <c r="Y63" i="1" s="1"/>
  <c r="S63" i="1"/>
  <c r="X62" i="1"/>
  <c r="S62" i="1"/>
  <c r="Y62" i="1" s="1"/>
  <c r="X46" i="1"/>
  <c r="Y46" i="1" s="1"/>
  <c r="S46" i="1"/>
  <c r="X45" i="1"/>
  <c r="S45" i="1"/>
  <c r="Y45" i="1" s="1"/>
  <c r="X44" i="1"/>
  <c r="Y44" i="1" s="1"/>
  <c r="S44" i="1"/>
  <c r="X43" i="1"/>
  <c r="S43" i="1"/>
  <c r="L72" i="1"/>
  <c r="L70" i="1"/>
  <c r="L46" i="1"/>
  <c r="L44" i="1"/>
  <c r="Y43" i="1"/>
  <c r="O73" i="1"/>
  <c r="Y6" i="1"/>
  <c r="W35" i="1"/>
  <c r="W75" i="1" s="1"/>
  <c r="V35" i="1"/>
  <c r="V75" i="1"/>
  <c r="V265" i="1"/>
  <c r="U35" i="1"/>
  <c r="T35" i="1"/>
  <c r="X35" i="1" s="1"/>
  <c r="R35" i="1"/>
  <c r="R36" i="1" s="1"/>
  <c r="R42" i="1" s="1"/>
  <c r="R47" i="1" s="1"/>
  <c r="R74" i="1" s="1"/>
  <c r="R80" i="1" s="1"/>
  <c r="R85" i="1" s="1"/>
  <c r="R112" i="1" s="1"/>
  <c r="R118" i="1" s="1"/>
  <c r="R123" i="1" s="1"/>
  <c r="R150" i="1" s="1"/>
  <c r="R156" i="1" s="1"/>
  <c r="R161" i="1" s="1"/>
  <c r="R188" i="1" s="1"/>
  <c r="R194" i="1" s="1"/>
  <c r="R199" i="1" s="1"/>
  <c r="R226" i="1" s="1"/>
  <c r="R232" i="1" s="1"/>
  <c r="R237" i="1" s="1"/>
  <c r="R264" i="1" s="1"/>
  <c r="R270" i="1" s="1"/>
  <c r="R275" i="1" s="1"/>
  <c r="R302" i="1" s="1"/>
  <c r="R308" i="1" s="1"/>
  <c r="R313" i="1" s="1"/>
  <c r="R340" i="1" s="1"/>
  <c r="R346" i="1" s="1"/>
  <c r="R351" i="1" s="1"/>
  <c r="R378" i="1" s="1"/>
  <c r="R384" i="1" s="1"/>
  <c r="R389" i="1" s="1"/>
  <c r="R416" i="1" s="1"/>
  <c r="R422" i="1" s="1"/>
  <c r="R427" i="1" s="1"/>
  <c r="R454" i="1" s="1"/>
  <c r="R460" i="1" s="1"/>
  <c r="R465" i="1" s="1"/>
  <c r="R492" i="1" s="1"/>
  <c r="R498" i="1" s="1"/>
  <c r="R503" i="1" s="1"/>
  <c r="R530" i="1" s="1"/>
  <c r="R536" i="1" s="1"/>
  <c r="R541" i="1" s="1"/>
  <c r="R568" i="1" s="1"/>
  <c r="R574" i="1" s="1"/>
  <c r="R579" i="1" s="1"/>
  <c r="R606" i="1" s="1"/>
  <c r="R612" i="1" s="1"/>
  <c r="R617" i="1" s="1"/>
  <c r="R644" i="1" s="1"/>
  <c r="R650" i="1" s="1"/>
  <c r="R655" i="1" s="1"/>
  <c r="R682" i="1" s="1"/>
  <c r="R688" i="1" s="1"/>
  <c r="R693" i="1" s="1"/>
  <c r="R720" i="1" s="1"/>
  <c r="R726" i="1" s="1"/>
  <c r="R731" i="1" s="1"/>
  <c r="R758" i="1" s="1"/>
  <c r="R764" i="1" s="1"/>
  <c r="R769" i="1" s="1"/>
  <c r="R796" i="1" s="1"/>
  <c r="R802" i="1" s="1"/>
  <c r="R807" i="1" s="1"/>
  <c r="R834" i="1" s="1"/>
  <c r="R840" i="1" s="1"/>
  <c r="R845" i="1" s="1"/>
  <c r="R872" i="1" s="1"/>
  <c r="R878" i="1" s="1"/>
  <c r="R883" i="1" s="1"/>
  <c r="R75" i="1"/>
  <c r="Q35" i="1"/>
  <c r="P35" i="1"/>
  <c r="P75" i="1"/>
  <c r="O35" i="1"/>
  <c r="X25" i="1"/>
  <c r="S25" i="1"/>
  <c r="X24" i="1"/>
  <c r="S24" i="1"/>
  <c r="X8" i="1"/>
  <c r="Y8" i="1" s="1"/>
  <c r="S8" i="1"/>
  <c r="X7" i="1"/>
  <c r="S7" i="1"/>
  <c r="J35" i="1"/>
  <c r="I35" i="1"/>
  <c r="H35" i="1"/>
  <c r="E35" i="1"/>
  <c r="F35" i="1" s="1"/>
  <c r="L35" i="1" s="1"/>
  <c r="D35" i="1"/>
  <c r="C35" i="1"/>
  <c r="B35" i="1"/>
  <c r="K34" i="1"/>
  <c r="F34" i="1"/>
  <c r="K33" i="1"/>
  <c r="F33" i="1"/>
  <c r="L33" i="1" s="1"/>
  <c r="K32" i="1"/>
  <c r="L32" i="1" s="1"/>
  <c r="F32" i="1"/>
  <c r="K31" i="1"/>
  <c r="F31" i="1"/>
  <c r="L31" i="1" s="1"/>
  <c r="K30" i="1"/>
  <c r="L30" i="1" s="1"/>
  <c r="F30" i="1"/>
  <c r="F29" i="1"/>
  <c r="L29" i="1" s="1"/>
  <c r="Y24" i="1"/>
  <c r="Y7" i="1"/>
  <c r="I9" i="1"/>
  <c r="I36" i="1"/>
  <c r="I42" i="1" s="1"/>
  <c r="I47" i="1" s="1"/>
  <c r="E9" i="1"/>
  <c r="J9" i="1"/>
  <c r="J36" i="1"/>
  <c r="J42" i="1" s="1"/>
  <c r="J47" i="1" s="1"/>
  <c r="J74" i="1" s="1"/>
  <c r="J80" i="1" s="1"/>
  <c r="J85" i="1"/>
  <c r="W9" i="1"/>
  <c r="W36" i="1"/>
  <c r="W42" i="1" s="1"/>
  <c r="W47" i="1" s="1"/>
  <c r="W74" i="1" s="1"/>
  <c r="W80" i="1" s="1"/>
  <c r="W85" i="1" s="1"/>
  <c r="W112" i="1" s="1"/>
  <c r="W118" i="1" s="1"/>
  <c r="W123" i="1" s="1"/>
  <c r="W150" i="1" s="1"/>
  <c r="W156" i="1" s="1"/>
  <c r="W161" i="1" s="1"/>
  <c r="W188" i="1" s="1"/>
  <c r="W194" i="1" s="1"/>
  <c r="W199" i="1" s="1"/>
  <c r="W226" i="1" s="1"/>
  <c r="W232" i="1" s="1"/>
  <c r="W237" i="1" s="1"/>
  <c r="W264" i="1" s="1"/>
  <c r="W270" i="1" s="1"/>
  <c r="W275" i="1" s="1"/>
  <c r="W302" i="1" s="1"/>
  <c r="W308" i="1" s="1"/>
  <c r="W313" i="1" s="1"/>
  <c r="W340" i="1" s="1"/>
  <c r="W346" i="1" s="1"/>
  <c r="W351" i="1" s="1"/>
  <c r="W378" i="1" s="1"/>
  <c r="W384" i="1" s="1"/>
  <c r="W389" i="1" s="1"/>
  <c r="W416" i="1" s="1"/>
  <c r="W422" i="1" s="1"/>
  <c r="W427" i="1" s="1"/>
  <c r="W454" i="1" s="1"/>
  <c r="W460" i="1" s="1"/>
  <c r="W465" i="1" s="1"/>
  <c r="W492" i="1" s="1"/>
  <c r="W498" i="1" s="1"/>
  <c r="W503" i="1" s="1"/>
  <c r="W530" i="1" s="1"/>
  <c r="W536" i="1" s="1"/>
  <c r="W541" i="1" s="1"/>
  <c r="W568" i="1" s="1"/>
  <c r="W574" i="1" s="1"/>
  <c r="W579" i="1" s="1"/>
  <c r="W606" i="1" s="1"/>
  <c r="W612" i="1" s="1"/>
  <c r="W617" i="1" s="1"/>
  <c r="W644" i="1" s="1"/>
  <c r="W650" i="1" s="1"/>
  <c r="W655" i="1" s="1"/>
  <c r="W682" i="1" s="1"/>
  <c r="W688" i="1" s="1"/>
  <c r="W693" i="1" s="1"/>
  <c r="W720" i="1" s="1"/>
  <c r="W726" i="1" s="1"/>
  <c r="W731" i="1" s="1"/>
  <c r="W758" i="1" s="1"/>
  <c r="W764" i="1" s="1"/>
  <c r="W769" i="1" s="1"/>
  <c r="W796" i="1" s="1"/>
  <c r="W802" i="1" s="1"/>
  <c r="W807" i="1" s="1"/>
  <c r="W834" i="1" s="1"/>
  <c r="W840" i="1" s="1"/>
  <c r="W845" i="1" s="1"/>
  <c r="W872" i="1" s="1"/>
  <c r="W878" i="1" s="1"/>
  <c r="W883" i="1" s="1"/>
  <c r="V9" i="1"/>
  <c r="V36" i="1" s="1"/>
  <c r="V42" i="1"/>
  <c r="V47" i="1" s="1"/>
  <c r="V74" i="1" s="1"/>
  <c r="V80" i="1" s="1"/>
  <c r="V85" i="1" s="1"/>
  <c r="V112" i="1"/>
  <c r="V118" i="1" s="1"/>
  <c r="V123" i="1" s="1"/>
  <c r="V150" i="1" s="1"/>
  <c r="V156" i="1" s="1"/>
  <c r="V161" i="1"/>
  <c r="V188" i="1" s="1"/>
  <c r="V194" i="1" s="1"/>
  <c r="V199" i="1" s="1"/>
  <c r="V226" i="1" s="1"/>
  <c r="V232" i="1" s="1"/>
  <c r="V237" i="1" s="1"/>
  <c r="V264" i="1" s="1"/>
  <c r="V270" i="1" s="1"/>
  <c r="V275" i="1" s="1"/>
  <c r="V302" i="1" s="1"/>
  <c r="V308" i="1" s="1"/>
  <c r="V313" i="1" s="1"/>
  <c r="V340" i="1" s="1"/>
  <c r="V346" i="1" s="1"/>
  <c r="V351" i="1" s="1"/>
  <c r="V378" i="1" s="1"/>
  <c r="V384" i="1" s="1"/>
  <c r="V389" i="1" s="1"/>
  <c r="V416" i="1" s="1"/>
  <c r="V422" i="1" s="1"/>
  <c r="V427" i="1" s="1"/>
  <c r="V454" i="1" s="1"/>
  <c r="V460" i="1" s="1"/>
  <c r="V465" i="1" s="1"/>
  <c r="V492" i="1" s="1"/>
  <c r="V498" i="1" s="1"/>
  <c r="V503" i="1" s="1"/>
  <c r="V530" i="1" s="1"/>
  <c r="V536" i="1" s="1"/>
  <c r="V541" i="1" s="1"/>
  <c r="V568" i="1" s="1"/>
  <c r="V574" i="1" s="1"/>
  <c r="V579" i="1" s="1"/>
  <c r="V606" i="1" s="1"/>
  <c r="V612" i="1" s="1"/>
  <c r="V617" i="1" s="1"/>
  <c r="V644" i="1" s="1"/>
  <c r="V650" i="1" s="1"/>
  <c r="V655" i="1" s="1"/>
  <c r="V682" i="1" s="1"/>
  <c r="V688" i="1" s="1"/>
  <c r="V693" i="1" s="1"/>
  <c r="V720" i="1" s="1"/>
  <c r="V726" i="1" s="1"/>
  <c r="V731" i="1" s="1"/>
  <c r="V758" i="1" s="1"/>
  <c r="V764" i="1" s="1"/>
  <c r="V769" i="1" s="1"/>
  <c r="V796" i="1" s="1"/>
  <c r="V802" i="1" s="1"/>
  <c r="V807" i="1" s="1"/>
  <c r="V834" i="1" s="1"/>
  <c r="V840" i="1" s="1"/>
  <c r="V845" i="1" s="1"/>
  <c r="V872" i="1" s="1"/>
  <c r="V878" i="1" s="1"/>
  <c r="V883" i="1" s="1"/>
  <c r="R9" i="1"/>
  <c r="Q9" i="1"/>
  <c r="P9" i="1"/>
  <c r="P36" i="1"/>
  <c r="P42" i="1" s="1"/>
  <c r="P47" i="1"/>
  <c r="P74" i="1" s="1"/>
  <c r="P80" i="1" s="1"/>
  <c r="P85" i="1" s="1"/>
  <c r="P112" i="1" s="1"/>
  <c r="P118" i="1"/>
  <c r="P123" i="1" s="1"/>
  <c r="P150" i="1" s="1"/>
  <c r="P156" i="1" s="1"/>
  <c r="P161" i="1" s="1"/>
  <c r="P188" i="1"/>
  <c r="P194" i="1" s="1"/>
  <c r="P199" i="1" s="1"/>
  <c r="P226" i="1" s="1"/>
  <c r="P232" i="1" s="1"/>
  <c r="P237" i="1" s="1"/>
  <c r="P264" i="1" s="1"/>
  <c r="P270" i="1" s="1"/>
  <c r="P275" i="1" s="1"/>
  <c r="P302" i="1" s="1"/>
  <c r="P308" i="1" s="1"/>
  <c r="P313" i="1" s="1"/>
  <c r="P340" i="1" s="1"/>
  <c r="P346" i="1" s="1"/>
  <c r="P351" i="1" s="1"/>
  <c r="P378" i="1" s="1"/>
  <c r="P384" i="1" s="1"/>
  <c r="P389" i="1" s="1"/>
  <c r="P416" i="1" s="1"/>
  <c r="P422" i="1" s="1"/>
  <c r="P427" i="1" s="1"/>
  <c r="P454" i="1" s="1"/>
  <c r="P460" i="1" s="1"/>
  <c r="P465" i="1" s="1"/>
  <c r="P492" i="1" s="1"/>
  <c r="P498" i="1" s="1"/>
  <c r="P503" i="1" s="1"/>
  <c r="P530" i="1" s="1"/>
  <c r="P536" i="1" s="1"/>
  <c r="P541" i="1" s="1"/>
  <c r="P568" i="1" s="1"/>
  <c r="P574" i="1" s="1"/>
  <c r="P579" i="1" s="1"/>
  <c r="P606" i="1" s="1"/>
  <c r="P612" i="1" s="1"/>
  <c r="P617" i="1" s="1"/>
  <c r="P644" i="1" s="1"/>
  <c r="P650" i="1" s="1"/>
  <c r="P655" i="1" s="1"/>
  <c r="P682" i="1" s="1"/>
  <c r="P688" i="1" s="1"/>
  <c r="P693" i="1" s="1"/>
  <c r="P720" i="1" s="1"/>
  <c r="P726" i="1" s="1"/>
  <c r="P731" i="1" s="1"/>
  <c r="P758" i="1" s="1"/>
  <c r="P764" i="1" s="1"/>
  <c r="P769" i="1" s="1"/>
  <c r="P796" i="1" s="1"/>
  <c r="U9" i="1"/>
  <c r="U36" i="1" s="1"/>
  <c r="U42" i="1"/>
  <c r="U47" i="1" s="1"/>
  <c r="U74" i="1" s="1"/>
  <c r="U80" i="1" s="1"/>
  <c r="U85" i="1" s="1"/>
  <c r="U112" i="1"/>
  <c r="U118" i="1" s="1"/>
  <c r="U123" i="1" s="1"/>
  <c r="U150" i="1" s="1"/>
  <c r="U156" i="1" s="1"/>
  <c r="U161" i="1"/>
  <c r="U188" i="1" s="1"/>
  <c r="U194" i="1" s="1"/>
  <c r="U199" i="1" s="1"/>
  <c r="U226" i="1" s="1"/>
  <c r="U232" i="1" s="1"/>
  <c r="U237" i="1" s="1"/>
  <c r="U264" i="1" s="1"/>
  <c r="U270" i="1" s="1"/>
  <c r="U275" i="1" s="1"/>
  <c r="U302" i="1" s="1"/>
  <c r="U308" i="1" s="1"/>
  <c r="U313" i="1" s="1"/>
  <c r="U340" i="1" s="1"/>
  <c r="U346" i="1" s="1"/>
  <c r="U351" i="1" s="1"/>
  <c r="U378" i="1" s="1"/>
  <c r="U384" i="1" s="1"/>
  <c r="U389" i="1" s="1"/>
  <c r="U416" i="1" s="1"/>
  <c r="U422" i="1" s="1"/>
  <c r="U427" i="1" s="1"/>
  <c r="U454" i="1" s="1"/>
  <c r="U460" i="1" s="1"/>
  <c r="U465" i="1" s="1"/>
  <c r="U492" i="1" s="1"/>
  <c r="U498" i="1" s="1"/>
  <c r="U503" i="1" s="1"/>
  <c r="U530" i="1" s="1"/>
  <c r="U536" i="1" s="1"/>
  <c r="U541" i="1" s="1"/>
  <c r="U568" i="1" s="1"/>
  <c r="U574" i="1" s="1"/>
  <c r="U579" i="1" s="1"/>
  <c r="U606" i="1" s="1"/>
  <c r="U612" i="1" s="1"/>
  <c r="U617" i="1" s="1"/>
  <c r="U644" i="1" s="1"/>
  <c r="U650" i="1" s="1"/>
  <c r="U655" i="1" s="1"/>
  <c r="U682" i="1" s="1"/>
  <c r="U688" i="1" s="1"/>
  <c r="U693" i="1" s="1"/>
  <c r="U720" i="1" s="1"/>
  <c r="U726" i="1" s="1"/>
  <c r="U731" i="1" s="1"/>
  <c r="U758" i="1" s="1"/>
  <c r="U764" i="1" s="1"/>
  <c r="U769" i="1" s="1"/>
  <c r="U796" i="1" s="1"/>
  <c r="U802" i="1" s="1"/>
  <c r="U807" i="1" s="1"/>
  <c r="U834" i="1" s="1"/>
  <c r="U840" i="1" s="1"/>
  <c r="U845" i="1" s="1"/>
  <c r="U872" i="1" s="1"/>
  <c r="U878" i="1" s="1"/>
  <c r="U883" i="1" s="1"/>
  <c r="D9" i="1"/>
  <c r="D36" i="1"/>
  <c r="D42" i="1"/>
  <c r="D47" i="1"/>
  <c r="D74" i="1" s="1"/>
  <c r="D80" i="1"/>
  <c r="D85" i="1" s="1"/>
  <c r="D112" i="1" s="1"/>
  <c r="D118" i="1" s="1"/>
  <c r="D123" i="1" s="1"/>
  <c r="D150" i="1"/>
  <c r="D156" i="1" s="1"/>
  <c r="D161" i="1" s="1"/>
  <c r="H9" i="1"/>
  <c r="H36" i="1" s="1"/>
  <c r="H42" i="1" s="1"/>
  <c r="H47" i="1" s="1"/>
  <c r="H74" i="1" s="1"/>
  <c r="H80" i="1" s="1"/>
  <c r="H85" i="1"/>
  <c r="H112" i="1" s="1"/>
  <c r="H118" i="1" s="1"/>
  <c r="H123" i="1" s="1"/>
  <c r="H150" i="1" s="1"/>
  <c r="H156" i="1" s="1"/>
  <c r="H161" i="1" s="1"/>
  <c r="H188" i="1" s="1"/>
  <c r="H194" i="1" s="1"/>
  <c r="H199" i="1" s="1"/>
  <c r="C9" i="1"/>
  <c r="C36" i="1" s="1"/>
  <c r="C42" i="1" s="1"/>
  <c r="C47" i="1" s="1"/>
  <c r="C74" i="1" s="1"/>
  <c r="C80" i="1" s="1"/>
  <c r="C85" i="1" s="1"/>
  <c r="C112" i="1" s="1"/>
  <c r="C118" i="1" s="1"/>
  <c r="C123" i="1" s="1"/>
  <c r="C150" i="1" s="1"/>
  <c r="C156" i="1" s="1"/>
  <c r="C161" i="1" s="1"/>
  <c r="C188" i="1" s="1"/>
  <c r="C194" i="1" s="1"/>
  <c r="C199" i="1" s="1"/>
  <c r="C226" i="1" s="1"/>
  <c r="C232" i="1" s="1"/>
  <c r="C237" i="1" s="1"/>
  <c r="C264" i="1" s="1"/>
  <c r="C270" i="1" s="1"/>
  <c r="C275" i="1" s="1"/>
  <c r="C302" i="1" s="1"/>
  <c r="C308" i="1" s="1"/>
  <c r="C313" i="1" s="1"/>
  <c r="G9" i="1"/>
  <c r="G36" i="1"/>
  <c r="G42" i="1" s="1"/>
  <c r="K42" i="1" s="1"/>
  <c r="K47" i="1" s="1"/>
  <c r="K4" i="1"/>
  <c r="K9" i="1" s="1"/>
  <c r="B9" i="1"/>
  <c r="B36" i="1" s="1"/>
  <c r="B42" i="1" s="1"/>
  <c r="F4" i="1"/>
  <c r="L4" i="1"/>
  <c r="S4" i="1"/>
  <c r="O9" i="1"/>
  <c r="O36" i="1" s="1"/>
  <c r="O42" i="1"/>
  <c r="O47" i="1" s="1"/>
  <c r="O74" i="1" s="1"/>
  <c r="O80" i="1" s="1"/>
  <c r="T9" i="1"/>
  <c r="X4" i="1"/>
  <c r="Y4" i="1"/>
  <c r="O265" i="1" l="1"/>
  <c r="J112" i="1"/>
  <c r="J118" i="1" s="1"/>
  <c r="J123" i="1" s="1"/>
  <c r="J150" i="1" s="1"/>
  <c r="J156" i="1" s="1"/>
  <c r="J161" i="1" s="1"/>
  <c r="J188" i="1" s="1"/>
  <c r="J194" i="1" s="1"/>
  <c r="J199" i="1" s="1"/>
  <c r="J226" i="1" s="1"/>
  <c r="J232" i="1" s="1"/>
  <c r="J237" i="1" s="1"/>
  <c r="J264" i="1" s="1"/>
  <c r="J270" i="1" s="1"/>
  <c r="J275" i="1" s="1"/>
  <c r="J302" i="1" s="1"/>
  <c r="J308" i="1" s="1"/>
  <c r="J313" i="1" s="1"/>
  <c r="J340" i="1" s="1"/>
  <c r="J346" i="1" s="1"/>
  <c r="J351" i="1" s="1"/>
  <c r="J378" i="1" s="1"/>
  <c r="J384" i="1" s="1"/>
  <c r="J389" i="1" s="1"/>
  <c r="J416" i="1" s="1"/>
  <c r="J422" i="1" s="1"/>
  <c r="J427" i="1" s="1"/>
  <c r="Y225" i="1"/>
  <c r="K127" i="1"/>
  <c r="L127" i="1" s="1"/>
  <c r="I149" i="1"/>
  <c r="K149" i="1" s="1"/>
  <c r="L149" i="1" s="1"/>
  <c r="I187" i="1"/>
  <c r="K174" i="1"/>
  <c r="L284" i="1"/>
  <c r="F339" i="1"/>
  <c r="L339" i="1" s="1"/>
  <c r="F301" i="1"/>
  <c r="Y833" i="1"/>
  <c r="U1025" i="1"/>
  <c r="U1329" i="1" s="1"/>
  <c r="U1785" i="1" s="1"/>
  <c r="X833" i="1"/>
  <c r="T75" i="1"/>
  <c r="X73" i="1"/>
  <c r="X75" i="1" s="1"/>
  <c r="Y5" i="1"/>
  <c r="S9" i="1"/>
  <c r="L28" i="1"/>
  <c r="P265" i="1"/>
  <c r="Y184" i="1"/>
  <c r="L121" i="1"/>
  <c r="L396" i="1"/>
  <c r="S605" i="1"/>
  <c r="Y605" i="1" s="1"/>
  <c r="B491" i="1"/>
  <c r="F479" i="1"/>
  <c r="L479" i="1" s="1"/>
  <c r="K591" i="1"/>
  <c r="H605" i="1"/>
  <c r="V645" i="1"/>
  <c r="F795" i="1"/>
  <c r="L795" i="1" s="1"/>
  <c r="K1054" i="1"/>
  <c r="L1054" i="1" s="1"/>
  <c r="H1061" i="1"/>
  <c r="C1099" i="1"/>
  <c r="F1099" i="1" s="1"/>
  <c r="F1085" i="1"/>
  <c r="D188" i="1"/>
  <c r="D194" i="1" s="1"/>
  <c r="D199" i="1" s="1"/>
  <c r="D226" i="1" s="1"/>
  <c r="D232" i="1" s="1"/>
  <c r="D237" i="1" s="1"/>
  <c r="D264" i="1" s="1"/>
  <c r="D270" i="1" s="1"/>
  <c r="D275" i="1" s="1"/>
  <c r="D302" i="1" s="1"/>
  <c r="D308" i="1" s="1"/>
  <c r="D313" i="1" s="1"/>
  <c r="D340" i="1" s="1"/>
  <c r="D346" i="1" s="1"/>
  <c r="D351" i="1" s="1"/>
  <c r="D378" i="1" s="1"/>
  <c r="D384" i="1" s="1"/>
  <c r="D389" i="1" s="1"/>
  <c r="D416" i="1" s="1"/>
  <c r="D422" i="1" s="1"/>
  <c r="D427" i="1" s="1"/>
  <c r="D454" i="1" s="1"/>
  <c r="D460" i="1" s="1"/>
  <c r="D465" i="1" s="1"/>
  <c r="D492" i="1" s="1"/>
  <c r="D498" i="1" s="1"/>
  <c r="D503" i="1" s="1"/>
  <c r="D530" i="1" s="1"/>
  <c r="D536" i="1" s="1"/>
  <c r="D541" i="1" s="1"/>
  <c r="D568" i="1" s="1"/>
  <c r="D574" i="1" s="1"/>
  <c r="D579" i="1" s="1"/>
  <c r="D606" i="1" s="1"/>
  <c r="D612" i="1" s="1"/>
  <c r="D617" i="1" s="1"/>
  <c r="D644" i="1" s="1"/>
  <c r="D650" i="1" s="1"/>
  <c r="D655" i="1" s="1"/>
  <c r="D682" i="1" s="1"/>
  <c r="D688" i="1" s="1"/>
  <c r="D693" i="1" s="1"/>
  <c r="D720" i="1" s="1"/>
  <c r="D726" i="1" s="1"/>
  <c r="D731" i="1" s="1"/>
  <c r="D758" i="1" s="1"/>
  <c r="D764" i="1" s="1"/>
  <c r="D769" i="1" s="1"/>
  <c r="D796" i="1" s="1"/>
  <c r="D802" i="1" s="1"/>
  <c r="D807" i="1" s="1"/>
  <c r="D834" i="1" s="1"/>
  <c r="D840" i="1" s="1"/>
  <c r="D845" i="1" s="1"/>
  <c r="D872" i="1" s="1"/>
  <c r="D878" i="1" s="1"/>
  <c r="D883" i="1" s="1"/>
  <c r="D910" i="1" s="1"/>
  <c r="D916" i="1" s="1"/>
  <c r="D921" i="1" s="1"/>
  <c r="D948" i="1" s="1"/>
  <c r="D954" i="1" s="1"/>
  <c r="D959" i="1" s="1"/>
  <c r="D986" i="1" s="1"/>
  <c r="D992" i="1" s="1"/>
  <c r="D997" i="1" s="1"/>
  <c r="D1024" i="1" s="1"/>
  <c r="D1030" i="1" s="1"/>
  <c r="D1035" i="1" s="1"/>
  <c r="U76" i="1"/>
  <c r="X36" i="1"/>
  <c r="S111" i="1"/>
  <c r="Y111" i="1" s="1"/>
  <c r="L184" i="1"/>
  <c r="X263" i="1"/>
  <c r="S263" i="1"/>
  <c r="Y233" i="1"/>
  <c r="Y218" i="1"/>
  <c r="Y214" i="1"/>
  <c r="Y208" i="1"/>
  <c r="Y206" i="1"/>
  <c r="Q265" i="1"/>
  <c r="Y179" i="1"/>
  <c r="Y177" i="1"/>
  <c r="Y165" i="1"/>
  <c r="Y159" i="1"/>
  <c r="Y110" i="1"/>
  <c r="Y273" i="1"/>
  <c r="L591" i="1"/>
  <c r="L689" i="1"/>
  <c r="O85" i="1"/>
  <c r="O112" i="1" s="1"/>
  <c r="O118" i="1" s="1"/>
  <c r="G47" i="1"/>
  <c r="G74" i="1" s="1"/>
  <c r="G80" i="1" s="1"/>
  <c r="B47" i="1"/>
  <c r="B74" i="1" s="1"/>
  <c r="B80" i="1" s="1"/>
  <c r="F42" i="1"/>
  <c r="Q36" i="1"/>
  <c r="Q42" i="1" s="1"/>
  <c r="S35" i="1"/>
  <c r="W76" i="1"/>
  <c r="Q75" i="1"/>
  <c r="Y34" i="1"/>
  <c r="Y27" i="1"/>
  <c r="Y55" i="1"/>
  <c r="K63" i="1"/>
  <c r="L63" i="1" s="1"/>
  <c r="I73" i="1"/>
  <c r="I74" i="1" s="1"/>
  <c r="I80" i="1" s="1"/>
  <c r="I85" i="1" s="1"/>
  <c r="I112" i="1" s="1"/>
  <c r="I118" i="1" s="1"/>
  <c r="I123" i="1" s="1"/>
  <c r="I150" i="1" s="1"/>
  <c r="I156" i="1" s="1"/>
  <c r="I161" i="1" s="1"/>
  <c r="I188" i="1" s="1"/>
  <c r="I194" i="1" s="1"/>
  <c r="I199" i="1" s="1"/>
  <c r="I226" i="1" s="1"/>
  <c r="I232" i="1" s="1"/>
  <c r="I237" i="1" s="1"/>
  <c r="I264" i="1" s="1"/>
  <c r="I270" i="1" s="1"/>
  <c r="I275" i="1" s="1"/>
  <c r="I302" i="1" s="1"/>
  <c r="I308" i="1" s="1"/>
  <c r="I313" i="1" s="1"/>
  <c r="I340" i="1" s="1"/>
  <c r="I346" i="1" s="1"/>
  <c r="I351" i="1" s="1"/>
  <c r="I378" i="1" s="1"/>
  <c r="I384" i="1" s="1"/>
  <c r="I389" i="1" s="1"/>
  <c r="I416" i="1" s="1"/>
  <c r="I422" i="1" s="1"/>
  <c r="I427" i="1" s="1"/>
  <c r="I454" i="1" s="1"/>
  <c r="I460" i="1" s="1"/>
  <c r="I465" i="1" s="1"/>
  <c r="I492" i="1" s="1"/>
  <c r="I498" i="1" s="1"/>
  <c r="I503" i="1" s="1"/>
  <c r="I530" i="1" s="1"/>
  <c r="I536" i="1" s="1"/>
  <c r="I541" i="1" s="1"/>
  <c r="I568" i="1" s="1"/>
  <c r="I574" i="1" s="1"/>
  <c r="I579" i="1" s="1"/>
  <c r="I606" i="1" s="1"/>
  <c r="I612" i="1" s="1"/>
  <c r="I617" i="1" s="1"/>
  <c r="I644" i="1" s="1"/>
  <c r="I650" i="1" s="1"/>
  <c r="I655" i="1" s="1"/>
  <c r="I682" i="1" s="1"/>
  <c r="I688" i="1" s="1"/>
  <c r="I693" i="1" s="1"/>
  <c r="I720" i="1" s="1"/>
  <c r="I726" i="1" s="1"/>
  <c r="I731" i="1" s="1"/>
  <c r="I758" i="1" s="1"/>
  <c r="I764" i="1" s="1"/>
  <c r="I769" i="1" s="1"/>
  <c r="I796" i="1" s="1"/>
  <c r="I802" i="1" s="1"/>
  <c r="I807" i="1" s="1"/>
  <c r="I834" i="1" s="1"/>
  <c r="I840" i="1" s="1"/>
  <c r="I845" i="1" s="1"/>
  <c r="I872" i="1" s="1"/>
  <c r="I878" i="1" s="1"/>
  <c r="I883" i="1" s="1"/>
  <c r="I910" i="1" s="1"/>
  <c r="I916" i="1" s="1"/>
  <c r="I921" i="1" s="1"/>
  <c r="I948" i="1" s="1"/>
  <c r="I954" i="1" s="1"/>
  <c r="I959" i="1" s="1"/>
  <c r="I986" i="1" s="1"/>
  <c r="I992" i="1" s="1"/>
  <c r="I997" i="1" s="1"/>
  <c r="I1024" i="1" s="1"/>
  <c r="I1030" i="1" s="1"/>
  <c r="I1035" i="1" s="1"/>
  <c r="I1062" i="1" s="1"/>
  <c r="I1068" i="1" s="1"/>
  <c r="I1073" i="1" s="1"/>
  <c r="I1100" i="1" s="1"/>
  <c r="I1106" i="1" s="1"/>
  <c r="I1111" i="1" s="1"/>
  <c r="I1138" i="1" s="1"/>
  <c r="I1144" i="1" s="1"/>
  <c r="I1149" i="1" s="1"/>
  <c r="I1176" i="1" s="1"/>
  <c r="I1182" i="1" s="1"/>
  <c r="I1187" i="1" s="1"/>
  <c r="I1214" i="1" s="1"/>
  <c r="I1220" i="1" s="1"/>
  <c r="L174" i="1"/>
  <c r="F187" i="1"/>
  <c r="G187" i="1"/>
  <c r="K187" i="1" s="1"/>
  <c r="K184" i="1"/>
  <c r="H225" i="1"/>
  <c r="K225" i="1" s="1"/>
  <c r="L225" i="1" s="1"/>
  <c r="K203" i="1"/>
  <c r="L203" i="1" s="1"/>
  <c r="L377" i="1"/>
  <c r="K292" i="1"/>
  <c r="L292" i="1" s="1"/>
  <c r="H301" i="1"/>
  <c r="F315" i="1"/>
  <c r="L315" i="1" s="1"/>
  <c r="C339" i="1"/>
  <c r="C340" i="1" s="1"/>
  <c r="C346" i="1" s="1"/>
  <c r="C351" i="1" s="1"/>
  <c r="C378" i="1" s="1"/>
  <c r="C384" i="1" s="1"/>
  <c r="C389" i="1" s="1"/>
  <c r="C416" i="1" s="1"/>
  <c r="C422" i="1" s="1"/>
  <c r="C427" i="1" s="1"/>
  <c r="C454" i="1" s="1"/>
  <c r="C460" i="1" s="1"/>
  <c r="C465" i="1" s="1"/>
  <c r="C492" i="1" s="1"/>
  <c r="C498" i="1" s="1"/>
  <c r="C503" i="1" s="1"/>
  <c r="C530" i="1" s="1"/>
  <c r="C536" i="1" s="1"/>
  <c r="C541" i="1" s="1"/>
  <c r="C568" i="1" s="1"/>
  <c r="C574" i="1" s="1"/>
  <c r="C579" i="1" s="1"/>
  <c r="C606" i="1" s="1"/>
  <c r="C612" i="1" s="1"/>
  <c r="C617" i="1" s="1"/>
  <c r="C644" i="1" s="1"/>
  <c r="C650" i="1" s="1"/>
  <c r="C655" i="1" s="1"/>
  <c r="C682" i="1" s="1"/>
  <c r="C688" i="1" s="1"/>
  <c r="C693" i="1" s="1"/>
  <c r="C720" i="1" s="1"/>
  <c r="C726" i="1" s="1"/>
  <c r="C731" i="1" s="1"/>
  <c r="C758" i="1" s="1"/>
  <c r="C764" i="1" s="1"/>
  <c r="C769" i="1" s="1"/>
  <c r="C796" i="1" s="1"/>
  <c r="C802" i="1" s="1"/>
  <c r="C807" i="1" s="1"/>
  <c r="C834" i="1" s="1"/>
  <c r="C840" i="1" s="1"/>
  <c r="C845" i="1" s="1"/>
  <c r="C872" i="1" s="1"/>
  <c r="C878" i="1" s="1"/>
  <c r="C883" i="1" s="1"/>
  <c r="C910" i="1" s="1"/>
  <c r="C916" i="1" s="1"/>
  <c r="C921" i="1" s="1"/>
  <c r="C948" i="1" s="1"/>
  <c r="C954" i="1" s="1"/>
  <c r="C959" i="1" s="1"/>
  <c r="C986" i="1" s="1"/>
  <c r="C992" i="1" s="1"/>
  <c r="C997" i="1" s="1"/>
  <c r="C1024" i="1" s="1"/>
  <c r="C1030" i="1" s="1"/>
  <c r="C1035" i="1" s="1"/>
  <c r="C1062" i="1" s="1"/>
  <c r="C1068" i="1" s="1"/>
  <c r="P645" i="1"/>
  <c r="F567" i="1"/>
  <c r="L567" i="1" s="1"/>
  <c r="L757" i="1"/>
  <c r="F833" i="1"/>
  <c r="L833" i="1" s="1"/>
  <c r="I871" i="1"/>
  <c r="K866" i="1"/>
  <c r="L866" i="1" s="1"/>
  <c r="L886" i="1"/>
  <c r="T36" i="1"/>
  <c r="T42" i="1" s="1"/>
  <c r="Y29" i="1"/>
  <c r="Y57" i="1"/>
  <c r="Y52" i="1"/>
  <c r="Y49" i="1"/>
  <c r="Y134" i="1"/>
  <c r="Y128" i="1"/>
  <c r="Y120" i="1"/>
  <c r="Y256" i="1"/>
  <c r="Y254" i="1"/>
  <c r="Y249" i="1"/>
  <c r="Y246" i="1"/>
  <c r="Y216" i="1"/>
  <c r="Y211" i="1"/>
  <c r="Y197" i="1"/>
  <c r="Y183" i="1"/>
  <c r="Y181" i="1"/>
  <c r="Y175" i="1"/>
  <c r="Y157" i="1"/>
  <c r="Y148" i="1"/>
  <c r="Y339" i="1"/>
  <c r="G301" i="1"/>
  <c r="K284" i="1"/>
  <c r="Y325" i="1"/>
  <c r="B415" i="1"/>
  <c r="F415" i="1" s="1"/>
  <c r="L415" i="1" s="1"/>
  <c r="F394" i="1"/>
  <c r="L394" i="1" s="1"/>
  <c r="L529" i="1"/>
  <c r="U645" i="1"/>
  <c r="Y526" i="1"/>
  <c r="Y489" i="1"/>
  <c r="Y757" i="1"/>
  <c r="L558" i="1"/>
  <c r="L698" i="1"/>
  <c r="L696" i="1"/>
  <c r="F681" i="1"/>
  <c r="L681" i="1" s="1"/>
  <c r="K1023" i="1"/>
  <c r="L1041" i="1"/>
  <c r="Y1002" i="1"/>
  <c r="F1043" i="1"/>
  <c r="L1043" i="1" s="1"/>
  <c r="B1061" i="1"/>
  <c r="F1061" i="1" s="1"/>
  <c r="F9" i="1"/>
  <c r="E36" i="1"/>
  <c r="E42" i="1" s="1"/>
  <c r="E47" i="1" s="1"/>
  <c r="E74" i="1" s="1"/>
  <c r="E80" i="1" s="1"/>
  <c r="E85" i="1" s="1"/>
  <c r="E112" i="1" s="1"/>
  <c r="E118" i="1" s="1"/>
  <c r="E123" i="1" s="1"/>
  <c r="E150" i="1" s="1"/>
  <c r="E156" i="1" s="1"/>
  <c r="E161" i="1" s="1"/>
  <c r="E188" i="1" s="1"/>
  <c r="E194" i="1" s="1"/>
  <c r="E199" i="1" s="1"/>
  <c r="E226" i="1" s="1"/>
  <c r="E232" i="1" s="1"/>
  <c r="E237" i="1" s="1"/>
  <c r="E264" i="1" s="1"/>
  <c r="E270" i="1" s="1"/>
  <c r="E275" i="1" s="1"/>
  <c r="E302" i="1" s="1"/>
  <c r="E308" i="1" s="1"/>
  <c r="E313" i="1" s="1"/>
  <c r="E340" i="1" s="1"/>
  <c r="E346" i="1" s="1"/>
  <c r="E351" i="1" s="1"/>
  <c r="E378" i="1" s="1"/>
  <c r="E384" i="1" s="1"/>
  <c r="E389" i="1" s="1"/>
  <c r="E416" i="1" s="1"/>
  <c r="E422" i="1" s="1"/>
  <c r="E427" i="1" s="1"/>
  <c r="E454" i="1" s="1"/>
  <c r="E460" i="1" s="1"/>
  <c r="E465" i="1" s="1"/>
  <c r="O75" i="1"/>
  <c r="L58" i="1"/>
  <c r="L48" i="1"/>
  <c r="S149" i="1"/>
  <c r="Y149" i="1" s="1"/>
  <c r="W265" i="1"/>
  <c r="R265" i="1"/>
  <c r="S187" i="1"/>
  <c r="Y187" i="1" s="1"/>
  <c r="Y314" i="1"/>
  <c r="S377" i="1"/>
  <c r="Y377" i="1" s="1"/>
  <c r="X415" i="1"/>
  <c r="Y415" i="1" s="1"/>
  <c r="L428" i="1"/>
  <c r="E491" i="1"/>
  <c r="K449" i="1"/>
  <c r="L449" i="1" s="1"/>
  <c r="L448" i="1"/>
  <c r="X567" i="1"/>
  <c r="S567" i="1"/>
  <c r="Y567" i="1" s="1"/>
  <c r="Y514" i="1"/>
  <c r="S643" i="1"/>
  <c r="L851" i="1"/>
  <c r="L945" i="1"/>
  <c r="L999" i="1"/>
  <c r="Y1033" i="1"/>
  <c r="Y981" i="1"/>
  <c r="L34" i="1"/>
  <c r="Y25" i="1"/>
  <c r="L7" i="1"/>
  <c r="L22" i="1"/>
  <c r="L68" i="1"/>
  <c r="L10" i="1"/>
  <c r="L100" i="1"/>
  <c r="L106" i="1"/>
  <c r="L110" i="1"/>
  <c r="J111" i="1"/>
  <c r="K111" i="1" s="1"/>
  <c r="L111" i="1" s="1"/>
  <c r="Y261" i="1"/>
  <c r="L238" i="1"/>
  <c r="Y239" i="1"/>
  <c r="K396" i="1"/>
  <c r="L326" i="1"/>
  <c r="L324" i="1"/>
  <c r="H453" i="1"/>
  <c r="K453" i="1" s="1"/>
  <c r="L453" i="1" s="1"/>
  <c r="X491" i="1"/>
  <c r="Y491" i="1" s="1"/>
  <c r="Y431" i="1"/>
  <c r="J453" i="1"/>
  <c r="X643" i="1"/>
  <c r="L599" i="1"/>
  <c r="B605" i="1"/>
  <c r="F605" i="1" s="1"/>
  <c r="K605" i="1"/>
  <c r="L636" i="1"/>
  <c r="G643" i="1"/>
  <c r="L604" i="1"/>
  <c r="L640" i="1"/>
  <c r="Y705" i="1"/>
  <c r="L709" i="1"/>
  <c r="Y729" i="1"/>
  <c r="Y730" i="1"/>
  <c r="Y741" i="1"/>
  <c r="L752" i="1"/>
  <c r="S795" i="1"/>
  <c r="Y795" i="1" s="1"/>
  <c r="Y752" i="1"/>
  <c r="Y754" i="1"/>
  <c r="L854" i="1"/>
  <c r="K871" i="1"/>
  <c r="L871" i="1" s="1"/>
  <c r="C833" i="1"/>
  <c r="F909" i="1"/>
  <c r="C947" i="1"/>
  <c r="F947" i="1" s="1"/>
  <c r="L947" i="1" s="1"/>
  <c r="Y918" i="1"/>
  <c r="Y973" i="1"/>
  <c r="Y1003" i="1"/>
  <c r="L1019" i="1"/>
  <c r="Y1092" i="1"/>
  <c r="Y1076" i="1"/>
  <c r="Y1071" i="1"/>
  <c r="Y1069" i="1"/>
  <c r="Y352" i="1"/>
  <c r="L373" i="1"/>
  <c r="Y223" i="1"/>
  <c r="Y276" i="1"/>
  <c r="Y258" i="1"/>
  <c r="Y396" i="1"/>
  <c r="Y400" i="1"/>
  <c r="Y404" i="1"/>
  <c r="Y406" i="1"/>
  <c r="Y408" i="1"/>
  <c r="L390" i="1"/>
  <c r="L410" i="1"/>
  <c r="L322" i="1"/>
  <c r="L331" i="1"/>
  <c r="L447" i="1"/>
  <c r="L444" i="1"/>
  <c r="L442" i="1"/>
  <c r="Y578" i="1"/>
  <c r="Y580" i="1"/>
  <c r="L582" i="1"/>
  <c r="Y586" i="1"/>
  <c r="Y621" i="1"/>
  <c r="Y564" i="1"/>
  <c r="H643" i="1"/>
  <c r="Y654" i="1"/>
  <c r="L672" i="1"/>
  <c r="L690" i="1"/>
  <c r="Y713" i="1"/>
  <c r="L734" i="1"/>
  <c r="K757" i="1"/>
  <c r="Y733" i="1"/>
  <c r="E795" i="1"/>
  <c r="F780" i="1"/>
  <c r="L780" i="1" s="1"/>
  <c r="Y803" i="1"/>
  <c r="L902" i="1"/>
  <c r="K886" i="1"/>
  <c r="H909" i="1"/>
  <c r="J909" i="1"/>
  <c r="K890" i="1"/>
  <c r="L890" i="1" s="1"/>
  <c r="L1001" i="1"/>
  <c r="L1007" i="1"/>
  <c r="Y1008" i="1"/>
  <c r="L1057" i="1"/>
  <c r="L1069" i="1"/>
  <c r="L1071" i="1"/>
  <c r="L1082" i="1"/>
  <c r="L1084" i="1"/>
  <c r="Y1130" i="1"/>
  <c r="L1110" i="1"/>
  <c r="L1115" i="1"/>
  <c r="L1117" i="1"/>
  <c r="L1119" i="1"/>
  <c r="L1123" i="1"/>
  <c r="L1131" i="1"/>
  <c r="L1133" i="1"/>
  <c r="F1041" i="1"/>
  <c r="D1061" i="1"/>
  <c r="L550" i="1"/>
  <c r="Y581" i="1"/>
  <c r="K595" i="1"/>
  <c r="L595" i="1" s="1"/>
  <c r="L666" i="1"/>
  <c r="L707" i="1"/>
  <c r="L736" i="1"/>
  <c r="Y749" i="1"/>
  <c r="L728" i="1"/>
  <c r="Y775" i="1"/>
  <c r="Y785" i="1"/>
  <c r="L771" i="1"/>
  <c r="L817" i="1"/>
  <c r="Y828" i="1"/>
  <c r="Y716" i="1"/>
  <c r="Y770" i="1"/>
  <c r="Y860" i="1"/>
  <c r="L859" i="1"/>
  <c r="L897" i="1"/>
  <c r="Y879" i="1"/>
  <c r="Y960" i="1"/>
  <c r="Y962" i="1"/>
  <c r="L978" i="1"/>
  <c r="L980" i="1"/>
  <c r="L996" i="1"/>
  <c r="Y1012" i="1"/>
  <c r="L1014" i="1"/>
  <c r="Y979" i="1"/>
  <c r="L1042" i="1"/>
  <c r="Y1077" i="1"/>
  <c r="Y1058" i="1"/>
  <c r="L1080" i="1"/>
  <c r="L1089" i="1"/>
  <c r="L1096" i="1"/>
  <c r="L1098" i="1"/>
  <c r="K999" i="1"/>
  <c r="Y1126" i="1"/>
  <c r="L1136" i="1"/>
  <c r="Y1037" i="1"/>
  <c r="L1159" i="1"/>
  <c r="L1161" i="1"/>
  <c r="L1163" i="1"/>
  <c r="L1165" i="1"/>
  <c r="L1167" i="1"/>
  <c r="L1169" i="1"/>
  <c r="Y1097" i="1"/>
  <c r="Y1113" i="1"/>
  <c r="L1107" i="1"/>
  <c r="F1023" i="1"/>
  <c r="L1039" i="1"/>
  <c r="L1053" i="1"/>
  <c r="Y1088" i="1"/>
  <c r="Y1075" i="1"/>
  <c r="Y1057" i="1"/>
  <c r="Y1043" i="1"/>
  <c r="Y1040" i="1"/>
  <c r="Y1038" i="1"/>
  <c r="L1075" i="1"/>
  <c r="L1092" i="1"/>
  <c r="Y1108" i="1"/>
  <c r="Y1110" i="1"/>
  <c r="Y1131" i="1"/>
  <c r="L1109" i="1"/>
  <c r="L1118" i="1"/>
  <c r="L1122" i="1"/>
  <c r="L1130" i="1"/>
  <c r="L1164" i="1"/>
  <c r="L1168" i="1"/>
  <c r="Y1096" i="1"/>
  <c r="Y1112" i="1"/>
  <c r="Y1080" i="1"/>
  <c r="Y1117" i="1"/>
  <c r="V910" i="1"/>
  <c r="V916" i="1" s="1"/>
  <c r="R910" i="1"/>
  <c r="W910" i="1"/>
  <c r="W916" i="1" s="1"/>
  <c r="U910" i="1"/>
  <c r="U916" i="1" s="1"/>
  <c r="L1327" i="1"/>
  <c r="L1289" i="1"/>
  <c r="L1251" i="1"/>
  <c r="Y1203" i="1"/>
  <c r="L1205" i="1"/>
  <c r="Y1202" i="1"/>
  <c r="L1203" i="1"/>
  <c r="Y1199" i="1"/>
  <c r="L1200" i="1"/>
  <c r="L1199" i="1"/>
  <c r="L1198" i="1"/>
  <c r="L1196" i="1"/>
  <c r="L1194" i="1"/>
  <c r="L1193" i="1"/>
  <c r="L1189" i="1"/>
  <c r="L1191" i="1"/>
  <c r="Y1194" i="1"/>
  <c r="L1190" i="1"/>
  <c r="L1186" i="1"/>
  <c r="K1213" i="1"/>
  <c r="L1188" i="1"/>
  <c r="F1213" i="1"/>
  <c r="L1184" i="1"/>
  <c r="Y1211" i="1"/>
  <c r="L1172" i="1"/>
  <c r="Y1190" i="1"/>
  <c r="Y1212" i="1"/>
  <c r="L1148" i="1"/>
  <c r="L1166" i="1"/>
  <c r="Y1156" i="1"/>
  <c r="L1162" i="1"/>
  <c r="L1160" i="1"/>
  <c r="L1146" i="1"/>
  <c r="Y1186" i="1"/>
  <c r="Y1152" i="1"/>
  <c r="Y1151" i="1"/>
  <c r="P802" i="1"/>
  <c r="Y768" i="1"/>
  <c r="Y1122" i="1"/>
  <c r="L1174" i="1"/>
  <c r="K1175" i="1"/>
  <c r="L1150" i="1"/>
  <c r="F1175" i="1"/>
  <c r="L1175" i="1" s="1"/>
  <c r="L1135" i="1"/>
  <c r="Y1135" i="1"/>
  <c r="Y1121" i="1"/>
  <c r="Y1120" i="1"/>
  <c r="L1134" i="1"/>
  <c r="L1132" i="1"/>
  <c r="L1128" i="1"/>
  <c r="L1129" i="1"/>
  <c r="L1127" i="1"/>
  <c r="L1126" i="1"/>
  <c r="L1108" i="1"/>
  <c r="Y1116" i="1"/>
  <c r="Y1136" i="1"/>
  <c r="Y1115" i="1"/>
  <c r="L1121" i="1"/>
  <c r="Y1183" i="1"/>
  <c r="Y1189" i="1"/>
  <c r="Y1191" i="1"/>
  <c r="Y1193" i="1"/>
  <c r="Y1195" i="1"/>
  <c r="Y1197" i="1"/>
  <c r="L1120" i="1"/>
  <c r="L1116" i="1"/>
  <c r="L1114" i="1"/>
  <c r="K1137" i="1"/>
  <c r="F1137" i="1"/>
  <c r="L1112" i="1"/>
  <c r="L1072" i="1"/>
  <c r="L1097" i="1"/>
  <c r="L1095" i="1"/>
  <c r="L1091" i="1"/>
  <c r="Y1059" i="1"/>
  <c r="Y1060" i="1"/>
  <c r="L1087" i="1"/>
  <c r="L1086" i="1"/>
  <c r="L1085" i="1"/>
  <c r="L1083" i="1"/>
  <c r="K1099" i="1"/>
  <c r="L1079" i="1"/>
  <c r="L1078" i="1"/>
  <c r="L1070" i="1"/>
  <c r="L1059" i="1"/>
  <c r="L1058" i="1"/>
  <c r="Y1053" i="1"/>
  <c r="L1055" i="1"/>
  <c r="Y1094" i="1"/>
  <c r="Y1052" i="1"/>
  <c r="L1034" i="1"/>
  <c r="Y1056" i="1"/>
  <c r="Y1054" i="1"/>
  <c r="Y1039" i="1"/>
  <c r="Y1047" i="1"/>
  <c r="L1049" i="1"/>
  <c r="L1033" i="1"/>
  <c r="D1062" i="1"/>
  <c r="D1068" i="1" s="1"/>
  <c r="D1073" i="1" s="1"/>
  <c r="D1100" i="1" s="1"/>
  <c r="D1106" i="1" s="1"/>
  <c r="D1111" i="1" s="1"/>
  <c r="D1138" i="1" s="1"/>
  <c r="D1144" i="1" s="1"/>
  <c r="L1045" i="1"/>
  <c r="L1044" i="1"/>
  <c r="Y1055" i="1"/>
  <c r="Y1022" i="1"/>
  <c r="Y1021" i="1"/>
  <c r="L1040" i="1"/>
  <c r="L1032" i="1"/>
  <c r="L1038" i="1"/>
  <c r="K1061" i="1"/>
  <c r="L1037" i="1"/>
  <c r="P1025" i="1"/>
  <c r="P1329" i="1" s="1"/>
  <c r="P1785" i="1" s="1"/>
  <c r="L1031" i="1"/>
  <c r="X42" i="1" l="1"/>
  <c r="X47" i="1" s="1"/>
  <c r="X74" i="1" s="1"/>
  <c r="T47" i="1"/>
  <c r="T74" i="1" s="1"/>
  <c r="T80" i="1" s="1"/>
  <c r="L42" i="1"/>
  <c r="F47" i="1"/>
  <c r="Y35" i="1"/>
  <c r="S75" i="1"/>
  <c r="Y73" i="1"/>
  <c r="T76" i="1"/>
  <c r="K909" i="1"/>
  <c r="L909" i="1"/>
  <c r="K643" i="1"/>
  <c r="L643" i="1" s="1"/>
  <c r="Y643" i="1"/>
  <c r="O76" i="1"/>
  <c r="W645" i="1"/>
  <c r="Q47" i="1"/>
  <c r="Q74" i="1" s="1"/>
  <c r="Q80" i="1" s="1"/>
  <c r="S42" i="1"/>
  <c r="G85" i="1"/>
  <c r="G112" i="1" s="1"/>
  <c r="G118" i="1" s="1"/>
  <c r="K80" i="1"/>
  <c r="K85" i="1" s="1"/>
  <c r="K112" i="1" s="1"/>
  <c r="S265" i="1"/>
  <c r="S266" i="1" s="1"/>
  <c r="Y263" i="1"/>
  <c r="P266" i="1"/>
  <c r="S36" i="1"/>
  <c r="Y36" i="1" s="1"/>
  <c r="Y9" i="1"/>
  <c r="R266" i="1"/>
  <c r="F36" i="1"/>
  <c r="L36" i="1" s="1"/>
  <c r="L9" i="1"/>
  <c r="Q266" i="1"/>
  <c r="Q645" i="1"/>
  <c r="X76" i="1"/>
  <c r="V76" i="1"/>
  <c r="J454" i="1"/>
  <c r="J460" i="1" s="1"/>
  <c r="J465" i="1" s="1"/>
  <c r="J492" i="1" s="1"/>
  <c r="J498" i="1" s="1"/>
  <c r="J503" i="1" s="1"/>
  <c r="J530" i="1" s="1"/>
  <c r="J536" i="1" s="1"/>
  <c r="J541" i="1" s="1"/>
  <c r="J568" i="1" s="1"/>
  <c r="J574" i="1" s="1"/>
  <c r="J579" i="1" s="1"/>
  <c r="J606" i="1" s="1"/>
  <c r="J612" i="1" s="1"/>
  <c r="J617" i="1" s="1"/>
  <c r="J644" i="1" s="1"/>
  <c r="J650" i="1" s="1"/>
  <c r="J655" i="1" s="1"/>
  <c r="J682" i="1" s="1"/>
  <c r="J688" i="1" s="1"/>
  <c r="J693" i="1" s="1"/>
  <c r="J720" i="1" s="1"/>
  <c r="J726" i="1" s="1"/>
  <c r="J731" i="1" s="1"/>
  <c r="J758" i="1" s="1"/>
  <c r="J764" i="1" s="1"/>
  <c r="J769" i="1" s="1"/>
  <c r="J796" i="1" s="1"/>
  <c r="J802" i="1" s="1"/>
  <c r="J807" i="1" s="1"/>
  <c r="J834" i="1" s="1"/>
  <c r="J840" i="1" s="1"/>
  <c r="J845" i="1" s="1"/>
  <c r="J872" i="1" s="1"/>
  <c r="J878" i="1" s="1"/>
  <c r="J883" i="1" s="1"/>
  <c r="J910" i="1" s="1"/>
  <c r="J916" i="1" s="1"/>
  <c r="J921" i="1" s="1"/>
  <c r="J948" i="1" s="1"/>
  <c r="J954" i="1" s="1"/>
  <c r="J959" i="1" s="1"/>
  <c r="J986" i="1" s="1"/>
  <c r="J992" i="1" s="1"/>
  <c r="J997" i="1" s="1"/>
  <c r="J1024" i="1" s="1"/>
  <c r="J1030" i="1" s="1"/>
  <c r="J1035" i="1" s="1"/>
  <c r="J1062" i="1" s="1"/>
  <c r="J1068" i="1" s="1"/>
  <c r="J1073" i="1" s="1"/>
  <c r="J1100" i="1" s="1"/>
  <c r="J1106" i="1" s="1"/>
  <c r="J1111" i="1" s="1"/>
  <c r="J1138" i="1" s="1"/>
  <c r="J1144" i="1" s="1"/>
  <c r="J1149" i="1" s="1"/>
  <c r="J1176" i="1" s="1"/>
  <c r="J1182" i="1" s="1"/>
  <c r="J1187" i="1" s="1"/>
  <c r="J1214" i="1" s="1"/>
  <c r="J1220" i="1" s="1"/>
  <c r="J1225" i="1" s="1"/>
  <c r="J1252" i="1" s="1"/>
  <c r="J1258" i="1" s="1"/>
  <c r="L605" i="1"/>
  <c r="B85" i="1"/>
  <c r="B112" i="1" s="1"/>
  <c r="B118" i="1" s="1"/>
  <c r="F80" i="1"/>
  <c r="F491" i="1"/>
  <c r="L491" i="1" s="1"/>
  <c r="K73" i="1"/>
  <c r="H226" i="1"/>
  <c r="H232" i="1" s="1"/>
  <c r="H237" i="1" s="1"/>
  <c r="H264" i="1" s="1"/>
  <c r="H270" i="1" s="1"/>
  <c r="H275" i="1" s="1"/>
  <c r="H302" i="1" s="1"/>
  <c r="H308" i="1" s="1"/>
  <c r="H313" i="1" s="1"/>
  <c r="H340" i="1" s="1"/>
  <c r="H346" i="1" s="1"/>
  <c r="H351" i="1" s="1"/>
  <c r="H378" i="1" s="1"/>
  <c r="H384" i="1" s="1"/>
  <c r="H389" i="1" s="1"/>
  <c r="H416" i="1" s="1"/>
  <c r="H422" i="1" s="1"/>
  <c r="H427" i="1" s="1"/>
  <c r="H454" i="1" s="1"/>
  <c r="H460" i="1" s="1"/>
  <c r="H465" i="1" s="1"/>
  <c r="H492" i="1" s="1"/>
  <c r="H498" i="1" s="1"/>
  <c r="H503" i="1" s="1"/>
  <c r="H530" i="1" s="1"/>
  <c r="H536" i="1" s="1"/>
  <c r="H541" i="1" s="1"/>
  <c r="H568" i="1" s="1"/>
  <c r="H574" i="1" s="1"/>
  <c r="H579" i="1" s="1"/>
  <c r="H606" i="1" s="1"/>
  <c r="H612" i="1" s="1"/>
  <c r="H617" i="1" s="1"/>
  <c r="H644" i="1" s="1"/>
  <c r="H650" i="1" s="1"/>
  <c r="H655" i="1" s="1"/>
  <c r="H682" i="1" s="1"/>
  <c r="H688" i="1" s="1"/>
  <c r="H693" i="1" s="1"/>
  <c r="H720" i="1" s="1"/>
  <c r="H726" i="1" s="1"/>
  <c r="H731" i="1" s="1"/>
  <c r="H758" i="1" s="1"/>
  <c r="H764" i="1" s="1"/>
  <c r="H769" i="1" s="1"/>
  <c r="H796" i="1" s="1"/>
  <c r="H802" i="1" s="1"/>
  <c r="H807" i="1" s="1"/>
  <c r="H834" i="1" s="1"/>
  <c r="H840" i="1" s="1"/>
  <c r="H845" i="1" s="1"/>
  <c r="H872" i="1" s="1"/>
  <c r="H878" i="1" s="1"/>
  <c r="H883" i="1" s="1"/>
  <c r="H910" i="1" s="1"/>
  <c r="H916" i="1" s="1"/>
  <c r="H921" i="1" s="1"/>
  <c r="H948" i="1" s="1"/>
  <c r="H954" i="1" s="1"/>
  <c r="H959" i="1" s="1"/>
  <c r="H986" i="1" s="1"/>
  <c r="H992" i="1" s="1"/>
  <c r="H997" i="1" s="1"/>
  <c r="H1024" i="1" s="1"/>
  <c r="H1030" i="1" s="1"/>
  <c r="H1035" i="1" s="1"/>
  <c r="H1062" i="1" s="1"/>
  <c r="H1068" i="1" s="1"/>
  <c r="H1073" i="1" s="1"/>
  <c r="H1100" i="1" s="1"/>
  <c r="H1106" i="1" s="1"/>
  <c r="H1111" i="1" s="1"/>
  <c r="H1138" i="1" s="1"/>
  <c r="H1144" i="1" s="1"/>
  <c r="H1149" i="1" s="1"/>
  <c r="H1176" i="1" s="1"/>
  <c r="H1182" i="1" s="1"/>
  <c r="H1187" i="1" s="1"/>
  <c r="H1214" i="1" s="1"/>
  <c r="H1220" i="1" s="1"/>
  <c r="H1225" i="1" s="1"/>
  <c r="H1252" i="1" s="1"/>
  <c r="H1258" i="1" s="1"/>
  <c r="H1263" i="1" s="1"/>
  <c r="H1290" i="1" s="1"/>
  <c r="H1296" i="1" s="1"/>
  <c r="H1301" i="1" s="1"/>
  <c r="H1328" i="1" s="1"/>
  <c r="H1334" i="1" s="1"/>
  <c r="H1339" i="1" s="1"/>
  <c r="H1366" i="1" s="1"/>
  <c r="H1372" i="1" s="1"/>
  <c r="H1377" i="1" s="1"/>
  <c r="H1404" i="1" s="1"/>
  <c r="H1410" i="1" s="1"/>
  <c r="H1415" i="1" s="1"/>
  <c r="H1442" i="1" s="1"/>
  <c r="H1448" i="1" s="1"/>
  <c r="H1453" i="1" s="1"/>
  <c r="H1480" i="1" s="1"/>
  <c r="H1486" i="1" s="1"/>
  <c r="H1491" i="1" s="1"/>
  <c r="H1518" i="1" s="1"/>
  <c r="H1524" i="1" s="1"/>
  <c r="H1529" i="1" s="1"/>
  <c r="H1556" i="1" s="1"/>
  <c r="H1562" i="1" s="1"/>
  <c r="H1567" i="1" s="1"/>
  <c r="H1594" i="1" s="1"/>
  <c r="H1600" i="1" s="1"/>
  <c r="H1605" i="1" s="1"/>
  <c r="H1632" i="1" s="1"/>
  <c r="H1638" i="1" s="1"/>
  <c r="H1643" i="1" s="1"/>
  <c r="H1670" i="1" s="1"/>
  <c r="H1676" i="1" s="1"/>
  <c r="V1025" i="1"/>
  <c r="V1329" i="1" s="1"/>
  <c r="V1785" i="1" s="1"/>
  <c r="L1023" i="1"/>
  <c r="T265" i="1"/>
  <c r="O645" i="1"/>
  <c r="E492" i="1"/>
  <c r="E498" i="1" s="1"/>
  <c r="E503" i="1" s="1"/>
  <c r="E530" i="1" s="1"/>
  <c r="E536" i="1" s="1"/>
  <c r="E541" i="1" s="1"/>
  <c r="E568" i="1" s="1"/>
  <c r="E574" i="1" s="1"/>
  <c r="E579" i="1" s="1"/>
  <c r="E606" i="1" s="1"/>
  <c r="E612" i="1" s="1"/>
  <c r="E617" i="1" s="1"/>
  <c r="E644" i="1" s="1"/>
  <c r="E650" i="1" s="1"/>
  <c r="E655" i="1" s="1"/>
  <c r="E682" i="1" s="1"/>
  <c r="E688" i="1" s="1"/>
  <c r="E693" i="1" s="1"/>
  <c r="E720" i="1" s="1"/>
  <c r="E726" i="1" s="1"/>
  <c r="E731" i="1" s="1"/>
  <c r="E758" i="1" s="1"/>
  <c r="E764" i="1" s="1"/>
  <c r="E769" i="1" s="1"/>
  <c r="E796" i="1" s="1"/>
  <c r="E802" i="1" s="1"/>
  <c r="E807" i="1" s="1"/>
  <c r="E834" i="1" s="1"/>
  <c r="E840" i="1" s="1"/>
  <c r="E845" i="1" s="1"/>
  <c r="E872" i="1" s="1"/>
  <c r="E878" i="1" s="1"/>
  <c r="E883" i="1" s="1"/>
  <c r="E910" i="1" s="1"/>
  <c r="E916" i="1" s="1"/>
  <c r="E921" i="1" s="1"/>
  <c r="E948" i="1" s="1"/>
  <c r="E954" i="1" s="1"/>
  <c r="E959" i="1" s="1"/>
  <c r="E986" i="1" s="1"/>
  <c r="E992" i="1" s="1"/>
  <c r="E997" i="1" s="1"/>
  <c r="E1024" i="1" s="1"/>
  <c r="E1030" i="1" s="1"/>
  <c r="E1035" i="1" s="1"/>
  <c r="E1062" i="1" s="1"/>
  <c r="E1068" i="1" s="1"/>
  <c r="E1073" i="1" s="1"/>
  <c r="E1100" i="1" s="1"/>
  <c r="E1106" i="1" s="1"/>
  <c r="E1111" i="1" s="1"/>
  <c r="E1138" i="1" s="1"/>
  <c r="E1144" i="1" s="1"/>
  <c r="E1149" i="1" s="1"/>
  <c r="E1176" i="1" s="1"/>
  <c r="E1182" i="1" s="1"/>
  <c r="E1187" i="1" s="1"/>
  <c r="E1214" i="1" s="1"/>
  <c r="E1220" i="1" s="1"/>
  <c r="E1225" i="1" s="1"/>
  <c r="E1252" i="1" s="1"/>
  <c r="E1258" i="1" s="1"/>
  <c r="E1263" i="1" s="1"/>
  <c r="E1290" i="1" s="1"/>
  <c r="E1296" i="1" s="1"/>
  <c r="E1301" i="1" s="1"/>
  <c r="E1328" i="1" s="1"/>
  <c r="E1334" i="1" s="1"/>
  <c r="E1339" i="1" s="1"/>
  <c r="E1366" i="1" s="1"/>
  <c r="E1372" i="1" s="1"/>
  <c r="E1377" i="1" s="1"/>
  <c r="E1404" i="1" s="1"/>
  <c r="E1410" i="1" s="1"/>
  <c r="E1415" i="1" s="1"/>
  <c r="E1442" i="1" s="1"/>
  <c r="E1448" i="1" s="1"/>
  <c r="E1453" i="1" s="1"/>
  <c r="E1480" i="1" s="1"/>
  <c r="E1486" i="1" s="1"/>
  <c r="E1491" i="1" s="1"/>
  <c r="E1518" i="1" s="1"/>
  <c r="E1524" i="1" s="1"/>
  <c r="E1529" i="1" s="1"/>
  <c r="E1556" i="1" s="1"/>
  <c r="E1562" i="1" s="1"/>
  <c r="E1567" i="1" s="1"/>
  <c r="E1594" i="1" s="1"/>
  <c r="E1600" i="1" s="1"/>
  <c r="E1605" i="1" s="1"/>
  <c r="E1632" i="1" s="1"/>
  <c r="E1638" i="1" s="1"/>
  <c r="E1643" i="1" s="1"/>
  <c r="E1670" i="1" s="1"/>
  <c r="E1676" i="1" s="1"/>
  <c r="E1681" i="1" s="1"/>
  <c r="E1708" i="1" s="1"/>
  <c r="E1714" i="1" s="1"/>
  <c r="E1719" i="1" s="1"/>
  <c r="E1746" i="1" s="1"/>
  <c r="E1752" i="1" s="1"/>
  <c r="E1757" i="1" s="1"/>
  <c r="E1784" i="1" s="1"/>
  <c r="E1790" i="1" s="1"/>
  <c r="E1795" i="1" s="1"/>
  <c r="E1822" i="1" s="1"/>
  <c r="E1828" i="1" s="1"/>
  <c r="E1833" i="1" s="1"/>
  <c r="E1860" i="1" s="1"/>
  <c r="E1866" i="1" s="1"/>
  <c r="E1871" i="1" s="1"/>
  <c r="E1898" i="1" s="1"/>
  <c r="E1904" i="1" s="1"/>
  <c r="E1909" i="1" s="1"/>
  <c r="E1936" i="1" s="1"/>
  <c r="E1942" i="1" s="1"/>
  <c r="E1947" i="1" s="1"/>
  <c r="E1974" i="1" s="1"/>
  <c r="E1980" i="1" s="1"/>
  <c r="E1985" i="1" s="1"/>
  <c r="E2012" i="1" s="1"/>
  <c r="K301" i="1"/>
  <c r="L301" i="1" s="1"/>
  <c r="L187" i="1"/>
  <c r="Q76" i="1"/>
  <c r="O123" i="1"/>
  <c r="O150" i="1" s="1"/>
  <c r="O156" i="1" s="1"/>
  <c r="X265" i="1"/>
  <c r="R645" i="1"/>
  <c r="R916" i="1"/>
  <c r="R921" i="1" s="1"/>
  <c r="R948" i="1" s="1"/>
  <c r="R954" i="1" s="1"/>
  <c r="R959" i="1" s="1"/>
  <c r="R986" i="1" s="1"/>
  <c r="V921" i="1"/>
  <c r="V948" i="1" s="1"/>
  <c r="U921" i="1"/>
  <c r="U948" i="1" s="1"/>
  <c r="W921" i="1"/>
  <c r="W948" i="1" s="1"/>
  <c r="L1213" i="1"/>
  <c r="J1263" i="1"/>
  <c r="J1290" i="1" s="1"/>
  <c r="J1296" i="1" s="1"/>
  <c r="J1301" i="1" s="1"/>
  <c r="J1328" i="1" s="1"/>
  <c r="J1334" i="1" s="1"/>
  <c r="J1339" i="1" s="1"/>
  <c r="J1366" i="1" s="1"/>
  <c r="J1372" i="1" s="1"/>
  <c r="J1377" i="1" s="1"/>
  <c r="J1404" i="1" s="1"/>
  <c r="J1410" i="1" s="1"/>
  <c r="J1415" i="1" s="1"/>
  <c r="J1442" i="1" s="1"/>
  <c r="J1448" i="1" s="1"/>
  <c r="J1453" i="1" s="1"/>
  <c r="J1480" i="1" s="1"/>
  <c r="J1486" i="1" s="1"/>
  <c r="J1491" i="1" s="1"/>
  <c r="J1518" i="1" s="1"/>
  <c r="J1524" i="1" s="1"/>
  <c r="J1529" i="1" s="1"/>
  <c r="J1556" i="1" s="1"/>
  <c r="J1562" i="1" s="1"/>
  <c r="J1567" i="1" s="1"/>
  <c r="J1594" i="1" s="1"/>
  <c r="J1600" i="1" s="1"/>
  <c r="J1605" i="1" s="1"/>
  <c r="J1632" i="1" s="1"/>
  <c r="J1638" i="1" s="1"/>
  <c r="J1643" i="1" s="1"/>
  <c r="J1670" i="1" s="1"/>
  <c r="J1676" i="1" s="1"/>
  <c r="J1681" i="1" s="1"/>
  <c r="J1708" i="1" s="1"/>
  <c r="J1714" i="1" s="1"/>
  <c r="J1719" i="1" s="1"/>
  <c r="J1746" i="1" s="1"/>
  <c r="J1752" i="1" s="1"/>
  <c r="J1757" i="1" s="1"/>
  <c r="J1784" i="1" s="1"/>
  <c r="J1790" i="1" s="1"/>
  <c r="J1795" i="1" s="1"/>
  <c r="J1822" i="1" s="1"/>
  <c r="J1828" i="1" s="1"/>
  <c r="J1833" i="1" s="1"/>
  <c r="J1860" i="1" s="1"/>
  <c r="J1866" i="1" s="1"/>
  <c r="J1871" i="1" s="1"/>
  <c r="J1898" i="1" s="1"/>
  <c r="J1904" i="1" s="1"/>
  <c r="J1909" i="1" s="1"/>
  <c r="J1936" i="1" s="1"/>
  <c r="J1942" i="1" s="1"/>
  <c r="J1947" i="1" s="1"/>
  <c r="J1974" i="1" s="1"/>
  <c r="J1980" i="1" s="1"/>
  <c r="J1985" i="1" s="1"/>
  <c r="J2012" i="1" s="1"/>
  <c r="P807" i="1"/>
  <c r="P834" i="1" s="1"/>
  <c r="P840" i="1" s="1"/>
  <c r="I1225" i="1"/>
  <c r="I1252" i="1" s="1"/>
  <c r="I1258" i="1" s="1"/>
  <c r="I1263" i="1" s="1"/>
  <c r="I1290" i="1" s="1"/>
  <c r="I1296" i="1" s="1"/>
  <c r="I1301" i="1" s="1"/>
  <c r="I1328" i="1" s="1"/>
  <c r="I1334" i="1" s="1"/>
  <c r="I1339" i="1" s="1"/>
  <c r="I1366" i="1" s="1"/>
  <c r="I1372" i="1" s="1"/>
  <c r="L1137" i="1"/>
  <c r="L1099" i="1"/>
  <c r="D1149" i="1"/>
  <c r="D1176" i="1" s="1"/>
  <c r="D1182" i="1" s="1"/>
  <c r="D1187" i="1" s="1"/>
  <c r="D1214" i="1" s="1"/>
  <c r="D1220" i="1" s="1"/>
  <c r="L1061" i="1"/>
  <c r="C1073" i="1"/>
  <c r="C1100" i="1" s="1"/>
  <c r="C1106" i="1" s="1"/>
  <c r="O1025" i="1" l="1"/>
  <c r="Q646" i="1"/>
  <c r="Q1025" i="1"/>
  <c r="X266" i="1"/>
  <c r="U266" i="1"/>
  <c r="V266" i="1"/>
  <c r="T266" i="1"/>
  <c r="T645" i="1"/>
  <c r="F118" i="1"/>
  <c r="B123" i="1"/>
  <c r="B150" i="1" s="1"/>
  <c r="B156" i="1" s="1"/>
  <c r="K118" i="1"/>
  <c r="K123" i="1" s="1"/>
  <c r="K150" i="1" s="1"/>
  <c r="G123" i="1"/>
  <c r="G150" i="1" s="1"/>
  <c r="G156" i="1" s="1"/>
  <c r="O161" i="1"/>
  <c r="O188" i="1" s="1"/>
  <c r="O194" i="1" s="1"/>
  <c r="X645" i="1"/>
  <c r="K74" i="1"/>
  <c r="L73" i="1"/>
  <c r="S47" i="1"/>
  <c r="Y42" i="1"/>
  <c r="Y75" i="1"/>
  <c r="Y265" i="1" s="1"/>
  <c r="Y645" i="1" s="1"/>
  <c r="Y1025" i="1" s="1"/>
  <c r="Y1329" i="1" s="1"/>
  <c r="Y1785" i="1" s="1"/>
  <c r="W266" i="1"/>
  <c r="X80" i="1"/>
  <c r="X85" i="1" s="1"/>
  <c r="X112" i="1" s="1"/>
  <c r="T85" i="1"/>
  <c r="T112" i="1" s="1"/>
  <c r="T118" i="1" s="1"/>
  <c r="R646" i="1"/>
  <c r="R1025" i="1"/>
  <c r="L80" i="1"/>
  <c r="F85" i="1"/>
  <c r="W646" i="1"/>
  <c r="W1025" i="1"/>
  <c r="W1329" i="1" s="1"/>
  <c r="W1785" i="1" s="1"/>
  <c r="F74" i="1"/>
  <c r="L74" i="1" s="1"/>
  <c r="L47" i="1"/>
  <c r="Q85" i="1"/>
  <c r="Q112" i="1" s="1"/>
  <c r="Q118" i="1" s="1"/>
  <c r="S80" i="1"/>
  <c r="S645" i="1"/>
  <c r="O266" i="1"/>
  <c r="S76" i="1"/>
  <c r="R76" i="1"/>
  <c r="P76" i="1"/>
  <c r="H1681" i="1"/>
  <c r="H1708" i="1" s="1"/>
  <c r="H1714" i="1" s="1"/>
  <c r="H1719" i="1" s="1"/>
  <c r="H1746" i="1" s="1"/>
  <c r="H1752" i="1" s="1"/>
  <c r="H1757" i="1" s="1"/>
  <c r="H1784" i="1" s="1"/>
  <c r="H1790" i="1" s="1"/>
  <c r="V954" i="1"/>
  <c r="V959" i="1" s="1"/>
  <c r="V986" i="1" s="1"/>
  <c r="V992" i="1" s="1"/>
  <c r="V997" i="1" s="1"/>
  <c r="V1024" i="1" s="1"/>
  <c r="V1030" i="1" s="1"/>
  <c r="V1035" i="1" s="1"/>
  <c r="V1062" i="1" s="1"/>
  <c r="V1068" i="1" s="1"/>
  <c r="V1073" i="1" s="1"/>
  <c r="V1100" i="1" s="1"/>
  <c r="V1106" i="1" s="1"/>
  <c r="V1111" i="1" s="1"/>
  <c r="V1138" i="1" s="1"/>
  <c r="W954" i="1"/>
  <c r="W959" i="1" s="1"/>
  <c r="W986" i="1" s="1"/>
  <c r="W992" i="1" s="1"/>
  <c r="W997" i="1" s="1"/>
  <c r="W1024" i="1" s="1"/>
  <c r="W1030" i="1" s="1"/>
  <c r="W1035" i="1" s="1"/>
  <c r="W1062" i="1" s="1"/>
  <c r="W1068" i="1" s="1"/>
  <c r="W1073" i="1" s="1"/>
  <c r="W1100" i="1" s="1"/>
  <c r="U954" i="1"/>
  <c r="U959" i="1" s="1"/>
  <c r="U986" i="1" s="1"/>
  <c r="U992" i="1" s="1"/>
  <c r="U997" i="1" s="1"/>
  <c r="U1024" i="1" s="1"/>
  <c r="U1030" i="1" s="1"/>
  <c r="U1035" i="1" s="1"/>
  <c r="U1062" i="1" s="1"/>
  <c r="U1068" i="1" s="1"/>
  <c r="U1073" i="1" s="1"/>
  <c r="U1100" i="1" s="1"/>
  <c r="U1106" i="1" s="1"/>
  <c r="U1111" i="1" s="1"/>
  <c r="U1138" i="1" s="1"/>
  <c r="R992" i="1"/>
  <c r="R997" i="1" s="1"/>
  <c r="R1024" i="1" s="1"/>
  <c r="R1030" i="1" s="1"/>
  <c r="R1035" i="1" s="1"/>
  <c r="R1062" i="1" s="1"/>
  <c r="R1068" i="1" s="1"/>
  <c r="R1073" i="1" s="1"/>
  <c r="R1100" i="1" s="1"/>
  <c r="I1377" i="1"/>
  <c r="I1404" i="1" s="1"/>
  <c r="I1410" i="1" s="1"/>
  <c r="P845" i="1"/>
  <c r="P872" i="1" s="1"/>
  <c r="P878" i="1" s="1"/>
  <c r="P883" i="1" s="1"/>
  <c r="D1225" i="1"/>
  <c r="D1252" i="1" s="1"/>
  <c r="D1258" i="1" s="1"/>
  <c r="D1263" i="1" s="1"/>
  <c r="D1290" i="1" s="1"/>
  <c r="D1296" i="1" s="1"/>
  <c r="D1301" i="1" s="1"/>
  <c r="D1328" i="1" s="1"/>
  <c r="D1334" i="1" s="1"/>
  <c r="D1339" i="1" s="1"/>
  <c r="D1366" i="1" s="1"/>
  <c r="D1372" i="1" s="1"/>
  <c r="C1111" i="1"/>
  <c r="C1138" i="1" s="1"/>
  <c r="C1144" i="1" s="1"/>
  <c r="O199" i="1" l="1"/>
  <c r="O226" i="1" s="1"/>
  <c r="O232" i="1" s="1"/>
  <c r="F112" i="1"/>
  <c r="L112" i="1" s="1"/>
  <c r="L85" i="1"/>
  <c r="T123" i="1"/>
  <c r="T150" i="1" s="1"/>
  <c r="T156" i="1" s="1"/>
  <c r="X118" i="1"/>
  <c r="X123" i="1" s="1"/>
  <c r="X150" i="1" s="1"/>
  <c r="F123" i="1"/>
  <c r="L118" i="1"/>
  <c r="O1329" i="1"/>
  <c r="O1026" i="1"/>
  <c r="S646" i="1"/>
  <c r="S1025" i="1"/>
  <c r="P646" i="1"/>
  <c r="K156" i="1"/>
  <c r="K161" i="1" s="1"/>
  <c r="K188" i="1" s="1"/>
  <c r="G161" i="1"/>
  <c r="G188" i="1" s="1"/>
  <c r="G194" i="1" s="1"/>
  <c r="T646" i="1"/>
  <c r="T1025" i="1"/>
  <c r="O646" i="1"/>
  <c r="Q123" i="1"/>
  <c r="Q150" i="1" s="1"/>
  <c r="Q156" i="1" s="1"/>
  <c r="S118" i="1"/>
  <c r="F156" i="1"/>
  <c r="B161" i="1"/>
  <c r="B188" i="1" s="1"/>
  <c r="B194" i="1" s="1"/>
  <c r="Y80" i="1"/>
  <c r="S85" i="1"/>
  <c r="R1329" i="1"/>
  <c r="R1026" i="1"/>
  <c r="Y47" i="1"/>
  <c r="S74" i="1"/>
  <c r="Y74" i="1" s="1"/>
  <c r="X646" i="1"/>
  <c r="X1025" i="1"/>
  <c r="U646" i="1"/>
  <c r="V646" i="1"/>
  <c r="Q1329" i="1"/>
  <c r="Q1026" i="1"/>
  <c r="H1795" i="1"/>
  <c r="H1822" i="1" s="1"/>
  <c r="H1828" i="1" s="1"/>
  <c r="W1106" i="1"/>
  <c r="W1111" i="1" s="1"/>
  <c r="W1138" i="1" s="1"/>
  <c r="W1144" i="1" s="1"/>
  <c r="W1149" i="1" s="1"/>
  <c r="W1176" i="1" s="1"/>
  <c r="W1182" i="1" s="1"/>
  <c r="W1187" i="1" s="1"/>
  <c r="W1214" i="1" s="1"/>
  <c r="W1220" i="1" s="1"/>
  <c r="W1225" i="1" s="1"/>
  <c r="W1252" i="1" s="1"/>
  <c r="W1258" i="1" s="1"/>
  <c r="W1263" i="1" s="1"/>
  <c r="W1290" i="1" s="1"/>
  <c r="W1296" i="1" s="1"/>
  <c r="W1301" i="1" s="1"/>
  <c r="W1328" i="1" s="1"/>
  <c r="W1334" i="1" s="1"/>
  <c r="W1339" i="1" s="1"/>
  <c r="W1366" i="1" s="1"/>
  <c r="W1372" i="1" s="1"/>
  <c r="W1377" i="1" s="1"/>
  <c r="W1404" i="1" s="1"/>
  <c r="W1410" i="1" s="1"/>
  <c r="W1415" i="1" s="1"/>
  <c r="R1106" i="1"/>
  <c r="R1111" i="1" s="1"/>
  <c r="R1138" i="1" s="1"/>
  <c r="R1144" i="1" s="1"/>
  <c r="R1149" i="1" s="1"/>
  <c r="R1176" i="1" s="1"/>
  <c r="R1182" i="1" s="1"/>
  <c r="R1187" i="1" s="1"/>
  <c r="R1214" i="1" s="1"/>
  <c r="V1144" i="1"/>
  <c r="V1149" i="1" s="1"/>
  <c r="V1176" i="1" s="1"/>
  <c r="V1182" i="1" s="1"/>
  <c r="V1187" i="1" s="1"/>
  <c r="V1214" i="1" s="1"/>
  <c r="V1220" i="1" s="1"/>
  <c r="V1225" i="1" s="1"/>
  <c r="V1252" i="1" s="1"/>
  <c r="V1258" i="1" s="1"/>
  <c r="V1263" i="1" s="1"/>
  <c r="V1290" i="1" s="1"/>
  <c r="V1296" i="1" s="1"/>
  <c r="V1301" i="1" s="1"/>
  <c r="V1328" i="1" s="1"/>
  <c r="V1334" i="1" s="1"/>
  <c r="V1339" i="1" s="1"/>
  <c r="V1366" i="1" s="1"/>
  <c r="V1372" i="1" s="1"/>
  <c r="V1377" i="1" s="1"/>
  <c r="V1404" i="1" s="1"/>
  <c r="V1410" i="1" s="1"/>
  <c r="V1415" i="1" s="1"/>
  <c r="U1144" i="1"/>
  <c r="U1149" i="1" s="1"/>
  <c r="U1176" i="1" s="1"/>
  <c r="U1182" i="1" s="1"/>
  <c r="U1187" i="1" s="1"/>
  <c r="U1214" i="1" s="1"/>
  <c r="U1220" i="1" s="1"/>
  <c r="U1225" i="1" s="1"/>
  <c r="U1252" i="1" s="1"/>
  <c r="U1258" i="1" s="1"/>
  <c r="U1263" i="1" s="1"/>
  <c r="U1290" i="1" s="1"/>
  <c r="U1296" i="1" s="1"/>
  <c r="U1301" i="1" s="1"/>
  <c r="U1328" i="1" s="1"/>
  <c r="U1334" i="1" s="1"/>
  <c r="U1339" i="1" s="1"/>
  <c r="U1366" i="1" s="1"/>
  <c r="U1372" i="1" s="1"/>
  <c r="U1377" i="1" s="1"/>
  <c r="U1404" i="1" s="1"/>
  <c r="U1410" i="1" s="1"/>
  <c r="U1415" i="1" s="1"/>
  <c r="I1415" i="1"/>
  <c r="I1442" i="1" s="1"/>
  <c r="I1448" i="1" s="1"/>
  <c r="D1377" i="1"/>
  <c r="D1404" i="1" s="1"/>
  <c r="D1410" i="1" s="1"/>
  <c r="C1149" i="1"/>
  <c r="C1176" i="1" s="1"/>
  <c r="C1182" i="1" s="1"/>
  <c r="W1026" i="1" l="1"/>
  <c r="X1329" i="1"/>
  <c r="U1026" i="1"/>
  <c r="X1026" i="1"/>
  <c r="V1026" i="1"/>
  <c r="Q161" i="1"/>
  <c r="Q188" i="1" s="1"/>
  <c r="Q194" i="1" s="1"/>
  <c r="S156" i="1"/>
  <c r="F150" i="1"/>
  <c r="L150" i="1" s="1"/>
  <c r="L123" i="1"/>
  <c r="Q1785" i="1"/>
  <c r="F194" i="1"/>
  <c r="B199" i="1"/>
  <c r="B226" i="1" s="1"/>
  <c r="B232" i="1" s="1"/>
  <c r="F161" i="1"/>
  <c r="L156" i="1"/>
  <c r="T1329" i="1"/>
  <c r="T1026" i="1"/>
  <c r="O1785" i="1"/>
  <c r="X156" i="1"/>
  <c r="X161" i="1" s="1"/>
  <c r="X188" i="1" s="1"/>
  <c r="T161" i="1"/>
  <c r="T188" i="1" s="1"/>
  <c r="T194" i="1" s="1"/>
  <c r="O237" i="1"/>
  <c r="O264" i="1" s="1"/>
  <c r="O270" i="1" s="1"/>
  <c r="G199" i="1"/>
  <c r="G226" i="1" s="1"/>
  <c r="G232" i="1" s="1"/>
  <c r="K194" i="1"/>
  <c r="K199" i="1" s="1"/>
  <c r="K226" i="1" s="1"/>
  <c r="R1785" i="1"/>
  <c r="S112" i="1"/>
  <c r="Y112" i="1" s="1"/>
  <c r="Y85" i="1"/>
  <c r="Y118" i="1"/>
  <c r="S123" i="1"/>
  <c r="S1329" i="1"/>
  <c r="S1026" i="1"/>
  <c r="P1026" i="1"/>
  <c r="H1833" i="1"/>
  <c r="H1860" i="1" s="1"/>
  <c r="H1866" i="1" s="1"/>
  <c r="W1442" i="1"/>
  <c r="W1448" i="1" s="1"/>
  <c r="W1453" i="1" s="1"/>
  <c r="W1480" i="1" s="1"/>
  <c r="W1486" i="1" s="1"/>
  <c r="W1491" i="1" s="1"/>
  <c r="W1518" i="1" s="1"/>
  <c r="W1524" i="1" s="1"/>
  <c r="W1529" i="1" s="1"/>
  <c r="W1556" i="1" s="1"/>
  <c r="W1562" i="1" s="1"/>
  <c r="W1567" i="1" s="1"/>
  <c r="W1594" i="1" s="1"/>
  <c r="W1600" i="1" s="1"/>
  <c r="W1605" i="1" s="1"/>
  <c r="W1632" i="1" s="1"/>
  <c r="W1638" i="1" s="1"/>
  <c r="W1643" i="1" s="1"/>
  <c r="W1670" i="1" s="1"/>
  <c r="W1676" i="1" s="1"/>
  <c r="W1681" i="1" s="1"/>
  <c r="W1708" i="1" s="1"/>
  <c r="W1714" i="1" s="1"/>
  <c r="W1719" i="1" s="1"/>
  <c r="W1746" i="1" s="1"/>
  <c r="W1752" i="1" s="1"/>
  <c r="W1757" i="1" s="1"/>
  <c r="W1784" i="1" s="1"/>
  <c r="W1790" i="1" s="1"/>
  <c r="W1795" i="1" s="1"/>
  <c r="W1822" i="1" s="1"/>
  <c r="W1828" i="1" s="1"/>
  <c r="W1833" i="1" s="1"/>
  <c r="W1860" i="1" s="1"/>
  <c r="W1866" i="1" s="1"/>
  <c r="W1871" i="1" s="1"/>
  <c r="W1898" i="1" s="1"/>
  <c r="W1904" i="1" s="1"/>
  <c r="W1909" i="1" s="1"/>
  <c r="W1936" i="1" s="1"/>
  <c r="W1942" i="1" s="1"/>
  <c r="W1947" i="1" s="1"/>
  <c r="W1974" i="1" s="1"/>
  <c r="W1980" i="1" s="1"/>
  <c r="W1985" i="1" s="1"/>
  <c r="W2012" i="1" s="1"/>
  <c r="U1442" i="1"/>
  <c r="U1448" i="1" s="1"/>
  <c r="U1453" i="1" s="1"/>
  <c r="U1480" i="1" s="1"/>
  <c r="U1486" i="1" s="1"/>
  <c r="U1491" i="1" s="1"/>
  <c r="U1518" i="1" s="1"/>
  <c r="U1524" i="1" s="1"/>
  <c r="U1529" i="1" s="1"/>
  <c r="U1556" i="1" s="1"/>
  <c r="U1562" i="1" s="1"/>
  <c r="U1567" i="1" s="1"/>
  <c r="U1594" i="1" s="1"/>
  <c r="U1600" i="1" s="1"/>
  <c r="U1605" i="1" s="1"/>
  <c r="U1632" i="1" s="1"/>
  <c r="U1638" i="1" s="1"/>
  <c r="U1643" i="1" s="1"/>
  <c r="U1670" i="1" s="1"/>
  <c r="U1676" i="1" s="1"/>
  <c r="U1681" i="1" s="1"/>
  <c r="U1708" i="1" s="1"/>
  <c r="U1714" i="1" s="1"/>
  <c r="U1719" i="1" s="1"/>
  <c r="U1746" i="1" s="1"/>
  <c r="U1752" i="1" s="1"/>
  <c r="U1757" i="1" s="1"/>
  <c r="U1784" i="1" s="1"/>
  <c r="U1790" i="1" s="1"/>
  <c r="U1795" i="1" s="1"/>
  <c r="U1822" i="1" s="1"/>
  <c r="U1828" i="1" s="1"/>
  <c r="U1833" i="1" s="1"/>
  <c r="U1860" i="1" s="1"/>
  <c r="U1866" i="1" s="1"/>
  <c r="U1871" i="1" s="1"/>
  <c r="U1898" i="1" s="1"/>
  <c r="U1904" i="1" s="1"/>
  <c r="U1909" i="1" s="1"/>
  <c r="U1936" i="1" s="1"/>
  <c r="U1942" i="1" s="1"/>
  <c r="U1947" i="1" s="1"/>
  <c r="U1974" i="1" s="1"/>
  <c r="U1980" i="1" s="1"/>
  <c r="U1985" i="1" s="1"/>
  <c r="U2012" i="1" s="1"/>
  <c r="V1442" i="1"/>
  <c r="V1448" i="1" s="1"/>
  <c r="V1453" i="1" s="1"/>
  <c r="V1480" i="1" s="1"/>
  <c r="V1486" i="1" s="1"/>
  <c r="V1491" i="1" s="1"/>
  <c r="V1518" i="1" s="1"/>
  <c r="V1524" i="1" s="1"/>
  <c r="V1529" i="1" s="1"/>
  <c r="V1556" i="1" s="1"/>
  <c r="V1562" i="1" s="1"/>
  <c r="V1567" i="1" s="1"/>
  <c r="V1594" i="1" s="1"/>
  <c r="V1600" i="1" s="1"/>
  <c r="V1605" i="1" s="1"/>
  <c r="V1632" i="1" s="1"/>
  <c r="V1638" i="1" s="1"/>
  <c r="V1643" i="1" s="1"/>
  <c r="V1670" i="1" s="1"/>
  <c r="V1676" i="1" s="1"/>
  <c r="V1681" i="1" s="1"/>
  <c r="V1708" i="1" s="1"/>
  <c r="V1714" i="1" s="1"/>
  <c r="V1719" i="1" s="1"/>
  <c r="V1746" i="1" s="1"/>
  <c r="V1752" i="1" s="1"/>
  <c r="V1757" i="1" s="1"/>
  <c r="V1784" i="1" s="1"/>
  <c r="V1790" i="1" s="1"/>
  <c r="V1795" i="1" s="1"/>
  <c r="V1822" i="1" s="1"/>
  <c r="V1828" i="1" s="1"/>
  <c r="V1833" i="1" s="1"/>
  <c r="V1860" i="1" s="1"/>
  <c r="V1866" i="1" s="1"/>
  <c r="V1871" i="1" s="1"/>
  <c r="V1898" i="1" s="1"/>
  <c r="V1904" i="1" s="1"/>
  <c r="V1909" i="1" s="1"/>
  <c r="V1936" i="1" s="1"/>
  <c r="V1942" i="1" s="1"/>
  <c r="V1947" i="1" s="1"/>
  <c r="V1974" i="1" s="1"/>
  <c r="V1980" i="1" s="1"/>
  <c r="V1985" i="1" s="1"/>
  <c r="V2012" i="1" s="1"/>
  <c r="R1220" i="1"/>
  <c r="R1225" i="1" s="1"/>
  <c r="R1252" i="1" s="1"/>
  <c r="R1258" i="1" s="1"/>
  <c r="R1263" i="1" s="1"/>
  <c r="R1290" i="1" s="1"/>
  <c r="R1296" i="1" s="1"/>
  <c r="R1301" i="1" s="1"/>
  <c r="R1328" i="1" s="1"/>
  <c r="R1334" i="1" s="1"/>
  <c r="R1339" i="1" s="1"/>
  <c r="R1366" i="1" s="1"/>
  <c r="R1372" i="1" s="1"/>
  <c r="R1377" i="1" s="1"/>
  <c r="R1404" i="1" s="1"/>
  <c r="R1410" i="1" s="1"/>
  <c r="R1415" i="1" s="1"/>
  <c r="P910" i="1"/>
  <c r="I1453" i="1"/>
  <c r="I1480" i="1" s="1"/>
  <c r="I1486" i="1" s="1"/>
  <c r="D1415" i="1"/>
  <c r="D1442" i="1" s="1"/>
  <c r="D1448" i="1" s="1"/>
  <c r="D1453" i="1" s="1"/>
  <c r="D1480" i="1" s="1"/>
  <c r="D1486" i="1" s="1"/>
  <c r="D1491" i="1" s="1"/>
  <c r="D1518" i="1" s="1"/>
  <c r="D1524" i="1" s="1"/>
  <c r="C1187" i="1"/>
  <c r="C1214" i="1" s="1"/>
  <c r="C1220" i="1" s="1"/>
  <c r="P1330" i="1" l="1"/>
  <c r="S1785" i="1"/>
  <c r="S1330" i="1"/>
  <c r="S150" i="1"/>
  <c r="Y150" i="1" s="1"/>
  <c r="Y123" i="1"/>
  <c r="R1330" i="1"/>
  <c r="O1330" i="1"/>
  <c r="Y156" i="1"/>
  <c r="S161" i="1"/>
  <c r="R1786" i="1"/>
  <c r="O275" i="1"/>
  <c r="O302" i="1" s="1"/>
  <c r="O308" i="1" s="1"/>
  <c r="F188" i="1"/>
  <c r="L188" i="1" s="1"/>
  <c r="L161" i="1"/>
  <c r="Q1786" i="1"/>
  <c r="Q199" i="1"/>
  <c r="Q226" i="1" s="1"/>
  <c r="Q232" i="1" s="1"/>
  <c r="S194" i="1"/>
  <c r="X1785" i="1"/>
  <c r="U1330" i="1"/>
  <c r="X1330" i="1"/>
  <c r="V1330" i="1"/>
  <c r="W1330" i="1"/>
  <c r="K232" i="1"/>
  <c r="K237" i="1" s="1"/>
  <c r="K264" i="1" s="1"/>
  <c r="G237" i="1"/>
  <c r="G264" i="1" s="1"/>
  <c r="G270" i="1" s="1"/>
  <c r="T1785" i="1"/>
  <c r="T1330" i="1"/>
  <c r="L194" i="1"/>
  <c r="F199" i="1"/>
  <c r="Q1330" i="1"/>
  <c r="X194" i="1"/>
  <c r="X199" i="1" s="1"/>
  <c r="X226" i="1" s="1"/>
  <c r="T199" i="1"/>
  <c r="T226" i="1" s="1"/>
  <c r="T232" i="1" s="1"/>
  <c r="F232" i="1"/>
  <c r="B237" i="1"/>
  <c r="B264" i="1" s="1"/>
  <c r="B270" i="1" s="1"/>
  <c r="H1871" i="1"/>
  <c r="H1898" i="1" s="1"/>
  <c r="H1904" i="1" s="1"/>
  <c r="H1909" i="1" s="1"/>
  <c r="H1936" i="1" s="1"/>
  <c r="H1942" i="1" s="1"/>
  <c r="H1947" i="1" s="1"/>
  <c r="H1974" i="1" s="1"/>
  <c r="H1980" i="1" s="1"/>
  <c r="D1529" i="1"/>
  <c r="D1556" i="1" s="1"/>
  <c r="D1562" i="1" s="1"/>
  <c r="D1567" i="1" s="1"/>
  <c r="D1594" i="1" s="1"/>
  <c r="D1600" i="1" s="1"/>
  <c r="D1605" i="1" s="1"/>
  <c r="D1632" i="1" s="1"/>
  <c r="D1638" i="1" s="1"/>
  <c r="I1491" i="1"/>
  <c r="I1518" i="1" s="1"/>
  <c r="I1524" i="1" s="1"/>
  <c r="R1442" i="1"/>
  <c r="R1448" i="1" s="1"/>
  <c r="R1453" i="1" s="1"/>
  <c r="R1480" i="1" s="1"/>
  <c r="R1486" i="1" s="1"/>
  <c r="R1491" i="1" s="1"/>
  <c r="R1518" i="1" s="1"/>
  <c r="R1524" i="1" s="1"/>
  <c r="R1529" i="1" s="1"/>
  <c r="R1556" i="1" s="1"/>
  <c r="R1562" i="1" s="1"/>
  <c r="R1567" i="1" s="1"/>
  <c r="R1594" i="1" s="1"/>
  <c r="R1600" i="1" s="1"/>
  <c r="R1605" i="1" s="1"/>
  <c r="R1632" i="1" s="1"/>
  <c r="R1638" i="1" s="1"/>
  <c r="R1643" i="1" s="1"/>
  <c r="R1670" i="1" s="1"/>
  <c r="R1676" i="1" s="1"/>
  <c r="R1681" i="1" s="1"/>
  <c r="R1708" i="1" s="1"/>
  <c r="R1714" i="1" s="1"/>
  <c r="R1719" i="1" s="1"/>
  <c r="R1746" i="1" s="1"/>
  <c r="R1752" i="1" s="1"/>
  <c r="R1757" i="1" s="1"/>
  <c r="R1784" i="1" s="1"/>
  <c r="R1790" i="1" s="1"/>
  <c r="R1795" i="1" s="1"/>
  <c r="R1822" i="1" s="1"/>
  <c r="R1828" i="1" s="1"/>
  <c r="R1833" i="1" s="1"/>
  <c r="R1860" i="1" s="1"/>
  <c r="R1866" i="1" s="1"/>
  <c r="R1871" i="1" s="1"/>
  <c r="R1898" i="1" s="1"/>
  <c r="R1904" i="1" s="1"/>
  <c r="R1909" i="1" s="1"/>
  <c r="R1936" i="1" s="1"/>
  <c r="R1942" i="1" s="1"/>
  <c r="R1947" i="1" s="1"/>
  <c r="R1974" i="1" s="1"/>
  <c r="R1980" i="1" s="1"/>
  <c r="R1985" i="1" s="1"/>
  <c r="R2012" i="1" s="1"/>
  <c r="P916" i="1"/>
  <c r="P921" i="1" s="1"/>
  <c r="P948" i="1" s="1"/>
  <c r="C1225" i="1"/>
  <c r="C1252" i="1" s="1"/>
  <c r="C1258" i="1" s="1"/>
  <c r="H1985" i="1" l="1"/>
  <c r="H2012" i="1" s="1"/>
  <c r="X1786" i="1"/>
  <c r="U1786" i="1"/>
  <c r="V1786" i="1"/>
  <c r="X1787" i="1"/>
  <c r="W1786" i="1"/>
  <c r="B275" i="1"/>
  <c r="B302" i="1" s="1"/>
  <c r="B308" i="1" s="1"/>
  <c r="F270" i="1"/>
  <c r="T1786" i="1"/>
  <c r="S199" i="1"/>
  <c r="Y194" i="1"/>
  <c r="S1786" i="1"/>
  <c r="S1787" i="1"/>
  <c r="P1786" i="1"/>
  <c r="X232" i="1"/>
  <c r="X237" i="1" s="1"/>
  <c r="X264" i="1" s="1"/>
  <c r="T237" i="1"/>
  <c r="T264" i="1" s="1"/>
  <c r="T270" i="1" s="1"/>
  <c r="O313" i="1"/>
  <c r="O340" i="1" s="1"/>
  <c r="O346" i="1" s="1"/>
  <c r="L232" i="1"/>
  <c r="F237" i="1"/>
  <c r="L199" i="1"/>
  <c r="F226" i="1"/>
  <c r="L226" i="1" s="1"/>
  <c r="K270" i="1"/>
  <c r="K275" i="1" s="1"/>
  <c r="K302" i="1" s="1"/>
  <c r="G275" i="1"/>
  <c r="G302" i="1" s="1"/>
  <c r="G308" i="1" s="1"/>
  <c r="Q237" i="1"/>
  <c r="Q264" i="1" s="1"/>
  <c r="Q270" i="1" s="1"/>
  <c r="S232" i="1"/>
  <c r="O1786" i="1"/>
  <c r="S188" i="1"/>
  <c r="Y188" i="1" s="1"/>
  <c r="Y161" i="1"/>
  <c r="D1643" i="1"/>
  <c r="D1670" i="1" s="1"/>
  <c r="D1676" i="1" s="1"/>
  <c r="D1681" i="1" s="1"/>
  <c r="D1708" i="1" s="1"/>
  <c r="D1714" i="1" s="1"/>
  <c r="D1719" i="1" s="1"/>
  <c r="D1746" i="1" s="1"/>
  <c r="D1752" i="1" s="1"/>
  <c r="D1757" i="1" s="1"/>
  <c r="D1784" i="1" s="1"/>
  <c r="D1790" i="1" s="1"/>
  <c r="D1795" i="1" s="1"/>
  <c r="D1822" i="1" s="1"/>
  <c r="D1828" i="1" s="1"/>
  <c r="D1833" i="1" s="1"/>
  <c r="D1860" i="1" s="1"/>
  <c r="D1866" i="1" s="1"/>
  <c r="D1871" i="1" s="1"/>
  <c r="D1898" i="1" s="1"/>
  <c r="D1904" i="1" s="1"/>
  <c r="D1909" i="1" s="1"/>
  <c r="D1936" i="1" s="1"/>
  <c r="D1942" i="1" s="1"/>
  <c r="D1947" i="1" s="1"/>
  <c r="D1974" i="1" s="1"/>
  <c r="D1980" i="1" s="1"/>
  <c r="D1985" i="1" s="1"/>
  <c r="D2012" i="1" s="1"/>
  <c r="I1529" i="1"/>
  <c r="I1556" i="1" s="1"/>
  <c r="I1562" i="1" s="1"/>
  <c r="P954" i="1"/>
  <c r="P959" i="1" s="1"/>
  <c r="P986" i="1" s="1"/>
  <c r="C1263" i="1"/>
  <c r="C1290" i="1" s="1"/>
  <c r="C1296" i="1" s="1"/>
  <c r="F308" i="1" l="1"/>
  <c r="B313" i="1"/>
  <c r="B340" i="1" s="1"/>
  <c r="B346" i="1" s="1"/>
  <c r="Q275" i="1"/>
  <c r="Q302" i="1" s="1"/>
  <c r="Q308" i="1" s="1"/>
  <c r="S270" i="1"/>
  <c r="K308" i="1"/>
  <c r="K313" i="1" s="1"/>
  <c r="K340" i="1" s="1"/>
  <c r="G313" i="1"/>
  <c r="G340" i="1" s="1"/>
  <c r="G346" i="1" s="1"/>
  <c r="F264" i="1"/>
  <c r="L264" i="1" s="1"/>
  <c r="L237" i="1"/>
  <c r="T275" i="1"/>
  <c r="T302" i="1" s="1"/>
  <c r="T308" i="1" s="1"/>
  <c r="X270" i="1"/>
  <c r="X275" i="1" s="1"/>
  <c r="X302" i="1" s="1"/>
  <c r="F275" i="1"/>
  <c r="L270" i="1"/>
  <c r="Y232" i="1"/>
  <c r="S237" i="1"/>
  <c r="O351" i="1"/>
  <c r="O378" i="1" s="1"/>
  <c r="O384" i="1" s="1"/>
  <c r="S226" i="1"/>
  <c r="Y226" i="1" s="1"/>
  <c r="Y199" i="1"/>
  <c r="I1567" i="1"/>
  <c r="I1594" i="1" s="1"/>
  <c r="I1600" i="1" s="1"/>
  <c r="P992" i="1"/>
  <c r="P997" i="1" s="1"/>
  <c r="P1024" i="1" s="1"/>
  <c r="C1301" i="1"/>
  <c r="C1328" i="1" s="1"/>
  <c r="C1334" i="1" s="1"/>
  <c r="F302" i="1" l="1"/>
  <c r="L302" i="1" s="1"/>
  <c r="L275" i="1"/>
  <c r="S264" i="1"/>
  <c r="Y264" i="1" s="1"/>
  <c r="Y237" i="1"/>
  <c r="G351" i="1"/>
  <c r="G378" i="1" s="1"/>
  <c r="G384" i="1" s="1"/>
  <c r="K346" i="1"/>
  <c r="K351" i="1" s="1"/>
  <c r="K378" i="1" s="1"/>
  <c r="F346" i="1"/>
  <c r="B351" i="1"/>
  <c r="B378" i="1" s="1"/>
  <c r="B384" i="1" s="1"/>
  <c r="S275" i="1"/>
  <c r="Y270" i="1"/>
  <c r="O389" i="1"/>
  <c r="O416" i="1" s="1"/>
  <c r="O422" i="1" s="1"/>
  <c r="Q313" i="1"/>
  <c r="Q340" i="1" s="1"/>
  <c r="Q346" i="1" s="1"/>
  <c r="S308" i="1"/>
  <c r="T313" i="1"/>
  <c r="T340" i="1" s="1"/>
  <c r="T346" i="1" s="1"/>
  <c r="X308" i="1"/>
  <c r="X313" i="1" s="1"/>
  <c r="X340" i="1" s="1"/>
  <c r="L308" i="1"/>
  <c r="F313" i="1"/>
  <c r="I1605" i="1"/>
  <c r="I1632" i="1" s="1"/>
  <c r="I1638" i="1" s="1"/>
  <c r="P1030" i="1"/>
  <c r="P1035" i="1" s="1"/>
  <c r="P1062" i="1" s="1"/>
  <c r="C1339" i="1"/>
  <c r="C1366" i="1" s="1"/>
  <c r="C1372" i="1" s="1"/>
  <c r="O427" i="1" l="1"/>
  <c r="O454" i="1" s="1"/>
  <c r="O460" i="1" s="1"/>
  <c r="T351" i="1"/>
  <c r="T378" i="1" s="1"/>
  <c r="T384" i="1" s="1"/>
  <c r="X346" i="1"/>
  <c r="X351" i="1" s="1"/>
  <c r="X378" i="1" s="1"/>
  <c r="F351" i="1"/>
  <c r="L346" i="1"/>
  <c r="F340" i="1"/>
  <c r="L340" i="1" s="1"/>
  <c r="L313" i="1"/>
  <c r="Y308" i="1"/>
  <c r="S313" i="1"/>
  <c r="B389" i="1"/>
  <c r="B416" i="1" s="1"/>
  <c r="B422" i="1" s="1"/>
  <c r="F384" i="1"/>
  <c r="Q351" i="1"/>
  <c r="Q378" i="1" s="1"/>
  <c r="Q384" i="1" s="1"/>
  <c r="S346" i="1"/>
  <c r="Y275" i="1"/>
  <c r="S302" i="1"/>
  <c r="Y302" i="1" s="1"/>
  <c r="K384" i="1"/>
  <c r="K389" i="1" s="1"/>
  <c r="K416" i="1" s="1"/>
  <c r="G389" i="1"/>
  <c r="G416" i="1" s="1"/>
  <c r="G422" i="1" s="1"/>
  <c r="I1643" i="1"/>
  <c r="I1670" i="1" s="1"/>
  <c r="I1676" i="1" s="1"/>
  <c r="P1068" i="1"/>
  <c r="P1073" i="1" s="1"/>
  <c r="P1100" i="1" s="1"/>
  <c r="C1377" i="1"/>
  <c r="C1404" i="1" s="1"/>
  <c r="C1410" i="1" s="1"/>
  <c r="L384" i="1" l="1"/>
  <c r="F389" i="1"/>
  <c r="B427" i="1"/>
  <c r="B454" i="1" s="1"/>
  <c r="B460" i="1" s="1"/>
  <c r="F422" i="1"/>
  <c r="X384" i="1"/>
  <c r="X389" i="1" s="1"/>
  <c r="X416" i="1" s="1"/>
  <c r="T389" i="1"/>
  <c r="T416" i="1" s="1"/>
  <c r="T422" i="1" s="1"/>
  <c r="G427" i="1"/>
  <c r="G454" i="1" s="1"/>
  <c r="G460" i="1" s="1"/>
  <c r="K422" i="1"/>
  <c r="K427" i="1" s="1"/>
  <c r="K454" i="1" s="1"/>
  <c r="Y346" i="1"/>
  <c r="S351" i="1"/>
  <c r="S340" i="1"/>
  <c r="Y340" i="1" s="1"/>
  <c r="Y313" i="1"/>
  <c r="O465" i="1"/>
  <c r="O492" i="1" s="1"/>
  <c r="O498" i="1" s="1"/>
  <c r="Q389" i="1"/>
  <c r="Q416" i="1" s="1"/>
  <c r="Q422" i="1" s="1"/>
  <c r="S384" i="1"/>
  <c r="L351" i="1"/>
  <c r="F378" i="1"/>
  <c r="L378" i="1" s="1"/>
  <c r="I1681" i="1"/>
  <c r="I1708" i="1" s="1"/>
  <c r="I1714" i="1" s="1"/>
  <c r="P1106" i="1"/>
  <c r="P1111" i="1" s="1"/>
  <c r="P1138" i="1" s="1"/>
  <c r="C1415" i="1"/>
  <c r="C1442" i="1" s="1"/>
  <c r="C1448" i="1" s="1"/>
  <c r="F427" i="1" l="1"/>
  <c r="L422" i="1"/>
  <c r="B465" i="1"/>
  <c r="B492" i="1" s="1"/>
  <c r="B498" i="1" s="1"/>
  <c r="F460" i="1"/>
  <c r="S378" i="1"/>
  <c r="Y378" i="1" s="1"/>
  <c r="Y351" i="1"/>
  <c r="T427" i="1"/>
  <c r="T454" i="1" s="1"/>
  <c r="T460" i="1" s="1"/>
  <c r="X422" i="1"/>
  <c r="X427" i="1" s="1"/>
  <c r="X454" i="1" s="1"/>
  <c r="L389" i="1"/>
  <c r="F416" i="1"/>
  <c r="L416" i="1" s="1"/>
  <c r="S389" i="1"/>
  <c r="Y384" i="1"/>
  <c r="Q427" i="1"/>
  <c r="Q454" i="1" s="1"/>
  <c r="Q460" i="1" s="1"/>
  <c r="S422" i="1"/>
  <c r="K460" i="1"/>
  <c r="K465" i="1" s="1"/>
  <c r="K492" i="1" s="1"/>
  <c r="G465" i="1"/>
  <c r="G492" i="1" s="1"/>
  <c r="G498" i="1" s="1"/>
  <c r="O503" i="1"/>
  <c r="O530" i="1" s="1"/>
  <c r="O536" i="1" s="1"/>
  <c r="I1719" i="1"/>
  <c r="I1746" i="1" s="1"/>
  <c r="I1752" i="1" s="1"/>
  <c r="P1144" i="1"/>
  <c r="P1149" i="1" s="1"/>
  <c r="P1176" i="1" s="1"/>
  <c r="C1453" i="1"/>
  <c r="C1480" i="1" s="1"/>
  <c r="C1486" i="1" s="1"/>
  <c r="K498" i="1" l="1"/>
  <c r="K503" i="1" s="1"/>
  <c r="K530" i="1" s="1"/>
  <c r="G503" i="1"/>
  <c r="G530" i="1" s="1"/>
  <c r="G536" i="1" s="1"/>
  <c r="L460" i="1"/>
  <c r="F465" i="1"/>
  <c r="Y389" i="1"/>
  <c r="S416" i="1"/>
  <c r="Y416" i="1" s="1"/>
  <c r="X460" i="1"/>
  <c r="X465" i="1" s="1"/>
  <c r="X492" i="1" s="1"/>
  <c r="T465" i="1"/>
  <c r="T492" i="1" s="1"/>
  <c r="T498" i="1" s="1"/>
  <c r="F498" i="1"/>
  <c r="B503" i="1"/>
  <c r="B530" i="1" s="1"/>
  <c r="B536" i="1" s="1"/>
  <c r="O541" i="1"/>
  <c r="O568" i="1" s="1"/>
  <c r="O574" i="1" s="1"/>
  <c r="Y422" i="1"/>
  <c r="S427" i="1"/>
  <c r="Q465" i="1"/>
  <c r="Q492" i="1" s="1"/>
  <c r="Q498" i="1" s="1"/>
  <c r="S460" i="1"/>
  <c r="F454" i="1"/>
  <c r="L454" i="1" s="1"/>
  <c r="L427" i="1"/>
  <c r="I1757" i="1"/>
  <c r="I1784" i="1" s="1"/>
  <c r="I1790" i="1" s="1"/>
  <c r="C1491" i="1"/>
  <c r="C1518" i="1" s="1"/>
  <c r="C1524" i="1" s="1"/>
  <c r="P1182" i="1"/>
  <c r="P1187" i="1" s="1"/>
  <c r="Y460" i="1" l="1"/>
  <c r="S465" i="1"/>
  <c r="T503" i="1"/>
  <c r="T530" i="1" s="1"/>
  <c r="T536" i="1" s="1"/>
  <c r="X498" i="1"/>
  <c r="X503" i="1" s="1"/>
  <c r="X530" i="1" s="1"/>
  <c r="Q503" i="1"/>
  <c r="Q530" i="1" s="1"/>
  <c r="Q536" i="1" s="1"/>
  <c r="S498" i="1"/>
  <c r="O579" i="1"/>
  <c r="O606" i="1" s="1"/>
  <c r="O612" i="1" s="1"/>
  <c r="S454" i="1"/>
  <c r="Y454" i="1" s="1"/>
  <c r="Y427" i="1"/>
  <c r="F536" i="1"/>
  <c r="B541" i="1"/>
  <c r="B568" i="1" s="1"/>
  <c r="B574" i="1" s="1"/>
  <c r="G541" i="1"/>
  <c r="G568" i="1" s="1"/>
  <c r="G574" i="1" s="1"/>
  <c r="K536" i="1"/>
  <c r="K541" i="1" s="1"/>
  <c r="K568" i="1" s="1"/>
  <c r="F492" i="1"/>
  <c r="L492" i="1" s="1"/>
  <c r="L465" i="1"/>
  <c r="F503" i="1"/>
  <c r="L498" i="1"/>
  <c r="I1795" i="1"/>
  <c r="I1822" i="1" s="1"/>
  <c r="I1828" i="1" s="1"/>
  <c r="C1529" i="1"/>
  <c r="C1556" i="1" s="1"/>
  <c r="C1562" i="1" s="1"/>
  <c r="P1214" i="1"/>
  <c r="O617" i="1" l="1"/>
  <c r="O644" i="1" s="1"/>
  <c r="O650" i="1" s="1"/>
  <c r="F541" i="1"/>
  <c r="L536" i="1"/>
  <c r="X536" i="1"/>
  <c r="X541" i="1" s="1"/>
  <c r="X568" i="1" s="1"/>
  <c r="T541" i="1"/>
  <c r="T568" i="1" s="1"/>
  <c r="T574" i="1" s="1"/>
  <c r="Y498" i="1"/>
  <c r="S503" i="1"/>
  <c r="S492" i="1"/>
  <c r="Y492" i="1" s="1"/>
  <c r="Y465" i="1"/>
  <c r="B579" i="1"/>
  <c r="B606" i="1" s="1"/>
  <c r="B612" i="1" s="1"/>
  <c r="F574" i="1"/>
  <c r="L503" i="1"/>
  <c r="F530" i="1"/>
  <c r="L530" i="1" s="1"/>
  <c r="K574" i="1"/>
  <c r="K579" i="1" s="1"/>
  <c r="K606" i="1" s="1"/>
  <c r="G579" i="1"/>
  <c r="G606" i="1" s="1"/>
  <c r="G612" i="1" s="1"/>
  <c r="Q541" i="1"/>
  <c r="Q568" i="1" s="1"/>
  <c r="Q574" i="1" s="1"/>
  <c r="S536" i="1"/>
  <c r="I1833" i="1"/>
  <c r="I1860" i="1" s="1"/>
  <c r="I1866" i="1" s="1"/>
  <c r="C1567" i="1"/>
  <c r="C1594" i="1" s="1"/>
  <c r="C1600" i="1" s="1"/>
  <c r="P1220" i="1"/>
  <c r="P1225" i="1" s="1"/>
  <c r="P1252" i="1" s="1"/>
  <c r="L574" i="1" l="1"/>
  <c r="F579" i="1"/>
  <c r="S530" i="1"/>
  <c r="Y530" i="1" s="1"/>
  <c r="Y503" i="1"/>
  <c r="S541" i="1"/>
  <c r="Y536" i="1"/>
  <c r="T579" i="1"/>
  <c r="T606" i="1" s="1"/>
  <c r="T612" i="1" s="1"/>
  <c r="X574" i="1"/>
  <c r="X579" i="1" s="1"/>
  <c r="X606" i="1" s="1"/>
  <c r="G617" i="1"/>
  <c r="G644" i="1" s="1"/>
  <c r="G650" i="1" s="1"/>
  <c r="K612" i="1"/>
  <c r="K617" i="1" s="1"/>
  <c r="K644" i="1" s="1"/>
  <c r="F612" i="1"/>
  <c r="B617" i="1"/>
  <c r="B644" i="1" s="1"/>
  <c r="B650" i="1" s="1"/>
  <c r="F568" i="1"/>
  <c r="L568" i="1" s="1"/>
  <c r="L541" i="1"/>
  <c r="Q579" i="1"/>
  <c r="Q606" i="1" s="1"/>
  <c r="Q612" i="1" s="1"/>
  <c r="S574" i="1"/>
  <c r="O655" i="1"/>
  <c r="O682" i="1" s="1"/>
  <c r="O688" i="1" s="1"/>
  <c r="I1871" i="1"/>
  <c r="I1898" i="1" s="1"/>
  <c r="I1904" i="1" s="1"/>
  <c r="C1605" i="1"/>
  <c r="C1632" i="1" s="1"/>
  <c r="C1638" i="1" s="1"/>
  <c r="P1258" i="1"/>
  <c r="P1263" i="1" s="1"/>
  <c r="P1290" i="1" s="1"/>
  <c r="Y574" i="1" l="1"/>
  <c r="S579" i="1"/>
  <c r="B655" i="1"/>
  <c r="B682" i="1" s="1"/>
  <c r="B688" i="1" s="1"/>
  <c r="F650" i="1"/>
  <c r="Q617" i="1"/>
  <c r="Q644" i="1" s="1"/>
  <c r="Q650" i="1" s="1"/>
  <c r="S612" i="1"/>
  <c r="X612" i="1"/>
  <c r="X617" i="1" s="1"/>
  <c r="X644" i="1" s="1"/>
  <c r="T617" i="1"/>
  <c r="T644" i="1" s="1"/>
  <c r="T650" i="1" s="1"/>
  <c r="O693" i="1"/>
  <c r="O720" i="1" s="1"/>
  <c r="O726" i="1" s="1"/>
  <c r="L579" i="1"/>
  <c r="F606" i="1"/>
  <c r="L606" i="1" s="1"/>
  <c r="F617" i="1"/>
  <c r="L612" i="1"/>
  <c r="K650" i="1"/>
  <c r="K655" i="1" s="1"/>
  <c r="K682" i="1" s="1"/>
  <c r="G655" i="1"/>
  <c r="G682" i="1" s="1"/>
  <c r="G688" i="1" s="1"/>
  <c r="S568" i="1"/>
  <c r="Y568" i="1" s="1"/>
  <c r="Y541" i="1"/>
  <c r="I1909" i="1"/>
  <c r="I1936" i="1" s="1"/>
  <c r="I1942" i="1" s="1"/>
  <c r="C1643" i="1"/>
  <c r="C1670" i="1" s="1"/>
  <c r="C1676" i="1" s="1"/>
  <c r="P1296" i="1"/>
  <c r="P1301" i="1" s="1"/>
  <c r="P1328" i="1" s="1"/>
  <c r="G693" i="1" l="1"/>
  <c r="G720" i="1" s="1"/>
  <c r="G726" i="1" s="1"/>
  <c r="K688" i="1"/>
  <c r="K693" i="1" s="1"/>
  <c r="K720" i="1" s="1"/>
  <c r="T655" i="1"/>
  <c r="T682" i="1" s="1"/>
  <c r="T688" i="1" s="1"/>
  <c r="X650" i="1"/>
  <c r="X655" i="1" s="1"/>
  <c r="X682" i="1" s="1"/>
  <c r="F688" i="1"/>
  <c r="B693" i="1"/>
  <c r="B720" i="1" s="1"/>
  <c r="B726" i="1" s="1"/>
  <c r="S617" i="1"/>
  <c r="Y612" i="1"/>
  <c r="S606" i="1"/>
  <c r="Y606" i="1" s="1"/>
  <c r="Y579" i="1"/>
  <c r="L650" i="1"/>
  <c r="F655" i="1"/>
  <c r="F644" i="1"/>
  <c r="L644" i="1" s="1"/>
  <c r="L617" i="1"/>
  <c r="O731" i="1"/>
  <c r="O758" i="1" s="1"/>
  <c r="O764" i="1" s="1"/>
  <c r="Q655" i="1"/>
  <c r="Q682" i="1" s="1"/>
  <c r="Q688" i="1" s="1"/>
  <c r="S650" i="1"/>
  <c r="I1947" i="1"/>
  <c r="I1974" i="1" s="1"/>
  <c r="I1980" i="1" s="1"/>
  <c r="I1985" i="1" s="1"/>
  <c r="I2012" i="1" s="1"/>
  <c r="C1681" i="1"/>
  <c r="C1708" i="1" s="1"/>
  <c r="C1714" i="1" s="1"/>
  <c r="P1334" i="1"/>
  <c r="P1339" i="1" s="1"/>
  <c r="P1366" i="1" s="1"/>
  <c r="O769" i="1" l="1"/>
  <c r="O796" i="1" s="1"/>
  <c r="L655" i="1"/>
  <c r="F682" i="1"/>
  <c r="L682" i="1" s="1"/>
  <c r="T693" i="1"/>
  <c r="T720" i="1" s="1"/>
  <c r="T726" i="1" s="1"/>
  <c r="X688" i="1"/>
  <c r="X693" i="1" s="1"/>
  <c r="X720" i="1" s="1"/>
  <c r="Y650" i="1"/>
  <c r="S655" i="1"/>
  <c r="F726" i="1"/>
  <c r="B731" i="1"/>
  <c r="B758" i="1" s="1"/>
  <c r="B764" i="1" s="1"/>
  <c r="Y617" i="1"/>
  <c r="S644" i="1"/>
  <c r="Y644" i="1" s="1"/>
  <c r="Q693" i="1"/>
  <c r="Q720" i="1" s="1"/>
  <c r="Q726" i="1" s="1"/>
  <c r="S688" i="1"/>
  <c r="F693" i="1"/>
  <c r="L688" i="1"/>
  <c r="K726" i="1"/>
  <c r="K731" i="1" s="1"/>
  <c r="K758" i="1" s="1"/>
  <c r="G731" i="1"/>
  <c r="G758" i="1" s="1"/>
  <c r="G764" i="1" s="1"/>
  <c r="C1719" i="1"/>
  <c r="C1746" i="1" s="1"/>
  <c r="C1752" i="1" s="1"/>
  <c r="P1372" i="1"/>
  <c r="P1377" i="1" s="1"/>
  <c r="P1404" i="1" s="1"/>
  <c r="P1410" i="1" s="1"/>
  <c r="P1415" i="1" s="1"/>
  <c r="Y655" i="1" l="1"/>
  <c r="S682" i="1"/>
  <c r="Y682" i="1" s="1"/>
  <c r="L693" i="1"/>
  <c r="F720" i="1"/>
  <c r="L720" i="1" s="1"/>
  <c r="K764" i="1"/>
  <c r="K769" i="1" s="1"/>
  <c r="K796" i="1" s="1"/>
  <c r="G769" i="1"/>
  <c r="G796" i="1" s="1"/>
  <c r="G802" i="1" s="1"/>
  <c r="Y688" i="1"/>
  <c r="S693" i="1"/>
  <c r="B769" i="1"/>
  <c r="B796" i="1" s="1"/>
  <c r="B802" i="1" s="1"/>
  <c r="F764" i="1"/>
  <c r="Q731" i="1"/>
  <c r="Q758" i="1" s="1"/>
  <c r="Q764" i="1" s="1"/>
  <c r="S726" i="1"/>
  <c r="F731" i="1"/>
  <c r="L726" i="1"/>
  <c r="T731" i="1"/>
  <c r="T758" i="1" s="1"/>
  <c r="T764" i="1" s="1"/>
  <c r="X726" i="1"/>
  <c r="X731" i="1" s="1"/>
  <c r="X758" i="1" s="1"/>
  <c r="O802" i="1"/>
  <c r="C1757" i="1"/>
  <c r="C1784" i="1" s="1"/>
  <c r="C1790" i="1" s="1"/>
  <c r="P1442" i="1"/>
  <c r="P1448" i="1" s="1"/>
  <c r="P1453" i="1" s="1"/>
  <c r="P1480" i="1" s="1"/>
  <c r="P1486" i="1" s="1"/>
  <c r="P1491" i="1" s="1"/>
  <c r="P1518" i="1" s="1"/>
  <c r="P1524" i="1" s="1"/>
  <c r="P1529" i="1" s="1"/>
  <c r="P1556" i="1" s="1"/>
  <c r="P1562" i="1" s="1"/>
  <c r="P1567" i="1" s="1"/>
  <c r="P1594" i="1" s="1"/>
  <c r="P1600" i="1" s="1"/>
  <c r="P1605" i="1" s="1"/>
  <c r="P1632" i="1" s="1"/>
  <c r="P1638" i="1" s="1"/>
  <c r="P1643" i="1" s="1"/>
  <c r="P1670" i="1" s="1"/>
  <c r="P1676" i="1" s="1"/>
  <c r="P1681" i="1" s="1"/>
  <c r="P1708" i="1" s="1"/>
  <c r="P1714" i="1" s="1"/>
  <c r="P1719" i="1" s="1"/>
  <c r="P1746" i="1" s="1"/>
  <c r="P1752" i="1" s="1"/>
  <c r="P1757" i="1" s="1"/>
  <c r="P1784" i="1" s="1"/>
  <c r="P1790" i="1" s="1"/>
  <c r="P1795" i="1" s="1"/>
  <c r="P1822" i="1" s="1"/>
  <c r="P1828" i="1" s="1"/>
  <c r="P1833" i="1" s="1"/>
  <c r="P1860" i="1" s="1"/>
  <c r="P1866" i="1" s="1"/>
  <c r="P1871" i="1" s="1"/>
  <c r="P1898" i="1" s="1"/>
  <c r="P1904" i="1" s="1"/>
  <c r="P1909" i="1" s="1"/>
  <c r="P1936" i="1" s="1"/>
  <c r="P1942" i="1" s="1"/>
  <c r="P1947" i="1" s="1"/>
  <c r="P1974" i="1" s="1"/>
  <c r="P1980" i="1" s="1"/>
  <c r="P1985" i="1" s="1"/>
  <c r="P2012" i="1" s="1"/>
  <c r="S731" i="1" l="1"/>
  <c r="Y726" i="1"/>
  <c r="S720" i="1"/>
  <c r="Y720" i="1" s="1"/>
  <c r="Y693" i="1"/>
  <c r="X764" i="1"/>
  <c r="X769" i="1" s="1"/>
  <c r="X796" i="1" s="1"/>
  <c r="T769" i="1"/>
  <c r="T796" i="1" s="1"/>
  <c r="Q769" i="1"/>
  <c r="Q796" i="1" s="1"/>
  <c r="S764" i="1"/>
  <c r="L764" i="1"/>
  <c r="F769" i="1"/>
  <c r="G807" i="1"/>
  <c r="G834" i="1" s="1"/>
  <c r="G840" i="1" s="1"/>
  <c r="K802" i="1"/>
  <c r="K807" i="1" s="1"/>
  <c r="K834" i="1" s="1"/>
  <c r="O807" i="1"/>
  <c r="O834" i="1" s="1"/>
  <c r="O840" i="1" s="1"/>
  <c r="F758" i="1"/>
  <c r="L758" i="1" s="1"/>
  <c r="L731" i="1"/>
  <c r="F802" i="1"/>
  <c r="B807" i="1"/>
  <c r="B834" i="1" s="1"/>
  <c r="B840" i="1" s="1"/>
  <c r="C1795" i="1"/>
  <c r="C1822" i="1" s="1"/>
  <c r="C1828" i="1" s="1"/>
  <c r="Q802" i="1" l="1"/>
  <c r="F840" i="1"/>
  <c r="B845" i="1"/>
  <c r="B872" i="1" s="1"/>
  <c r="B878" i="1" s="1"/>
  <c r="L769" i="1"/>
  <c r="F796" i="1"/>
  <c r="L796" i="1" s="1"/>
  <c r="T802" i="1"/>
  <c r="T797" i="1"/>
  <c r="Y764" i="1"/>
  <c r="S769" i="1"/>
  <c r="G845" i="1"/>
  <c r="G872" i="1" s="1"/>
  <c r="G878" i="1" s="1"/>
  <c r="K840" i="1"/>
  <c r="K845" i="1" s="1"/>
  <c r="K872" i="1" s="1"/>
  <c r="L802" i="1"/>
  <c r="F807" i="1"/>
  <c r="O845" i="1"/>
  <c r="O872" i="1" s="1"/>
  <c r="O878" i="1" s="1"/>
  <c r="O883" i="1" s="1"/>
  <c r="O910" i="1" s="1"/>
  <c r="O916" i="1" s="1"/>
  <c r="O921" i="1" s="1"/>
  <c r="O948" i="1" s="1"/>
  <c r="O954" i="1" s="1"/>
  <c r="O959" i="1" s="1"/>
  <c r="O986" i="1" s="1"/>
  <c r="O992" i="1" s="1"/>
  <c r="O997" i="1" s="1"/>
  <c r="O1024" i="1" s="1"/>
  <c r="O1030" i="1" s="1"/>
  <c r="O1035" i="1" s="1"/>
  <c r="O1062" i="1" s="1"/>
  <c r="O1068" i="1" s="1"/>
  <c r="O1073" i="1" s="1"/>
  <c r="O1100" i="1" s="1"/>
  <c r="O1106" i="1" s="1"/>
  <c r="O1111" i="1" s="1"/>
  <c r="O1138" i="1" s="1"/>
  <c r="O1144" i="1" s="1"/>
  <c r="O1149" i="1" s="1"/>
  <c r="O1176" i="1" s="1"/>
  <c r="U797" i="1"/>
  <c r="V797" i="1"/>
  <c r="X797" i="1"/>
  <c r="W797" i="1"/>
  <c r="Y731" i="1"/>
  <c r="S758" i="1"/>
  <c r="Y758" i="1" s="1"/>
  <c r="C1833" i="1"/>
  <c r="C1860" i="1" s="1"/>
  <c r="C1866" i="1" s="1"/>
  <c r="B883" i="1" l="1"/>
  <c r="B910" i="1" s="1"/>
  <c r="B916" i="1" s="1"/>
  <c r="F878" i="1"/>
  <c r="K878" i="1"/>
  <c r="K883" i="1" s="1"/>
  <c r="K910" i="1" s="1"/>
  <c r="G883" i="1"/>
  <c r="G910" i="1" s="1"/>
  <c r="G916" i="1" s="1"/>
  <c r="T807" i="1"/>
  <c r="T834" i="1" s="1"/>
  <c r="T840" i="1" s="1"/>
  <c r="X802" i="1"/>
  <c r="X807" i="1" s="1"/>
  <c r="X834" i="1" s="1"/>
  <c r="S796" i="1"/>
  <c r="Y769" i="1"/>
  <c r="O1182" i="1"/>
  <c r="O1187" i="1" s="1"/>
  <c r="O1214" i="1" s="1"/>
  <c r="O1220" i="1" s="1"/>
  <c r="O1225" i="1" s="1"/>
  <c r="O1252" i="1" s="1"/>
  <c r="O1258" i="1" s="1"/>
  <c r="O1263" i="1" s="1"/>
  <c r="O1290" i="1" s="1"/>
  <c r="O1296" i="1" s="1"/>
  <c r="O1301" i="1" s="1"/>
  <c r="O1328" i="1" s="1"/>
  <c r="O1334" i="1" s="1"/>
  <c r="O1339" i="1" s="1"/>
  <c r="O1366" i="1" s="1"/>
  <c r="O1372" i="1" s="1"/>
  <c r="O1377" i="1" s="1"/>
  <c r="O1404" i="1" s="1"/>
  <c r="O1410" i="1" s="1"/>
  <c r="O1415" i="1" s="1"/>
  <c r="O1442" i="1" s="1"/>
  <c r="O1448" i="1" s="1"/>
  <c r="O1453" i="1" s="1"/>
  <c r="O1480" i="1" s="1"/>
  <c r="O1486" i="1" s="1"/>
  <c r="O1491" i="1" s="1"/>
  <c r="O1518" i="1" s="1"/>
  <c r="O1524" i="1" s="1"/>
  <c r="O1529" i="1" s="1"/>
  <c r="O1556" i="1" s="1"/>
  <c r="O1562" i="1" s="1"/>
  <c r="O1567" i="1" s="1"/>
  <c r="O1594" i="1" s="1"/>
  <c r="O1600" i="1" s="1"/>
  <c r="O1605" i="1" s="1"/>
  <c r="O1632" i="1" s="1"/>
  <c r="O1638" i="1" s="1"/>
  <c r="O1643" i="1" s="1"/>
  <c r="O1670" i="1" s="1"/>
  <c r="O1676" i="1" s="1"/>
  <c r="O1681" i="1" s="1"/>
  <c r="O1708" i="1" s="1"/>
  <c r="O1714" i="1" s="1"/>
  <c r="O1719" i="1" s="1"/>
  <c r="O1746" i="1" s="1"/>
  <c r="O1752" i="1" s="1"/>
  <c r="O1757" i="1" s="1"/>
  <c r="O1784" i="1" s="1"/>
  <c r="O1790" i="1" s="1"/>
  <c r="O1795" i="1" s="1"/>
  <c r="O1822" i="1" s="1"/>
  <c r="O1828" i="1" s="1"/>
  <c r="O1833" i="1" s="1"/>
  <c r="O1860" i="1" s="1"/>
  <c r="O1866" i="1" s="1"/>
  <c r="O1871" i="1" s="1"/>
  <c r="O1898" i="1" s="1"/>
  <c r="O1904" i="1" s="1"/>
  <c r="O1909" i="1" s="1"/>
  <c r="O1936" i="1" s="1"/>
  <c r="O1942" i="1" s="1"/>
  <c r="O1947" i="1" s="1"/>
  <c r="O1974" i="1" s="1"/>
  <c r="O1980" i="1" s="1"/>
  <c r="O1985" i="1" s="1"/>
  <c r="O2012" i="1" s="1"/>
  <c r="F845" i="1"/>
  <c r="L840" i="1"/>
  <c r="L807" i="1"/>
  <c r="F834" i="1"/>
  <c r="L834" i="1" s="1"/>
  <c r="Q807" i="1"/>
  <c r="Q834" i="1" s="1"/>
  <c r="Q840" i="1" s="1"/>
  <c r="S802" i="1"/>
  <c r="C1871" i="1"/>
  <c r="C1898" i="1" s="1"/>
  <c r="C1904" i="1" s="1"/>
  <c r="Y802" i="1" l="1"/>
  <c r="S807" i="1"/>
  <c r="K916" i="1"/>
  <c r="K921" i="1" s="1"/>
  <c r="K948" i="1" s="1"/>
  <c r="G921" i="1"/>
  <c r="G948" i="1" s="1"/>
  <c r="G954" i="1" s="1"/>
  <c r="Q845" i="1"/>
  <c r="Q872" i="1" s="1"/>
  <c r="Q878" i="1" s="1"/>
  <c r="Q883" i="1" s="1"/>
  <c r="Q910" i="1" s="1"/>
  <c r="Q916" i="1" s="1"/>
  <c r="Q921" i="1" s="1"/>
  <c r="Q948" i="1" s="1"/>
  <c r="Q954" i="1" s="1"/>
  <c r="Q959" i="1" s="1"/>
  <c r="Q986" i="1" s="1"/>
  <c r="Q992" i="1" s="1"/>
  <c r="Q997" i="1" s="1"/>
  <c r="Q1024" i="1" s="1"/>
  <c r="Q1030" i="1" s="1"/>
  <c r="Q1035" i="1" s="1"/>
  <c r="Q1062" i="1" s="1"/>
  <c r="Q1068" i="1" s="1"/>
  <c r="Q1073" i="1" s="1"/>
  <c r="Q1100" i="1" s="1"/>
  <c r="Q1106" i="1" s="1"/>
  <c r="Q1111" i="1" s="1"/>
  <c r="Q1138" i="1" s="1"/>
  <c r="Q1144" i="1" s="1"/>
  <c r="Q1149" i="1" s="1"/>
  <c r="Q1176" i="1" s="1"/>
  <c r="S840" i="1"/>
  <c r="L845" i="1"/>
  <c r="F872" i="1"/>
  <c r="L872" i="1" s="1"/>
  <c r="Y796" i="1"/>
  <c r="P797" i="1"/>
  <c r="S797" i="1"/>
  <c r="R797" i="1"/>
  <c r="O797" i="1"/>
  <c r="Q797" i="1"/>
  <c r="F883" i="1"/>
  <c r="L878" i="1"/>
  <c r="T845" i="1"/>
  <c r="T872" i="1" s="1"/>
  <c r="T878" i="1" s="1"/>
  <c r="T883" i="1" s="1"/>
  <c r="T910" i="1" s="1"/>
  <c r="T916" i="1" s="1"/>
  <c r="T921" i="1" s="1"/>
  <c r="T948" i="1" s="1"/>
  <c r="T954" i="1" s="1"/>
  <c r="T959" i="1" s="1"/>
  <c r="T986" i="1" s="1"/>
  <c r="T992" i="1" s="1"/>
  <c r="T997" i="1" s="1"/>
  <c r="T1024" i="1" s="1"/>
  <c r="T1030" i="1" s="1"/>
  <c r="T1035" i="1" s="1"/>
  <c r="T1062" i="1" s="1"/>
  <c r="T1068" i="1" s="1"/>
  <c r="T1073" i="1" s="1"/>
  <c r="T1100" i="1" s="1"/>
  <c r="T1106" i="1" s="1"/>
  <c r="T1111" i="1" s="1"/>
  <c r="T1138" i="1" s="1"/>
  <c r="T1144" i="1" s="1"/>
  <c r="T1149" i="1" s="1"/>
  <c r="T1176" i="1" s="1"/>
  <c r="X840" i="1"/>
  <c r="X845" i="1" s="1"/>
  <c r="X872" i="1" s="1"/>
  <c r="X878" i="1" s="1"/>
  <c r="X883" i="1" s="1"/>
  <c r="X910" i="1" s="1"/>
  <c r="X916" i="1" s="1"/>
  <c r="X921" i="1" s="1"/>
  <c r="X948" i="1" s="1"/>
  <c r="X954" i="1" s="1"/>
  <c r="X959" i="1" s="1"/>
  <c r="X986" i="1" s="1"/>
  <c r="X992" i="1" s="1"/>
  <c r="X997" i="1" s="1"/>
  <c r="X1024" i="1" s="1"/>
  <c r="X1030" i="1" s="1"/>
  <c r="X1035" i="1" s="1"/>
  <c r="X1062" i="1" s="1"/>
  <c r="X1068" i="1" s="1"/>
  <c r="X1073" i="1" s="1"/>
  <c r="X1100" i="1" s="1"/>
  <c r="X1106" i="1" s="1"/>
  <c r="X1111" i="1" s="1"/>
  <c r="X1138" i="1" s="1"/>
  <c r="X1144" i="1" s="1"/>
  <c r="X1149" i="1" s="1"/>
  <c r="X1176" i="1" s="1"/>
  <c r="F916" i="1"/>
  <c r="B921" i="1"/>
  <c r="B948" i="1" s="1"/>
  <c r="B954" i="1" s="1"/>
  <c r="C1909" i="1"/>
  <c r="C1936" i="1" s="1"/>
  <c r="C1942" i="1" s="1"/>
  <c r="F954" i="1" l="1"/>
  <c r="B959" i="1"/>
  <c r="B986" i="1" s="1"/>
  <c r="B992" i="1" s="1"/>
  <c r="F921" i="1"/>
  <c r="L916" i="1"/>
  <c r="L883" i="1"/>
  <c r="F910" i="1"/>
  <c r="L910" i="1" s="1"/>
  <c r="X1182" i="1"/>
  <c r="X1187" i="1" s="1"/>
  <c r="X1214" i="1" s="1"/>
  <c r="X1220" i="1" s="1"/>
  <c r="X1225" i="1" s="1"/>
  <c r="X1252" i="1" s="1"/>
  <c r="X1258" i="1" s="1"/>
  <c r="X1263" i="1" s="1"/>
  <c r="X1290" i="1" s="1"/>
  <c r="X1296" i="1" s="1"/>
  <c r="X1301" i="1" s="1"/>
  <c r="X1328" i="1" s="1"/>
  <c r="X1334" i="1" s="1"/>
  <c r="X1339" i="1" s="1"/>
  <c r="X1366" i="1" s="1"/>
  <c r="X1372" i="1" s="1"/>
  <c r="X1377" i="1" s="1"/>
  <c r="X1404" i="1" s="1"/>
  <c r="X1410" i="1" s="1"/>
  <c r="X1415" i="1" s="1"/>
  <c r="X1442" i="1" s="1"/>
  <c r="X1448" i="1" s="1"/>
  <c r="X1453" i="1" s="1"/>
  <c r="X1480" i="1" s="1"/>
  <c r="X1486" i="1" s="1"/>
  <c r="X1491" i="1" s="1"/>
  <c r="X1518" i="1" s="1"/>
  <c r="X1524" i="1" s="1"/>
  <c r="X1529" i="1" s="1"/>
  <c r="X1556" i="1" s="1"/>
  <c r="V1177" i="1"/>
  <c r="U1177" i="1"/>
  <c r="W1177" i="1"/>
  <c r="X1177" i="1"/>
  <c r="S845" i="1"/>
  <c r="Y840" i="1"/>
  <c r="Y807" i="1"/>
  <c r="S834" i="1"/>
  <c r="Y834" i="1" s="1"/>
  <c r="G959" i="1"/>
  <c r="G986" i="1" s="1"/>
  <c r="G992" i="1" s="1"/>
  <c r="K954" i="1"/>
  <c r="K959" i="1" s="1"/>
  <c r="K986" i="1" s="1"/>
  <c r="T1182" i="1"/>
  <c r="T1187" i="1" s="1"/>
  <c r="T1214" i="1" s="1"/>
  <c r="T1220" i="1" s="1"/>
  <c r="T1225" i="1" s="1"/>
  <c r="T1252" i="1" s="1"/>
  <c r="T1258" i="1" s="1"/>
  <c r="T1263" i="1" s="1"/>
  <c r="T1290" i="1" s="1"/>
  <c r="T1296" i="1" s="1"/>
  <c r="T1301" i="1" s="1"/>
  <c r="T1328" i="1" s="1"/>
  <c r="T1334" i="1" s="1"/>
  <c r="T1339" i="1" s="1"/>
  <c r="T1366" i="1" s="1"/>
  <c r="T1372" i="1" s="1"/>
  <c r="T1377" i="1" s="1"/>
  <c r="T1404" i="1" s="1"/>
  <c r="T1410" i="1" s="1"/>
  <c r="T1415" i="1" s="1"/>
  <c r="T1442" i="1" s="1"/>
  <c r="T1448" i="1" s="1"/>
  <c r="T1453" i="1" s="1"/>
  <c r="T1480" i="1" s="1"/>
  <c r="T1486" i="1" s="1"/>
  <c r="T1491" i="1" s="1"/>
  <c r="T1518" i="1" s="1"/>
  <c r="T1524" i="1" s="1"/>
  <c r="T1529" i="1" s="1"/>
  <c r="T1556" i="1" s="1"/>
  <c r="T1177" i="1"/>
  <c r="Q1182" i="1"/>
  <c r="Q1187" i="1" s="1"/>
  <c r="Q1214" i="1" s="1"/>
  <c r="Q1220" i="1" s="1"/>
  <c r="Q1225" i="1" s="1"/>
  <c r="Q1252" i="1" s="1"/>
  <c r="Q1258" i="1" s="1"/>
  <c r="Q1263" i="1" s="1"/>
  <c r="Q1290" i="1" s="1"/>
  <c r="Q1296" i="1" s="1"/>
  <c r="Q1301" i="1" s="1"/>
  <c r="Q1328" i="1" s="1"/>
  <c r="Q1334" i="1" s="1"/>
  <c r="Q1339" i="1" s="1"/>
  <c r="Q1366" i="1" s="1"/>
  <c r="Q1372" i="1" s="1"/>
  <c r="Q1377" i="1" s="1"/>
  <c r="Q1404" i="1" s="1"/>
  <c r="Q1410" i="1" s="1"/>
  <c r="Q1415" i="1" s="1"/>
  <c r="Q1442" i="1" s="1"/>
  <c r="Q1448" i="1" s="1"/>
  <c r="Q1453" i="1" s="1"/>
  <c r="Q1480" i="1" s="1"/>
  <c r="Q1486" i="1" s="1"/>
  <c r="Q1491" i="1" s="1"/>
  <c r="Q1518" i="1" s="1"/>
  <c r="Q1524" i="1" s="1"/>
  <c r="Q1529" i="1" s="1"/>
  <c r="Q1556" i="1" s="1"/>
  <c r="Q1562" i="1" s="1"/>
  <c r="Q1567" i="1" s="1"/>
  <c r="Q1594" i="1" s="1"/>
  <c r="Q1600" i="1" s="1"/>
  <c r="Q1605" i="1" s="1"/>
  <c r="Q1632" i="1" s="1"/>
  <c r="Q1638" i="1" s="1"/>
  <c r="Q1643" i="1" s="1"/>
  <c r="Q1670" i="1" s="1"/>
  <c r="Q1676" i="1" s="1"/>
  <c r="Q1681" i="1" s="1"/>
  <c r="Q1708" i="1" s="1"/>
  <c r="Q1714" i="1" s="1"/>
  <c r="Q1719" i="1" s="1"/>
  <c r="Q1746" i="1" s="1"/>
  <c r="Q1752" i="1" s="1"/>
  <c r="Q1757" i="1" s="1"/>
  <c r="Q1784" i="1" s="1"/>
  <c r="Q1790" i="1" s="1"/>
  <c r="Q1795" i="1" s="1"/>
  <c r="Q1822" i="1" s="1"/>
  <c r="Q1828" i="1" s="1"/>
  <c r="Q1833" i="1" s="1"/>
  <c r="Q1860" i="1" s="1"/>
  <c r="Q1866" i="1" s="1"/>
  <c r="Q1871" i="1" s="1"/>
  <c r="Q1898" i="1" s="1"/>
  <c r="Q1904" i="1" s="1"/>
  <c r="Q1909" i="1" s="1"/>
  <c r="Q1936" i="1" s="1"/>
  <c r="Q1942" i="1" s="1"/>
  <c r="Q1947" i="1" s="1"/>
  <c r="Q1974" i="1" s="1"/>
  <c r="Q1980" i="1" s="1"/>
  <c r="Q1985" i="1" s="1"/>
  <c r="Q2012" i="1" s="1"/>
  <c r="C1947" i="1"/>
  <c r="C1974" i="1" s="1"/>
  <c r="C1980" i="1" s="1"/>
  <c r="C1985" i="1" l="1"/>
  <c r="C2012" i="1" s="1"/>
  <c r="K992" i="1"/>
  <c r="K997" i="1" s="1"/>
  <c r="K1024" i="1" s="1"/>
  <c r="G997" i="1"/>
  <c r="G1024" i="1" s="1"/>
  <c r="G1030" i="1" s="1"/>
  <c r="X1557" i="1"/>
  <c r="X1562" i="1"/>
  <c r="X1567" i="1" s="1"/>
  <c r="X1594" i="1" s="1"/>
  <c r="U1557" i="1"/>
  <c r="V1557" i="1"/>
  <c r="W1557" i="1"/>
  <c r="F948" i="1"/>
  <c r="L948" i="1" s="1"/>
  <c r="L921" i="1"/>
  <c r="F992" i="1"/>
  <c r="B997" i="1"/>
  <c r="B1024" i="1" s="1"/>
  <c r="B1030" i="1" s="1"/>
  <c r="S872" i="1"/>
  <c r="Y845" i="1"/>
  <c r="T1562" i="1"/>
  <c r="T1567" i="1" s="1"/>
  <c r="T1594" i="1" s="1"/>
  <c r="T1557" i="1"/>
  <c r="L954" i="1"/>
  <c r="F959" i="1"/>
  <c r="Y872" i="1" l="1"/>
  <c r="Y878" i="1" s="1"/>
  <c r="S878" i="1"/>
  <c r="S883" i="1" s="1"/>
  <c r="B1035" i="1"/>
  <c r="B1062" i="1" s="1"/>
  <c r="B1068" i="1" s="1"/>
  <c r="F1030" i="1"/>
  <c r="T1600" i="1"/>
  <c r="T1605" i="1" s="1"/>
  <c r="T1632" i="1" s="1"/>
  <c r="T1638" i="1" s="1"/>
  <c r="T1643" i="1" s="1"/>
  <c r="T1670" i="1" s="1"/>
  <c r="T1676" i="1" s="1"/>
  <c r="T1681" i="1" s="1"/>
  <c r="T1708" i="1" s="1"/>
  <c r="T1714" i="1" s="1"/>
  <c r="T1719" i="1" s="1"/>
  <c r="T1746" i="1" s="1"/>
  <c r="T1752" i="1" s="1"/>
  <c r="T1757" i="1" s="1"/>
  <c r="T1784" i="1" s="1"/>
  <c r="T1790" i="1" s="1"/>
  <c r="T1795" i="1" s="1"/>
  <c r="T1822" i="1" s="1"/>
  <c r="T1828" i="1" s="1"/>
  <c r="T1833" i="1" s="1"/>
  <c r="T1860" i="1" s="1"/>
  <c r="T1595" i="1"/>
  <c r="L992" i="1"/>
  <c r="F997" i="1"/>
  <c r="K1030" i="1"/>
  <c r="K1035" i="1" s="1"/>
  <c r="K1062" i="1" s="1"/>
  <c r="G1035" i="1"/>
  <c r="G1062" i="1" s="1"/>
  <c r="G1068" i="1" s="1"/>
  <c r="X1600" i="1"/>
  <c r="X1605" i="1" s="1"/>
  <c r="X1632" i="1" s="1"/>
  <c r="X1638" i="1" s="1"/>
  <c r="X1643" i="1" s="1"/>
  <c r="X1670" i="1" s="1"/>
  <c r="X1676" i="1" s="1"/>
  <c r="X1681" i="1" s="1"/>
  <c r="X1708" i="1" s="1"/>
  <c r="X1714" i="1" s="1"/>
  <c r="X1719" i="1" s="1"/>
  <c r="X1746" i="1" s="1"/>
  <c r="X1752" i="1" s="1"/>
  <c r="X1757" i="1" s="1"/>
  <c r="X1784" i="1" s="1"/>
  <c r="X1790" i="1" s="1"/>
  <c r="X1795" i="1" s="1"/>
  <c r="X1822" i="1" s="1"/>
  <c r="X1828" i="1" s="1"/>
  <c r="X1833" i="1" s="1"/>
  <c r="X1860" i="1" s="1"/>
  <c r="X1595" i="1"/>
  <c r="V1595" i="1"/>
  <c r="W1595" i="1"/>
  <c r="U1595" i="1"/>
  <c r="L959" i="1"/>
  <c r="F986" i="1"/>
  <c r="L986" i="1" s="1"/>
  <c r="X1866" i="1" l="1"/>
  <c r="X1871" i="1" s="1"/>
  <c r="X1898" i="1" s="1"/>
  <c r="X1861" i="1"/>
  <c r="U1861" i="1"/>
  <c r="V1861" i="1"/>
  <c r="W1861" i="1"/>
  <c r="B1073" i="1"/>
  <c r="B1100" i="1" s="1"/>
  <c r="B1106" i="1" s="1"/>
  <c r="F1068" i="1"/>
  <c r="G1073" i="1"/>
  <c r="G1100" i="1" s="1"/>
  <c r="G1106" i="1" s="1"/>
  <c r="K1068" i="1"/>
  <c r="K1073" i="1" s="1"/>
  <c r="K1100" i="1" s="1"/>
  <c r="Y883" i="1"/>
  <c r="S910" i="1"/>
  <c r="L997" i="1"/>
  <c r="F1024" i="1"/>
  <c r="L1024" i="1" s="1"/>
  <c r="L1030" i="1"/>
  <c r="F1035" i="1"/>
  <c r="T1866" i="1"/>
  <c r="T1871" i="1" s="1"/>
  <c r="T1898" i="1" s="1"/>
  <c r="T1861" i="1"/>
  <c r="T1904" i="1" l="1"/>
  <c r="T1909" i="1" s="1"/>
  <c r="T1936" i="1" s="1"/>
  <c r="T1942" i="1" s="1"/>
  <c r="T1947" i="1" s="1"/>
  <c r="T1974" i="1" s="1"/>
  <c r="T1980" i="1" s="1"/>
  <c r="T1985" i="1" s="1"/>
  <c r="T2012" i="1" s="1"/>
  <c r="T1899" i="1"/>
  <c r="L1035" i="1"/>
  <c r="F1062" i="1"/>
  <c r="L1062" i="1" s="1"/>
  <c r="B1111" i="1"/>
  <c r="B1138" i="1" s="1"/>
  <c r="B1144" i="1" s="1"/>
  <c r="F1106" i="1"/>
  <c r="G1111" i="1"/>
  <c r="G1138" i="1" s="1"/>
  <c r="G1144" i="1" s="1"/>
  <c r="K1106" i="1"/>
  <c r="K1111" i="1" s="1"/>
  <c r="K1138" i="1" s="1"/>
  <c r="Y910" i="1"/>
  <c r="Y916" i="1" s="1"/>
  <c r="S916" i="1"/>
  <c r="S921" i="1" s="1"/>
  <c r="L1068" i="1"/>
  <c r="F1073" i="1"/>
  <c r="X1904" i="1"/>
  <c r="X1909" i="1" s="1"/>
  <c r="X1936" i="1" s="1"/>
  <c r="X1942" i="1" s="1"/>
  <c r="X1947" i="1" s="1"/>
  <c r="X1974" i="1" s="1"/>
  <c r="X1980" i="1" s="1"/>
  <c r="X1985" i="1" s="1"/>
  <c r="X2012" i="1" s="1"/>
  <c r="U1899" i="1"/>
  <c r="X1899" i="1"/>
  <c r="V1899" i="1"/>
  <c r="W1899" i="1"/>
  <c r="G1149" i="1" l="1"/>
  <c r="G1176" i="1" s="1"/>
  <c r="G1182" i="1" s="1"/>
  <c r="K1144" i="1"/>
  <c r="K1149" i="1" s="1"/>
  <c r="K1176" i="1" s="1"/>
  <c r="Y921" i="1"/>
  <c r="S948" i="1"/>
  <c r="F1111" i="1"/>
  <c r="L1106" i="1"/>
  <c r="L1073" i="1"/>
  <c r="F1100" i="1"/>
  <c r="L1100" i="1" s="1"/>
  <c r="B1149" i="1"/>
  <c r="B1176" i="1" s="1"/>
  <c r="B1182" i="1" s="1"/>
  <c r="F1144" i="1"/>
  <c r="Y948" i="1" l="1"/>
  <c r="Y954" i="1" s="1"/>
  <c r="S954" i="1"/>
  <c r="S959" i="1" s="1"/>
  <c r="L1144" i="1"/>
  <c r="F1149" i="1"/>
  <c r="B1187" i="1"/>
  <c r="B1214" i="1" s="1"/>
  <c r="B1220" i="1" s="1"/>
  <c r="F1182" i="1"/>
  <c r="L1111" i="1"/>
  <c r="F1138" i="1"/>
  <c r="L1138" i="1" s="1"/>
  <c r="G1187" i="1"/>
  <c r="G1214" i="1" s="1"/>
  <c r="G1220" i="1" s="1"/>
  <c r="K1182" i="1"/>
  <c r="K1187" i="1" s="1"/>
  <c r="K1214" i="1" s="1"/>
  <c r="L1149" i="1" l="1"/>
  <c r="F1176" i="1"/>
  <c r="L1176" i="1" s="1"/>
  <c r="Y959" i="1"/>
  <c r="S986" i="1"/>
  <c r="F1187" i="1"/>
  <c r="L1182" i="1"/>
  <c r="G1225" i="1"/>
  <c r="G1252" i="1" s="1"/>
  <c r="G1258" i="1" s="1"/>
  <c r="K1220" i="1"/>
  <c r="K1225" i="1" s="1"/>
  <c r="K1252" i="1" s="1"/>
  <c r="B1225" i="1"/>
  <c r="B1252" i="1" s="1"/>
  <c r="B1258" i="1" s="1"/>
  <c r="F1220" i="1"/>
  <c r="L1220" i="1" l="1"/>
  <c r="F1225" i="1"/>
  <c r="S992" i="1"/>
  <c r="S997" i="1" s="1"/>
  <c r="Y986" i="1"/>
  <c r="Y992" i="1" s="1"/>
  <c r="G1263" i="1"/>
  <c r="G1290" i="1" s="1"/>
  <c r="G1296" i="1" s="1"/>
  <c r="K1258" i="1"/>
  <c r="K1263" i="1" s="1"/>
  <c r="K1290" i="1" s="1"/>
  <c r="B1263" i="1"/>
  <c r="B1290" i="1" s="1"/>
  <c r="B1296" i="1" s="1"/>
  <c r="F1258" i="1"/>
  <c r="F1214" i="1"/>
  <c r="L1214" i="1" s="1"/>
  <c r="L1187" i="1"/>
  <c r="B1301" i="1" l="1"/>
  <c r="B1328" i="1" s="1"/>
  <c r="B1334" i="1" s="1"/>
  <c r="F1296" i="1"/>
  <c r="F1252" i="1"/>
  <c r="L1252" i="1" s="1"/>
  <c r="L1225" i="1"/>
  <c r="F1263" i="1"/>
  <c r="L1258" i="1"/>
  <c r="Y997" i="1"/>
  <c r="S1024" i="1"/>
  <c r="G1301" i="1"/>
  <c r="G1328" i="1" s="1"/>
  <c r="G1334" i="1" s="1"/>
  <c r="K1296" i="1"/>
  <c r="K1301" i="1" s="1"/>
  <c r="K1328" i="1" s="1"/>
  <c r="L1296" i="1" l="1"/>
  <c r="F1301" i="1"/>
  <c r="S1030" i="1"/>
  <c r="S1035" i="1" s="1"/>
  <c r="Y1024" i="1"/>
  <c r="Y1030" i="1" s="1"/>
  <c r="G1339" i="1"/>
  <c r="G1366" i="1" s="1"/>
  <c r="G1372" i="1" s="1"/>
  <c r="K1334" i="1"/>
  <c r="K1339" i="1" s="1"/>
  <c r="K1366" i="1" s="1"/>
  <c r="L1263" i="1"/>
  <c r="F1290" i="1"/>
  <c r="L1290" i="1" s="1"/>
  <c r="B1339" i="1"/>
  <c r="B1366" i="1" s="1"/>
  <c r="B1372" i="1" s="1"/>
  <c r="F1334" i="1"/>
  <c r="L1334" i="1" l="1"/>
  <c r="F1339" i="1"/>
  <c r="F1328" i="1"/>
  <c r="L1328" i="1" s="1"/>
  <c r="L1301" i="1"/>
  <c r="Y1035" i="1"/>
  <c r="S1062" i="1"/>
  <c r="B1377" i="1"/>
  <c r="B1404" i="1" s="1"/>
  <c r="F1372" i="1"/>
  <c r="G1377" i="1"/>
  <c r="G1404" i="1" s="1"/>
  <c r="G1410" i="1" s="1"/>
  <c r="K1372" i="1"/>
  <c r="K1377" i="1" s="1"/>
  <c r="K1404" i="1" s="1"/>
  <c r="F1366" i="1" l="1"/>
  <c r="L1366" i="1" s="1"/>
  <c r="L1339" i="1"/>
  <c r="F1377" i="1"/>
  <c r="L1372" i="1"/>
  <c r="B1410" i="1"/>
  <c r="F1410" i="1" s="1"/>
  <c r="S1068" i="1"/>
  <c r="S1073" i="1" s="1"/>
  <c r="Y1062" i="1"/>
  <c r="Y1068" i="1" s="1"/>
  <c r="G1415" i="1"/>
  <c r="G1442" i="1" s="1"/>
  <c r="G1448" i="1" s="1"/>
  <c r="K1410" i="1"/>
  <c r="K1415" i="1" s="1"/>
  <c r="K1442" i="1" s="1"/>
  <c r="L1377" i="1" l="1"/>
  <c r="F1404" i="1"/>
  <c r="L1404" i="1" s="1"/>
  <c r="L1410" i="1"/>
  <c r="F1415" i="1"/>
  <c r="Y1073" i="1"/>
  <c r="S1100" i="1"/>
  <c r="G1453" i="1"/>
  <c r="G1480" i="1" s="1"/>
  <c r="G1486" i="1" s="1"/>
  <c r="K1448" i="1"/>
  <c r="K1453" i="1" s="1"/>
  <c r="K1480" i="1" s="1"/>
  <c r="B1415" i="1"/>
  <c r="B1442" i="1" s="1"/>
  <c r="B1448" i="1" s="1"/>
  <c r="G1491" i="1" l="1"/>
  <c r="G1518" i="1" s="1"/>
  <c r="G1524" i="1" s="1"/>
  <c r="K1486" i="1"/>
  <c r="K1491" i="1" s="1"/>
  <c r="K1518" i="1" s="1"/>
  <c r="F1442" i="1"/>
  <c r="L1442" i="1" s="1"/>
  <c r="L1415" i="1"/>
  <c r="S1106" i="1"/>
  <c r="S1111" i="1" s="1"/>
  <c r="Y1100" i="1"/>
  <c r="Y1106" i="1" s="1"/>
  <c r="B1453" i="1"/>
  <c r="B1480" i="1" s="1"/>
  <c r="B1486" i="1" s="1"/>
  <c r="F1448" i="1"/>
  <c r="B1491" i="1" l="1"/>
  <c r="B1518" i="1" s="1"/>
  <c r="B1524" i="1" s="1"/>
  <c r="F1486" i="1"/>
  <c r="F1453" i="1"/>
  <c r="L1448" i="1"/>
  <c r="Y1111" i="1"/>
  <c r="S1138" i="1"/>
  <c r="G1529" i="1"/>
  <c r="G1556" i="1" s="1"/>
  <c r="G1562" i="1" s="1"/>
  <c r="K1524" i="1"/>
  <c r="K1529" i="1" s="1"/>
  <c r="K1556" i="1" s="1"/>
  <c r="G1567" i="1" l="1"/>
  <c r="G1594" i="1" s="1"/>
  <c r="G1600" i="1" s="1"/>
  <c r="K1562" i="1"/>
  <c r="K1567" i="1" s="1"/>
  <c r="K1594" i="1" s="1"/>
  <c r="F1480" i="1"/>
  <c r="L1480" i="1" s="1"/>
  <c r="L1453" i="1"/>
  <c r="Y1138" i="1"/>
  <c r="Y1144" i="1" s="1"/>
  <c r="S1144" i="1"/>
  <c r="S1149" i="1" s="1"/>
  <c r="L1486" i="1"/>
  <c r="F1491" i="1"/>
  <c r="B1529" i="1"/>
  <c r="B1556" i="1" s="1"/>
  <c r="B1562" i="1" s="1"/>
  <c r="F1524" i="1"/>
  <c r="L1491" i="1" l="1"/>
  <c r="F1518" i="1"/>
  <c r="L1518" i="1" s="1"/>
  <c r="F1529" i="1"/>
  <c r="L1524" i="1"/>
  <c r="Y1149" i="1"/>
  <c r="S1176" i="1"/>
  <c r="B1567" i="1"/>
  <c r="B1594" i="1" s="1"/>
  <c r="B1600" i="1" s="1"/>
  <c r="F1562" i="1"/>
  <c r="G1605" i="1"/>
  <c r="G1632" i="1" s="1"/>
  <c r="G1638" i="1" s="1"/>
  <c r="K1600" i="1"/>
  <c r="K1605" i="1" s="1"/>
  <c r="K1632" i="1" s="1"/>
  <c r="L1562" i="1" l="1"/>
  <c r="F1567" i="1"/>
  <c r="B1605" i="1"/>
  <c r="B1632" i="1" s="1"/>
  <c r="B1638" i="1" s="1"/>
  <c r="F1600" i="1"/>
  <c r="L1529" i="1"/>
  <c r="F1556" i="1"/>
  <c r="L1556" i="1" s="1"/>
  <c r="R1177" i="1"/>
  <c r="P1177" i="1"/>
  <c r="S1182" i="1"/>
  <c r="S1187" i="1" s="1"/>
  <c r="Y1176" i="1"/>
  <c r="Y1182" i="1" s="1"/>
  <c r="S1177" i="1"/>
  <c r="O1177" i="1"/>
  <c r="Q1177" i="1"/>
  <c r="G1643" i="1"/>
  <c r="G1670" i="1" s="1"/>
  <c r="G1676" i="1" s="1"/>
  <c r="K1638" i="1"/>
  <c r="K1643" i="1" s="1"/>
  <c r="K1670" i="1" s="1"/>
  <c r="F1605" i="1" l="1"/>
  <c r="L1600" i="1"/>
  <c r="B1643" i="1"/>
  <c r="B1670" i="1" s="1"/>
  <c r="B1676" i="1" s="1"/>
  <c r="F1638" i="1"/>
  <c r="G1681" i="1"/>
  <c r="G1708" i="1" s="1"/>
  <c r="G1714" i="1" s="1"/>
  <c r="K1676" i="1"/>
  <c r="K1681" i="1" s="1"/>
  <c r="K1708" i="1" s="1"/>
  <c r="F1594" i="1"/>
  <c r="L1594" i="1" s="1"/>
  <c r="L1567" i="1"/>
  <c r="Y1187" i="1"/>
  <c r="S1214" i="1"/>
  <c r="L1638" i="1" l="1"/>
  <c r="F1643" i="1"/>
  <c r="B1681" i="1"/>
  <c r="B1708" i="1" s="1"/>
  <c r="B1714" i="1" s="1"/>
  <c r="F1676" i="1"/>
  <c r="Y1214" i="1"/>
  <c r="Y1220" i="1" s="1"/>
  <c r="S1220" i="1"/>
  <c r="S1225" i="1" s="1"/>
  <c r="G1719" i="1"/>
  <c r="G1746" i="1" s="1"/>
  <c r="G1752" i="1" s="1"/>
  <c r="K1714" i="1"/>
  <c r="K1719" i="1" s="1"/>
  <c r="K1746" i="1" s="1"/>
  <c r="L1605" i="1"/>
  <c r="F1632" i="1"/>
  <c r="L1632" i="1" s="1"/>
  <c r="F1681" i="1" l="1"/>
  <c r="L1676" i="1"/>
  <c r="G1757" i="1"/>
  <c r="G1784" i="1" s="1"/>
  <c r="G1790" i="1" s="1"/>
  <c r="K1752" i="1"/>
  <c r="K1757" i="1" s="1"/>
  <c r="K1784" i="1" s="1"/>
  <c r="B1719" i="1"/>
  <c r="B1746" i="1" s="1"/>
  <c r="B1752" i="1" s="1"/>
  <c r="F1714" i="1"/>
  <c r="S1252" i="1"/>
  <c r="Y1225" i="1"/>
  <c r="F1670" i="1"/>
  <c r="L1670" i="1" s="1"/>
  <c r="L1643" i="1"/>
  <c r="S1258" i="1" l="1"/>
  <c r="S1263" i="1" s="1"/>
  <c r="Y1252" i="1"/>
  <c r="Y1258" i="1" s="1"/>
  <c r="G1795" i="1"/>
  <c r="G1822" i="1" s="1"/>
  <c r="G1828" i="1" s="1"/>
  <c r="K1790" i="1"/>
  <c r="K1795" i="1" s="1"/>
  <c r="K1822" i="1" s="1"/>
  <c r="L1714" i="1"/>
  <c r="F1719" i="1"/>
  <c r="B1757" i="1"/>
  <c r="B1784" i="1" s="1"/>
  <c r="B1790" i="1" s="1"/>
  <c r="F1752" i="1"/>
  <c r="F1708" i="1"/>
  <c r="L1708" i="1" s="1"/>
  <c r="L1681" i="1"/>
  <c r="F1757" i="1" l="1"/>
  <c r="L1752" i="1"/>
  <c r="B1795" i="1"/>
  <c r="B1822" i="1" s="1"/>
  <c r="B1828" i="1" s="1"/>
  <c r="F1790" i="1"/>
  <c r="G1833" i="1"/>
  <c r="G1860" i="1" s="1"/>
  <c r="G1866" i="1" s="1"/>
  <c r="K1828" i="1"/>
  <c r="K1833" i="1" s="1"/>
  <c r="K1860" i="1" s="1"/>
  <c r="F1746" i="1"/>
  <c r="L1746" i="1" s="1"/>
  <c r="L1719" i="1"/>
  <c r="Y1263" i="1"/>
  <c r="S1290" i="1"/>
  <c r="F1795" i="1" l="1"/>
  <c r="L1790" i="1"/>
  <c r="B1833" i="1"/>
  <c r="B1860" i="1" s="1"/>
  <c r="B1866" i="1" s="1"/>
  <c r="F1828" i="1"/>
  <c r="S1296" i="1"/>
  <c r="S1301" i="1" s="1"/>
  <c r="Y1290" i="1"/>
  <c r="Y1296" i="1" s="1"/>
  <c r="G1871" i="1"/>
  <c r="G1898" i="1" s="1"/>
  <c r="G1904" i="1" s="1"/>
  <c r="K1866" i="1"/>
  <c r="K1871" i="1" s="1"/>
  <c r="K1898" i="1" s="1"/>
  <c r="F1784" i="1"/>
  <c r="L1784" i="1" s="1"/>
  <c r="L1757" i="1"/>
  <c r="F1833" i="1" l="1"/>
  <c r="L1828" i="1"/>
  <c r="G1909" i="1"/>
  <c r="G1936" i="1" s="1"/>
  <c r="G1942" i="1" s="1"/>
  <c r="K1904" i="1"/>
  <c r="K1909" i="1" s="1"/>
  <c r="K1936" i="1" s="1"/>
  <c r="B1871" i="1"/>
  <c r="B1898" i="1" s="1"/>
  <c r="B1904" i="1" s="1"/>
  <c r="F1866" i="1"/>
  <c r="Y1301" i="1"/>
  <c r="S1328" i="1"/>
  <c r="L1795" i="1"/>
  <c r="F1822" i="1"/>
  <c r="L1822" i="1" s="1"/>
  <c r="S1334" i="1" l="1"/>
  <c r="S1339" i="1" s="1"/>
  <c r="Y1328" i="1"/>
  <c r="Y1334" i="1" s="1"/>
  <c r="G1947" i="1"/>
  <c r="G1974" i="1" s="1"/>
  <c r="G1980" i="1" s="1"/>
  <c r="K1942" i="1"/>
  <c r="K1947" i="1" s="1"/>
  <c r="K1974" i="1" s="1"/>
  <c r="L1866" i="1"/>
  <c r="F1871" i="1"/>
  <c r="B1909" i="1"/>
  <c r="B1936" i="1" s="1"/>
  <c r="B1942" i="1" s="1"/>
  <c r="F1904" i="1"/>
  <c r="L1833" i="1"/>
  <c r="F1860" i="1"/>
  <c r="L1860" i="1" s="1"/>
  <c r="G1985" i="1" l="1"/>
  <c r="G2012" i="1" s="1"/>
  <c r="K1980" i="1"/>
  <c r="K1985" i="1" s="1"/>
  <c r="K2012" i="1" s="1"/>
  <c r="L1904" i="1"/>
  <c r="F1909" i="1"/>
  <c r="B1947" i="1"/>
  <c r="B1974" i="1" s="1"/>
  <c r="B1980" i="1" s="1"/>
  <c r="F1942" i="1"/>
  <c r="L1871" i="1"/>
  <c r="F1898" i="1"/>
  <c r="L1898" i="1" s="1"/>
  <c r="S1366" i="1"/>
  <c r="Y1339" i="1"/>
  <c r="B1985" i="1" l="1"/>
  <c r="B2012" i="1" s="1"/>
  <c r="F1980" i="1"/>
  <c r="F1947" i="1"/>
  <c r="L1942" i="1"/>
  <c r="Y1366" i="1"/>
  <c r="Y1372" i="1" s="1"/>
  <c r="S1372" i="1"/>
  <c r="S1377" i="1" s="1"/>
  <c r="L1909" i="1"/>
  <c r="F1936" i="1"/>
  <c r="L1936" i="1" s="1"/>
  <c r="L1980" i="1" l="1"/>
  <c r="F1985" i="1"/>
  <c r="Y1377" i="1"/>
  <c r="S1404" i="1"/>
  <c r="F1974" i="1"/>
  <c r="L1974" i="1" s="1"/>
  <c r="L1947" i="1"/>
  <c r="L1985" i="1" l="1"/>
  <c r="F2012" i="1"/>
  <c r="L2012" i="1" s="1"/>
  <c r="S1410" i="1"/>
  <c r="S1415" i="1" s="1"/>
  <c r="Y1404" i="1"/>
  <c r="Y1410" i="1" s="1"/>
  <c r="S1442" i="1" l="1"/>
  <c r="Y1415" i="1"/>
  <c r="Y1442" i="1" l="1"/>
  <c r="Y1448" i="1" s="1"/>
  <c r="S1448" i="1"/>
  <c r="S1453" i="1" s="1"/>
  <c r="S1480" i="1" l="1"/>
  <c r="Y1453" i="1"/>
  <c r="S1486" i="1" l="1"/>
  <c r="S1491" i="1" s="1"/>
  <c r="Y1480" i="1"/>
  <c r="Y1486" i="1" s="1"/>
  <c r="Y1491" i="1" l="1"/>
  <c r="S1518" i="1"/>
  <c r="S1524" i="1" l="1"/>
  <c r="S1529" i="1" s="1"/>
  <c r="Y1518" i="1"/>
  <c r="Y1524" i="1" s="1"/>
  <c r="Y1529" i="1" l="1"/>
  <c r="S1556" i="1"/>
  <c r="S1557" i="1" l="1"/>
  <c r="P1557" i="1"/>
  <c r="O1557" i="1"/>
  <c r="Q1557" i="1"/>
  <c r="Y1556" i="1"/>
  <c r="Y1562" i="1" s="1"/>
  <c r="S1562" i="1"/>
  <c r="S1567" i="1" s="1"/>
  <c r="R1557" i="1"/>
  <c r="Y1567" i="1" l="1"/>
  <c r="S1594" i="1"/>
  <c r="S1600" i="1" l="1"/>
  <c r="S1605" i="1" s="1"/>
  <c r="S1595" i="1"/>
  <c r="O1595" i="1"/>
  <c r="R1595" i="1"/>
  <c r="P1595" i="1"/>
  <c r="Y1594" i="1"/>
  <c r="Y1600" i="1" s="1"/>
  <c r="Q1595" i="1"/>
  <c r="Y1605" i="1" l="1"/>
  <c r="S1632" i="1"/>
  <c r="Y1632" i="1" l="1"/>
  <c r="Y1638" i="1" s="1"/>
  <c r="S1638" i="1"/>
  <c r="S1643" i="1" s="1"/>
  <c r="Y1643" i="1" l="1"/>
  <c r="S1670" i="1"/>
  <c r="Y1670" i="1" l="1"/>
  <c r="Y1676" i="1" s="1"/>
  <c r="S1676" i="1"/>
  <c r="S1681" i="1" s="1"/>
  <c r="Y1681" i="1" l="1"/>
  <c r="S1708" i="1"/>
  <c r="Y1708" i="1" l="1"/>
  <c r="Y1714" i="1" s="1"/>
  <c r="S1714" i="1"/>
  <c r="S1719" i="1" s="1"/>
  <c r="S1746" i="1" l="1"/>
  <c r="Y1719" i="1"/>
  <c r="Y1746" i="1" l="1"/>
  <c r="Y1752" i="1" s="1"/>
  <c r="S1752" i="1"/>
  <c r="S1757" i="1" s="1"/>
  <c r="Y1757" i="1" l="1"/>
  <c r="S1784" i="1"/>
  <c r="Y1784" i="1" l="1"/>
  <c r="Y1790" i="1" s="1"/>
  <c r="S1790" i="1"/>
  <c r="S1795" i="1" s="1"/>
  <c r="Y1795" i="1" l="1"/>
  <c r="S1822" i="1"/>
  <c r="Y1822" i="1" l="1"/>
  <c r="Y1828" i="1" s="1"/>
  <c r="S1828" i="1"/>
  <c r="S1833" i="1" s="1"/>
  <c r="Y1833" i="1" l="1"/>
  <c r="S1860" i="1"/>
  <c r="S1866" i="1" l="1"/>
  <c r="S1871" i="1" s="1"/>
  <c r="Y1860" i="1"/>
  <c r="Y1866" i="1" s="1"/>
  <c r="R1861" i="1"/>
  <c r="S1861" i="1"/>
  <c r="O1861" i="1"/>
  <c r="P1861" i="1"/>
  <c r="Q1861" i="1"/>
  <c r="Y1871" i="1" l="1"/>
  <c r="S1898" i="1"/>
  <c r="S1904" i="1" l="1"/>
  <c r="S1909" i="1" s="1"/>
  <c r="Y1898" i="1"/>
  <c r="Y1904" i="1" s="1"/>
  <c r="Q1899" i="1"/>
  <c r="S1899" i="1"/>
  <c r="O1899" i="1"/>
  <c r="P1899" i="1"/>
  <c r="R1899" i="1"/>
  <c r="Y1909" i="1" l="1"/>
  <c r="S1936" i="1"/>
  <c r="S1942" i="1" l="1"/>
  <c r="S1947" i="1" s="1"/>
  <c r="Y1936" i="1"/>
  <c r="Y1942" i="1" s="1"/>
  <c r="S1974" i="1" l="1"/>
  <c r="Y1947" i="1"/>
  <c r="Y1974" i="1" l="1"/>
  <c r="Y1980" i="1" s="1"/>
  <c r="S1980" i="1"/>
  <c r="S1985" i="1" s="1"/>
  <c r="Y1985" i="1" l="1"/>
  <c r="S2012" i="1"/>
  <c r="Y2012" i="1" s="1"/>
</calcChain>
</file>

<file path=xl/sharedStrings.xml><?xml version="1.0" encoding="utf-8"?>
<sst xmlns="http://schemas.openxmlformats.org/spreadsheetml/2006/main" count="4553" uniqueCount="1021">
  <si>
    <t>カラー</t>
  </si>
  <si>
    <t>合計</t>
    <rPh sb="0" eb="2">
      <t>ゴウケイ</t>
    </rPh>
    <phoneticPr fontId="2"/>
  </si>
  <si>
    <t>サイズ</t>
  </si>
  <si>
    <t>計</t>
    <rPh sb="0" eb="1">
      <t>ケイ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</si>
  <si>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</si>
  <si>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</si>
  <si>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</si>
  <si>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</si>
  <si>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総数</t>
    <rPh sb="0" eb="2">
      <t>ソウスウ</t>
    </rPh>
    <phoneticPr fontId="2"/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</si>
  <si>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</si>
  <si>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</si>
  <si>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M</t>
    <phoneticPr fontId="6"/>
  </si>
  <si>
    <t>L</t>
    <phoneticPr fontId="6"/>
  </si>
  <si>
    <t>LL</t>
    <phoneticPr fontId="6"/>
  </si>
  <si>
    <t>3L</t>
    <phoneticPr fontId="6"/>
  </si>
  <si>
    <t>在庫</t>
    <rPh sb="0" eb="2">
      <t>ザイコ</t>
    </rPh>
    <phoneticPr fontId="2"/>
  </si>
  <si>
    <t>追加１</t>
    <rPh sb="0" eb="2">
      <t>ツイカ</t>
    </rPh>
    <phoneticPr fontId="2"/>
  </si>
  <si>
    <t>骨盤底筋ショーツ　夢販在庫</t>
    <rPh sb="0" eb="4">
      <t>コツバンテイキン</t>
    </rPh>
    <rPh sb="9" eb="10">
      <t>ユメ</t>
    </rPh>
    <rPh sb="10" eb="11">
      <t>ハン</t>
    </rPh>
    <rPh sb="11" eb="13">
      <t>ザイコ</t>
    </rPh>
    <phoneticPr fontId="2"/>
  </si>
  <si>
    <t>骨盤底筋ショーツ　K-PORT在庫</t>
    <rPh sb="0" eb="4">
      <t>コツバンテイキン</t>
    </rPh>
    <rPh sb="15" eb="17">
      <t>ザイコ</t>
    </rPh>
    <phoneticPr fontId="2"/>
  </si>
  <si>
    <t>ローズピンク</t>
    <phoneticPr fontId="6"/>
  </si>
  <si>
    <t>モカブラウン</t>
    <phoneticPr fontId="6"/>
  </si>
  <si>
    <t>初回</t>
    <rPh sb="0" eb="2">
      <t>ショカイ</t>
    </rPh>
    <phoneticPr fontId="2"/>
  </si>
  <si>
    <t>5/15～</t>
    <phoneticPr fontId="6"/>
  </si>
  <si>
    <t>JOD特別版0519/2色組</t>
    <rPh sb="3" eb="6">
      <t>トクベツバン</t>
    </rPh>
    <rPh sb="12" eb="14">
      <t>ショククミ</t>
    </rPh>
    <phoneticPr fontId="6"/>
  </si>
  <si>
    <t>5/18～</t>
    <phoneticPr fontId="6"/>
  </si>
  <si>
    <t>4/14 4/8ship</t>
    <phoneticPr fontId="6"/>
  </si>
  <si>
    <t>夢販</t>
    <rPh sb="0" eb="2">
      <t>ユメハン</t>
    </rPh>
    <phoneticPr fontId="6"/>
  </si>
  <si>
    <t>ネット</t>
    <phoneticPr fontId="6"/>
  </si>
  <si>
    <t>JOD撮影用sample</t>
    <rPh sb="3" eb="6">
      <t>サツエイヨウ</t>
    </rPh>
    <phoneticPr fontId="6"/>
  </si>
  <si>
    <t>サクラマチsample</t>
    <phoneticPr fontId="6"/>
  </si>
  <si>
    <t>ディノスsample</t>
    <phoneticPr fontId="6"/>
  </si>
  <si>
    <t>営業用サンプル</t>
    <rPh sb="0" eb="3">
      <t>エイギョウヨウ</t>
    </rPh>
    <phoneticPr fontId="6"/>
  </si>
  <si>
    <t>西夢</t>
    <rPh sb="0" eb="2">
      <t>ニシユメ</t>
    </rPh>
    <phoneticPr fontId="6"/>
  </si>
  <si>
    <t>ディノス冬　スモーキー系２色組</t>
    <rPh sb="4" eb="5">
      <t>フユ</t>
    </rPh>
    <rPh sb="11" eb="12">
      <t>ケイ</t>
    </rPh>
    <rPh sb="13" eb="15">
      <t>ショクグミ</t>
    </rPh>
    <phoneticPr fontId="6"/>
  </si>
  <si>
    <t>コープきんき選定会議用sample</t>
    <rPh sb="6" eb="10">
      <t>センテイカイギ</t>
    </rPh>
    <rPh sb="10" eb="11">
      <t>ヨウ</t>
    </rPh>
    <phoneticPr fontId="6"/>
  </si>
  <si>
    <r>
      <t>IEI 　使ってヨカッタ5月号/</t>
    </r>
    <r>
      <rPr>
        <b/>
        <sz val="11"/>
        <rFont val="ＭＳ Ｐゴシック"/>
        <family val="3"/>
        <charset val="128"/>
      </rPr>
      <t>4色組①</t>
    </r>
    <rPh sb="5" eb="6">
      <t>ツカ</t>
    </rPh>
    <rPh sb="13" eb="15">
      <t>ガツゴウ</t>
    </rPh>
    <rPh sb="17" eb="19">
      <t>ショククミ</t>
    </rPh>
    <phoneticPr fontId="6"/>
  </si>
  <si>
    <t>くらしsample（きんき登録用）</t>
    <rPh sb="13" eb="16">
      <t>トウロクヨウ</t>
    </rPh>
    <phoneticPr fontId="6"/>
  </si>
  <si>
    <r>
      <t>IEI 　使ってヨカッタ5月号/</t>
    </r>
    <r>
      <rPr>
        <b/>
        <sz val="11"/>
        <rFont val="ＭＳ Ｐゴシック"/>
        <family val="3"/>
        <charset val="128"/>
      </rPr>
      <t>4色組②</t>
    </r>
    <rPh sb="5" eb="6">
      <t>ツカ</t>
    </rPh>
    <rPh sb="13" eb="15">
      <t>ガツゴウ</t>
    </rPh>
    <rPh sb="17" eb="19">
      <t>ショククミ</t>
    </rPh>
    <phoneticPr fontId="6"/>
  </si>
  <si>
    <t>JOD①</t>
    <phoneticPr fontId="6"/>
  </si>
  <si>
    <t>なごみsample</t>
    <phoneticPr fontId="6"/>
  </si>
  <si>
    <t>JOD②</t>
    <phoneticPr fontId="6"/>
  </si>
  <si>
    <t>JOD③</t>
    <phoneticPr fontId="6"/>
  </si>
  <si>
    <t>JOD④</t>
    <phoneticPr fontId="6"/>
  </si>
  <si>
    <r>
      <t>IEI 　使ってヨカッタ5月号/</t>
    </r>
    <r>
      <rPr>
        <b/>
        <sz val="11"/>
        <rFont val="ＭＳ Ｐゴシック"/>
        <family val="3"/>
        <charset val="128"/>
      </rPr>
      <t>4色組</t>
    </r>
    <rPh sb="5" eb="6">
      <t>ツカ</t>
    </rPh>
    <rPh sb="13" eb="15">
      <t>ガツゴウ</t>
    </rPh>
    <rPh sb="17" eb="19">
      <t>ショククミ</t>
    </rPh>
    <phoneticPr fontId="6"/>
  </si>
  <si>
    <t>JOD⑤</t>
    <phoneticPr fontId="6"/>
  </si>
  <si>
    <t>JOD⑥</t>
    <phoneticPr fontId="6"/>
  </si>
  <si>
    <t>JOD⑥(西濃）</t>
    <rPh sb="5" eb="7">
      <t>セイノウ</t>
    </rPh>
    <phoneticPr fontId="6"/>
  </si>
  <si>
    <t>IEI交換</t>
    <rPh sb="3" eb="5">
      <t>コウカン</t>
    </rPh>
    <phoneticPr fontId="6"/>
  </si>
  <si>
    <t>JOD⑦</t>
    <phoneticPr fontId="6"/>
  </si>
  <si>
    <t>JOD⑧</t>
    <phoneticPr fontId="6"/>
  </si>
  <si>
    <t>電話注文</t>
    <rPh sb="0" eb="4">
      <t>デンワチュウモン</t>
    </rPh>
    <phoneticPr fontId="6"/>
  </si>
  <si>
    <t>JOD⑨</t>
    <phoneticPr fontId="6"/>
  </si>
  <si>
    <t>JOD⑨(西濃）</t>
    <rPh sb="5" eb="7">
      <t>セイノウ</t>
    </rPh>
    <phoneticPr fontId="6"/>
  </si>
  <si>
    <t>JOD⑩</t>
    <phoneticPr fontId="6"/>
  </si>
  <si>
    <t>追加</t>
    <rPh sb="0" eb="2">
      <t>ツイカ</t>
    </rPh>
    <phoneticPr fontId="6"/>
  </si>
  <si>
    <t>JOD⑪</t>
    <phoneticPr fontId="6"/>
  </si>
  <si>
    <t>検査用</t>
    <rPh sb="0" eb="3">
      <t>ケンサヨウ</t>
    </rPh>
    <phoneticPr fontId="6"/>
  </si>
  <si>
    <t>JOD⑫</t>
    <phoneticPr fontId="6"/>
  </si>
  <si>
    <t>JOD⑬</t>
    <phoneticPr fontId="6"/>
  </si>
  <si>
    <t>JOD新聞折込（テスト）9049</t>
    <rPh sb="3" eb="7">
      <t>シンブンオリコミ</t>
    </rPh>
    <phoneticPr fontId="6"/>
  </si>
  <si>
    <t>6/26～</t>
    <phoneticPr fontId="6"/>
  </si>
  <si>
    <t>JOD⑭</t>
    <phoneticPr fontId="6"/>
  </si>
  <si>
    <t>JOD⑮</t>
    <phoneticPr fontId="6"/>
  </si>
  <si>
    <t>JOD⑯</t>
    <phoneticPr fontId="6"/>
  </si>
  <si>
    <t>JOD⑰</t>
    <phoneticPr fontId="6"/>
  </si>
  <si>
    <t>8/23～9/6（1～5回）</t>
    <rPh sb="12" eb="13">
      <t>カイ</t>
    </rPh>
    <phoneticPr fontId="6"/>
  </si>
  <si>
    <t>コープ九州9-1ｗ差分予測</t>
    <rPh sb="3" eb="5">
      <t>キュウシュウ</t>
    </rPh>
    <rPh sb="9" eb="13">
      <t>サブンヨソク</t>
    </rPh>
    <phoneticPr fontId="6"/>
  </si>
  <si>
    <t>JOD⑱</t>
    <phoneticPr fontId="6"/>
  </si>
  <si>
    <t>JOD⑲</t>
    <phoneticPr fontId="6"/>
  </si>
  <si>
    <t>JOD⑳</t>
    <phoneticPr fontId="6"/>
  </si>
  <si>
    <t>JOD㉑</t>
    <phoneticPr fontId="6"/>
  </si>
  <si>
    <t>JOD新聞折込（テスト）9049①</t>
    <rPh sb="3" eb="7">
      <t>シンブンオリコミ</t>
    </rPh>
    <phoneticPr fontId="6"/>
  </si>
  <si>
    <t>JOD返品</t>
    <rPh sb="3" eb="5">
      <t>ヘンピン</t>
    </rPh>
    <phoneticPr fontId="2"/>
  </si>
  <si>
    <t>JOD㉒</t>
    <phoneticPr fontId="6"/>
  </si>
  <si>
    <t>ディノス冬　スモーキー系差分予測</t>
    <rPh sb="4" eb="5">
      <t>フユ</t>
    </rPh>
    <rPh sb="11" eb="12">
      <t>ケイ</t>
    </rPh>
    <rPh sb="12" eb="16">
      <t>サブンヨソク</t>
    </rPh>
    <phoneticPr fontId="6"/>
  </si>
  <si>
    <t>コープきんき9月2回差分予測</t>
    <rPh sb="7" eb="8">
      <t>ガツ</t>
    </rPh>
    <rPh sb="9" eb="10">
      <t>カイ</t>
    </rPh>
    <rPh sb="10" eb="14">
      <t>サブンヨソク</t>
    </rPh>
    <phoneticPr fontId="6"/>
  </si>
  <si>
    <t>ニッセン23年秋①</t>
    <rPh sb="6" eb="7">
      <t>ネン</t>
    </rPh>
    <rPh sb="7" eb="8">
      <t>アキ</t>
    </rPh>
    <phoneticPr fontId="6"/>
  </si>
  <si>
    <t>JOD特別版0726/2色組</t>
    <rPh sb="3" eb="6">
      <t>トクベツバン</t>
    </rPh>
    <phoneticPr fontId="6"/>
  </si>
  <si>
    <t>7/25～</t>
    <phoneticPr fontId="6"/>
  </si>
  <si>
    <t>JOD㉓</t>
    <phoneticPr fontId="6"/>
  </si>
  <si>
    <t>JOD新聞折込（テスト）9049②</t>
    <rPh sb="3" eb="7">
      <t>シンブンオリコミ</t>
    </rPh>
    <phoneticPr fontId="6"/>
  </si>
  <si>
    <t>JOD新聞折込（テスト）9049③</t>
    <rPh sb="3" eb="7">
      <t>シンブンオリコミ</t>
    </rPh>
    <phoneticPr fontId="6"/>
  </si>
  <si>
    <t>JOD新聞折込（テスト）9049④</t>
    <rPh sb="3" eb="7">
      <t>シンブンオリコミ</t>
    </rPh>
    <phoneticPr fontId="6"/>
  </si>
  <si>
    <t>パルくらす10月1回（2色組・不透明袋）</t>
    <rPh sb="7" eb="8">
      <t>ガツ</t>
    </rPh>
    <rPh sb="9" eb="10">
      <t>カイ</t>
    </rPh>
    <rPh sb="12" eb="14">
      <t>ショククミ</t>
    </rPh>
    <rPh sb="15" eb="19">
      <t>フトウメイフクロ</t>
    </rPh>
    <phoneticPr fontId="6"/>
  </si>
  <si>
    <t>点9/14、アバウト9/26、本9/27～10/2</t>
    <rPh sb="0" eb="1">
      <t>テン</t>
    </rPh>
    <rPh sb="15" eb="16">
      <t>ホン</t>
    </rPh>
    <phoneticPr fontId="6"/>
  </si>
  <si>
    <t>パルくらす10月1回差分予測</t>
    <rPh sb="7" eb="8">
      <t>ガツ</t>
    </rPh>
    <rPh sb="9" eb="10">
      <t>カイ</t>
    </rPh>
    <rPh sb="10" eb="14">
      <t>サブンヨソク</t>
    </rPh>
    <phoneticPr fontId="6"/>
  </si>
  <si>
    <t>JOD新聞折込（テスト）9050⑤</t>
    <rPh sb="3" eb="7">
      <t>シンブンオリコミ</t>
    </rPh>
    <phoneticPr fontId="6"/>
  </si>
  <si>
    <t>全国通販sample</t>
    <rPh sb="0" eb="4">
      <t>ゼンコクツウハン</t>
    </rPh>
    <phoneticPr fontId="6"/>
  </si>
  <si>
    <t>JOD㉔</t>
    <phoneticPr fontId="6"/>
  </si>
  <si>
    <t>JOD新聞折込（テスト）9050⑥</t>
    <rPh sb="3" eb="7">
      <t>シンブンオリコミ</t>
    </rPh>
    <phoneticPr fontId="6"/>
  </si>
  <si>
    <t>点8/17、アバウト9/5、本9/6～16</t>
    <rPh sb="0" eb="1">
      <t>テン</t>
    </rPh>
    <rPh sb="14" eb="15">
      <t>ホン</t>
    </rPh>
    <phoneticPr fontId="6"/>
  </si>
  <si>
    <t>JOD㉕</t>
    <phoneticPr fontId="6"/>
  </si>
  <si>
    <t>JOD新聞折込（テスト）9050⑦</t>
    <rPh sb="3" eb="7">
      <t>シンブンオリコミ</t>
    </rPh>
    <phoneticPr fontId="6"/>
  </si>
  <si>
    <t>JOD㉖</t>
    <phoneticPr fontId="6"/>
  </si>
  <si>
    <t>JOD新聞折込（テスト）9050⑧</t>
    <rPh sb="3" eb="7">
      <t>シンブンオリコミ</t>
    </rPh>
    <phoneticPr fontId="6"/>
  </si>
  <si>
    <t>JOD㉗</t>
    <phoneticPr fontId="6"/>
  </si>
  <si>
    <t>JOD新聞折込（テスト）9050⑨</t>
    <rPh sb="3" eb="7">
      <t>シンブンオリコミ</t>
    </rPh>
    <phoneticPr fontId="6"/>
  </si>
  <si>
    <t>事前搬入9/7、本番10/3～</t>
    <rPh sb="0" eb="4">
      <t>ジゼンハンニュウ</t>
    </rPh>
    <rPh sb="8" eb="10">
      <t>ホンバン</t>
    </rPh>
    <phoneticPr fontId="6"/>
  </si>
  <si>
    <t>ディノス冬　スモーキー系２色組①</t>
    <rPh sb="4" eb="5">
      <t>フユ</t>
    </rPh>
    <rPh sb="11" eb="12">
      <t>ケイ</t>
    </rPh>
    <rPh sb="13" eb="15">
      <t>ショクグミ</t>
    </rPh>
    <phoneticPr fontId="6"/>
  </si>
  <si>
    <t>JOD㉘</t>
    <phoneticPr fontId="6"/>
  </si>
  <si>
    <t>JOD新聞折込（テスト）9050⑩</t>
    <rPh sb="3" eb="7">
      <t>シンブンオリコミ</t>
    </rPh>
    <phoneticPr fontId="6"/>
  </si>
  <si>
    <t>JOD㉙</t>
    <phoneticPr fontId="6"/>
  </si>
  <si>
    <t>JOD新聞折込（テスト）9050⑪</t>
    <rPh sb="3" eb="7">
      <t>シンブンオリコミ</t>
    </rPh>
    <phoneticPr fontId="6"/>
  </si>
  <si>
    <t>IEI交換</t>
    <rPh sb="3" eb="5">
      <t>コウカン</t>
    </rPh>
    <phoneticPr fontId="2"/>
  </si>
  <si>
    <t>JOD㉚</t>
    <phoneticPr fontId="6"/>
  </si>
  <si>
    <t>JOD新聞折込（テスト）9050⑫</t>
    <rPh sb="3" eb="7">
      <t>シンブンオリコミ</t>
    </rPh>
    <phoneticPr fontId="6"/>
  </si>
  <si>
    <t>8/4～</t>
    <phoneticPr fontId="6"/>
  </si>
  <si>
    <t>JOD特別号9945/2色組</t>
    <rPh sb="3" eb="5">
      <t>トクベツ</t>
    </rPh>
    <rPh sb="5" eb="6">
      <t>ゴウ</t>
    </rPh>
    <phoneticPr fontId="6"/>
  </si>
  <si>
    <t>コープきんき9月2回（不透明袋）</t>
    <rPh sb="7" eb="8">
      <t>ガツ</t>
    </rPh>
    <rPh sb="9" eb="10">
      <t>カイ</t>
    </rPh>
    <rPh sb="11" eb="15">
      <t>フトウメイフクロ</t>
    </rPh>
    <phoneticPr fontId="6"/>
  </si>
  <si>
    <t>JOD新聞折込（テスト）9050⑬</t>
    <rPh sb="3" eb="7">
      <t>シンブンオリコミ</t>
    </rPh>
    <phoneticPr fontId="6"/>
  </si>
  <si>
    <t>JOD㉛</t>
    <phoneticPr fontId="6"/>
  </si>
  <si>
    <t>JOD新聞折込（テスト）9050⑭</t>
    <rPh sb="3" eb="7">
      <t>シンブンオリコミ</t>
    </rPh>
    <phoneticPr fontId="6"/>
  </si>
  <si>
    <t>JOD㉜</t>
    <phoneticPr fontId="6"/>
  </si>
  <si>
    <t>JOD新聞折込（テスト）9050⑮</t>
    <rPh sb="3" eb="7">
      <t>シンブンオリコミ</t>
    </rPh>
    <phoneticPr fontId="6"/>
  </si>
  <si>
    <t>JOD㉝</t>
    <phoneticPr fontId="6"/>
  </si>
  <si>
    <t>JOD新聞折込（テスト）9050⑯</t>
    <rPh sb="3" eb="7">
      <t>シンブンオリコミ</t>
    </rPh>
    <phoneticPr fontId="6"/>
  </si>
  <si>
    <t>JOD㉞</t>
    <phoneticPr fontId="6"/>
  </si>
  <si>
    <t>JOD新聞折込（テスト）9050⑰</t>
    <rPh sb="3" eb="7">
      <t>シンブンオリコミ</t>
    </rPh>
    <phoneticPr fontId="6"/>
  </si>
  <si>
    <t>JOD新聞折込（テスト）9050⑱</t>
    <rPh sb="3" eb="7">
      <t>シンブンオリコミ</t>
    </rPh>
    <phoneticPr fontId="6"/>
  </si>
  <si>
    <t>JOD㉟</t>
    <phoneticPr fontId="6"/>
  </si>
  <si>
    <t>10/2～12/31</t>
    <phoneticPr fontId="6"/>
  </si>
  <si>
    <t>JOD㊱</t>
    <phoneticPr fontId="6"/>
  </si>
  <si>
    <t>JOD新聞折込（テスト）9050⑲</t>
    <rPh sb="3" eb="7">
      <t>シンブンオリコミ</t>
    </rPh>
    <phoneticPr fontId="6"/>
  </si>
  <si>
    <t>JOD㊲</t>
    <phoneticPr fontId="6"/>
  </si>
  <si>
    <t>JOD㊳</t>
    <phoneticPr fontId="6"/>
  </si>
  <si>
    <t>JOD㊴</t>
    <phoneticPr fontId="6"/>
  </si>
  <si>
    <t>JOD㊵</t>
    <phoneticPr fontId="6"/>
  </si>
  <si>
    <t>JOD新聞折込（テスト）9050⑳</t>
    <rPh sb="3" eb="7">
      <t>シンブンオリコミ</t>
    </rPh>
    <phoneticPr fontId="6"/>
  </si>
  <si>
    <t>JOD㊶</t>
    <phoneticPr fontId="6"/>
  </si>
  <si>
    <t>JOD㊷</t>
    <phoneticPr fontId="6"/>
  </si>
  <si>
    <t>JOD㊸</t>
    <phoneticPr fontId="6"/>
  </si>
  <si>
    <t>JOD㊹</t>
    <phoneticPr fontId="6"/>
  </si>
  <si>
    <t>JOD㊺</t>
    <phoneticPr fontId="6"/>
  </si>
  <si>
    <t>西夢</t>
    <rPh sb="0" eb="1">
      <t>ニシ</t>
    </rPh>
    <rPh sb="1" eb="2">
      <t>ユメ</t>
    </rPh>
    <phoneticPr fontId="6"/>
  </si>
  <si>
    <t>JOD㊻</t>
    <phoneticPr fontId="6"/>
  </si>
  <si>
    <t>楽天倉庫</t>
    <rPh sb="0" eb="2">
      <t>ラクテン</t>
    </rPh>
    <rPh sb="2" eb="4">
      <t>ソウコ</t>
    </rPh>
    <phoneticPr fontId="6"/>
  </si>
  <si>
    <t>ニッセン23秋号</t>
    <rPh sb="6" eb="8">
      <t>アキゴウ</t>
    </rPh>
    <phoneticPr fontId="15"/>
  </si>
  <si>
    <t>8/20～</t>
    <phoneticPr fontId="6"/>
  </si>
  <si>
    <t>JOD㊼</t>
    <phoneticPr fontId="6"/>
  </si>
  <si>
    <t>11/24～2/29</t>
    <phoneticPr fontId="6"/>
  </si>
  <si>
    <t>在庫確認</t>
    <rPh sb="0" eb="4">
      <t>ザイコカクニン</t>
    </rPh>
    <phoneticPr fontId="2"/>
  </si>
  <si>
    <t>JOD㊽</t>
    <phoneticPr fontId="6"/>
  </si>
  <si>
    <t>8/19ship</t>
    <phoneticPr fontId="6"/>
  </si>
  <si>
    <t>1/12～7/7</t>
    <phoneticPr fontId="6"/>
  </si>
  <si>
    <t>ディノス24春リーフレット/スモーキー系２色組</t>
    <rPh sb="6" eb="7">
      <t>ハル</t>
    </rPh>
    <rPh sb="19" eb="20">
      <t>ケイ</t>
    </rPh>
    <rPh sb="21" eb="23">
      <t>ショクグミ</t>
    </rPh>
    <phoneticPr fontId="6"/>
  </si>
  <si>
    <t>JOD㊾</t>
    <phoneticPr fontId="6"/>
  </si>
  <si>
    <t>JOD㊿</t>
    <phoneticPr fontId="6"/>
  </si>
  <si>
    <t>JOD51</t>
    <phoneticPr fontId="6"/>
  </si>
  <si>
    <t>楽天倉庫</t>
    <rPh sb="0" eb="2">
      <t>ラクテン</t>
    </rPh>
    <rPh sb="2" eb="4">
      <t>ソウコ</t>
    </rPh>
    <phoneticPr fontId="6"/>
  </si>
  <si>
    <t>コープきんき9月2回（不透明袋）①</t>
    <rPh sb="7" eb="8">
      <t>ガツ</t>
    </rPh>
    <rPh sb="9" eb="10">
      <t>カイ</t>
    </rPh>
    <rPh sb="11" eb="15">
      <t>フトウメイフクロ</t>
    </rPh>
    <phoneticPr fontId="6"/>
  </si>
  <si>
    <t>JOD52</t>
    <phoneticPr fontId="6"/>
  </si>
  <si>
    <r>
      <t>コープ九州9-1ｗ</t>
    </r>
    <r>
      <rPr>
        <b/>
        <sz val="11"/>
        <rFont val="ＭＳ Ｐゴシック"/>
        <family val="3"/>
        <charset val="128"/>
      </rPr>
      <t>（不透明袋）①</t>
    </r>
    <rPh sb="3" eb="5">
      <t>キュウシュウ</t>
    </rPh>
    <rPh sb="10" eb="14">
      <t>フトウメイフクロ</t>
    </rPh>
    <phoneticPr fontId="6"/>
  </si>
  <si>
    <t>JOD53</t>
    <phoneticPr fontId="6"/>
  </si>
  <si>
    <t>楽天倉庫</t>
    <rPh sb="0" eb="2">
      <t>ラクテン</t>
    </rPh>
    <rPh sb="2" eb="4">
      <t>ソウコ</t>
    </rPh>
    <phoneticPr fontId="6"/>
  </si>
  <si>
    <t>JOD54</t>
    <phoneticPr fontId="6"/>
  </si>
  <si>
    <r>
      <t>コープ九州9-1ｗ</t>
    </r>
    <r>
      <rPr>
        <b/>
        <sz val="11"/>
        <rFont val="ＭＳ Ｐゴシック"/>
        <family val="3"/>
        <charset val="128"/>
      </rPr>
      <t>（不透明袋）②</t>
    </r>
    <rPh sb="3" eb="5">
      <t>キュウシュウ</t>
    </rPh>
    <rPh sb="10" eb="14">
      <t>フトウメイフクロ</t>
    </rPh>
    <phoneticPr fontId="6"/>
  </si>
  <si>
    <t>JOD55</t>
    <phoneticPr fontId="6"/>
  </si>
  <si>
    <t>JOD56</t>
  </si>
  <si>
    <t>JOD57</t>
  </si>
  <si>
    <r>
      <t>コープ九州9-1ｗ</t>
    </r>
    <r>
      <rPr>
        <b/>
        <sz val="11"/>
        <rFont val="ＭＳ Ｐゴシック"/>
        <family val="3"/>
        <charset val="128"/>
      </rPr>
      <t>（不透明袋）③</t>
    </r>
    <rPh sb="3" eb="5">
      <t>キュウシュウ</t>
    </rPh>
    <rPh sb="10" eb="14">
      <t>フトウメイフクロ</t>
    </rPh>
    <phoneticPr fontId="6"/>
  </si>
  <si>
    <r>
      <t>コープ九州9-1ｗ</t>
    </r>
    <r>
      <rPr>
        <b/>
        <sz val="11"/>
        <rFont val="ＭＳ Ｐゴシック"/>
        <family val="3"/>
        <charset val="128"/>
      </rPr>
      <t>（不透明袋）④</t>
    </r>
    <rPh sb="3" eb="5">
      <t>キュウシュウ</t>
    </rPh>
    <rPh sb="10" eb="14">
      <t>フトウメイフクロ</t>
    </rPh>
    <phoneticPr fontId="6"/>
  </si>
  <si>
    <t>JOD58</t>
  </si>
  <si>
    <r>
      <t>コープ九州9-1ｗ</t>
    </r>
    <r>
      <rPr>
        <b/>
        <sz val="11"/>
        <rFont val="ＭＳ Ｐゴシック"/>
        <family val="3"/>
        <charset val="128"/>
      </rPr>
      <t>（不透明袋）⑤</t>
    </r>
    <rPh sb="3" eb="5">
      <t>キュウシュウ</t>
    </rPh>
    <rPh sb="10" eb="14">
      <t>フトウメイフクロ</t>
    </rPh>
    <phoneticPr fontId="6"/>
  </si>
  <si>
    <t>JOD59</t>
    <phoneticPr fontId="6"/>
  </si>
  <si>
    <r>
      <t>コープ九州9-1ｗ</t>
    </r>
    <r>
      <rPr>
        <b/>
        <sz val="11"/>
        <rFont val="ＭＳ Ｐゴシック"/>
        <family val="3"/>
        <charset val="128"/>
      </rPr>
      <t>（不透明袋）⑥</t>
    </r>
    <rPh sb="3" eb="5">
      <t>キュウシュウ</t>
    </rPh>
    <rPh sb="10" eb="14">
      <t>フトウメイフクロ</t>
    </rPh>
    <phoneticPr fontId="6"/>
  </si>
  <si>
    <t>JOD新聞折込（テスト）9050㉑</t>
    <rPh sb="3" eb="7">
      <t>シンブンオリコミ</t>
    </rPh>
    <phoneticPr fontId="6"/>
  </si>
  <si>
    <t>パルくらす12月1回差分予測</t>
    <rPh sb="7" eb="8">
      <t>ガツ</t>
    </rPh>
    <rPh sb="9" eb="10">
      <t>カイ</t>
    </rPh>
    <rPh sb="10" eb="14">
      <t>サブンヨソク</t>
    </rPh>
    <phoneticPr fontId="6"/>
  </si>
  <si>
    <t>点11/16、アバウト11/28、初回11/29、最終発注12/4</t>
    <rPh sb="0" eb="1">
      <t>テン</t>
    </rPh>
    <rPh sb="17" eb="19">
      <t>ショカイ</t>
    </rPh>
    <rPh sb="25" eb="27">
      <t>サイシュウ</t>
    </rPh>
    <rPh sb="27" eb="29">
      <t>ハッチュウ</t>
    </rPh>
    <phoneticPr fontId="6"/>
  </si>
  <si>
    <t>パルくらす12月1回（2色組・不透明袋）</t>
    <rPh sb="7" eb="8">
      <t>ガツ</t>
    </rPh>
    <rPh sb="9" eb="10">
      <t>カイ</t>
    </rPh>
    <phoneticPr fontId="6"/>
  </si>
  <si>
    <t>JOD特別版1008/2色組</t>
    <rPh sb="3" eb="5">
      <t>トクベツ</t>
    </rPh>
    <rPh sb="5" eb="6">
      <t>バン</t>
    </rPh>
    <phoneticPr fontId="6"/>
  </si>
  <si>
    <t>10/7～</t>
    <phoneticPr fontId="6"/>
  </si>
  <si>
    <t>コープきんき9月2回（不透明袋）②</t>
    <rPh sb="7" eb="8">
      <t>ガツ</t>
    </rPh>
    <rPh sb="9" eb="10">
      <t>カイ</t>
    </rPh>
    <rPh sb="11" eb="15">
      <t>フトウメイフクロ</t>
    </rPh>
    <phoneticPr fontId="6"/>
  </si>
  <si>
    <t>JOD60</t>
    <phoneticPr fontId="6"/>
  </si>
  <si>
    <t>パルくらす10月1回（2色組・不透明袋）①</t>
    <rPh sb="7" eb="8">
      <t>ガツ</t>
    </rPh>
    <rPh sb="9" eb="10">
      <t>カイ</t>
    </rPh>
    <rPh sb="12" eb="14">
      <t>ショククミ</t>
    </rPh>
    <rPh sb="15" eb="19">
      <t>フトウメイフクロ</t>
    </rPh>
    <phoneticPr fontId="6"/>
  </si>
  <si>
    <t>楽天倉庫</t>
    <rPh sb="0" eb="2">
      <t>ラクテン</t>
    </rPh>
    <rPh sb="2" eb="4">
      <t>ソウコ</t>
    </rPh>
    <phoneticPr fontId="6"/>
  </si>
  <si>
    <r>
      <t>コープ九州9-1ｗ</t>
    </r>
    <r>
      <rPr>
        <b/>
        <sz val="11"/>
        <rFont val="ＭＳ Ｐゴシック"/>
        <family val="3"/>
        <charset val="128"/>
      </rPr>
      <t>（不透明袋）</t>
    </r>
    <rPh sb="3" eb="5">
      <t>キュウシュウ</t>
    </rPh>
    <rPh sb="10" eb="14">
      <t>フトウメイフクロ</t>
    </rPh>
    <phoneticPr fontId="6"/>
  </si>
  <si>
    <t>全国通販/チラシ9326/2色組(佐橋さん)</t>
    <rPh sb="0" eb="4">
      <t>ゼンコクツウハン</t>
    </rPh>
    <rPh sb="14" eb="16">
      <t>ショククミ</t>
    </rPh>
    <rPh sb="17" eb="19">
      <t>サハシ</t>
    </rPh>
    <phoneticPr fontId="6"/>
  </si>
  <si>
    <t>全国通販/健康とくらし2302/2色組（佐々木さん）</t>
    <rPh sb="0" eb="4">
      <t>ゼンコクツウハン</t>
    </rPh>
    <rPh sb="5" eb="7">
      <t>ケンコウ</t>
    </rPh>
    <rPh sb="17" eb="19">
      <t>ショククミ</t>
    </rPh>
    <rPh sb="20" eb="23">
      <t>ササキ</t>
    </rPh>
    <phoneticPr fontId="6"/>
  </si>
  <si>
    <t>JOD61</t>
    <phoneticPr fontId="6"/>
  </si>
  <si>
    <t>コープきんき9月2回（不透明袋）③</t>
    <rPh sb="7" eb="8">
      <t>ガツ</t>
    </rPh>
    <rPh sb="9" eb="10">
      <t>カイ</t>
    </rPh>
    <rPh sb="11" eb="15">
      <t>フトウメイフクロ</t>
    </rPh>
    <phoneticPr fontId="6"/>
  </si>
  <si>
    <t>コープきんき9月2回（不透明袋）④</t>
    <rPh sb="7" eb="8">
      <t>ガツ</t>
    </rPh>
    <rPh sb="9" eb="10">
      <t>カイ</t>
    </rPh>
    <rPh sb="11" eb="15">
      <t>フトウメイフクロ</t>
    </rPh>
    <phoneticPr fontId="6"/>
  </si>
  <si>
    <t>楽天倉庫</t>
    <phoneticPr fontId="6"/>
  </si>
  <si>
    <t>JOD62</t>
    <phoneticPr fontId="6"/>
  </si>
  <si>
    <t>2023/8/29済伝</t>
    <rPh sb="9" eb="10">
      <t>スミ</t>
    </rPh>
    <rPh sb="10" eb="11">
      <t>デン</t>
    </rPh>
    <phoneticPr fontId="6"/>
  </si>
  <si>
    <t>全国通販/健康とくらし2302/2色組（佐々木さん）①</t>
    <rPh sb="0" eb="4">
      <t>ゼンコクツウハン</t>
    </rPh>
    <rPh sb="5" eb="7">
      <t>ケンコウ</t>
    </rPh>
    <rPh sb="17" eb="19">
      <t>ショククミ</t>
    </rPh>
    <rPh sb="20" eb="23">
      <t>ササキ</t>
    </rPh>
    <phoneticPr fontId="6"/>
  </si>
  <si>
    <t>くらし企画(選定会議用smple)橋本さん</t>
    <rPh sb="3" eb="5">
      <t>キカク</t>
    </rPh>
    <rPh sb="6" eb="11">
      <t>センテイカイギヨウ</t>
    </rPh>
    <rPh sb="17" eb="19">
      <t>ハシモト</t>
    </rPh>
    <phoneticPr fontId="6"/>
  </si>
  <si>
    <t>ニッセン23年秋②</t>
    <rPh sb="6" eb="7">
      <t>ネン</t>
    </rPh>
    <rPh sb="7" eb="8">
      <t>アキ</t>
    </rPh>
    <phoneticPr fontId="6"/>
  </si>
  <si>
    <t>JOD63</t>
    <phoneticPr fontId="6"/>
  </si>
  <si>
    <t>JOD64</t>
    <phoneticPr fontId="6"/>
  </si>
  <si>
    <t>JOD65</t>
    <phoneticPr fontId="6"/>
  </si>
  <si>
    <t>コープ九州直送</t>
    <rPh sb="3" eb="5">
      <t>キュウシュウ</t>
    </rPh>
    <rPh sb="5" eb="7">
      <t>チョクソウ</t>
    </rPh>
    <phoneticPr fontId="6"/>
  </si>
  <si>
    <t>IEI返品</t>
    <rPh sb="3" eb="5">
      <t>ヘンピン</t>
    </rPh>
    <phoneticPr fontId="2"/>
  </si>
  <si>
    <t>サクラマチ返品</t>
    <rPh sb="5" eb="7">
      <t>ヘンピン</t>
    </rPh>
    <phoneticPr fontId="2"/>
  </si>
  <si>
    <t>JOD66</t>
    <phoneticPr fontId="6"/>
  </si>
  <si>
    <t>ニッセン23年秋③</t>
    <rPh sb="6" eb="7">
      <t>ネン</t>
    </rPh>
    <rPh sb="7" eb="8">
      <t>アキ</t>
    </rPh>
    <phoneticPr fontId="6"/>
  </si>
  <si>
    <t>JOD67</t>
    <phoneticPr fontId="6"/>
  </si>
  <si>
    <t>西夢</t>
    <rPh sb="0" eb="2">
      <t>ニシユメ</t>
    </rPh>
    <phoneticPr fontId="6"/>
  </si>
  <si>
    <t>JOD68</t>
    <phoneticPr fontId="6"/>
  </si>
  <si>
    <t>楽天倉庫</t>
    <phoneticPr fontId="6"/>
  </si>
  <si>
    <t>パルくらす10月1回（2色組・不透明袋）②</t>
    <rPh sb="7" eb="8">
      <t>ガツ</t>
    </rPh>
    <rPh sb="9" eb="10">
      <t>カイ</t>
    </rPh>
    <rPh sb="12" eb="14">
      <t>ショククミ</t>
    </rPh>
    <rPh sb="15" eb="19">
      <t>フトウメイフクロ</t>
    </rPh>
    <phoneticPr fontId="6"/>
  </si>
  <si>
    <t>JOD69</t>
    <phoneticPr fontId="6"/>
  </si>
  <si>
    <t>パルくらす10月1回（2色組・不透明袋）③</t>
    <rPh sb="7" eb="8">
      <t>ガツ</t>
    </rPh>
    <rPh sb="9" eb="10">
      <t>カイ</t>
    </rPh>
    <rPh sb="12" eb="14">
      <t>ショククミ</t>
    </rPh>
    <rPh sb="15" eb="19">
      <t>フトウメイフクロ</t>
    </rPh>
    <phoneticPr fontId="6"/>
  </si>
  <si>
    <t>ニッセン23年秋④</t>
    <rPh sb="6" eb="7">
      <t>ネン</t>
    </rPh>
    <rPh sb="7" eb="8">
      <t>アキ</t>
    </rPh>
    <phoneticPr fontId="6"/>
  </si>
  <si>
    <t>パルくらす10月1回（2色組・不透明袋）④</t>
    <rPh sb="7" eb="8">
      <t>ガツ</t>
    </rPh>
    <rPh sb="9" eb="10">
      <t>カイ</t>
    </rPh>
    <rPh sb="12" eb="14">
      <t>ショククミ</t>
    </rPh>
    <rPh sb="15" eb="19">
      <t>フトウメイフクロ</t>
    </rPh>
    <phoneticPr fontId="6"/>
  </si>
  <si>
    <t>点1/19、前取1/26、アバウト2/6、最終2/14</t>
    <rPh sb="0" eb="1">
      <t>テン</t>
    </rPh>
    <rPh sb="6" eb="8">
      <t>マエトリ</t>
    </rPh>
    <rPh sb="21" eb="23">
      <t>サイシュウ</t>
    </rPh>
    <phoneticPr fontId="6"/>
  </si>
  <si>
    <t>日生協キャロット1月48号差分予測</t>
    <rPh sb="0" eb="3">
      <t>ニッセイキョウ</t>
    </rPh>
    <rPh sb="9" eb="10">
      <t>ガツ</t>
    </rPh>
    <rPh sb="12" eb="13">
      <t>ゴウ</t>
    </rPh>
    <rPh sb="13" eb="17">
      <t>サブンヨソク</t>
    </rPh>
    <phoneticPr fontId="6"/>
  </si>
  <si>
    <t>JOD70</t>
    <phoneticPr fontId="6"/>
  </si>
  <si>
    <t>パルくらす10月1回（2色組・不透明袋）⑤</t>
    <rPh sb="7" eb="8">
      <t>ガツ</t>
    </rPh>
    <rPh sb="9" eb="10">
      <t>カイ</t>
    </rPh>
    <rPh sb="12" eb="14">
      <t>ショククミ</t>
    </rPh>
    <rPh sb="15" eb="19">
      <t>フトウメイフクロ</t>
    </rPh>
    <phoneticPr fontId="6"/>
  </si>
  <si>
    <t>全国通販sample返却</t>
    <rPh sb="0" eb="4">
      <t>ゼンコクツウハン</t>
    </rPh>
    <rPh sb="10" eb="12">
      <t>ヘンキャク</t>
    </rPh>
    <phoneticPr fontId="6"/>
  </si>
  <si>
    <t>JOD71</t>
    <phoneticPr fontId="6"/>
  </si>
  <si>
    <t>Amazon</t>
    <phoneticPr fontId="6"/>
  </si>
  <si>
    <t>Amazon2P</t>
    <phoneticPr fontId="6"/>
  </si>
  <si>
    <t>JOD72</t>
    <phoneticPr fontId="6"/>
  </si>
  <si>
    <t>ディノス冬　スモーキー系２色組②</t>
    <rPh sb="4" eb="5">
      <t>フユ</t>
    </rPh>
    <rPh sb="11" eb="12">
      <t>ケイ</t>
    </rPh>
    <rPh sb="13" eb="15">
      <t>ショクグミ</t>
    </rPh>
    <phoneticPr fontId="6"/>
  </si>
  <si>
    <t>くらし返品予定</t>
    <rPh sb="3" eb="7">
      <t>ヘンピンヨテイ</t>
    </rPh>
    <phoneticPr fontId="2"/>
  </si>
  <si>
    <t>楽天倉庫</t>
    <rPh sb="0" eb="2">
      <t>ラクテン</t>
    </rPh>
    <rPh sb="2" eb="4">
      <t>ソウコ</t>
    </rPh>
    <phoneticPr fontId="6"/>
  </si>
  <si>
    <t>ディノス冬　スモーキー系２色組③</t>
    <rPh sb="4" eb="5">
      <t>フユ</t>
    </rPh>
    <rPh sb="11" eb="12">
      <t>ケイ</t>
    </rPh>
    <rPh sb="13" eb="15">
      <t>ショクグミ</t>
    </rPh>
    <phoneticPr fontId="6"/>
  </si>
  <si>
    <t>ディノス冬　スモーキー系２色組④</t>
    <rPh sb="4" eb="5">
      <t>フユ</t>
    </rPh>
    <rPh sb="11" eb="12">
      <t>ケイ</t>
    </rPh>
    <rPh sb="13" eb="15">
      <t>ショクグミ</t>
    </rPh>
    <phoneticPr fontId="6"/>
  </si>
  <si>
    <t>JOD73</t>
    <phoneticPr fontId="6"/>
  </si>
  <si>
    <t>JOD新聞折込（テスト）9050㉒</t>
    <rPh sb="3" eb="7">
      <t>シンブンオリコミ</t>
    </rPh>
    <phoneticPr fontId="6"/>
  </si>
  <si>
    <t>ディノス冬　スモーキー系２色組⑤</t>
    <rPh sb="4" eb="5">
      <t>フユ</t>
    </rPh>
    <rPh sb="11" eb="12">
      <t>ケイ</t>
    </rPh>
    <rPh sb="13" eb="15">
      <t>ショクグミ</t>
    </rPh>
    <phoneticPr fontId="6"/>
  </si>
  <si>
    <t>JOD74</t>
    <phoneticPr fontId="6"/>
  </si>
  <si>
    <t>Amazon</t>
    <phoneticPr fontId="6"/>
  </si>
  <si>
    <t>JOD75</t>
    <phoneticPr fontId="6"/>
  </si>
  <si>
    <t>全国通販/健康とくらし2302/2色組（佐々木さん）②</t>
    <rPh sb="0" eb="4">
      <t>ゼンコクツウハン</t>
    </rPh>
    <rPh sb="5" eb="7">
      <t>ケンコウ</t>
    </rPh>
    <rPh sb="17" eb="19">
      <t>ショククミ</t>
    </rPh>
    <rPh sb="20" eb="23">
      <t>ササキ</t>
    </rPh>
    <phoneticPr fontId="6"/>
  </si>
  <si>
    <t>JOD76</t>
    <phoneticPr fontId="6"/>
  </si>
  <si>
    <t>JOD77</t>
  </si>
  <si>
    <t>ニッセン23年秋⑤</t>
    <rPh sb="6" eb="7">
      <t>ネン</t>
    </rPh>
    <rPh sb="7" eb="8">
      <t>アキ</t>
    </rPh>
    <phoneticPr fontId="6"/>
  </si>
  <si>
    <t>JOD78</t>
    <phoneticPr fontId="6"/>
  </si>
  <si>
    <t>JOD79</t>
    <phoneticPr fontId="6"/>
  </si>
  <si>
    <t>全国通販/健康とくらし2302/2色組（佐々木さん）③</t>
    <rPh sb="0" eb="4">
      <t>ゼンコクツウハン</t>
    </rPh>
    <rPh sb="5" eb="7">
      <t>ケンコウ</t>
    </rPh>
    <rPh sb="17" eb="19">
      <t>ショククミ</t>
    </rPh>
    <rPh sb="20" eb="23">
      <t>ササキ</t>
    </rPh>
    <phoneticPr fontId="6"/>
  </si>
  <si>
    <t>ディノス冬　スモーキー系２色組⑥</t>
    <rPh sb="4" eb="5">
      <t>フユ</t>
    </rPh>
    <rPh sb="11" eb="12">
      <t>ケイ</t>
    </rPh>
    <rPh sb="13" eb="15">
      <t>ショクグミ</t>
    </rPh>
    <phoneticPr fontId="6"/>
  </si>
  <si>
    <t>JOD80</t>
    <phoneticPr fontId="6"/>
  </si>
  <si>
    <t>JOD81</t>
    <phoneticPr fontId="6"/>
  </si>
  <si>
    <t>Amazon</t>
    <phoneticPr fontId="6"/>
  </si>
  <si>
    <t>JOD82</t>
    <phoneticPr fontId="6"/>
  </si>
  <si>
    <t>全国通販/健康とくらし2302/2色組（佐々木さん）④</t>
    <rPh sb="0" eb="4">
      <t>ゼンコクツウハン</t>
    </rPh>
    <rPh sb="5" eb="7">
      <t>ケンコウ</t>
    </rPh>
    <rPh sb="17" eb="19">
      <t>ショククミ</t>
    </rPh>
    <rPh sb="20" eb="23">
      <t>ササキ</t>
    </rPh>
    <phoneticPr fontId="6"/>
  </si>
  <si>
    <t>JOD83</t>
    <phoneticPr fontId="6"/>
  </si>
  <si>
    <t>全国通販/健康とくらし2332/2色組（佐々木さん）</t>
    <rPh sb="0" eb="4">
      <t>ゼンコクツウハン</t>
    </rPh>
    <rPh sb="5" eb="7">
      <t>ケンコウ</t>
    </rPh>
    <rPh sb="17" eb="19">
      <t>ショククミ</t>
    </rPh>
    <rPh sb="20" eb="23">
      <t>ササキ</t>
    </rPh>
    <phoneticPr fontId="6"/>
  </si>
  <si>
    <t>1/4～3/31</t>
    <phoneticPr fontId="6"/>
  </si>
  <si>
    <t>在庫確認</t>
    <rPh sb="0" eb="4">
      <t>ザイコカクニン</t>
    </rPh>
    <phoneticPr fontId="6"/>
  </si>
  <si>
    <t>JOD84</t>
  </si>
  <si>
    <t>全国通販/健康とくらし2302/2色組（佐々木さん）⑤</t>
    <rPh sb="0" eb="4">
      <t>ゼンコクツウハン</t>
    </rPh>
    <rPh sb="5" eb="7">
      <t>ケンコウ</t>
    </rPh>
    <rPh sb="17" eb="19">
      <t>ショククミ</t>
    </rPh>
    <rPh sb="20" eb="23">
      <t>ササキ</t>
    </rPh>
    <phoneticPr fontId="6"/>
  </si>
  <si>
    <t>JOD85</t>
    <phoneticPr fontId="6"/>
  </si>
  <si>
    <t>JOD86</t>
    <phoneticPr fontId="6"/>
  </si>
  <si>
    <t>Amazon</t>
    <phoneticPr fontId="6"/>
  </si>
  <si>
    <t>JOD87</t>
    <phoneticPr fontId="6"/>
  </si>
  <si>
    <t>サクラマチ返品</t>
    <rPh sb="5" eb="7">
      <t>ヘンピン</t>
    </rPh>
    <phoneticPr fontId="6"/>
  </si>
  <si>
    <t>ディノス冬　スモーキー系２色組⑦</t>
    <rPh sb="4" eb="5">
      <t>フユ</t>
    </rPh>
    <rPh sb="11" eb="12">
      <t>ケイ</t>
    </rPh>
    <rPh sb="13" eb="15">
      <t>ショクグミ</t>
    </rPh>
    <phoneticPr fontId="6"/>
  </si>
  <si>
    <t>JOD88</t>
    <phoneticPr fontId="6"/>
  </si>
  <si>
    <t>ニッセン23年秋⑥</t>
    <rPh sb="6" eb="7">
      <t>ネン</t>
    </rPh>
    <rPh sb="7" eb="8">
      <t>アキ</t>
    </rPh>
    <phoneticPr fontId="6"/>
  </si>
  <si>
    <t>西夢</t>
    <rPh sb="0" eb="2">
      <t>ニシユメ</t>
    </rPh>
    <phoneticPr fontId="6"/>
  </si>
  <si>
    <t>全国通販/健康とくらし2302/2色組（佐々木さん）⑥</t>
    <rPh sb="0" eb="4">
      <t>ゼンコクツウハン</t>
    </rPh>
    <rPh sb="5" eb="7">
      <t>ケンコウ</t>
    </rPh>
    <rPh sb="17" eb="19">
      <t>ショククミ</t>
    </rPh>
    <rPh sb="20" eb="23">
      <t>ササキ</t>
    </rPh>
    <phoneticPr fontId="6"/>
  </si>
  <si>
    <t>JOD89</t>
    <phoneticPr fontId="6"/>
  </si>
  <si>
    <t>ディノス冬　スモーキー系２色組⑧</t>
    <rPh sb="4" eb="5">
      <t>フユ</t>
    </rPh>
    <rPh sb="11" eb="12">
      <t>ケイ</t>
    </rPh>
    <rPh sb="13" eb="15">
      <t>ショクグミ</t>
    </rPh>
    <phoneticPr fontId="6"/>
  </si>
  <si>
    <t>ディノス冬　スモーキー系２色組⑨</t>
    <rPh sb="4" eb="5">
      <t>フユ</t>
    </rPh>
    <rPh sb="11" eb="12">
      <t>ケイ</t>
    </rPh>
    <rPh sb="13" eb="15">
      <t>ショクグミ</t>
    </rPh>
    <phoneticPr fontId="6"/>
  </si>
  <si>
    <t>JOD90</t>
    <phoneticPr fontId="6"/>
  </si>
  <si>
    <t>JOD91</t>
    <phoneticPr fontId="6"/>
  </si>
  <si>
    <t>Amazon</t>
    <phoneticPr fontId="6"/>
  </si>
  <si>
    <t>全国通販/健康とくらし2302/2色組（佐々木さん）⑦</t>
    <rPh sb="0" eb="4">
      <t>ゼンコクツウハン</t>
    </rPh>
    <rPh sb="5" eb="7">
      <t>ケンコウ</t>
    </rPh>
    <rPh sb="17" eb="19">
      <t>ショククミ</t>
    </rPh>
    <rPh sb="20" eb="23">
      <t>ササキ</t>
    </rPh>
    <phoneticPr fontId="6"/>
  </si>
  <si>
    <t>JOD92</t>
    <phoneticPr fontId="6"/>
  </si>
  <si>
    <t>ニッセン23年秋⑦</t>
    <rPh sb="6" eb="7">
      <t>ネン</t>
    </rPh>
    <rPh sb="7" eb="8">
      <t>アキ</t>
    </rPh>
    <phoneticPr fontId="6"/>
  </si>
  <si>
    <t>全国通販/健康とくらし2302/2色組（佐々木さん）⑧</t>
    <rPh sb="0" eb="4">
      <t>ゼンコクツウハン</t>
    </rPh>
    <rPh sb="5" eb="7">
      <t>ケンコウ</t>
    </rPh>
    <rPh sb="17" eb="19">
      <t>ショククミ</t>
    </rPh>
    <rPh sb="20" eb="23">
      <t>ササキ</t>
    </rPh>
    <phoneticPr fontId="6"/>
  </si>
  <si>
    <t>JOD93</t>
    <phoneticPr fontId="6"/>
  </si>
  <si>
    <t>JOD94</t>
    <phoneticPr fontId="6"/>
  </si>
  <si>
    <t>JOD95</t>
  </si>
  <si>
    <t>JOD96</t>
    <phoneticPr fontId="6"/>
  </si>
  <si>
    <t>JOD97</t>
    <phoneticPr fontId="6"/>
  </si>
  <si>
    <t>JOD返品</t>
    <rPh sb="3" eb="5">
      <t>ヘンピン</t>
    </rPh>
    <phoneticPr fontId="6"/>
  </si>
  <si>
    <t>追加</t>
    <rPh sb="0" eb="2">
      <t>ツイカ</t>
    </rPh>
    <phoneticPr fontId="2"/>
  </si>
  <si>
    <t>JOD98</t>
    <phoneticPr fontId="6"/>
  </si>
  <si>
    <t>ニッセン23年秋⑧</t>
    <rPh sb="6" eb="7">
      <t>ネン</t>
    </rPh>
    <rPh sb="7" eb="8">
      <t>アキ</t>
    </rPh>
    <phoneticPr fontId="6"/>
  </si>
  <si>
    <t>JOD99</t>
    <phoneticPr fontId="6"/>
  </si>
  <si>
    <t>IEI4色組</t>
    <rPh sb="4" eb="6">
      <t>ショクグミ</t>
    </rPh>
    <phoneticPr fontId="6"/>
  </si>
  <si>
    <t>西夢</t>
    <rPh sb="0" eb="2">
      <t>ニシユメ</t>
    </rPh>
    <phoneticPr fontId="6"/>
  </si>
  <si>
    <t>ディノス返品</t>
    <rPh sb="4" eb="6">
      <t>ヘンピン</t>
    </rPh>
    <phoneticPr fontId="6"/>
  </si>
  <si>
    <t>JOD100</t>
    <phoneticPr fontId="6"/>
  </si>
  <si>
    <t>Amazon</t>
    <phoneticPr fontId="6"/>
  </si>
  <si>
    <t>パルくらす12月1回（2色組・不透明袋）①</t>
    <rPh sb="7" eb="8">
      <t>ガツ</t>
    </rPh>
    <rPh sb="9" eb="10">
      <t>カイ</t>
    </rPh>
    <phoneticPr fontId="6"/>
  </si>
  <si>
    <t>パルくらす12月1回（2色組・不透明袋）②</t>
    <rPh sb="7" eb="8">
      <t>ガツ</t>
    </rPh>
    <rPh sb="9" eb="10">
      <t>カイ</t>
    </rPh>
    <phoneticPr fontId="6"/>
  </si>
  <si>
    <t>JOD101</t>
    <phoneticPr fontId="6"/>
  </si>
  <si>
    <t>パルくらす12月1回（2色組・不透明袋）③</t>
    <rPh sb="7" eb="8">
      <t>ガツ</t>
    </rPh>
    <rPh sb="9" eb="10">
      <t>カイ</t>
    </rPh>
    <phoneticPr fontId="6"/>
  </si>
  <si>
    <t>JOD102</t>
    <phoneticPr fontId="6"/>
  </si>
  <si>
    <t>パルくらす12月1回（2色組・不透明袋）④</t>
    <rPh sb="7" eb="8">
      <t>ガツ</t>
    </rPh>
    <rPh sb="9" eb="10">
      <t>カイ</t>
    </rPh>
    <phoneticPr fontId="6"/>
  </si>
  <si>
    <t>全国通販⑨</t>
    <rPh sb="0" eb="4">
      <t>ゼンコクツウハン</t>
    </rPh>
    <phoneticPr fontId="6"/>
  </si>
  <si>
    <t>2023/11/27済伝</t>
    <rPh sb="10" eb="11">
      <t>スミ</t>
    </rPh>
    <rPh sb="11" eb="12">
      <t>デン</t>
    </rPh>
    <phoneticPr fontId="6"/>
  </si>
  <si>
    <t>JOD103</t>
    <phoneticPr fontId="6"/>
  </si>
  <si>
    <t>全国通販⑩</t>
    <rPh sb="0" eb="4">
      <t>ゼンコクツウハン</t>
    </rPh>
    <phoneticPr fontId="6"/>
  </si>
  <si>
    <t>JOD104</t>
    <phoneticPr fontId="6"/>
  </si>
  <si>
    <t>Amazon</t>
    <phoneticPr fontId="6"/>
  </si>
  <si>
    <t>JOD105</t>
    <phoneticPr fontId="6"/>
  </si>
  <si>
    <t>夢販</t>
    <rPh sb="0" eb="2">
      <t>ユメハン</t>
    </rPh>
    <phoneticPr fontId="6"/>
  </si>
  <si>
    <t>JOD106</t>
    <phoneticPr fontId="6"/>
  </si>
  <si>
    <t>12/5ship</t>
    <phoneticPr fontId="6"/>
  </si>
  <si>
    <t>ディノス冬　スモーキー系２色組⑩</t>
    <rPh sb="4" eb="5">
      <t>フユ</t>
    </rPh>
    <rPh sb="11" eb="12">
      <t>ケイ</t>
    </rPh>
    <rPh sb="13" eb="15">
      <t>ショクグミ</t>
    </rPh>
    <phoneticPr fontId="6"/>
  </si>
  <si>
    <t>全国通販sample</t>
    <rPh sb="0" eb="10">
      <t>ゼンコクツウハンサンプル</t>
    </rPh>
    <phoneticPr fontId="6"/>
  </si>
  <si>
    <t>くらし返品</t>
    <rPh sb="3" eb="5">
      <t>ヘンピン</t>
    </rPh>
    <phoneticPr fontId="2"/>
  </si>
  <si>
    <t>全国通販/健康とくらし2332/2色組（佐々木さん）①</t>
    <rPh sb="0" eb="4">
      <t>ゼンコクツウハン</t>
    </rPh>
    <rPh sb="5" eb="7">
      <t>ケンコウ</t>
    </rPh>
    <rPh sb="17" eb="19">
      <t>ショククミ</t>
    </rPh>
    <rPh sb="20" eb="23">
      <t>ササキ</t>
    </rPh>
    <phoneticPr fontId="6"/>
  </si>
  <si>
    <t>JOD107</t>
    <phoneticPr fontId="6"/>
  </si>
  <si>
    <t>ディノス冬　スモーキー系２色組⑪</t>
    <rPh sb="4" eb="5">
      <t>フユ</t>
    </rPh>
    <rPh sb="11" eb="12">
      <t>ケイ</t>
    </rPh>
    <rPh sb="13" eb="15">
      <t>ショクグミ</t>
    </rPh>
    <phoneticPr fontId="6"/>
  </si>
  <si>
    <t>パルくらす3月3回（2色組・不透明袋）</t>
    <rPh sb="6" eb="7">
      <t>ガツ</t>
    </rPh>
    <rPh sb="8" eb="9">
      <t>カイ</t>
    </rPh>
    <phoneticPr fontId="6"/>
  </si>
  <si>
    <t>パルくらす3月3回差分予測</t>
    <rPh sb="6" eb="7">
      <t>ガツ</t>
    </rPh>
    <rPh sb="8" eb="9">
      <t>カイ</t>
    </rPh>
    <rPh sb="9" eb="13">
      <t>サブンヨソク</t>
    </rPh>
    <phoneticPr fontId="6"/>
  </si>
  <si>
    <t>点2/29、アバウト3/12、初回3/13、最終発注3/18</t>
    <rPh sb="0" eb="1">
      <t>テン</t>
    </rPh>
    <rPh sb="15" eb="17">
      <t>ショカイ</t>
    </rPh>
    <rPh sb="22" eb="24">
      <t>サイシュウ</t>
    </rPh>
    <rPh sb="24" eb="26">
      <t>ハッチュウ</t>
    </rPh>
    <phoneticPr fontId="6"/>
  </si>
  <si>
    <t>JOD108</t>
    <phoneticPr fontId="6"/>
  </si>
  <si>
    <t>2月末～</t>
    <rPh sb="1" eb="2">
      <t>ガツ</t>
    </rPh>
    <rPh sb="2" eb="3">
      <t>マツ</t>
    </rPh>
    <phoneticPr fontId="6"/>
  </si>
  <si>
    <t>ディノス返品</t>
    <rPh sb="4" eb="6">
      <t>ヘンピン</t>
    </rPh>
    <phoneticPr fontId="2"/>
  </si>
  <si>
    <t>ニッセン23年秋⑨</t>
    <rPh sb="6" eb="7">
      <t>ネン</t>
    </rPh>
    <rPh sb="7" eb="8">
      <t>アキ</t>
    </rPh>
    <phoneticPr fontId="6"/>
  </si>
  <si>
    <t>ディノス冬　スモーキー系２色組⑫</t>
    <rPh sb="4" eb="5">
      <t>フユ</t>
    </rPh>
    <rPh sb="11" eb="12">
      <t>ケイ</t>
    </rPh>
    <rPh sb="13" eb="15">
      <t>ショクグミ</t>
    </rPh>
    <phoneticPr fontId="6"/>
  </si>
  <si>
    <t>JOD109</t>
    <phoneticPr fontId="6"/>
  </si>
  <si>
    <t>JOD110</t>
    <phoneticPr fontId="6"/>
  </si>
  <si>
    <t>全国通販ダイジェストW077（佐橋さん）</t>
    <rPh sb="0" eb="4">
      <t>ゼンコクツウハン</t>
    </rPh>
    <rPh sb="15" eb="17">
      <t>サハシ</t>
    </rPh>
    <phoneticPr fontId="6"/>
  </si>
  <si>
    <t>1/25～4/30</t>
    <phoneticPr fontId="6"/>
  </si>
  <si>
    <t>JOD111</t>
    <phoneticPr fontId="6"/>
  </si>
  <si>
    <t>JOD112</t>
    <phoneticPr fontId="6"/>
  </si>
  <si>
    <t>JOD113</t>
    <phoneticPr fontId="6"/>
  </si>
  <si>
    <t>JOD114</t>
    <phoneticPr fontId="6"/>
  </si>
  <si>
    <t>JOD115</t>
    <phoneticPr fontId="6"/>
  </si>
  <si>
    <t>2023/12/14済伝</t>
    <rPh sb="10" eb="11">
      <t>スミ</t>
    </rPh>
    <rPh sb="11" eb="12">
      <t>デン</t>
    </rPh>
    <phoneticPr fontId="6"/>
  </si>
  <si>
    <t>JOD116</t>
    <phoneticPr fontId="6"/>
  </si>
  <si>
    <t>Amazon</t>
    <phoneticPr fontId="6"/>
  </si>
  <si>
    <t>全国通販/健康とくらし2332/2色組（佐々木さん）②</t>
    <rPh sb="0" eb="4">
      <t>ゼンコクツウハン</t>
    </rPh>
    <rPh sb="5" eb="7">
      <t>ケンコウ</t>
    </rPh>
    <rPh sb="17" eb="19">
      <t>ショククミ</t>
    </rPh>
    <rPh sb="20" eb="23">
      <t>ササキ</t>
    </rPh>
    <phoneticPr fontId="6"/>
  </si>
  <si>
    <t>3/27～4/10（1～5回）</t>
    <rPh sb="13" eb="14">
      <t>カイ</t>
    </rPh>
    <phoneticPr fontId="6"/>
  </si>
  <si>
    <t>JOD117</t>
    <phoneticPr fontId="6"/>
  </si>
  <si>
    <t>全国通販/健康とくらし2332/2色組（佐々木さん）③</t>
    <rPh sb="0" eb="4">
      <t>ゼンコクツウハン</t>
    </rPh>
    <rPh sb="5" eb="7">
      <t>ケンコウ</t>
    </rPh>
    <rPh sb="17" eb="19">
      <t>ショククミ</t>
    </rPh>
    <rPh sb="20" eb="23">
      <t>ササキ</t>
    </rPh>
    <phoneticPr fontId="6"/>
  </si>
  <si>
    <t>JOD118</t>
    <phoneticPr fontId="6"/>
  </si>
  <si>
    <t>全国通販/健康とくらし2332/2色組（佐々木さん）④</t>
    <rPh sb="0" eb="4">
      <t>ゼンコクツウハン</t>
    </rPh>
    <rPh sb="5" eb="7">
      <t>ケンコウ</t>
    </rPh>
    <rPh sb="17" eb="19">
      <t>ショククミ</t>
    </rPh>
    <rPh sb="20" eb="23">
      <t>ササキ</t>
    </rPh>
    <phoneticPr fontId="6"/>
  </si>
  <si>
    <t>全国通販/健康とくらし2332/2色組（佐々木さん）⑤</t>
    <rPh sb="0" eb="4">
      <t>ゼンコクツウハン</t>
    </rPh>
    <rPh sb="5" eb="7">
      <t>ケンコウ</t>
    </rPh>
    <rPh sb="17" eb="19">
      <t>ショククミ</t>
    </rPh>
    <rPh sb="20" eb="23">
      <t>ササキ</t>
    </rPh>
    <phoneticPr fontId="6"/>
  </si>
  <si>
    <t>JOD119</t>
    <phoneticPr fontId="6"/>
  </si>
  <si>
    <t>JOD120</t>
    <phoneticPr fontId="6"/>
  </si>
  <si>
    <t>全国通販/健康とくらし2332/2色組（佐々木さん）⑥</t>
    <rPh sb="0" eb="4">
      <t>ゼンコクツウハン</t>
    </rPh>
    <rPh sb="5" eb="7">
      <t>ケンコウ</t>
    </rPh>
    <rPh sb="17" eb="19">
      <t>ショククミ</t>
    </rPh>
    <rPh sb="20" eb="23">
      <t>ササキ</t>
    </rPh>
    <phoneticPr fontId="6"/>
  </si>
  <si>
    <r>
      <t>日生協キャロット1月48号</t>
    </r>
    <r>
      <rPr>
        <b/>
        <sz val="11"/>
        <rFont val="ＭＳ Ｐゴシック"/>
        <family val="3"/>
        <charset val="128"/>
      </rPr>
      <t>（デメリットシール）</t>
    </r>
    <r>
      <rPr>
        <sz val="11"/>
        <rFont val="ＭＳ Ｐゴシック"/>
        <family val="3"/>
        <charset val="128"/>
      </rPr>
      <t>東日本①</t>
    </r>
    <rPh sb="0" eb="3">
      <t>ニッセイキョウ</t>
    </rPh>
    <rPh sb="9" eb="10">
      <t>ガツ</t>
    </rPh>
    <rPh sb="12" eb="13">
      <t>ゴウ</t>
    </rPh>
    <rPh sb="23" eb="26">
      <t>ヒガシニホン</t>
    </rPh>
    <phoneticPr fontId="6"/>
  </si>
  <si>
    <t>JOD121</t>
    <phoneticPr fontId="6"/>
  </si>
  <si>
    <t>Amazon</t>
    <phoneticPr fontId="6"/>
  </si>
  <si>
    <t>JOD撮影用sample返却</t>
    <rPh sb="3" eb="6">
      <t>サツエイヨウ</t>
    </rPh>
    <rPh sb="12" eb="14">
      <t>ヘンキャク</t>
    </rPh>
    <phoneticPr fontId="6"/>
  </si>
  <si>
    <t>JOD122</t>
    <phoneticPr fontId="6"/>
  </si>
  <si>
    <t>ディノス冬　スモーキー系２色組⑬</t>
    <rPh sb="4" eb="5">
      <t>フユ</t>
    </rPh>
    <rPh sb="11" eb="12">
      <t>ケイ</t>
    </rPh>
    <rPh sb="13" eb="15">
      <t>ショクグミ</t>
    </rPh>
    <phoneticPr fontId="6"/>
  </si>
  <si>
    <t>JOD123</t>
    <phoneticPr fontId="6"/>
  </si>
  <si>
    <t>JOD124</t>
  </si>
  <si>
    <t>ディノス冬　スモーキー系２色組⑭</t>
    <rPh sb="4" eb="5">
      <t>フユ</t>
    </rPh>
    <rPh sb="11" eb="12">
      <t>ケイ</t>
    </rPh>
    <rPh sb="13" eb="15">
      <t>ショクグミ</t>
    </rPh>
    <phoneticPr fontId="6"/>
  </si>
  <si>
    <t>全国通販ダイジェストW077（佐橋さん）①</t>
    <rPh sb="0" eb="4">
      <t>ゼンコクツウハン</t>
    </rPh>
    <rPh sb="15" eb="17">
      <t>サハシ</t>
    </rPh>
    <phoneticPr fontId="6"/>
  </si>
  <si>
    <t>JOD125</t>
    <phoneticPr fontId="6"/>
  </si>
  <si>
    <t>ディノス冬　スモーキー系２色組⑮</t>
    <rPh sb="4" eb="5">
      <t>フユ</t>
    </rPh>
    <rPh sb="11" eb="12">
      <t>ケイ</t>
    </rPh>
    <rPh sb="13" eb="15">
      <t>ショクグミ</t>
    </rPh>
    <phoneticPr fontId="6"/>
  </si>
  <si>
    <t>JOD126</t>
    <phoneticPr fontId="6"/>
  </si>
  <si>
    <t>Amazon</t>
    <phoneticPr fontId="6"/>
  </si>
  <si>
    <t>ディノス冬　スモーキー系２色組⑯</t>
    <rPh sb="4" eb="5">
      <t>フユ</t>
    </rPh>
    <rPh sb="11" eb="12">
      <t>ケイ</t>
    </rPh>
    <rPh sb="13" eb="15">
      <t>ショクグミ</t>
    </rPh>
    <phoneticPr fontId="6"/>
  </si>
  <si>
    <t>シンエイsample</t>
    <phoneticPr fontId="6"/>
  </si>
  <si>
    <t>JOD127</t>
    <phoneticPr fontId="6"/>
  </si>
  <si>
    <t>全国通販ダイジェストW077（佐橋さん）②</t>
    <rPh sb="0" eb="4">
      <t>ゼンコクツウハン</t>
    </rPh>
    <rPh sb="15" eb="17">
      <t>サハシ</t>
    </rPh>
    <phoneticPr fontId="6"/>
  </si>
  <si>
    <t>JOD128</t>
    <phoneticPr fontId="6"/>
  </si>
  <si>
    <r>
      <t>日生協キャロット1月48号</t>
    </r>
    <r>
      <rPr>
        <b/>
        <sz val="11"/>
        <rFont val="ＭＳ Ｐゴシック"/>
        <family val="3"/>
        <charset val="128"/>
      </rPr>
      <t>（デメリットシール）</t>
    </r>
    <r>
      <rPr>
        <sz val="11"/>
        <rFont val="ＭＳ Ｐゴシック"/>
        <family val="3"/>
        <charset val="128"/>
      </rPr>
      <t>東日本②</t>
    </r>
    <rPh sb="0" eb="3">
      <t>ニッセイキョウ</t>
    </rPh>
    <rPh sb="9" eb="10">
      <t>ガツ</t>
    </rPh>
    <rPh sb="12" eb="13">
      <t>ゴウ</t>
    </rPh>
    <rPh sb="23" eb="26">
      <t>ヒガシニホン</t>
    </rPh>
    <phoneticPr fontId="6"/>
  </si>
  <si>
    <t>JOD129</t>
    <phoneticPr fontId="6"/>
  </si>
  <si>
    <t>ディノス冬　スモーキー系２色組⑰</t>
    <rPh sb="4" eb="5">
      <t>フユ</t>
    </rPh>
    <rPh sb="11" eb="12">
      <t>ケイ</t>
    </rPh>
    <rPh sb="13" eb="15">
      <t>ショクグミ</t>
    </rPh>
    <phoneticPr fontId="6"/>
  </si>
  <si>
    <t>ディノス冬　スモーキー系２色組⑱</t>
    <rPh sb="4" eb="5">
      <t>フユ</t>
    </rPh>
    <rPh sb="11" eb="12">
      <t>ケイ</t>
    </rPh>
    <rPh sb="13" eb="15">
      <t>ショクグミ</t>
    </rPh>
    <phoneticPr fontId="6"/>
  </si>
  <si>
    <t>JOD130</t>
  </si>
  <si>
    <t>ディノス冬　スモーキー系２色組⑲</t>
    <rPh sb="4" eb="5">
      <t>フユ</t>
    </rPh>
    <rPh sb="11" eb="12">
      <t>ケイ</t>
    </rPh>
    <rPh sb="13" eb="15">
      <t>ショクグミ</t>
    </rPh>
    <phoneticPr fontId="6"/>
  </si>
  <si>
    <t>JOD131</t>
    <phoneticPr fontId="6"/>
  </si>
  <si>
    <t>全国通販ダイジェストW077（佐橋さん）③</t>
    <rPh sb="0" eb="4">
      <t>ゼンコクツウハン</t>
    </rPh>
    <rPh sb="15" eb="17">
      <t>サハシ</t>
    </rPh>
    <phoneticPr fontId="6"/>
  </si>
  <si>
    <t>JOD132</t>
    <phoneticPr fontId="6"/>
  </si>
  <si>
    <t>ディノス冬　スモーキー系２色組⑳</t>
    <rPh sb="4" eb="5">
      <t>フユ</t>
    </rPh>
    <rPh sb="11" eb="12">
      <t>ケイ</t>
    </rPh>
    <rPh sb="13" eb="15">
      <t>ショクグミ</t>
    </rPh>
    <phoneticPr fontId="6"/>
  </si>
  <si>
    <t>JOD133</t>
    <phoneticPr fontId="6"/>
  </si>
  <si>
    <t>ディノス3月お悩みケアチラシ/スモーキー系２色組</t>
    <rPh sb="20" eb="21">
      <t>ケイ</t>
    </rPh>
    <rPh sb="22" eb="24">
      <t>ショクグミ</t>
    </rPh>
    <phoneticPr fontId="6"/>
  </si>
  <si>
    <r>
      <t>日生協キャロット1月48号</t>
    </r>
    <r>
      <rPr>
        <b/>
        <sz val="11"/>
        <rFont val="ＭＳ Ｐゴシック"/>
        <family val="3"/>
        <charset val="128"/>
      </rPr>
      <t>（デメリットシール）</t>
    </r>
    <r>
      <rPr>
        <sz val="11"/>
        <rFont val="ＭＳ Ｐゴシック"/>
        <family val="3"/>
        <charset val="128"/>
      </rPr>
      <t>東日本③</t>
    </r>
    <rPh sb="0" eb="3">
      <t>ニッセイキョウ</t>
    </rPh>
    <rPh sb="9" eb="10">
      <t>ガツ</t>
    </rPh>
    <rPh sb="12" eb="13">
      <t>ゴウ</t>
    </rPh>
    <rPh sb="23" eb="26">
      <t>ヒガシニホン</t>
    </rPh>
    <phoneticPr fontId="6"/>
  </si>
  <si>
    <t>JOD134</t>
    <phoneticPr fontId="6"/>
  </si>
  <si>
    <r>
      <t>日生協キャロット1月48号</t>
    </r>
    <r>
      <rPr>
        <b/>
        <sz val="11"/>
        <rFont val="ＭＳ Ｐゴシック"/>
        <family val="3"/>
        <charset val="128"/>
      </rPr>
      <t>（デメリットシール）</t>
    </r>
    <r>
      <rPr>
        <sz val="11"/>
        <rFont val="ＭＳ Ｐゴシック"/>
        <family val="3"/>
        <charset val="128"/>
      </rPr>
      <t>東日本④</t>
    </r>
    <rPh sb="0" eb="3">
      <t>ニッセイキョウ</t>
    </rPh>
    <rPh sb="9" eb="10">
      <t>ガツ</t>
    </rPh>
    <rPh sb="12" eb="13">
      <t>ゴウ</t>
    </rPh>
    <rPh sb="23" eb="26">
      <t>ヒガシニホン</t>
    </rPh>
    <phoneticPr fontId="6"/>
  </si>
  <si>
    <t>JOD135</t>
    <phoneticPr fontId="6"/>
  </si>
  <si>
    <t>JOD136</t>
    <phoneticPr fontId="6"/>
  </si>
  <si>
    <r>
      <t>日生協キャロット1月48号</t>
    </r>
    <r>
      <rPr>
        <b/>
        <sz val="11"/>
        <rFont val="ＭＳ Ｐゴシック"/>
        <family val="3"/>
        <charset val="128"/>
      </rPr>
      <t>（デメリットシール）</t>
    </r>
    <rPh sb="0" eb="3">
      <t>ニッセイキョウ</t>
    </rPh>
    <rPh sb="9" eb="10">
      <t>ガツ</t>
    </rPh>
    <rPh sb="12" eb="13">
      <t>ゴウ</t>
    </rPh>
    <phoneticPr fontId="6"/>
  </si>
  <si>
    <t>JOD137</t>
    <phoneticPr fontId="6"/>
  </si>
  <si>
    <t>全国通販ダイジェストW077（佐橋さん）④</t>
    <rPh sb="0" eb="4">
      <t>ゼンコクツウハン</t>
    </rPh>
    <rPh sb="15" eb="17">
      <t>サハシ</t>
    </rPh>
    <phoneticPr fontId="6"/>
  </si>
  <si>
    <t>ディノスsample返却</t>
    <rPh sb="10" eb="12">
      <t>ヘンキャク</t>
    </rPh>
    <phoneticPr fontId="6"/>
  </si>
  <si>
    <t>JOD138</t>
    <phoneticPr fontId="6"/>
  </si>
  <si>
    <t>ディノス冬　スモーキー系２色組㉑</t>
    <rPh sb="4" eb="5">
      <t>フユ</t>
    </rPh>
    <rPh sb="11" eb="12">
      <t>ケイ</t>
    </rPh>
    <rPh sb="13" eb="15">
      <t>ショクグミ</t>
    </rPh>
    <phoneticPr fontId="6"/>
  </si>
  <si>
    <t>JOD139</t>
    <phoneticPr fontId="6"/>
  </si>
  <si>
    <t>全国通販ダイジェストW077（佐橋さん）⑤</t>
    <rPh sb="0" eb="4">
      <t>ゼンコクツウハン</t>
    </rPh>
    <rPh sb="15" eb="17">
      <t>サハシ</t>
    </rPh>
    <phoneticPr fontId="6"/>
  </si>
  <si>
    <t>JOD140</t>
    <phoneticPr fontId="6"/>
  </si>
  <si>
    <t>JOD141</t>
    <phoneticPr fontId="6"/>
  </si>
  <si>
    <t>JOD142</t>
    <phoneticPr fontId="6"/>
  </si>
  <si>
    <t>西夢</t>
    <rPh sb="0" eb="2">
      <t>ニシユメ</t>
    </rPh>
    <phoneticPr fontId="6"/>
  </si>
  <si>
    <t>JOD143</t>
    <phoneticPr fontId="6"/>
  </si>
  <si>
    <t>ディノス冬　スモーキー系２色組㉒</t>
    <rPh sb="4" eb="5">
      <t>フユ</t>
    </rPh>
    <rPh sb="11" eb="12">
      <t>ケイ</t>
    </rPh>
    <rPh sb="13" eb="15">
      <t>ショクグミ</t>
    </rPh>
    <phoneticPr fontId="6"/>
  </si>
  <si>
    <t>JOD144</t>
  </si>
  <si>
    <t>全国通販ダイジェストW077（佐橋さん）⑥</t>
    <rPh sb="0" eb="4">
      <t>ゼンコクツウハン</t>
    </rPh>
    <rPh sb="15" eb="17">
      <t>サハシ</t>
    </rPh>
    <phoneticPr fontId="6"/>
  </si>
  <si>
    <t>夢販</t>
    <rPh sb="0" eb="2">
      <t>ユメハン</t>
    </rPh>
    <phoneticPr fontId="6"/>
  </si>
  <si>
    <t>JOD145</t>
    <phoneticPr fontId="6"/>
  </si>
  <si>
    <t>シンエイ提案sample</t>
    <rPh sb="4" eb="6">
      <t>テイアン</t>
    </rPh>
    <phoneticPr fontId="6"/>
  </si>
  <si>
    <t>コープきんき選定会議用sample返却</t>
    <rPh sb="6" eb="10">
      <t>センテイカイギ</t>
    </rPh>
    <rPh sb="10" eb="11">
      <t>ヨウ</t>
    </rPh>
    <rPh sb="17" eb="19">
      <t>ヘンキャク</t>
    </rPh>
    <phoneticPr fontId="6"/>
  </si>
  <si>
    <t>くらしsample（きんき登録用）返却</t>
    <rPh sb="13" eb="16">
      <t>トウロクヨウ</t>
    </rPh>
    <rPh sb="17" eb="19">
      <t>ヘンキャク</t>
    </rPh>
    <phoneticPr fontId="6"/>
  </si>
  <si>
    <t>全国通販ダイジェストW077（佐橋さん）⑦</t>
    <rPh sb="0" eb="4">
      <t>ゼンコクツウハン</t>
    </rPh>
    <rPh sb="15" eb="17">
      <t>サハシ</t>
    </rPh>
    <phoneticPr fontId="6"/>
  </si>
  <si>
    <t>ディノス冬　スモーキー系２色組㉓</t>
    <rPh sb="4" eb="5">
      <t>フユ</t>
    </rPh>
    <rPh sb="11" eb="12">
      <t>ケイ</t>
    </rPh>
    <rPh sb="13" eb="15">
      <t>ショクグミ</t>
    </rPh>
    <phoneticPr fontId="6"/>
  </si>
  <si>
    <t>ディノス冬　スモーキー系２色組㉔</t>
    <rPh sb="4" eb="5">
      <t>フユ</t>
    </rPh>
    <rPh sb="11" eb="12">
      <t>ケイ</t>
    </rPh>
    <rPh sb="13" eb="15">
      <t>ショクグミ</t>
    </rPh>
    <phoneticPr fontId="6"/>
  </si>
  <si>
    <t>JOD146</t>
    <phoneticPr fontId="6"/>
  </si>
  <si>
    <t>追加</t>
    <rPh sb="0" eb="2">
      <t>ツイカ</t>
    </rPh>
    <phoneticPr fontId="6"/>
  </si>
  <si>
    <t>ディノス冬　スモーキー系２色組㉕</t>
    <rPh sb="4" eb="5">
      <t>フユ</t>
    </rPh>
    <rPh sb="11" eb="12">
      <t>ケイ</t>
    </rPh>
    <rPh sb="13" eb="15">
      <t>ショクグミ</t>
    </rPh>
    <phoneticPr fontId="6"/>
  </si>
  <si>
    <t>JOD147</t>
    <phoneticPr fontId="6"/>
  </si>
  <si>
    <t>JOD148</t>
    <phoneticPr fontId="6"/>
  </si>
  <si>
    <t>JOD149</t>
  </si>
  <si>
    <t>ディノス冬　スモーキー系２色組㉖</t>
    <rPh sb="4" eb="5">
      <t>フユ</t>
    </rPh>
    <rPh sb="11" eb="12">
      <t>ケイ</t>
    </rPh>
    <rPh sb="13" eb="15">
      <t>ショクグミ</t>
    </rPh>
    <phoneticPr fontId="6"/>
  </si>
  <si>
    <t>追加</t>
    <rPh sb="0" eb="2">
      <t>ツイカ</t>
    </rPh>
    <phoneticPr fontId="6"/>
  </si>
  <si>
    <t>JOD150</t>
    <phoneticPr fontId="6"/>
  </si>
  <si>
    <t>ネット不良交換</t>
    <rPh sb="3" eb="7">
      <t>フリョウコウカン</t>
    </rPh>
    <phoneticPr fontId="6"/>
  </si>
  <si>
    <t>パルくらす3月3回（2色組・不透明袋）①</t>
    <rPh sb="6" eb="7">
      <t>ガツ</t>
    </rPh>
    <rPh sb="8" eb="9">
      <t>カイ</t>
    </rPh>
    <phoneticPr fontId="6"/>
  </si>
  <si>
    <t>パルくらす3月3回（2色組・不透明袋）②</t>
    <rPh sb="6" eb="7">
      <t>ガツ</t>
    </rPh>
    <rPh sb="8" eb="9">
      <t>カイ</t>
    </rPh>
    <phoneticPr fontId="6"/>
  </si>
  <si>
    <t>パルくらす3月3回（2色組・不透明袋）③</t>
    <rPh sb="6" eb="7">
      <t>ガツ</t>
    </rPh>
    <rPh sb="8" eb="9">
      <t>カイ</t>
    </rPh>
    <phoneticPr fontId="6"/>
  </si>
  <si>
    <t>JOD150</t>
    <phoneticPr fontId="6"/>
  </si>
  <si>
    <t>パルくらす3月3回（2色組・不透明袋）④</t>
    <rPh sb="6" eb="7">
      <t>ガツ</t>
    </rPh>
    <rPh sb="8" eb="9">
      <t>カイ</t>
    </rPh>
    <phoneticPr fontId="6"/>
  </si>
  <si>
    <t>JOD151</t>
    <phoneticPr fontId="6"/>
  </si>
  <si>
    <t>パルくらす3月3回（2色組・不透明袋）⑤</t>
    <rPh sb="6" eb="7">
      <t>ガツ</t>
    </rPh>
    <rPh sb="8" eb="9">
      <t>カイ</t>
    </rPh>
    <phoneticPr fontId="6"/>
  </si>
  <si>
    <t>西夢</t>
    <rPh sb="0" eb="2">
      <t>ニシユメ</t>
    </rPh>
    <phoneticPr fontId="6"/>
  </si>
  <si>
    <t>JOD152</t>
    <phoneticPr fontId="6"/>
  </si>
  <si>
    <t>全国通販ダイジェストW077（佐橋さん）⑧</t>
    <rPh sb="0" eb="4">
      <t>ゼンコクツウハン</t>
    </rPh>
    <rPh sb="15" eb="17">
      <t>サハシ</t>
    </rPh>
    <phoneticPr fontId="6"/>
  </si>
  <si>
    <t>JOD153</t>
    <phoneticPr fontId="6"/>
  </si>
  <si>
    <t>JOD154</t>
    <phoneticPr fontId="6"/>
  </si>
  <si>
    <t>JOD155</t>
  </si>
  <si>
    <t>西夢</t>
    <rPh sb="0" eb="2">
      <t>ニシユメ</t>
    </rPh>
    <phoneticPr fontId="6"/>
  </si>
  <si>
    <t>コープしが①</t>
    <phoneticPr fontId="6"/>
  </si>
  <si>
    <t>コープしが②</t>
    <phoneticPr fontId="6"/>
  </si>
  <si>
    <t>JOD156</t>
    <phoneticPr fontId="6"/>
  </si>
  <si>
    <t>全国通販ダイジェストW077（佐橋さん）⑨</t>
    <rPh sb="0" eb="4">
      <t>ゼンコクツウハン</t>
    </rPh>
    <rPh sb="15" eb="17">
      <t>サハシ</t>
    </rPh>
    <phoneticPr fontId="6"/>
  </si>
  <si>
    <t>ニッセン24年秋号楽市</t>
    <rPh sb="6" eb="7">
      <t>ネン</t>
    </rPh>
    <rPh sb="7" eb="9">
      <t>アキゴウ</t>
    </rPh>
    <rPh sb="9" eb="11">
      <t>ラクイチ</t>
    </rPh>
    <phoneticPr fontId="6"/>
  </si>
  <si>
    <t>JOD157</t>
    <phoneticPr fontId="6"/>
  </si>
  <si>
    <t>コープ九州4月2週　健康TT（不透明袋）差分予測</t>
    <rPh sb="3" eb="5">
      <t>キュウシュウ</t>
    </rPh>
    <rPh sb="6" eb="7">
      <t>ガツ</t>
    </rPh>
    <rPh sb="8" eb="9">
      <t>シュウ</t>
    </rPh>
    <rPh sb="10" eb="12">
      <t>ケンコウ</t>
    </rPh>
    <rPh sb="15" eb="19">
      <t>フトウメイフクロ</t>
    </rPh>
    <rPh sb="20" eb="24">
      <t>サブンヨソク</t>
    </rPh>
    <phoneticPr fontId="6"/>
  </si>
  <si>
    <t>かりん</t>
    <phoneticPr fontId="6"/>
  </si>
  <si>
    <t>JOD158</t>
    <phoneticPr fontId="6"/>
  </si>
  <si>
    <r>
      <t>コープ九州4月2週　健康TT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①</t>
    </r>
    <rPh sb="3" eb="5">
      <t>キュウシュウ</t>
    </rPh>
    <rPh sb="6" eb="7">
      <t>ガツ</t>
    </rPh>
    <rPh sb="8" eb="9">
      <t>シュウ</t>
    </rPh>
    <rPh sb="10" eb="12">
      <t>ケンコウ</t>
    </rPh>
    <rPh sb="15" eb="19">
      <t>フトウメイフクロ</t>
    </rPh>
    <phoneticPr fontId="6"/>
  </si>
  <si>
    <t>JOD159</t>
    <phoneticPr fontId="6"/>
  </si>
  <si>
    <t>かりん</t>
    <phoneticPr fontId="6"/>
  </si>
  <si>
    <r>
      <t>コープ九州4月2週　健康TT</t>
    </r>
    <r>
      <rPr>
        <b/>
        <sz val="11"/>
        <rFont val="ＭＳ Ｐゴシック"/>
        <family val="3"/>
        <charset val="128"/>
      </rPr>
      <t>（不透明袋）②</t>
    </r>
    <rPh sb="3" eb="5">
      <t>キュウシュウ</t>
    </rPh>
    <rPh sb="6" eb="7">
      <t>ガツ</t>
    </rPh>
    <rPh sb="8" eb="9">
      <t>シュウ</t>
    </rPh>
    <rPh sb="10" eb="12">
      <t>ケンコウ</t>
    </rPh>
    <rPh sb="15" eb="19">
      <t>フトウメイフクロ</t>
    </rPh>
    <phoneticPr fontId="6"/>
  </si>
  <si>
    <t>全国通販ダイジェストW077（佐橋さん）⑩</t>
    <rPh sb="0" eb="4">
      <t>ゼンコクツウハン</t>
    </rPh>
    <rPh sb="15" eb="17">
      <t>サハシ</t>
    </rPh>
    <phoneticPr fontId="6"/>
  </si>
  <si>
    <t>5/29～6/12（1～5回）</t>
    <rPh sb="13" eb="14">
      <t>カイ</t>
    </rPh>
    <phoneticPr fontId="6"/>
  </si>
  <si>
    <t>JOD160</t>
    <phoneticPr fontId="6"/>
  </si>
  <si>
    <r>
      <t>コープ九州4月2週　健康TT</t>
    </r>
    <r>
      <rPr>
        <b/>
        <sz val="11"/>
        <rFont val="ＭＳ Ｐゴシック"/>
        <family val="3"/>
        <charset val="128"/>
      </rPr>
      <t>（不透明袋）③</t>
    </r>
    <rPh sb="3" eb="5">
      <t>キュウシュウ</t>
    </rPh>
    <rPh sb="6" eb="7">
      <t>ガツ</t>
    </rPh>
    <rPh sb="8" eb="9">
      <t>シュウ</t>
    </rPh>
    <rPh sb="10" eb="12">
      <t>ケンコウ</t>
    </rPh>
    <rPh sb="15" eb="19">
      <t>フトウメイフクロ</t>
    </rPh>
    <phoneticPr fontId="6"/>
  </si>
  <si>
    <t>IEI使ってヨカッタ5月号/4色組</t>
    <rPh sb="3" eb="4">
      <t>ツカ</t>
    </rPh>
    <rPh sb="11" eb="13">
      <t>ガツゴウ</t>
    </rPh>
    <rPh sb="15" eb="16">
      <t>ショク</t>
    </rPh>
    <rPh sb="16" eb="17">
      <t>クミ</t>
    </rPh>
    <phoneticPr fontId="2"/>
  </si>
  <si>
    <t>5/13～</t>
    <phoneticPr fontId="2"/>
  </si>
  <si>
    <t>全国通販ダイジェストW077（佐橋さん）⑪</t>
    <rPh sb="0" eb="4">
      <t>ゼンコクツウハン</t>
    </rPh>
    <rPh sb="15" eb="17">
      <t>サハシ</t>
    </rPh>
    <phoneticPr fontId="6"/>
  </si>
  <si>
    <r>
      <t>コープ九州4月2週　健康TT</t>
    </r>
    <r>
      <rPr>
        <b/>
        <sz val="11"/>
        <rFont val="ＭＳ Ｐゴシック"/>
        <family val="3"/>
        <charset val="128"/>
      </rPr>
      <t>（不透明袋）④</t>
    </r>
    <rPh sb="3" eb="5">
      <t>キュウシュウ</t>
    </rPh>
    <rPh sb="6" eb="7">
      <t>ガツ</t>
    </rPh>
    <rPh sb="8" eb="9">
      <t>シュウ</t>
    </rPh>
    <rPh sb="10" eb="12">
      <t>ケンコウ</t>
    </rPh>
    <rPh sb="15" eb="19">
      <t>フトウメイフクロ</t>
    </rPh>
    <phoneticPr fontId="6"/>
  </si>
  <si>
    <t>6/10、17</t>
    <phoneticPr fontId="6"/>
  </si>
  <si>
    <t>西夢</t>
    <rPh sb="0" eb="2">
      <t>ニシユメ</t>
    </rPh>
    <phoneticPr fontId="6"/>
  </si>
  <si>
    <r>
      <t>コープ九州4月2週　健康TT</t>
    </r>
    <r>
      <rPr>
        <b/>
        <sz val="11"/>
        <rFont val="ＭＳ Ｐゴシック"/>
        <family val="3"/>
        <charset val="128"/>
      </rPr>
      <t>（不透明袋）⑤</t>
    </r>
    <rPh sb="3" eb="5">
      <t>キュウシュウ</t>
    </rPh>
    <rPh sb="6" eb="7">
      <t>ガツ</t>
    </rPh>
    <rPh sb="8" eb="9">
      <t>シュウ</t>
    </rPh>
    <rPh sb="10" eb="12">
      <t>ケンコウ</t>
    </rPh>
    <rPh sb="15" eb="19">
      <t>フトウメイフクロ</t>
    </rPh>
    <phoneticPr fontId="6"/>
  </si>
  <si>
    <t>全国通販sample返却</t>
    <rPh sb="0" eb="10">
      <t>ゼンコクツウハンサンプル</t>
    </rPh>
    <rPh sb="10" eb="12">
      <t>ヘンキャク</t>
    </rPh>
    <phoneticPr fontId="6"/>
  </si>
  <si>
    <r>
      <t>京都生協4月2回</t>
    </r>
    <r>
      <rPr>
        <b/>
        <sz val="11"/>
        <rFont val="ＭＳ Ｐゴシック"/>
        <family val="3"/>
        <charset val="128"/>
      </rPr>
      <t>（不透明袋）</t>
    </r>
    <rPh sb="0" eb="4">
      <t>キョウトセイキョウ</t>
    </rPh>
    <rPh sb="5" eb="6">
      <t>ガツ</t>
    </rPh>
    <rPh sb="7" eb="8">
      <t>カイ</t>
    </rPh>
    <rPh sb="9" eb="13">
      <t>フトウメイフクロ</t>
    </rPh>
    <phoneticPr fontId="6"/>
  </si>
  <si>
    <r>
      <t>京都生協4月2回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①</t>
    </r>
    <rPh sb="0" eb="4">
      <t>キョウトセイキョウ</t>
    </rPh>
    <rPh sb="5" eb="6">
      <t>ガツ</t>
    </rPh>
    <rPh sb="7" eb="8">
      <t>カイ</t>
    </rPh>
    <rPh sb="9" eb="13">
      <t>フトウメイフクロ</t>
    </rPh>
    <phoneticPr fontId="6"/>
  </si>
  <si>
    <t>くらし返品予定</t>
    <rPh sb="3" eb="5">
      <t>ヘンピン</t>
    </rPh>
    <rPh sb="5" eb="7">
      <t>ヨテイ</t>
    </rPh>
    <phoneticPr fontId="2"/>
  </si>
  <si>
    <t>パルくらす7月4回（2色組・不透明袋）</t>
    <rPh sb="6" eb="7">
      <t>ガツ</t>
    </rPh>
    <rPh sb="8" eb="9">
      <t>カイ</t>
    </rPh>
    <phoneticPr fontId="6"/>
  </si>
  <si>
    <t>パルくらす7月4回差分予測</t>
    <rPh sb="6" eb="7">
      <t>ガツ</t>
    </rPh>
    <rPh sb="8" eb="9">
      <t>カイ</t>
    </rPh>
    <rPh sb="9" eb="13">
      <t>サブンヨソク</t>
    </rPh>
    <phoneticPr fontId="6"/>
  </si>
  <si>
    <t>点7/4、アバウト・初回7/16、最終発注7/22</t>
    <rPh sb="0" eb="1">
      <t>テン</t>
    </rPh>
    <rPh sb="10" eb="12">
      <t>ショカイ</t>
    </rPh>
    <rPh sb="17" eb="19">
      <t>サイシュウ</t>
    </rPh>
    <rPh sb="19" eb="21">
      <t>ハッチュウ</t>
    </rPh>
    <phoneticPr fontId="6"/>
  </si>
  <si>
    <r>
      <t>コープ九州4月2週　健康TT</t>
    </r>
    <r>
      <rPr>
        <b/>
        <sz val="11"/>
        <rFont val="ＭＳ Ｐゴシック"/>
        <family val="3"/>
        <charset val="128"/>
      </rPr>
      <t>（不透明袋）</t>
    </r>
    <rPh sb="3" eb="5">
      <t>キュウシュウ</t>
    </rPh>
    <rPh sb="6" eb="7">
      <t>ガツ</t>
    </rPh>
    <rPh sb="8" eb="9">
      <t>シュウ</t>
    </rPh>
    <rPh sb="10" eb="12">
      <t>ケンコウ</t>
    </rPh>
    <rPh sb="15" eb="19">
      <t>フトウメイフクロ</t>
    </rPh>
    <phoneticPr fontId="6"/>
  </si>
  <si>
    <t>電話注文</t>
    <rPh sb="0" eb="4">
      <t>デンワチュウモン</t>
    </rPh>
    <phoneticPr fontId="6"/>
  </si>
  <si>
    <t>ディノス冬　スモーキー系２色組㉗</t>
    <rPh sb="4" eb="5">
      <t>フユ</t>
    </rPh>
    <rPh sb="11" eb="12">
      <t>ケイ</t>
    </rPh>
    <rPh sb="13" eb="15">
      <t>ショクグミ</t>
    </rPh>
    <phoneticPr fontId="6"/>
  </si>
  <si>
    <t>西夢</t>
    <rPh sb="0" eb="2">
      <t>ニシユメ</t>
    </rPh>
    <phoneticPr fontId="6"/>
  </si>
  <si>
    <t>JOD161</t>
    <phoneticPr fontId="6"/>
  </si>
  <si>
    <t>JOD返品</t>
    <rPh sb="3" eb="5">
      <t>ヘンピン</t>
    </rPh>
    <phoneticPr fontId="6"/>
  </si>
  <si>
    <t>全国通販返品</t>
    <rPh sb="0" eb="2">
      <t>ゼンコク</t>
    </rPh>
    <rPh sb="2" eb="4">
      <t>ツウハン</t>
    </rPh>
    <rPh sb="4" eb="6">
      <t>ヘンピン</t>
    </rPh>
    <phoneticPr fontId="6"/>
  </si>
  <si>
    <t>追加</t>
    <rPh sb="0" eb="2">
      <t>ツイカ</t>
    </rPh>
    <phoneticPr fontId="6"/>
  </si>
  <si>
    <t>ニッセン⑫</t>
    <phoneticPr fontId="6"/>
  </si>
  <si>
    <t>ニッセン⑬</t>
    <phoneticPr fontId="6"/>
  </si>
  <si>
    <t>ニッセン⑭</t>
    <phoneticPr fontId="6"/>
  </si>
  <si>
    <t>ニッセン⑮</t>
    <phoneticPr fontId="6"/>
  </si>
  <si>
    <t>ニッセン⑯</t>
    <phoneticPr fontId="6"/>
  </si>
  <si>
    <t>ニッセン⑰</t>
    <phoneticPr fontId="6"/>
  </si>
  <si>
    <t>ニッセン⑱</t>
    <phoneticPr fontId="6"/>
  </si>
  <si>
    <t>ニッセン⑲</t>
    <phoneticPr fontId="6"/>
  </si>
  <si>
    <t>ニッセン⑪</t>
    <phoneticPr fontId="6"/>
  </si>
  <si>
    <t>ニッセン⑩</t>
    <phoneticPr fontId="6"/>
  </si>
  <si>
    <t>IEI使ってヨカッタ5月号/4色組①</t>
    <rPh sb="3" eb="4">
      <t>ツカ</t>
    </rPh>
    <rPh sb="11" eb="13">
      <t>ガツゴウ</t>
    </rPh>
    <rPh sb="15" eb="16">
      <t>ショク</t>
    </rPh>
    <rPh sb="16" eb="17">
      <t>クミ</t>
    </rPh>
    <phoneticPr fontId="2"/>
  </si>
  <si>
    <t>JOD162</t>
    <phoneticPr fontId="6"/>
  </si>
  <si>
    <t>差分予測</t>
    <rPh sb="0" eb="4">
      <t>サブンヨソク</t>
    </rPh>
    <phoneticPr fontId="6"/>
  </si>
  <si>
    <t>追加２ 急ぎ分</t>
    <rPh sb="0" eb="2">
      <t>ツイカ</t>
    </rPh>
    <rPh sb="4" eb="5">
      <t>イソ</t>
    </rPh>
    <rPh sb="6" eb="7">
      <t>ブン</t>
    </rPh>
    <phoneticPr fontId="2"/>
  </si>
  <si>
    <t>全国通販ダイジェストW077（佐橋さん）⑬</t>
    <rPh sb="0" eb="4">
      <t>ゼンコクツウハン</t>
    </rPh>
    <rPh sb="15" eb="17">
      <t>サハシ</t>
    </rPh>
    <phoneticPr fontId="6"/>
  </si>
  <si>
    <r>
      <t>コープしが6月2回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①</t>
    </r>
    <rPh sb="6" eb="7">
      <t>ガツ</t>
    </rPh>
    <rPh sb="8" eb="9">
      <t>カイ</t>
    </rPh>
    <phoneticPr fontId="6"/>
  </si>
  <si>
    <r>
      <t>東北サンネット6月2週（サクラマチ）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①</t>
    </r>
    <rPh sb="0" eb="2">
      <t>トウホク</t>
    </rPh>
    <rPh sb="8" eb="9">
      <t>ガツ</t>
    </rPh>
    <rPh sb="10" eb="11">
      <t>シュウ</t>
    </rPh>
    <phoneticPr fontId="6"/>
  </si>
  <si>
    <t>Amazon</t>
    <phoneticPr fontId="6"/>
  </si>
  <si>
    <r>
      <t>東北サンネット6月2週（サクラマチ）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②</t>
    </r>
    <rPh sb="0" eb="2">
      <t>トウホク</t>
    </rPh>
    <rPh sb="8" eb="9">
      <t>ガツ</t>
    </rPh>
    <rPh sb="10" eb="11">
      <t>シュウ</t>
    </rPh>
    <phoneticPr fontId="6"/>
  </si>
  <si>
    <t>西夢</t>
    <rPh sb="0" eb="2">
      <t>ニシユメ</t>
    </rPh>
    <phoneticPr fontId="6"/>
  </si>
  <si>
    <r>
      <t>東北サンネット6月2週（サクラマチ）</t>
    </r>
    <r>
      <rPr>
        <b/>
        <sz val="11"/>
        <rFont val="ＭＳ Ｐゴシック"/>
        <family val="3"/>
        <charset val="128"/>
      </rPr>
      <t>（不透明袋）③</t>
    </r>
    <rPh sb="0" eb="2">
      <t>トウホク</t>
    </rPh>
    <rPh sb="8" eb="9">
      <t>ガツ</t>
    </rPh>
    <rPh sb="10" eb="11">
      <t>シュウ</t>
    </rPh>
    <phoneticPr fontId="6"/>
  </si>
  <si>
    <t>IEI交換</t>
    <rPh sb="3" eb="5">
      <t>コウカン</t>
    </rPh>
    <phoneticPr fontId="6"/>
  </si>
  <si>
    <r>
      <t>コープ北陸6月3回</t>
    </r>
    <r>
      <rPr>
        <b/>
        <sz val="11"/>
        <rFont val="ＭＳ Ｐゴシック"/>
        <family val="3"/>
        <charset val="128"/>
      </rPr>
      <t>（不透明袋）①</t>
    </r>
    <rPh sb="3" eb="5">
      <t>ホクリク</t>
    </rPh>
    <rPh sb="6" eb="7">
      <t>ガツ</t>
    </rPh>
    <rPh sb="8" eb="9">
      <t>カイ</t>
    </rPh>
    <phoneticPr fontId="6"/>
  </si>
  <si>
    <r>
      <t>しが、京都生協6月2回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②</t>
    </r>
    <rPh sb="3" eb="7">
      <t>キョウトセイキョウ</t>
    </rPh>
    <rPh sb="8" eb="9">
      <t>ガツ</t>
    </rPh>
    <rPh sb="10" eb="11">
      <t>カイ</t>
    </rPh>
    <phoneticPr fontId="6"/>
  </si>
  <si>
    <t>ニッセン⑳</t>
    <phoneticPr fontId="6"/>
  </si>
  <si>
    <r>
      <t>コープしが6月2回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③</t>
    </r>
    <rPh sb="6" eb="7">
      <t>ガツ</t>
    </rPh>
    <rPh sb="8" eb="9">
      <t>カイ</t>
    </rPh>
    <phoneticPr fontId="6"/>
  </si>
  <si>
    <r>
      <t>コープ北陸6月3回</t>
    </r>
    <r>
      <rPr>
        <b/>
        <sz val="11"/>
        <rFont val="ＭＳ Ｐゴシック"/>
        <family val="3"/>
        <charset val="128"/>
      </rPr>
      <t>（不透明袋）</t>
    </r>
    <rPh sb="3" eb="5">
      <t>ホクリク</t>
    </rPh>
    <rPh sb="6" eb="7">
      <t>ガツ</t>
    </rPh>
    <rPh sb="8" eb="9">
      <t>カイ</t>
    </rPh>
    <phoneticPr fontId="6"/>
  </si>
  <si>
    <r>
      <t>京都生協6月2回</t>
    </r>
    <r>
      <rPr>
        <b/>
        <sz val="11"/>
        <rFont val="ＭＳ Ｐゴシック"/>
        <family val="3"/>
        <charset val="128"/>
      </rPr>
      <t>（不透明袋）</t>
    </r>
    <rPh sb="0" eb="4">
      <t>キョウトセイキョウ</t>
    </rPh>
    <rPh sb="5" eb="6">
      <t>ガツ</t>
    </rPh>
    <rPh sb="7" eb="8">
      <t>カイ</t>
    </rPh>
    <phoneticPr fontId="6"/>
  </si>
  <si>
    <r>
      <t>コープしが6月2回</t>
    </r>
    <r>
      <rPr>
        <b/>
        <sz val="11"/>
        <rFont val="ＭＳ Ｐゴシック"/>
        <family val="3"/>
        <charset val="128"/>
      </rPr>
      <t>（不透明袋）</t>
    </r>
    <rPh sb="6" eb="7">
      <t>ガツ</t>
    </rPh>
    <rPh sb="8" eb="9">
      <t>カイ</t>
    </rPh>
    <phoneticPr fontId="6"/>
  </si>
  <si>
    <r>
      <t>東北サンネット6月2週（サクラマチ）</t>
    </r>
    <r>
      <rPr>
        <b/>
        <sz val="11"/>
        <rFont val="ＭＳ Ｐゴシック"/>
        <family val="3"/>
        <charset val="128"/>
      </rPr>
      <t>（不透明袋）</t>
    </r>
    <rPh sb="0" eb="2">
      <t>トウホク</t>
    </rPh>
    <rPh sb="8" eb="9">
      <t>ガツ</t>
    </rPh>
    <rPh sb="10" eb="11">
      <t>シュウ</t>
    </rPh>
    <phoneticPr fontId="6"/>
  </si>
  <si>
    <r>
      <t>コープ北陸6月3回</t>
    </r>
    <r>
      <rPr>
        <b/>
        <sz val="11"/>
        <rFont val="ＭＳ Ｐゴシック"/>
        <family val="3"/>
        <charset val="128"/>
      </rPr>
      <t>（不透明袋）②</t>
    </r>
    <rPh sb="3" eb="5">
      <t>ホクリク</t>
    </rPh>
    <rPh sb="6" eb="7">
      <t>ガツ</t>
    </rPh>
    <rPh sb="8" eb="9">
      <t>カイ</t>
    </rPh>
    <phoneticPr fontId="6"/>
  </si>
  <si>
    <t>8月下旬～</t>
    <rPh sb="1" eb="2">
      <t>ガツ</t>
    </rPh>
    <rPh sb="2" eb="4">
      <t>ゲジュン</t>
    </rPh>
    <phoneticPr fontId="6"/>
  </si>
  <si>
    <t>8/19、26</t>
    <phoneticPr fontId="6"/>
  </si>
  <si>
    <t>Amazon</t>
    <phoneticPr fontId="6"/>
  </si>
  <si>
    <t>村田さん</t>
    <rPh sb="0" eb="2">
      <t>ムラタ</t>
    </rPh>
    <phoneticPr fontId="6"/>
  </si>
  <si>
    <t>かりん</t>
    <phoneticPr fontId="6"/>
  </si>
  <si>
    <t>パルくらす10月1回（2色組・不透明袋）</t>
    <rPh sb="7" eb="8">
      <t>ガツ</t>
    </rPh>
    <rPh sb="9" eb="10">
      <t>カイ</t>
    </rPh>
    <phoneticPr fontId="6"/>
  </si>
  <si>
    <t>点9/12、アバウト・初回9/24、最終発注9/30</t>
    <rPh sb="0" eb="1">
      <t>テン</t>
    </rPh>
    <rPh sb="11" eb="13">
      <t>ショカイ</t>
    </rPh>
    <rPh sb="18" eb="20">
      <t>サイシュウ</t>
    </rPh>
    <rPh sb="20" eb="22">
      <t>ハッチュウ</t>
    </rPh>
    <phoneticPr fontId="6"/>
  </si>
  <si>
    <t>シンエイ直送</t>
    <rPh sb="4" eb="6">
      <t>チョクソウ</t>
    </rPh>
    <phoneticPr fontId="6"/>
  </si>
  <si>
    <t>ニッセン㉑</t>
    <phoneticPr fontId="6"/>
  </si>
  <si>
    <t>かりん</t>
    <phoneticPr fontId="6"/>
  </si>
  <si>
    <t>シンエイ返品</t>
    <rPh sb="4" eb="6">
      <t>ヘンピン</t>
    </rPh>
    <phoneticPr fontId="6"/>
  </si>
  <si>
    <t>パルくらす7月4回（2色組・不透明袋）①</t>
    <rPh sb="6" eb="7">
      <t>ガツ</t>
    </rPh>
    <rPh sb="8" eb="9">
      <t>カイ</t>
    </rPh>
    <phoneticPr fontId="6"/>
  </si>
  <si>
    <t>ネット返品</t>
    <rPh sb="3" eb="5">
      <t>ヘンピン</t>
    </rPh>
    <phoneticPr fontId="6"/>
  </si>
  <si>
    <t>電話注文</t>
    <rPh sb="0" eb="4">
      <t>デンワチュウモン</t>
    </rPh>
    <phoneticPr fontId="6"/>
  </si>
  <si>
    <t>京都生協9月2回（不透明袋）</t>
    <rPh sb="0" eb="4">
      <t>キョウトセイキョウ</t>
    </rPh>
    <rPh sb="5" eb="6">
      <t>ガツ</t>
    </rPh>
    <rPh sb="7" eb="8">
      <t>カイ</t>
    </rPh>
    <rPh sb="9" eb="13">
      <t>フトウメイフクロ</t>
    </rPh>
    <phoneticPr fontId="6"/>
  </si>
  <si>
    <t>シンエイ山添さん</t>
    <rPh sb="4" eb="6">
      <t>ヤマゾエ</t>
    </rPh>
    <phoneticPr fontId="6"/>
  </si>
  <si>
    <r>
      <t>ならコープ7月2回</t>
    </r>
    <r>
      <rPr>
        <b/>
        <sz val="11"/>
        <rFont val="ＭＳ Ｐゴシック"/>
        <family val="3"/>
        <charset val="128"/>
      </rPr>
      <t>2色組</t>
    </r>
    <r>
      <rPr>
        <sz val="11"/>
        <rFont val="ＭＳ Ｐゴシック"/>
        <family val="3"/>
        <charset val="128"/>
      </rPr>
      <t>（不透明袋）</t>
    </r>
    <rPh sb="6" eb="7">
      <t>ガツ</t>
    </rPh>
    <rPh sb="8" eb="9">
      <t>カイ</t>
    </rPh>
    <rPh sb="10" eb="12">
      <t>ショククミ</t>
    </rPh>
    <rPh sb="13" eb="17">
      <t>フトウメイフクロ</t>
    </rPh>
    <phoneticPr fontId="6"/>
  </si>
  <si>
    <r>
      <t>ならコープ7月2回</t>
    </r>
    <r>
      <rPr>
        <b/>
        <sz val="11"/>
        <rFont val="ＭＳ Ｐゴシック"/>
        <family val="3"/>
        <charset val="128"/>
      </rPr>
      <t>2色組</t>
    </r>
    <r>
      <rPr>
        <sz val="11"/>
        <rFont val="ＭＳ Ｐゴシック"/>
        <family val="3"/>
        <charset val="128"/>
      </rPr>
      <t>（不透明袋）①</t>
    </r>
    <rPh sb="6" eb="7">
      <t>ガツ</t>
    </rPh>
    <rPh sb="8" eb="9">
      <t>カイ</t>
    </rPh>
    <rPh sb="10" eb="12">
      <t>ショククミ</t>
    </rPh>
    <rPh sb="13" eb="17">
      <t>フトウメイフクロ</t>
    </rPh>
    <phoneticPr fontId="6"/>
  </si>
  <si>
    <t>ニッセン㉒</t>
    <phoneticPr fontId="6"/>
  </si>
  <si>
    <t>パルくらす7月4回（2色組・不透明袋）②</t>
    <rPh sb="6" eb="7">
      <t>ガツ</t>
    </rPh>
    <rPh sb="8" eb="9">
      <t>カイ</t>
    </rPh>
    <phoneticPr fontId="6"/>
  </si>
  <si>
    <t>パルくらす7月4回（2色組・不透明袋）③</t>
    <rPh sb="6" eb="7">
      <t>ガツ</t>
    </rPh>
    <rPh sb="8" eb="9">
      <t>カイ</t>
    </rPh>
    <phoneticPr fontId="6"/>
  </si>
  <si>
    <t>パルくらす7月4回（2色組・不透明袋）④</t>
    <rPh sb="6" eb="7">
      <t>ガツ</t>
    </rPh>
    <rPh sb="8" eb="9">
      <t>カイ</t>
    </rPh>
    <phoneticPr fontId="6"/>
  </si>
  <si>
    <t>パルくらす7月4回（2色組・不透明袋）⑤</t>
    <rPh sb="6" eb="7">
      <t>ガツ</t>
    </rPh>
    <rPh sb="8" eb="9">
      <t>カイ</t>
    </rPh>
    <phoneticPr fontId="6"/>
  </si>
  <si>
    <t>IEI使ってヨカッタ5月号/4色組②</t>
    <rPh sb="3" eb="4">
      <t>ツカ</t>
    </rPh>
    <rPh sb="11" eb="13">
      <t>ガツゴウ</t>
    </rPh>
    <rPh sb="15" eb="16">
      <t>ショク</t>
    </rPh>
    <rPh sb="16" eb="17">
      <t>クミ</t>
    </rPh>
    <phoneticPr fontId="2"/>
  </si>
  <si>
    <t>KPORT</t>
    <phoneticPr fontId="6"/>
  </si>
  <si>
    <t>夢販移動</t>
    <rPh sb="0" eb="4">
      <t>ユメハンイドウ</t>
    </rPh>
    <phoneticPr fontId="2"/>
  </si>
  <si>
    <t>2024/7/19数</t>
    <rPh sb="9" eb="10">
      <t>スウ</t>
    </rPh>
    <phoneticPr fontId="6"/>
  </si>
  <si>
    <t>7/24工場出し</t>
    <rPh sb="4" eb="7">
      <t>コウジョウダ</t>
    </rPh>
    <phoneticPr fontId="6"/>
  </si>
  <si>
    <t>ニッセン㉓</t>
    <phoneticPr fontId="6"/>
  </si>
  <si>
    <t>2024/7/27数</t>
    <rPh sb="9" eb="10">
      <t>スウ</t>
    </rPh>
    <phoneticPr fontId="6"/>
  </si>
  <si>
    <t>日生協キャロット11月39号（不透明袋）</t>
    <rPh sb="0" eb="3">
      <t>ニッセイキョウ</t>
    </rPh>
    <rPh sb="10" eb="11">
      <t>ガツ</t>
    </rPh>
    <rPh sb="13" eb="14">
      <t>ゴウ</t>
    </rPh>
    <phoneticPr fontId="6"/>
  </si>
  <si>
    <t>点11/15、前取11/22、アバウト12/3、最終12/11</t>
    <rPh sb="0" eb="1">
      <t>テン</t>
    </rPh>
    <rPh sb="7" eb="9">
      <t>マエトリ</t>
    </rPh>
    <rPh sb="24" eb="26">
      <t>サイシュウ</t>
    </rPh>
    <phoneticPr fontId="6"/>
  </si>
  <si>
    <t>日生協キャロット11月39号差分予測</t>
    <rPh sb="0" eb="3">
      <t>ニッセイキョウ</t>
    </rPh>
    <rPh sb="10" eb="11">
      <t>ガツ</t>
    </rPh>
    <rPh sb="13" eb="14">
      <t>ゴウ</t>
    </rPh>
    <rPh sb="14" eb="18">
      <t>サブンヨソク</t>
    </rPh>
    <phoneticPr fontId="6"/>
  </si>
  <si>
    <r>
      <t>コープ北陸8月1回</t>
    </r>
    <r>
      <rPr>
        <b/>
        <sz val="11"/>
        <rFont val="ＭＳ Ｐゴシック"/>
        <family val="3"/>
        <charset val="128"/>
      </rPr>
      <t>単品</t>
    </r>
    <r>
      <rPr>
        <sz val="11"/>
        <rFont val="ＭＳ Ｐゴシック"/>
        <family val="3"/>
        <charset val="128"/>
      </rPr>
      <t>（不透明袋）①</t>
    </r>
    <rPh sb="3" eb="5">
      <t>ホクリク</t>
    </rPh>
    <rPh sb="6" eb="7">
      <t>ガツ</t>
    </rPh>
    <rPh sb="8" eb="9">
      <t>カイ</t>
    </rPh>
    <rPh sb="9" eb="11">
      <t>タンピン</t>
    </rPh>
    <phoneticPr fontId="6"/>
  </si>
  <si>
    <t>西夢</t>
    <rPh sb="0" eb="2">
      <t>ニシユメ</t>
    </rPh>
    <phoneticPr fontId="6"/>
  </si>
  <si>
    <r>
      <t>コープ北陸8月1回</t>
    </r>
    <r>
      <rPr>
        <b/>
        <sz val="11"/>
        <rFont val="ＭＳ Ｐゴシック"/>
        <family val="3"/>
        <charset val="128"/>
      </rPr>
      <t>単品</t>
    </r>
    <r>
      <rPr>
        <sz val="11"/>
        <rFont val="ＭＳ Ｐゴシック"/>
        <family val="3"/>
        <charset val="128"/>
      </rPr>
      <t>（不透明袋）②</t>
    </r>
    <rPh sb="3" eb="5">
      <t>ホクリク</t>
    </rPh>
    <rPh sb="6" eb="7">
      <t>ガツ</t>
    </rPh>
    <rPh sb="8" eb="9">
      <t>カイ</t>
    </rPh>
    <rPh sb="9" eb="11">
      <t>タンピン</t>
    </rPh>
    <phoneticPr fontId="6"/>
  </si>
  <si>
    <r>
      <t>コープ北陸8月1回</t>
    </r>
    <r>
      <rPr>
        <b/>
        <sz val="11"/>
        <rFont val="ＭＳ Ｐゴシック"/>
        <family val="3"/>
        <charset val="128"/>
      </rPr>
      <t>単品</t>
    </r>
    <r>
      <rPr>
        <sz val="11"/>
        <rFont val="ＭＳ Ｐゴシック"/>
        <family val="3"/>
        <charset val="128"/>
      </rPr>
      <t>（不透明袋）③</t>
    </r>
    <rPh sb="3" eb="5">
      <t>ホクリク</t>
    </rPh>
    <rPh sb="6" eb="7">
      <t>ガツ</t>
    </rPh>
    <rPh sb="8" eb="9">
      <t>カイ</t>
    </rPh>
    <rPh sb="9" eb="11">
      <t>タンピン</t>
    </rPh>
    <phoneticPr fontId="6"/>
  </si>
  <si>
    <r>
      <t>コープしが8月3回</t>
    </r>
    <r>
      <rPr>
        <b/>
        <sz val="11"/>
        <rFont val="ＭＳ Ｐゴシック"/>
        <family val="3"/>
        <charset val="128"/>
      </rPr>
      <t>2色組</t>
    </r>
    <r>
      <rPr>
        <sz val="11"/>
        <rFont val="ＭＳ Ｐゴシック"/>
        <family val="3"/>
        <charset val="128"/>
      </rPr>
      <t>（不透明袋）①</t>
    </r>
    <rPh sb="6" eb="7">
      <t>ガツ</t>
    </rPh>
    <rPh sb="8" eb="9">
      <t>カイ</t>
    </rPh>
    <rPh sb="10" eb="12">
      <t>ショクグミ</t>
    </rPh>
    <phoneticPr fontId="6"/>
  </si>
  <si>
    <t>10/2～16</t>
    <phoneticPr fontId="6"/>
  </si>
  <si>
    <t>西夢取り置き</t>
    <rPh sb="0" eb="3">
      <t>ニシユメト</t>
    </rPh>
    <rPh sb="4" eb="5">
      <t>オ</t>
    </rPh>
    <phoneticPr fontId="6"/>
  </si>
  <si>
    <t>JODルリネ7004/2色組</t>
    <rPh sb="12" eb="14">
      <t>ショククミ</t>
    </rPh>
    <phoneticPr fontId="6"/>
  </si>
  <si>
    <t>10/1～</t>
    <phoneticPr fontId="6"/>
  </si>
  <si>
    <t>パルくらす11月4回差分予測</t>
    <rPh sb="7" eb="8">
      <t>ガツ</t>
    </rPh>
    <rPh sb="9" eb="10">
      <t>カイ</t>
    </rPh>
    <rPh sb="10" eb="14">
      <t>サブンヨソク</t>
    </rPh>
    <phoneticPr fontId="6"/>
  </si>
  <si>
    <t>パルくらす11月4回（2色組・不透明袋）</t>
    <rPh sb="7" eb="8">
      <t>ガツ</t>
    </rPh>
    <rPh sb="9" eb="10">
      <t>カイ</t>
    </rPh>
    <phoneticPr fontId="6"/>
  </si>
  <si>
    <t>点11/7、アバウト・初回11/19、最終発注11/25</t>
    <rPh sb="0" eb="1">
      <t>テン</t>
    </rPh>
    <rPh sb="11" eb="13">
      <t>ショカイ</t>
    </rPh>
    <rPh sb="19" eb="21">
      <t>サイシュウ</t>
    </rPh>
    <rPh sb="21" eb="23">
      <t>ハッチュウ</t>
    </rPh>
    <phoneticPr fontId="6"/>
  </si>
  <si>
    <r>
      <t>コープ北陸8月1回</t>
    </r>
    <r>
      <rPr>
        <b/>
        <sz val="11"/>
        <rFont val="ＭＳ Ｐゴシック"/>
        <family val="3"/>
        <charset val="128"/>
      </rPr>
      <t>単品</t>
    </r>
    <r>
      <rPr>
        <sz val="11"/>
        <rFont val="ＭＳ Ｐゴシック"/>
        <family val="3"/>
        <charset val="128"/>
      </rPr>
      <t>（不透明袋）</t>
    </r>
    <rPh sb="3" eb="5">
      <t>ホクリク</t>
    </rPh>
    <rPh sb="6" eb="7">
      <t>ガツ</t>
    </rPh>
    <rPh sb="8" eb="9">
      <t>カイ</t>
    </rPh>
    <rPh sb="9" eb="11">
      <t>タンピン</t>
    </rPh>
    <phoneticPr fontId="6"/>
  </si>
  <si>
    <t>楽天倉庫より返却</t>
    <rPh sb="0" eb="2">
      <t>ラクテン</t>
    </rPh>
    <rPh sb="2" eb="4">
      <t>ソウコ</t>
    </rPh>
    <rPh sb="6" eb="8">
      <t>ヘンキャク</t>
    </rPh>
    <phoneticPr fontId="2"/>
  </si>
  <si>
    <r>
      <t>コープしが8月3回</t>
    </r>
    <r>
      <rPr>
        <b/>
        <sz val="11"/>
        <rFont val="ＭＳ Ｐゴシック"/>
        <family val="3"/>
        <charset val="128"/>
      </rPr>
      <t>2色組</t>
    </r>
    <r>
      <rPr>
        <sz val="11"/>
        <rFont val="ＭＳ Ｐゴシック"/>
        <family val="3"/>
        <charset val="128"/>
      </rPr>
      <t>（不透明袋）②</t>
    </r>
    <rPh sb="6" eb="7">
      <t>ガツ</t>
    </rPh>
    <rPh sb="8" eb="9">
      <t>カイ</t>
    </rPh>
    <rPh sb="10" eb="12">
      <t>ショクグミ</t>
    </rPh>
    <phoneticPr fontId="6"/>
  </si>
  <si>
    <r>
      <t>コープしが8月3回</t>
    </r>
    <r>
      <rPr>
        <b/>
        <sz val="11"/>
        <rFont val="ＭＳ Ｐゴシック"/>
        <family val="3"/>
        <charset val="128"/>
      </rPr>
      <t>2色組</t>
    </r>
    <r>
      <rPr>
        <sz val="11"/>
        <rFont val="ＭＳ Ｐゴシック"/>
        <family val="3"/>
        <charset val="128"/>
      </rPr>
      <t>（不透明袋）</t>
    </r>
    <rPh sb="6" eb="7">
      <t>ガツ</t>
    </rPh>
    <rPh sb="8" eb="9">
      <t>カイ</t>
    </rPh>
    <rPh sb="10" eb="12">
      <t>ショクグミ</t>
    </rPh>
    <phoneticPr fontId="6"/>
  </si>
  <si>
    <t>コープしが11月1回（不透明袋）</t>
    <rPh sb="7" eb="8">
      <t>ガツ</t>
    </rPh>
    <rPh sb="9" eb="10">
      <t>カイ</t>
    </rPh>
    <phoneticPr fontId="6"/>
  </si>
  <si>
    <t>京都生協9月2回（不透明袋）①</t>
    <rPh sb="0" eb="4">
      <t>キョウトセイキョウ</t>
    </rPh>
    <rPh sb="5" eb="6">
      <t>ガツ</t>
    </rPh>
    <rPh sb="7" eb="8">
      <t>カイ</t>
    </rPh>
    <rPh sb="9" eb="13">
      <t>フトウメイフクロ</t>
    </rPh>
    <phoneticPr fontId="6"/>
  </si>
  <si>
    <t>11/13～27</t>
    <phoneticPr fontId="6"/>
  </si>
  <si>
    <t>ニッセン24年秋号楽市①</t>
    <rPh sb="6" eb="7">
      <t>ネン</t>
    </rPh>
    <rPh sb="7" eb="9">
      <t>アキゴウ</t>
    </rPh>
    <rPh sb="9" eb="11">
      <t>ラクイチ</t>
    </rPh>
    <phoneticPr fontId="6"/>
  </si>
  <si>
    <t>パルくらす10月1回（2色組・不透明袋）①</t>
    <rPh sb="7" eb="8">
      <t>ガツ</t>
    </rPh>
    <rPh sb="9" eb="10">
      <t>カイ</t>
    </rPh>
    <phoneticPr fontId="6"/>
  </si>
  <si>
    <t>西夢</t>
    <rPh sb="0" eb="2">
      <t>ニシユメ</t>
    </rPh>
    <phoneticPr fontId="6"/>
  </si>
  <si>
    <t>パルくらす10月1回（2色組・不透明袋）②</t>
    <rPh sb="7" eb="8">
      <t>ガツ</t>
    </rPh>
    <rPh sb="9" eb="10">
      <t>カイ</t>
    </rPh>
    <phoneticPr fontId="6"/>
  </si>
  <si>
    <t>パルくらす10月1回（2色組・不透明袋）③</t>
    <rPh sb="7" eb="8">
      <t>ガツ</t>
    </rPh>
    <rPh sb="9" eb="10">
      <t>カイ</t>
    </rPh>
    <phoneticPr fontId="6"/>
  </si>
  <si>
    <t>パルくらす1月1回（2色組・不透明袋）</t>
    <rPh sb="6" eb="7">
      <t>ガツ</t>
    </rPh>
    <rPh sb="8" eb="9">
      <t>カイ</t>
    </rPh>
    <phoneticPr fontId="6"/>
  </si>
  <si>
    <t>パルくらす1月1回差分予測</t>
    <rPh sb="6" eb="7">
      <t>ガツ</t>
    </rPh>
    <rPh sb="8" eb="9">
      <t>カイ</t>
    </rPh>
    <rPh sb="9" eb="13">
      <t>サブンヨソク</t>
    </rPh>
    <phoneticPr fontId="6"/>
  </si>
  <si>
    <t>点12/12、アバウト・初回12/24、最終12/30</t>
    <rPh sb="0" eb="1">
      <t>テン</t>
    </rPh>
    <rPh sb="12" eb="14">
      <t>ショカイ</t>
    </rPh>
    <rPh sb="20" eb="22">
      <t>サイシュウ</t>
    </rPh>
    <phoneticPr fontId="6"/>
  </si>
  <si>
    <t>2024/9/3数伝</t>
    <rPh sb="8" eb="9">
      <t>スウ</t>
    </rPh>
    <rPh sb="9" eb="10">
      <t>デン</t>
    </rPh>
    <phoneticPr fontId="6"/>
  </si>
  <si>
    <t>日生協キャロット2025年1月48号（不透明袋）</t>
    <rPh sb="0" eb="3">
      <t>ニッセイキョウ</t>
    </rPh>
    <rPh sb="12" eb="13">
      <t>ネン</t>
    </rPh>
    <rPh sb="14" eb="15">
      <t>ガツ</t>
    </rPh>
    <rPh sb="17" eb="18">
      <t>ゴウ</t>
    </rPh>
    <phoneticPr fontId="6"/>
  </si>
  <si>
    <t>日生協キャロット2025年1月48号差分予測</t>
    <rPh sb="0" eb="3">
      <t>ニッセイキョウ</t>
    </rPh>
    <rPh sb="12" eb="13">
      <t>ネン</t>
    </rPh>
    <rPh sb="14" eb="15">
      <t>ガツ</t>
    </rPh>
    <rPh sb="17" eb="18">
      <t>ゴウ</t>
    </rPh>
    <rPh sb="18" eb="22">
      <t>サブンヨソク</t>
    </rPh>
    <phoneticPr fontId="6"/>
  </si>
  <si>
    <t>点1/17、前取1/24、アバウト1/28・2/4、最終2/12</t>
    <rPh sb="0" eb="1">
      <t>テン</t>
    </rPh>
    <rPh sb="6" eb="8">
      <t>マエトリ</t>
    </rPh>
    <rPh sb="26" eb="28">
      <t>サイシュウ</t>
    </rPh>
    <phoneticPr fontId="6"/>
  </si>
  <si>
    <t>コープ東北サンネット10月3回差分予測</t>
    <rPh sb="3" eb="5">
      <t>トウホク</t>
    </rPh>
    <rPh sb="12" eb="13">
      <t>ガツ</t>
    </rPh>
    <rPh sb="14" eb="15">
      <t>カイ</t>
    </rPh>
    <rPh sb="15" eb="19">
      <t>サブンヨソク</t>
    </rPh>
    <phoneticPr fontId="6"/>
  </si>
  <si>
    <t>コープ東北サンネット10月3回（不透明袋）</t>
    <rPh sb="3" eb="5">
      <t>トウホク</t>
    </rPh>
    <rPh sb="12" eb="13">
      <t>ガツ</t>
    </rPh>
    <rPh sb="14" eb="15">
      <t>カイ</t>
    </rPh>
    <rPh sb="16" eb="20">
      <t>フトウメイフクロ</t>
    </rPh>
    <phoneticPr fontId="6"/>
  </si>
  <si>
    <t>コープ東北サンネット11月4回差分予測</t>
    <rPh sb="3" eb="5">
      <t>トウホク</t>
    </rPh>
    <rPh sb="12" eb="13">
      <t>ガツ</t>
    </rPh>
    <rPh sb="14" eb="15">
      <t>カイ</t>
    </rPh>
    <rPh sb="15" eb="19">
      <t>サブンヨソク</t>
    </rPh>
    <phoneticPr fontId="6"/>
  </si>
  <si>
    <t>コープ東北サンネット11月4回（不透明袋）</t>
    <rPh sb="3" eb="5">
      <t>トウホク</t>
    </rPh>
    <rPh sb="12" eb="13">
      <t>ガツ</t>
    </rPh>
    <rPh sb="14" eb="15">
      <t>カイ</t>
    </rPh>
    <rPh sb="16" eb="20">
      <t>フトウメイフクロ</t>
    </rPh>
    <phoneticPr fontId="6"/>
  </si>
  <si>
    <t>京都生協12月2回（不透明袋）</t>
    <rPh sb="0" eb="4">
      <t>キョウトセイキョウ</t>
    </rPh>
    <rPh sb="6" eb="7">
      <t>ガツ</t>
    </rPh>
    <rPh sb="8" eb="9">
      <t>カイ</t>
    </rPh>
    <rPh sb="10" eb="14">
      <t>フトウメイフクロ</t>
    </rPh>
    <phoneticPr fontId="6"/>
  </si>
  <si>
    <t>ニッセン24年秋号楽市②</t>
    <rPh sb="6" eb="7">
      <t>ネン</t>
    </rPh>
    <rPh sb="7" eb="9">
      <t>アキゴウ</t>
    </rPh>
    <rPh sb="9" eb="11">
      <t>ラクイチ</t>
    </rPh>
    <phoneticPr fontId="6"/>
  </si>
  <si>
    <t>コープ東北サンネット10月3回（不透明袋）①</t>
    <rPh sb="3" eb="5">
      <t>トウホク</t>
    </rPh>
    <rPh sb="12" eb="13">
      <t>ガツ</t>
    </rPh>
    <rPh sb="14" eb="15">
      <t>カイ</t>
    </rPh>
    <rPh sb="16" eb="20">
      <t>フトウメイフクロ</t>
    </rPh>
    <phoneticPr fontId="6"/>
  </si>
  <si>
    <t>かりん</t>
    <phoneticPr fontId="6"/>
  </si>
  <si>
    <t>JOD163</t>
    <phoneticPr fontId="6"/>
  </si>
  <si>
    <t>ニッセン24年秋号楽市③</t>
    <rPh sb="6" eb="7">
      <t>ネン</t>
    </rPh>
    <rPh sb="7" eb="9">
      <t>アキゴウ</t>
    </rPh>
    <rPh sb="9" eb="11">
      <t>ラクイチ</t>
    </rPh>
    <phoneticPr fontId="6"/>
  </si>
  <si>
    <t>JOD164</t>
    <phoneticPr fontId="6"/>
  </si>
  <si>
    <t>コープ東北サンネット10月3回（不透明袋）②</t>
    <rPh sb="3" eb="5">
      <t>トウホク</t>
    </rPh>
    <rPh sb="12" eb="13">
      <t>ガツ</t>
    </rPh>
    <rPh sb="14" eb="15">
      <t>カイ</t>
    </rPh>
    <rPh sb="16" eb="20">
      <t>フトウメイフクロ</t>
    </rPh>
    <phoneticPr fontId="6"/>
  </si>
  <si>
    <t>JOD165</t>
    <phoneticPr fontId="6"/>
  </si>
  <si>
    <t>コープ東北サンネット10月3回（不透明袋）③</t>
    <rPh sb="3" eb="5">
      <t>トウホク</t>
    </rPh>
    <rPh sb="12" eb="13">
      <t>ガツ</t>
    </rPh>
    <rPh sb="14" eb="15">
      <t>カイ</t>
    </rPh>
    <rPh sb="16" eb="20">
      <t>フトウメイフクロ</t>
    </rPh>
    <phoneticPr fontId="6"/>
  </si>
  <si>
    <t>JOD166</t>
    <phoneticPr fontId="6"/>
  </si>
  <si>
    <t>コープ東北サンネット10月3回（不透明袋）④</t>
    <rPh sb="3" eb="5">
      <t>トウホク</t>
    </rPh>
    <rPh sb="12" eb="13">
      <t>ガツ</t>
    </rPh>
    <rPh sb="14" eb="15">
      <t>カイ</t>
    </rPh>
    <rPh sb="16" eb="20">
      <t>フトウメイフクロ</t>
    </rPh>
    <phoneticPr fontId="6"/>
  </si>
  <si>
    <t>JOD167</t>
    <phoneticPr fontId="6"/>
  </si>
  <si>
    <t>コープ東北サンネット10月3回（不透明袋）⑤直送</t>
    <rPh sb="3" eb="5">
      <t>トウホク</t>
    </rPh>
    <rPh sb="12" eb="13">
      <t>ガツ</t>
    </rPh>
    <rPh sb="14" eb="15">
      <t>カイ</t>
    </rPh>
    <rPh sb="16" eb="20">
      <t>フトウメイフクロ</t>
    </rPh>
    <rPh sb="22" eb="24">
      <t>チョクソウ</t>
    </rPh>
    <phoneticPr fontId="6"/>
  </si>
  <si>
    <t>JOD168</t>
  </si>
  <si>
    <t>コープ東北サンネット10月3回（不透明袋）⑥直送</t>
    <rPh sb="3" eb="5">
      <t>トウホク</t>
    </rPh>
    <rPh sb="12" eb="13">
      <t>ガツ</t>
    </rPh>
    <rPh sb="14" eb="15">
      <t>カイ</t>
    </rPh>
    <rPh sb="16" eb="20">
      <t>フトウメイフクロ</t>
    </rPh>
    <rPh sb="22" eb="24">
      <t>チョクソウ</t>
    </rPh>
    <phoneticPr fontId="6"/>
  </si>
  <si>
    <t>JOD169</t>
    <phoneticPr fontId="6"/>
  </si>
  <si>
    <t>JOD170</t>
    <phoneticPr fontId="6"/>
  </si>
  <si>
    <t>1/6～3/31</t>
    <phoneticPr fontId="6"/>
  </si>
  <si>
    <t>JOD171</t>
    <phoneticPr fontId="6"/>
  </si>
  <si>
    <t>Amazon</t>
    <phoneticPr fontId="6"/>
  </si>
  <si>
    <t>JOD172</t>
  </si>
  <si>
    <t>JOD173</t>
    <phoneticPr fontId="6"/>
  </si>
  <si>
    <t>コープ北陸12月3回（不透明袋）</t>
    <rPh sb="3" eb="5">
      <t>ホクリク</t>
    </rPh>
    <rPh sb="7" eb="8">
      <t>ガツ</t>
    </rPh>
    <rPh sb="9" eb="10">
      <t>カイ</t>
    </rPh>
    <rPh sb="11" eb="14">
      <t>フトウメイ</t>
    </rPh>
    <rPh sb="14" eb="15">
      <t>フクロ</t>
    </rPh>
    <phoneticPr fontId="6"/>
  </si>
  <si>
    <t>ニッセン24年秋号楽市④</t>
    <rPh sb="6" eb="7">
      <t>ネン</t>
    </rPh>
    <rPh sb="7" eb="9">
      <t>アキゴウ</t>
    </rPh>
    <rPh sb="9" eb="11">
      <t>ラクイチ</t>
    </rPh>
    <phoneticPr fontId="6"/>
  </si>
  <si>
    <t>JOD174</t>
  </si>
  <si>
    <t>JOD175</t>
  </si>
  <si>
    <t>2/中旬～</t>
    <rPh sb="2" eb="4">
      <t>チュウジュン</t>
    </rPh>
    <phoneticPr fontId="6"/>
  </si>
  <si>
    <t>JOD176</t>
    <phoneticPr fontId="6"/>
  </si>
  <si>
    <t>JOD177</t>
    <phoneticPr fontId="6"/>
  </si>
  <si>
    <t>JOD178</t>
    <phoneticPr fontId="6"/>
  </si>
  <si>
    <t>かりん</t>
    <phoneticPr fontId="6"/>
  </si>
  <si>
    <t>JOD179</t>
    <phoneticPr fontId="6"/>
  </si>
  <si>
    <t>コープしが11月1回（不透明袋）①</t>
    <rPh sb="7" eb="8">
      <t>ガツ</t>
    </rPh>
    <rPh sb="9" eb="10">
      <t>カイ</t>
    </rPh>
    <phoneticPr fontId="6"/>
  </si>
  <si>
    <t>JOD180</t>
    <phoneticPr fontId="6"/>
  </si>
  <si>
    <t>日生協キャロット11月39号（不透明袋）東日本①</t>
    <rPh sb="0" eb="3">
      <t>ニッセイキョウ</t>
    </rPh>
    <rPh sb="10" eb="11">
      <t>ガツ</t>
    </rPh>
    <rPh sb="13" eb="14">
      <t>ゴウ</t>
    </rPh>
    <rPh sb="20" eb="23">
      <t>ヒガシニホン</t>
    </rPh>
    <phoneticPr fontId="6"/>
  </si>
  <si>
    <t>JOD181</t>
    <phoneticPr fontId="6"/>
  </si>
  <si>
    <t>コープしが11月1回（不透明袋）②</t>
    <rPh sb="7" eb="8">
      <t>ガツ</t>
    </rPh>
    <rPh sb="9" eb="10">
      <t>カイ</t>
    </rPh>
    <phoneticPr fontId="6"/>
  </si>
  <si>
    <t>ハルメクアルファ</t>
    <phoneticPr fontId="6"/>
  </si>
  <si>
    <t>JOD182</t>
    <phoneticPr fontId="6"/>
  </si>
  <si>
    <t>電話注文品</t>
    <rPh sb="0" eb="5">
      <t>デンワチュウモンヒン</t>
    </rPh>
    <phoneticPr fontId="6"/>
  </si>
  <si>
    <t>コープ東北サンネット11月4回（不透明袋）①</t>
    <rPh sb="3" eb="5">
      <t>トウホク</t>
    </rPh>
    <rPh sb="12" eb="13">
      <t>ガツ</t>
    </rPh>
    <rPh sb="14" eb="15">
      <t>カイ</t>
    </rPh>
    <rPh sb="16" eb="20">
      <t>フトウメイフクロ</t>
    </rPh>
    <phoneticPr fontId="6"/>
  </si>
  <si>
    <t>JOD183</t>
    <phoneticPr fontId="6"/>
  </si>
  <si>
    <t>JOD184</t>
    <phoneticPr fontId="6"/>
  </si>
  <si>
    <t>かりん</t>
    <phoneticPr fontId="6"/>
  </si>
  <si>
    <t>パルくらす11月4回（2色組・不透明袋）①</t>
    <rPh sb="7" eb="8">
      <t>ガツ</t>
    </rPh>
    <rPh sb="9" eb="10">
      <t>カイ</t>
    </rPh>
    <phoneticPr fontId="6"/>
  </si>
  <si>
    <t>東北サンネット1月5回（不透明袋）</t>
    <rPh sb="0" eb="2">
      <t>トウホク</t>
    </rPh>
    <rPh sb="8" eb="9">
      <t>ガツ</t>
    </rPh>
    <rPh sb="10" eb="11">
      <t>カイ</t>
    </rPh>
    <rPh sb="12" eb="16">
      <t>フトウメイフクロ</t>
    </rPh>
    <phoneticPr fontId="6"/>
  </si>
  <si>
    <t>1/15～29</t>
    <phoneticPr fontId="6"/>
  </si>
  <si>
    <t>JOD185</t>
    <phoneticPr fontId="6"/>
  </si>
  <si>
    <t>コープ東北サンネット11月4回（不透明袋）②</t>
    <rPh sb="3" eb="5">
      <t>トウホク</t>
    </rPh>
    <rPh sb="12" eb="13">
      <t>ガツ</t>
    </rPh>
    <rPh sb="14" eb="15">
      <t>カイ</t>
    </rPh>
    <rPh sb="16" eb="20">
      <t>フトウメイフクロ</t>
    </rPh>
    <phoneticPr fontId="6"/>
  </si>
  <si>
    <t>Amazon</t>
    <phoneticPr fontId="6"/>
  </si>
  <si>
    <t>コープ東北サンネット11月4回（不透明袋）③</t>
    <rPh sb="3" eb="5">
      <t>トウホク</t>
    </rPh>
    <rPh sb="12" eb="13">
      <t>ガツ</t>
    </rPh>
    <rPh sb="14" eb="15">
      <t>カイ</t>
    </rPh>
    <rPh sb="16" eb="20">
      <t>フトウメイフクロ</t>
    </rPh>
    <phoneticPr fontId="6"/>
  </si>
  <si>
    <t>パルくらす11月4回（2色組・不透明袋）②</t>
    <rPh sb="7" eb="8">
      <t>ガツ</t>
    </rPh>
    <rPh sb="9" eb="10">
      <t>カイ</t>
    </rPh>
    <phoneticPr fontId="6"/>
  </si>
  <si>
    <t>ニッセン24年秋号楽市⑤</t>
    <rPh sb="6" eb="7">
      <t>ネン</t>
    </rPh>
    <rPh sb="7" eb="9">
      <t>アキゴウ</t>
    </rPh>
    <rPh sb="9" eb="11">
      <t>ラクイチ</t>
    </rPh>
    <phoneticPr fontId="6"/>
  </si>
  <si>
    <t>JOD186</t>
    <phoneticPr fontId="6"/>
  </si>
  <si>
    <t>コープ東北サンネット11月4回（不透明袋）④</t>
    <rPh sb="3" eb="5">
      <t>トウホク</t>
    </rPh>
    <rPh sb="12" eb="13">
      <t>ガツ</t>
    </rPh>
    <rPh sb="14" eb="15">
      <t>カイ</t>
    </rPh>
    <rPh sb="16" eb="20">
      <t>フトウメイフクロ</t>
    </rPh>
    <phoneticPr fontId="6"/>
  </si>
  <si>
    <t>JOD187</t>
    <phoneticPr fontId="6"/>
  </si>
  <si>
    <t>JOD188</t>
    <phoneticPr fontId="6"/>
  </si>
  <si>
    <t>コープ九州12月3回差分予測</t>
    <rPh sb="3" eb="5">
      <t>キュウシュウ</t>
    </rPh>
    <rPh sb="7" eb="8">
      <t>ガツ</t>
    </rPh>
    <rPh sb="9" eb="10">
      <t>カイ</t>
    </rPh>
    <rPh sb="10" eb="14">
      <t>サブンヨソク</t>
    </rPh>
    <phoneticPr fontId="6"/>
  </si>
  <si>
    <t>コープ九州12月3回（不透明袋）</t>
    <rPh sb="3" eb="5">
      <t>キュウシュウ</t>
    </rPh>
    <rPh sb="7" eb="8">
      <t>ガツ</t>
    </rPh>
    <rPh sb="9" eb="10">
      <t>カイ</t>
    </rPh>
    <rPh sb="11" eb="15">
      <t>フトウメイフクロ</t>
    </rPh>
    <phoneticPr fontId="6"/>
  </si>
  <si>
    <t>12/4～18</t>
    <phoneticPr fontId="6"/>
  </si>
  <si>
    <t>JOD189</t>
    <phoneticPr fontId="6"/>
  </si>
  <si>
    <t>JOD190</t>
    <phoneticPr fontId="6"/>
  </si>
  <si>
    <t>12月伝票</t>
    <rPh sb="2" eb="3">
      <t>ガツ</t>
    </rPh>
    <rPh sb="3" eb="5">
      <t>デンピョウ</t>
    </rPh>
    <phoneticPr fontId="6"/>
  </si>
  <si>
    <t>JOD191</t>
    <phoneticPr fontId="6"/>
  </si>
  <si>
    <t>パルくらす3月2回（2色組・不透明袋）</t>
    <rPh sb="6" eb="7">
      <t>ガツ</t>
    </rPh>
    <rPh sb="8" eb="9">
      <t>カイ</t>
    </rPh>
    <phoneticPr fontId="6"/>
  </si>
  <si>
    <t>パルくらす3月2回差分予測</t>
    <rPh sb="6" eb="7">
      <t>ガツ</t>
    </rPh>
    <rPh sb="8" eb="9">
      <t>カイ</t>
    </rPh>
    <rPh sb="9" eb="13">
      <t>サブンヨソク</t>
    </rPh>
    <phoneticPr fontId="6"/>
  </si>
  <si>
    <t>点2/20、アバウト・初回3/4、最終3/10</t>
    <rPh sb="0" eb="1">
      <t>テン</t>
    </rPh>
    <rPh sb="11" eb="13">
      <t>ショカイ</t>
    </rPh>
    <rPh sb="17" eb="19">
      <t>サイシュウ</t>
    </rPh>
    <phoneticPr fontId="6"/>
  </si>
  <si>
    <t>日生協キャロット11月39号（不透明袋）東日本②</t>
    <rPh sb="0" eb="3">
      <t>ニッセイキョウ</t>
    </rPh>
    <rPh sb="10" eb="11">
      <t>ガツ</t>
    </rPh>
    <rPh sb="13" eb="14">
      <t>ゴウ</t>
    </rPh>
    <rPh sb="20" eb="23">
      <t>ヒガシニホン</t>
    </rPh>
    <phoneticPr fontId="6"/>
  </si>
  <si>
    <t>JOD192</t>
    <phoneticPr fontId="6"/>
  </si>
  <si>
    <t>JOD193</t>
    <phoneticPr fontId="6"/>
  </si>
  <si>
    <t>コープ九州12月3回（不透明袋）①</t>
    <rPh sb="3" eb="5">
      <t>キュウシュウ</t>
    </rPh>
    <rPh sb="7" eb="8">
      <t>ガツ</t>
    </rPh>
    <rPh sb="9" eb="10">
      <t>カイ</t>
    </rPh>
    <rPh sb="11" eb="15">
      <t>フトウメイフクロ</t>
    </rPh>
    <phoneticPr fontId="6"/>
  </si>
  <si>
    <t>日生協キャロット11月39号（不透明袋）東日本③</t>
    <rPh sb="0" eb="3">
      <t>ニッセイキョウ</t>
    </rPh>
    <rPh sb="10" eb="11">
      <t>ガツ</t>
    </rPh>
    <rPh sb="13" eb="14">
      <t>ゴウ</t>
    </rPh>
    <rPh sb="20" eb="23">
      <t>ヒガシニホン</t>
    </rPh>
    <phoneticPr fontId="6"/>
  </si>
  <si>
    <t>京都生協2月2回（不透明袋）</t>
    <rPh sb="0" eb="4">
      <t>キョウトセイキョウ</t>
    </rPh>
    <rPh sb="5" eb="6">
      <t>ガツ</t>
    </rPh>
    <rPh sb="7" eb="8">
      <t>カイ</t>
    </rPh>
    <rPh sb="9" eb="13">
      <t>フトウメイフクロ</t>
    </rPh>
    <phoneticPr fontId="6"/>
  </si>
  <si>
    <t>京都生協12月2回（不透明袋）①</t>
    <rPh sb="0" eb="4">
      <t>キョウトセイキョウ</t>
    </rPh>
    <rPh sb="6" eb="7">
      <t>ガツ</t>
    </rPh>
    <rPh sb="8" eb="9">
      <t>カイ</t>
    </rPh>
    <rPh sb="10" eb="14">
      <t>フトウメイフクロ</t>
    </rPh>
    <phoneticPr fontId="6"/>
  </si>
  <si>
    <t>JOD194</t>
    <phoneticPr fontId="6"/>
  </si>
  <si>
    <t>コープ九州12月3回（不透明袋）②</t>
    <rPh sb="3" eb="5">
      <t>キュウシュウ</t>
    </rPh>
    <rPh sb="7" eb="8">
      <t>ガツ</t>
    </rPh>
    <rPh sb="9" eb="10">
      <t>カイ</t>
    </rPh>
    <rPh sb="11" eb="15">
      <t>フトウメイフクロ</t>
    </rPh>
    <phoneticPr fontId="6"/>
  </si>
  <si>
    <t>コープ北陸12月3回（不透明袋）①</t>
    <rPh sb="3" eb="5">
      <t>ホクリク</t>
    </rPh>
    <rPh sb="7" eb="8">
      <t>ガツ</t>
    </rPh>
    <rPh sb="9" eb="10">
      <t>カイ</t>
    </rPh>
    <rPh sb="11" eb="15">
      <t>フトウメイフクロ</t>
    </rPh>
    <phoneticPr fontId="6"/>
  </si>
  <si>
    <t>ハルメク・アルファ①</t>
    <phoneticPr fontId="6"/>
  </si>
  <si>
    <t>ベルーナsample(くらしのお便り)</t>
    <rPh sb="16" eb="17">
      <t>タヨ</t>
    </rPh>
    <phoneticPr fontId="6"/>
  </si>
  <si>
    <t>コープ北陸12月3回（不透明袋）②</t>
    <rPh sb="3" eb="5">
      <t>ホクリク</t>
    </rPh>
    <rPh sb="7" eb="8">
      <t>ガツ</t>
    </rPh>
    <rPh sb="9" eb="10">
      <t>カイ</t>
    </rPh>
    <rPh sb="11" eb="15">
      <t>フトウメイフクロ</t>
    </rPh>
    <phoneticPr fontId="6"/>
  </si>
  <si>
    <t>コープ九州12月3回（不透明袋）③</t>
    <rPh sb="3" eb="5">
      <t>キュウシュウ</t>
    </rPh>
    <rPh sb="7" eb="8">
      <t>ガツ</t>
    </rPh>
    <rPh sb="9" eb="10">
      <t>カイ</t>
    </rPh>
    <rPh sb="11" eb="15">
      <t>フトウメイフクロ</t>
    </rPh>
    <phoneticPr fontId="6"/>
  </si>
  <si>
    <t>ニッセン24年秋号楽市⑥</t>
    <rPh sb="6" eb="7">
      <t>ネン</t>
    </rPh>
    <rPh sb="7" eb="9">
      <t>アキゴウ</t>
    </rPh>
    <rPh sb="9" eb="11">
      <t>ラクイチ</t>
    </rPh>
    <phoneticPr fontId="6"/>
  </si>
  <si>
    <t>コープ九州12月3回（不透明袋）④</t>
    <rPh sb="3" eb="5">
      <t>キュウシュウ</t>
    </rPh>
    <rPh sb="7" eb="8">
      <t>ガツ</t>
    </rPh>
    <rPh sb="9" eb="10">
      <t>カイ</t>
    </rPh>
    <rPh sb="11" eb="15">
      <t>フトウメイフクロ</t>
    </rPh>
    <phoneticPr fontId="6"/>
  </si>
  <si>
    <t>コープ北陸12月3回（不透明袋）③</t>
    <rPh sb="3" eb="5">
      <t>ホクリク</t>
    </rPh>
    <rPh sb="7" eb="8">
      <t>ガツ</t>
    </rPh>
    <rPh sb="9" eb="10">
      <t>カイ</t>
    </rPh>
    <rPh sb="11" eb="15">
      <t>フトウメイフクロ</t>
    </rPh>
    <phoneticPr fontId="6"/>
  </si>
  <si>
    <t>JOD195</t>
    <phoneticPr fontId="6"/>
  </si>
  <si>
    <t>コープ九州12月3回（不透明袋）⑤</t>
    <rPh sb="3" eb="5">
      <t>キュウシュウ</t>
    </rPh>
    <rPh sb="7" eb="8">
      <t>ガツ</t>
    </rPh>
    <rPh sb="9" eb="10">
      <t>カイ</t>
    </rPh>
    <rPh sb="11" eb="15">
      <t>フトウメイフクロ</t>
    </rPh>
    <phoneticPr fontId="6"/>
  </si>
  <si>
    <t>2/28～5/31</t>
    <phoneticPr fontId="6"/>
  </si>
  <si>
    <t>JOD196</t>
  </si>
  <si>
    <t>西夢</t>
    <rPh sb="0" eb="2">
      <t>ニシユメ</t>
    </rPh>
    <phoneticPr fontId="6"/>
  </si>
  <si>
    <t>JOD197</t>
    <phoneticPr fontId="6"/>
  </si>
  <si>
    <t>ニッセン24年秋号楽市⑦</t>
    <rPh sb="6" eb="7">
      <t>ネン</t>
    </rPh>
    <rPh sb="7" eb="9">
      <t>アキゴウ</t>
    </rPh>
    <rPh sb="9" eb="11">
      <t>ラクイチ</t>
    </rPh>
    <phoneticPr fontId="6"/>
  </si>
  <si>
    <t>かりん</t>
    <phoneticPr fontId="6"/>
  </si>
  <si>
    <t>パルくらす1月1回（2色組・不透明袋）①</t>
    <rPh sb="6" eb="7">
      <t>ガツ</t>
    </rPh>
    <rPh sb="8" eb="9">
      <t>カイ</t>
    </rPh>
    <phoneticPr fontId="6"/>
  </si>
  <si>
    <t>パルくらす1月1回（2色組・不透明袋）②</t>
    <rPh sb="6" eb="7">
      <t>ガツ</t>
    </rPh>
    <rPh sb="8" eb="9">
      <t>カイ</t>
    </rPh>
    <phoneticPr fontId="6"/>
  </si>
  <si>
    <t>コープしが2月4回（不透明袋）</t>
    <rPh sb="6" eb="7">
      <t>ガツ</t>
    </rPh>
    <rPh sb="8" eb="9">
      <t>カイ</t>
    </rPh>
    <rPh sb="10" eb="14">
      <t>フトウメイフクロ</t>
    </rPh>
    <phoneticPr fontId="6"/>
  </si>
  <si>
    <t>JOD198</t>
    <phoneticPr fontId="6"/>
  </si>
  <si>
    <t>パルくらす1月1回（2色組・不透明袋）③</t>
    <rPh sb="6" eb="7">
      <t>ガツ</t>
    </rPh>
    <rPh sb="8" eb="9">
      <t>カイ</t>
    </rPh>
    <phoneticPr fontId="6"/>
  </si>
  <si>
    <t>2024/11/29数伝</t>
    <rPh sb="10" eb="11">
      <t>スウ</t>
    </rPh>
    <rPh sb="11" eb="12">
      <t>デン</t>
    </rPh>
    <phoneticPr fontId="6"/>
  </si>
  <si>
    <t>JOD199</t>
    <phoneticPr fontId="6"/>
  </si>
  <si>
    <t>日生協キャロット2025年1月48号（不透明袋）東日本①</t>
    <rPh sb="0" eb="3">
      <t>ニッセイキョウ</t>
    </rPh>
    <rPh sb="12" eb="13">
      <t>ネン</t>
    </rPh>
    <rPh sb="14" eb="15">
      <t>ガツ</t>
    </rPh>
    <rPh sb="17" eb="18">
      <t>ゴウ</t>
    </rPh>
    <rPh sb="24" eb="27">
      <t>ヒガシニホン</t>
    </rPh>
    <phoneticPr fontId="6"/>
  </si>
  <si>
    <t>ハルメク・アルファ②</t>
    <phoneticPr fontId="6"/>
  </si>
  <si>
    <t>JOD200</t>
    <phoneticPr fontId="6"/>
  </si>
  <si>
    <t>ハルメク・アルファ③</t>
    <phoneticPr fontId="6"/>
  </si>
  <si>
    <t>日生協キャロット2025年1月48号（不透明袋）西日本①</t>
    <rPh sb="0" eb="3">
      <t>ニッセイキョウ</t>
    </rPh>
    <rPh sb="12" eb="13">
      <t>ネン</t>
    </rPh>
    <rPh sb="14" eb="15">
      <t>ガツ</t>
    </rPh>
    <rPh sb="17" eb="18">
      <t>ゴウ</t>
    </rPh>
    <rPh sb="24" eb="25">
      <t>ニシ</t>
    </rPh>
    <rPh sb="25" eb="27">
      <t>ニホン</t>
    </rPh>
    <phoneticPr fontId="6"/>
  </si>
  <si>
    <t>日生協キャロット2025年1月48号（不透明袋）東日本②</t>
    <rPh sb="0" eb="3">
      <t>ニッセイキョウ</t>
    </rPh>
    <rPh sb="12" eb="13">
      <t>ネン</t>
    </rPh>
    <rPh sb="14" eb="15">
      <t>ガツ</t>
    </rPh>
    <rPh sb="17" eb="18">
      <t>ゴウ</t>
    </rPh>
    <rPh sb="24" eb="27">
      <t>ヒガシニホン</t>
    </rPh>
    <phoneticPr fontId="6"/>
  </si>
  <si>
    <t>わいわいバザールPLUS25年春号2色組（ベルーナ）</t>
    <rPh sb="14" eb="15">
      <t>ネン</t>
    </rPh>
    <rPh sb="15" eb="17">
      <t>ハルゴウ</t>
    </rPh>
    <rPh sb="18" eb="20">
      <t>ショククミ</t>
    </rPh>
    <phoneticPr fontId="6"/>
  </si>
  <si>
    <t>JOD201</t>
    <phoneticPr fontId="6"/>
  </si>
  <si>
    <t>1/14～</t>
    <phoneticPr fontId="2"/>
  </si>
  <si>
    <t>4/4～4/16</t>
    <phoneticPr fontId="6"/>
  </si>
  <si>
    <t>コープ九州4月3回差分予測</t>
    <rPh sb="3" eb="5">
      <t>キュウシュウ</t>
    </rPh>
    <rPh sb="6" eb="7">
      <t>ガツ</t>
    </rPh>
    <rPh sb="8" eb="9">
      <t>カイ</t>
    </rPh>
    <rPh sb="9" eb="13">
      <t>サブンヨソク</t>
    </rPh>
    <phoneticPr fontId="6"/>
  </si>
  <si>
    <t>コープ九州4月3回（不透明袋）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</si>
  <si>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日生協キャロット11月39号（不透明袋）東日本④</t>
    <rPh sb="0" eb="3">
      <t>ニッセイキョウ</t>
    </rPh>
    <rPh sb="10" eb="11">
      <t>ガツ</t>
    </rPh>
    <rPh sb="13" eb="14">
      <t>ゴウ</t>
    </rPh>
    <rPh sb="20" eb="23">
      <t>ヒガシニホン</t>
    </rPh>
    <phoneticPr fontId="6"/>
  </si>
  <si>
    <t>4/1～6/30</t>
    <phoneticPr fontId="6"/>
  </si>
  <si>
    <t>ハルメク・アルファ2482/2色組差分予測</t>
    <rPh sb="15" eb="17">
      <t>ショククミ</t>
    </rPh>
    <rPh sb="17" eb="21">
      <t>サブンヨソク</t>
    </rPh>
    <phoneticPr fontId="6"/>
  </si>
  <si>
    <t>東北サンネット1月5回（不透明袋）①</t>
    <rPh sb="0" eb="2">
      <t>トウホク</t>
    </rPh>
    <rPh sb="8" eb="9">
      <t>ガツ</t>
    </rPh>
    <rPh sb="10" eb="11">
      <t>カイ</t>
    </rPh>
    <rPh sb="12" eb="16">
      <t>フトウメイフクロ</t>
    </rPh>
    <phoneticPr fontId="6"/>
  </si>
  <si>
    <t>電話注文</t>
    <rPh sb="0" eb="4">
      <t>デンワチュウモン</t>
    </rPh>
    <phoneticPr fontId="6"/>
  </si>
  <si>
    <t>日生協キャロット2025年1月48号（不透明袋）西日本②</t>
    <rPh sb="0" eb="3">
      <t>ニッセイキョウ</t>
    </rPh>
    <rPh sb="12" eb="13">
      <t>ネン</t>
    </rPh>
    <rPh sb="14" eb="15">
      <t>ガツ</t>
    </rPh>
    <rPh sb="17" eb="18">
      <t>ゴウ</t>
    </rPh>
    <rPh sb="24" eb="25">
      <t>ニシ</t>
    </rPh>
    <rPh sb="25" eb="27">
      <t>ニホン</t>
    </rPh>
    <phoneticPr fontId="6"/>
  </si>
  <si>
    <t>日生協キャロット2025年1月48号（不透明袋）東日本③</t>
    <rPh sb="0" eb="3">
      <t>ニッセイキョウ</t>
    </rPh>
    <rPh sb="12" eb="13">
      <t>ネン</t>
    </rPh>
    <rPh sb="14" eb="15">
      <t>ガツ</t>
    </rPh>
    <rPh sb="17" eb="18">
      <t>ゴウ</t>
    </rPh>
    <rPh sb="24" eb="27">
      <t>ヒガシニホン</t>
    </rPh>
    <phoneticPr fontId="6"/>
  </si>
  <si>
    <t>IE交換</t>
    <rPh sb="2" eb="4">
      <t>コウカン</t>
    </rPh>
    <phoneticPr fontId="6"/>
  </si>
  <si>
    <t>コープ北陸3月3回（不透明袋）</t>
    <rPh sb="3" eb="5">
      <t>ホクリク</t>
    </rPh>
    <rPh sb="6" eb="7">
      <t>ガツ</t>
    </rPh>
    <rPh sb="8" eb="9">
      <t>カイ</t>
    </rPh>
    <rPh sb="10" eb="14">
      <t>フトウメイフクロ</t>
    </rPh>
    <phoneticPr fontId="6"/>
  </si>
  <si>
    <t>ハルメク・アルファ④</t>
    <phoneticPr fontId="6"/>
  </si>
  <si>
    <t>日生協キャロット2025年1月48号（不透明袋）東日本④</t>
    <rPh sb="0" eb="3">
      <t>ニッセイキョウ</t>
    </rPh>
    <rPh sb="12" eb="13">
      <t>ネン</t>
    </rPh>
    <rPh sb="14" eb="15">
      <t>ガツ</t>
    </rPh>
    <rPh sb="17" eb="18">
      <t>ゴウ</t>
    </rPh>
    <rPh sb="24" eb="27">
      <t>ヒガシニホン</t>
    </rPh>
    <phoneticPr fontId="6"/>
  </si>
  <si>
    <t>京都生協4月1回(不透明袋)</t>
    <rPh sb="0" eb="4">
      <t>キョウトセイキョウ</t>
    </rPh>
    <rPh sb="9" eb="13">
      <t>フトウメイフクロ</t>
    </rPh>
    <phoneticPr fontId="6"/>
  </si>
  <si>
    <t>わいわいバザールPLUS25年春号2色組（ベルーナ）①</t>
    <rPh sb="14" eb="15">
      <t>ネン</t>
    </rPh>
    <rPh sb="15" eb="17">
      <t>ハルゴウ</t>
    </rPh>
    <rPh sb="18" eb="20">
      <t>ショククミ</t>
    </rPh>
    <phoneticPr fontId="6"/>
  </si>
  <si>
    <t>IEIヴィヴァン1月号同梱カタログ/4色組①</t>
    <rPh sb="9" eb="11">
      <t>ガツゴウ</t>
    </rPh>
    <rPh sb="11" eb="13">
      <t>ドウコン</t>
    </rPh>
    <rPh sb="19" eb="21">
      <t>ショクグミ</t>
    </rPh>
    <phoneticPr fontId="2"/>
  </si>
  <si>
    <t>IEIヴィヴァン1月号同梱カタログ/4色組</t>
    <rPh sb="9" eb="11">
      <t>ガツゴウ</t>
    </rPh>
    <rPh sb="11" eb="13">
      <t>ドウコン</t>
    </rPh>
    <rPh sb="19" eb="21">
      <t>ショクグミ</t>
    </rPh>
    <phoneticPr fontId="2"/>
  </si>
  <si>
    <t>IEIヴィヴァン1月号同梱カタログ/4色組②</t>
    <rPh sb="9" eb="11">
      <t>ガツゴウ</t>
    </rPh>
    <rPh sb="11" eb="13">
      <t>ドウコン</t>
    </rPh>
    <rPh sb="19" eb="21">
      <t>ショクグミ</t>
    </rPh>
    <phoneticPr fontId="2"/>
  </si>
  <si>
    <t>日生協キャロット2025年1月48号（不透明袋）東日本⑤</t>
    <rPh sb="0" eb="3">
      <t>ニッセイキョウ</t>
    </rPh>
    <rPh sb="12" eb="13">
      <t>ネン</t>
    </rPh>
    <rPh sb="14" eb="15">
      <t>ガツ</t>
    </rPh>
    <rPh sb="17" eb="18">
      <t>ゴウ</t>
    </rPh>
    <rPh sb="24" eb="27">
      <t>ヒガシニホン</t>
    </rPh>
    <phoneticPr fontId="6"/>
  </si>
  <si>
    <t>急ぎ分</t>
    <rPh sb="0" eb="1">
      <t>イソ</t>
    </rPh>
    <rPh sb="2" eb="3">
      <t>ブン</t>
    </rPh>
    <phoneticPr fontId="2"/>
  </si>
  <si>
    <t>日生協キャロット2025年1月48号（不透明袋）東日本⑥</t>
    <rPh sb="0" eb="3">
      <t>ニッセイキョウ</t>
    </rPh>
    <rPh sb="12" eb="13">
      <t>ネン</t>
    </rPh>
    <rPh sb="14" eb="15">
      <t>ガツ</t>
    </rPh>
    <rPh sb="17" eb="18">
      <t>ゴウ</t>
    </rPh>
    <rPh sb="24" eb="27">
      <t>ヒガシニホン</t>
    </rPh>
    <phoneticPr fontId="6"/>
  </si>
  <si>
    <t>日生協キャロット2025年1月48号（不透明袋）東日本⑦</t>
    <rPh sb="0" eb="3">
      <t>ニッセイキョウ</t>
    </rPh>
    <rPh sb="12" eb="13">
      <t>ネン</t>
    </rPh>
    <rPh sb="14" eb="15">
      <t>ガツ</t>
    </rPh>
    <rPh sb="17" eb="18">
      <t>ゴウ</t>
    </rPh>
    <rPh sb="24" eb="27">
      <t>ヒガシニホン</t>
    </rPh>
    <phoneticPr fontId="6"/>
  </si>
  <si>
    <t>京都生協2月2回（不透明袋）①</t>
    <rPh sb="0" eb="4">
      <t>キョウトセイキョウ</t>
    </rPh>
    <rPh sb="5" eb="6">
      <t>ガツ</t>
    </rPh>
    <rPh sb="7" eb="8">
      <t>カイ</t>
    </rPh>
    <rPh sb="9" eb="13">
      <t>フトウメイフクロ</t>
    </rPh>
    <phoneticPr fontId="6"/>
  </si>
  <si>
    <t>ハルメク・アルファ⑤</t>
    <phoneticPr fontId="6"/>
  </si>
  <si>
    <t>西夢</t>
    <rPh sb="0" eb="2">
      <t>ニシユメ</t>
    </rPh>
    <phoneticPr fontId="6"/>
  </si>
  <si>
    <t>ニッセン24年秋号楽市⑧</t>
    <rPh sb="6" eb="7">
      <t>ネン</t>
    </rPh>
    <rPh sb="7" eb="9">
      <t>アキゴウ</t>
    </rPh>
    <rPh sb="9" eb="11">
      <t>ラクイチ</t>
    </rPh>
    <phoneticPr fontId="6"/>
  </si>
  <si>
    <t>IEI交換</t>
    <rPh sb="3" eb="5">
      <t>コウカン</t>
    </rPh>
    <phoneticPr fontId="6"/>
  </si>
  <si>
    <t>JOD202</t>
    <phoneticPr fontId="6"/>
  </si>
  <si>
    <t>かりん</t>
    <phoneticPr fontId="6"/>
  </si>
  <si>
    <t>コープしが2月4回（不透明袋）①</t>
    <rPh sb="6" eb="7">
      <t>ガツ</t>
    </rPh>
    <rPh sb="8" eb="9">
      <t>カイ</t>
    </rPh>
    <rPh sb="10" eb="14">
      <t>フトウメイフクロ</t>
    </rPh>
    <phoneticPr fontId="6"/>
  </si>
  <si>
    <t>2/28Air</t>
    <phoneticPr fontId="6"/>
  </si>
  <si>
    <t>西夢</t>
    <rPh sb="0" eb="2">
      <t>ニシユメ</t>
    </rPh>
    <phoneticPr fontId="6"/>
  </si>
  <si>
    <t>5/2～7/31</t>
    <phoneticPr fontId="6"/>
  </si>
  <si>
    <t>パルくらす3月2回（2色組・不透明袋）①</t>
    <rPh sb="6" eb="7">
      <t>ガツ</t>
    </rPh>
    <rPh sb="8" eb="9">
      <t>カイ</t>
    </rPh>
    <phoneticPr fontId="6"/>
  </si>
  <si>
    <t>わいわいバザールPLUS25年春号2色組（ベルーナ）②</t>
    <rPh sb="14" eb="15">
      <t>ネン</t>
    </rPh>
    <rPh sb="15" eb="17">
      <t>ハルゴウ</t>
    </rPh>
    <rPh sb="18" eb="20">
      <t>ショククミ</t>
    </rPh>
    <phoneticPr fontId="6"/>
  </si>
  <si>
    <t>パルくらす3月2回（2色組・不透明袋）②</t>
    <rPh sb="6" eb="7">
      <t>ガツ</t>
    </rPh>
    <rPh sb="8" eb="9">
      <t>カイ</t>
    </rPh>
    <phoneticPr fontId="6"/>
  </si>
  <si>
    <t>くらし企画返品</t>
    <rPh sb="3" eb="5">
      <t>キカク</t>
    </rPh>
    <rPh sb="5" eb="7">
      <t>ヘンピン</t>
    </rPh>
    <phoneticPr fontId="2"/>
  </si>
  <si>
    <t>サクラマチ(グリーンコープ)sample</t>
    <phoneticPr fontId="2"/>
  </si>
  <si>
    <t>ハルメク・アルファ⑥</t>
    <phoneticPr fontId="6"/>
  </si>
  <si>
    <t>IEI</t>
    <phoneticPr fontId="6"/>
  </si>
  <si>
    <t>シンエイ返品</t>
    <rPh sb="4" eb="6">
      <t>ヘンピン</t>
    </rPh>
    <phoneticPr fontId="2"/>
  </si>
  <si>
    <t>ハルメク・アルファ⑦</t>
    <phoneticPr fontId="6"/>
  </si>
  <si>
    <t>わいわいバザールPLUS25年春号2色組（ベルーナ）③</t>
    <rPh sb="14" eb="15">
      <t>ネン</t>
    </rPh>
    <rPh sb="15" eb="17">
      <t>ハルゴウ</t>
    </rPh>
    <rPh sb="18" eb="20">
      <t>ショククミ</t>
    </rPh>
    <phoneticPr fontId="6"/>
  </si>
  <si>
    <t>ニッセン24年秋号楽市⑨</t>
    <rPh sb="6" eb="7">
      <t>ネン</t>
    </rPh>
    <rPh sb="7" eb="9">
      <t>アキゴウ</t>
    </rPh>
    <rPh sb="9" eb="11">
      <t>ラクイチ</t>
    </rPh>
    <phoneticPr fontId="6"/>
  </si>
  <si>
    <t>IEIヴィヴァン1月号同梱カタログ/4色組③</t>
    <rPh sb="9" eb="11">
      <t>ガツゴウ</t>
    </rPh>
    <rPh sb="11" eb="13">
      <t>ドウコン</t>
    </rPh>
    <rPh sb="19" eb="21">
      <t>ショクグミ</t>
    </rPh>
    <phoneticPr fontId="2"/>
  </si>
  <si>
    <t>わいわいバザールPLUS25年春号2色組（ベルーナ）④</t>
    <rPh sb="14" eb="15">
      <t>ネン</t>
    </rPh>
    <rPh sb="15" eb="17">
      <t>ハルゴウ</t>
    </rPh>
    <rPh sb="18" eb="20">
      <t>ショククミ</t>
    </rPh>
    <phoneticPr fontId="6"/>
  </si>
  <si>
    <t>わいわいバザールPLUS25年春号2色組（ベルーナ）⑤</t>
    <rPh sb="14" eb="15">
      <t>ネン</t>
    </rPh>
    <rPh sb="15" eb="17">
      <t>ハルゴウ</t>
    </rPh>
    <rPh sb="18" eb="20">
      <t>ショククミ</t>
    </rPh>
    <phoneticPr fontId="6"/>
  </si>
  <si>
    <t>ニッセン24年秋号楽市⑩</t>
    <rPh sb="6" eb="7">
      <t>ネン</t>
    </rPh>
    <rPh sb="7" eb="9">
      <t>アキゴウ</t>
    </rPh>
    <rPh sb="9" eb="11">
      <t>ラクイチ</t>
    </rPh>
    <phoneticPr fontId="6"/>
  </si>
  <si>
    <t>京都生協4月1回(不透明袋)①</t>
    <rPh sb="0" eb="4">
      <t>キョウトセイキョウ</t>
    </rPh>
    <rPh sb="9" eb="13">
      <t>フトウメイフクロ</t>
    </rPh>
    <phoneticPr fontId="6"/>
  </si>
  <si>
    <t>2025/3/3数伝</t>
    <rPh sb="8" eb="9">
      <t>スウ</t>
    </rPh>
    <rPh sb="9" eb="10">
      <t>デン</t>
    </rPh>
    <phoneticPr fontId="6"/>
  </si>
  <si>
    <t>2025/3/25数伝</t>
    <rPh sb="9" eb="10">
      <t>スウ</t>
    </rPh>
    <rPh sb="10" eb="11">
      <t>デン</t>
    </rPh>
    <phoneticPr fontId="6"/>
  </si>
  <si>
    <t>かりん</t>
    <phoneticPr fontId="6"/>
  </si>
  <si>
    <t>わいわいバザールPLUS25年春号2色組（ベルーナ）⑥</t>
    <rPh sb="14" eb="15">
      <t>ネン</t>
    </rPh>
    <rPh sb="15" eb="17">
      <t>ハルゴウ</t>
    </rPh>
    <rPh sb="18" eb="20">
      <t>ショククミ</t>
    </rPh>
    <phoneticPr fontId="6"/>
  </si>
  <si>
    <t>コープ九州4月3回（不透明袋）①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</si>
  <si>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ニッセン24年秋号楽市⑪</t>
    <rPh sb="6" eb="7">
      <t>ネン</t>
    </rPh>
    <rPh sb="7" eb="9">
      <t>アキゴウ</t>
    </rPh>
    <rPh sb="9" eb="11">
      <t>ラクイチ</t>
    </rPh>
    <phoneticPr fontId="6"/>
  </si>
  <si>
    <t>コープ九州4月3回（不透明袋）②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</si>
  <si>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ハルメク・アルファ⑧</t>
    <phoneticPr fontId="6"/>
  </si>
  <si>
    <t>コープ九州7月3回差分予測</t>
    <rPh sb="3" eb="5">
      <t>キュウシュウ</t>
    </rPh>
    <rPh sb="6" eb="7">
      <t>ガツ</t>
    </rPh>
    <rPh sb="8" eb="9">
      <t>カイ</t>
    </rPh>
    <rPh sb="9" eb="13">
      <t>サブンヨソク</t>
    </rPh>
    <phoneticPr fontId="6"/>
  </si>
  <si>
    <t>コープ九州7月3回（不透明袋）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</si>
  <si>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7/2～16</t>
    <phoneticPr fontId="6"/>
  </si>
  <si>
    <t>コープ九州4月3回（不透明袋）③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</si>
  <si>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西夢</t>
    <rPh sb="0" eb="2">
      <t>ニシユメ</t>
    </rPh>
    <phoneticPr fontId="6"/>
  </si>
  <si>
    <t>コープ九州4月3回（不透明袋）④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</si>
  <si>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ハルメク・アルファ⑨</t>
    <phoneticPr fontId="6"/>
  </si>
  <si>
    <t>ハルメク・アルファ⑩</t>
    <phoneticPr fontId="6"/>
  </si>
  <si>
    <t>コープ九州4月3回（不透明袋）⑤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</si>
  <si>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くらし企画返品</t>
    <rPh sb="3" eb="7">
      <t>キカクヘンピン</t>
    </rPh>
    <phoneticPr fontId="2"/>
  </si>
  <si>
    <t>ハルメク・アルファ⑪</t>
    <phoneticPr fontId="6"/>
  </si>
  <si>
    <t>追加</t>
    <rPh sb="0" eb="2">
      <t>ツイカ</t>
    </rPh>
    <phoneticPr fontId="6"/>
  </si>
  <si>
    <t>ハルメク・アルファ⑫</t>
    <phoneticPr fontId="6"/>
  </si>
  <si>
    <t>西夢取り置き</t>
    <rPh sb="0" eb="3">
      <t>ニシユメト</t>
    </rPh>
    <rPh sb="4" eb="5">
      <t>オ</t>
    </rPh>
    <phoneticPr fontId="6"/>
  </si>
  <si>
    <t>5/</t>
    <phoneticPr fontId="6"/>
  </si>
  <si>
    <t>IEIヴィヴァン1月号同梱カタログ/4色組④</t>
    <rPh sb="9" eb="11">
      <t>ガツゴウ</t>
    </rPh>
    <rPh sb="11" eb="13">
      <t>ドウコン</t>
    </rPh>
    <rPh sb="19" eb="21">
      <t>ショクグミ</t>
    </rPh>
    <phoneticPr fontId="2"/>
  </si>
  <si>
    <t>かりん</t>
    <phoneticPr fontId="6"/>
  </si>
  <si>
    <t>わいわいバザールPLUS25年春号2色組（ベルーナ）⑦</t>
    <rPh sb="14" eb="15">
      <t>ネン</t>
    </rPh>
    <rPh sb="15" eb="17">
      <t>ハルゴウ</t>
    </rPh>
    <rPh sb="18" eb="20">
      <t>ショククミ</t>
    </rPh>
    <phoneticPr fontId="6"/>
  </si>
  <si>
    <t>在庫確認</t>
    <rPh sb="0" eb="4">
      <t>ザイコカクニン</t>
    </rPh>
    <phoneticPr fontId="6"/>
  </si>
  <si>
    <t>パルくらす8月3回差分予測</t>
    <rPh sb="6" eb="7">
      <t>ガツ</t>
    </rPh>
    <rPh sb="8" eb="9">
      <t>カイ</t>
    </rPh>
    <rPh sb="9" eb="13">
      <t>サブンヨソク</t>
    </rPh>
    <phoneticPr fontId="6"/>
  </si>
  <si>
    <t>パルくらす8月3回（2色組・不透明袋）</t>
    <rPh sb="6" eb="7">
      <t>ガツ</t>
    </rPh>
    <rPh sb="8" eb="9">
      <t>カイ</t>
    </rPh>
    <phoneticPr fontId="6"/>
  </si>
  <si>
    <t>点7/31、アバウト・初回8/12、最終発注日8/18</t>
    <rPh sb="0" eb="1">
      <t>テン</t>
    </rPh>
    <rPh sb="11" eb="13">
      <t>ショカイ</t>
    </rPh>
    <rPh sb="18" eb="23">
      <t>サイシュウハッチュウビ</t>
    </rPh>
    <phoneticPr fontId="6"/>
  </si>
  <si>
    <t>ニッセン24年秋号楽市⑫</t>
    <rPh sb="6" eb="7">
      <t>ネン</t>
    </rPh>
    <rPh sb="7" eb="9">
      <t>アキゴウ</t>
    </rPh>
    <rPh sb="9" eb="11">
      <t>ラクイチ</t>
    </rPh>
    <phoneticPr fontId="6"/>
  </si>
  <si>
    <t>IEIヴィヴァン1月号同梱カタログ/4色組⑤</t>
    <rPh sb="9" eb="11">
      <t>ガツゴウ</t>
    </rPh>
    <rPh sb="11" eb="13">
      <t>ドウコン</t>
    </rPh>
    <rPh sb="19" eb="21">
      <t>ショクグミ</t>
    </rPh>
    <phoneticPr fontId="2"/>
  </si>
  <si>
    <t>ハルメク・アルファ⑬</t>
    <phoneticPr fontId="6"/>
  </si>
  <si>
    <t>ハルメク・アルファ⑭</t>
    <phoneticPr fontId="6"/>
  </si>
  <si>
    <t>ニッセン24年秋号楽市⑬</t>
    <rPh sb="6" eb="7">
      <t>ネン</t>
    </rPh>
    <rPh sb="7" eb="9">
      <t>アキゴウ</t>
    </rPh>
    <rPh sb="9" eb="11">
      <t>ラクイチ</t>
    </rPh>
    <phoneticPr fontId="6"/>
  </si>
  <si>
    <t>ハルメク・アルファ⑮</t>
    <phoneticPr fontId="6"/>
  </si>
  <si>
    <t>わいわいバザールPLUS25年春号2色組（ベルーナ）⑧</t>
    <rPh sb="14" eb="15">
      <t>ネン</t>
    </rPh>
    <rPh sb="15" eb="17">
      <t>ハルゴウ</t>
    </rPh>
    <rPh sb="18" eb="20">
      <t>ショククミ</t>
    </rPh>
    <phoneticPr fontId="6"/>
  </si>
  <si>
    <t>ハルメク・アルファ⑯</t>
    <phoneticPr fontId="6"/>
  </si>
  <si>
    <t>追加</t>
    <rPh sb="0" eb="2">
      <t>ツイカ</t>
    </rPh>
    <phoneticPr fontId="6"/>
  </si>
  <si>
    <t>ハルメク・アルファ⑰</t>
    <phoneticPr fontId="6"/>
  </si>
  <si>
    <t>7/25～10/31</t>
    <phoneticPr fontId="2"/>
  </si>
  <si>
    <t>ハルメクアルファ9528チラシ/2色組</t>
    <rPh sb="17" eb="19">
      <t>ショククミ</t>
    </rPh>
    <phoneticPr fontId="2"/>
  </si>
  <si>
    <t>ハルメクアルファ9498チラシ/2色組</t>
    <rPh sb="17" eb="19">
      <t>ショククミ</t>
    </rPh>
    <phoneticPr fontId="6"/>
  </si>
  <si>
    <t>ハルメクアルファ9528チラシ/2色組差分予測</t>
    <rPh sb="17" eb="19">
      <t>ショククミ</t>
    </rPh>
    <rPh sb="19" eb="23">
      <t>サブンヨソク</t>
    </rPh>
    <phoneticPr fontId="2"/>
  </si>
  <si>
    <t>かりん</t>
  </si>
  <si>
    <t>西夢</t>
    <rPh sb="0" eb="2">
      <t>ニシユメ</t>
    </rPh>
    <phoneticPr fontId="6"/>
  </si>
  <si>
    <t>ハルメク・アルファ⑱</t>
    <phoneticPr fontId="6"/>
  </si>
  <si>
    <t>電話注文</t>
    <rPh sb="0" eb="4">
      <t>デンワチュウモン</t>
    </rPh>
    <phoneticPr fontId="6"/>
  </si>
  <si>
    <t>ベルーナsample(くらしのお便り)返却</t>
    <rPh sb="16" eb="17">
      <t>タヨ</t>
    </rPh>
    <rPh sb="19" eb="21">
      <t>ヘンキャク</t>
    </rPh>
    <phoneticPr fontId="6"/>
  </si>
  <si>
    <t>わいわいバザールPLUS25年春号2色組（ベルーナ）⑨</t>
    <rPh sb="14" eb="15">
      <t>ネン</t>
    </rPh>
    <rPh sb="15" eb="17">
      <t>ハルゴウ</t>
    </rPh>
    <rPh sb="18" eb="20">
      <t>ショククミ</t>
    </rPh>
    <phoneticPr fontId="6"/>
  </si>
  <si>
    <t>ハルメクアルファ9538チラシ/2色組差分予測</t>
    <rPh sb="17" eb="19">
      <t>ショククミ</t>
    </rPh>
    <rPh sb="19" eb="23">
      <t>サブンヨソク</t>
    </rPh>
    <phoneticPr fontId="2"/>
  </si>
  <si>
    <t>ハルメクアルファ9538チラシ/2色組</t>
    <rPh sb="17" eb="19">
      <t>ショククミ</t>
    </rPh>
    <phoneticPr fontId="2"/>
  </si>
  <si>
    <t>8/29～11/30</t>
    <phoneticPr fontId="6"/>
  </si>
  <si>
    <t>パルくらす10月2回差分予測</t>
    <rPh sb="7" eb="8">
      <t>ガツ</t>
    </rPh>
    <rPh sb="9" eb="10">
      <t>カイ</t>
    </rPh>
    <rPh sb="10" eb="14">
      <t>サブンヨソク</t>
    </rPh>
    <phoneticPr fontId="6"/>
  </si>
  <si>
    <t>パルくらす10月2回（2色組・不透明袋）</t>
    <rPh sb="7" eb="8">
      <t>ガツ</t>
    </rPh>
    <rPh sb="9" eb="10">
      <t>カイ</t>
    </rPh>
    <phoneticPr fontId="6"/>
  </si>
  <si>
    <t>点9/18、アバウト・初回9/30、10/1～6</t>
    <rPh sb="0" eb="1">
      <t>テン</t>
    </rPh>
    <rPh sb="11" eb="13">
      <t>ショカイ</t>
    </rPh>
    <phoneticPr fontId="6"/>
  </si>
  <si>
    <t>JODアクセス7011/2色組</t>
    <rPh sb="13" eb="15">
      <t>ショククミ</t>
    </rPh>
    <phoneticPr fontId="6"/>
  </si>
  <si>
    <t>8/18～</t>
    <phoneticPr fontId="6"/>
  </si>
  <si>
    <t>かりん</t>
    <phoneticPr fontId="6"/>
  </si>
  <si>
    <t>コープ九州7月3回（不透明袋）①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</si>
  <si>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くらし企画(選定会議用smple)橋本さん返却</t>
    <rPh sb="3" eb="5">
      <t>キカク</t>
    </rPh>
    <rPh sb="6" eb="11">
      <t>センテイカイギヨウ</t>
    </rPh>
    <rPh sb="17" eb="19">
      <t>ハシモト</t>
    </rPh>
    <rPh sb="21" eb="23">
      <t>ヘンキャク</t>
    </rPh>
    <phoneticPr fontId="6"/>
  </si>
  <si>
    <t>20２４年４月～２０２５年６月末</t>
    <rPh sb="4" eb="5">
      <t>ネン</t>
    </rPh>
    <rPh sb="6" eb="7">
      <t>ガツ</t>
    </rPh>
    <rPh sb="12" eb="13">
      <t>ネン</t>
    </rPh>
    <rPh sb="14" eb="15">
      <t>ガツ</t>
    </rPh>
    <rPh sb="15" eb="16">
      <t>マツ</t>
    </rPh>
    <phoneticPr fontId="6"/>
  </si>
  <si>
    <t>在庫構成比</t>
    <rPh sb="0" eb="2">
      <t>ザイコ</t>
    </rPh>
    <rPh sb="2" eb="5">
      <t>コウセイヒ</t>
    </rPh>
    <phoneticPr fontId="6"/>
  </si>
  <si>
    <t>20２３年４月～２０２５年６月末</t>
    <rPh sb="4" eb="5">
      <t>ネン</t>
    </rPh>
    <rPh sb="6" eb="7">
      <t>ガツ</t>
    </rPh>
    <rPh sb="12" eb="13">
      <t>ネン</t>
    </rPh>
    <rPh sb="14" eb="15">
      <t>ガツ</t>
    </rPh>
    <rPh sb="15" eb="16">
      <t>マツ</t>
    </rPh>
    <phoneticPr fontId="6"/>
  </si>
  <si>
    <t xml:space="preserve">追加２ </t>
    <phoneticPr fontId="2"/>
  </si>
  <si>
    <t>コープ九州7月3回（不透明袋）②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</si>
  <si>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コープ九州7月3回（不透明袋）③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</si>
  <si>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コープ九州7月3回（不透明袋）④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6"/>
  </si>
  <si>
    <t>ハルメク・アルファ⑲</t>
    <phoneticPr fontId="6"/>
  </si>
  <si>
    <t>西夢確保</t>
    <rPh sb="0" eb="2">
      <t>ニシユメ</t>
    </rPh>
    <rPh sb="2" eb="4">
      <t>カクホ</t>
    </rPh>
    <phoneticPr fontId="6"/>
  </si>
  <si>
    <t>ベルーナ返品</t>
    <rPh sb="4" eb="6">
      <t>ヘンピン</t>
    </rPh>
    <phoneticPr fontId="2"/>
  </si>
  <si>
    <t>パルくらす8月3回（2色組・不透明袋）①</t>
    <rPh sb="6" eb="7">
      <t>ガツ</t>
    </rPh>
    <rPh sb="8" eb="9">
      <t>カイ</t>
    </rPh>
    <phoneticPr fontId="6"/>
  </si>
  <si>
    <t>ハルメクアルファ9548チラシ/2色組差分予測</t>
    <rPh sb="17" eb="19">
      <t>ショククミ</t>
    </rPh>
    <rPh sb="19" eb="23">
      <t>サブンヨソク</t>
    </rPh>
    <phoneticPr fontId="2"/>
  </si>
  <si>
    <t>ハルメクアルファ9548チラシ/2色組</t>
    <rPh sb="17" eb="19">
      <t>ショククミ</t>
    </rPh>
    <phoneticPr fontId="2"/>
  </si>
  <si>
    <t>9/30～12/31</t>
    <phoneticPr fontId="6"/>
  </si>
  <si>
    <t>コープCSネット10月5回（不透明袋）</t>
    <rPh sb="10" eb="11">
      <t>ガツ</t>
    </rPh>
    <rPh sb="12" eb="13">
      <t>カイ</t>
    </rPh>
    <rPh sb="14" eb="18">
      <t>フトウメイフクロ</t>
    </rPh>
    <phoneticPr fontId="6"/>
  </si>
  <si>
    <t>10/15～29</t>
    <phoneticPr fontId="6"/>
  </si>
  <si>
    <t>西夢</t>
    <rPh sb="0" eb="2">
      <t>ニシユメ</t>
    </rPh>
    <phoneticPr fontId="6"/>
  </si>
  <si>
    <t>ハルメク・アルファ⑳</t>
    <phoneticPr fontId="6"/>
  </si>
  <si>
    <t>ハルメク・アルファ㉑</t>
    <phoneticPr fontId="6"/>
  </si>
  <si>
    <t>ハルメク・アルファ㉒</t>
    <phoneticPr fontId="6"/>
  </si>
  <si>
    <t>パルくらす8月3回（2色組・不透明袋）②</t>
    <rPh sb="6" eb="7">
      <t>ガツ</t>
    </rPh>
    <rPh sb="8" eb="9">
      <t>カイ</t>
    </rPh>
    <phoneticPr fontId="6"/>
  </si>
  <si>
    <t>パルくらす8月3回（2色組・不透明袋）直送③</t>
    <rPh sb="6" eb="7">
      <t>ガツ</t>
    </rPh>
    <rPh sb="8" eb="9">
      <t>カイ</t>
    </rPh>
    <rPh sb="19" eb="21">
      <t>チョクソウ</t>
    </rPh>
    <phoneticPr fontId="6"/>
  </si>
  <si>
    <t>パルくらす11月4回（2色組・不透明袋）差分予測</t>
    <rPh sb="7" eb="8">
      <t>ガツ</t>
    </rPh>
    <rPh sb="9" eb="10">
      <t>カイ</t>
    </rPh>
    <rPh sb="12" eb="13">
      <t>ショク</t>
    </rPh>
    <rPh sb="13" eb="14">
      <t>クミ</t>
    </rPh>
    <rPh sb="15" eb="18">
      <t>フトウメイ</t>
    </rPh>
    <rPh sb="18" eb="19">
      <t>フクロ</t>
    </rPh>
    <rPh sb="20" eb="22">
      <t>サブン</t>
    </rPh>
    <rPh sb="22" eb="24">
      <t>ヨソク</t>
    </rPh>
    <phoneticPr fontId="6"/>
  </si>
  <si>
    <t>パルくらす11月4回（2色組・不透明袋）</t>
    <rPh sb="7" eb="8">
      <t>ガツ</t>
    </rPh>
    <rPh sb="9" eb="10">
      <t>カイ</t>
    </rPh>
    <rPh sb="12" eb="13">
      <t>ショク</t>
    </rPh>
    <rPh sb="13" eb="14">
      <t>クミ</t>
    </rPh>
    <rPh sb="15" eb="18">
      <t>フトウメイ</t>
    </rPh>
    <rPh sb="18" eb="19">
      <t>フクロ</t>
    </rPh>
    <phoneticPr fontId="6"/>
  </si>
  <si>
    <t>点11/6、アバウト・初回11/18、最終発注11/24</t>
    <rPh sb="0" eb="1">
      <t>テン</t>
    </rPh>
    <rPh sb="11" eb="13">
      <t>ショカイ</t>
    </rPh>
    <rPh sb="19" eb="21">
      <t>サイシュウ</t>
    </rPh>
    <rPh sb="21" eb="23">
      <t>ハッチュウ</t>
    </rPh>
    <phoneticPr fontId="6"/>
  </si>
  <si>
    <t>コープ東北サンネット10月4回　単品</t>
    <rPh sb="3" eb="5">
      <t>トウホク</t>
    </rPh>
    <rPh sb="12" eb="13">
      <t>ガツ</t>
    </rPh>
    <rPh sb="14" eb="15">
      <t>カイ</t>
    </rPh>
    <rPh sb="16" eb="18">
      <t>タンピン</t>
    </rPh>
    <phoneticPr fontId="6"/>
  </si>
  <si>
    <t>コープ東北サンネット10月4回（不透明袋）単品</t>
    <rPh sb="3" eb="5">
      <t>トウホク</t>
    </rPh>
    <rPh sb="12" eb="13">
      <t>ガツ</t>
    </rPh>
    <rPh sb="14" eb="15">
      <t>カイ</t>
    </rPh>
    <rPh sb="16" eb="20">
      <t>フトウメイフクロ</t>
    </rPh>
    <rPh sb="21" eb="23">
      <t>タンピン</t>
    </rPh>
    <phoneticPr fontId="6"/>
  </si>
  <si>
    <t>10/1～22</t>
    <phoneticPr fontId="6"/>
  </si>
  <si>
    <t>コープCSネット10月5回差分予測</t>
    <rPh sb="10" eb="11">
      <t>ガツ</t>
    </rPh>
    <rPh sb="12" eb="13">
      <t>カイ</t>
    </rPh>
    <rPh sb="13" eb="17">
      <t>サブンヨソク</t>
    </rPh>
    <phoneticPr fontId="6"/>
  </si>
  <si>
    <t>サクラマチ返品</t>
    <rPh sb="5" eb="7">
      <t>ヘンピン</t>
    </rPh>
    <phoneticPr fontId="6"/>
  </si>
  <si>
    <t>JOD</t>
    <phoneticPr fontId="6"/>
  </si>
  <si>
    <t>JODナースDAY7468/2色組</t>
    <rPh sb="15" eb="17">
      <t>ショククミ</t>
    </rPh>
    <phoneticPr fontId="6"/>
  </si>
  <si>
    <t>9/20～</t>
    <phoneticPr fontId="6"/>
  </si>
  <si>
    <t>←ここまで式確認2025/8/28</t>
    <rPh sb="0" eb="8">
      <t>&lt;-ココマデシキカクニン</t>
    </rPh>
    <phoneticPr fontId="6"/>
  </si>
  <si>
    <t>TACT撮影用sample</t>
    <rPh sb="4" eb="7">
      <t>サツエイヨウ</t>
    </rPh>
    <phoneticPr fontId="6"/>
  </si>
  <si>
    <t>かりん</t>
    <phoneticPr fontId="6"/>
  </si>
  <si>
    <t>追加２  急ぎ分</t>
    <rPh sb="5" eb="6">
      <t>イソ</t>
    </rPh>
    <rPh sb="7" eb="8">
      <t>ブン</t>
    </rPh>
    <phoneticPr fontId="2"/>
  </si>
  <si>
    <t>10/18ship</t>
    <phoneticPr fontId="6"/>
  </si>
  <si>
    <t>ハルメク・アルファ㉓</t>
    <phoneticPr fontId="6"/>
  </si>
  <si>
    <t>ハルメク・アルファ㉔</t>
    <phoneticPr fontId="6"/>
  </si>
  <si>
    <t>ハルメク・アルファ㉕</t>
    <phoneticPr fontId="6"/>
  </si>
  <si>
    <t>サクラマチ返品</t>
    <rPh sb="5" eb="7">
      <t>ヘンピン</t>
    </rPh>
    <phoneticPr fontId="6"/>
  </si>
  <si>
    <t>ハルメク・アルファ㉖</t>
    <phoneticPr fontId="6"/>
  </si>
  <si>
    <t>かりん</t>
    <phoneticPr fontId="6"/>
  </si>
  <si>
    <t>パルくらす10月2回（2色組・不透明袋）①</t>
    <rPh sb="7" eb="8">
      <t>ガツ</t>
    </rPh>
    <rPh sb="9" eb="10">
      <t>カイ</t>
    </rPh>
    <phoneticPr fontId="6"/>
  </si>
  <si>
    <t>パルくらす10月2回（2色組・不透明袋）②</t>
    <rPh sb="7" eb="8">
      <t>ガツ</t>
    </rPh>
    <rPh sb="9" eb="10">
      <t>カイ</t>
    </rPh>
    <phoneticPr fontId="6"/>
  </si>
  <si>
    <t>パルくらす10月2回（2色組・不透明袋）③</t>
    <rPh sb="7" eb="8">
      <t>ガツ</t>
    </rPh>
    <rPh sb="9" eb="10">
      <t>カイ</t>
    </rPh>
    <phoneticPr fontId="6"/>
  </si>
  <si>
    <t>パルくらす10月2回（2色組・不透明袋）④</t>
    <rPh sb="7" eb="8">
      <t>ガツ</t>
    </rPh>
    <rPh sb="9" eb="10">
      <t>カイ</t>
    </rPh>
    <phoneticPr fontId="6"/>
  </si>
  <si>
    <t>ハルメク・アルファ㉗</t>
    <phoneticPr fontId="6"/>
  </si>
  <si>
    <t>夢販</t>
    <rPh sb="0" eb="2">
      <t>ユメハン</t>
    </rPh>
    <phoneticPr fontId="6"/>
  </si>
  <si>
    <t>コープ東北サンネット10月4回（不透明袋）単品①</t>
    <rPh sb="3" eb="5">
      <t>トウホク</t>
    </rPh>
    <rPh sb="12" eb="13">
      <t>ガツ</t>
    </rPh>
    <rPh sb="14" eb="15">
      <t>カイ</t>
    </rPh>
    <rPh sb="16" eb="20">
      <t>フトウメイフクロ</t>
    </rPh>
    <rPh sb="21" eb="23">
      <t>タンピン</t>
    </rPh>
    <phoneticPr fontId="6"/>
  </si>
  <si>
    <t>かりん</t>
    <phoneticPr fontId="6"/>
  </si>
  <si>
    <t>ハルメク・アルファ㉘</t>
    <phoneticPr fontId="6"/>
  </si>
  <si>
    <t>ハルメクアルファ2578チラシ/2色組</t>
    <rPh sb="17" eb="19">
      <t>ショククミ</t>
    </rPh>
    <phoneticPr fontId="2"/>
  </si>
  <si>
    <t>1/5～3/31</t>
    <phoneticPr fontId="6"/>
  </si>
  <si>
    <t>コープ東北サンネット10月4回（不透明袋）単品②</t>
    <rPh sb="3" eb="5">
      <t>トウホク</t>
    </rPh>
    <rPh sb="12" eb="13">
      <t>ガツ</t>
    </rPh>
    <rPh sb="14" eb="15">
      <t>カイ</t>
    </rPh>
    <rPh sb="16" eb="20">
      <t>フトウメイフクロ</t>
    </rPh>
    <rPh sb="21" eb="23">
      <t>タンピン</t>
    </rPh>
    <phoneticPr fontId="6"/>
  </si>
  <si>
    <t>ハルメク・アルファ㉙</t>
    <phoneticPr fontId="6"/>
  </si>
  <si>
    <t>コープ東北サンネット10月4回（不透明袋）単品③</t>
    <rPh sb="3" eb="5">
      <t>トウホク</t>
    </rPh>
    <rPh sb="12" eb="13">
      <t>ガツ</t>
    </rPh>
    <rPh sb="14" eb="15">
      <t>カイ</t>
    </rPh>
    <rPh sb="16" eb="20">
      <t>フトウメイフクロ</t>
    </rPh>
    <rPh sb="21" eb="23">
      <t>タンピン</t>
    </rPh>
    <phoneticPr fontId="6"/>
  </si>
  <si>
    <t>コープ東北サンネット10月4回（不透明袋）単品④</t>
    <rPh sb="3" eb="5">
      <t>トウホク</t>
    </rPh>
    <rPh sb="12" eb="13">
      <t>ガツ</t>
    </rPh>
    <rPh sb="14" eb="15">
      <t>カイ</t>
    </rPh>
    <rPh sb="16" eb="20">
      <t>フトウメイフクロ</t>
    </rPh>
    <rPh sb="21" eb="23">
      <t>タンピン</t>
    </rPh>
    <phoneticPr fontId="6"/>
  </si>
  <si>
    <t>りすぺーる（パル）1月4回（2色組・不透明袋）差分予測</t>
    <rPh sb="10" eb="11">
      <t>ガツ</t>
    </rPh>
    <rPh sb="12" eb="13">
      <t>カイ</t>
    </rPh>
    <rPh sb="15" eb="16">
      <t>ショク</t>
    </rPh>
    <rPh sb="16" eb="17">
      <t>クミ</t>
    </rPh>
    <rPh sb="18" eb="21">
      <t>フトウメイ</t>
    </rPh>
    <rPh sb="21" eb="22">
      <t>フクロ</t>
    </rPh>
    <rPh sb="23" eb="25">
      <t>サブン</t>
    </rPh>
    <rPh sb="25" eb="27">
      <t>ヨソク</t>
    </rPh>
    <phoneticPr fontId="6"/>
  </si>
  <si>
    <t>りすぺーる（パル）1月4回（2色組・不透明袋）</t>
    <rPh sb="10" eb="11">
      <t>ガツ</t>
    </rPh>
    <rPh sb="12" eb="13">
      <t>カイ</t>
    </rPh>
    <rPh sb="15" eb="16">
      <t>ショク</t>
    </rPh>
    <rPh sb="16" eb="17">
      <t>クミ</t>
    </rPh>
    <rPh sb="18" eb="21">
      <t>フトウメイ</t>
    </rPh>
    <rPh sb="21" eb="22">
      <t>フクロ</t>
    </rPh>
    <phoneticPr fontId="6"/>
  </si>
  <si>
    <t>点1/8、アバウト・初回1/20・最終発注1/26</t>
    <rPh sb="0" eb="1">
      <t>テン</t>
    </rPh>
    <rPh sb="10" eb="12">
      <t>ショカイ</t>
    </rPh>
    <rPh sb="17" eb="19">
      <t>サイシュウ</t>
    </rPh>
    <rPh sb="19" eb="21">
      <t>ハッチュウ</t>
    </rPh>
    <phoneticPr fontId="6"/>
  </si>
  <si>
    <t>夢販</t>
    <rPh sb="0" eb="2">
      <t>ユメハン</t>
    </rPh>
    <phoneticPr fontId="6"/>
  </si>
  <si>
    <t>TACT撮影用sample返却</t>
    <rPh sb="4" eb="7">
      <t>サツエイヨウ</t>
    </rPh>
    <rPh sb="13" eb="15">
      <t>ヘンキャク</t>
    </rPh>
    <phoneticPr fontId="6"/>
  </si>
  <si>
    <t>コープ東北サンネット10月4回（不透明袋）単品⑤</t>
    <rPh sb="3" eb="5">
      <t>トウホク</t>
    </rPh>
    <rPh sb="12" eb="13">
      <t>ガツ</t>
    </rPh>
    <rPh sb="14" eb="15">
      <t>カイ</t>
    </rPh>
    <rPh sb="16" eb="20">
      <t>フトウメイフクロ</t>
    </rPh>
    <rPh sb="21" eb="23">
      <t>タンピン</t>
    </rPh>
    <phoneticPr fontId="6"/>
  </si>
  <si>
    <t>コープCSネット10月5回（不透明袋）①</t>
    <rPh sb="10" eb="11">
      <t>ガツ</t>
    </rPh>
    <rPh sb="12" eb="13">
      <t>カイ</t>
    </rPh>
    <rPh sb="14" eb="18">
      <t>フトウメイフクロ</t>
    </rPh>
    <phoneticPr fontId="6"/>
  </si>
  <si>
    <t>ハルメク・アルファ㉚</t>
    <phoneticPr fontId="6"/>
  </si>
  <si>
    <t>12/24～1/7</t>
    <phoneticPr fontId="6"/>
  </si>
  <si>
    <t>ハルメクアルファ2578チラシ/2色組差分予測</t>
    <rPh sb="17" eb="19">
      <t>ショククミ</t>
    </rPh>
    <rPh sb="19" eb="23">
      <t>サブンヨソク</t>
    </rPh>
    <phoneticPr fontId="2"/>
  </si>
  <si>
    <t>ネット返品</t>
    <rPh sb="3" eb="5">
      <t>ヘンピン</t>
    </rPh>
    <phoneticPr fontId="6"/>
  </si>
  <si>
    <t>コープCSネット10月5回（不透明袋）②</t>
    <rPh sb="10" eb="11">
      <t>ガツ</t>
    </rPh>
    <rPh sb="12" eb="13">
      <t>カイ</t>
    </rPh>
    <rPh sb="14" eb="18">
      <t>フトウメイフクロ</t>
    </rPh>
    <phoneticPr fontId="6"/>
  </si>
  <si>
    <t>ネット交換</t>
    <rPh sb="3" eb="5">
      <t>コウカン</t>
    </rPh>
    <phoneticPr fontId="6"/>
  </si>
  <si>
    <t>夢販</t>
    <rPh sb="0" eb="2">
      <t>ユメハン</t>
    </rPh>
    <phoneticPr fontId="6"/>
  </si>
  <si>
    <t>コープ九州２０２６年１月１回差分予測</t>
    <rPh sb="3" eb="5">
      <t>キュウシュウ</t>
    </rPh>
    <rPh sb="9" eb="10">
      <t>ネン</t>
    </rPh>
    <rPh sb="11" eb="12">
      <t>ガツ</t>
    </rPh>
    <rPh sb="13" eb="14">
      <t>カイ</t>
    </rPh>
    <rPh sb="14" eb="18">
      <t>サブンヨソク</t>
    </rPh>
    <phoneticPr fontId="6"/>
  </si>
  <si>
    <t>コープ九州２０２６年１月１回(不透明袋)</t>
    <rPh sb="3" eb="5">
      <t>キュウシュウ</t>
    </rPh>
    <rPh sb="9" eb="10">
      <t>ネン</t>
    </rPh>
    <rPh sb="11" eb="12">
      <t>ガツ</t>
    </rPh>
    <rPh sb="13" eb="14">
      <t>カイ</t>
    </rPh>
    <rPh sb="15" eb="19">
      <t>フトウメイフクロ</t>
    </rPh>
    <phoneticPr fontId="6"/>
  </si>
  <si>
    <t>コープCSネット10月5回（不透明袋）③</t>
    <rPh sb="10" eb="11">
      <t>ガツ</t>
    </rPh>
    <rPh sb="12" eb="13">
      <t>カイ</t>
    </rPh>
    <rPh sb="14" eb="18">
      <t>フトウメイフクロ</t>
    </rPh>
    <phoneticPr fontId="6"/>
  </si>
  <si>
    <t>かりん</t>
    <phoneticPr fontId="6"/>
  </si>
  <si>
    <t>ハルメクアルファ9578チラシ/2色組</t>
    <rPh sb="17" eb="19">
      <t>ショククミ</t>
    </rPh>
    <phoneticPr fontId="2"/>
  </si>
  <si>
    <t>西夢</t>
    <rPh sb="0" eb="2">
      <t>ニシユメ</t>
    </rPh>
    <phoneticPr fontId="6"/>
  </si>
  <si>
    <t>JOD</t>
  </si>
  <si>
    <t>電話注文</t>
    <rPh sb="0" eb="2">
      <t>デンワ</t>
    </rPh>
    <rPh sb="2" eb="4">
      <t>チュウモン</t>
    </rPh>
    <phoneticPr fontId="6"/>
  </si>
  <si>
    <t>2025/10/30数伝</t>
    <rPh sb="10" eb="11">
      <t>スウ</t>
    </rPh>
    <rPh sb="11" eb="12">
      <t>デン</t>
    </rPh>
    <phoneticPr fontId="6"/>
  </si>
  <si>
    <t>夢販</t>
    <rPh sb="0" eb="2">
      <t>ユメハン</t>
    </rPh>
    <phoneticPr fontId="6"/>
  </si>
  <si>
    <t>11/3ship</t>
    <phoneticPr fontId="6"/>
  </si>
  <si>
    <t>夢販</t>
    <rPh sb="0" eb="2">
      <t>ユメハン</t>
    </rPh>
    <phoneticPr fontId="6"/>
  </si>
  <si>
    <t>わいわいバザールPLUS26年春号2色組（ベルーナ）</t>
    <rPh sb="14" eb="15">
      <t>ネン</t>
    </rPh>
    <rPh sb="15" eb="17">
      <t>ハルゴウ</t>
    </rPh>
    <rPh sb="18" eb="20">
      <t>ショククミ</t>
    </rPh>
    <phoneticPr fontId="6"/>
  </si>
  <si>
    <t>2/25～6/30</t>
    <phoneticPr fontId="6"/>
  </si>
  <si>
    <t>わいわいバザールPLUS26年春号2色組差分予測</t>
    <rPh sb="14" eb="15">
      <t>ネン</t>
    </rPh>
    <rPh sb="15" eb="17">
      <t>ハルゴウ</t>
    </rPh>
    <rPh sb="18" eb="20">
      <t>ショククミ</t>
    </rPh>
    <rPh sb="20" eb="24">
      <t>サブンヨソク</t>
    </rPh>
    <phoneticPr fontId="6"/>
  </si>
  <si>
    <t>パルくらす11月4回（2色組・不透明袋）①</t>
    <rPh sb="7" eb="8">
      <t>ガツ</t>
    </rPh>
    <rPh sb="9" eb="10">
      <t>カイ</t>
    </rPh>
    <rPh sb="12" eb="13">
      <t>ショク</t>
    </rPh>
    <rPh sb="13" eb="14">
      <t>クミ</t>
    </rPh>
    <rPh sb="15" eb="18">
      <t>フトウメイ</t>
    </rPh>
    <rPh sb="18" eb="19">
      <t>フクロ</t>
    </rPh>
    <phoneticPr fontId="6"/>
  </si>
  <si>
    <t>パルくらす11月4回（2色組・不透明袋）②</t>
    <rPh sb="7" eb="8">
      <t>ガツ</t>
    </rPh>
    <rPh sb="9" eb="10">
      <t>カイ</t>
    </rPh>
    <rPh sb="12" eb="13">
      <t>ショク</t>
    </rPh>
    <rPh sb="13" eb="14">
      <t>クミ</t>
    </rPh>
    <rPh sb="15" eb="18">
      <t>フトウメイ</t>
    </rPh>
    <rPh sb="18" eb="19">
      <t>フクロ</t>
    </rPh>
    <phoneticPr fontId="6"/>
  </si>
  <si>
    <t>パルくらす11月4回（3色組・不透明袋）③</t>
    <rPh sb="7" eb="8">
      <t>ガツ</t>
    </rPh>
    <rPh sb="9" eb="10">
      <t>カイ</t>
    </rPh>
    <rPh sb="12" eb="13">
      <t>ショク</t>
    </rPh>
    <rPh sb="13" eb="14">
      <t>クミ</t>
    </rPh>
    <rPh sb="15" eb="18">
      <t>フトウメイ</t>
    </rPh>
    <rPh sb="18" eb="19">
      <t>フクロ</t>
    </rPh>
    <phoneticPr fontId="6"/>
  </si>
  <si>
    <t>夢販</t>
    <rPh sb="0" eb="2">
      <t>y</t>
    </rPh>
    <phoneticPr fontId="6"/>
  </si>
  <si>
    <t>パルくらす11月4回（3色組・不透明袋）④</t>
    <rPh sb="7" eb="8">
      <t>ガツ</t>
    </rPh>
    <rPh sb="9" eb="10">
      <t>カイ</t>
    </rPh>
    <rPh sb="12" eb="13">
      <t>ショク</t>
    </rPh>
    <rPh sb="13" eb="14">
      <t>クミ</t>
    </rPh>
    <rPh sb="15" eb="18">
      <t>フトウメイ</t>
    </rPh>
    <rPh sb="18" eb="19">
      <t>フクロ</t>
    </rPh>
    <phoneticPr fontId="6"/>
  </si>
  <si>
    <t>ハルメクアルファ9596チラシ/2色組</t>
    <rPh sb="17" eb="19">
      <t>ショククミ</t>
    </rPh>
    <phoneticPr fontId="2"/>
  </si>
  <si>
    <t>ハルメクアルファ9596チラシ/2色組差分予測</t>
    <rPh sb="17" eb="19">
      <t>ショククミ</t>
    </rPh>
    <rPh sb="19" eb="23">
      <t>サブンヨソク</t>
    </rPh>
    <phoneticPr fontId="2"/>
  </si>
  <si>
    <t>2/27～5/31</t>
    <phoneticPr fontId="6"/>
  </si>
  <si>
    <t>ハルメク・アルファ㉛</t>
    <phoneticPr fontId="6"/>
  </si>
  <si>
    <t>2025/11/11数伝</t>
    <rPh sb="10" eb="11">
      <t>スウ</t>
    </rPh>
    <rPh sb="11" eb="12">
      <t>デン</t>
    </rPh>
    <phoneticPr fontId="6"/>
  </si>
  <si>
    <t>夢販</t>
    <rPh sb="0" eb="2">
      <t>ユメハン</t>
    </rPh>
    <phoneticPr fontId="6"/>
  </si>
  <si>
    <t>1/3ship</t>
    <phoneticPr fontId="6"/>
  </si>
  <si>
    <t>りすぺーる（パル）3月4回（2色組・不透明袋）差分予測</t>
    <rPh sb="10" eb="11">
      <t>ガツ</t>
    </rPh>
    <rPh sb="12" eb="13">
      <t>カイ</t>
    </rPh>
    <rPh sb="15" eb="16">
      <t>ショク</t>
    </rPh>
    <rPh sb="16" eb="17">
      <t>クミ</t>
    </rPh>
    <rPh sb="18" eb="21">
      <t>フトウメイ</t>
    </rPh>
    <rPh sb="21" eb="22">
      <t>フクロ</t>
    </rPh>
    <rPh sb="23" eb="25">
      <t>サブン</t>
    </rPh>
    <rPh sb="25" eb="27">
      <t>ヨソク</t>
    </rPh>
    <phoneticPr fontId="6"/>
  </si>
  <si>
    <t>りすぺーる（パル）3月4回（2色組・不透明袋）</t>
    <rPh sb="10" eb="11">
      <t>ガツ</t>
    </rPh>
    <rPh sb="12" eb="13">
      <t>カイ</t>
    </rPh>
    <rPh sb="15" eb="16">
      <t>ショク</t>
    </rPh>
    <rPh sb="16" eb="17">
      <t>クミ</t>
    </rPh>
    <rPh sb="18" eb="21">
      <t>フトウメイ</t>
    </rPh>
    <rPh sb="21" eb="22">
      <t>フクロ</t>
    </rPh>
    <phoneticPr fontId="6"/>
  </si>
  <si>
    <t>点3/5、アバウト・初回3/17・最終発注3/23</t>
    <rPh sb="0" eb="1">
      <t>テン</t>
    </rPh>
    <rPh sb="10" eb="12">
      <t>ショカイ</t>
    </rPh>
    <rPh sb="17" eb="19">
      <t>サイシュウ</t>
    </rPh>
    <rPh sb="19" eb="21">
      <t>ハッチュウ</t>
    </rPh>
    <phoneticPr fontId="6"/>
  </si>
  <si>
    <t>ハルメクアルファ2592健康と暮らし/2色組</t>
    <rPh sb="12" eb="14">
      <t>ケンコウ</t>
    </rPh>
    <rPh sb="15" eb="16">
      <t>ク</t>
    </rPh>
    <rPh sb="20" eb="22">
      <t>ショククミ</t>
    </rPh>
    <phoneticPr fontId="2"/>
  </si>
  <si>
    <t>ハルメクアルファ2592健康と暮らし/2色組差分予測</t>
    <rPh sb="12" eb="14">
      <t>ケンコウ</t>
    </rPh>
    <rPh sb="15" eb="16">
      <t>ク</t>
    </rPh>
    <rPh sb="20" eb="21">
      <t>ショク</t>
    </rPh>
    <rPh sb="21" eb="22">
      <t>クミ</t>
    </rPh>
    <rPh sb="22" eb="26">
      <t>サブンヨソク</t>
    </rPh>
    <phoneticPr fontId="2"/>
  </si>
  <si>
    <t>ハルメク・アルファ2452健康と暮らし/2色組</t>
    <rPh sb="13" eb="15">
      <t>ケンコウ</t>
    </rPh>
    <rPh sb="16" eb="17">
      <t>ク</t>
    </rPh>
    <rPh sb="21" eb="23">
      <t>ショククミ</t>
    </rPh>
    <phoneticPr fontId="6"/>
  </si>
  <si>
    <t>ハルメク・アルファ2472健康と暮らし/2色組</t>
    <rPh sb="13" eb="15">
      <t>ケンコウ</t>
    </rPh>
    <rPh sb="16" eb="17">
      <t>ク</t>
    </rPh>
    <rPh sb="21" eb="23">
      <t>ショククミ</t>
    </rPh>
    <phoneticPr fontId="6"/>
  </si>
  <si>
    <t>ハルメク・アルファ2482健康と暮らし/2色組</t>
    <rPh sb="13" eb="15">
      <t>ケンコウ</t>
    </rPh>
    <rPh sb="16" eb="17">
      <t>ク</t>
    </rPh>
    <rPh sb="21" eb="23">
      <t>ショククミ</t>
    </rPh>
    <phoneticPr fontId="6"/>
  </si>
  <si>
    <t>コープ九州２０２６年１月１回(不透明袋)①</t>
    <rPh sb="3" eb="5">
      <t>キュウシュウ</t>
    </rPh>
    <rPh sb="9" eb="10">
      <t>ネン</t>
    </rPh>
    <rPh sb="11" eb="12">
      <t>ガツ</t>
    </rPh>
    <rPh sb="13" eb="14">
      <t>カイ</t>
    </rPh>
    <rPh sb="15" eb="19">
      <t>フトウメイフクロ</t>
    </rPh>
    <phoneticPr fontId="6"/>
  </si>
  <si>
    <t>サクラマチ返品</t>
    <rPh sb="5" eb="7">
      <t>ヘンピン</t>
    </rPh>
    <phoneticPr fontId="6"/>
  </si>
  <si>
    <t>コープ九州２０２６年4月5回差分予測</t>
    <rPh sb="3" eb="5">
      <t>キュウシュウ</t>
    </rPh>
    <rPh sb="9" eb="10">
      <t>ネン</t>
    </rPh>
    <rPh sb="11" eb="12">
      <t>ガツ</t>
    </rPh>
    <rPh sb="13" eb="14">
      <t>カイ</t>
    </rPh>
    <rPh sb="14" eb="18">
      <t>サブンヨソク</t>
    </rPh>
    <phoneticPr fontId="6"/>
  </si>
  <si>
    <t>コープ九州２０２６年4月5回(不透明袋)</t>
    <rPh sb="3" eb="5">
      <t>キュウシュウ</t>
    </rPh>
    <rPh sb="9" eb="10">
      <t>ネン</t>
    </rPh>
    <rPh sb="11" eb="12">
      <t>ガツ</t>
    </rPh>
    <rPh sb="13" eb="14">
      <t>カイ</t>
    </rPh>
    <rPh sb="15" eb="19">
      <t>フトウメイフクロ</t>
    </rPh>
    <phoneticPr fontId="6"/>
  </si>
  <si>
    <t>4/15～4/19</t>
    <phoneticPr fontId="6"/>
  </si>
  <si>
    <t>村田さん</t>
    <rPh sb="0" eb="2">
      <t>ムラタ</t>
    </rPh>
    <phoneticPr fontId="6"/>
  </si>
  <si>
    <t>なごみ3月号DM</t>
    <rPh sb="4" eb="6">
      <t>ガツゴウ</t>
    </rPh>
    <phoneticPr fontId="6"/>
  </si>
  <si>
    <t>3/1～5/10</t>
    <phoneticPr fontId="6"/>
  </si>
  <si>
    <t>コープ九州直送</t>
    <rPh sb="3" eb="5">
      <t>キュウシュウ</t>
    </rPh>
    <rPh sb="5" eb="7">
      <t>チョクソウ</t>
    </rPh>
    <phoneticPr fontId="6"/>
  </si>
  <si>
    <t>なごみ検品用sample</t>
    <rPh sb="3" eb="6">
      <t>ケンピンヨウ</t>
    </rPh>
    <phoneticPr fontId="6"/>
  </si>
  <si>
    <t>東北サンネット２月４回</t>
    <rPh sb="0" eb="2">
      <t>トウホク</t>
    </rPh>
    <rPh sb="8" eb="9">
      <t>ガツ</t>
    </rPh>
    <rPh sb="10" eb="11">
      <t>カイ</t>
    </rPh>
    <phoneticPr fontId="6"/>
  </si>
  <si>
    <t>東北サンネット２月４回　差分予測</t>
    <rPh sb="0" eb="2">
      <t>トウホク</t>
    </rPh>
    <rPh sb="8" eb="9">
      <t>ガツ</t>
    </rPh>
    <rPh sb="10" eb="11">
      <t>カイ</t>
    </rPh>
    <rPh sb="12" eb="16">
      <t>サブンヨソク</t>
    </rPh>
    <phoneticPr fontId="6"/>
  </si>
  <si>
    <t>2/11～2/25</t>
    <phoneticPr fontId="6"/>
  </si>
  <si>
    <t>なごみ3月号DM①</t>
    <rPh sb="4" eb="6">
      <t>ガツゴウ</t>
    </rPh>
    <phoneticPr fontId="6"/>
  </si>
  <si>
    <t>2026/1/9数</t>
    <rPh sb="8" eb="9">
      <t>スウ</t>
    </rPh>
    <phoneticPr fontId="6"/>
  </si>
  <si>
    <t>ハルメク・アルファ㉜</t>
    <phoneticPr fontId="6"/>
  </si>
  <si>
    <t>ハルメク・アルファ㉝</t>
    <phoneticPr fontId="6"/>
  </si>
  <si>
    <t>かりん</t>
    <phoneticPr fontId="6"/>
  </si>
  <si>
    <t>ハルメク・アルファ㉞</t>
    <phoneticPr fontId="6"/>
  </si>
  <si>
    <t>ハルメク・アルファ㉟</t>
    <phoneticPr fontId="6"/>
  </si>
  <si>
    <t>ゆめはん</t>
    <phoneticPr fontId="6"/>
  </si>
  <si>
    <t>りすぺーる（パル）1月4回（2色組・不透明袋）①</t>
    <rPh sb="10" eb="11">
      <t>ガツ</t>
    </rPh>
    <rPh sb="12" eb="13">
      <t>カイ</t>
    </rPh>
    <rPh sb="15" eb="16">
      <t>ショク</t>
    </rPh>
    <rPh sb="16" eb="17">
      <t>クミ</t>
    </rPh>
    <rPh sb="18" eb="21">
      <t>フトウメイ</t>
    </rPh>
    <rPh sb="21" eb="22">
      <t>フクロ</t>
    </rPh>
    <phoneticPr fontId="6"/>
  </si>
  <si>
    <t>4/22～30</t>
    <phoneticPr fontId="6"/>
  </si>
  <si>
    <t>グリーンコープ　4月6号　差分予測</t>
    <rPh sb="9" eb="10">
      <t>ガツ</t>
    </rPh>
    <rPh sb="11" eb="12">
      <t>ゴウ</t>
    </rPh>
    <rPh sb="13" eb="17">
      <t>サブンヨソク</t>
    </rPh>
    <phoneticPr fontId="6"/>
  </si>
  <si>
    <t>りすぺーる（パル）1月4回（2色組・不透明袋）②</t>
    <rPh sb="10" eb="11">
      <t>ガツ</t>
    </rPh>
    <rPh sb="12" eb="13">
      <t>カイ</t>
    </rPh>
    <rPh sb="15" eb="16">
      <t>ショク</t>
    </rPh>
    <rPh sb="16" eb="17">
      <t>クミ</t>
    </rPh>
    <rPh sb="18" eb="21">
      <t>フトウメイ</t>
    </rPh>
    <rPh sb="21" eb="22">
      <t>フクロ</t>
    </rPh>
    <phoneticPr fontId="6"/>
  </si>
  <si>
    <t>ハルメク・アルファ㊱</t>
    <phoneticPr fontId="6"/>
  </si>
  <si>
    <t>ハルメク・アルファ㊲</t>
    <phoneticPr fontId="6"/>
  </si>
  <si>
    <t>西夢取り置き</t>
    <rPh sb="0" eb="3">
      <t>ニシユメト</t>
    </rPh>
    <rPh sb="4" eb="5">
      <t>オ</t>
    </rPh>
    <phoneticPr fontId="6"/>
  </si>
  <si>
    <t>わいわいバザールPLUS26年春号2色組（ベルーナ）①</t>
    <rPh sb="14" eb="15">
      <t>ネン</t>
    </rPh>
    <rPh sb="15" eb="17">
      <t>ハルゴウ</t>
    </rPh>
    <rPh sb="18" eb="20">
      <t>ショククミ</t>
    </rPh>
    <phoneticPr fontId="6"/>
  </si>
  <si>
    <t>かりん</t>
    <phoneticPr fontId="6"/>
  </si>
  <si>
    <t>西夢</t>
    <rPh sb="0" eb="2">
      <t>ニシユメ</t>
    </rPh>
    <phoneticPr fontId="6"/>
  </si>
  <si>
    <t>ハルメク・アルファ㊳</t>
    <phoneticPr fontId="6"/>
  </si>
  <si>
    <t>東北サンネット２月４回①</t>
    <rPh sb="0" eb="2">
      <t>トウホク</t>
    </rPh>
    <rPh sb="8" eb="9">
      <t>ガツ</t>
    </rPh>
    <rPh sb="10" eb="11">
      <t>カイ</t>
    </rPh>
    <phoneticPr fontId="6"/>
  </si>
  <si>
    <t>ネット</t>
    <phoneticPr fontId="6"/>
  </si>
  <si>
    <t>りすぺーる（パル）5月4回（2色組・不透明袋）</t>
    <rPh sb="10" eb="11">
      <t>ガツ</t>
    </rPh>
    <rPh sb="12" eb="13">
      <t>カイ</t>
    </rPh>
    <rPh sb="15" eb="16">
      <t>ショク</t>
    </rPh>
    <rPh sb="16" eb="17">
      <t>クミ</t>
    </rPh>
    <rPh sb="18" eb="21">
      <t>フトウメイ</t>
    </rPh>
    <rPh sb="21" eb="22">
      <t>フクロ</t>
    </rPh>
    <phoneticPr fontId="6"/>
  </si>
  <si>
    <t>りすぺーる（パル）5月4回（2色組・不透明袋）差分予測</t>
    <rPh sb="10" eb="11">
      <t>ガツ</t>
    </rPh>
    <rPh sb="12" eb="13">
      <t>カイ</t>
    </rPh>
    <rPh sb="15" eb="16">
      <t>ショク</t>
    </rPh>
    <rPh sb="16" eb="17">
      <t>クミ</t>
    </rPh>
    <rPh sb="18" eb="21">
      <t>フトウメイ</t>
    </rPh>
    <rPh sb="21" eb="22">
      <t>フクロ</t>
    </rPh>
    <rPh sb="23" eb="25">
      <t>サブン</t>
    </rPh>
    <rPh sb="25" eb="27">
      <t>ヨソク</t>
    </rPh>
    <phoneticPr fontId="6"/>
  </si>
  <si>
    <t>点4/28、アバウト・初回5/19・最終発注日5/25</t>
    <rPh sb="0" eb="1">
      <t>テン</t>
    </rPh>
    <rPh sb="11" eb="13">
      <t>ショカイ</t>
    </rPh>
    <rPh sb="18" eb="20">
      <t>サイシュウ</t>
    </rPh>
    <rPh sb="20" eb="22">
      <t>ハッチュウ</t>
    </rPh>
    <rPh sb="22" eb="23">
      <t>ニチ</t>
    </rPh>
    <phoneticPr fontId="6"/>
  </si>
  <si>
    <t>西夢取り置き</t>
    <rPh sb="0" eb="3">
      <t>ニシユメト</t>
    </rPh>
    <rPh sb="4" eb="5">
      <t>オ</t>
    </rPh>
    <phoneticPr fontId="6"/>
  </si>
  <si>
    <t>東北サンネット２月４回②</t>
    <rPh sb="0" eb="2">
      <t>トウホク</t>
    </rPh>
    <rPh sb="8" eb="9">
      <t>ガツ</t>
    </rPh>
    <rPh sb="10" eb="11">
      <t>カイ</t>
    </rPh>
    <phoneticPr fontId="6"/>
  </si>
  <si>
    <t>東北サンネット２月４回③</t>
    <rPh sb="0" eb="2">
      <t>トウホク</t>
    </rPh>
    <rPh sb="8" eb="9">
      <t>ガツ</t>
    </rPh>
    <rPh sb="10" eb="11">
      <t>カイ</t>
    </rPh>
    <phoneticPr fontId="6"/>
  </si>
  <si>
    <t>サクラマチ返品</t>
    <rPh sb="5" eb="7">
      <t>ヘンピン</t>
    </rPh>
    <phoneticPr fontId="6"/>
  </si>
  <si>
    <t>東北サンネット２月４回④</t>
    <rPh sb="0" eb="2">
      <t>トウホク</t>
    </rPh>
    <rPh sb="8" eb="9">
      <t>ガツ</t>
    </rPh>
    <rPh sb="10" eb="11">
      <t>カイ</t>
    </rPh>
    <phoneticPr fontId="6"/>
  </si>
  <si>
    <t>東北サンネット２月４回⑤</t>
    <rPh sb="0" eb="2">
      <t>トウホク</t>
    </rPh>
    <rPh sb="8" eb="9">
      <t>ガツ</t>
    </rPh>
    <rPh sb="10" eb="11">
      <t>カイ</t>
    </rPh>
    <phoneticPr fontId="6"/>
  </si>
  <si>
    <t>かりん</t>
    <phoneticPr fontId="6"/>
  </si>
  <si>
    <t>ネット</t>
    <phoneticPr fontId="6"/>
  </si>
  <si>
    <t>西夢</t>
    <rPh sb="0" eb="2">
      <t>ニシユメ</t>
    </rPh>
    <phoneticPr fontId="6"/>
  </si>
  <si>
    <t>←ここまで在庫確認済2026/2/25</t>
    <rPh sb="5" eb="10">
      <t>ザイコカクニンスミ</t>
    </rPh>
    <phoneticPr fontId="6"/>
  </si>
  <si>
    <t>ニッセン㉔</t>
    <phoneticPr fontId="6"/>
  </si>
  <si>
    <t>5/29～8/31</t>
    <phoneticPr fontId="6"/>
  </si>
  <si>
    <t>5/1～7/31</t>
    <phoneticPr fontId="6"/>
  </si>
  <si>
    <t>わいわいバザールPLUS26年春号2色組（ベルーナ）②</t>
    <rPh sb="14" eb="15">
      <t>ネン</t>
    </rPh>
    <rPh sb="15" eb="17">
      <t>ハルゴウ</t>
    </rPh>
    <rPh sb="18" eb="20">
      <t>ショククミ</t>
    </rPh>
    <phoneticPr fontId="6"/>
  </si>
  <si>
    <t>ニッセン㉕</t>
    <phoneticPr fontId="6"/>
  </si>
  <si>
    <t>なごみ3月号DM②</t>
    <rPh sb="4" eb="6">
      <t>ガツゴウ</t>
    </rPh>
    <phoneticPr fontId="6"/>
  </si>
  <si>
    <t>ハルメク・アルファ㊴</t>
    <phoneticPr fontId="6"/>
  </si>
  <si>
    <t>グリーンコープ　4月6号（不透明袋）サクラマチ</t>
    <rPh sb="9" eb="10">
      <t>ガツ</t>
    </rPh>
    <rPh sb="11" eb="12">
      <t>ゴウ</t>
    </rPh>
    <rPh sb="13" eb="17">
      <t>フトウメイフクロ</t>
    </rPh>
    <phoneticPr fontId="6"/>
  </si>
  <si>
    <t>なごみ3月号DM③</t>
    <rPh sb="4" eb="6">
      <t>ガツゴウ</t>
    </rPh>
    <phoneticPr fontId="6"/>
  </si>
  <si>
    <t>わいわいバザールPLUS26年春号2色組（ベルーナ）③</t>
    <rPh sb="14" eb="15">
      <t>ネン</t>
    </rPh>
    <rPh sb="15" eb="17">
      <t>ハルゴウ</t>
    </rPh>
    <rPh sb="18" eb="20">
      <t>ショククミ</t>
    </rPh>
    <phoneticPr fontId="6"/>
  </si>
  <si>
    <t>なごみ3月号DM④</t>
    <rPh sb="4" eb="6">
      <t>ガツゴウ</t>
    </rPh>
    <phoneticPr fontId="6"/>
  </si>
  <si>
    <t>りすぺーる（パル）3月4回（2色組・不透明袋）①</t>
    <rPh sb="10" eb="11">
      <t>ガツ</t>
    </rPh>
    <rPh sb="12" eb="13">
      <t>カイ</t>
    </rPh>
    <rPh sb="15" eb="16">
      <t>ショク</t>
    </rPh>
    <rPh sb="16" eb="17">
      <t>クミ</t>
    </rPh>
    <rPh sb="18" eb="21">
      <t>フトウメイ</t>
    </rPh>
    <rPh sb="21" eb="22">
      <t>フクロ</t>
    </rPh>
    <phoneticPr fontId="6"/>
  </si>
  <si>
    <t>ネット</t>
    <phoneticPr fontId="6"/>
  </si>
  <si>
    <t>ハルメク・アルファ㊵</t>
    <phoneticPr fontId="6"/>
  </si>
  <si>
    <t>りすぺーる（パル）3月4回（2色組・不透明袋）②</t>
    <rPh sb="10" eb="11">
      <t>ガツ</t>
    </rPh>
    <rPh sb="12" eb="13">
      <t>カイ</t>
    </rPh>
    <rPh sb="15" eb="16">
      <t>ショク</t>
    </rPh>
    <rPh sb="16" eb="17">
      <t>クミ</t>
    </rPh>
    <rPh sb="18" eb="21">
      <t>フトウメイ</t>
    </rPh>
    <rPh sb="21" eb="22">
      <t>フクロ</t>
    </rPh>
    <phoneticPr fontId="6"/>
  </si>
  <si>
    <t>サクラマチ返品</t>
    <rPh sb="5" eb="7">
      <t>ヘンピン</t>
    </rPh>
    <phoneticPr fontId="6"/>
  </si>
  <si>
    <t>なごみ3月号DM⑤</t>
    <rPh sb="4" eb="6">
      <t>ガツゴウ</t>
    </rPh>
    <phoneticPr fontId="6"/>
  </si>
  <si>
    <t>なごみ3月号DM⑥</t>
    <rPh sb="4" eb="6">
      <t>ガツゴウ</t>
    </rPh>
    <phoneticPr fontId="6"/>
  </si>
  <si>
    <t>りすぺーる（パル）3月4回（2色組・不透明袋）③</t>
    <rPh sb="10" eb="11">
      <t>ガツ</t>
    </rPh>
    <rPh sb="12" eb="13">
      <t>カイ</t>
    </rPh>
    <rPh sb="15" eb="16">
      <t>ショク</t>
    </rPh>
    <rPh sb="16" eb="17">
      <t>クミ</t>
    </rPh>
    <rPh sb="18" eb="21">
      <t>フトウメイ</t>
    </rPh>
    <rPh sb="21" eb="22">
      <t>フクロ</t>
    </rPh>
    <phoneticPr fontId="6"/>
  </si>
  <si>
    <t>ニッセン㉖</t>
    <phoneticPr fontId="6"/>
  </si>
  <si>
    <t>ハルメク・アルファ㊶</t>
    <phoneticPr fontId="6"/>
  </si>
  <si>
    <t>わいわいバザールPLUS26年春号2色組（ベルーナ）④</t>
    <rPh sb="14" eb="15">
      <t>ネン</t>
    </rPh>
    <rPh sb="15" eb="17">
      <t>ハルゴウ</t>
    </rPh>
    <rPh sb="18" eb="20">
      <t>ショククミ</t>
    </rPh>
    <phoneticPr fontId="6"/>
  </si>
  <si>
    <t>なごみ3月号DM⑦</t>
    <rPh sb="4" eb="6">
      <t>ガツゴウ</t>
    </rPh>
    <phoneticPr fontId="6"/>
  </si>
  <si>
    <t>なごみ3月号DM⑧</t>
    <rPh sb="4" eb="6">
      <t>ガツゴウ</t>
    </rPh>
    <phoneticPr fontId="6"/>
  </si>
  <si>
    <t>ニッセン㉗</t>
    <phoneticPr fontId="6"/>
  </si>
  <si>
    <t>ハルメク・アルファ㊷</t>
    <phoneticPr fontId="6"/>
  </si>
  <si>
    <t>なごみ3月号DM⑨</t>
    <rPh sb="4" eb="6">
      <t>ガツゴウ</t>
    </rPh>
    <phoneticPr fontId="6"/>
  </si>
  <si>
    <t>追加</t>
    <rPh sb="0" eb="2">
      <t>ツイカ</t>
    </rPh>
    <phoneticPr fontId="6"/>
  </si>
  <si>
    <t>西夢取り置き</t>
    <rPh sb="0" eb="3">
      <t>ニシユメト</t>
    </rPh>
    <rPh sb="4" eb="5">
      <t>オ</t>
    </rPh>
    <phoneticPr fontId="6"/>
  </si>
  <si>
    <t>なごみ3月号DM⑩</t>
    <rPh sb="4" eb="6">
      <t>ガツゴウ</t>
    </rPh>
    <phoneticPr fontId="6"/>
  </si>
  <si>
    <t>ニッセン㉘</t>
    <phoneticPr fontId="6"/>
  </si>
  <si>
    <t>コープ九州２０２６年7月3回(不透明袋)</t>
    <rPh sb="3" eb="5">
      <t>キュウシュウ</t>
    </rPh>
    <rPh sb="9" eb="10">
      <t>ネン</t>
    </rPh>
    <rPh sb="11" eb="12">
      <t>ガツ</t>
    </rPh>
    <rPh sb="13" eb="14">
      <t>カイ</t>
    </rPh>
    <rPh sb="15" eb="19">
      <t>フトウメイフクロ</t>
    </rPh>
    <phoneticPr fontId="6"/>
  </si>
  <si>
    <t>コープ九州２０２６年7月3回差分予測</t>
    <rPh sb="3" eb="5">
      <t>キュウシュウ</t>
    </rPh>
    <rPh sb="9" eb="10">
      <t>ネン</t>
    </rPh>
    <rPh sb="11" eb="12">
      <t>ガツ</t>
    </rPh>
    <rPh sb="13" eb="14">
      <t>カイ</t>
    </rPh>
    <rPh sb="14" eb="18">
      <t>サブンヨソク</t>
    </rPh>
    <phoneticPr fontId="6"/>
  </si>
  <si>
    <t>コープこうべ7月3回（不透明袋）</t>
    <rPh sb="7" eb="8">
      <t>ガツ</t>
    </rPh>
    <rPh sb="9" eb="10">
      <t>カイ</t>
    </rPh>
    <rPh sb="11" eb="15">
      <t>フトウメイフクロ</t>
    </rPh>
    <phoneticPr fontId="6"/>
  </si>
  <si>
    <t>コープこうべ7月3回（不透明袋）差分予測</t>
    <rPh sb="7" eb="8">
      <t>ガツ</t>
    </rPh>
    <rPh sb="9" eb="10">
      <t>カイ</t>
    </rPh>
    <rPh sb="11" eb="15">
      <t>フトウメイフクロ</t>
    </rPh>
    <rPh sb="16" eb="20">
      <t>サブンヨソク</t>
    </rPh>
    <phoneticPr fontId="6"/>
  </si>
  <si>
    <t>なごみ3月号DM⑪</t>
    <rPh sb="4" eb="6">
      <t>ガツゴウ</t>
    </rPh>
    <phoneticPr fontId="6"/>
  </si>
  <si>
    <t>ハルメク・アルファ㊸</t>
    <phoneticPr fontId="6"/>
  </si>
  <si>
    <t>7/1～15</t>
    <phoneticPr fontId="6"/>
  </si>
  <si>
    <t>なごみ3月号DM⑫</t>
    <rPh sb="4" eb="6">
      <t>ガツゴウ</t>
    </rPh>
    <phoneticPr fontId="6"/>
  </si>
  <si>
    <t>在庫調節</t>
    <rPh sb="0" eb="4">
      <t>ザイコチョウセツ</t>
    </rPh>
    <phoneticPr fontId="2"/>
  </si>
  <si>
    <t>2023年４月～２０２６年４月中実績数</t>
    <rPh sb="4" eb="5">
      <t>ネン</t>
    </rPh>
    <rPh sb="6" eb="7">
      <t>ガツ</t>
    </rPh>
    <rPh sb="12" eb="13">
      <t>ネン</t>
    </rPh>
    <rPh sb="14" eb="15">
      <t>ガツ</t>
    </rPh>
    <rPh sb="15" eb="16">
      <t>ナカ</t>
    </rPh>
    <rPh sb="16" eb="19">
      <t>ジッセキスウ</t>
    </rPh>
    <phoneticPr fontId="6"/>
  </si>
  <si>
    <t>2023年４月～２０２６年４月中実績構成比</t>
    <rPh sb="4" eb="5">
      <t>ネン</t>
    </rPh>
    <rPh sb="6" eb="7">
      <t>ガツ</t>
    </rPh>
    <rPh sb="12" eb="13">
      <t>ネン</t>
    </rPh>
    <rPh sb="14" eb="15">
      <t>ガツ</t>
    </rPh>
    <rPh sb="15" eb="16">
      <t>ナカ</t>
    </rPh>
    <rPh sb="16" eb="18">
      <t>ジッセキ</t>
    </rPh>
    <rPh sb="18" eb="21">
      <t>コウセイヒ</t>
    </rPh>
    <phoneticPr fontId="6"/>
  </si>
  <si>
    <t>ハルメク・アルファ㊹</t>
    <phoneticPr fontId="6"/>
  </si>
  <si>
    <t>わいわいバザールPLUS26年春号2色組（ベルーナ）⑤</t>
    <rPh sb="14" eb="15">
      <t>ネン</t>
    </rPh>
    <rPh sb="15" eb="17">
      <t>ハルゴウ</t>
    </rPh>
    <rPh sb="18" eb="20">
      <t>ショククミ</t>
    </rPh>
    <phoneticPr fontId="6"/>
  </si>
  <si>
    <t>コープ九州２０２６年4月5回(不透明袋)①</t>
    <rPh sb="3" eb="5">
      <t>キュウシュウ</t>
    </rPh>
    <rPh sb="9" eb="10">
      <t>ネン</t>
    </rPh>
    <rPh sb="11" eb="12">
      <t>ガツ</t>
    </rPh>
    <rPh sb="13" eb="14">
      <t>カイ</t>
    </rPh>
    <rPh sb="15" eb="19">
      <t>フトウメイフクロ</t>
    </rPh>
    <phoneticPr fontId="6"/>
  </si>
  <si>
    <t>7/15～7/30</t>
    <phoneticPr fontId="6"/>
  </si>
  <si>
    <t>グリーンコープ　4月6号（不透明袋）サクラマチ①</t>
    <rPh sb="9" eb="10">
      <t>ガツ</t>
    </rPh>
    <rPh sb="11" eb="12">
      <t>ゴウ</t>
    </rPh>
    <rPh sb="13" eb="17">
      <t>フトウメイフクロ</t>
    </rPh>
    <phoneticPr fontId="6"/>
  </si>
  <si>
    <t>コープ九州２０２６年4月5回(不透明袋)②</t>
    <rPh sb="3" eb="5">
      <t>キュウシュウ</t>
    </rPh>
    <rPh sb="9" eb="10">
      <t>ネン</t>
    </rPh>
    <rPh sb="11" eb="12">
      <t>ガツ</t>
    </rPh>
    <rPh sb="13" eb="14">
      <t>カイ</t>
    </rPh>
    <rPh sb="15" eb="19">
      <t>フトウメイフクロ</t>
    </rPh>
    <phoneticPr fontId="6"/>
  </si>
  <si>
    <t>コープ九州２０２６年4月5回(不透明袋)③</t>
    <rPh sb="3" eb="5">
      <t>キュウシュウ</t>
    </rPh>
    <rPh sb="9" eb="10">
      <t>ネン</t>
    </rPh>
    <rPh sb="11" eb="12">
      <t>ガツ</t>
    </rPh>
    <rPh sb="13" eb="14">
      <t>カイ</t>
    </rPh>
    <rPh sb="15" eb="19">
      <t>フトウメイフクロ</t>
    </rPh>
    <phoneticPr fontId="6"/>
  </si>
  <si>
    <t>ニッセン㉙</t>
    <phoneticPr fontId="6"/>
  </si>
  <si>
    <t>グリーンコープ　4月6号（不透明袋）サクラマチ②</t>
    <rPh sb="9" eb="10">
      <t>ガツ</t>
    </rPh>
    <rPh sb="11" eb="12">
      <t>ゴウ</t>
    </rPh>
    <rPh sb="13" eb="17">
      <t>フトウメイフクロ</t>
    </rPh>
    <phoneticPr fontId="6"/>
  </si>
  <si>
    <t>日生協キャロット8月24号（不透明袋）</t>
    <rPh sb="0" eb="3">
      <t>ニッセイキョウ</t>
    </rPh>
    <rPh sb="9" eb="10">
      <t>ガツ</t>
    </rPh>
    <rPh sb="12" eb="13">
      <t>ゴウ</t>
    </rPh>
    <rPh sb="14" eb="18">
      <t>フトウメイフクロ</t>
    </rPh>
    <phoneticPr fontId="6"/>
  </si>
  <si>
    <t>日生協キャロット8月24号差分予測</t>
    <rPh sb="0" eb="3">
      <t>ニッセイキョウ</t>
    </rPh>
    <rPh sb="9" eb="10">
      <t>ガツ</t>
    </rPh>
    <rPh sb="12" eb="13">
      <t>ゴウ</t>
    </rPh>
    <rPh sb="13" eb="17">
      <t>サブンヨソク</t>
    </rPh>
    <phoneticPr fontId="6"/>
  </si>
  <si>
    <t>点8/7、前取8/14、アバウト8/18・25、最終9/2</t>
    <rPh sb="0" eb="1">
      <t>テン</t>
    </rPh>
    <rPh sb="5" eb="7">
      <t>マエトリ</t>
    </rPh>
    <rPh sb="24" eb="26">
      <t>サイシュウ</t>
    </rPh>
    <phoneticPr fontId="6"/>
  </si>
  <si>
    <t>コープ九州２０２６年4月5回(不透明袋)④</t>
    <rPh sb="3" eb="5">
      <t>キュウシュウ</t>
    </rPh>
    <rPh sb="9" eb="10">
      <t>ネン</t>
    </rPh>
    <rPh sb="11" eb="12">
      <t>ガツ</t>
    </rPh>
    <rPh sb="13" eb="14">
      <t>カイ</t>
    </rPh>
    <rPh sb="15" eb="19">
      <t>フトウメイフクロ</t>
    </rPh>
    <phoneticPr fontId="6"/>
  </si>
  <si>
    <t>追加２  1-1</t>
    <rPh sb="0" eb="2">
      <t>ツイカ</t>
    </rPh>
    <phoneticPr fontId="2"/>
  </si>
  <si>
    <t>ハルメクアルファ9618雑貨チラシ/2色組差分予測</t>
    <rPh sb="12" eb="14">
      <t>ザッカ</t>
    </rPh>
    <rPh sb="19" eb="21">
      <t>ショククミ</t>
    </rPh>
    <rPh sb="21" eb="25">
      <t>サブンヨソク</t>
    </rPh>
    <phoneticPr fontId="2"/>
  </si>
  <si>
    <t>ハルメクアルファ2628ファッションチラシ/2色組差分予測</t>
    <rPh sb="23" eb="25">
      <t>ショククミ</t>
    </rPh>
    <rPh sb="25" eb="29">
      <t>サブンヨソク</t>
    </rPh>
    <phoneticPr fontId="2"/>
  </si>
  <si>
    <t>ハルメクアルファ2628ファッションチラシ/2色組</t>
    <rPh sb="23" eb="25">
      <t>ショククミ</t>
    </rPh>
    <phoneticPr fontId="2"/>
  </si>
  <si>
    <t>りすぺーる（パル）8月1回（2色組・不透明袋）差分予測</t>
    <rPh sb="10" eb="11">
      <t>ガツ</t>
    </rPh>
    <rPh sb="12" eb="13">
      <t>カイ</t>
    </rPh>
    <rPh sb="15" eb="16">
      <t>ショク</t>
    </rPh>
    <rPh sb="16" eb="17">
      <t>クミ</t>
    </rPh>
    <rPh sb="18" eb="21">
      <t>フトウメイ</t>
    </rPh>
    <rPh sb="21" eb="22">
      <t>フクロ</t>
    </rPh>
    <rPh sb="23" eb="25">
      <t>サブン</t>
    </rPh>
    <rPh sb="25" eb="27">
      <t>ヨソク</t>
    </rPh>
    <phoneticPr fontId="6"/>
  </si>
  <si>
    <t>りすぺーる（パル）8月1回（2色組・不透明袋）</t>
    <rPh sb="10" eb="11">
      <t>ガツ</t>
    </rPh>
    <rPh sb="12" eb="13">
      <t>カイ</t>
    </rPh>
    <rPh sb="15" eb="16">
      <t>ショク</t>
    </rPh>
    <rPh sb="16" eb="17">
      <t>クミ</t>
    </rPh>
    <rPh sb="18" eb="21">
      <t>フトウメイ</t>
    </rPh>
    <rPh sb="21" eb="22">
      <t>フクロ</t>
    </rPh>
    <phoneticPr fontId="6"/>
  </si>
  <si>
    <t>点7/16、アバウト・初回7/28・最終発注日8/3</t>
    <rPh sb="0" eb="1">
      <t>テン</t>
    </rPh>
    <rPh sb="11" eb="13">
      <t>ショカイ</t>
    </rPh>
    <rPh sb="18" eb="20">
      <t>サイシュウ</t>
    </rPh>
    <rPh sb="20" eb="22">
      <t>ハッチュウ</t>
    </rPh>
    <rPh sb="22" eb="23">
      <t>ニチ</t>
    </rPh>
    <phoneticPr fontId="6"/>
  </si>
  <si>
    <t>ニッセン㉚</t>
    <phoneticPr fontId="6"/>
  </si>
  <si>
    <t>かりん</t>
    <phoneticPr fontId="6"/>
  </si>
  <si>
    <t>わいわいバザールPLUS26年春号2色組（ベルーナ）⑥</t>
    <rPh sb="14" eb="15">
      <t>ネン</t>
    </rPh>
    <rPh sb="15" eb="17">
      <t>ハルゴウ</t>
    </rPh>
    <rPh sb="18" eb="20">
      <t>ショククミ</t>
    </rPh>
    <phoneticPr fontId="6"/>
  </si>
  <si>
    <t>ゆめはん</t>
    <phoneticPr fontId="6"/>
  </si>
  <si>
    <t>ハルメクアルファ9638雑貨チラシ/2色組</t>
    <rPh sb="12" eb="14">
      <t>ザッカ</t>
    </rPh>
    <rPh sb="19" eb="21">
      <t>ショククミ</t>
    </rPh>
    <phoneticPr fontId="2"/>
  </si>
  <si>
    <t>ハルメクアルファ9638雑貨チラシ/2色組差分予測</t>
    <rPh sb="12" eb="14">
      <t>ザッカ</t>
    </rPh>
    <rPh sb="19" eb="21">
      <t>ショククミ</t>
    </rPh>
    <rPh sb="21" eb="25">
      <t>サブンヨソク</t>
    </rPh>
    <phoneticPr fontId="2"/>
  </si>
  <si>
    <t>6/26～9/30</t>
    <phoneticPr fontId="6"/>
  </si>
  <si>
    <t>ハルメク・アルファ㊺</t>
    <phoneticPr fontId="6"/>
  </si>
  <si>
    <t>かりん</t>
    <phoneticPr fontId="6"/>
  </si>
  <si>
    <t>ハルメクアルファ9618雑貨チラシ/2色組</t>
    <rPh sb="12" eb="14">
      <t>ザッカ</t>
    </rPh>
    <rPh sb="19" eb="21">
      <t>ショククミ</t>
    </rPh>
    <phoneticPr fontId="2"/>
  </si>
  <si>
    <t>ニッセン㉛</t>
    <phoneticPr fontId="6"/>
  </si>
  <si>
    <t>わいわいバザールPLUS26年春号2色組（ベルーナ）⑦</t>
    <rPh sb="14" eb="15">
      <t>ネン</t>
    </rPh>
    <rPh sb="15" eb="17">
      <t>ハルゴウ</t>
    </rPh>
    <rPh sb="18" eb="20">
      <t>ショククミ</t>
    </rPh>
    <phoneticPr fontId="6"/>
  </si>
  <si>
    <t>りすぺーる（パル）5月4回（2色組・不透明袋）①</t>
    <rPh sb="10" eb="11">
      <t>ガツ</t>
    </rPh>
    <rPh sb="12" eb="13">
      <t>カイ</t>
    </rPh>
    <rPh sb="15" eb="16">
      <t>ショク</t>
    </rPh>
    <rPh sb="16" eb="17">
      <t>クミ</t>
    </rPh>
    <rPh sb="18" eb="21">
      <t>フトウメイ</t>
    </rPh>
    <rPh sb="21" eb="22">
      <t>フクロ</t>
    </rPh>
    <phoneticPr fontId="6"/>
  </si>
  <si>
    <t>りすぺーる（パル）5月4回（2色組・不透明袋）②</t>
    <rPh sb="10" eb="11">
      <t>ガツ</t>
    </rPh>
    <rPh sb="12" eb="13">
      <t>カイ</t>
    </rPh>
    <rPh sb="15" eb="16">
      <t>ショク</t>
    </rPh>
    <rPh sb="16" eb="17">
      <t>クミ</t>
    </rPh>
    <rPh sb="18" eb="21">
      <t>フトウメイ</t>
    </rPh>
    <rPh sb="21" eb="22">
      <t>フクロ</t>
    </rPh>
    <phoneticPr fontId="6"/>
  </si>
  <si>
    <t>なごみ返品</t>
    <rPh sb="3" eb="5">
      <t>ヘンピン</t>
    </rPh>
    <phoneticPr fontId="2"/>
  </si>
  <si>
    <t>ハルメク・アルファ㊻</t>
    <phoneticPr fontId="6"/>
  </si>
  <si>
    <t>りすぺーる（パル）5月4回（2色組・不透明袋）③</t>
    <rPh sb="10" eb="11">
      <t>ガツ</t>
    </rPh>
    <rPh sb="12" eb="13">
      <t>カイ</t>
    </rPh>
    <rPh sb="15" eb="16">
      <t>ショク</t>
    </rPh>
    <rPh sb="16" eb="17">
      <t>クミ</t>
    </rPh>
    <rPh sb="18" eb="21">
      <t>フトウメイ</t>
    </rPh>
    <rPh sb="21" eb="22">
      <t>フクロ</t>
    </rPh>
    <phoneticPr fontId="6"/>
  </si>
  <si>
    <t>JODアクセス7018/2色組</t>
    <rPh sb="13" eb="15">
      <t>ショククミ</t>
    </rPh>
    <phoneticPr fontId="6"/>
  </si>
  <si>
    <t>7/11～</t>
    <phoneticPr fontId="6"/>
  </si>
  <si>
    <t>追加</t>
    <rPh sb="0" eb="2">
      <t>ツイカ</t>
    </rPh>
    <phoneticPr fontId="6"/>
  </si>
  <si>
    <t>ゆめはん</t>
    <phoneticPr fontId="6"/>
  </si>
  <si>
    <t>りすぺーる（パル）5月4回（2色組・不透明袋）④</t>
    <rPh sb="10" eb="11">
      <t>ガツ</t>
    </rPh>
    <rPh sb="12" eb="13">
      <t>カイ</t>
    </rPh>
    <rPh sb="15" eb="16">
      <t>ショク</t>
    </rPh>
    <rPh sb="16" eb="17">
      <t>クミ</t>
    </rPh>
    <rPh sb="18" eb="21">
      <t>フトウメイ</t>
    </rPh>
    <rPh sb="21" eb="22">
      <t>フクロ</t>
    </rPh>
    <phoneticPr fontId="6"/>
  </si>
  <si>
    <t>西夢</t>
    <rPh sb="0" eb="2">
      <t>ニシユメ</t>
    </rPh>
    <phoneticPr fontId="6"/>
  </si>
  <si>
    <t>ニッセン㉜</t>
    <phoneticPr fontId="6"/>
  </si>
  <si>
    <t>ニッセン㉝</t>
    <phoneticPr fontId="6"/>
  </si>
  <si>
    <t>ハルメク・アルファ㊼</t>
    <phoneticPr fontId="6"/>
  </si>
  <si>
    <t>ハルメク・アルファ㊽</t>
    <phoneticPr fontId="6"/>
  </si>
  <si>
    <t>ハルメク・アルファ㊾</t>
    <phoneticPr fontId="6"/>
  </si>
  <si>
    <t>かりん</t>
    <phoneticPr fontId="6"/>
  </si>
  <si>
    <t>千趣会sample</t>
    <rPh sb="0" eb="3">
      <t>センシュカイ</t>
    </rPh>
    <phoneticPr fontId="6"/>
  </si>
  <si>
    <t>サクラマチ返品</t>
    <rPh sb="0" eb="7">
      <t>s</t>
    </rPh>
    <phoneticPr fontId="2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</si>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</sst>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8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52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2" borderId="7" xfId="1" applyFill="1" applyBorder="1"/>
    <xf numFmtId="0" fontId="1" fillId="2" borderId="8" xfId="1" applyFill="1" applyBorder="1"/>
    <xf numFmtId="0" fontId="1" fillId="0" borderId="9" xfId="1" applyBorder="1"/>
    <xf numFmtId="0" fontId="1" fillId="0" borderId="7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/>
    <xf numFmtId="0" fontId="5" fillId="0" borderId="7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3" xfId="1" applyFont="1" applyBorder="1"/>
    <xf numFmtId="0" fontId="9" fillId="0" borderId="15" xfId="1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18" xfId="1" applyBorder="1"/>
    <xf numFmtId="0" fontId="1" fillId="0" borderId="19" xfId="1" applyBorder="1" applyAlignment="1">
      <alignment horizontal="center" vertical="center"/>
    </xf>
    <xf numFmtId="0" fontId="1" fillId="0" borderId="21" xfId="1" applyBorder="1" applyAlignment="1">
      <alignment horizontal="center"/>
    </xf>
    <xf numFmtId="0" fontId="1" fillId="2" borderId="22" xfId="1" applyFill="1" applyBorder="1"/>
    <xf numFmtId="0" fontId="1" fillId="2" borderId="3" xfId="1" applyFill="1" applyBorder="1"/>
    <xf numFmtId="0" fontId="1" fillId="0" borderId="3" xfId="1" applyBorder="1"/>
    <xf numFmtId="0" fontId="1" fillId="0" borderId="23" xfId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0" borderId="25" xfId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2" xfId="1" applyFont="1" applyBorder="1" applyAlignment="1">
      <alignment horizontal="center"/>
    </xf>
    <xf numFmtId="0" fontId="9" fillId="0" borderId="26" xfId="1" applyFont="1" applyBorder="1" applyAlignment="1">
      <alignment horizontal="center"/>
    </xf>
    <xf numFmtId="0" fontId="1" fillId="0" borderId="27" xfId="1" applyBorder="1" applyAlignment="1">
      <alignment horizontal="center" vertical="center"/>
    </xf>
    <xf numFmtId="0" fontId="1" fillId="0" borderId="18" xfId="1" applyBorder="1" applyAlignment="1">
      <alignment horizontal="center"/>
    </xf>
    <xf numFmtId="0" fontId="1" fillId="0" borderId="29" xfId="1" applyBorder="1" applyAlignment="1">
      <alignment horizontal="center"/>
    </xf>
    <xf numFmtId="0" fontId="9" fillId="0" borderId="27" xfId="1" applyFont="1" applyBorder="1" applyAlignment="1">
      <alignment horizontal="center"/>
    </xf>
    <xf numFmtId="0" fontId="1" fillId="0" borderId="6" xfId="1" applyBorder="1" applyAlignment="1">
      <alignment horizontal="center"/>
    </xf>
    <xf numFmtId="0" fontId="9" fillId="0" borderId="3" xfId="1" applyFont="1" applyBorder="1" applyAlignment="1">
      <alignment horizontal="right"/>
    </xf>
    <xf numFmtId="0" fontId="1" fillId="0" borderId="9" xfId="1" applyBorder="1" applyAlignment="1">
      <alignment horizontal="center" vertical="center"/>
    </xf>
    <xf numFmtId="0" fontId="10" fillId="0" borderId="0" xfId="0" applyFont="1">
      <alignment vertical="center"/>
    </xf>
    <xf numFmtId="0" fontId="9" fillId="3" borderId="27" xfId="1" applyFont="1" applyFill="1" applyBorder="1"/>
    <xf numFmtId="0" fontId="1" fillId="0" borderId="30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32" xfId="1" applyBorder="1" applyAlignment="1">
      <alignment horizontal="center"/>
    </xf>
    <xf numFmtId="0" fontId="1" fillId="0" borderId="33" xfId="1" applyBorder="1" applyAlignment="1">
      <alignment horizontal="center"/>
    </xf>
    <xf numFmtId="0" fontId="1" fillId="0" borderId="7" xfId="1" applyBorder="1"/>
    <xf numFmtId="0" fontId="1" fillId="0" borderId="34" xfId="1" applyBorder="1" applyAlignment="1">
      <alignment horizontal="center"/>
    </xf>
    <xf numFmtId="0" fontId="1" fillId="0" borderId="35" xfId="1" applyBorder="1" applyAlignment="1">
      <alignment horizontal="center"/>
    </xf>
    <xf numFmtId="0" fontId="1" fillId="0" borderId="36" xfId="1" applyBorder="1" applyAlignment="1">
      <alignment horizontal="center"/>
    </xf>
    <xf numFmtId="0" fontId="1" fillId="0" borderId="37" xfId="1" applyBorder="1" applyAlignment="1">
      <alignment horizontal="center"/>
    </xf>
    <xf numFmtId="0" fontId="1" fillId="2" borderId="38" xfId="1" applyFill="1" applyBorder="1"/>
    <xf numFmtId="0" fontId="1" fillId="0" borderId="12" xfId="1" applyBorder="1" applyAlignment="1">
      <alignment horizontal="center" vertical="center"/>
    </xf>
    <xf numFmtId="0" fontId="1" fillId="0" borderId="28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2" borderId="39" xfId="1" applyFill="1" applyBorder="1"/>
    <xf numFmtId="0" fontId="1" fillId="2" borderId="40" xfId="1" applyFill="1" applyBorder="1"/>
    <xf numFmtId="0" fontId="1" fillId="0" borderId="20" xfId="1" applyBorder="1" applyAlignment="1">
      <alignment horizontal="center" vertical="center"/>
    </xf>
    <xf numFmtId="0" fontId="1" fillId="2" borderId="17" xfId="1" applyFill="1" applyBorder="1"/>
    <xf numFmtId="0" fontId="9" fillId="0" borderId="17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1" fillId="0" borderId="17" xfId="1" applyBorder="1"/>
    <xf numFmtId="0" fontId="1" fillId="0" borderId="34" xfId="1" applyBorder="1"/>
    <xf numFmtId="0" fontId="1" fillId="0" borderId="35" xfId="1" applyBorder="1"/>
    <xf numFmtId="0" fontId="1" fillId="0" borderId="36" xfId="1" applyBorder="1"/>
    <xf numFmtId="0" fontId="1" fillId="0" borderId="41" xfId="1" applyBorder="1"/>
    <xf numFmtId="176" fontId="0" fillId="0" borderId="0" xfId="0" applyNumberFormat="1">
      <alignment vertical="center"/>
    </xf>
    <xf numFmtId="56" fontId="1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1" fillId="0" borderId="41" xfId="1" applyBorder="1" applyAlignment="1">
      <alignment horizontal="center"/>
    </xf>
    <xf numFmtId="0" fontId="1" fillId="0" borderId="22" xfId="1" applyBorder="1" applyAlignment="1">
      <alignment horizontal="center"/>
    </xf>
    <xf numFmtId="0" fontId="1" fillId="2" borderId="9" xfId="1" applyFill="1" applyBorder="1"/>
    <xf numFmtId="0" fontId="1" fillId="0" borderId="8" xfId="1" applyBorder="1"/>
    <xf numFmtId="0" fontId="9" fillId="0" borderId="1" xfId="1" applyFont="1" applyBorder="1"/>
    <xf numFmtId="0" fontId="9" fillId="0" borderId="27" xfId="1" applyFont="1" applyBorder="1"/>
    <xf numFmtId="0" fontId="9" fillId="0" borderId="2" xfId="1" applyFont="1" applyBorder="1"/>
    <xf numFmtId="0" fontId="9" fillId="0" borderId="16" xfId="1" applyFont="1" applyBorder="1"/>
    <xf numFmtId="0" fontId="9" fillId="2" borderId="3" xfId="1" applyFont="1" applyFill="1" applyBorder="1"/>
    <xf numFmtId="0" fontId="11" fillId="0" borderId="0" xfId="0" applyFont="1">
      <alignment vertical="center"/>
    </xf>
    <xf numFmtId="0" fontId="9" fillId="0" borderId="16" xfId="1" applyFont="1" applyBorder="1" applyAlignment="1">
      <alignment horizontal="center"/>
    </xf>
    <xf numFmtId="0" fontId="9" fillId="2" borderId="3" xfId="1" applyFont="1" applyFill="1" applyBorder="1" applyAlignment="1">
      <alignment horizontal="right"/>
    </xf>
    <xf numFmtId="0" fontId="13" fillId="0" borderId="0" xfId="1" applyFont="1" applyAlignment="1">
      <alignment horizontal="center" vertical="center"/>
    </xf>
    <xf numFmtId="0" fontId="1" fillId="2" borderId="45" xfId="1" applyFill="1" applyBorder="1"/>
    <xf numFmtId="0" fontId="9" fillId="2" borderId="43" xfId="1" applyFont="1" applyFill="1" applyBorder="1"/>
    <xf numFmtId="176" fontId="8" fillId="0" borderId="0" xfId="0" applyNumberFormat="1" applyFont="1">
      <alignment vertical="center"/>
    </xf>
    <xf numFmtId="0" fontId="9" fillId="0" borderId="30" xfId="1" applyFont="1" applyBorder="1" applyAlignment="1">
      <alignment horizontal="center"/>
    </xf>
    <xf numFmtId="0" fontId="9" fillId="0" borderId="31" xfId="1" applyFont="1" applyBorder="1" applyAlignment="1">
      <alignment horizontal="center"/>
    </xf>
    <xf numFmtId="0" fontId="9" fillId="0" borderId="32" xfId="1" applyFont="1" applyBorder="1" applyAlignment="1">
      <alignment horizontal="center"/>
    </xf>
    <xf numFmtId="0" fontId="9" fillId="2" borderId="8" xfId="1" applyFont="1" applyFill="1" applyBorder="1"/>
    <xf numFmtId="0" fontId="9" fillId="0" borderId="8" xfId="1" applyFont="1" applyBorder="1"/>
    <xf numFmtId="0" fontId="1" fillId="0" borderId="15" xfId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26" xfId="1" applyBorder="1" applyAlignment="1">
      <alignment horizontal="center"/>
    </xf>
    <xf numFmtId="0" fontId="1" fillId="2" borderId="43" xfId="1" applyFill="1" applyBorder="1"/>
    <xf numFmtId="0" fontId="1" fillId="2" borderId="47" xfId="1" applyFill="1" applyBorder="1"/>
    <xf numFmtId="0" fontId="1" fillId="0" borderId="8" xfId="1" applyBorder="1" applyAlignment="1">
      <alignment horizontal="center" vertical="center"/>
    </xf>
    <xf numFmtId="0" fontId="1" fillId="0" borderId="46" xfId="1" applyBorder="1" applyAlignment="1">
      <alignment horizontal="center"/>
    </xf>
    <xf numFmtId="176" fontId="11" fillId="0" borderId="0" xfId="0" applyNumberFormat="1" applyFont="1">
      <alignment vertical="center"/>
    </xf>
    <xf numFmtId="0" fontId="14" fillId="0" borderId="0" xfId="1" applyFont="1"/>
    <xf numFmtId="0" fontId="9" fillId="0" borderId="46" xfId="1" applyFont="1" applyBorder="1" applyAlignment="1">
      <alignment horizontal="center"/>
    </xf>
    <xf numFmtId="0" fontId="4" fillId="0" borderId="7" xfId="1" applyFont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2" borderId="44" xfId="1" applyFill="1" applyBorder="1"/>
    <xf numFmtId="0" fontId="4" fillId="0" borderId="17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1" xfId="1" applyFont="1" applyBorder="1" applyAlignment="1">
      <alignment horizontal="center"/>
    </xf>
    <xf numFmtId="0" fontId="4" fillId="0" borderId="44" xfId="1" applyFont="1" applyBorder="1" applyAlignment="1">
      <alignment horizontal="center"/>
    </xf>
    <xf numFmtId="0" fontId="4" fillId="2" borderId="8" xfId="1" applyFont="1" applyFill="1" applyBorder="1"/>
    <xf numFmtId="0" fontId="4" fillId="0" borderId="8" xfId="1" applyFont="1" applyBorder="1"/>
    <xf numFmtId="0" fontId="1" fillId="0" borderId="48" xfId="1" applyBorder="1" applyAlignment="1">
      <alignment horizontal="center"/>
    </xf>
    <xf numFmtId="0" fontId="1" fillId="0" borderId="49" xfId="1" applyBorder="1" applyAlignment="1">
      <alignment horizontal="center"/>
    </xf>
    <xf numFmtId="0" fontId="1" fillId="0" borderId="50" xfId="1" applyBorder="1" applyAlignment="1">
      <alignment horizontal="center"/>
    </xf>
    <xf numFmtId="0" fontId="1" fillId="0" borderId="51" xfId="1" applyBorder="1" applyAlignment="1">
      <alignment horizontal="center"/>
    </xf>
    <xf numFmtId="0" fontId="1" fillId="0" borderId="52" xfId="1" applyBorder="1" applyAlignment="1">
      <alignment horizontal="center"/>
    </xf>
    <xf numFmtId="0" fontId="1" fillId="2" borderId="53" xfId="1" applyFill="1" applyBorder="1"/>
    <xf numFmtId="0" fontId="9" fillId="0" borderId="12" xfId="1" applyFont="1" applyBorder="1" applyAlignment="1">
      <alignment horizontal="center"/>
    </xf>
    <xf numFmtId="0" fontId="9" fillId="0" borderId="13" xfId="1" applyFont="1" applyBorder="1" applyAlignment="1">
      <alignment horizontal="center"/>
    </xf>
    <xf numFmtId="0" fontId="9" fillId="0" borderId="54" xfId="1" applyFont="1" applyBorder="1" applyAlignment="1">
      <alignment horizontal="center"/>
    </xf>
    <xf numFmtId="0" fontId="9" fillId="0" borderId="48" xfId="1" applyFont="1" applyBorder="1" applyAlignment="1">
      <alignment horizontal="center"/>
    </xf>
    <xf numFmtId="0" fontId="9" fillId="0" borderId="49" xfId="1" applyFont="1" applyBorder="1" applyAlignment="1">
      <alignment horizontal="center"/>
    </xf>
    <xf numFmtId="0" fontId="9" fillId="0" borderId="50" xfId="1" applyFont="1" applyBorder="1" applyAlignment="1">
      <alignment horizontal="center"/>
    </xf>
    <xf numFmtId="0" fontId="9" fillId="0" borderId="51" xfId="1" applyFont="1" applyBorder="1" applyAlignment="1">
      <alignment horizontal="center"/>
    </xf>
    <xf numFmtId="0" fontId="1" fillId="0" borderId="55" xfId="1" applyBorder="1" applyAlignment="1">
      <alignment horizontal="center"/>
    </xf>
    <xf numFmtId="0" fontId="1" fillId="0" borderId="56" xfId="1" applyBorder="1" applyAlignment="1">
      <alignment horizontal="center"/>
    </xf>
    <xf numFmtId="0" fontId="1" fillId="0" borderId="57" xfId="1" applyBorder="1" applyAlignment="1">
      <alignment horizontal="center"/>
    </xf>
    <xf numFmtId="0" fontId="9" fillId="2" borderId="58" xfId="1" applyFont="1" applyFill="1" applyBorder="1"/>
    <xf numFmtId="0" fontId="9" fillId="2" borderId="19" xfId="1" applyFont="1" applyFill="1" applyBorder="1"/>
    <xf numFmtId="0" fontId="9" fillId="0" borderId="19" xfId="1" applyFont="1" applyBorder="1"/>
    <xf numFmtId="0" fontId="9" fillId="2" borderId="17" xfId="1" applyFont="1" applyFill="1" applyBorder="1" applyAlignment="1">
      <alignment horizontal="right"/>
    </xf>
    <xf numFmtId="0" fontId="9" fillId="0" borderId="17" xfId="1" applyFont="1" applyBorder="1" applyAlignment="1">
      <alignment horizontal="right"/>
    </xf>
    <xf numFmtId="0" fontId="1" fillId="0" borderId="47" xfId="1" applyBorder="1"/>
    <xf numFmtId="0" fontId="1" fillId="0" borderId="47" xfId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/>
    </xf>
    <xf numFmtId="0" fontId="4" fillId="0" borderId="35" xfId="1" applyFont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41" xfId="1" applyFont="1" applyBorder="1" applyAlignment="1">
      <alignment horizontal="center"/>
    </xf>
    <xf numFmtId="0" fontId="4" fillId="2" borderId="9" xfId="1" applyFont="1" applyFill="1" applyBorder="1"/>
    <xf numFmtId="0" fontId="4" fillId="0" borderId="37" xfId="1" applyFont="1" applyBorder="1" applyAlignment="1">
      <alignment horizontal="center"/>
    </xf>
    <xf numFmtId="0" fontId="4" fillId="2" borderId="38" xfId="1" applyFont="1" applyFill="1" applyBorder="1"/>
    <xf numFmtId="0" fontId="4" fillId="0" borderId="9" xfId="1" applyFont="1" applyBorder="1"/>
    <xf numFmtId="0" fontId="1" fillId="0" borderId="59" xfId="1" applyBorder="1" applyAlignment="1">
      <alignment horizontal="center" vertical="center"/>
    </xf>
    <xf numFmtId="0" fontId="1" fillId="0" borderId="60" xfId="1" applyBorder="1" applyAlignment="1">
      <alignment horizontal="center"/>
    </xf>
    <xf numFmtId="0" fontId="1" fillId="0" borderId="61" xfId="1" applyBorder="1" applyAlignment="1">
      <alignment horizontal="center"/>
    </xf>
    <xf numFmtId="0" fontId="1" fillId="0" borderId="62" xfId="1" applyBorder="1" applyAlignment="1">
      <alignment horizontal="center"/>
    </xf>
    <xf numFmtId="0" fontId="1" fillId="0" borderId="63" xfId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2" borderId="64" xfId="1" applyFill="1" applyBorder="1"/>
    <xf numFmtId="0" fontId="1" fillId="0" borderId="16" xfId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18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2" borderId="7" xfId="1" applyFont="1" applyFill="1" applyBorder="1"/>
    <xf numFmtId="0" fontId="4" fillId="0" borderId="6" xfId="1" applyFont="1" applyBorder="1" applyAlignment="1">
      <alignment horizontal="center"/>
    </xf>
    <xf numFmtId="0" fontId="4" fillId="0" borderId="7" xfId="1" applyFont="1" applyBorder="1"/>
    <xf numFmtId="0" fontId="1" fillId="0" borderId="44" xfId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" fillId="0" borderId="7" xfId="1" applyBorder="1" applyAlignment="1">
      <alignment horizontal="center" vertical="center" shrinkToFit="1"/>
    </xf>
    <xf numFmtId="0" fontId="1" fillId="0" borderId="4" xfId="1" applyBorder="1" applyAlignment="1">
      <alignment horizontal="right"/>
    </xf>
    <xf numFmtId="0" fontId="8" fillId="0" borderId="0" xfId="0" applyFont="1" applyAlignment="1">
      <alignment horizontal="left" vertical="center"/>
    </xf>
    <xf numFmtId="0" fontId="14" fillId="0" borderId="9" xfId="1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56" fontId="12" fillId="0" borderId="0" xfId="0" applyNumberFormat="1" applyFont="1" applyAlignment="1">
      <alignment horizontal="left" vertical="center"/>
    </xf>
    <xf numFmtId="0" fontId="1" fillId="0" borderId="65" xfId="1" applyBorder="1" applyAlignment="1">
      <alignment horizontal="center"/>
    </xf>
    <xf numFmtId="0" fontId="1" fillId="0" borderId="66" xfId="1" applyBorder="1" applyAlignment="1">
      <alignment horizontal="center"/>
    </xf>
    <xf numFmtId="0" fontId="4" fillId="0" borderId="21" xfId="1" applyFont="1" applyBorder="1" applyAlignment="1">
      <alignment horizontal="center"/>
    </xf>
    <xf numFmtId="0" fontId="4" fillId="2" borderId="22" xfId="1" applyFont="1" applyFill="1" applyBorder="1"/>
    <xf numFmtId="0" fontId="14" fillId="0" borderId="9" xfId="1" applyFont="1" applyBorder="1"/>
    <xf numFmtId="0" fontId="1" fillId="6" borderId="41" xfId="1" applyFill="1" applyBorder="1" applyAlignment="1">
      <alignment horizontal="center"/>
    </xf>
    <xf numFmtId="0" fontId="9" fillId="0" borderId="9" xfId="1" applyFont="1" applyBorder="1"/>
    <xf numFmtId="0" fontId="9" fillId="0" borderId="34" xfId="1" applyFont="1" applyBorder="1" applyAlignment="1">
      <alignment horizontal="center"/>
    </xf>
    <xf numFmtId="0" fontId="9" fillId="0" borderId="35" xfId="1" applyFont="1" applyBorder="1" applyAlignment="1">
      <alignment horizontal="center"/>
    </xf>
    <xf numFmtId="0" fontId="9" fillId="0" borderId="36" xfId="1" applyFont="1" applyBorder="1" applyAlignment="1">
      <alignment horizontal="center"/>
    </xf>
    <xf numFmtId="0" fontId="9" fillId="2" borderId="9" xfId="1" applyFont="1" applyFill="1" applyBorder="1"/>
    <xf numFmtId="0" fontId="8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0" fontId="9" fillId="0" borderId="20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2" borderId="45" xfId="1" applyFont="1" applyFill="1" applyBorder="1"/>
    <xf numFmtId="0" fontId="9" fillId="0" borderId="7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1" fillId="0" borderId="12" xfId="1" applyBorder="1" applyAlignment="1">
      <alignment horizontal="center"/>
    </xf>
    <xf numFmtId="0" fontId="1" fillId="0" borderId="28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0" fontId="5" fillId="0" borderId="67" xfId="1" applyFont="1" applyBorder="1" applyAlignment="1">
      <alignment horizontal="center" vertical="center"/>
    </xf>
    <xf numFmtId="0" fontId="1" fillId="0" borderId="68" xfId="1" applyBorder="1" applyAlignment="1">
      <alignment horizontal="center"/>
    </xf>
    <xf numFmtId="0" fontId="1" fillId="2" borderId="67" xfId="1" applyFill="1" applyBorder="1"/>
    <xf numFmtId="0" fontId="1" fillId="2" borderId="69" xfId="1" applyFill="1" applyBorder="1"/>
    <xf numFmtId="0" fontId="1" fillId="0" borderId="11" xfId="1" applyBorder="1" applyAlignment="1">
      <alignment horizontal="center" vertical="center"/>
    </xf>
    <xf numFmtId="0" fontId="1" fillId="2" borderId="11" xfId="1" applyFill="1" applyBorder="1"/>
    <xf numFmtId="0" fontId="1" fillId="0" borderId="70" xfId="1" applyBorder="1" applyAlignment="1">
      <alignment horizontal="center" vertical="center"/>
    </xf>
    <xf numFmtId="0" fontId="9" fillId="0" borderId="4" xfId="1" applyFont="1" applyBorder="1" applyAlignment="1">
      <alignment horizontal="center"/>
    </xf>
    <xf numFmtId="0" fontId="9" fillId="0" borderId="18" xfId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9" fillId="2" borderId="7" xfId="1" applyFont="1" applyFill="1" applyBorder="1"/>
    <xf numFmtId="0" fontId="14" fillId="0" borderId="4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5" xfId="1" applyFont="1" applyBorder="1" applyAlignment="1">
      <alignment horizontal="center"/>
    </xf>
    <xf numFmtId="0" fontId="14" fillId="0" borderId="6" xfId="1" applyFont="1" applyBorder="1" applyAlignment="1">
      <alignment horizontal="center"/>
    </xf>
    <xf numFmtId="0" fontId="14" fillId="2" borderId="7" xfId="1" applyFont="1" applyFill="1" applyBorder="1"/>
    <xf numFmtId="0" fontId="17" fillId="0" borderId="4" xfId="1" applyFont="1" applyBorder="1" applyAlignment="1">
      <alignment horizontal="center"/>
    </xf>
    <xf numFmtId="0" fontId="17" fillId="0" borderId="18" xfId="1" applyFont="1" applyBorder="1" applyAlignment="1">
      <alignment horizontal="center"/>
    </xf>
    <xf numFmtId="0" fontId="17" fillId="0" borderId="5" xfId="1" applyFont="1" applyBorder="1" applyAlignment="1">
      <alignment horizontal="center"/>
    </xf>
    <xf numFmtId="0" fontId="17" fillId="0" borderId="21" xfId="1" applyFont="1" applyBorder="1" applyAlignment="1">
      <alignment horizontal="center"/>
    </xf>
    <xf numFmtId="0" fontId="17" fillId="2" borderId="22" xfId="1" applyFont="1" applyFill="1" applyBorder="1"/>
    <xf numFmtId="0" fontId="17" fillId="0" borderId="9" xfId="1" applyFont="1" applyBorder="1"/>
    <xf numFmtId="56" fontId="16" fillId="0" borderId="0" xfId="0" applyNumberFormat="1" applyFont="1" applyAlignment="1">
      <alignment horizontal="left" vertical="center"/>
    </xf>
    <xf numFmtId="0" fontId="17" fillId="0" borderId="9" xfId="1" applyFont="1" applyBorder="1" applyAlignment="1">
      <alignment horizontal="center" vertical="center"/>
    </xf>
    <xf numFmtId="0" fontId="17" fillId="0" borderId="6" xfId="1" applyFont="1" applyBorder="1" applyAlignment="1">
      <alignment horizontal="center"/>
    </xf>
    <xf numFmtId="0" fontId="17" fillId="2" borderId="7" xfId="1" applyFont="1" applyFill="1" applyBorder="1"/>
    <xf numFmtId="0" fontId="17" fillId="0" borderId="20" xfId="1" applyFont="1" applyBorder="1" applyAlignment="1">
      <alignment horizontal="center" vertical="center"/>
    </xf>
    <xf numFmtId="56" fontId="8" fillId="0" borderId="0" xfId="0" applyNumberFormat="1" applyFont="1" applyAlignment="1">
      <alignment horizontal="left" vertical="center"/>
    </xf>
    <xf numFmtId="0" fontId="5" fillId="0" borderId="8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17" fillId="0" borderId="34" xfId="1" applyFont="1" applyBorder="1" applyAlignment="1">
      <alignment horizontal="center"/>
    </xf>
    <xf numFmtId="0" fontId="17" fillId="0" borderId="35" xfId="1" applyFont="1" applyBorder="1" applyAlignment="1">
      <alignment horizontal="center"/>
    </xf>
    <xf numFmtId="0" fontId="17" fillId="0" borderId="36" xfId="1" applyFont="1" applyBorder="1" applyAlignment="1">
      <alignment horizontal="center"/>
    </xf>
    <xf numFmtId="0" fontId="17" fillId="0" borderId="37" xfId="1" applyFont="1" applyBorder="1" applyAlignment="1">
      <alignment horizontal="center"/>
    </xf>
    <xf numFmtId="0" fontId="17" fillId="2" borderId="38" xfId="1" applyFont="1" applyFill="1" applyBorder="1"/>
    <xf numFmtId="0" fontId="14" fillId="0" borderId="7" xfId="1" applyFont="1" applyBorder="1"/>
    <xf numFmtId="0" fontId="9" fillId="0" borderId="8" xfId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7" fillId="0" borderId="7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34" xfId="1" applyFont="1" applyBorder="1" applyAlignment="1">
      <alignment horizontal="center"/>
    </xf>
    <xf numFmtId="0" fontId="14" fillId="0" borderId="35" xfId="1" applyFont="1" applyBorder="1" applyAlignment="1">
      <alignment horizontal="center"/>
    </xf>
    <xf numFmtId="0" fontId="14" fillId="0" borderId="36" xfId="1" applyFont="1" applyBorder="1" applyAlignment="1">
      <alignment horizontal="center"/>
    </xf>
    <xf numFmtId="0" fontId="14" fillId="2" borderId="9" xfId="1" applyFont="1" applyFill="1" applyBorder="1"/>
    <xf numFmtId="0" fontId="14" fillId="0" borderId="41" xfId="1" applyFont="1" applyBorder="1" applyAlignment="1">
      <alignment horizontal="center"/>
    </xf>
    <xf numFmtId="0" fontId="9" fillId="0" borderId="7" xfId="1" applyFont="1" applyBorder="1"/>
    <xf numFmtId="0" fontId="10" fillId="0" borderId="59" xfId="0" applyFont="1" applyBorder="1" applyAlignment="1">
      <alignment horizontal="left" vertical="center"/>
    </xf>
    <xf numFmtId="0" fontId="9" fillId="0" borderId="17" xfId="1" applyFont="1" applyBorder="1"/>
    <xf numFmtId="0" fontId="4" fillId="4" borderId="15" xfId="1" applyFont="1" applyFill="1" applyBorder="1" applyAlignment="1">
      <alignment horizontal="center" vertical="center"/>
    </xf>
    <xf numFmtId="0" fontId="4" fillId="4" borderId="42" xfId="1" applyFont="1" applyFill="1" applyBorder="1" applyAlignment="1">
      <alignment horizontal="center" vertical="center"/>
    </xf>
    <xf numFmtId="0" fontId="4" fillId="4" borderId="43" xfId="1" applyFont="1" applyFill="1" applyBorder="1" applyAlignment="1">
      <alignment horizontal="center" vertical="center"/>
    </xf>
    <xf numFmtId="0" fontId="4" fillId="5" borderId="15" xfId="1" applyFont="1" applyFill="1" applyBorder="1" applyAlignment="1">
      <alignment horizontal="center" vertical="center"/>
    </xf>
    <xf numFmtId="0" fontId="4" fillId="5" borderId="42" xfId="1" applyFont="1" applyFill="1" applyBorder="1" applyAlignment="1">
      <alignment horizontal="center" vertical="center"/>
    </xf>
    <xf numFmtId="0" fontId="4" fillId="5" borderId="43" xfId="1" applyFont="1" applyFill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12"/>
  <sheetViews>
    <sheetView tabSelected="1" topLeftCell="A1907" zoomScaleNormal="100" workbookViewId="0">
      <selection activeCell="A1915" sqref="A1915"/>
    </sheetView>
  </sheetViews>
  <sheetFormatPr defaultRowHeight="13.5" x14ac:dyDescent="0.15"/>
  <cols>
    <col min="1" max="1" width="41.5" customWidth="1"/>
    <col min="2" max="2" width="9" customWidth="1"/>
    <col min="7" max="7" width="9" customWidth="1"/>
    <col min="13" max="13" width="11.5" style="70" customWidth="1"/>
    <col min="14" max="14" width="50.25" customWidth="1"/>
    <col min="15" max="15" width="9" customWidth="1"/>
    <col min="20" max="20" width="9" customWidth="1"/>
    <col min="26" max="26" width="17.625" style="70" customWidth="1"/>
  </cols>
  <sheetData>
    <row r="1" spans="1:28" ht="19.5" thickBot="1" x14ac:dyDescent="0.25">
      <c r="A1" s="2" t="s">
        <v>17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N1" s="2" t="s">
        <v>18</v>
      </c>
      <c r="O1" s="2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8" ht="14.25" thickBot="1" x14ac:dyDescent="0.2">
      <c r="A2" s="5" t="s">
        <v>0</v>
      </c>
      <c r="B2" s="244" t="s">
        <v>19</v>
      </c>
      <c r="C2" s="245"/>
      <c r="D2" s="245"/>
      <c r="E2" s="245"/>
      <c r="F2" s="246"/>
      <c r="G2" s="247" t="s">
        <v>20</v>
      </c>
      <c r="H2" s="248"/>
      <c r="I2" s="248"/>
      <c r="J2" s="248"/>
      <c r="K2" s="249"/>
      <c r="L2" s="250" t="s">
        <v>1</v>
      </c>
      <c r="N2" s="5" t="s">
        <v>0</v>
      </c>
      <c r="O2" s="244" t="s">
        <v>19</v>
      </c>
      <c r="P2" s="245"/>
      <c r="Q2" s="245"/>
      <c r="R2" s="245"/>
      <c r="S2" s="246"/>
      <c r="T2" s="247" t="s">
        <v>20</v>
      </c>
      <c r="U2" s="248"/>
      <c r="V2" s="248"/>
      <c r="W2" s="248"/>
      <c r="X2" s="249"/>
      <c r="Y2" s="250" t="s">
        <v>1</v>
      </c>
    </row>
    <row r="3" spans="1:28" ht="14.25" thickBot="1" x14ac:dyDescent="0.2">
      <c r="A3" s="5" t="s">
        <v>2</v>
      </c>
      <c r="B3" s="3" t="s">
        <v>11</v>
      </c>
      <c r="C3" s="34" t="s">
        <v>12</v>
      </c>
      <c r="D3" s="4" t="s">
        <v>13</v>
      </c>
      <c r="E3" s="19" t="s">
        <v>14</v>
      </c>
      <c r="F3" s="23" t="s">
        <v>3</v>
      </c>
      <c r="G3" s="3" t="s">
        <v>11</v>
      </c>
      <c r="H3" s="34" t="s">
        <v>12</v>
      </c>
      <c r="I3" s="4" t="s">
        <v>13</v>
      </c>
      <c r="J3" s="19" t="s">
        <v>14</v>
      </c>
      <c r="K3" s="23" t="s">
        <v>3</v>
      </c>
      <c r="L3" s="251"/>
      <c r="N3" s="5" t="s">
        <v>2</v>
      </c>
      <c r="O3" s="53" t="s">
        <v>11</v>
      </c>
      <c r="P3" s="54" t="s">
        <v>12</v>
      </c>
      <c r="Q3" s="55" t="s">
        <v>13</v>
      </c>
      <c r="R3" s="56" t="s">
        <v>14</v>
      </c>
      <c r="S3" s="23" t="s">
        <v>3</v>
      </c>
      <c r="T3" s="3" t="s">
        <v>11</v>
      </c>
      <c r="U3" s="34" t="s">
        <v>12</v>
      </c>
      <c r="V3" s="4" t="s">
        <v>13</v>
      </c>
      <c r="W3" s="19" t="s">
        <v>14</v>
      </c>
      <c r="X3" s="23" t="s">
        <v>3</v>
      </c>
      <c r="Y3" s="251"/>
    </row>
    <row r="4" spans="1:28" ht="14.25" thickBot="1" x14ac:dyDescent="0.2">
      <c r="A4" s="93" t="s">
        <v>15</v>
      </c>
      <c r="B4" s="94">
        <v>20</v>
      </c>
      <c r="C4" s="95">
        <v>20</v>
      </c>
      <c r="D4" s="95">
        <v>20</v>
      </c>
      <c r="E4" s="96">
        <v>20</v>
      </c>
      <c r="F4" s="97">
        <f>SUM(B4:E4)</f>
        <v>80</v>
      </c>
      <c r="G4" s="94">
        <v>20</v>
      </c>
      <c r="H4" s="95">
        <v>20</v>
      </c>
      <c r="I4" s="95">
        <v>20</v>
      </c>
      <c r="J4" s="96">
        <v>20</v>
      </c>
      <c r="K4" s="26">
        <f>SUM(G4:J4)</f>
        <v>80</v>
      </c>
      <c r="L4" s="27">
        <f>F4+K4</f>
        <v>160</v>
      </c>
      <c r="M4" s="69">
        <v>45031</v>
      </c>
      <c r="N4" s="18" t="s">
        <v>21</v>
      </c>
      <c r="O4" s="31">
        <v>550</v>
      </c>
      <c r="P4" s="32">
        <v>700</v>
      </c>
      <c r="Q4" s="32">
        <v>450</v>
      </c>
      <c r="R4" s="33">
        <v>300</v>
      </c>
      <c r="S4" s="86">
        <f>SUM(O4:R4)</f>
        <v>2000</v>
      </c>
      <c r="T4" s="31">
        <v>550</v>
      </c>
      <c r="U4" s="32">
        <v>700</v>
      </c>
      <c r="V4" s="32">
        <v>450</v>
      </c>
      <c r="W4" s="33">
        <v>300</v>
      </c>
      <c r="X4" s="80">
        <f>SUM(T4:W4)</f>
        <v>2000</v>
      </c>
      <c r="Y4" s="17">
        <f t="shared" ref="Y4:Y36" si="0">S4+X4</f>
        <v>4000</v>
      </c>
      <c r="Z4" s="165" t="s">
        <v>25</v>
      </c>
    </row>
    <row r="5" spans="1:28" x14ac:dyDescent="0.15">
      <c r="A5" s="59" t="s">
        <v>4</v>
      </c>
      <c r="B5" s="64">
        <v>5</v>
      </c>
      <c r="C5" s="65">
        <v>5</v>
      </c>
      <c r="D5" s="66"/>
      <c r="E5" s="67"/>
      <c r="F5" s="74">
        <f>SUM(B5:E5)</f>
        <v>10</v>
      </c>
      <c r="G5" s="65">
        <v>5</v>
      </c>
      <c r="H5" s="65">
        <v>5</v>
      </c>
      <c r="I5" s="66"/>
      <c r="J5" s="67"/>
      <c r="K5" s="74">
        <f>SUM(G5:J5)</f>
        <v>10</v>
      </c>
      <c r="L5" s="11">
        <f t="shared" ref="L5:L36" si="1">F5+K5</f>
        <v>20</v>
      </c>
      <c r="M5" s="69">
        <v>45041</v>
      </c>
      <c r="N5" s="59" t="s">
        <v>16</v>
      </c>
      <c r="O5" s="48"/>
      <c r="P5" s="49"/>
      <c r="Q5" s="50"/>
      <c r="R5" s="51"/>
      <c r="S5" s="85">
        <f>SUM(O5:R5)</f>
        <v>0</v>
      </c>
      <c r="T5" s="48"/>
      <c r="U5" s="49"/>
      <c r="V5" s="50"/>
      <c r="W5" s="51"/>
      <c r="X5" s="74">
        <f>SUM(T5:W5)</f>
        <v>0</v>
      </c>
      <c r="Y5" s="11">
        <f t="shared" si="0"/>
        <v>0</v>
      </c>
      <c r="Z5" s="162"/>
    </row>
    <row r="6" spans="1:28" x14ac:dyDescent="0.15">
      <c r="A6" s="13" t="s">
        <v>5</v>
      </c>
      <c r="B6" s="6">
        <v>5</v>
      </c>
      <c r="C6" s="22">
        <v>5</v>
      </c>
      <c r="D6" s="7">
        <v>5</v>
      </c>
      <c r="E6" s="8"/>
      <c r="F6" s="9">
        <f>SUM(B6:E6)</f>
        <v>15</v>
      </c>
      <c r="G6" s="22">
        <v>5</v>
      </c>
      <c r="H6" s="22">
        <v>5</v>
      </c>
      <c r="I6" s="7">
        <v>5</v>
      </c>
      <c r="J6" s="8"/>
      <c r="K6" s="9">
        <f>SUM(G6:J6)</f>
        <v>15</v>
      </c>
      <c r="L6" s="11">
        <f t="shared" si="1"/>
        <v>30</v>
      </c>
      <c r="M6" s="69">
        <v>45044</v>
      </c>
      <c r="N6" s="13" t="s">
        <v>4</v>
      </c>
      <c r="O6" s="20"/>
      <c r="P6" s="35"/>
      <c r="Q6" s="21"/>
      <c r="R6" s="24"/>
      <c r="S6" s="57">
        <f>SUM(O6:R6)</f>
        <v>0</v>
      </c>
      <c r="T6" s="20"/>
      <c r="U6" s="35"/>
      <c r="V6" s="21"/>
      <c r="W6" s="24"/>
      <c r="X6" s="9">
        <f>SUM(T6:W6)</f>
        <v>0</v>
      </c>
      <c r="Y6" s="11">
        <f t="shared" si="0"/>
        <v>0</v>
      </c>
      <c r="Z6" s="167"/>
    </row>
    <row r="7" spans="1:28" x14ac:dyDescent="0.15">
      <c r="A7" s="13" t="s">
        <v>6</v>
      </c>
      <c r="B7" s="6">
        <v>10</v>
      </c>
      <c r="C7" s="22"/>
      <c r="D7" s="7"/>
      <c r="E7" s="8"/>
      <c r="F7" s="9">
        <f>SUM(B7:E7)</f>
        <v>10</v>
      </c>
      <c r="G7" s="22">
        <v>10</v>
      </c>
      <c r="H7" s="22"/>
      <c r="I7" s="7"/>
      <c r="J7" s="8"/>
      <c r="K7" s="9">
        <f>SUM(G7:J7)</f>
        <v>10</v>
      </c>
      <c r="L7" s="11">
        <f t="shared" si="1"/>
        <v>20</v>
      </c>
      <c r="M7" s="69">
        <v>45054</v>
      </c>
      <c r="N7" s="13" t="s">
        <v>5</v>
      </c>
      <c r="O7" s="20"/>
      <c r="P7" s="35"/>
      <c r="Q7" s="21"/>
      <c r="R7" s="24"/>
      <c r="S7" s="57">
        <f>SUM(O7:R7)</f>
        <v>0</v>
      </c>
      <c r="T7" s="35"/>
      <c r="U7" s="35"/>
      <c r="V7" s="21"/>
      <c r="W7" s="38"/>
      <c r="X7" s="9">
        <f>SUM(T7:W7)</f>
        <v>0</v>
      </c>
      <c r="Y7" s="11">
        <f t="shared" si="0"/>
        <v>0</v>
      </c>
    </row>
    <row r="8" spans="1:28" ht="14.25" thickBot="1" x14ac:dyDescent="0.2">
      <c r="A8" s="13" t="s">
        <v>7</v>
      </c>
      <c r="B8" s="6">
        <v>5</v>
      </c>
      <c r="C8" s="22">
        <v>10</v>
      </c>
      <c r="D8" s="7"/>
      <c r="E8" s="8">
        <v>5</v>
      </c>
      <c r="F8" s="10">
        <f>SUM(B8:E8)</f>
        <v>20</v>
      </c>
      <c r="G8" s="6">
        <v>5</v>
      </c>
      <c r="H8" s="22">
        <v>5</v>
      </c>
      <c r="I8" s="7"/>
      <c r="J8" s="8"/>
      <c r="K8" s="10">
        <f>SUM(G8:J8)</f>
        <v>10</v>
      </c>
      <c r="L8" s="14">
        <f t="shared" si="1"/>
        <v>30</v>
      </c>
      <c r="M8" s="69">
        <v>45057</v>
      </c>
      <c r="N8" s="13" t="s">
        <v>6</v>
      </c>
      <c r="O8" s="43"/>
      <c r="P8" s="44"/>
      <c r="Q8" s="45"/>
      <c r="R8" s="46"/>
      <c r="S8" s="58">
        <f>SUM(O8:R8)</f>
        <v>0</v>
      </c>
      <c r="T8" s="35"/>
      <c r="U8" s="35"/>
      <c r="V8" s="21"/>
      <c r="W8" s="38"/>
      <c r="X8" s="10">
        <f>SUM(T8:W8)</f>
        <v>0</v>
      </c>
      <c r="Y8" s="14">
        <f t="shared" si="0"/>
        <v>0</v>
      </c>
    </row>
    <row r="9" spans="1:28" ht="14.25" thickBot="1" x14ac:dyDescent="0.2">
      <c r="A9" s="18" t="s">
        <v>8</v>
      </c>
      <c r="B9" s="31">
        <f t="shared" ref="B9:K9" si="2">SUM(B4:B8)</f>
        <v>45</v>
      </c>
      <c r="C9" s="37">
        <f t="shared" si="2"/>
        <v>40</v>
      </c>
      <c r="D9" s="32">
        <f t="shared" si="2"/>
        <v>25</v>
      </c>
      <c r="E9" s="82">
        <f t="shared" si="2"/>
        <v>25</v>
      </c>
      <c r="F9" s="80">
        <f t="shared" si="2"/>
        <v>135</v>
      </c>
      <c r="G9" s="31">
        <f t="shared" si="2"/>
        <v>45</v>
      </c>
      <c r="H9" s="37">
        <f t="shared" si="2"/>
        <v>35</v>
      </c>
      <c r="I9" s="32">
        <f t="shared" si="2"/>
        <v>25</v>
      </c>
      <c r="J9" s="82">
        <f t="shared" si="2"/>
        <v>20</v>
      </c>
      <c r="K9" s="80">
        <f t="shared" si="2"/>
        <v>125</v>
      </c>
      <c r="L9" s="17">
        <f t="shared" si="1"/>
        <v>260</v>
      </c>
      <c r="N9" s="16" t="s">
        <v>8</v>
      </c>
      <c r="O9" s="31">
        <f t="shared" ref="O9:X9" si="3">SUM(O4:O8)</f>
        <v>550</v>
      </c>
      <c r="P9" s="37">
        <f t="shared" si="3"/>
        <v>700</v>
      </c>
      <c r="Q9" s="32">
        <f t="shared" si="3"/>
        <v>450</v>
      </c>
      <c r="R9" s="82">
        <f t="shared" si="3"/>
        <v>300</v>
      </c>
      <c r="S9" s="83">
        <f t="shared" si="3"/>
        <v>2000</v>
      </c>
      <c r="T9" s="31">
        <f t="shared" si="3"/>
        <v>550</v>
      </c>
      <c r="U9" s="37">
        <f t="shared" si="3"/>
        <v>700</v>
      </c>
      <c r="V9" s="32">
        <f t="shared" si="3"/>
        <v>450</v>
      </c>
      <c r="W9" s="82">
        <f t="shared" si="3"/>
        <v>300</v>
      </c>
      <c r="X9" s="83">
        <f t="shared" si="3"/>
        <v>2000</v>
      </c>
      <c r="Y9" s="39">
        <f t="shared" si="0"/>
        <v>4000</v>
      </c>
    </row>
    <row r="10" spans="1:28" x14ac:dyDescent="0.15">
      <c r="A10" s="59" t="s">
        <v>27</v>
      </c>
      <c r="B10" s="48">
        <f>4+1</f>
        <v>5</v>
      </c>
      <c r="C10" s="49">
        <v>8</v>
      </c>
      <c r="D10" s="50">
        <v>2</v>
      </c>
      <c r="E10" s="51">
        <v>4</v>
      </c>
      <c r="F10" s="52">
        <f t="shared" ref="F10:F27" si="4">SUM(B10:E10)</f>
        <v>19</v>
      </c>
      <c r="G10" s="48">
        <f>4+1</f>
        <v>5</v>
      </c>
      <c r="H10" s="49">
        <v>7</v>
      </c>
      <c r="I10" s="50">
        <v>4</v>
      </c>
      <c r="J10" s="51">
        <v>2</v>
      </c>
      <c r="K10" s="52">
        <f t="shared" ref="K10:K27" si="5">SUM(G10:J10)</f>
        <v>18</v>
      </c>
      <c r="L10" s="11">
        <f t="shared" si="1"/>
        <v>37</v>
      </c>
      <c r="M10" s="71">
        <v>45033</v>
      </c>
      <c r="N10" s="40" t="s">
        <v>26</v>
      </c>
      <c r="O10" s="20">
        <v>20</v>
      </c>
      <c r="P10" s="35">
        <v>20</v>
      </c>
      <c r="Q10" s="21">
        <v>20</v>
      </c>
      <c r="R10" s="38">
        <v>20</v>
      </c>
      <c r="S10" s="9">
        <f t="shared" ref="S10" si="6">SUM(O10:R10)</f>
        <v>80</v>
      </c>
      <c r="T10" s="20">
        <v>20</v>
      </c>
      <c r="U10" s="35">
        <v>20</v>
      </c>
      <c r="V10" s="21">
        <v>20</v>
      </c>
      <c r="W10" s="38">
        <v>20</v>
      </c>
      <c r="X10" s="98">
        <f t="shared" ref="X10" si="7">SUM(T10:W10)</f>
        <v>80</v>
      </c>
      <c r="Y10" s="11">
        <f t="shared" si="0"/>
        <v>160</v>
      </c>
      <c r="Z10" s="69">
        <v>45031</v>
      </c>
    </row>
    <row r="11" spans="1:28" x14ac:dyDescent="0.15">
      <c r="A11" s="59" t="s">
        <v>28</v>
      </c>
      <c r="B11" s="20">
        <v>1</v>
      </c>
      <c r="C11" s="35"/>
      <c r="D11" s="21"/>
      <c r="E11" s="24"/>
      <c r="F11" s="25">
        <f t="shared" si="4"/>
        <v>1</v>
      </c>
      <c r="G11" s="20">
        <v>1</v>
      </c>
      <c r="H11" s="35"/>
      <c r="I11" s="21"/>
      <c r="J11" s="24"/>
      <c r="K11" s="25">
        <f t="shared" si="5"/>
        <v>1</v>
      </c>
      <c r="L11" s="11">
        <f t="shared" si="1"/>
        <v>2</v>
      </c>
      <c r="M11" s="71">
        <v>45034</v>
      </c>
      <c r="N11" s="40" t="s">
        <v>26</v>
      </c>
      <c r="O11" s="20">
        <v>5</v>
      </c>
      <c r="P11" s="35">
        <v>5</v>
      </c>
      <c r="Q11" s="21"/>
      <c r="R11" s="38"/>
      <c r="S11" s="9">
        <f>SUM(O11:R11)</f>
        <v>10</v>
      </c>
      <c r="T11" s="20">
        <v>5</v>
      </c>
      <c r="U11" s="35">
        <v>5</v>
      </c>
      <c r="V11" s="21"/>
      <c r="W11" s="38"/>
      <c r="X11" s="9">
        <f>SUM(T11:W11)</f>
        <v>10</v>
      </c>
      <c r="Y11" s="11">
        <f t="shared" si="0"/>
        <v>20</v>
      </c>
      <c r="Z11" s="69">
        <v>45041</v>
      </c>
    </row>
    <row r="12" spans="1:28" x14ac:dyDescent="0.15">
      <c r="A12" s="59" t="s">
        <v>27</v>
      </c>
      <c r="B12" s="20"/>
      <c r="C12" s="35"/>
      <c r="D12" s="21"/>
      <c r="E12" s="24">
        <v>1</v>
      </c>
      <c r="F12" s="25">
        <f t="shared" si="4"/>
        <v>1</v>
      </c>
      <c r="G12" s="20"/>
      <c r="H12" s="35"/>
      <c r="I12" s="21"/>
      <c r="J12" s="24">
        <v>1</v>
      </c>
      <c r="K12" s="25">
        <f t="shared" si="5"/>
        <v>1</v>
      </c>
      <c r="L12" s="11">
        <f t="shared" si="1"/>
        <v>2</v>
      </c>
      <c r="M12" s="71">
        <v>45034</v>
      </c>
      <c r="N12" s="40" t="s">
        <v>26</v>
      </c>
      <c r="O12" s="20">
        <v>5</v>
      </c>
      <c r="P12" s="35">
        <v>5</v>
      </c>
      <c r="Q12" s="21">
        <v>5</v>
      </c>
      <c r="R12" s="38"/>
      <c r="S12" s="9">
        <f>SUM(O12:R12)</f>
        <v>15</v>
      </c>
      <c r="T12" s="20">
        <v>5</v>
      </c>
      <c r="U12" s="35">
        <v>5</v>
      </c>
      <c r="V12" s="21">
        <v>5</v>
      </c>
      <c r="W12" s="38"/>
      <c r="X12" s="9">
        <f>SUM(T12:W12)</f>
        <v>15</v>
      </c>
      <c r="Y12" s="11">
        <f t="shared" si="0"/>
        <v>30</v>
      </c>
      <c r="Z12" s="69">
        <v>45044</v>
      </c>
    </row>
    <row r="13" spans="1:28" x14ac:dyDescent="0.15">
      <c r="A13" s="59" t="s">
        <v>27</v>
      </c>
      <c r="B13" s="20">
        <v>2</v>
      </c>
      <c r="C13" s="35">
        <v>1</v>
      </c>
      <c r="D13" s="21"/>
      <c r="E13" s="24"/>
      <c r="F13" s="25">
        <f t="shared" si="4"/>
        <v>3</v>
      </c>
      <c r="G13" s="20">
        <v>2</v>
      </c>
      <c r="H13" s="35">
        <v>1</v>
      </c>
      <c r="I13" s="21"/>
      <c r="J13" s="24"/>
      <c r="K13" s="25">
        <f t="shared" si="5"/>
        <v>3</v>
      </c>
      <c r="L13" s="11">
        <f t="shared" si="1"/>
        <v>6</v>
      </c>
      <c r="M13" s="71">
        <v>45035</v>
      </c>
      <c r="N13" s="40" t="s">
        <v>26</v>
      </c>
      <c r="O13" s="20">
        <v>10</v>
      </c>
      <c r="P13" s="35"/>
      <c r="Q13" s="21"/>
      <c r="R13" s="38"/>
      <c r="S13" s="9">
        <f>SUM(O13:R13)</f>
        <v>10</v>
      </c>
      <c r="T13" s="20">
        <v>10</v>
      </c>
      <c r="U13" s="35"/>
      <c r="V13" s="21"/>
      <c r="W13" s="38"/>
      <c r="X13" s="9">
        <f>SUM(T13:W13)</f>
        <v>10</v>
      </c>
      <c r="Y13" s="11">
        <f t="shared" si="0"/>
        <v>20</v>
      </c>
      <c r="Z13" s="69">
        <v>45054</v>
      </c>
      <c r="AA13" s="41"/>
      <c r="AB13" s="41"/>
    </row>
    <row r="14" spans="1:28" x14ac:dyDescent="0.15">
      <c r="A14" s="59" t="s">
        <v>29</v>
      </c>
      <c r="B14" s="20">
        <v>1</v>
      </c>
      <c r="C14" s="35"/>
      <c r="D14" s="21"/>
      <c r="E14" s="24"/>
      <c r="F14" s="25">
        <f t="shared" si="4"/>
        <v>1</v>
      </c>
      <c r="G14" s="20">
        <v>1</v>
      </c>
      <c r="H14" s="35"/>
      <c r="I14" s="21"/>
      <c r="J14" s="24"/>
      <c r="K14" s="25">
        <f t="shared" si="5"/>
        <v>1</v>
      </c>
      <c r="L14" s="11">
        <f t="shared" si="1"/>
        <v>2</v>
      </c>
      <c r="M14" s="71">
        <v>45036</v>
      </c>
      <c r="N14" s="12" t="s">
        <v>35</v>
      </c>
      <c r="O14" s="20">
        <v>3</v>
      </c>
      <c r="P14" s="35">
        <v>3</v>
      </c>
      <c r="Q14" s="21">
        <v>3</v>
      </c>
      <c r="R14" s="38">
        <v>2</v>
      </c>
      <c r="S14" s="9">
        <f t="shared" ref="S14:S23" si="8">SUM(O14:R14)</f>
        <v>11</v>
      </c>
      <c r="T14" s="20">
        <v>3</v>
      </c>
      <c r="U14" s="35">
        <v>3</v>
      </c>
      <c r="V14" s="21">
        <v>3</v>
      </c>
      <c r="W14" s="38">
        <v>2</v>
      </c>
      <c r="X14" s="9">
        <f t="shared" ref="X14:X23" si="9">SUM(T14:W14)</f>
        <v>11</v>
      </c>
      <c r="Y14" s="11">
        <f t="shared" ref="Y14:Y23" si="10">S14+X14</f>
        <v>22</v>
      </c>
      <c r="Z14" s="69">
        <v>45058</v>
      </c>
    </row>
    <row r="15" spans="1:28" x14ac:dyDescent="0.15">
      <c r="A15" s="59" t="s">
        <v>30</v>
      </c>
      <c r="B15" s="20">
        <v>1</v>
      </c>
      <c r="C15" s="35"/>
      <c r="D15" s="21"/>
      <c r="E15" s="24"/>
      <c r="F15" s="25">
        <f t="shared" si="4"/>
        <v>1</v>
      </c>
      <c r="G15" s="20">
        <v>1</v>
      </c>
      <c r="H15" s="35"/>
      <c r="I15" s="21"/>
      <c r="J15" s="24"/>
      <c r="K15" s="25">
        <f t="shared" si="5"/>
        <v>1</v>
      </c>
      <c r="L15" s="11">
        <f t="shared" si="1"/>
        <v>2</v>
      </c>
      <c r="M15" s="71">
        <v>45037</v>
      </c>
      <c r="N15" s="40" t="s">
        <v>26</v>
      </c>
      <c r="O15" s="20">
        <v>5</v>
      </c>
      <c r="P15" s="35">
        <v>10</v>
      </c>
      <c r="Q15" s="21"/>
      <c r="R15" s="38">
        <v>5</v>
      </c>
      <c r="S15" s="9">
        <f>SUM(O15:R15)</f>
        <v>20</v>
      </c>
      <c r="T15" s="20">
        <v>5</v>
      </c>
      <c r="U15" s="35">
        <v>5</v>
      </c>
      <c r="V15" s="21"/>
      <c r="W15" s="38"/>
      <c r="X15" s="9">
        <f>SUM(T15:W15)</f>
        <v>10</v>
      </c>
      <c r="Y15" s="11">
        <f t="shared" si="10"/>
        <v>30</v>
      </c>
      <c r="Z15" s="69">
        <v>45057</v>
      </c>
    </row>
    <row r="16" spans="1:28" x14ac:dyDescent="0.15">
      <c r="A16" s="59" t="s">
        <v>27</v>
      </c>
      <c r="B16" s="20"/>
      <c r="C16" s="35">
        <v>1</v>
      </c>
      <c r="D16" s="21"/>
      <c r="E16" s="24"/>
      <c r="F16" s="25">
        <f t="shared" si="4"/>
        <v>1</v>
      </c>
      <c r="G16" s="20"/>
      <c r="H16" s="35">
        <v>1</v>
      </c>
      <c r="I16" s="21"/>
      <c r="J16" s="24"/>
      <c r="K16" s="25">
        <f t="shared" si="5"/>
        <v>1</v>
      </c>
      <c r="L16" s="11">
        <f t="shared" si="1"/>
        <v>2</v>
      </c>
      <c r="M16" s="71">
        <v>45036</v>
      </c>
      <c r="N16" s="40" t="s">
        <v>26</v>
      </c>
      <c r="O16" s="20">
        <v>5</v>
      </c>
      <c r="P16" s="35"/>
      <c r="Q16" s="21">
        <v>5</v>
      </c>
      <c r="R16" s="38"/>
      <c r="S16" s="9">
        <f>SUM(O16:R16)</f>
        <v>10</v>
      </c>
      <c r="T16" s="20"/>
      <c r="U16" s="35"/>
      <c r="V16" s="21">
        <v>5</v>
      </c>
      <c r="W16" s="38">
        <v>5</v>
      </c>
      <c r="X16" s="9">
        <f>SUM(T16:W16)</f>
        <v>10</v>
      </c>
      <c r="Y16" s="11">
        <f t="shared" si="10"/>
        <v>20</v>
      </c>
      <c r="Z16" s="69">
        <v>45059</v>
      </c>
      <c r="AA16" s="41"/>
    </row>
    <row r="17" spans="1:28" x14ac:dyDescent="0.15">
      <c r="A17" s="59" t="s">
        <v>39</v>
      </c>
      <c r="B17" s="20">
        <v>1</v>
      </c>
      <c r="C17" s="35"/>
      <c r="D17" s="21"/>
      <c r="E17" s="24"/>
      <c r="F17" s="25">
        <f t="shared" si="4"/>
        <v>1</v>
      </c>
      <c r="G17" s="20">
        <v>1</v>
      </c>
      <c r="H17" s="35"/>
      <c r="I17" s="21"/>
      <c r="J17" s="24"/>
      <c r="K17" s="25">
        <f t="shared" si="5"/>
        <v>1</v>
      </c>
      <c r="L17" s="11">
        <f t="shared" si="1"/>
        <v>2</v>
      </c>
      <c r="M17" s="71">
        <v>45037</v>
      </c>
      <c r="N17" s="12" t="s">
        <v>37</v>
      </c>
      <c r="O17" s="20"/>
      <c r="P17" s="35">
        <v>11</v>
      </c>
      <c r="Q17" s="21">
        <v>11</v>
      </c>
      <c r="R17" s="38"/>
      <c r="S17" s="9">
        <f t="shared" si="8"/>
        <v>22</v>
      </c>
      <c r="T17" s="20"/>
      <c r="U17" s="35">
        <v>11</v>
      </c>
      <c r="V17" s="21">
        <v>11</v>
      </c>
      <c r="W17" s="38"/>
      <c r="X17" s="9">
        <f t="shared" si="9"/>
        <v>22</v>
      </c>
      <c r="Y17" s="11">
        <f t="shared" si="10"/>
        <v>44</v>
      </c>
      <c r="Z17" s="69">
        <v>45068</v>
      </c>
    </row>
    <row r="18" spans="1:28" x14ac:dyDescent="0.15">
      <c r="A18" s="59" t="s">
        <v>27</v>
      </c>
      <c r="B18" s="20">
        <v>2</v>
      </c>
      <c r="C18" s="35"/>
      <c r="D18" s="21">
        <v>3</v>
      </c>
      <c r="E18" s="24"/>
      <c r="F18" s="25">
        <f t="shared" si="4"/>
        <v>5</v>
      </c>
      <c r="G18" s="20">
        <v>2</v>
      </c>
      <c r="H18" s="35"/>
      <c r="I18" s="21">
        <v>1</v>
      </c>
      <c r="J18" s="24"/>
      <c r="K18" s="25">
        <f t="shared" si="5"/>
        <v>3</v>
      </c>
      <c r="L18" s="11">
        <f t="shared" si="1"/>
        <v>8</v>
      </c>
      <c r="M18" s="71">
        <v>45037</v>
      </c>
      <c r="N18" s="40" t="s">
        <v>26</v>
      </c>
      <c r="O18" s="20"/>
      <c r="P18" s="35">
        <v>5</v>
      </c>
      <c r="Q18" s="21"/>
      <c r="R18" s="38"/>
      <c r="S18" s="9">
        <f>SUM(O18:R18)</f>
        <v>5</v>
      </c>
      <c r="T18" s="20">
        <v>5</v>
      </c>
      <c r="U18" s="35">
        <v>5</v>
      </c>
      <c r="V18" s="21"/>
      <c r="W18" s="38"/>
      <c r="X18" s="9">
        <f>SUM(T18:W18)</f>
        <v>10</v>
      </c>
      <c r="Y18" s="11">
        <f t="shared" si="10"/>
        <v>15</v>
      </c>
      <c r="Z18" s="69">
        <v>45066</v>
      </c>
      <c r="AA18" s="41"/>
    </row>
    <row r="19" spans="1:28" x14ac:dyDescent="0.15">
      <c r="A19" s="59" t="s">
        <v>27</v>
      </c>
      <c r="B19" s="20"/>
      <c r="C19" s="35">
        <v>2</v>
      </c>
      <c r="D19" s="21">
        <v>3</v>
      </c>
      <c r="E19" s="24">
        <v>1</v>
      </c>
      <c r="F19" s="25">
        <f t="shared" si="4"/>
        <v>6</v>
      </c>
      <c r="G19" s="20">
        <v>1</v>
      </c>
      <c r="H19" s="35"/>
      <c r="I19" s="21">
        <v>3</v>
      </c>
      <c r="J19" s="24">
        <v>1</v>
      </c>
      <c r="K19" s="25">
        <f t="shared" si="5"/>
        <v>5</v>
      </c>
      <c r="L19" s="11">
        <f t="shared" si="1"/>
        <v>11</v>
      </c>
      <c r="M19" s="71">
        <v>45040</v>
      </c>
      <c r="N19" s="40" t="s">
        <v>38</v>
      </c>
      <c r="O19" s="20">
        <v>2</v>
      </c>
      <c r="P19" s="35"/>
      <c r="Q19" s="21">
        <v>2</v>
      </c>
      <c r="R19" s="38">
        <v>1</v>
      </c>
      <c r="S19" s="9">
        <f t="shared" si="8"/>
        <v>5</v>
      </c>
      <c r="T19" s="20">
        <v>2</v>
      </c>
      <c r="U19" s="35"/>
      <c r="V19" s="21">
        <v>2</v>
      </c>
      <c r="W19" s="38">
        <v>1</v>
      </c>
      <c r="X19" s="9">
        <f t="shared" si="9"/>
        <v>5</v>
      </c>
      <c r="Y19" s="11">
        <f t="shared" si="10"/>
        <v>10</v>
      </c>
      <c r="Z19" s="69">
        <v>45070</v>
      </c>
      <c r="AA19" s="41"/>
    </row>
    <row r="20" spans="1:28" x14ac:dyDescent="0.15">
      <c r="A20" s="59" t="s">
        <v>32</v>
      </c>
      <c r="B20" s="20">
        <v>1</v>
      </c>
      <c r="C20" s="35"/>
      <c r="D20" s="21"/>
      <c r="E20" s="24"/>
      <c r="F20" s="25">
        <f t="shared" si="4"/>
        <v>1</v>
      </c>
      <c r="G20" s="20"/>
      <c r="H20" s="35">
        <v>1</v>
      </c>
      <c r="I20" s="21"/>
      <c r="J20" s="24"/>
      <c r="K20" s="25">
        <f t="shared" si="5"/>
        <v>1</v>
      </c>
      <c r="L20" s="11">
        <f t="shared" si="1"/>
        <v>2</v>
      </c>
      <c r="M20" s="69">
        <v>45041</v>
      </c>
      <c r="N20" s="40" t="s">
        <v>40</v>
      </c>
      <c r="O20" s="20">
        <v>7</v>
      </c>
      <c r="P20" s="35">
        <v>6</v>
      </c>
      <c r="Q20" s="21">
        <v>9</v>
      </c>
      <c r="R20" s="38">
        <v>6</v>
      </c>
      <c r="S20" s="9">
        <f t="shared" si="8"/>
        <v>28</v>
      </c>
      <c r="T20" s="20">
        <v>7</v>
      </c>
      <c r="U20" s="35">
        <v>6</v>
      </c>
      <c r="V20" s="21">
        <v>9</v>
      </c>
      <c r="W20" s="38">
        <v>6</v>
      </c>
      <c r="X20" s="9">
        <f t="shared" si="9"/>
        <v>28</v>
      </c>
      <c r="Y20" s="11">
        <f t="shared" si="10"/>
        <v>56</v>
      </c>
      <c r="Z20" s="69">
        <v>45071</v>
      </c>
    </row>
    <row r="21" spans="1:28" x14ac:dyDescent="0.15">
      <c r="A21" s="59" t="s">
        <v>27</v>
      </c>
      <c r="B21" s="20"/>
      <c r="C21" s="35">
        <v>1</v>
      </c>
      <c r="D21" s="21"/>
      <c r="E21" s="24">
        <v>1</v>
      </c>
      <c r="F21" s="25">
        <f t="shared" si="4"/>
        <v>2</v>
      </c>
      <c r="G21" s="20"/>
      <c r="H21" s="35">
        <v>1</v>
      </c>
      <c r="I21" s="21">
        <v>1</v>
      </c>
      <c r="J21" s="24">
        <v>1</v>
      </c>
      <c r="K21" s="25">
        <f t="shared" si="5"/>
        <v>3</v>
      </c>
      <c r="L21" s="11">
        <f t="shared" si="1"/>
        <v>5</v>
      </c>
      <c r="M21" s="71">
        <v>45041</v>
      </c>
      <c r="N21" s="40" t="s">
        <v>41</v>
      </c>
      <c r="O21" s="20">
        <v>20</v>
      </c>
      <c r="P21" s="35">
        <v>29</v>
      </c>
      <c r="Q21" s="21">
        <v>16</v>
      </c>
      <c r="R21" s="38">
        <v>13</v>
      </c>
      <c r="S21" s="9">
        <f t="shared" si="8"/>
        <v>78</v>
      </c>
      <c r="T21" s="20">
        <v>20</v>
      </c>
      <c r="U21" s="35">
        <v>29</v>
      </c>
      <c r="V21" s="21">
        <v>16</v>
      </c>
      <c r="W21" s="38">
        <v>13</v>
      </c>
      <c r="X21" s="9">
        <f t="shared" si="9"/>
        <v>78</v>
      </c>
      <c r="Y21" s="11">
        <f t="shared" si="10"/>
        <v>156</v>
      </c>
      <c r="Z21" s="69">
        <v>45072</v>
      </c>
      <c r="AA21" s="41"/>
      <c r="AB21" s="41"/>
    </row>
    <row r="22" spans="1:28" x14ac:dyDescent="0.15">
      <c r="A22" s="59" t="s">
        <v>27</v>
      </c>
      <c r="B22" s="20">
        <v>1</v>
      </c>
      <c r="C22" s="35">
        <v>1</v>
      </c>
      <c r="D22" s="21"/>
      <c r="E22" s="24">
        <v>1</v>
      </c>
      <c r="F22" s="25">
        <f t="shared" si="4"/>
        <v>3</v>
      </c>
      <c r="G22" s="20">
        <v>2</v>
      </c>
      <c r="H22" s="35">
        <v>1</v>
      </c>
      <c r="I22" s="21">
        <v>1</v>
      </c>
      <c r="J22" s="24">
        <v>1</v>
      </c>
      <c r="K22" s="25">
        <f t="shared" si="5"/>
        <v>5</v>
      </c>
      <c r="L22" s="11">
        <f t="shared" si="1"/>
        <v>8</v>
      </c>
      <c r="M22" s="71">
        <v>45042</v>
      </c>
      <c r="N22" s="40" t="s">
        <v>26</v>
      </c>
      <c r="O22" s="20">
        <v>10</v>
      </c>
      <c r="P22" s="35">
        <v>5</v>
      </c>
      <c r="Q22" s="21"/>
      <c r="R22" s="38">
        <v>5</v>
      </c>
      <c r="S22" s="9">
        <f>SUM(O22:R22)</f>
        <v>20</v>
      </c>
      <c r="T22" s="20">
        <v>10</v>
      </c>
      <c r="U22" s="35">
        <v>5</v>
      </c>
      <c r="V22" s="21">
        <v>5</v>
      </c>
      <c r="W22" s="38"/>
      <c r="X22" s="9">
        <f>SUM(T22:W22)</f>
        <v>20</v>
      </c>
      <c r="Y22" s="11">
        <f t="shared" si="10"/>
        <v>40</v>
      </c>
      <c r="Z22" s="69">
        <v>45072</v>
      </c>
      <c r="AA22" s="41"/>
      <c r="AB22" s="41"/>
    </row>
    <row r="23" spans="1:28" x14ac:dyDescent="0.15">
      <c r="A23" s="59" t="s">
        <v>32</v>
      </c>
      <c r="B23" s="20">
        <v>1</v>
      </c>
      <c r="C23" s="35">
        <v>1</v>
      </c>
      <c r="D23" s="21">
        <v>1</v>
      </c>
      <c r="E23" s="24"/>
      <c r="F23" s="25">
        <f t="shared" si="4"/>
        <v>3</v>
      </c>
      <c r="G23" s="20">
        <v>1</v>
      </c>
      <c r="H23" s="35">
        <v>1</v>
      </c>
      <c r="I23" s="21">
        <v>1</v>
      </c>
      <c r="J23" s="24"/>
      <c r="K23" s="25">
        <f t="shared" si="5"/>
        <v>3</v>
      </c>
      <c r="L23" s="11">
        <f t="shared" si="1"/>
        <v>6</v>
      </c>
      <c r="M23" s="69">
        <v>45044</v>
      </c>
      <c r="N23" s="40" t="s">
        <v>42</v>
      </c>
      <c r="O23" s="20">
        <v>17</v>
      </c>
      <c r="P23" s="35">
        <v>21</v>
      </c>
      <c r="Q23" s="21">
        <v>15</v>
      </c>
      <c r="R23" s="38">
        <v>14</v>
      </c>
      <c r="S23" s="9">
        <f t="shared" si="8"/>
        <v>67</v>
      </c>
      <c r="T23" s="20">
        <v>17</v>
      </c>
      <c r="U23" s="35">
        <v>21</v>
      </c>
      <c r="V23" s="21">
        <v>15</v>
      </c>
      <c r="W23" s="38">
        <v>14</v>
      </c>
      <c r="X23" s="9">
        <f t="shared" si="9"/>
        <v>67</v>
      </c>
      <c r="Y23" s="11">
        <f t="shared" si="10"/>
        <v>134</v>
      </c>
      <c r="Z23" s="69">
        <v>45075</v>
      </c>
    </row>
    <row r="24" spans="1:28" x14ac:dyDescent="0.15">
      <c r="A24" s="59" t="s">
        <v>27</v>
      </c>
      <c r="B24" s="20">
        <v>2</v>
      </c>
      <c r="C24" s="35"/>
      <c r="D24" s="21"/>
      <c r="E24" s="24"/>
      <c r="F24" s="25">
        <f t="shared" si="4"/>
        <v>2</v>
      </c>
      <c r="G24" s="20">
        <v>2</v>
      </c>
      <c r="H24" s="35"/>
      <c r="I24" s="21"/>
      <c r="J24" s="24"/>
      <c r="K24" s="25">
        <f t="shared" si="5"/>
        <v>2</v>
      </c>
      <c r="L24" s="11">
        <f t="shared" si="1"/>
        <v>4</v>
      </c>
      <c r="M24" s="69">
        <v>45044</v>
      </c>
      <c r="N24" s="40" t="s">
        <v>44</v>
      </c>
      <c r="O24" s="20">
        <v>3</v>
      </c>
      <c r="P24" s="35">
        <v>14</v>
      </c>
      <c r="Q24" s="21">
        <v>14</v>
      </c>
      <c r="R24" s="38">
        <v>14</v>
      </c>
      <c r="S24" s="9">
        <f t="shared" ref="S24:S35" si="11">SUM(O24:R24)</f>
        <v>45</v>
      </c>
      <c r="T24" s="20">
        <v>3</v>
      </c>
      <c r="U24" s="35">
        <v>14</v>
      </c>
      <c r="V24" s="21">
        <v>14</v>
      </c>
      <c r="W24" s="38">
        <v>14</v>
      </c>
      <c r="X24" s="9">
        <f t="shared" ref="X24:X35" si="12">SUM(T24:W24)</f>
        <v>45</v>
      </c>
      <c r="Y24" s="11">
        <f t="shared" si="0"/>
        <v>90</v>
      </c>
      <c r="Z24" s="69">
        <v>45076</v>
      </c>
    </row>
    <row r="25" spans="1:28" x14ac:dyDescent="0.15">
      <c r="A25" s="59" t="s">
        <v>27</v>
      </c>
      <c r="B25" s="20">
        <v>2</v>
      </c>
      <c r="C25" s="35"/>
      <c r="D25" s="21">
        <v>1</v>
      </c>
      <c r="E25" s="24"/>
      <c r="F25" s="25">
        <f t="shared" si="4"/>
        <v>3</v>
      </c>
      <c r="G25" s="20">
        <v>2</v>
      </c>
      <c r="H25" s="35"/>
      <c r="I25" s="21">
        <v>1</v>
      </c>
      <c r="J25" s="24"/>
      <c r="K25" s="25">
        <f t="shared" si="5"/>
        <v>3</v>
      </c>
      <c r="L25" s="11">
        <f t="shared" si="1"/>
        <v>6</v>
      </c>
      <c r="M25" s="71">
        <v>45047</v>
      </c>
      <c r="N25" s="40" t="s">
        <v>45</v>
      </c>
      <c r="O25" s="20">
        <v>11</v>
      </c>
      <c r="P25" s="35">
        <v>26</v>
      </c>
      <c r="Q25" s="21">
        <v>15</v>
      </c>
      <c r="R25" s="38">
        <v>12</v>
      </c>
      <c r="S25" s="9">
        <f t="shared" si="11"/>
        <v>64</v>
      </c>
      <c r="T25" s="20">
        <v>11</v>
      </c>
      <c r="U25" s="35">
        <v>26</v>
      </c>
      <c r="V25" s="21">
        <v>15</v>
      </c>
      <c r="W25" s="38">
        <v>12</v>
      </c>
      <c r="X25" s="9">
        <f t="shared" si="12"/>
        <v>64</v>
      </c>
      <c r="Y25" s="11">
        <f t="shared" si="0"/>
        <v>128</v>
      </c>
      <c r="Z25" s="69">
        <v>45077</v>
      </c>
    </row>
    <row r="26" spans="1:28" x14ac:dyDescent="0.15">
      <c r="A26" s="59" t="s">
        <v>27</v>
      </c>
      <c r="B26" s="20">
        <v>1</v>
      </c>
      <c r="C26" s="35">
        <v>1</v>
      </c>
      <c r="D26" s="21"/>
      <c r="E26" s="24"/>
      <c r="F26" s="25">
        <f t="shared" si="4"/>
        <v>2</v>
      </c>
      <c r="G26" s="20">
        <v>1</v>
      </c>
      <c r="H26" s="35"/>
      <c r="I26" s="21"/>
      <c r="J26" s="24"/>
      <c r="K26" s="25">
        <f t="shared" si="5"/>
        <v>1</v>
      </c>
      <c r="L26" s="11">
        <f t="shared" si="1"/>
        <v>3</v>
      </c>
      <c r="M26" s="71">
        <v>45048</v>
      </c>
      <c r="N26" s="40" t="s">
        <v>26</v>
      </c>
      <c r="O26" s="20">
        <v>5</v>
      </c>
      <c r="P26" s="35"/>
      <c r="Q26" s="21"/>
      <c r="R26" s="38">
        <v>5</v>
      </c>
      <c r="S26" s="9">
        <f>SUM(O26:R26)</f>
        <v>10</v>
      </c>
      <c r="T26" s="20">
        <v>10</v>
      </c>
      <c r="U26" s="35">
        <v>5</v>
      </c>
      <c r="V26" s="21"/>
      <c r="W26" s="38"/>
      <c r="X26" s="9">
        <f>SUM(T26:W26)</f>
        <v>15</v>
      </c>
      <c r="Y26" s="11">
        <f t="shared" si="0"/>
        <v>25</v>
      </c>
      <c r="Z26" s="69">
        <v>45077</v>
      </c>
    </row>
    <row r="27" spans="1:28" x14ac:dyDescent="0.15">
      <c r="A27" s="59" t="s">
        <v>27</v>
      </c>
      <c r="B27" s="20">
        <v>4</v>
      </c>
      <c r="C27" s="35">
        <v>4</v>
      </c>
      <c r="D27" s="21"/>
      <c r="E27" s="24">
        <v>1</v>
      </c>
      <c r="F27" s="25">
        <f t="shared" si="4"/>
        <v>9</v>
      </c>
      <c r="G27" s="20">
        <v>4</v>
      </c>
      <c r="H27" s="35">
        <v>4</v>
      </c>
      <c r="I27" s="21"/>
      <c r="J27" s="24">
        <v>1</v>
      </c>
      <c r="K27" s="25">
        <f t="shared" si="5"/>
        <v>9</v>
      </c>
      <c r="L27" s="11">
        <f t="shared" si="1"/>
        <v>18</v>
      </c>
      <c r="M27" s="71">
        <v>45054</v>
      </c>
      <c r="N27" s="40" t="s">
        <v>48</v>
      </c>
      <c r="O27" s="20">
        <v>4</v>
      </c>
      <c r="P27" s="35"/>
      <c r="Q27" s="21">
        <v>4</v>
      </c>
      <c r="R27" s="38">
        <v>3</v>
      </c>
      <c r="S27" s="9">
        <f t="shared" ref="S27:S34" si="13">SUM(O27:R27)</f>
        <v>11</v>
      </c>
      <c r="T27" s="20">
        <v>4</v>
      </c>
      <c r="U27" s="35"/>
      <c r="V27" s="21">
        <v>4</v>
      </c>
      <c r="W27" s="38">
        <v>3</v>
      </c>
      <c r="X27" s="9">
        <f t="shared" ref="X27:X34" si="14">SUM(T27:W27)</f>
        <v>11</v>
      </c>
      <c r="Y27" s="11">
        <f t="shared" ref="Y27:Y34" si="15">S27+X27</f>
        <v>22</v>
      </c>
      <c r="Z27" s="69">
        <v>45078</v>
      </c>
    </row>
    <row r="28" spans="1:28" x14ac:dyDescent="0.15">
      <c r="A28" s="59" t="s">
        <v>34</v>
      </c>
      <c r="B28" s="20">
        <v>1</v>
      </c>
      <c r="C28" s="35"/>
      <c r="D28" s="21"/>
      <c r="E28" s="24"/>
      <c r="F28" s="25">
        <f t="shared" ref="F28" si="16">SUM(B28:E28)</f>
        <v>1</v>
      </c>
      <c r="G28" s="20">
        <v>1</v>
      </c>
      <c r="H28" s="35"/>
      <c r="I28" s="21"/>
      <c r="J28" s="24"/>
      <c r="K28" s="25">
        <f t="shared" ref="K28" si="17">SUM(G28:J28)</f>
        <v>1</v>
      </c>
      <c r="L28" s="11">
        <f t="shared" ref="L28" si="18">F28+K28</f>
        <v>2</v>
      </c>
      <c r="M28" s="71">
        <v>45055</v>
      </c>
      <c r="N28" s="40" t="s">
        <v>49</v>
      </c>
      <c r="O28" s="20">
        <v>12</v>
      </c>
      <c r="P28" s="35">
        <v>14</v>
      </c>
      <c r="Q28" s="21">
        <v>10</v>
      </c>
      <c r="R28" s="38">
        <v>9</v>
      </c>
      <c r="S28" s="9">
        <f t="shared" si="13"/>
        <v>45</v>
      </c>
      <c r="T28" s="20">
        <v>12</v>
      </c>
      <c r="U28" s="35">
        <v>14</v>
      </c>
      <c r="V28" s="21">
        <v>10</v>
      </c>
      <c r="W28" s="38">
        <v>9</v>
      </c>
      <c r="X28" s="9">
        <f t="shared" si="14"/>
        <v>45</v>
      </c>
      <c r="Y28" s="11">
        <f t="shared" si="15"/>
        <v>90</v>
      </c>
      <c r="Z28" s="69">
        <v>45079</v>
      </c>
    </row>
    <row r="29" spans="1:28" x14ac:dyDescent="0.15">
      <c r="A29" s="59" t="s">
        <v>27</v>
      </c>
      <c r="B29" s="20">
        <v>5</v>
      </c>
      <c r="C29" s="35">
        <v>5</v>
      </c>
      <c r="D29" s="21">
        <v>2</v>
      </c>
      <c r="E29" s="24">
        <f>2+1</f>
        <v>3</v>
      </c>
      <c r="F29" s="25">
        <f t="shared" ref="F29:F34" si="19">SUM(B29:E29)</f>
        <v>15</v>
      </c>
      <c r="G29" s="20">
        <v>3</v>
      </c>
      <c r="H29" s="35">
        <v>4</v>
      </c>
      <c r="I29" s="21"/>
      <c r="J29" s="24">
        <f>1+1</f>
        <v>2</v>
      </c>
      <c r="K29" s="25">
        <f t="shared" ref="K29:K34" si="20">SUM(G29:J29)</f>
        <v>9</v>
      </c>
      <c r="L29" s="11">
        <f t="shared" si="1"/>
        <v>24</v>
      </c>
      <c r="M29" s="71">
        <v>45056</v>
      </c>
      <c r="N29" s="40" t="s">
        <v>49</v>
      </c>
      <c r="O29" s="20"/>
      <c r="P29" s="35">
        <v>2</v>
      </c>
      <c r="Q29" s="21">
        <v>1</v>
      </c>
      <c r="R29" s="38">
        <v>3</v>
      </c>
      <c r="S29" s="9">
        <f t="shared" si="13"/>
        <v>6</v>
      </c>
      <c r="T29" s="20"/>
      <c r="U29" s="35">
        <v>2</v>
      </c>
      <c r="V29" s="21">
        <v>1</v>
      </c>
      <c r="W29" s="38">
        <v>3</v>
      </c>
      <c r="X29" s="9">
        <f t="shared" si="14"/>
        <v>6</v>
      </c>
      <c r="Y29" s="11">
        <f t="shared" si="15"/>
        <v>12</v>
      </c>
      <c r="Z29" s="69">
        <v>45082</v>
      </c>
    </row>
    <row r="30" spans="1:28" x14ac:dyDescent="0.15">
      <c r="A30" s="59" t="s">
        <v>27</v>
      </c>
      <c r="B30" s="20">
        <v>2</v>
      </c>
      <c r="C30" s="35">
        <v>1</v>
      </c>
      <c r="D30" s="21">
        <v>1</v>
      </c>
      <c r="E30" s="24"/>
      <c r="F30" s="25">
        <f t="shared" si="19"/>
        <v>4</v>
      </c>
      <c r="G30" s="20">
        <f>2+1</f>
        <v>3</v>
      </c>
      <c r="H30" s="35">
        <v>1</v>
      </c>
      <c r="I30" s="21">
        <v>2</v>
      </c>
      <c r="J30" s="24"/>
      <c r="K30" s="25">
        <f t="shared" si="20"/>
        <v>6</v>
      </c>
      <c r="L30" s="11">
        <f t="shared" si="1"/>
        <v>10</v>
      </c>
      <c r="M30" s="71">
        <v>45057</v>
      </c>
      <c r="N30" s="40"/>
      <c r="O30" s="20"/>
      <c r="P30" s="35"/>
      <c r="Q30" s="21"/>
      <c r="R30" s="38"/>
      <c r="S30" s="9">
        <f t="shared" ref="S30" si="21">SUM(O30:R30)</f>
        <v>0</v>
      </c>
      <c r="T30" s="20"/>
      <c r="U30" s="35"/>
      <c r="V30" s="21"/>
      <c r="W30" s="38"/>
      <c r="X30" s="9">
        <f t="shared" ref="X30" si="22">SUM(T30:W30)</f>
        <v>0</v>
      </c>
      <c r="Y30" s="11">
        <f t="shared" ref="Y30" si="23">S30+X30</f>
        <v>0</v>
      </c>
    </row>
    <row r="31" spans="1:28" x14ac:dyDescent="0.15">
      <c r="A31" s="59" t="s">
        <v>27</v>
      </c>
      <c r="B31" s="20">
        <f>1+1</f>
        <v>2</v>
      </c>
      <c r="C31" s="35"/>
      <c r="D31" s="21">
        <v>1</v>
      </c>
      <c r="E31" s="24"/>
      <c r="F31" s="25">
        <f t="shared" si="19"/>
        <v>3</v>
      </c>
      <c r="G31" s="20">
        <v>1</v>
      </c>
      <c r="H31" s="35"/>
      <c r="I31" s="21">
        <v>1</v>
      </c>
      <c r="J31" s="24"/>
      <c r="K31" s="25">
        <f t="shared" si="20"/>
        <v>2</v>
      </c>
      <c r="L31" s="11">
        <f t="shared" si="1"/>
        <v>5</v>
      </c>
      <c r="M31" s="71">
        <v>45058</v>
      </c>
      <c r="N31" s="40"/>
      <c r="O31" s="20"/>
      <c r="P31" s="35"/>
      <c r="Q31" s="21"/>
      <c r="R31" s="38"/>
      <c r="S31" s="9">
        <f t="shared" si="13"/>
        <v>0</v>
      </c>
      <c r="T31" s="20"/>
      <c r="U31" s="35"/>
      <c r="V31" s="21"/>
      <c r="W31" s="38"/>
      <c r="X31" s="9">
        <f t="shared" si="14"/>
        <v>0</v>
      </c>
      <c r="Y31" s="11">
        <f t="shared" si="15"/>
        <v>0</v>
      </c>
    </row>
    <row r="32" spans="1:28" x14ac:dyDescent="0.15">
      <c r="A32" s="59" t="s">
        <v>27</v>
      </c>
      <c r="B32" s="20">
        <v>1</v>
      </c>
      <c r="C32" s="35">
        <v>3</v>
      </c>
      <c r="D32" s="21"/>
      <c r="E32" s="24"/>
      <c r="F32" s="25">
        <f t="shared" si="19"/>
        <v>4</v>
      </c>
      <c r="G32" s="20">
        <v>1</v>
      </c>
      <c r="H32" s="35">
        <v>3</v>
      </c>
      <c r="I32" s="21">
        <v>2</v>
      </c>
      <c r="J32" s="24"/>
      <c r="K32" s="25">
        <f t="shared" si="20"/>
        <v>6</v>
      </c>
      <c r="L32" s="11">
        <f t="shared" si="1"/>
        <v>10</v>
      </c>
      <c r="M32" s="71">
        <v>45061</v>
      </c>
      <c r="N32" s="40"/>
      <c r="O32" s="20"/>
      <c r="P32" s="35"/>
      <c r="Q32" s="21"/>
      <c r="R32" s="38"/>
      <c r="S32" s="9">
        <f t="shared" si="13"/>
        <v>0</v>
      </c>
      <c r="T32" s="20"/>
      <c r="U32" s="35"/>
      <c r="V32" s="21"/>
      <c r="W32" s="38"/>
      <c r="X32" s="9">
        <f t="shared" si="14"/>
        <v>0</v>
      </c>
      <c r="Y32" s="11">
        <f t="shared" si="15"/>
        <v>0</v>
      </c>
    </row>
    <row r="33" spans="1:26" x14ac:dyDescent="0.15">
      <c r="A33" s="59" t="s">
        <v>27</v>
      </c>
      <c r="B33" s="20">
        <v>2</v>
      </c>
      <c r="C33" s="35">
        <v>1</v>
      </c>
      <c r="D33" s="21"/>
      <c r="E33" s="24"/>
      <c r="F33" s="25">
        <f t="shared" si="19"/>
        <v>3</v>
      </c>
      <c r="G33" s="20">
        <v>2</v>
      </c>
      <c r="H33" s="35">
        <v>2</v>
      </c>
      <c r="I33" s="21">
        <v>1</v>
      </c>
      <c r="J33" s="24">
        <v>1</v>
      </c>
      <c r="K33" s="25">
        <f t="shared" si="20"/>
        <v>6</v>
      </c>
      <c r="L33" s="11">
        <f t="shared" si="1"/>
        <v>9</v>
      </c>
      <c r="M33" s="71">
        <v>45062</v>
      </c>
      <c r="N33" s="40" t="s">
        <v>23</v>
      </c>
      <c r="O33" s="20"/>
      <c r="P33" s="35"/>
      <c r="Q33" s="21"/>
      <c r="R33" s="38"/>
      <c r="S33" s="9">
        <f t="shared" si="13"/>
        <v>0</v>
      </c>
      <c r="T33" s="20"/>
      <c r="U33" s="35"/>
      <c r="V33" s="21"/>
      <c r="W33" s="38"/>
      <c r="X33" s="9">
        <f t="shared" si="14"/>
        <v>0</v>
      </c>
      <c r="Y33" s="11">
        <f t="shared" si="15"/>
        <v>0</v>
      </c>
      <c r="Z33" s="162" t="s">
        <v>24</v>
      </c>
    </row>
    <row r="34" spans="1:26" ht="14.25" thickBot="1" x14ac:dyDescent="0.2">
      <c r="A34" s="59" t="s">
        <v>27</v>
      </c>
      <c r="B34" s="43"/>
      <c r="C34" s="44">
        <v>1</v>
      </c>
      <c r="D34" s="45"/>
      <c r="E34" s="46"/>
      <c r="F34" s="25">
        <f t="shared" si="19"/>
        <v>1</v>
      </c>
      <c r="G34" s="43">
        <v>2</v>
      </c>
      <c r="H34" s="44">
        <v>1</v>
      </c>
      <c r="I34" s="45">
        <v>1</v>
      </c>
      <c r="J34" s="46"/>
      <c r="K34" s="25">
        <f t="shared" si="20"/>
        <v>4</v>
      </c>
      <c r="L34" s="14">
        <f t="shared" si="1"/>
        <v>5</v>
      </c>
      <c r="M34" s="71">
        <v>45068</v>
      </c>
      <c r="N34" s="99" t="s">
        <v>43</v>
      </c>
      <c r="O34" s="43"/>
      <c r="P34" s="44"/>
      <c r="Q34" s="45"/>
      <c r="R34" s="100"/>
      <c r="S34" s="10">
        <f t="shared" si="13"/>
        <v>0</v>
      </c>
      <c r="T34" s="43"/>
      <c r="U34" s="44"/>
      <c r="V34" s="45"/>
      <c r="W34" s="100"/>
      <c r="X34" s="10">
        <f t="shared" si="14"/>
        <v>0</v>
      </c>
      <c r="Y34" s="75">
        <f t="shared" si="15"/>
        <v>0</v>
      </c>
      <c r="Z34" s="162" t="s">
        <v>22</v>
      </c>
    </row>
    <row r="35" spans="1:26" ht="14.25" thickBot="1" x14ac:dyDescent="0.2">
      <c r="A35" s="16" t="s">
        <v>9</v>
      </c>
      <c r="B35" s="28">
        <f>SUM(B10:B34)</f>
        <v>38</v>
      </c>
      <c r="C35" s="36">
        <f>SUM(C10:C34)</f>
        <v>31</v>
      </c>
      <c r="D35" s="29">
        <f>SUM(D10:D34)</f>
        <v>14</v>
      </c>
      <c r="E35" s="30">
        <f>SUM(E10:E34)</f>
        <v>12</v>
      </c>
      <c r="F35" s="26">
        <f>SUM(B35:E35)</f>
        <v>95</v>
      </c>
      <c r="G35" s="28">
        <f>SUM(G10:G34)</f>
        <v>39</v>
      </c>
      <c r="H35" s="36">
        <f>SUM(H10:H34)</f>
        <v>28</v>
      </c>
      <c r="I35" s="29">
        <f>SUM(I10:I34)</f>
        <v>19</v>
      </c>
      <c r="J35" s="30">
        <f>SUM(J10:J34)</f>
        <v>10</v>
      </c>
      <c r="K35" s="26">
        <f>SUM(G35:J35)</f>
        <v>96</v>
      </c>
      <c r="L35" s="27">
        <f t="shared" si="1"/>
        <v>191</v>
      </c>
      <c r="N35" s="61" t="s">
        <v>9</v>
      </c>
      <c r="O35" s="28">
        <f>SUM(O10:O34)</f>
        <v>144</v>
      </c>
      <c r="P35" s="36">
        <f>SUM(P10:P34)</f>
        <v>176</v>
      </c>
      <c r="Q35" s="29">
        <f>SUM(Q10:Q34)</f>
        <v>130</v>
      </c>
      <c r="R35" s="30">
        <f>SUM(R10:R34)</f>
        <v>112</v>
      </c>
      <c r="S35" s="60">
        <f t="shared" si="11"/>
        <v>562</v>
      </c>
      <c r="T35" s="28">
        <f>SUM(T10:T34)</f>
        <v>149</v>
      </c>
      <c r="U35" s="36">
        <f>SUM(U10:U34)</f>
        <v>176</v>
      </c>
      <c r="V35" s="29">
        <f>SUM(V10:V34)</f>
        <v>135</v>
      </c>
      <c r="W35" s="30">
        <f>SUM(W10:W34)</f>
        <v>102</v>
      </c>
      <c r="X35" s="60">
        <f t="shared" si="12"/>
        <v>562</v>
      </c>
      <c r="Y35" s="63">
        <f t="shared" si="0"/>
        <v>1124</v>
      </c>
    </row>
    <row r="36" spans="1:26" ht="14.25" thickBot="1" x14ac:dyDescent="0.2">
      <c r="A36" s="18" t="s">
        <v>10</v>
      </c>
      <c r="B36" s="31">
        <f t="shared" ref="B36:K36" si="24">B9-B35</f>
        <v>7</v>
      </c>
      <c r="C36" s="37">
        <f t="shared" si="24"/>
        <v>9</v>
      </c>
      <c r="D36" s="32">
        <f t="shared" si="24"/>
        <v>11</v>
      </c>
      <c r="E36" s="33">
        <f t="shared" si="24"/>
        <v>13</v>
      </c>
      <c r="F36" s="42">
        <f t="shared" si="24"/>
        <v>40</v>
      </c>
      <c r="G36" s="31">
        <f t="shared" si="24"/>
        <v>6</v>
      </c>
      <c r="H36" s="37">
        <f t="shared" si="24"/>
        <v>7</v>
      </c>
      <c r="I36" s="32">
        <f t="shared" si="24"/>
        <v>6</v>
      </c>
      <c r="J36" s="33">
        <f t="shared" si="24"/>
        <v>10</v>
      </c>
      <c r="K36" s="42">
        <f t="shared" si="24"/>
        <v>29</v>
      </c>
      <c r="L36" s="17">
        <f t="shared" si="1"/>
        <v>69</v>
      </c>
      <c r="N36" s="16" t="s">
        <v>10</v>
      </c>
      <c r="O36" s="31">
        <f t="shared" ref="O36:X36" si="25">O9-O35</f>
        <v>406</v>
      </c>
      <c r="P36" s="37">
        <f t="shared" si="25"/>
        <v>524</v>
      </c>
      <c r="Q36" s="32">
        <f t="shared" si="25"/>
        <v>320</v>
      </c>
      <c r="R36" s="33">
        <f t="shared" si="25"/>
        <v>188</v>
      </c>
      <c r="S36" s="42">
        <f t="shared" si="25"/>
        <v>1438</v>
      </c>
      <c r="T36" s="31">
        <f t="shared" si="25"/>
        <v>401</v>
      </c>
      <c r="U36" s="37">
        <f t="shared" si="25"/>
        <v>524</v>
      </c>
      <c r="V36" s="32">
        <f t="shared" si="25"/>
        <v>315</v>
      </c>
      <c r="W36" s="33">
        <f t="shared" si="25"/>
        <v>198</v>
      </c>
      <c r="X36" s="42">
        <f t="shared" si="25"/>
        <v>1438</v>
      </c>
      <c r="Y36" s="17">
        <f t="shared" si="0"/>
        <v>2876</v>
      </c>
    </row>
    <row r="37" spans="1:26" x14ac:dyDescent="0.15"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81"/>
    </row>
    <row r="38" spans="1:26" x14ac:dyDescent="0.15"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1"/>
    </row>
    <row r="39" spans="1:26" ht="19.5" thickBot="1" x14ac:dyDescent="0.25">
      <c r="A39" s="2" t="s">
        <v>17</v>
      </c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N39" s="2" t="s">
        <v>18</v>
      </c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1"/>
    </row>
    <row r="40" spans="1:26" ht="14.25" thickBot="1" x14ac:dyDescent="0.2">
      <c r="A40" s="5" t="s">
        <v>0</v>
      </c>
      <c r="B40" s="244" t="s">
        <v>19</v>
      </c>
      <c r="C40" s="245"/>
      <c r="D40" s="245"/>
      <c r="E40" s="245"/>
      <c r="F40" s="246"/>
      <c r="G40" s="247" t="s">
        <v>20</v>
      </c>
      <c r="H40" s="248"/>
      <c r="I40" s="248"/>
      <c r="J40" s="248"/>
      <c r="K40" s="249"/>
      <c r="L40" s="250" t="s">
        <v>1</v>
      </c>
      <c r="N40" s="5" t="s">
        <v>0</v>
      </c>
      <c r="O40" s="244" t="s">
        <v>19</v>
      </c>
      <c r="P40" s="245"/>
      <c r="Q40" s="245"/>
      <c r="R40" s="245"/>
      <c r="S40" s="246"/>
      <c r="T40" s="247" t="s">
        <v>20</v>
      </c>
      <c r="U40" s="248"/>
      <c r="V40" s="248"/>
      <c r="W40" s="248"/>
      <c r="X40" s="249"/>
      <c r="Y40" s="250" t="s">
        <v>1</v>
      </c>
    </row>
    <row r="41" spans="1:26" ht="14.25" thickBot="1" x14ac:dyDescent="0.2">
      <c r="A41" s="5" t="s">
        <v>2</v>
      </c>
      <c r="B41" s="3" t="s">
        <v>11</v>
      </c>
      <c r="C41" s="34" t="s">
        <v>12</v>
      </c>
      <c r="D41" s="4" t="s">
        <v>13</v>
      </c>
      <c r="E41" s="19" t="s">
        <v>14</v>
      </c>
      <c r="F41" s="23" t="s">
        <v>3</v>
      </c>
      <c r="G41" s="3" t="s">
        <v>11</v>
      </c>
      <c r="H41" s="34" t="s">
        <v>12</v>
      </c>
      <c r="I41" s="4" t="s">
        <v>13</v>
      </c>
      <c r="J41" s="19" t="s">
        <v>14</v>
      </c>
      <c r="K41" s="23" t="s">
        <v>3</v>
      </c>
      <c r="L41" s="251"/>
      <c r="N41" s="5" t="s">
        <v>2</v>
      </c>
      <c r="O41" s="53" t="s">
        <v>11</v>
      </c>
      <c r="P41" s="54" t="s">
        <v>12</v>
      </c>
      <c r="Q41" s="55" t="s">
        <v>13</v>
      </c>
      <c r="R41" s="56" t="s">
        <v>14</v>
      </c>
      <c r="S41" s="23" t="s">
        <v>3</v>
      </c>
      <c r="T41" s="3" t="s">
        <v>11</v>
      </c>
      <c r="U41" s="34" t="s">
        <v>12</v>
      </c>
      <c r="V41" s="4" t="s">
        <v>13</v>
      </c>
      <c r="W41" s="19" t="s">
        <v>14</v>
      </c>
      <c r="X41" s="23" t="s">
        <v>3</v>
      </c>
      <c r="Y41" s="251"/>
    </row>
    <row r="42" spans="1:26" ht="14.25" thickBot="1" x14ac:dyDescent="0.2">
      <c r="A42" s="18" t="s">
        <v>15</v>
      </c>
      <c r="B42" s="31">
        <f>B36</f>
        <v>7</v>
      </c>
      <c r="C42" s="32">
        <f>C36</f>
        <v>9</v>
      </c>
      <c r="D42" s="32">
        <f>D36</f>
        <v>11</v>
      </c>
      <c r="E42" s="33">
        <f>E36</f>
        <v>13</v>
      </c>
      <c r="F42" s="86">
        <f>SUM(B42:E42)</f>
        <v>40</v>
      </c>
      <c r="G42" s="31">
        <f>G36</f>
        <v>6</v>
      </c>
      <c r="H42" s="32">
        <f>H36</f>
        <v>7</v>
      </c>
      <c r="I42" s="32">
        <f>I36</f>
        <v>6</v>
      </c>
      <c r="J42" s="33">
        <f>J36</f>
        <v>10</v>
      </c>
      <c r="K42" s="80">
        <f>SUM(G42:J42)</f>
        <v>29</v>
      </c>
      <c r="L42" s="17">
        <f>F42+K42</f>
        <v>69</v>
      </c>
      <c r="N42" s="18" t="s">
        <v>15</v>
      </c>
      <c r="O42" s="31">
        <f>O36</f>
        <v>406</v>
      </c>
      <c r="P42" s="32">
        <f>P36</f>
        <v>524</v>
      </c>
      <c r="Q42" s="32">
        <f>Q36</f>
        <v>320</v>
      </c>
      <c r="R42" s="33">
        <f>R36</f>
        <v>188</v>
      </c>
      <c r="S42" s="86">
        <f>SUM(O42:R42)</f>
        <v>1438</v>
      </c>
      <c r="T42" s="31">
        <f>T36</f>
        <v>401</v>
      </c>
      <c r="U42" s="32">
        <f>U36</f>
        <v>524</v>
      </c>
      <c r="V42" s="32">
        <f>V36</f>
        <v>315</v>
      </c>
      <c r="W42" s="33">
        <f>W36</f>
        <v>198</v>
      </c>
      <c r="X42" s="80">
        <f>SUM(T42:W42)</f>
        <v>1438</v>
      </c>
      <c r="Y42" s="17">
        <f t="shared" ref="Y42:Y74" si="26">S42+X42</f>
        <v>2876</v>
      </c>
    </row>
    <row r="43" spans="1:26" x14ac:dyDescent="0.15">
      <c r="A43" s="59" t="s">
        <v>4</v>
      </c>
      <c r="B43" s="64">
        <v>5</v>
      </c>
      <c r="C43" s="65"/>
      <c r="D43" s="66">
        <v>5</v>
      </c>
      <c r="E43" s="67"/>
      <c r="F43" s="74">
        <f>SUM(B43:E43)</f>
        <v>10</v>
      </c>
      <c r="G43" s="65"/>
      <c r="H43" s="65"/>
      <c r="I43" s="66">
        <v>5</v>
      </c>
      <c r="J43" s="67">
        <v>5</v>
      </c>
      <c r="K43" s="74">
        <f>SUM(G43:J43)</f>
        <v>10</v>
      </c>
      <c r="L43" s="11">
        <f t="shared" ref="L43:L74" si="27">F43+K43</f>
        <v>20</v>
      </c>
      <c r="M43" s="69">
        <v>45059</v>
      </c>
      <c r="N43" s="59" t="s">
        <v>16</v>
      </c>
      <c r="O43" s="48"/>
      <c r="P43" s="49"/>
      <c r="Q43" s="50"/>
      <c r="R43" s="51"/>
      <c r="S43" s="85">
        <f>SUM(O43:R43)</f>
        <v>0</v>
      </c>
      <c r="T43" s="48"/>
      <c r="U43" s="49"/>
      <c r="V43" s="50"/>
      <c r="W43" s="51"/>
      <c r="X43" s="74">
        <f>SUM(T43:W43)</f>
        <v>0</v>
      </c>
      <c r="Y43" s="11">
        <f t="shared" si="26"/>
        <v>0</v>
      </c>
    </row>
    <row r="44" spans="1:26" x14ac:dyDescent="0.15">
      <c r="A44" s="13" t="s">
        <v>5</v>
      </c>
      <c r="B44" s="6"/>
      <c r="C44" s="22">
        <v>5</v>
      </c>
      <c r="D44" s="7"/>
      <c r="E44" s="8"/>
      <c r="F44" s="9">
        <f>SUM(B44:E44)</f>
        <v>5</v>
      </c>
      <c r="G44" s="22">
        <v>5</v>
      </c>
      <c r="H44" s="22">
        <v>5</v>
      </c>
      <c r="I44" s="7"/>
      <c r="J44" s="8"/>
      <c r="K44" s="9">
        <f>SUM(G44:J44)</f>
        <v>10</v>
      </c>
      <c r="L44" s="11">
        <f t="shared" si="27"/>
        <v>15</v>
      </c>
      <c r="M44" s="69">
        <v>45066</v>
      </c>
      <c r="N44" s="13" t="s">
        <v>4</v>
      </c>
      <c r="O44" s="20"/>
      <c r="P44" s="35"/>
      <c r="Q44" s="21"/>
      <c r="R44" s="24"/>
      <c r="S44" s="57">
        <f>SUM(O44:R44)</f>
        <v>0</v>
      </c>
      <c r="T44" s="20"/>
      <c r="U44" s="35"/>
      <c r="V44" s="21"/>
      <c r="W44" s="24"/>
      <c r="X44" s="9">
        <f>SUM(T44:W44)</f>
        <v>0</v>
      </c>
      <c r="Y44" s="11">
        <f t="shared" si="26"/>
        <v>0</v>
      </c>
    </row>
    <row r="45" spans="1:26" x14ac:dyDescent="0.15">
      <c r="A45" s="13" t="s">
        <v>6</v>
      </c>
      <c r="B45" s="6">
        <v>10</v>
      </c>
      <c r="C45" s="22">
        <v>5</v>
      </c>
      <c r="D45" s="7"/>
      <c r="E45" s="8">
        <v>5</v>
      </c>
      <c r="F45" s="9">
        <f>SUM(B45:E45)</f>
        <v>20</v>
      </c>
      <c r="G45" s="22">
        <v>10</v>
      </c>
      <c r="H45" s="22">
        <v>5</v>
      </c>
      <c r="I45" s="7">
        <v>5</v>
      </c>
      <c r="J45" s="8"/>
      <c r="K45" s="9">
        <f>SUM(G45:J45)</f>
        <v>20</v>
      </c>
      <c r="L45" s="11">
        <f t="shared" si="27"/>
        <v>40</v>
      </c>
      <c r="M45" s="69">
        <v>45072</v>
      </c>
      <c r="N45" s="13" t="s">
        <v>5</v>
      </c>
      <c r="O45" s="20"/>
      <c r="P45" s="35"/>
      <c r="Q45" s="21"/>
      <c r="R45" s="24"/>
      <c r="S45" s="57">
        <f>SUM(O45:R45)</f>
        <v>0</v>
      </c>
      <c r="T45" s="35"/>
      <c r="U45" s="35"/>
      <c r="V45" s="21"/>
      <c r="W45" s="38"/>
      <c r="X45" s="9">
        <f>SUM(T45:W45)</f>
        <v>0</v>
      </c>
      <c r="Y45" s="11">
        <f t="shared" si="26"/>
        <v>0</v>
      </c>
    </row>
    <row r="46" spans="1:26" ht="14.25" thickBot="1" x14ac:dyDescent="0.2">
      <c r="A46" s="13" t="s">
        <v>7</v>
      </c>
      <c r="B46" s="6">
        <v>5</v>
      </c>
      <c r="C46" s="22"/>
      <c r="D46" s="7"/>
      <c r="E46" s="8">
        <v>5</v>
      </c>
      <c r="F46" s="10">
        <f>SUM(B46:E46)</f>
        <v>10</v>
      </c>
      <c r="G46" s="22">
        <v>10</v>
      </c>
      <c r="H46" s="22">
        <v>5</v>
      </c>
      <c r="I46" s="7"/>
      <c r="J46" s="8"/>
      <c r="K46" s="10">
        <f>SUM(G46:J46)</f>
        <v>15</v>
      </c>
      <c r="L46" s="14">
        <f t="shared" si="27"/>
        <v>25</v>
      </c>
      <c r="M46" s="69">
        <v>45077</v>
      </c>
      <c r="N46" s="13" t="s">
        <v>6</v>
      </c>
      <c r="O46" s="43"/>
      <c r="P46" s="44"/>
      <c r="Q46" s="45"/>
      <c r="R46" s="46"/>
      <c r="S46" s="58">
        <f>SUM(O46:R46)</f>
        <v>0</v>
      </c>
      <c r="T46" s="35"/>
      <c r="U46" s="35"/>
      <c r="V46" s="21"/>
      <c r="W46" s="38"/>
      <c r="X46" s="10">
        <f>SUM(T46:W46)</f>
        <v>0</v>
      </c>
      <c r="Y46" s="14">
        <f t="shared" si="26"/>
        <v>0</v>
      </c>
    </row>
    <row r="47" spans="1:26" ht="14.25" thickBot="1" x14ac:dyDescent="0.2">
      <c r="A47" s="18" t="s">
        <v>8</v>
      </c>
      <c r="B47" s="76">
        <f t="shared" ref="B47:K47" si="28">SUM(B42:B46)</f>
        <v>27</v>
      </c>
      <c r="C47" s="77">
        <f t="shared" si="28"/>
        <v>19</v>
      </c>
      <c r="D47" s="78">
        <f t="shared" si="28"/>
        <v>16</v>
      </c>
      <c r="E47" s="79">
        <f t="shared" si="28"/>
        <v>23</v>
      </c>
      <c r="F47" s="80">
        <f t="shared" si="28"/>
        <v>85</v>
      </c>
      <c r="G47" s="76">
        <f t="shared" si="28"/>
        <v>31</v>
      </c>
      <c r="H47" s="77">
        <f t="shared" si="28"/>
        <v>22</v>
      </c>
      <c r="I47" s="78">
        <f t="shared" si="28"/>
        <v>16</v>
      </c>
      <c r="J47" s="79">
        <f t="shared" si="28"/>
        <v>15</v>
      </c>
      <c r="K47" s="80">
        <f t="shared" si="28"/>
        <v>84</v>
      </c>
      <c r="L47" s="17">
        <f t="shared" si="27"/>
        <v>169</v>
      </c>
      <c r="N47" s="16" t="s">
        <v>8</v>
      </c>
      <c r="O47" s="31">
        <f t="shared" ref="O47:X47" si="29">SUM(O42:O46)</f>
        <v>406</v>
      </c>
      <c r="P47" s="37">
        <f t="shared" si="29"/>
        <v>524</v>
      </c>
      <c r="Q47" s="32">
        <f t="shared" si="29"/>
        <v>320</v>
      </c>
      <c r="R47" s="82">
        <f t="shared" si="29"/>
        <v>188</v>
      </c>
      <c r="S47" s="83">
        <f t="shared" si="29"/>
        <v>1438</v>
      </c>
      <c r="T47" s="31">
        <f t="shared" si="29"/>
        <v>401</v>
      </c>
      <c r="U47" s="37">
        <f t="shared" si="29"/>
        <v>524</v>
      </c>
      <c r="V47" s="32">
        <f t="shared" si="29"/>
        <v>315</v>
      </c>
      <c r="W47" s="82">
        <f t="shared" si="29"/>
        <v>198</v>
      </c>
      <c r="X47" s="83">
        <f t="shared" si="29"/>
        <v>1438</v>
      </c>
      <c r="Y47" s="39">
        <f t="shared" si="26"/>
        <v>2876</v>
      </c>
    </row>
    <row r="48" spans="1:26" x14ac:dyDescent="0.15">
      <c r="A48" s="59" t="s">
        <v>36</v>
      </c>
      <c r="B48" s="48"/>
      <c r="C48" s="49"/>
      <c r="D48" s="50">
        <v>1</v>
      </c>
      <c r="E48" s="51">
        <v>1</v>
      </c>
      <c r="F48" s="52">
        <f t="shared" ref="F48:F68" si="30">SUM(B48:E48)</f>
        <v>2</v>
      </c>
      <c r="G48" s="48">
        <v>1</v>
      </c>
      <c r="H48" s="49">
        <v>1</v>
      </c>
      <c r="I48" s="50"/>
      <c r="J48" s="51"/>
      <c r="K48" s="52">
        <f t="shared" ref="K48:K68" si="31">SUM(G48:J48)</f>
        <v>2</v>
      </c>
      <c r="L48" s="11">
        <f t="shared" ref="L48:L68" si="32">F48+K48</f>
        <v>4</v>
      </c>
      <c r="M48" s="71">
        <v>45070</v>
      </c>
      <c r="N48" s="40" t="s">
        <v>51</v>
      </c>
      <c r="O48" s="20">
        <v>13</v>
      </c>
      <c r="P48" s="35">
        <v>6</v>
      </c>
      <c r="Q48" s="21">
        <v>3</v>
      </c>
      <c r="R48" s="38">
        <v>2</v>
      </c>
      <c r="S48" s="9">
        <f t="shared" ref="S48" si="33">SUM(O48:R48)</f>
        <v>24</v>
      </c>
      <c r="T48" s="20">
        <v>13</v>
      </c>
      <c r="U48" s="35">
        <v>6</v>
      </c>
      <c r="V48" s="21">
        <v>3</v>
      </c>
      <c r="W48" s="38">
        <v>2</v>
      </c>
      <c r="X48" s="98">
        <f t="shared" ref="X48" si="34">SUM(T48:W48)</f>
        <v>24</v>
      </c>
      <c r="Y48" s="11">
        <f t="shared" si="26"/>
        <v>48</v>
      </c>
      <c r="Z48" s="69">
        <v>45083</v>
      </c>
    </row>
    <row r="49" spans="1:28" x14ac:dyDescent="0.15">
      <c r="A49" s="59" t="s">
        <v>31</v>
      </c>
      <c r="B49" s="20">
        <v>1</v>
      </c>
      <c r="C49" s="35"/>
      <c r="D49" s="21"/>
      <c r="E49" s="24"/>
      <c r="F49" s="25">
        <f t="shared" si="30"/>
        <v>1</v>
      </c>
      <c r="G49" s="20">
        <v>1</v>
      </c>
      <c r="H49" s="35"/>
      <c r="I49" s="21"/>
      <c r="J49" s="24"/>
      <c r="K49" s="25">
        <f t="shared" si="31"/>
        <v>1</v>
      </c>
      <c r="L49" s="11">
        <f t="shared" si="32"/>
        <v>2</v>
      </c>
      <c r="M49" s="71">
        <v>45069</v>
      </c>
      <c r="N49" s="40" t="s">
        <v>53</v>
      </c>
      <c r="O49" s="20">
        <v>10</v>
      </c>
      <c r="P49" s="35">
        <v>6</v>
      </c>
      <c r="Q49" s="21">
        <v>6</v>
      </c>
      <c r="R49" s="38"/>
      <c r="S49" s="9">
        <f t="shared" ref="S49:S59" si="35">SUM(O49:R49)</f>
        <v>22</v>
      </c>
      <c r="T49" s="20">
        <v>10</v>
      </c>
      <c r="U49" s="35">
        <v>6</v>
      </c>
      <c r="V49" s="21">
        <v>6</v>
      </c>
      <c r="W49" s="38"/>
      <c r="X49" s="9">
        <f t="shared" ref="X49:X59" si="36">SUM(T49:W49)</f>
        <v>22</v>
      </c>
      <c r="Y49" s="11">
        <f t="shared" ref="Y49:Y60" si="37">S49+X49</f>
        <v>44</v>
      </c>
      <c r="Z49" s="69">
        <v>45084</v>
      </c>
      <c r="AA49" s="41"/>
    </row>
    <row r="50" spans="1:28" x14ac:dyDescent="0.15">
      <c r="A50" s="59" t="s">
        <v>27</v>
      </c>
      <c r="B50" s="20"/>
      <c r="C50" s="35"/>
      <c r="D50" s="21"/>
      <c r="E50" s="24">
        <v>1</v>
      </c>
      <c r="F50" s="25">
        <f t="shared" si="30"/>
        <v>1</v>
      </c>
      <c r="G50" s="20"/>
      <c r="H50" s="35"/>
      <c r="I50" s="21"/>
      <c r="J50" s="24">
        <v>1</v>
      </c>
      <c r="K50" s="25">
        <f t="shared" si="31"/>
        <v>1</v>
      </c>
      <c r="L50" s="11">
        <f t="shared" si="32"/>
        <v>2</v>
      </c>
      <c r="M50" s="71">
        <v>45069</v>
      </c>
      <c r="N50" s="40" t="s">
        <v>26</v>
      </c>
      <c r="O50" s="20">
        <v>5</v>
      </c>
      <c r="P50" s="35">
        <v>5</v>
      </c>
      <c r="Q50" s="21">
        <v>5</v>
      </c>
      <c r="R50" s="38"/>
      <c r="S50" s="9">
        <f t="shared" si="35"/>
        <v>15</v>
      </c>
      <c r="T50" s="20"/>
      <c r="U50" s="35">
        <v>10</v>
      </c>
      <c r="V50" s="21">
        <v>5</v>
      </c>
      <c r="W50" s="38">
        <v>5</v>
      </c>
      <c r="X50" s="9">
        <f t="shared" si="36"/>
        <v>20</v>
      </c>
      <c r="Y50" s="11">
        <f t="shared" si="37"/>
        <v>35</v>
      </c>
      <c r="Z50" s="69">
        <v>45084</v>
      </c>
      <c r="AA50" s="41"/>
    </row>
    <row r="51" spans="1:28" x14ac:dyDescent="0.15">
      <c r="A51" s="59" t="s">
        <v>27</v>
      </c>
      <c r="B51" s="20">
        <v>4</v>
      </c>
      <c r="C51" s="35">
        <f>1+1</f>
        <v>2</v>
      </c>
      <c r="D51" s="21"/>
      <c r="E51" s="24"/>
      <c r="F51" s="25">
        <f t="shared" si="30"/>
        <v>6</v>
      </c>
      <c r="G51" s="20">
        <v>4</v>
      </c>
      <c r="H51" s="35">
        <v>1</v>
      </c>
      <c r="I51" s="21"/>
      <c r="J51" s="24"/>
      <c r="K51" s="25">
        <f t="shared" si="31"/>
        <v>5</v>
      </c>
      <c r="L51" s="11">
        <f t="shared" si="32"/>
        <v>11</v>
      </c>
      <c r="M51" s="71">
        <v>45070</v>
      </c>
      <c r="N51" s="40" t="s">
        <v>55</v>
      </c>
      <c r="O51" s="20">
        <v>2</v>
      </c>
      <c r="P51" s="35">
        <v>2</v>
      </c>
      <c r="Q51" s="21"/>
      <c r="R51" s="38">
        <v>1</v>
      </c>
      <c r="S51" s="9">
        <f t="shared" si="35"/>
        <v>5</v>
      </c>
      <c r="T51" s="20">
        <v>2</v>
      </c>
      <c r="U51" s="35">
        <v>2</v>
      </c>
      <c r="V51" s="21"/>
      <c r="W51" s="38">
        <v>1</v>
      </c>
      <c r="X51" s="9">
        <f t="shared" si="36"/>
        <v>5</v>
      </c>
      <c r="Y51" s="11">
        <f t="shared" si="37"/>
        <v>10</v>
      </c>
      <c r="Z51" s="69">
        <v>45085</v>
      </c>
    </row>
    <row r="52" spans="1:28" x14ac:dyDescent="0.15">
      <c r="A52" s="59" t="s">
        <v>27</v>
      </c>
      <c r="B52" s="20">
        <v>1</v>
      </c>
      <c r="C52" s="35"/>
      <c r="D52" s="21"/>
      <c r="E52" s="24"/>
      <c r="F52" s="25">
        <f t="shared" si="30"/>
        <v>1</v>
      </c>
      <c r="G52" s="20">
        <v>1</v>
      </c>
      <c r="H52" s="35"/>
      <c r="I52" s="21"/>
      <c r="J52" s="24">
        <v>1</v>
      </c>
      <c r="K52" s="25">
        <f t="shared" si="31"/>
        <v>2</v>
      </c>
      <c r="L52" s="11">
        <f t="shared" si="32"/>
        <v>3</v>
      </c>
      <c r="M52" s="71">
        <v>45071</v>
      </c>
      <c r="N52" s="40" t="s">
        <v>57</v>
      </c>
      <c r="O52" s="20">
        <v>5</v>
      </c>
      <c r="P52" s="35">
        <v>8</v>
      </c>
      <c r="Q52" s="21">
        <v>4</v>
      </c>
      <c r="R52" s="38"/>
      <c r="S52" s="9">
        <f t="shared" si="35"/>
        <v>17</v>
      </c>
      <c r="T52" s="20">
        <v>5</v>
      </c>
      <c r="U52" s="35">
        <v>8</v>
      </c>
      <c r="V52" s="21">
        <v>4</v>
      </c>
      <c r="W52" s="38"/>
      <c r="X52" s="9">
        <f t="shared" si="36"/>
        <v>17</v>
      </c>
      <c r="Y52" s="11">
        <f t="shared" si="37"/>
        <v>34</v>
      </c>
      <c r="Z52" s="69">
        <v>45086</v>
      </c>
      <c r="AA52" s="41"/>
    </row>
    <row r="53" spans="1:28" x14ac:dyDescent="0.15">
      <c r="A53" s="59" t="s">
        <v>32</v>
      </c>
      <c r="B53" s="20"/>
      <c r="C53" s="35"/>
      <c r="D53" s="21"/>
      <c r="E53" s="24"/>
      <c r="F53" s="25">
        <f t="shared" si="30"/>
        <v>0</v>
      </c>
      <c r="G53" s="20"/>
      <c r="H53" s="35">
        <v>1</v>
      </c>
      <c r="I53" s="21"/>
      <c r="J53" s="24"/>
      <c r="K53" s="25">
        <f t="shared" si="31"/>
        <v>1</v>
      </c>
      <c r="L53" s="11">
        <f t="shared" si="32"/>
        <v>1</v>
      </c>
      <c r="M53" s="69">
        <v>45072</v>
      </c>
      <c r="N53" s="40" t="s">
        <v>58</v>
      </c>
      <c r="O53" s="20">
        <v>6</v>
      </c>
      <c r="P53" s="35"/>
      <c r="Q53" s="21">
        <v>3</v>
      </c>
      <c r="R53" s="38">
        <v>1</v>
      </c>
      <c r="S53" s="9">
        <f t="shared" si="35"/>
        <v>10</v>
      </c>
      <c r="T53" s="20">
        <v>6</v>
      </c>
      <c r="U53" s="35"/>
      <c r="V53" s="21">
        <v>3</v>
      </c>
      <c r="W53" s="38">
        <v>1</v>
      </c>
      <c r="X53" s="9">
        <f t="shared" si="36"/>
        <v>10</v>
      </c>
      <c r="Y53" s="11">
        <f t="shared" si="37"/>
        <v>20</v>
      </c>
      <c r="Z53" s="69">
        <v>45089</v>
      </c>
    </row>
    <row r="54" spans="1:28" x14ac:dyDescent="0.15">
      <c r="A54" s="59" t="s">
        <v>27</v>
      </c>
      <c r="B54" s="20">
        <v>2</v>
      </c>
      <c r="C54" s="35">
        <v>3</v>
      </c>
      <c r="D54" s="21">
        <v>1</v>
      </c>
      <c r="E54" s="24">
        <v>3</v>
      </c>
      <c r="F54" s="25">
        <f t="shared" si="30"/>
        <v>9</v>
      </c>
      <c r="G54" s="20">
        <v>2</v>
      </c>
      <c r="H54" s="35">
        <v>3</v>
      </c>
      <c r="I54" s="21">
        <v>1</v>
      </c>
      <c r="J54" s="24"/>
      <c r="K54" s="25">
        <f t="shared" si="31"/>
        <v>6</v>
      </c>
      <c r="L54" s="11">
        <f t="shared" si="32"/>
        <v>15</v>
      </c>
      <c r="M54" s="71">
        <v>45072</v>
      </c>
      <c r="N54" s="40" t="s">
        <v>26</v>
      </c>
      <c r="O54" s="20">
        <v>20</v>
      </c>
      <c r="P54" s="35">
        <v>15</v>
      </c>
      <c r="Q54" s="21">
        <v>15</v>
      </c>
      <c r="R54" s="38">
        <v>15</v>
      </c>
      <c r="S54" s="9">
        <f>SUM(O54:R54)</f>
        <v>65</v>
      </c>
      <c r="T54" s="20">
        <v>20</v>
      </c>
      <c r="U54" s="35">
        <v>15</v>
      </c>
      <c r="V54" s="21">
        <v>15</v>
      </c>
      <c r="W54" s="38">
        <v>15</v>
      </c>
      <c r="X54" s="9">
        <f>SUM(T54:W54)</f>
        <v>65</v>
      </c>
      <c r="Y54" s="11">
        <f t="shared" si="37"/>
        <v>130</v>
      </c>
      <c r="Z54" s="69">
        <v>45089</v>
      </c>
      <c r="AA54" s="41"/>
      <c r="AB54" s="41"/>
    </row>
    <row r="55" spans="1:28" x14ac:dyDescent="0.15">
      <c r="A55" s="59" t="s">
        <v>32</v>
      </c>
      <c r="B55" s="20"/>
      <c r="C55" s="35"/>
      <c r="D55" s="21"/>
      <c r="E55" s="24"/>
      <c r="F55" s="25">
        <f t="shared" si="30"/>
        <v>0</v>
      </c>
      <c r="G55" s="20">
        <v>2</v>
      </c>
      <c r="H55" s="35"/>
      <c r="I55" s="21"/>
      <c r="J55" s="24"/>
      <c r="K55" s="25">
        <f t="shared" si="31"/>
        <v>2</v>
      </c>
      <c r="L55" s="11">
        <f t="shared" si="32"/>
        <v>2</v>
      </c>
      <c r="M55" s="69">
        <v>45073</v>
      </c>
      <c r="N55" s="40" t="s">
        <v>61</v>
      </c>
      <c r="O55" s="20">
        <v>4</v>
      </c>
      <c r="P55" s="35">
        <v>4</v>
      </c>
      <c r="Q55" s="21">
        <v>2</v>
      </c>
      <c r="R55" s="38">
        <v>3</v>
      </c>
      <c r="S55" s="9">
        <f t="shared" si="35"/>
        <v>13</v>
      </c>
      <c r="T55" s="20">
        <v>4</v>
      </c>
      <c r="U55" s="35">
        <v>4</v>
      </c>
      <c r="V55" s="21">
        <v>2</v>
      </c>
      <c r="W55" s="38">
        <v>3</v>
      </c>
      <c r="X55" s="9">
        <f t="shared" si="36"/>
        <v>13</v>
      </c>
      <c r="Y55" s="11">
        <f t="shared" si="37"/>
        <v>26</v>
      </c>
      <c r="Z55" s="69">
        <v>45090</v>
      </c>
    </row>
    <row r="56" spans="1:28" x14ac:dyDescent="0.15">
      <c r="A56" s="59" t="s">
        <v>27</v>
      </c>
      <c r="B56" s="20">
        <v>1</v>
      </c>
      <c r="C56" s="35">
        <v>2</v>
      </c>
      <c r="D56" s="21"/>
      <c r="E56" s="24">
        <v>1</v>
      </c>
      <c r="F56" s="25">
        <f t="shared" si="30"/>
        <v>4</v>
      </c>
      <c r="G56" s="20">
        <v>2</v>
      </c>
      <c r="H56" s="35">
        <v>2</v>
      </c>
      <c r="I56" s="21">
        <v>2</v>
      </c>
      <c r="J56" s="24"/>
      <c r="K56" s="25">
        <f t="shared" si="31"/>
        <v>6</v>
      </c>
      <c r="L56" s="11">
        <f t="shared" si="32"/>
        <v>10</v>
      </c>
      <c r="M56" s="69">
        <v>45075</v>
      </c>
      <c r="N56" s="40" t="s">
        <v>62</v>
      </c>
      <c r="O56" s="20">
        <v>1</v>
      </c>
      <c r="P56" s="35">
        <v>4</v>
      </c>
      <c r="Q56" s="21"/>
      <c r="R56" s="38"/>
      <c r="S56" s="9">
        <f t="shared" si="35"/>
        <v>5</v>
      </c>
      <c r="T56" s="20">
        <v>1</v>
      </c>
      <c r="U56" s="35">
        <v>4</v>
      </c>
      <c r="V56" s="21"/>
      <c r="W56" s="38"/>
      <c r="X56" s="9">
        <f t="shared" si="36"/>
        <v>5</v>
      </c>
      <c r="Y56" s="11">
        <f t="shared" si="37"/>
        <v>10</v>
      </c>
      <c r="Z56" s="69">
        <v>45091</v>
      </c>
    </row>
    <row r="57" spans="1:28" x14ac:dyDescent="0.15">
      <c r="A57" s="40" t="s">
        <v>46</v>
      </c>
      <c r="B57" s="20"/>
      <c r="C57" s="35">
        <v>1</v>
      </c>
      <c r="D57" s="21"/>
      <c r="E57" s="24"/>
      <c r="F57" s="25">
        <f t="shared" si="30"/>
        <v>1</v>
      </c>
      <c r="G57" s="20"/>
      <c r="H57" s="35">
        <v>1</v>
      </c>
      <c r="I57" s="21"/>
      <c r="J57" s="24"/>
      <c r="K57" s="25">
        <f t="shared" si="31"/>
        <v>1</v>
      </c>
      <c r="L57" s="11">
        <f t="shared" si="32"/>
        <v>2</v>
      </c>
      <c r="M57" s="69">
        <v>45077</v>
      </c>
      <c r="N57" s="40" t="s">
        <v>63</v>
      </c>
      <c r="O57" s="20">
        <v>4</v>
      </c>
      <c r="P57" s="35">
        <v>6</v>
      </c>
      <c r="Q57" s="21">
        <v>2</v>
      </c>
      <c r="R57" s="38"/>
      <c r="S57" s="9">
        <f t="shared" si="35"/>
        <v>12</v>
      </c>
      <c r="T57" s="20">
        <v>4</v>
      </c>
      <c r="U57" s="35">
        <v>6</v>
      </c>
      <c r="V57" s="21">
        <v>2</v>
      </c>
      <c r="W57" s="38"/>
      <c r="X57" s="9">
        <f t="shared" si="36"/>
        <v>12</v>
      </c>
      <c r="Y57" s="11">
        <f t="shared" si="37"/>
        <v>24</v>
      </c>
      <c r="Z57" s="69">
        <v>45092</v>
      </c>
    </row>
    <row r="58" spans="1:28" x14ac:dyDescent="0.15">
      <c r="A58" s="59" t="s">
        <v>47</v>
      </c>
      <c r="B58" s="20">
        <v>3</v>
      </c>
      <c r="C58" s="35"/>
      <c r="D58" s="21">
        <v>-4</v>
      </c>
      <c r="E58" s="24">
        <v>1</v>
      </c>
      <c r="F58" s="25">
        <f t="shared" si="30"/>
        <v>0</v>
      </c>
      <c r="G58" s="20">
        <v>3</v>
      </c>
      <c r="H58" s="35"/>
      <c r="I58" s="21">
        <v>-4</v>
      </c>
      <c r="J58" s="24">
        <v>1</v>
      </c>
      <c r="K58" s="25">
        <f t="shared" si="31"/>
        <v>0</v>
      </c>
      <c r="L58" s="11">
        <f t="shared" si="32"/>
        <v>0</v>
      </c>
      <c r="M58" s="71">
        <v>45076</v>
      </c>
      <c r="N58" s="40" t="s">
        <v>68</v>
      </c>
      <c r="O58" s="20">
        <v>4</v>
      </c>
      <c r="P58" s="35">
        <v>1</v>
      </c>
      <c r="Q58" s="21">
        <v>2</v>
      </c>
      <c r="R58" s="38"/>
      <c r="S58" s="9">
        <f t="shared" ref="S58" si="38">SUM(O58:R58)</f>
        <v>7</v>
      </c>
      <c r="T58" s="20">
        <v>4</v>
      </c>
      <c r="U58" s="35">
        <v>1</v>
      </c>
      <c r="V58" s="21">
        <v>2</v>
      </c>
      <c r="W58" s="38"/>
      <c r="X58" s="9">
        <f t="shared" ref="X58" si="39">SUM(T58:W58)</f>
        <v>7</v>
      </c>
      <c r="Y58" s="11">
        <f t="shared" ref="Y58" si="40">S58+X58</f>
        <v>14</v>
      </c>
      <c r="Z58" s="69">
        <v>45099</v>
      </c>
    </row>
    <row r="59" spans="1:28" x14ac:dyDescent="0.15">
      <c r="A59" s="59" t="s">
        <v>27</v>
      </c>
      <c r="B59" s="20"/>
      <c r="C59" s="35"/>
      <c r="D59" s="21">
        <v>1</v>
      </c>
      <c r="E59" s="24"/>
      <c r="F59" s="25">
        <f t="shared" si="30"/>
        <v>1</v>
      </c>
      <c r="G59" s="20"/>
      <c r="H59" s="35"/>
      <c r="I59" s="21">
        <v>1</v>
      </c>
      <c r="J59" s="24"/>
      <c r="K59" s="25">
        <f t="shared" si="31"/>
        <v>1</v>
      </c>
      <c r="L59" s="11">
        <f t="shared" si="32"/>
        <v>2</v>
      </c>
      <c r="M59" s="71">
        <v>45076</v>
      </c>
      <c r="N59" s="104" t="s">
        <v>71</v>
      </c>
      <c r="O59" s="20">
        <v>10</v>
      </c>
      <c r="P59" s="35">
        <v>10</v>
      </c>
      <c r="Q59" s="21">
        <v>7</v>
      </c>
      <c r="R59" s="38">
        <v>5</v>
      </c>
      <c r="S59" s="9">
        <f t="shared" si="35"/>
        <v>32</v>
      </c>
      <c r="T59" s="20">
        <v>10</v>
      </c>
      <c r="U59" s="35">
        <v>10</v>
      </c>
      <c r="V59" s="21">
        <v>7</v>
      </c>
      <c r="W59" s="38">
        <v>5</v>
      </c>
      <c r="X59" s="9">
        <f t="shared" si="36"/>
        <v>32</v>
      </c>
      <c r="Y59" s="11">
        <f t="shared" si="37"/>
        <v>64</v>
      </c>
      <c r="Z59" s="69">
        <v>45103</v>
      </c>
    </row>
    <row r="60" spans="1:28" x14ac:dyDescent="0.15">
      <c r="A60" s="59" t="s">
        <v>50</v>
      </c>
      <c r="B60" s="20"/>
      <c r="C60" s="35"/>
      <c r="D60" s="21"/>
      <c r="E60" s="24"/>
      <c r="F60" s="25">
        <f t="shared" si="30"/>
        <v>0</v>
      </c>
      <c r="G60" s="20"/>
      <c r="H60" s="35">
        <v>1</v>
      </c>
      <c r="I60" s="21"/>
      <c r="J60" s="24"/>
      <c r="K60" s="25">
        <f t="shared" si="31"/>
        <v>1</v>
      </c>
      <c r="L60" s="11">
        <f t="shared" si="32"/>
        <v>1</v>
      </c>
      <c r="M60" s="69">
        <v>45085</v>
      </c>
      <c r="N60" s="40" t="s">
        <v>26</v>
      </c>
      <c r="O60" s="20">
        <v>20</v>
      </c>
      <c r="P60" s="35">
        <v>20</v>
      </c>
      <c r="Q60" s="21">
        <v>20</v>
      </c>
      <c r="R60" s="38"/>
      <c r="S60" s="9">
        <f>SUM(O60:R60)</f>
        <v>60</v>
      </c>
      <c r="T60" s="20">
        <v>20</v>
      </c>
      <c r="U60" s="35">
        <v>20</v>
      </c>
      <c r="V60" s="21">
        <v>20</v>
      </c>
      <c r="W60" s="38"/>
      <c r="X60" s="9">
        <f>SUM(T60:W60)</f>
        <v>60</v>
      </c>
      <c r="Y60" s="11">
        <f t="shared" si="37"/>
        <v>120</v>
      </c>
      <c r="Z60" s="69">
        <v>45103</v>
      </c>
    </row>
    <row r="61" spans="1:28" x14ac:dyDescent="0.15">
      <c r="A61" s="59" t="s">
        <v>27</v>
      </c>
      <c r="B61" s="20">
        <v>1</v>
      </c>
      <c r="C61" s="35"/>
      <c r="D61" s="21"/>
      <c r="E61" s="24"/>
      <c r="F61" s="25">
        <f t="shared" si="30"/>
        <v>1</v>
      </c>
      <c r="G61" s="20">
        <v>1</v>
      </c>
      <c r="H61" s="35"/>
      <c r="I61" s="21"/>
      <c r="J61" s="24"/>
      <c r="K61" s="25">
        <f t="shared" si="31"/>
        <v>1</v>
      </c>
      <c r="L61" s="11">
        <f t="shared" si="32"/>
        <v>2</v>
      </c>
      <c r="M61" s="71">
        <v>45080</v>
      </c>
      <c r="N61" s="104" t="s">
        <v>80</v>
      </c>
      <c r="O61" s="20"/>
      <c r="P61" s="35">
        <v>2</v>
      </c>
      <c r="Q61" s="21">
        <v>5</v>
      </c>
      <c r="R61" s="38"/>
      <c r="S61" s="9">
        <f>SUM(O61:R61)</f>
        <v>7</v>
      </c>
      <c r="T61" s="20"/>
      <c r="U61" s="35">
        <v>2</v>
      </c>
      <c r="V61" s="21">
        <v>5</v>
      </c>
      <c r="W61" s="38"/>
      <c r="X61" s="9">
        <f>SUM(T61:W61)</f>
        <v>7</v>
      </c>
      <c r="Y61" s="11">
        <f t="shared" si="26"/>
        <v>14</v>
      </c>
      <c r="Z61" s="69">
        <v>45105</v>
      </c>
    </row>
    <row r="62" spans="1:28" x14ac:dyDescent="0.15">
      <c r="A62" s="40" t="s">
        <v>52</v>
      </c>
      <c r="B62" s="20"/>
      <c r="C62" s="35">
        <v>1</v>
      </c>
      <c r="D62" s="21"/>
      <c r="E62" s="24"/>
      <c r="F62" s="25">
        <f t="shared" si="30"/>
        <v>1</v>
      </c>
      <c r="G62" s="20"/>
      <c r="H62" s="35">
        <v>1</v>
      </c>
      <c r="I62" s="21"/>
      <c r="J62" s="24"/>
      <c r="K62" s="25">
        <f t="shared" si="31"/>
        <v>1</v>
      </c>
      <c r="L62" s="11">
        <f t="shared" si="32"/>
        <v>2</v>
      </c>
      <c r="M62" s="69">
        <v>45083</v>
      </c>
      <c r="N62" s="104" t="s">
        <v>81</v>
      </c>
      <c r="O62" s="20">
        <v>4</v>
      </c>
      <c r="P62" s="35">
        <v>13</v>
      </c>
      <c r="Q62" s="21">
        <v>6</v>
      </c>
      <c r="R62" s="38">
        <v>3</v>
      </c>
      <c r="S62" s="9">
        <f t="shared" ref="S62:S73" si="41">SUM(O62:R62)</f>
        <v>26</v>
      </c>
      <c r="T62" s="20">
        <v>4</v>
      </c>
      <c r="U62" s="35">
        <v>13</v>
      </c>
      <c r="V62" s="21">
        <v>6</v>
      </c>
      <c r="W62" s="38">
        <v>3</v>
      </c>
      <c r="X62" s="9">
        <f t="shared" ref="X62:X73" si="42">SUM(T62:W62)</f>
        <v>26</v>
      </c>
      <c r="Y62" s="11">
        <f t="shared" si="26"/>
        <v>52</v>
      </c>
      <c r="Z62" s="69">
        <v>45106</v>
      </c>
    </row>
    <row r="63" spans="1:28" x14ac:dyDescent="0.15">
      <c r="A63" s="59" t="s">
        <v>27</v>
      </c>
      <c r="B63" s="20">
        <v>2</v>
      </c>
      <c r="C63" s="35">
        <v>1</v>
      </c>
      <c r="D63" s="21">
        <v>1</v>
      </c>
      <c r="E63" s="24"/>
      <c r="F63" s="25">
        <f t="shared" si="30"/>
        <v>4</v>
      </c>
      <c r="G63" s="20">
        <v>3</v>
      </c>
      <c r="H63" s="35">
        <v>3</v>
      </c>
      <c r="I63" s="21">
        <f>1+1</f>
        <v>2</v>
      </c>
      <c r="J63" s="24"/>
      <c r="K63" s="25">
        <f t="shared" si="31"/>
        <v>8</v>
      </c>
      <c r="L63" s="11">
        <f t="shared" si="32"/>
        <v>12</v>
      </c>
      <c r="M63" s="71">
        <v>45082</v>
      </c>
      <c r="N63" s="104" t="s">
        <v>82</v>
      </c>
      <c r="O63" s="20">
        <v>3</v>
      </c>
      <c r="P63" s="35">
        <v>1</v>
      </c>
      <c r="Q63" s="21">
        <v>2</v>
      </c>
      <c r="R63" s="38">
        <v>1</v>
      </c>
      <c r="S63" s="9">
        <f t="shared" si="41"/>
        <v>7</v>
      </c>
      <c r="T63" s="20">
        <v>3</v>
      </c>
      <c r="U63" s="35">
        <v>1</v>
      </c>
      <c r="V63" s="21">
        <v>2</v>
      </c>
      <c r="W63" s="38">
        <v>1</v>
      </c>
      <c r="X63" s="9">
        <f t="shared" si="42"/>
        <v>7</v>
      </c>
      <c r="Y63" s="11">
        <f t="shared" si="26"/>
        <v>14</v>
      </c>
      <c r="Z63" s="69">
        <v>45107</v>
      </c>
      <c r="AA63" s="41"/>
    </row>
    <row r="64" spans="1:28" x14ac:dyDescent="0.15">
      <c r="A64" s="59" t="s">
        <v>27</v>
      </c>
      <c r="B64" s="20"/>
      <c r="C64" s="35">
        <v>1</v>
      </c>
      <c r="D64" s="21">
        <v>2</v>
      </c>
      <c r="E64" s="24"/>
      <c r="F64" s="25">
        <f t="shared" si="30"/>
        <v>3</v>
      </c>
      <c r="G64" s="20"/>
      <c r="H64" s="35">
        <v>1</v>
      </c>
      <c r="I64" s="21">
        <v>2</v>
      </c>
      <c r="J64" s="24"/>
      <c r="K64" s="25">
        <f t="shared" si="31"/>
        <v>3</v>
      </c>
      <c r="L64" s="11">
        <f t="shared" si="32"/>
        <v>6</v>
      </c>
      <c r="M64" s="71">
        <v>45083</v>
      </c>
      <c r="N64" s="104" t="s">
        <v>86</v>
      </c>
      <c r="O64" s="20">
        <v>1</v>
      </c>
      <c r="P64" s="35">
        <v>6</v>
      </c>
      <c r="Q64" s="21">
        <v>6</v>
      </c>
      <c r="R64" s="38">
        <v>1</v>
      </c>
      <c r="S64" s="9">
        <f t="shared" si="41"/>
        <v>14</v>
      </c>
      <c r="T64" s="20">
        <v>1</v>
      </c>
      <c r="U64" s="35">
        <v>6</v>
      </c>
      <c r="V64" s="21">
        <v>6</v>
      </c>
      <c r="W64" s="38">
        <v>1</v>
      </c>
      <c r="X64" s="9">
        <f t="shared" si="42"/>
        <v>14</v>
      </c>
      <c r="Y64" s="11">
        <f t="shared" si="26"/>
        <v>28</v>
      </c>
      <c r="Z64" s="69">
        <v>45110</v>
      </c>
    </row>
    <row r="65" spans="1:28" x14ac:dyDescent="0.15">
      <c r="A65" s="59" t="s">
        <v>54</v>
      </c>
      <c r="B65" s="20">
        <v>-5</v>
      </c>
      <c r="C65" s="35">
        <v>-5</v>
      </c>
      <c r="D65" s="21">
        <v>-5</v>
      </c>
      <c r="E65" s="24"/>
      <c r="F65" s="25">
        <f t="shared" si="30"/>
        <v>-15</v>
      </c>
      <c r="G65" s="20"/>
      <c r="H65" s="35">
        <v>-10</v>
      </c>
      <c r="I65" s="21">
        <v>-5</v>
      </c>
      <c r="J65" s="24">
        <v>-5</v>
      </c>
      <c r="K65" s="25">
        <f t="shared" si="31"/>
        <v>-20</v>
      </c>
      <c r="L65" s="11">
        <f t="shared" si="32"/>
        <v>-35</v>
      </c>
      <c r="M65" s="69">
        <v>45084</v>
      </c>
      <c r="N65" s="104" t="s">
        <v>89</v>
      </c>
      <c r="O65" s="48">
        <v>2</v>
      </c>
      <c r="P65" s="49">
        <v>4</v>
      </c>
      <c r="Q65" s="50">
        <v>3</v>
      </c>
      <c r="R65" s="72">
        <v>1</v>
      </c>
      <c r="S65" s="74">
        <f t="shared" si="41"/>
        <v>10</v>
      </c>
      <c r="T65" s="48">
        <v>2</v>
      </c>
      <c r="U65" s="49">
        <v>4</v>
      </c>
      <c r="V65" s="50">
        <v>3</v>
      </c>
      <c r="W65" s="72">
        <v>1</v>
      </c>
      <c r="X65" s="74">
        <f t="shared" si="42"/>
        <v>10</v>
      </c>
      <c r="Y65" s="11">
        <f t="shared" si="26"/>
        <v>20</v>
      </c>
      <c r="Z65" s="69">
        <v>45111</v>
      </c>
    </row>
    <row r="66" spans="1:28" x14ac:dyDescent="0.15">
      <c r="A66" s="59" t="s">
        <v>56</v>
      </c>
      <c r="B66" s="20">
        <v>1</v>
      </c>
      <c r="C66" s="35"/>
      <c r="D66" s="21"/>
      <c r="E66" s="24"/>
      <c r="F66" s="25">
        <f t="shared" si="30"/>
        <v>1</v>
      </c>
      <c r="G66" s="20">
        <v>1</v>
      </c>
      <c r="H66" s="35"/>
      <c r="I66" s="21"/>
      <c r="J66" s="24"/>
      <c r="K66" s="25">
        <f t="shared" si="31"/>
        <v>1</v>
      </c>
      <c r="L66" s="11">
        <f t="shared" si="32"/>
        <v>2</v>
      </c>
      <c r="M66" s="71">
        <v>45084</v>
      </c>
      <c r="N66" s="40" t="s">
        <v>26</v>
      </c>
      <c r="O66" s="20"/>
      <c r="P66" s="35"/>
      <c r="Q66" s="21"/>
      <c r="R66" s="38">
        <v>10</v>
      </c>
      <c r="S66" s="9">
        <f>SUM(O66:R66)</f>
        <v>10</v>
      </c>
      <c r="T66" s="20">
        <v>10</v>
      </c>
      <c r="U66" s="35"/>
      <c r="V66" s="21"/>
      <c r="W66" s="24">
        <v>15</v>
      </c>
      <c r="X66" s="25">
        <f>SUM(T66:W66)</f>
        <v>25</v>
      </c>
      <c r="Y66" s="11">
        <f t="shared" si="26"/>
        <v>35</v>
      </c>
      <c r="Z66" s="69">
        <v>45108</v>
      </c>
    </row>
    <row r="67" spans="1:28" x14ac:dyDescent="0.15">
      <c r="A67" s="59" t="s">
        <v>27</v>
      </c>
      <c r="B67" s="20">
        <v>1</v>
      </c>
      <c r="C67" s="35"/>
      <c r="D67" s="21">
        <v>2</v>
      </c>
      <c r="E67" s="24">
        <v>1</v>
      </c>
      <c r="F67" s="25">
        <f t="shared" si="30"/>
        <v>4</v>
      </c>
      <c r="G67" s="20">
        <v>2</v>
      </c>
      <c r="H67" s="35"/>
      <c r="I67" s="21">
        <v>1</v>
      </c>
      <c r="J67" s="24">
        <v>1</v>
      </c>
      <c r="K67" s="25">
        <f t="shared" si="31"/>
        <v>4</v>
      </c>
      <c r="L67" s="11">
        <f t="shared" si="32"/>
        <v>8</v>
      </c>
      <c r="M67" s="71">
        <v>45084</v>
      </c>
      <c r="N67" s="12"/>
      <c r="O67" s="20"/>
      <c r="P67" s="21"/>
      <c r="Q67" s="35"/>
      <c r="R67" s="73"/>
      <c r="S67" s="9">
        <f t="shared" si="41"/>
        <v>0</v>
      </c>
      <c r="T67" s="20"/>
      <c r="U67" s="35"/>
      <c r="V67" s="35"/>
      <c r="W67" s="38"/>
      <c r="X67" s="9">
        <f t="shared" si="42"/>
        <v>0</v>
      </c>
      <c r="Y67" s="11">
        <f t="shared" si="26"/>
        <v>0</v>
      </c>
    </row>
    <row r="68" spans="1:28" x14ac:dyDescent="0.15">
      <c r="A68" s="59" t="s">
        <v>27</v>
      </c>
      <c r="B68" s="20"/>
      <c r="C68" s="35"/>
      <c r="D68" s="21"/>
      <c r="E68" s="24">
        <v>2</v>
      </c>
      <c r="F68" s="25">
        <f t="shared" si="30"/>
        <v>2</v>
      </c>
      <c r="G68" s="20"/>
      <c r="H68" s="35"/>
      <c r="I68" s="21"/>
      <c r="J68" s="24">
        <v>2</v>
      </c>
      <c r="K68" s="25">
        <f t="shared" si="31"/>
        <v>2</v>
      </c>
      <c r="L68" s="11">
        <f t="shared" si="32"/>
        <v>4</v>
      </c>
      <c r="M68" s="71">
        <v>45085</v>
      </c>
      <c r="N68" s="12"/>
      <c r="O68" s="20"/>
      <c r="P68" s="35"/>
      <c r="Q68" s="21"/>
      <c r="R68" s="38"/>
      <c r="S68" s="9">
        <f t="shared" si="41"/>
        <v>0</v>
      </c>
      <c r="T68" s="20"/>
      <c r="U68" s="35"/>
      <c r="V68" s="21"/>
      <c r="W68" s="38"/>
      <c r="X68" s="9">
        <f t="shared" si="42"/>
        <v>0</v>
      </c>
      <c r="Y68" s="11">
        <f t="shared" si="26"/>
        <v>0</v>
      </c>
    </row>
    <row r="69" spans="1:28" x14ac:dyDescent="0.15">
      <c r="A69" s="59" t="s">
        <v>47</v>
      </c>
      <c r="B69" s="20">
        <v>1</v>
      </c>
      <c r="C69" s="35"/>
      <c r="D69" s="21">
        <v>-1</v>
      </c>
      <c r="E69" s="24"/>
      <c r="F69" s="25">
        <f t="shared" ref="F69:F72" si="43">SUM(B69:E69)</f>
        <v>0</v>
      </c>
      <c r="G69" s="20">
        <v>1</v>
      </c>
      <c r="H69" s="35"/>
      <c r="I69" s="21">
        <v>-1</v>
      </c>
      <c r="J69" s="24"/>
      <c r="K69" s="25">
        <f t="shared" ref="K69:K72" si="44">SUM(G69:J69)</f>
        <v>0</v>
      </c>
      <c r="L69" s="11">
        <f t="shared" si="27"/>
        <v>0</v>
      </c>
      <c r="M69" s="71">
        <v>45085</v>
      </c>
      <c r="N69" s="12"/>
      <c r="O69" s="48"/>
      <c r="P69" s="49"/>
      <c r="Q69" s="50"/>
      <c r="R69" s="72"/>
      <c r="S69" s="74">
        <f t="shared" si="41"/>
        <v>0</v>
      </c>
      <c r="T69" s="48"/>
      <c r="U69" s="49"/>
      <c r="V69" s="50"/>
      <c r="W69" s="72"/>
      <c r="X69" s="74">
        <f t="shared" si="42"/>
        <v>0</v>
      </c>
      <c r="Y69" s="11">
        <f t="shared" si="26"/>
        <v>0</v>
      </c>
      <c r="Z69" s="162"/>
      <c r="AA69" s="41"/>
    </row>
    <row r="70" spans="1:28" x14ac:dyDescent="0.15">
      <c r="A70" s="59" t="s">
        <v>27</v>
      </c>
      <c r="B70" s="20"/>
      <c r="C70" s="35">
        <v>1</v>
      </c>
      <c r="D70" s="21">
        <v>1</v>
      </c>
      <c r="E70" s="24">
        <v>1</v>
      </c>
      <c r="F70" s="25">
        <f t="shared" si="43"/>
        <v>3</v>
      </c>
      <c r="G70" s="20"/>
      <c r="H70" s="35">
        <v>1</v>
      </c>
      <c r="I70" s="21">
        <v>1</v>
      </c>
      <c r="J70" s="24">
        <v>1</v>
      </c>
      <c r="K70" s="25">
        <f t="shared" si="44"/>
        <v>3</v>
      </c>
      <c r="L70" s="11">
        <f t="shared" si="27"/>
        <v>6</v>
      </c>
      <c r="M70" s="71">
        <v>45086</v>
      </c>
      <c r="N70" s="12"/>
      <c r="O70" s="20"/>
      <c r="P70" s="35"/>
      <c r="Q70" s="21"/>
      <c r="R70" s="38"/>
      <c r="S70" s="9">
        <f t="shared" si="41"/>
        <v>0</v>
      </c>
      <c r="T70" s="20"/>
      <c r="U70" s="35"/>
      <c r="V70" s="21"/>
      <c r="W70" s="38"/>
      <c r="X70" s="9">
        <f t="shared" si="42"/>
        <v>0</v>
      </c>
      <c r="Y70" s="47">
        <f t="shared" si="26"/>
        <v>0</v>
      </c>
      <c r="Z70" s="162"/>
      <c r="AA70" s="41"/>
    </row>
    <row r="71" spans="1:28" x14ac:dyDescent="0.15">
      <c r="A71" s="59" t="s">
        <v>27</v>
      </c>
      <c r="B71" s="20">
        <v>1</v>
      </c>
      <c r="C71" s="35">
        <v>1</v>
      </c>
      <c r="D71" s="21">
        <f>1+1+1</f>
        <v>3</v>
      </c>
      <c r="E71" s="24">
        <v>2</v>
      </c>
      <c r="F71" s="25">
        <f t="shared" si="43"/>
        <v>7</v>
      </c>
      <c r="G71" s="20">
        <f>1+1</f>
        <v>2</v>
      </c>
      <c r="H71" s="35">
        <v>1</v>
      </c>
      <c r="I71" s="21">
        <f>1+1+1</f>
        <v>3</v>
      </c>
      <c r="J71" s="24">
        <v>2</v>
      </c>
      <c r="K71" s="25">
        <f t="shared" si="44"/>
        <v>8</v>
      </c>
      <c r="L71" s="11">
        <f t="shared" si="27"/>
        <v>15</v>
      </c>
      <c r="M71" s="71">
        <v>45090</v>
      </c>
      <c r="N71" s="12"/>
      <c r="O71" s="20"/>
      <c r="P71" s="35"/>
      <c r="Q71" s="21"/>
      <c r="R71" s="38"/>
      <c r="S71" s="9">
        <f t="shared" ref="S71:S72" si="45">SUM(O71:R71)</f>
        <v>0</v>
      </c>
      <c r="T71" s="20"/>
      <c r="U71" s="35"/>
      <c r="V71" s="21"/>
      <c r="W71" s="38"/>
      <c r="X71" s="9">
        <f t="shared" ref="X71:X72" si="46">SUM(T71:W71)</f>
        <v>0</v>
      </c>
      <c r="Y71" s="47">
        <f t="shared" ref="Y71:Y72" si="47">S71+X71</f>
        <v>0</v>
      </c>
      <c r="Z71" s="162"/>
      <c r="AA71" s="41"/>
    </row>
    <row r="72" spans="1:28" ht="14.25" thickBot="1" x14ac:dyDescent="0.2">
      <c r="A72" s="59" t="s">
        <v>27</v>
      </c>
      <c r="B72" s="43"/>
      <c r="C72" s="44"/>
      <c r="D72" s="45">
        <v>1</v>
      </c>
      <c r="E72" s="46"/>
      <c r="F72" s="25">
        <f t="shared" si="43"/>
        <v>1</v>
      </c>
      <c r="G72" s="43"/>
      <c r="H72" s="44"/>
      <c r="I72" s="45">
        <v>1</v>
      </c>
      <c r="J72" s="46"/>
      <c r="K72" s="25">
        <f t="shared" si="44"/>
        <v>1</v>
      </c>
      <c r="L72" s="14">
        <f t="shared" si="27"/>
        <v>2</v>
      </c>
      <c r="M72" s="71">
        <v>45091</v>
      </c>
      <c r="N72" s="107" t="s">
        <v>59</v>
      </c>
      <c r="O72" s="108"/>
      <c r="P72" s="109"/>
      <c r="Q72" s="110"/>
      <c r="R72" s="111"/>
      <c r="S72" s="112">
        <f t="shared" si="45"/>
        <v>0</v>
      </c>
      <c r="T72" s="108"/>
      <c r="U72" s="109"/>
      <c r="V72" s="110"/>
      <c r="W72" s="111"/>
      <c r="X72" s="112">
        <f t="shared" si="46"/>
        <v>0</v>
      </c>
      <c r="Y72" s="113">
        <f t="shared" si="47"/>
        <v>0</v>
      </c>
      <c r="Z72" s="167" t="s">
        <v>60</v>
      </c>
      <c r="AA72" s="41"/>
      <c r="AB72" s="41"/>
    </row>
    <row r="73" spans="1:28" ht="14.25" thickBot="1" x14ac:dyDescent="0.2">
      <c r="A73" s="16" t="s">
        <v>9</v>
      </c>
      <c r="B73" s="28">
        <f>SUM(B48:B72)</f>
        <v>14</v>
      </c>
      <c r="C73" s="36">
        <f>SUM(C48:C72)</f>
        <v>8</v>
      </c>
      <c r="D73" s="29">
        <f>SUM(D48:D72)</f>
        <v>3</v>
      </c>
      <c r="E73" s="30">
        <f>SUM(E48:E72)</f>
        <v>13</v>
      </c>
      <c r="F73" s="26">
        <f>SUM(B73:E73)</f>
        <v>38</v>
      </c>
      <c r="G73" s="28">
        <f>SUM(G48:G72)</f>
        <v>26</v>
      </c>
      <c r="H73" s="36">
        <f>SUM(H48:H72)</f>
        <v>7</v>
      </c>
      <c r="I73" s="29">
        <f>SUM(I48:I72)</f>
        <v>4</v>
      </c>
      <c r="J73" s="30">
        <f>SUM(J48:J72)</f>
        <v>4</v>
      </c>
      <c r="K73" s="26">
        <f>SUM(G73:J73)</f>
        <v>41</v>
      </c>
      <c r="L73" s="27">
        <f t="shared" si="27"/>
        <v>79</v>
      </c>
      <c r="N73" s="61" t="s">
        <v>9</v>
      </c>
      <c r="O73" s="28">
        <f>SUM(O48:O72)</f>
        <v>114</v>
      </c>
      <c r="P73" s="36">
        <f>SUM(P48:P72)</f>
        <v>113</v>
      </c>
      <c r="Q73" s="29">
        <f>SUM(Q48:Q72)</f>
        <v>91</v>
      </c>
      <c r="R73" s="30">
        <f>SUM(R48:R72)</f>
        <v>43</v>
      </c>
      <c r="S73" s="60">
        <f t="shared" si="41"/>
        <v>361</v>
      </c>
      <c r="T73" s="28">
        <f>SUM(T48:T72)</f>
        <v>119</v>
      </c>
      <c r="U73" s="36">
        <f>SUM(U48:U72)</f>
        <v>118</v>
      </c>
      <c r="V73" s="29">
        <f>SUM(V48:V72)</f>
        <v>91</v>
      </c>
      <c r="W73" s="30">
        <f>SUM(W48:W72)</f>
        <v>53</v>
      </c>
      <c r="X73" s="60">
        <f t="shared" si="42"/>
        <v>381</v>
      </c>
      <c r="Y73" s="63">
        <f t="shared" si="26"/>
        <v>742</v>
      </c>
    </row>
    <row r="74" spans="1:28" ht="14.25" thickBot="1" x14ac:dyDescent="0.2">
      <c r="A74" s="18" t="s">
        <v>10</v>
      </c>
      <c r="B74" s="31">
        <f t="shared" ref="B74:K74" si="48">B47-B73</f>
        <v>13</v>
      </c>
      <c r="C74" s="37">
        <f t="shared" si="48"/>
        <v>11</v>
      </c>
      <c r="D74" s="32">
        <f t="shared" si="48"/>
        <v>13</v>
      </c>
      <c r="E74" s="33">
        <f t="shared" si="48"/>
        <v>10</v>
      </c>
      <c r="F74" s="42">
        <f t="shared" si="48"/>
        <v>47</v>
      </c>
      <c r="G74" s="31">
        <f t="shared" si="48"/>
        <v>5</v>
      </c>
      <c r="H74" s="37">
        <f t="shared" si="48"/>
        <v>15</v>
      </c>
      <c r="I74" s="32">
        <f t="shared" si="48"/>
        <v>12</v>
      </c>
      <c r="J74" s="33">
        <f t="shared" si="48"/>
        <v>11</v>
      </c>
      <c r="K74" s="42">
        <f t="shared" si="48"/>
        <v>43</v>
      </c>
      <c r="L74" s="17">
        <f t="shared" si="27"/>
        <v>90</v>
      </c>
      <c r="N74" s="16" t="s">
        <v>10</v>
      </c>
      <c r="O74" s="31">
        <f t="shared" ref="O74:X74" si="49">O47-O73</f>
        <v>292</v>
      </c>
      <c r="P74" s="37">
        <f t="shared" si="49"/>
        <v>411</v>
      </c>
      <c r="Q74" s="32">
        <f t="shared" si="49"/>
        <v>229</v>
      </c>
      <c r="R74" s="33">
        <f t="shared" si="49"/>
        <v>145</v>
      </c>
      <c r="S74" s="42">
        <f t="shared" si="49"/>
        <v>1077</v>
      </c>
      <c r="T74" s="31">
        <f t="shared" si="49"/>
        <v>282</v>
      </c>
      <c r="U74" s="37">
        <f t="shared" si="49"/>
        <v>406</v>
      </c>
      <c r="V74" s="32">
        <f t="shared" si="49"/>
        <v>224</v>
      </c>
      <c r="W74" s="33">
        <f t="shared" si="49"/>
        <v>145</v>
      </c>
      <c r="X74" s="42">
        <f t="shared" si="49"/>
        <v>1057</v>
      </c>
      <c r="Y74" s="17">
        <f t="shared" si="26"/>
        <v>2134</v>
      </c>
    </row>
    <row r="75" spans="1:28" x14ac:dyDescent="0.15">
      <c r="N75" s="84"/>
      <c r="O75" s="62">
        <f>O73+O35</f>
        <v>258</v>
      </c>
      <c r="P75" s="62">
        <f t="shared" ref="P75:Y75" si="50">P73+P35</f>
        <v>289</v>
      </c>
      <c r="Q75" s="62">
        <f t="shared" si="50"/>
        <v>221</v>
      </c>
      <c r="R75" s="62">
        <f t="shared" si="50"/>
        <v>155</v>
      </c>
      <c r="S75" s="62">
        <f t="shared" si="50"/>
        <v>923</v>
      </c>
      <c r="T75" s="62">
        <f t="shared" si="50"/>
        <v>268</v>
      </c>
      <c r="U75" s="62">
        <f t="shared" si="50"/>
        <v>294</v>
      </c>
      <c r="V75" s="62">
        <f t="shared" si="50"/>
        <v>226</v>
      </c>
      <c r="W75" s="62">
        <f t="shared" si="50"/>
        <v>155</v>
      </c>
      <c r="X75" s="62">
        <f t="shared" si="50"/>
        <v>943</v>
      </c>
      <c r="Y75" s="62">
        <f t="shared" si="50"/>
        <v>1866</v>
      </c>
    </row>
    <row r="76" spans="1:28" x14ac:dyDescent="0.15">
      <c r="O76" s="101">
        <f>O75/$S$75*100</f>
        <v>27.952329360780066</v>
      </c>
      <c r="P76" s="101">
        <f t="shared" ref="P76:S76" si="51">P75/$S$75*100</f>
        <v>31.310942578548211</v>
      </c>
      <c r="Q76" s="101">
        <f t="shared" si="51"/>
        <v>23.943661971830984</v>
      </c>
      <c r="R76" s="101">
        <f t="shared" si="51"/>
        <v>16.793066088840735</v>
      </c>
      <c r="S76" s="101">
        <f t="shared" si="51"/>
        <v>100</v>
      </c>
      <c r="T76" s="101">
        <f>T75/$X$75*100</f>
        <v>28.419936373276776</v>
      </c>
      <c r="U76" s="101">
        <f t="shared" ref="U76:X76" si="52">U75/$X$75*100</f>
        <v>31.177094379639449</v>
      </c>
      <c r="V76" s="101">
        <f t="shared" si="52"/>
        <v>23.966065747614</v>
      </c>
      <c r="W76" s="101">
        <f t="shared" si="52"/>
        <v>16.436903499469775</v>
      </c>
      <c r="X76" s="101">
        <f t="shared" si="52"/>
        <v>100</v>
      </c>
      <c r="Y76" s="102"/>
    </row>
    <row r="77" spans="1:28" ht="19.5" thickBot="1" x14ac:dyDescent="0.25">
      <c r="A77" s="2" t="s">
        <v>17</v>
      </c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N77" s="2" t="s">
        <v>18</v>
      </c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1"/>
    </row>
    <row r="78" spans="1:28" ht="14.25" thickBot="1" x14ac:dyDescent="0.2">
      <c r="A78" s="5" t="s">
        <v>0</v>
      </c>
      <c r="B78" s="244" t="s">
        <v>19</v>
      </c>
      <c r="C78" s="245"/>
      <c r="D78" s="245"/>
      <c r="E78" s="245"/>
      <c r="F78" s="246"/>
      <c r="G78" s="247" t="s">
        <v>20</v>
      </c>
      <c r="H78" s="248"/>
      <c r="I78" s="248"/>
      <c r="J78" s="248"/>
      <c r="K78" s="249"/>
      <c r="L78" s="250" t="s">
        <v>1</v>
      </c>
      <c r="N78" s="5" t="s">
        <v>0</v>
      </c>
      <c r="O78" s="244" t="s">
        <v>19</v>
      </c>
      <c r="P78" s="245"/>
      <c r="Q78" s="245"/>
      <c r="R78" s="245"/>
      <c r="S78" s="246"/>
      <c r="T78" s="247" t="s">
        <v>20</v>
      </c>
      <c r="U78" s="248"/>
      <c r="V78" s="248"/>
      <c r="W78" s="248"/>
      <c r="X78" s="249"/>
      <c r="Y78" s="250" t="s">
        <v>1</v>
      </c>
    </row>
    <row r="79" spans="1:28" ht="14.25" thickBot="1" x14ac:dyDescent="0.2">
      <c r="A79" s="5" t="s">
        <v>2</v>
      </c>
      <c r="B79" s="3" t="s">
        <v>11</v>
      </c>
      <c r="C79" s="34" t="s">
        <v>12</v>
      </c>
      <c r="D79" s="4" t="s">
        <v>13</v>
      </c>
      <c r="E79" s="19" t="s">
        <v>14</v>
      </c>
      <c r="F79" s="23" t="s">
        <v>3</v>
      </c>
      <c r="G79" s="3" t="s">
        <v>11</v>
      </c>
      <c r="H79" s="34" t="s">
        <v>12</v>
      </c>
      <c r="I79" s="4" t="s">
        <v>13</v>
      </c>
      <c r="J79" s="19" t="s">
        <v>14</v>
      </c>
      <c r="K79" s="23" t="s">
        <v>3</v>
      </c>
      <c r="L79" s="251"/>
      <c r="N79" s="5" t="s">
        <v>2</v>
      </c>
      <c r="O79" s="53" t="s">
        <v>11</v>
      </c>
      <c r="P79" s="54" t="s">
        <v>12</v>
      </c>
      <c r="Q79" s="55" t="s">
        <v>13</v>
      </c>
      <c r="R79" s="56" t="s">
        <v>14</v>
      </c>
      <c r="S79" s="23" t="s">
        <v>3</v>
      </c>
      <c r="T79" s="3" t="s">
        <v>11</v>
      </c>
      <c r="U79" s="34" t="s">
        <v>12</v>
      </c>
      <c r="V79" s="4" t="s">
        <v>13</v>
      </c>
      <c r="W79" s="19" t="s">
        <v>14</v>
      </c>
      <c r="X79" s="23" t="s">
        <v>3</v>
      </c>
      <c r="Y79" s="251"/>
    </row>
    <row r="80" spans="1:28" ht="14.25" thickBot="1" x14ac:dyDescent="0.2">
      <c r="A80" s="18" t="s">
        <v>15</v>
      </c>
      <c r="B80" s="31">
        <f>B74</f>
        <v>13</v>
      </c>
      <c r="C80" s="32">
        <f>C74</f>
        <v>11</v>
      </c>
      <c r="D80" s="32">
        <f>D74</f>
        <v>13</v>
      </c>
      <c r="E80" s="33">
        <f>E74</f>
        <v>10</v>
      </c>
      <c r="F80" s="86">
        <f>SUM(B80:E80)</f>
        <v>47</v>
      </c>
      <c r="G80" s="31">
        <f>G74</f>
        <v>5</v>
      </c>
      <c r="H80" s="32">
        <f>H74</f>
        <v>15</v>
      </c>
      <c r="I80" s="32">
        <f>I74</f>
        <v>12</v>
      </c>
      <c r="J80" s="33">
        <f>J74</f>
        <v>11</v>
      </c>
      <c r="K80" s="80">
        <f>SUM(G80:J80)</f>
        <v>43</v>
      </c>
      <c r="L80" s="17">
        <f>F80+K80</f>
        <v>90</v>
      </c>
      <c r="N80" s="18" t="s">
        <v>15</v>
      </c>
      <c r="O80" s="31">
        <f>O74</f>
        <v>292</v>
      </c>
      <c r="P80" s="32">
        <f>P74</f>
        <v>411</v>
      </c>
      <c r="Q80" s="32">
        <f>Q74</f>
        <v>229</v>
      </c>
      <c r="R80" s="33">
        <f>R74</f>
        <v>145</v>
      </c>
      <c r="S80" s="86">
        <f>SUM(O80:R80)</f>
        <v>1077</v>
      </c>
      <c r="T80" s="31">
        <f>T74</f>
        <v>282</v>
      </c>
      <c r="U80" s="32">
        <f>U74</f>
        <v>406</v>
      </c>
      <c r="V80" s="32">
        <f>V74</f>
        <v>224</v>
      </c>
      <c r="W80" s="33">
        <f>W74</f>
        <v>145</v>
      </c>
      <c r="X80" s="80">
        <f>SUM(T80:W80)</f>
        <v>1057</v>
      </c>
      <c r="Y80" s="17">
        <f t="shared" ref="Y80:Y112" si="53">S80+X80</f>
        <v>2134</v>
      </c>
    </row>
    <row r="81" spans="1:25" x14ac:dyDescent="0.15">
      <c r="A81" s="59" t="s">
        <v>4</v>
      </c>
      <c r="B81" s="64">
        <v>20</v>
      </c>
      <c r="C81" s="65">
        <v>15</v>
      </c>
      <c r="D81" s="66">
        <v>15</v>
      </c>
      <c r="E81" s="67">
        <v>15</v>
      </c>
      <c r="F81" s="74">
        <f>SUM(B81:E81)</f>
        <v>65</v>
      </c>
      <c r="G81" s="65">
        <v>20</v>
      </c>
      <c r="H81" s="65">
        <v>15</v>
      </c>
      <c r="I81" s="66">
        <v>15</v>
      </c>
      <c r="J81" s="67">
        <v>15</v>
      </c>
      <c r="K81" s="74">
        <f>SUM(G81:J81)</f>
        <v>65</v>
      </c>
      <c r="L81" s="11">
        <f t="shared" ref="L81:L112" si="54">F81+K81</f>
        <v>130</v>
      </c>
      <c r="M81" s="69">
        <v>45089</v>
      </c>
      <c r="N81" s="59" t="s">
        <v>16</v>
      </c>
      <c r="O81" s="48"/>
      <c r="P81" s="49"/>
      <c r="Q81" s="50"/>
      <c r="R81" s="51"/>
      <c r="S81" s="85">
        <f>SUM(O81:R81)</f>
        <v>0</v>
      </c>
      <c r="T81" s="48"/>
      <c r="U81" s="49"/>
      <c r="V81" s="50"/>
      <c r="W81" s="51"/>
      <c r="X81" s="74">
        <f>SUM(T81:W81)</f>
        <v>0</v>
      </c>
      <c r="Y81" s="11">
        <f t="shared" si="53"/>
        <v>0</v>
      </c>
    </row>
    <row r="82" spans="1:25" x14ac:dyDescent="0.15">
      <c r="A82" s="13" t="s">
        <v>72</v>
      </c>
      <c r="B82" s="6">
        <v>1</v>
      </c>
      <c r="C82" s="22">
        <v>2</v>
      </c>
      <c r="D82" s="7"/>
      <c r="E82" s="8">
        <v>1</v>
      </c>
      <c r="F82" s="9">
        <f>SUM(B82:E82)</f>
        <v>4</v>
      </c>
      <c r="G82" s="22">
        <v>1</v>
      </c>
      <c r="H82" s="22">
        <v>2</v>
      </c>
      <c r="I82" s="7"/>
      <c r="J82" s="8">
        <v>1</v>
      </c>
      <c r="K82" s="9">
        <f>SUM(G82:J82)</f>
        <v>4</v>
      </c>
      <c r="L82" s="11">
        <f t="shared" si="54"/>
        <v>8</v>
      </c>
      <c r="M82" s="71">
        <v>45100</v>
      </c>
      <c r="N82" s="13" t="s">
        <v>4</v>
      </c>
      <c r="O82" s="20"/>
      <c r="P82" s="35"/>
      <c r="Q82" s="21"/>
      <c r="R82" s="24"/>
      <c r="S82" s="57">
        <f>SUM(O82:R82)</f>
        <v>0</v>
      </c>
      <c r="T82" s="20"/>
      <c r="U82" s="35"/>
      <c r="V82" s="21"/>
      <c r="W82" s="24"/>
      <c r="X82" s="9">
        <f>SUM(T82:W82)</f>
        <v>0</v>
      </c>
      <c r="Y82" s="11">
        <f t="shared" si="53"/>
        <v>0</v>
      </c>
    </row>
    <row r="83" spans="1:25" x14ac:dyDescent="0.15">
      <c r="A83" s="13" t="s">
        <v>6</v>
      </c>
      <c r="B83" s="6">
        <v>20</v>
      </c>
      <c r="C83" s="22">
        <v>20</v>
      </c>
      <c r="D83" s="7">
        <v>20</v>
      </c>
      <c r="E83" s="8"/>
      <c r="F83" s="9">
        <f>SUM(B83:E83)</f>
        <v>60</v>
      </c>
      <c r="G83" s="22">
        <v>20</v>
      </c>
      <c r="H83" s="22">
        <v>20</v>
      </c>
      <c r="I83" s="7">
        <v>20</v>
      </c>
      <c r="J83" s="8"/>
      <c r="K83" s="9">
        <f>SUM(G83:J83)</f>
        <v>60</v>
      </c>
      <c r="L83" s="11">
        <f t="shared" si="54"/>
        <v>120</v>
      </c>
      <c r="M83" s="69">
        <v>45103</v>
      </c>
      <c r="N83" s="13" t="s">
        <v>5</v>
      </c>
      <c r="O83" s="20"/>
      <c r="P83" s="35"/>
      <c r="Q83" s="21"/>
      <c r="R83" s="24"/>
      <c r="S83" s="57">
        <f>SUM(O83:R83)</f>
        <v>0</v>
      </c>
      <c r="T83" s="35"/>
      <c r="U83" s="35"/>
      <c r="V83" s="21"/>
      <c r="W83" s="38"/>
      <c r="X83" s="9">
        <f>SUM(T83:W83)</f>
        <v>0</v>
      </c>
      <c r="Y83" s="11">
        <f t="shared" si="53"/>
        <v>0</v>
      </c>
    </row>
    <row r="84" spans="1:25" ht="14.25" thickBot="1" x14ac:dyDescent="0.2">
      <c r="A84" s="13" t="s">
        <v>7</v>
      </c>
      <c r="B84" s="6"/>
      <c r="C84" s="22"/>
      <c r="D84" s="7"/>
      <c r="E84" s="8">
        <v>10</v>
      </c>
      <c r="F84" s="10">
        <f>SUM(B84:E84)</f>
        <v>10</v>
      </c>
      <c r="G84" s="22">
        <v>10</v>
      </c>
      <c r="H84" s="22"/>
      <c r="I84" s="7"/>
      <c r="J84" s="8">
        <v>15</v>
      </c>
      <c r="K84" s="10">
        <f>SUM(G84:J84)</f>
        <v>25</v>
      </c>
      <c r="L84" s="14">
        <f t="shared" si="54"/>
        <v>35</v>
      </c>
      <c r="M84" s="69">
        <v>45108</v>
      </c>
      <c r="N84" s="13" t="s">
        <v>6</v>
      </c>
      <c r="O84" s="43"/>
      <c r="P84" s="44"/>
      <c r="Q84" s="45"/>
      <c r="R84" s="46"/>
      <c r="S84" s="58">
        <f>SUM(O84:R84)</f>
        <v>0</v>
      </c>
      <c r="T84" s="35"/>
      <c r="U84" s="35"/>
      <c r="V84" s="21"/>
      <c r="W84" s="38"/>
      <c r="X84" s="10">
        <f>SUM(T84:W84)</f>
        <v>0</v>
      </c>
      <c r="Y84" s="14">
        <f t="shared" si="53"/>
        <v>0</v>
      </c>
    </row>
    <row r="85" spans="1:25" ht="14.25" thickBot="1" x14ac:dyDescent="0.2">
      <c r="A85" s="18" t="s">
        <v>8</v>
      </c>
      <c r="B85" s="76">
        <f t="shared" ref="B85:K85" si="55">SUM(B80:B84)</f>
        <v>54</v>
      </c>
      <c r="C85" s="77">
        <f t="shared" si="55"/>
        <v>48</v>
      </c>
      <c r="D85" s="78">
        <f t="shared" si="55"/>
        <v>48</v>
      </c>
      <c r="E85" s="79">
        <f t="shared" si="55"/>
        <v>36</v>
      </c>
      <c r="F85" s="80">
        <f t="shared" si="55"/>
        <v>186</v>
      </c>
      <c r="G85" s="76">
        <f t="shared" si="55"/>
        <v>56</v>
      </c>
      <c r="H85" s="77">
        <f t="shared" si="55"/>
        <v>52</v>
      </c>
      <c r="I85" s="78">
        <f t="shared" si="55"/>
        <v>47</v>
      </c>
      <c r="J85" s="79">
        <f t="shared" si="55"/>
        <v>42</v>
      </c>
      <c r="K85" s="80">
        <f t="shared" si="55"/>
        <v>197</v>
      </c>
      <c r="L85" s="17">
        <f t="shared" si="54"/>
        <v>383</v>
      </c>
      <c r="N85" s="16" t="s">
        <v>8</v>
      </c>
      <c r="O85" s="31">
        <f t="shared" ref="O85:X85" si="56">SUM(O80:O84)</f>
        <v>292</v>
      </c>
      <c r="P85" s="37">
        <f t="shared" si="56"/>
        <v>411</v>
      </c>
      <c r="Q85" s="32">
        <f t="shared" si="56"/>
        <v>229</v>
      </c>
      <c r="R85" s="82">
        <f t="shared" si="56"/>
        <v>145</v>
      </c>
      <c r="S85" s="83">
        <f t="shared" si="56"/>
        <v>1077</v>
      </c>
      <c r="T85" s="31">
        <f t="shared" si="56"/>
        <v>282</v>
      </c>
      <c r="U85" s="37">
        <f t="shared" si="56"/>
        <v>406</v>
      </c>
      <c r="V85" s="32">
        <f t="shared" si="56"/>
        <v>224</v>
      </c>
      <c r="W85" s="82">
        <f t="shared" si="56"/>
        <v>145</v>
      </c>
      <c r="X85" s="83">
        <f t="shared" si="56"/>
        <v>1057</v>
      </c>
      <c r="Y85" s="39">
        <f t="shared" si="53"/>
        <v>2134</v>
      </c>
    </row>
    <row r="86" spans="1:25" x14ac:dyDescent="0.15">
      <c r="A86" s="40" t="s">
        <v>64</v>
      </c>
      <c r="B86" s="48">
        <v>1</v>
      </c>
      <c r="C86" s="49"/>
      <c r="D86" s="50"/>
      <c r="E86" s="51"/>
      <c r="F86" s="52">
        <f t="shared" ref="F86:F110" si="57">SUM(B86:E86)</f>
        <v>1</v>
      </c>
      <c r="G86" s="48">
        <v>1</v>
      </c>
      <c r="H86" s="49"/>
      <c r="I86" s="50"/>
      <c r="J86" s="51"/>
      <c r="K86" s="52">
        <f t="shared" ref="K86:K110" si="58">SUM(G86:J86)</f>
        <v>1</v>
      </c>
      <c r="L86" s="11">
        <f t="shared" si="54"/>
        <v>2</v>
      </c>
      <c r="M86" s="69">
        <v>45093</v>
      </c>
      <c r="N86" s="40"/>
      <c r="O86" s="20"/>
      <c r="P86" s="35"/>
      <c r="Q86" s="21"/>
      <c r="R86" s="38"/>
      <c r="S86" s="9">
        <f t="shared" ref="S86:S87" si="59">SUM(O86:R86)</f>
        <v>0</v>
      </c>
      <c r="T86" s="20"/>
      <c r="U86" s="35"/>
      <c r="V86" s="21"/>
      <c r="W86" s="24"/>
      <c r="X86" s="25">
        <f t="shared" ref="X86:X87" si="60">SUM(T86:W86)</f>
        <v>0</v>
      </c>
      <c r="Y86" s="11">
        <f t="shared" ref="Y86:Y87" si="61">S86+X86</f>
        <v>0</v>
      </c>
    </row>
    <row r="87" spans="1:25" x14ac:dyDescent="0.15">
      <c r="A87" s="59" t="s">
        <v>47</v>
      </c>
      <c r="B87" s="20"/>
      <c r="C87" s="35">
        <v>1</v>
      </c>
      <c r="D87" s="21">
        <v>-1</v>
      </c>
      <c r="E87" s="24"/>
      <c r="F87" s="25">
        <f t="shared" si="57"/>
        <v>0</v>
      </c>
      <c r="G87" s="20"/>
      <c r="H87" s="35">
        <v>1</v>
      </c>
      <c r="I87" s="21">
        <v>-1</v>
      </c>
      <c r="J87" s="24"/>
      <c r="K87" s="25">
        <f t="shared" si="58"/>
        <v>0</v>
      </c>
      <c r="L87" s="11">
        <f t="shared" si="54"/>
        <v>0</v>
      </c>
      <c r="M87" s="71">
        <v>45093</v>
      </c>
      <c r="N87" s="40"/>
      <c r="O87" s="20"/>
      <c r="P87" s="35"/>
      <c r="Q87" s="21"/>
      <c r="R87" s="38"/>
      <c r="S87" s="9">
        <f t="shared" si="59"/>
        <v>0</v>
      </c>
      <c r="T87" s="20"/>
      <c r="U87" s="35"/>
      <c r="V87" s="21"/>
      <c r="W87" s="24"/>
      <c r="X87" s="25">
        <f t="shared" si="60"/>
        <v>0</v>
      </c>
      <c r="Y87" s="11">
        <f t="shared" si="61"/>
        <v>0</v>
      </c>
    </row>
    <row r="88" spans="1:25" x14ac:dyDescent="0.15">
      <c r="A88" s="59" t="s">
        <v>27</v>
      </c>
      <c r="B88" s="20"/>
      <c r="C88" s="35">
        <v>1</v>
      </c>
      <c r="D88" s="21">
        <v>1</v>
      </c>
      <c r="E88" s="24"/>
      <c r="F88" s="25">
        <f t="shared" si="57"/>
        <v>2</v>
      </c>
      <c r="G88" s="20"/>
      <c r="H88" s="35">
        <v>1</v>
      </c>
      <c r="I88" s="21">
        <v>1</v>
      </c>
      <c r="J88" s="24"/>
      <c r="K88" s="25">
        <f t="shared" si="58"/>
        <v>2</v>
      </c>
      <c r="L88" s="11">
        <f t="shared" si="54"/>
        <v>4</v>
      </c>
      <c r="M88" s="71">
        <v>45093</v>
      </c>
      <c r="N88" s="40"/>
      <c r="O88" s="20"/>
      <c r="P88" s="35"/>
      <c r="Q88" s="21"/>
      <c r="R88" s="38"/>
      <c r="S88" s="9">
        <f t="shared" ref="S88:S98" si="62">SUM(O88:R88)</f>
        <v>0</v>
      </c>
      <c r="T88" s="20"/>
      <c r="U88" s="35"/>
      <c r="V88" s="21"/>
      <c r="W88" s="24"/>
      <c r="X88" s="25">
        <f t="shared" ref="X88:X98" si="63">SUM(T88:W88)</f>
        <v>0</v>
      </c>
      <c r="Y88" s="11">
        <f t="shared" si="53"/>
        <v>0</v>
      </c>
    </row>
    <row r="89" spans="1:25" x14ac:dyDescent="0.15">
      <c r="A89" s="59" t="s">
        <v>27</v>
      </c>
      <c r="B89" s="20"/>
      <c r="C89" s="35">
        <v>1</v>
      </c>
      <c r="D89" s="21"/>
      <c r="E89" s="24"/>
      <c r="F89" s="25">
        <f t="shared" si="57"/>
        <v>1</v>
      </c>
      <c r="G89" s="20"/>
      <c r="H89" s="35">
        <v>1</v>
      </c>
      <c r="I89" s="21"/>
      <c r="J89" s="24"/>
      <c r="K89" s="25">
        <f t="shared" si="58"/>
        <v>1</v>
      </c>
      <c r="L89" s="11">
        <f t="shared" si="54"/>
        <v>2</v>
      </c>
      <c r="M89" s="71">
        <v>45094</v>
      </c>
      <c r="N89" s="40"/>
      <c r="O89" s="20"/>
      <c r="P89" s="35"/>
      <c r="Q89" s="21"/>
      <c r="R89" s="38"/>
      <c r="S89" s="9">
        <f t="shared" si="62"/>
        <v>0</v>
      </c>
      <c r="T89" s="20"/>
      <c r="U89" s="35"/>
      <c r="V89" s="21"/>
      <c r="W89" s="24"/>
      <c r="X89" s="25">
        <f t="shared" si="63"/>
        <v>0</v>
      </c>
      <c r="Y89" s="11">
        <f t="shared" si="53"/>
        <v>0</v>
      </c>
    </row>
    <row r="90" spans="1:25" x14ac:dyDescent="0.15">
      <c r="A90" s="59" t="s">
        <v>27</v>
      </c>
      <c r="B90" s="20"/>
      <c r="C90" s="35"/>
      <c r="D90" s="21">
        <v>1</v>
      </c>
      <c r="E90" s="24">
        <v>1</v>
      </c>
      <c r="F90" s="25">
        <f t="shared" si="57"/>
        <v>2</v>
      </c>
      <c r="G90" s="20"/>
      <c r="H90" s="35"/>
      <c r="I90" s="21">
        <v>1</v>
      </c>
      <c r="J90" s="24">
        <v>1</v>
      </c>
      <c r="K90" s="25">
        <f t="shared" si="58"/>
        <v>2</v>
      </c>
      <c r="L90" s="11">
        <f t="shared" si="54"/>
        <v>4</v>
      </c>
      <c r="M90" s="71">
        <v>45096</v>
      </c>
      <c r="N90" s="40"/>
      <c r="O90" s="20"/>
      <c r="P90" s="35"/>
      <c r="Q90" s="21"/>
      <c r="R90" s="38"/>
      <c r="S90" s="9">
        <f t="shared" si="62"/>
        <v>0</v>
      </c>
      <c r="T90" s="20"/>
      <c r="U90" s="35"/>
      <c r="V90" s="21"/>
      <c r="W90" s="24"/>
      <c r="X90" s="25">
        <f t="shared" si="63"/>
        <v>0</v>
      </c>
      <c r="Y90" s="11">
        <f t="shared" si="53"/>
        <v>0</v>
      </c>
    </row>
    <row r="91" spans="1:25" x14ac:dyDescent="0.15">
      <c r="A91" s="40" t="s">
        <v>67</v>
      </c>
      <c r="B91" s="20">
        <v>1</v>
      </c>
      <c r="C91" s="35"/>
      <c r="D91" s="21">
        <v>2</v>
      </c>
      <c r="E91" s="24"/>
      <c r="F91" s="25">
        <f t="shared" si="57"/>
        <v>3</v>
      </c>
      <c r="G91" s="20">
        <v>1</v>
      </c>
      <c r="H91" s="35"/>
      <c r="I91" s="21">
        <v>2</v>
      </c>
      <c r="J91" s="24"/>
      <c r="K91" s="25">
        <f t="shared" si="58"/>
        <v>3</v>
      </c>
      <c r="L91" s="11">
        <f t="shared" si="54"/>
        <v>6</v>
      </c>
      <c r="M91" s="69">
        <v>45098</v>
      </c>
      <c r="N91" s="40"/>
      <c r="O91" s="20"/>
      <c r="P91" s="35"/>
      <c r="Q91" s="21"/>
      <c r="R91" s="38"/>
      <c r="S91" s="9">
        <f t="shared" si="62"/>
        <v>0</v>
      </c>
      <c r="T91" s="20"/>
      <c r="U91" s="35"/>
      <c r="V91" s="21"/>
      <c r="W91" s="24"/>
      <c r="X91" s="25">
        <f t="shared" si="63"/>
        <v>0</v>
      </c>
      <c r="Y91" s="11">
        <f t="shared" si="53"/>
        <v>0</v>
      </c>
    </row>
    <row r="92" spans="1:25" x14ac:dyDescent="0.15">
      <c r="A92" s="59" t="s">
        <v>27</v>
      </c>
      <c r="B92" s="20">
        <v>1</v>
      </c>
      <c r="C92" s="35"/>
      <c r="D92" s="21"/>
      <c r="E92" s="24"/>
      <c r="F92" s="25">
        <f t="shared" si="57"/>
        <v>1</v>
      </c>
      <c r="G92" s="20">
        <v>1</v>
      </c>
      <c r="H92" s="35"/>
      <c r="I92" s="21"/>
      <c r="J92" s="24"/>
      <c r="K92" s="25">
        <f t="shared" si="58"/>
        <v>1</v>
      </c>
      <c r="L92" s="11">
        <f t="shared" si="54"/>
        <v>2</v>
      </c>
      <c r="M92" s="71">
        <v>45097</v>
      </c>
      <c r="N92" s="40"/>
      <c r="O92" s="20"/>
      <c r="P92" s="35"/>
      <c r="Q92" s="21"/>
      <c r="R92" s="38"/>
      <c r="S92" s="9">
        <f t="shared" si="62"/>
        <v>0</v>
      </c>
      <c r="T92" s="20"/>
      <c r="U92" s="35"/>
      <c r="V92" s="21"/>
      <c r="W92" s="24"/>
      <c r="X92" s="25">
        <f t="shared" si="63"/>
        <v>0</v>
      </c>
      <c r="Y92" s="11">
        <f t="shared" si="53"/>
        <v>0</v>
      </c>
    </row>
    <row r="93" spans="1:25" x14ac:dyDescent="0.15">
      <c r="A93" s="59" t="s">
        <v>27</v>
      </c>
      <c r="B93" s="20"/>
      <c r="C93" s="35"/>
      <c r="D93" s="21">
        <v>1</v>
      </c>
      <c r="E93" s="24"/>
      <c r="F93" s="25">
        <f t="shared" si="57"/>
        <v>1</v>
      </c>
      <c r="G93" s="20"/>
      <c r="H93" s="35">
        <v>1</v>
      </c>
      <c r="I93" s="21"/>
      <c r="J93" s="24"/>
      <c r="K93" s="25">
        <f t="shared" si="58"/>
        <v>1</v>
      </c>
      <c r="L93" s="11">
        <f t="shared" si="54"/>
        <v>2</v>
      </c>
      <c r="M93" s="71">
        <v>45098</v>
      </c>
      <c r="N93" s="40"/>
      <c r="O93" s="20"/>
      <c r="P93" s="35"/>
      <c r="Q93" s="21"/>
      <c r="R93" s="38"/>
      <c r="S93" s="9">
        <f t="shared" si="62"/>
        <v>0</v>
      </c>
      <c r="T93" s="20"/>
      <c r="U93" s="35"/>
      <c r="V93" s="21"/>
      <c r="W93" s="24"/>
      <c r="X93" s="25">
        <f t="shared" si="63"/>
        <v>0</v>
      </c>
      <c r="Y93" s="11">
        <f t="shared" si="53"/>
        <v>0</v>
      </c>
    </row>
    <row r="94" spans="1:25" x14ac:dyDescent="0.15">
      <c r="A94" s="40" t="s">
        <v>69</v>
      </c>
      <c r="B94" s="20"/>
      <c r="C94" s="35">
        <v>1</v>
      </c>
      <c r="D94" s="21"/>
      <c r="E94" s="24"/>
      <c r="F94" s="25">
        <f t="shared" si="57"/>
        <v>1</v>
      </c>
      <c r="G94" s="20"/>
      <c r="H94" s="35">
        <v>1</v>
      </c>
      <c r="I94" s="21"/>
      <c r="J94" s="24"/>
      <c r="K94" s="25">
        <f t="shared" si="58"/>
        <v>1</v>
      </c>
      <c r="L94" s="11">
        <f t="shared" si="54"/>
        <v>2</v>
      </c>
      <c r="M94" s="69">
        <v>45100</v>
      </c>
      <c r="N94" s="40"/>
      <c r="O94" s="20"/>
      <c r="P94" s="35"/>
      <c r="Q94" s="21"/>
      <c r="R94" s="38"/>
      <c r="S94" s="9">
        <f t="shared" si="62"/>
        <v>0</v>
      </c>
      <c r="T94" s="20"/>
      <c r="U94" s="35"/>
      <c r="V94" s="21"/>
      <c r="W94" s="24"/>
      <c r="X94" s="25">
        <f t="shared" si="63"/>
        <v>0</v>
      </c>
      <c r="Y94" s="11">
        <f t="shared" si="53"/>
        <v>0</v>
      </c>
    </row>
    <row r="95" spans="1:25" x14ac:dyDescent="0.15">
      <c r="A95" s="59" t="s">
        <v>27</v>
      </c>
      <c r="B95" s="20"/>
      <c r="C95" s="35"/>
      <c r="D95" s="21"/>
      <c r="E95" s="24">
        <v>1</v>
      </c>
      <c r="F95" s="25">
        <f t="shared" si="57"/>
        <v>1</v>
      </c>
      <c r="G95" s="20"/>
      <c r="H95" s="35"/>
      <c r="I95" s="21"/>
      <c r="J95" s="24">
        <v>1</v>
      </c>
      <c r="K95" s="25">
        <f t="shared" si="58"/>
        <v>1</v>
      </c>
      <c r="L95" s="11">
        <f t="shared" si="54"/>
        <v>2</v>
      </c>
      <c r="M95" s="69">
        <v>45099</v>
      </c>
      <c r="N95" s="40"/>
      <c r="O95" s="20"/>
      <c r="P95" s="35"/>
      <c r="Q95" s="21"/>
      <c r="R95" s="38"/>
      <c r="S95" s="9">
        <f t="shared" si="62"/>
        <v>0</v>
      </c>
      <c r="T95" s="20"/>
      <c r="U95" s="35"/>
      <c r="V95" s="21"/>
      <c r="W95" s="24"/>
      <c r="X95" s="25">
        <f t="shared" si="63"/>
        <v>0</v>
      </c>
      <c r="Y95" s="11">
        <f t="shared" si="53"/>
        <v>0</v>
      </c>
    </row>
    <row r="96" spans="1:25" x14ac:dyDescent="0.15">
      <c r="A96" s="40" t="s">
        <v>70</v>
      </c>
      <c r="B96" s="20"/>
      <c r="C96" s="35">
        <v>1</v>
      </c>
      <c r="D96" s="21">
        <v>2</v>
      </c>
      <c r="E96" s="24"/>
      <c r="F96" s="25">
        <f t="shared" si="57"/>
        <v>3</v>
      </c>
      <c r="G96" s="20"/>
      <c r="H96" s="35">
        <v>1</v>
      </c>
      <c r="I96" s="21">
        <v>2</v>
      </c>
      <c r="J96" s="24"/>
      <c r="K96" s="25">
        <f t="shared" si="58"/>
        <v>3</v>
      </c>
      <c r="L96" s="11">
        <f t="shared" si="54"/>
        <v>6</v>
      </c>
      <c r="M96" s="69">
        <v>45103</v>
      </c>
      <c r="N96" s="40"/>
      <c r="O96" s="20"/>
      <c r="P96" s="35"/>
      <c r="Q96" s="21"/>
      <c r="R96" s="38"/>
      <c r="S96" s="9">
        <f t="shared" si="62"/>
        <v>0</v>
      </c>
      <c r="T96" s="20"/>
      <c r="U96" s="35"/>
      <c r="V96" s="21"/>
      <c r="W96" s="24"/>
      <c r="X96" s="25">
        <f t="shared" si="63"/>
        <v>0</v>
      </c>
      <c r="Y96" s="11">
        <f t="shared" si="53"/>
        <v>0</v>
      </c>
    </row>
    <row r="97" spans="1:25" x14ac:dyDescent="0.15">
      <c r="A97" s="59" t="s">
        <v>27</v>
      </c>
      <c r="B97" s="20">
        <v>3</v>
      </c>
      <c r="C97" s="35"/>
      <c r="D97" s="21">
        <v>1</v>
      </c>
      <c r="E97" s="24"/>
      <c r="F97" s="25">
        <f t="shared" si="57"/>
        <v>4</v>
      </c>
      <c r="G97" s="20">
        <v>2</v>
      </c>
      <c r="H97" s="35">
        <v>2</v>
      </c>
      <c r="I97" s="21">
        <v>1</v>
      </c>
      <c r="J97" s="24"/>
      <c r="K97" s="25">
        <f t="shared" si="58"/>
        <v>5</v>
      </c>
      <c r="L97" s="11">
        <f t="shared" si="54"/>
        <v>9</v>
      </c>
      <c r="M97" s="71">
        <v>45100</v>
      </c>
      <c r="N97" s="40"/>
      <c r="O97" s="20"/>
      <c r="P97" s="35"/>
      <c r="Q97" s="21"/>
      <c r="R97" s="38"/>
      <c r="S97" s="9">
        <f t="shared" si="62"/>
        <v>0</v>
      </c>
      <c r="T97" s="20"/>
      <c r="U97" s="35"/>
      <c r="V97" s="21"/>
      <c r="W97" s="24"/>
      <c r="X97" s="25">
        <f t="shared" si="63"/>
        <v>0</v>
      </c>
      <c r="Y97" s="11">
        <f t="shared" si="53"/>
        <v>0</v>
      </c>
    </row>
    <row r="98" spans="1:25" x14ac:dyDescent="0.15">
      <c r="A98" s="40" t="s">
        <v>73</v>
      </c>
      <c r="B98" s="20">
        <v>1</v>
      </c>
      <c r="C98" s="35"/>
      <c r="D98" s="21"/>
      <c r="E98" s="24"/>
      <c r="F98" s="25">
        <f t="shared" si="57"/>
        <v>1</v>
      </c>
      <c r="G98" s="20">
        <v>1</v>
      </c>
      <c r="H98" s="35"/>
      <c r="I98" s="21"/>
      <c r="J98" s="24"/>
      <c r="K98" s="25">
        <f t="shared" si="58"/>
        <v>1</v>
      </c>
      <c r="L98" s="11">
        <f t="shared" si="54"/>
        <v>2</v>
      </c>
      <c r="M98" s="69">
        <v>45104</v>
      </c>
      <c r="N98" s="40"/>
      <c r="O98" s="20"/>
      <c r="P98" s="35"/>
      <c r="Q98" s="21"/>
      <c r="R98" s="38"/>
      <c r="S98" s="9">
        <f t="shared" si="62"/>
        <v>0</v>
      </c>
      <c r="T98" s="20"/>
      <c r="U98" s="35"/>
      <c r="V98" s="21"/>
      <c r="W98" s="24"/>
      <c r="X98" s="25">
        <f t="shared" si="63"/>
        <v>0</v>
      </c>
      <c r="Y98" s="11">
        <f t="shared" si="53"/>
        <v>0</v>
      </c>
    </row>
    <row r="99" spans="1:25" x14ac:dyDescent="0.15">
      <c r="A99" s="59" t="s">
        <v>27</v>
      </c>
      <c r="B99" s="20">
        <f>1+5</f>
        <v>6</v>
      </c>
      <c r="C99" s="35">
        <f>1+2+1+1</f>
        <v>5</v>
      </c>
      <c r="D99" s="21">
        <v>4</v>
      </c>
      <c r="E99" s="24"/>
      <c r="F99" s="25">
        <f t="shared" si="57"/>
        <v>15</v>
      </c>
      <c r="G99" s="20">
        <f>1+8+1</f>
        <v>10</v>
      </c>
      <c r="H99" s="35">
        <f>1+5+1+1</f>
        <v>8</v>
      </c>
      <c r="I99" s="21">
        <v>3</v>
      </c>
      <c r="J99" s="24">
        <f>1+5</f>
        <v>6</v>
      </c>
      <c r="K99" s="25">
        <f t="shared" si="58"/>
        <v>27</v>
      </c>
      <c r="L99" s="11">
        <f t="shared" si="54"/>
        <v>42</v>
      </c>
      <c r="M99" s="71">
        <v>45103</v>
      </c>
      <c r="N99" s="12"/>
      <c r="O99" s="20"/>
      <c r="P99" s="35"/>
      <c r="Q99" s="21"/>
      <c r="R99" s="38"/>
      <c r="S99" s="9">
        <f>SUM(O99:R99)</f>
        <v>0</v>
      </c>
      <c r="T99" s="20"/>
      <c r="U99" s="35"/>
      <c r="V99" s="21"/>
      <c r="W99" s="24"/>
      <c r="X99" s="25">
        <f>SUM(T99:W99)</f>
        <v>0</v>
      </c>
      <c r="Y99" s="11">
        <f t="shared" si="53"/>
        <v>0</v>
      </c>
    </row>
    <row r="100" spans="1:25" x14ac:dyDescent="0.15">
      <c r="A100" s="40" t="s">
        <v>79</v>
      </c>
      <c r="B100" s="20">
        <v>1</v>
      </c>
      <c r="C100" s="35">
        <v>4</v>
      </c>
      <c r="D100" s="21">
        <v>1</v>
      </c>
      <c r="E100" s="24"/>
      <c r="F100" s="25">
        <f t="shared" si="57"/>
        <v>6</v>
      </c>
      <c r="G100" s="20">
        <v>1</v>
      </c>
      <c r="H100" s="35">
        <v>4</v>
      </c>
      <c r="I100" s="21">
        <v>1</v>
      </c>
      <c r="J100" s="24"/>
      <c r="K100" s="25">
        <f t="shared" si="58"/>
        <v>6</v>
      </c>
      <c r="L100" s="11">
        <f t="shared" si="54"/>
        <v>12</v>
      </c>
      <c r="M100" s="69">
        <v>45105</v>
      </c>
      <c r="N100" s="40"/>
      <c r="O100" s="20"/>
      <c r="P100" s="35"/>
      <c r="Q100" s="21"/>
      <c r="R100" s="38"/>
      <c r="S100" s="9">
        <f t="shared" ref="S100:S111" si="64">SUM(O100:R100)</f>
        <v>0</v>
      </c>
      <c r="T100" s="20"/>
      <c r="U100" s="35"/>
      <c r="V100" s="21"/>
      <c r="W100" s="24"/>
      <c r="X100" s="25">
        <f t="shared" ref="X100:X111" si="65">SUM(T100:W100)</f>
        <v>0</v>
      </c>
      <c r="Y100" s="11">
        <f t="shared" si="53"/>
        <v>0</v>
      </c>
    </row>
    <row r="101" spans="1:25" x14ac:dyDescent="0.15">
      <c r="A101" s="59" t="s">
        <v>27</v>
      </c>
      <c r="B101" s="20">
        <v>3</v>
      </c>
      <c r="C101" s="35">
        <v>2</v>
      </c>
      <c r="D101" s="21"/>
      <c r="E101" s="24"/>
      <c r="F101" s="25">
        <f t="shared" si="57"/>
        <v>5</v>
      </c>
      <c r="G101" s="20">
        <v>2</v>
      </c>
      <c r="H101" s="35">
        <v>2</v>
      </c>
      <c r="I101" s="21"/>
      <c r="J101" s="24"/>
      <c r="K101" s="25">
        <f t="shared" si="58"/>
        <v>4</v>
      </c>
      <c r="L101" s="11">
        <f t="shared" si="54"/>
        <v>9</v>
      </c>
      <c r="M101" s="71">
        <v>45104</v>
      </c>
      <c r="N101" s="15"/>
      <c r="O101" s="20"/>
      <c r="P101" s="35"/>
      <c r="Q101" s="21"/>
      <c r="R101" s="38"/>
      <c r="S101" s="9">
        <f t="shared" si="64"/>
        <v>0</v>
      </c>
      <c r="T101" s="20"/>
      <c r="U101" s="35"/>
      <c r="V101" s="21"/>
      <c r="W101" s="24"/>
      <c r="X101" s="25">
        <f t="shared" si="65"/>
        <v>0</v>
      </c>
      <c r="Y101" s="11">
        <f t="shared" si="53"/>
        <v>0</v>
      </c>
    </row>
    <row r="102" spans="1:25" x14ac:dyDescent="0.15">
      <c r="A102" s="59" t="s">
        <v>27</v>
      </c>
      <c r="B102" s="20">
        <v>1</v>
      </c>
      <c r="C102" s="35"/>
      <c r="D102" s="21"/>
      <c r="E102" s="24"/>
      <c r="F102" s="25">
        <f t="shared" si="57"/>
        <v>1</v>
      </c>
      <c r="G102" s="20">
        <v>1</v>
      </c>
      <c r="H102" s="35"/>
      <c r="I102" s="21"/>
      <c r="J102" s="24"/>
      <c r="K102" s="25">
        <f t="shared" si="58"/>
        <v>1</v>
      </c>
      <c r="L102" s="11">
        <f t="shared" si="54"/>
        <v>2</v>
      </c>
      <c r="M102" s="71">
        <v>45105</v>
      </c>
      <c r="N102" s="40"/>
      <c r="O102" s="20"/>
      <c r="P102" s="35"/>
      <c r="Q102" s="21"/>
      <c r="R102" s="38"/>
      <c r="S102" s="9">
        <f t="shared" si="64"/>
        <v>0</v>
      </c>
      <c r="T102" s="20"/>
      <c r="U102" s="35"/>
      <c r="V102" s="21"/>
      <c r="W102" s="24"/>
      <c r="X102" s="25">
        <f t="shared" si="65"/>
        <v>0</v>
      </c>
      <c r="Y102" s="11">
        <f t="shared" si="53"/>
        <v>0</v>
      </c>
    </row>
    <row r="103" spans="1:25" x14ac:dyDescent="0.15">
      <c r="A103" s="59" t="s">
        <v>27</v>
      </c>
      <c r="B103" s="20"/>
      <c r="C103" s="35">
        <v>1</v>
      </c>
      <c r="D103" s="21"/>
      <c r="E103" s="24"/>
      <c r="F103" s="25">
        <f t="shared" si="57"/>
        <v>1</v>
      </c>
      <c r="G103" s="20"/>
      <c r="H103" s="35"/>
      <c r="I103" s="21"/>
      <c r="J103" s="24"/>
      <c r="K103" s="25">
        <f t="shared" si="58"/>
        <v>0</v>
      </c>
      <c r="L103" s="11">
        <f t="shared" si="54"/>
        <v>1</v>
      </c>
      <c r="M103" s="71">
        <v>45106</v>
      </c>
      <c r="N103" s="40"/>
      <c r="O103" s="48"/>
      <c r="P103" s="49"/>
      <c r="Q103" s="50"/>
      <c r="R103" s="72"/>
      <c r="S103" s="74">
        <f t="shared" si="64"/>
        <v>0</v>
      </c>
      <c r="T103" s="48"/>
      <c r="U103" s="49"/>
      <c r="V103" s="50"/>
      <c r="W103" s="51"/>
      <c r="X103" s="52">
        <f t="shared" si="65"/>
        <v>0</v>
      </c>
      <c r="Y103" s="11">
        <f t="shared" si="53"/>
        <v>0</v>
      </c>
    </row>
    <row r="104" spans="1:25" x14ac:dyDescent="0.15">
      <c r="A104" s="59" t="s">
        <v>27</v>
      </c>
      <c r="B104" s="20">
        <v>1</v>
      </c>
      <c r="C104" s="35"/>
      <c r="D104" s="21"/>
      <c r="E104" s="24"/>
      <c r="F104" s="25">
        <f t="shared" si="57"/>
        <v>1</v>
      </c>
      <c r="G104" s="20">
        <v>1</v>
      </c>
      <c r="H104" s="35"/>
      <c r="I104" s="21"/>
      <c r="J104" s="24"/>
      <c r="K104" s="25">
        <f t="shared" si="58"/>
        <v>1</v>
      </c>
      <c r="L104" s="11">
        <f t="shared" si="54"/>
        <v>2</v>
      </c>
      <c r="M104" s="71">
        <v>45107</v>
      </c>
      <c r="N104" s="12"/>
      <c r="O104" s="20"/>
      <c r="P104" s="35"/>
      <c r="Q104" s="21"/>
      <c r="R104" s="38"/>
      <c r="S104" s="9">
        <f t="shared" si="64"/>
        <v>0</v>
      </c>
      <c r="T104" s="20"/>
      <c r="U104" s="35"/>
      <c r="V104" s="21"/>
      <c r="W104" s="24"/>
      <c r="X104" s="25">
        <f t="shared" si="65"/>
        <v>0</v>
      </c>
      <c r="Y104" s="47">
        <f t="shared" si="53"/>
        <v>0</v>
      </c>
    </row>
    <row r="105" spans="1:25" x14ac:dyDescent="0.15">
      <c r="A105" s="59" t="s">
        <v>87</v>
      </c>
      <c r="B105" s="20">
        <v>1</v>
      </c>
      <c r="C105" s="35"/>
      <c r="D105" s="21"/>
      <c r="E105" s="24"/>
      <c r="F105" s="25">
        <f t="shared" si="57"/>
        <v>1</v>
      </c>
      <c r="G105" s="20">
        <v>1</v>
      </c>
      <c r="H105" s="35"/>
      <c r="I105" s="21"/>
      <c r="J105" s="24"/>
      <c r="K105" s="25">
        <f t="shared" si="58"/>
        <v>1</v>
      </c>
      <c r="L105" s="11">
        <f t="shared" si="54"/>
        <v>2</v>
      </c>
      <c r="M105" s="71">
        <v>45110</v>
      </c>
      <c r="N105" s="12"/>
      <c r="O105" s="20"/>
      <c r="P105" s="21"/>
      <c r="Q105" s="35"/>
      <c r="R105" s="73"/>
      <c r="S105" s="9">
        <f t="shared" si="64"/>
        <v>0</v>
      </c>
      <c r="T105" s="20"/>
      <c r="U105" s="35"/>
      <c r="V105" s="35"/>
      <c r="W105" s="24"/>
      <c r="X105" s="25">
        <f t="shared" si="65"/>
        <v>0</v>
      </c>
      <c r="Y105" s="11">
        <f t="shared" si="53"/>
        <v>0</v>
      </c>
    </row>
    <row r="106" spans="1:25" x14ac:dyDescent="0.15">
      <c r="A106" s="59" t="s">
        <v>27</v>
      </c>
      <c r="B106" s="20"/>
      <c r="C106" s="35">
        <v>2</v>
      </c>
      <c r="D106" s="21"/>
      <c r="E106" s="24"/>
      <c r="F106" s="25">
        <f t="shared" si="57"/>
        <v>2</v>
      </c>
      <c r="G106" s="20"/>
      <c r="H106" s="35">
        <v>2</v>
      </c>
      <c r="I106" s="21"/>
      <c r="J106" s="24"/>
      <c r="K106" s="25">
        <f t="shared" si="58"/>
        <v>2</v>
      </c>
      <c r="L106" s="11">
        <f t="shared" si="54"/>
        <v>4</v>
      </c>
      <c r="M106" s="71">
        <v>45108</v>
      </c>
      <c r="N106" s="12"/>
      <c r="O106" s="20"/>
      <c r="P106" s="35"/>
      <c r="Q106" s="21"/>
      <c r="R106" s="38"/>
      <c r="S106" s="9">
        <f t="shared" si="64"/>
        <v>0</v>
      </c>
      <c r="T106" s="20"/>
      <c r="U106" s="35"/>
      <c r="V106" s="21"/>
      <c r="W106" s="24"/>
      <c r="X106" s="25">
        <f t="shared" si="65"/>
        <v>0</v>
      </c>
      <c r="Y106" s="11">
        <f t="shared" si="53"/>
        <v>0</v>
      </c>
    </row>
    <row r="107" spans="1:25" x14ac:dyDescent="0.15">
      <c r="A107" s="40" t="s">
        <v>88</v>
      </c>
      <c r="B107" s="20"/>
      <c r="C107" s="35"/>
      <c r="D107" s="21"/>
      <c r="E107" s="24">
        <v>1</v>
      </c>
      <c r="F107" s="25">
        <f t="shared" si="57"/>
        <v>1</v>
      </c>
      <c r="G107" s="20"/>
      <c r="H107" s="35"/>
      <c r="I107" s="21"/>
      <c r="J107" s="24">
        <v>1</v>
      </c>
      <c r="K107" s="25">
        <f t="shared" si="58"/>
        <v>1</v>
      </c>
      <c r="L107" s="11">
        <f t="shared" si="54"/>
        <v>2</v>
      </c>
      <c r="M107" s="69">
        <v>45111</v>
      </c>
      <c r="N107" s="12"/>
      <c r="O107" s="48"/>
      <c r="P107" s="49"/>
      <c r="Q107" s="50"/>
      <c r="R107" s="72"/>
      <c r="S107" s="74">
        <f t="shared" si="64"/>
        <v>0</v>
      </c>
      <c r="T107" s="48"/>
      <c r="U107" s="49"/>
      <c r="V107" s="50"/>
      <c r="W107" s="51"/>
      <c r="X107" s="52">
        <f t="shared" si="65"/>
        <v>0</v>
      </c>
      <c r="Y107" s="11">
        <f t="shared" si="53"/>
        <v>0</v>
      </c>
    </row>
    <row r="108" spans="1:25" x14ac:dyDescent="0.15">
      <c r="A108" s="59" t="s">
        <v>27</v>
      </c>
      <c r="B108" s="20">
        <v>1</v>
      </c>
      <c r="C108" s="35"/>
      <c r="D108" s="21">
        <v>1</v>
      </c>
      <c r="E108" s="24"/>
      <c r="F108" s="25">
        <f t="shared" si="57"/>
        <v>2</v>
      </c>
      <c r="G108" s="20">
        <v>1</v>
      </c>
      <c r="H108" s="35"/>
      <c r="I108" s="21">
        <v>2</v>
      </c>
      <c r="J108" s="24"/>
      <c r="K108" s="25">
        <f t="shared" si="58"/>
        <v>3</v>
      </c>
      <c r="L108" s="11">
        <f t="shared" si="54"/>
        <v>5</v>
      </c>
      <c r="M108" s="71">
        <v>45110</v>
      </c>
      <c r="N108" s="12"/>
      <c r="O108" s="20"/>
      <c r="P108" s="35"/>
      <c r="Q108" s="21"/>
      <c r="R108" s="38"/>
      <c r="S108" s="9">
        <f t="shared" si="64"/>
        <v>0</v>
      </c>
      <c r="T108" s="20"/>
      <c r="U108" s="35"/>
      <c r="V108" s="21"/>
      <c r="W108" s="24"/>
      <c r="X108" s="25">
        <f t="shared" si="65"/>
        <v>0</v>
      </c>
      <c r="Y108" s="47">
        <f t="shared" si="53"/>
        <v>0</v>
      </c>
    </row>
    <row r="109" spans="1:25" x14ac:dyDescent="0.15">
      <c r="A109" s="40" t="s">
        <v>91</v>
      </c>
      <c r="B109" s="20"/>
      <c r="C109" s="35">
        <v>1</v>
      </c>
      <c r="D109" s="21"/>
      <c r="E109" s="24"/>
      <c r="F109" s="25">
        <f t="shared" si="57"/>
        <v>1</v>
      </c>
      <c r="G109" s="20"/>
      <c r="H109" s="35">
        <v>1</v>
      </c>
      <c r="I109" s="21"/>
      <c r="J109" s="24"/>
      <c r="K109" s="25">
        <f t="shared" si="58"/>
        <v>1</v>
      </c>
      <c r="L109" s="11">
        <f t="shared" si="54"/>
        <v>2</v>
      </c>
      <c r="M109" s="69">
        <v>45112</v>
      </c>
      <c r="N109" s="12"/>
      <c r="O109" s="20"/>
      <c r="P109" s="35"/>
      <c r="Q109" s="21"/>
      <c r="R109" s="38"/>
      <c r="S109" s="9">
        <f t="shared" ref="S109" si="66">SUM(O109:R109)</f>
        <v>0</v>
      </c>
      <c r="T109" s="20"/>
      <c r="U109" s="35"/>
      <c r="V109" s="21"/>
      <c r="W109" s="24"/>
      <c r="X109" s="25">
        <f t="shared" ref="X109" si="67">SUM(T109:W109)</f>
        <v>0</v>
      </c>
      <c r="Y109" s="47">
        <f t="shared" ref="Y109" si="68">S109+X109</f>
        <v>0</v>
      </c>
    </row>
    <row r="110" spans="1:25" ht="14.25" thickBot="1" x14ac:dyDescent="0.2">
      <c r="A110" s="104" t="s">
        <v>92</v>
      </c>
      <c r="B110" s="43"/>
      <c r="C110" s="44"/>
      <c r="D110" s="45"/>
      <c r="E110" s="46">
        <v>2</v>
      </c>
      <c r="F110" s="25">
        <f t="shared" si="57"/>
        <v>2</v>
      </c>
      <c r="G110" s="43"/>
      <c r="H110" s="44"/>
      <c r="I110" s="45"/>
      <c r="J110" s="46">
        <v>2</v>
      </c>
      <c r="K110" s="25">
        <f t="shared" si="58"/>
        <v>2</v>
      </c>
      <c r="L110" s="14">
        <f t="shared" si="54"/>
        <v>4</v>
      </c>
      <c r="M110" s="69">
        <v>45112</v>
      </c>
      <c r="N110" s="99"/>
      <c r="O110" s="43"/>
      <c r="P110" s="44"/>
      <c r="Q110" s="45"/>
      <c r="R110" s="100"/>
      <c r="S110" s="10">
        <f t="shared" ref="S110" si="69">SUM(O110:R110)</f>
        <v>0</v>
      </c>
      <c r="T110" s="43"/>
      <c r="U110" s="44"/>
      <c r="V110" s="45"/>
      <c r="W110" s="46"/>
      <c r="X110" s="106">
        <f t="shared" ref="X110" si="70">SUM(T110:W110)</f>
        <v>0</v>
      </c>
      <c r="Y110" s="75">
        <f t="shared" ref="Y110" si="71">S110+X110</f>
        <v>0</v>
      </c>
    </row>
    <row r="111" spans="1:25" ht="14.25" thickBot="1" x14ac:dyDescent="0.2">
      <c r="A111" s="16" t="s">
        <v>9</v>
      </c>
      <c r="B111" s="28">
        <f>SUM(B86:B110)</f>
        <v>21</v>
      </c>
      <c r="C111" s="36">
        <f>SUM(C86:C110)</f>
        <v>20</v>
      </c>
      <c r="D111" s="29">
        <f>SUM(D86:D110)</f>
        <v>13</v>
      </c>
      <c r="E111" s="30">
        <f>SUM(E86:E110)</f>
        <v>5</v>
      </c>
      <c r="F111" s="26">
        <f>SUM(B111:E111)</f>
        <v>59</v>
      </c>
      <c r="G111" s="28">
        <f>SUM(G86:G110)</f>
        <v>23</v>
      </c>
      <c r="H111" s="36">
        <f>SUM(H86:H110)</f>
        <v>25</v>
      </c>
      <c r="I111" s="29">
        <f>SUM(I86:I110)</f>
        <v>12</v>
      </c>
      <c r="J111" s="30">
        <f>SUM(J86:J110)</f>
        <v>11</v>
      </c>
      <c r="K111" s="26">
        <f>SUM(G111:J111)</f>
        <v>71</v>
      </c>
      <c r="L111" s="27">
        <f t="shared" si="54"/>
        <v>130</v>
      </c>
      <c r="N111" s="61" t="s">
        <v>9</v>
      </c>
      <c r="O111" s="28">
        <f>SUM(O86:O110)</f>
        <v>0</v>
      </c>
      <c r="P111" s="36">
        <f>SUM(P86:P110)</f>
        <v>0</v>
      </c>
      <c r="Q111" s="29">
        <f>SUM(Q86:Q110)</f>
        <v>0</v>
      </c>
      <c r="R111" s="30">
        <f>SUM(R86:R110)</f>
        <v>0</v>
      </c>
      <c r="S111" s="60">
        <f t="shared" si="64"/>
        <v>0</v>
      </c>
      <c r="T111" s="28">
        <f>SUM(T86:T110)</f>
        <v>0</v>
      </c>
      <c r="U111" s="36">
        <f>SUM(U86:U110)</f>
        <v>0</v>
      </c>
      <c r="V111" s="29">
        <f>SUM(V86:V110)</f>
        <v>0</v>
      </c>
      <c r="W111" s="30">
        <f>SUM(W86:W110)</f>
        <v>0</v>
      </c>
      <c r="X111" s="60">
        <f t="shared" si="65"/>
        <v>0</v>
      </c>
      <c r="Y111" s="63">
        <f t="shared" si="53"/>
        <v>0</v>
      </c>
    </row>
    <row r="112" spans="1:25" ht="14.25" thickBot="1" x14ac:dyDescent="0.2">
      <c r="A112" s="18" t="s">
        <v>10</v>
      </c>
      <c r="B112" s="31">
        <f t="shared" ref="B112:K112" si="72">B85-B111</f>
        <v>33</v>
      </c>
      <c r="C112" s="37">
        <f t="shared" si="72"/>
        <v>28</v>
      </c>
      <c r="D112" s="32">
        <f t="shared" si="72"/>
        <v>35</v>
      </c>
      <c r="E112" s="33">
        <f t="shared" si="72"/>
        <v>31</v>
      </c>
      <c r="F112" s="42">
        <f t="shared" si="72"/>
        <v>127</v>
      </c>
      <c r="G112" s="31">
        <f t="shared" si="72"/>
        <v>33</v>
      </c>
      <c r="H112" s="37">
        <f t="shared" si="72"/>
        <v>27</v>
      </c>
      <c r="I112" s="32">
        <f t="shared" si="72"/>
        <v>35</v>
      </c>
      <c r="J112" s="33">
        <f t="shared" si="72"/>
        <v>31</v>
      </c>
      <c r="K112" s="42">
        <f t="shared" si="72"/>
        <v>126</v>
      </c>
      <c r="L112" s="17">
        <f t="shared" si="54"/>
        <v>253</v>
      </c>
      <c r="N112" s="16" t="s">
        <v>10</v>
      </c>
      <c r="O112" s="31">
        <f t="shared" ref="O112:X112" si="73">O85-O111</f>
        <v>292</v>
      </c>
      <c r="P112" s="37">
        <f t="shared" si="73"/>
        <v>411</v>
      </c>
      <c r="Q112" s="32">
        <f t="shared" si="73"/>
        <v>229</v>
      </c>
      <c r="R112" s="33">
        <f t="shared" si="73"/>
        <v>145</v>
      </c>
      <c r="S112" s="42">
        <f t="shared" si="73"/>
        <v>1077</v>
      </c>
      <c r="T112" s="31">
        <f t="shared" si="73"/>
        <v>282</v>
      </c>
      <c r="U112" s="37">
        <f t="shared" si="73"/>
        <v>406</v>
      </c>
      <c r="V112" s="32">
        <f t="shared" si="73"/>
        <v>224</v>
      </c>
      <c r="W112" s="33">
        <f t="shared" si="73"/>
        <v>145</v>
      </c>
      <c r="X112" s="42">
        <f t="shared" si="73"/>
        <v>1057</v>
      </c>
      <c r="Y112" s="17">
        <f t="shared" si="53"/>
        <v>2134</v>
      </c>
    </row>
    <row r="115" spans="1:27" ht="19.5" thickBot="1" x14ac:dyDescent="0.25">
      <c r="A115" s="2" t="s">
        <v>17</v>
      </c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N115" s="2" t="s">
        <v>18</v>
      </c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1"/>
    </row>
    <row r="116" spans="1:27" ht="14.25" thickBot="1" x14ac:dyDescent="0.2">
      <c r="A116" s="5" t="s">
        <v>0</v>
      </c>
      <c r="B116" s="244" t="s">
        <v>19</v>
      </c>
      <c r="C116" s="245"/>
      <c r="D116" s="245"/>
      <c r="E116" s="245"/>
      <c r="F116" s="246"/>
      <c r="G116" s="247" t="s">
        <v>20</v>
      </c>
      <c r="H116" s="248"/>
      <c r="I116" s="248"/>
      <c r="J116" s="248"/>
      <c r="K116" s="249"/>
      <c r="L116" s="250" t="s">
        <v>1</v>
      </c>
      <c r="N116" s="5" t="s">
        <v>0</v>
      </c>
      <c r="O116" s="244" t="s">
        <v>19</v>
      </c>
      <c r="P116" s="245"/>
      <c r="Q116" s="245"/>
      <c r="R116" s="245"/>
      <c r="S116" s="246"/>
      <c r="T116" s="247" t="s">
        <v>20</v>
      </c>
      <c r="U116" s="248"/>
      <c r="V116" s="248"/>
      <c r="W116" s="248"/>
      <c r="X116" s="249"/>
      <c r="Y116" s="250" t="s">
        <v>1</v>
      </c>
    </row>
    <row r="117" spans="1:27" ht="14.25" thickBot="1" x14ac:dyDescent="0.2">
      <c r="A117" s="5" t="s">
        <v>2</v>
      </c>
      <c r="B117" s="3" t="s">
        <v>11</v>
      </c>
      <c r="C117" s="34" t="s">
        <v>12</v>
      </c>
      <c r="D117" s="4" t="s">
        <v>13</v>
      </c>
      <c r="E117" s="19" t="s">
        <v>14</v>
      </c>
      <c r="F117" s="23" t="s">
        <v>3</v>
      </c>
      <c r="G117" s="3" t="s">
        <v>11</v>
      </c>
      <c r="H117" s="34" t="s">
        <v>12</v>
      </c>
      <c r="I117" s="4" t="s">
        <v>13</v>
      </c>
      <c r="J117" s="19" t="s">
        <v>14</v>
      </c>
      <c r="K117" s="23" t="s">
        <v>3</v>
      </c>
      <c r="L117" s="251"/>
      <c r="N117" s="5" t="s">
        <v>2</v>
      </c>
      <c r="O117" s="53" t="s">
        <v>11</v>
      </c>
      <c r="P117" s="54" t="s">
        <v>12</v>
      </c>
      <c r="Q117" s="55" t="s">
        <v>13</v>
      </c>
      <c r="R117" s="56" t="s">
        <v>14</v>
      </c>
      <c r="S117" s="23" t="s">
        <v>3</v>
      </c>
      <c r="T117" s="3" t="s">
        <v>11</v>
      </c>
      <c r="U117" s="34" t="s">
        <v>12</v>
      </c>
      <c r="V117" s="4" t="s">
        <v>13</v>
      </c>
      <c r="W117" s="19" t="s">
        <v>14</v>
      </c>
      <c r="X117" s="23" t="s">
        <v>3</v>
      </c>
      <c r="Y117" s="251"/>
    </row>
    <row r="118" spans="1:27" ht="14.25" thickBot="1" x14ac:dyDescent="0.2">
      <c r="A118" s="18" t="s">
        <v>15</v>
      </c>
      <c r="B118" s="31">
        <f>B112</f>
        <v>33</v>
      </c>
      <c r="C118" s="32">
        <f>C112</f>
        <v>28</v>
      </c>
      <c r="D118" s="32">
        <f>D112</f>
        <v>35</v>
      </c>
      <c r="E118" s="33">
        <f>E112</f>
        <v>31</v>
      </c>
      <c r="F118" s="86">
        <f>SUM(B118:E118)</f>
        <v>127</v>
      </c>
      <c r="G118" s="31">
        <f>G112</f>
        <v>33</v>
      </c>
      <c r="H118" s="32">
        <f>H112</f>
        <v>27</v>
      </c>
      <c r="I118" s="32">
        <f>I112</f>
        <v>35</v>
      </c>
      <c r="J118" s="33">
        <f>J112</f>
        <v>31</v>
      </c>
      <c r="K118" s="80">
        <f>SUM(G118:J118)</f>
        <v>126</v>
      </c>
      <c r="L118" s="17">
        <f>F118+K118</f>
        <v>253</v>
      </c>
      <c r="N118" s="18" t="s">
        <v>15</v>
      </c>
      <c r="O118" s="31">
        <f>O112</f>
        <v>292</v>
      </c>
      <c r="P118" s="32">
        <f>P112</f>
        <v>411</v>
      </c>
      <c r="Q118" s="32">
        <f>Q112</f>
        <v>229</v>
      </c>
      <c r="R118" s="33">
        <f>R112</f>
        <v>145</v>
      </c>
      <c r="S118" s="86">
        <f>SUM(O118:R118)</f>
        <v>1077</v>
      </c>
      <c r="T118" s="31">
        <f>T112</f>
        <v>282</v>
      </c>
      <c r="U118" s="32">
        <f>U112</f>
        <v>406</v>
      </c>
      <c r="V118" s="32">
        <f>V112</f>
        <v>224</v>
      </c>
      <c r="W118" s="33">
        <f>W112</f>
        <v>145</v>
      </c>
      <c r="X118" s="80">
        <f>SUM(T118:W118)</f>
        <v>1057</v>
      </c>
      <c r="Y118" s="17">
        <f t="shared" ref="Y118" si="74">S118+X118</f>
        <v>2134</v>
      </c>
    </row>
    <row r="119" spans="1:27" x14ac:dyDescent="0.15">
      <c r="A119" s="59" t="s">
        <v>103</v>
      </c>
      <c r="B119" s="64"/>
      <c r="C119" s="65">
        <v>-2</v>
      </c>
      <c r="D119" s="66">
        <v>2</v>
      </c>
      <c r="E119" s="67"/>
      <c r="F119" s="74">
        <f>SUM(B119:E119)</f>
        <v>0</v>
      </c>
      <c r="G119" s="65"/>
      <c r="H119" s="65">
        <v>-2</v>
      </c>
      <c r="I119" s="66">
        <v>2</v>
      </c>
      <c r="J119" s="67"/>
      <c r="K119" s="74">
        <f>SUM(G119:J119)</f>
        <v>0</v>
      </c>
      <c r="L119" s="11">
        <f t="shared" ref="L119:L150" si="75">F119+K119</f>
        <v>0</v>
      </c>
      <c r="M119" s="71">
        <v>45117</v>
      </c>
      <c r="N119" s="59" t="s">
        <v>16</v>
      </c>
      <c r="O119" s="48"/>
      <c r="P119" s="49"/>
      <c r="Q119" s="50"/>
      <c r="R119" s="51"/>
      <c r="S119" s="85">
        <f>SUM(O119:R119)</f>
        <v>0</v>
      </c>
      <c r="T119" s="48"/>
      <c r="U119" s="49"/>
      <c r="V119" s="50"/>
      <c r="W119" s="51"/>
      <c r="X119" s="74">
        <f>SUM(T119:W119)</f>
        <v>0</v>
      </c>
      <c r="Y119" s="11">
        <f t="shared" ref="Y119:Y150" si="76">S119+X119</f>
        <v>0</v>
      </c>
    </row>
    <row r="120" spans="1:27" x14ac:dyDescent="0.15">
      <c r="A120" s="13" t="s">
        <v>5</v>
      </c>
      <c r="B120" s="6"/>
      <c r="C120" s="22">
        <v>10</v>
      </c>
      <c r="D120" s="7"/>
      <c r="E120" s="8"/>
      <c r="F120" s="9">
        <f>SUM(B120:E120)</f>
        <v>10</v>
      </c>
      <c r="G120" s="22"/>
      <c r="H120" s="22">
        <v>10</v>
      </c>
      <c r="I120" s="7"/>
      <c r="J120" s="8"/>
      <c r="K120" s="9">
        <f>SUM(G120:J120)</f>
        <v>10</v>
      </c>
      <c r="L120" s="11">
        <f t="shared" si="75"/>
        <v>20</v>
      </c>
      <c r="M120" s="69">
        <v>45121</v>
      </c>
      <c r="N120" s="13" t="s">
        <v>4</v>
      </c>
      <c r="O120" s="20"/>
      <c r="P120" s="35"/>
      <c r="Q120" s="21"/>
      <c r="R120" s="24"/>
      <c r="S120" s="57">
        <f>SUM(O120:R120)</f>
        <v>0</v>
      </c>
      <c r="T120" s="20"/>
      <c r="U120" s="35"/>
      <c r="V120" s="21"/>
      <c r="W120" s="24"/>
      <c r="X120" s="9">
        <f>SUM(T120:W120)</f>
        <v>0</v>
      </c>
      <c r="Y120" s="11">
        <f t="shared" si="76"/>
        <v>0</v>
      </c>
    </row>
    <row r="121" spans="1:27" x14ac:dyDescent="0.15">
      <c r="A121" s="13" t="s">
        <v>6</v>
      </c>
      <c r="B121" s="6"/>
      <c r="C121" s="22"/>
      <c r="D121" s="7"/>
      <c r="E121" s="8"/>
      <c r="F121" s="9">
        <f>SUM(B121:E121)</f>
        <v>0</v>
      </c>
      <c r="G121" s="22"/>
      <c r="H121" s="22"/>
      <c r="I121" s="7"/>
      <c r="J121" s="8"/>
      <c r="K121" s="9">
        <f>SUM(G121:J121)</f>
        <v>0</v>
      </c>
      <c r="L121" s="47">
        <f t="shared" ref="L121" si="77">F121+K121</f>
        <v>0</v>
      </c>
      <c r="N121" s="13" t="s">
        <v>5</v>
      </c>
      <c r="O121" s="20"/>
      <c r="P121" s="35"/>
      <c r="Q121" s="21"/>
      <c r="R121" s="24"/>
      <c r="S121" s="57">
        <f>SUM(O121:R121)</f>
        <v>0</v>
      </c>
      <c r="T121" s="35"/>
      <c r="U121" s="35"/>
      <c r="V121" s="21"/>
      <c r="W121" s="38"/>
      <c r="X121" s="9">
        <f>SUM(T121:W121)</f>
        <v>0</v>
      </c>
      <c r="Y121" s="11">
        <f t="shared" si="76"/>
        <v>0</v>
      </c>
    </row>
    <row r="122" spans="1:27" ht="14.25" thickBot="1" x14ac:dyDescent="0.2">
      <c r="A122" s="59" t="s">
        <v>7</v>
      </c>
      <c r="B122" s="64"/>
      <c r="C122" s="65"/>
      <c r="D122" s="66"/>
      <c r="E122" s="67"/>
      <c r="F122" s="60">
        <f>SUM(B122:E122)</f>
        <v>0</v>
      </c>
      <c r="G122" s="65"/>
      <c r="H122" s="65"/>
      <c r="I122" s="66"/>
      <c r="J122" s="67"/>
      <c r="K122" s="60">
        <f>SUM(G122:J122)</f>
        <v>0</v>
      </c>
      <c r="L122" s="14">
        <f t="shared" si="75"/>
        <v>0</v>
      </c>
      <c r="N122" s="13" t="s">
        <v>6</v>
      </c>
      <c r="O122" s="43"/>
      <c r="P122" s="44"/>
      <c r="Q122" s="45"/>
      <c r="R122" s="46"/>
      <c r="S122" s="58">
        <f>SUM(O122:R122)</f>
        <v>0</v>
      </c>
      <c r="T122" s="35"/>
      <c r="U122" s="35"/>
      <c r="V122" s="21"/>
      <c r="W122" s="38"/>
      <c r="X122" s="10">
        <f>SUM(T122:W122)</f>
        <v>0</v>
      </c>
      <c r="Y122" s="14">
        <f t="shared" si="76"/>
        <v>0</v>
      </c>
    </row>
    <row r="123" spans="1:27" ht="14.25" thickBot="1" x14ac:dyDescent="0.2">
      <c r="A123" s="18" t="s">
        <v>8</v>
      </c>
      <c r="B123" s="76">
        <f t="shared" ref="B123:K123" si="78">SUM(B118:B122)</f>
        <v>33</v>
      </c>
      <c r="C123" s="77">
        <f t="shared" si="78"/>
        <v>36</v>
      </c>
      <c r="D123" s="78">
        <f t="shared" si="78"/>
        <v>37</v>
      </c>
      <c r="E123" s="79">
        <f t="shared" si="78"/>
        <v>31</v>
      </c>
      <c r="F123" s="80">
        <f t="shared" si="78"/>
        <v>137</v>
      </c>
      <c r="G123" s="76">
        <f t="shared" si="78"/>
        <v>33</v>
      </c>
      <c r="H123" s="77">
        <f t="shared" si="78"/>
        <v>35</v>
      </c>
      <c r="I123" s="78">
        <f t="shared" si="78"/>
        <v>37</v>
      </c>
      <c r="J123" s="79">
        <f t="shared" si="78"/>
        <v>31</v>
      </c>
      <c r="K123" s="80">
        <f t="shared" si="78"/>
        <v>136</v>
      </c>
      <c r="L123" s="17">
        <f t="shared" si="75"/>
        <v>273</v>
      </c>
      <c r="N123" s="16" t="s">
        <v>8</v>
      </c>
      <c r="O123" s="31">
        <f t="shared" ref="O123:X123" si="79">SUM(O118:O122)</f>
        <v>292</v>
      </c>
      <c r="P123" s="37">
        <f t="shared" si="79"/>
        <v>411</v>
      </c>
      <c r="Q123" s="32">
        <f t="shared" si="79"/>
        <v>229</v>
      </c>
      <c r="R123" s="82">
        <f t="shared" si="79"/>
        <v>145</v>
      </c>
      <c r="S123" s="83">
        <f t="shared" si="79"/>
        <v>1077</v>
      </c>
      <c r="T123" s="31">
        <f t="shared" si="79"/>
        <v>282</v>
      </c>
      <c r="U123" s="37">
        <f t="shared" si="79"/>
        <v>406</v>
      </c>
      <c r="V123" s="32">
        <f t="shared" si="79"/>
        <v>224</v>
      </c>
      <c r="W123" s="82">
        <f t="shared" si="79"/>
        <v>145</v>
      </c>
      <c r="X123" s="83">
        <f t="shared" si="79"/>
        <v>1057</v>
      </c>
      <c r="Y123" s="39">
        <f t="shared" si="76"/>
        <v>2134</v>
      </c>
    </row>
    <row r="124" spans="1:27" x14ac:dyDescent="0.15">
      <c r="A124" s="59" t="s">
        <v>27</v>
      </c>
      <c r="B124" s="48">
        <v>1</v>
      </c>
      <c r="C124" s="49"/>
      <c r="D124" s="50"/>
      <c r="E124" s="51"/>
      <c r="F124" s="52">
        <f t="shared" ref="F124:F148" si="80">SUM(B124:E124)</f>
        <v>1</v>
      </c>
      <c r="G124" s="48">
        <v>1</v>
      </c>
      <c r="H124" s="49"/>
      <c r="I124" s="50"/>
      <c r="J124" s="51"/>
      <c r="K124" s="52">
        <f t="shared" ref="K124:K148" si="81">SUM(G124:J124)</f>
        <v>1</v>
      </c>
      <c r="L124" s="11">
        <f t="shared" si="75"/>
        <v>2</v>
      </c>
      <c r="M124" s="71">
        <v>45111</v>
      </c>
      <c r="N124" s="40" t="s">
        <v>76</v>
      </c>
      <c r="O124" s="20">
        <v>6</v>
      </c>
      <c r="P124" s="35">
        <v>8</v>
      </c>
      <c r="Q124" s="21">
        <v>8</v>
      </c>
      <c r="R124" s="38">
        <v>12</v>
      </c>
      <c r="S124" s="9">
        <f t="shared" ref="S124" si="82">SUM(O124:R124)</f>
        <v>34</v>
      </c>
      <c r="T124" s="20">
        <v>6</v>
      </c>
      <c r="U124" s="35">
        <v>8</v>
      </c>
      <c r="V124" s="21">
        <v>8</v>
      </c>
      <c r="W124" s="24">
        <v>12</v>
      </c>
      <c r="X124" s="25">
        <f t="shared" ref="X124" si="83">SUM(T124:W124)</f>
        <v>34</v>
      </c>
      <c r="Y124" s="11">
        <f t="shared" si="76"/>
        <v>68</v>
      </c>
      <c r="Z124" s="69">
        <v>45119</v>
      </c>
      <c r="AA124" s="41"/>
    </row>
    <row r="125" spans="1:27" x14ac:dyDescent="0.15">
      <c r="A125" s="40" t="s">
        <v>93</v>
      </c>
      <c r="B125" s="20">
        <v>1</v>
      </c>
      <c r="C125" s="35"/>
      <c r="D125" s="21"/>
      <c r="E125" s="24"/>
      <c r="F125" s="25">
        <f t="shared" si="80"/>
        <v>1</v>
      </c>
      <c r="G125" s="20">
        <v>1</v>
      </c>
      <c r="H125" s="35"/>
      <c r="I125" s="21"/>
      <c r="J125" s="24"/>
      <c r="K125" s="25">
        <f t="shared" si="81"/>
        <v>1</v>
      </c>
      <c r="L125" s="11">
        <f t="shared" si="75"/>
        <v>2</v>
      </c>
      <c r="M125" s="69">
        <v>45113</v>
      </c>
      <c r="N125" s="40" t="s">
        <v>26</v>
      </c>
      <c r="O125" s="20"/>
      <c r="P125" s="35">
        <v>10</v>
      </c>
      <c r="Q125" s="21"/>
      <c r="R125" s="38"/>
      <c r="S125" s="9">
        <f>SUM(O125:R125)</f>
        <v>10</v>
      </c>
      <c r="T125" s="20"/>
      <c r="U125" s="35">
        <v>10</v>
      </c>
      <c r="V125" s="21"/>
      <c r="W125" s="24"/>
      <c r="X125" s="25">
        <f>SUM(T125:W125)</f>
        <v>10</v>
      </c>
      <c r="Y125" s="11">
        <f t="shared" si="76"/>
        <v>20</v>
      </c>
      <c r="Z125" s="69">
        <v>45121</v>
      </c>
    </row>
    <row r="126" spans="1:27" x14ac:dyDescent="0.15">
      <c r="A126" s="104" t="s">
        <v>94</v>
      </c>
      <c r="B126" s="20"/>
      <c r="C126" s="35"/>
      <c r="D126" s="21"/>
      <c r="E126" s="24">
        <v>3</v>
      </c>
      <c r="F126" s="25">
        <f t="shared" si="80"/>
        <v>3</v>
      </c>
      <c r="G126" s="20"/>
      <c r="H126" s="35"/>
      <c r="I126" s="21"/>
      <c r="J126" s="24">
        <v>3</v>
      </c>
      <c r="K126" s="25">
        <f t="shared" si="81"/>
        <v>3</v>
      </c>
      <c r="L126" s="11">
        <f t="shared" si="75"/>
        <v>6</v>
      </c>
      <c r="M126" s="69">
        <v>45113</v>
      </c>
      <c r="N126" s="40"/>
      <c r="O126" s="20"/>
      <c r="P126" s="35"/>
      <c r="Q126" s="21"/>
      <c r="R126" s="38"/>
      <c r="S126" s="9">
        <f t="shared" ref="S126" si="84">SUM(O126:R126)</f>
        <v>0</v>
      </c>
      <c r="T126" s="20"/>
      <c r="U126" s="35"/>
      <c r="V126" s="21"/>
      <c r="W126" s="24"/>
      <c r="X126" s="25">
        <f t="shared" ref="X126" si="85">SUM(T126:W126)</f>
        <v>0</v>
      </c>
      <c r="Y126" s="11">
        <f t="shared" ref="Y126" si="86">S126+X126</f>
        <v>0</v>
      </c>
    </row>
    <row r="127" spans="1:27" x14ac:dyDescent="0.15">
      <c r="A127" s="59" t="s">
        <v>27</v>
      </c>
      <c r="B127" s="20">
        <v>2</v>
      </c>
      <c r="C127" s="35">
        <v>1</v>
      </c>
      <c r="D127" s="21">
        <v>1</v>
      </c>
      <c r="E127" s="24"/>
      <c r="F127" s="25">
        <f t="shared" si="80"/>
        <v>4</v>
      </c>
      <c r="G127" s="20">
        <v>3</v>
      </c>
      <c r="H127" s="35">
        <v>1</v>
      </c>
      <c r="I127" s="21">
        <f>1+2</f>
        <v>3</v>
      </c>
      <c r="J127" s="24"/>
      <c r="K127" s="25">
        <f t="shared" si="81"/>
        <v>7</v>
      </c>
      <c r="L127" s="11">
        <f t="shared" si="75"/>
        <v>11</v>
      </c>
      <c r="M127" s="71">
        <v>45112</v>
      </c>
      <c r="N127" s="40"/>
      <c r="O127" s="20"/>
      <c r="P127" s="35"/>
      <c r="Q127" s="21"/>
      <c r="R127" s="38"/>
      <c r="S127" s="9">
        <f t="shared" ref="S127:S136" si="87">SUM(O127:R127)</f>
        <v>0</v>
      </c>
      <c r="T127" s="20"/>
      <c r="U127" s="35"/>
      <c r="V127" s="21"/>
      <c r="W127" s="24"/>
      <c r="X127" s="25">
        <f t="shared" ref="X127:X136" si="88">SUM(T127:W127)</f>
        <v>0</v>
      </c>
      <c r="Y127" s="11">
        <f t="shared" si="76"/>
        <v>0</v>
      </c>
    </row>
    <row r="128" spans="1:27" x14ac:dyDescent="0.15">
      <c r="A128" s="40" t="s">
        <v>95</v>
      </c>
      <c r="B128" s="20">
        <v>1</v>
      </c>
      <c r="C128" s="35"/>
      <c r="D128" s="21"/>
      <c r="E128" s="24"/>
      <c r="F128" s="25">
        <f t="shared" si="80"/>
        <v>1</v>
      </c>
      <c r="G128" s="20">
        <v>1</v>
      </c>
      <c r="H128" s="35"/>
      <c r="I128" s="21"/>
      <c r="J128" s="24"/>
      <c r="K128" s="25">
        <f t="shared" si="81"/>
        <v>1</v>
      </c>
      <c r="L128" s="11">
        <f t="shared" si="75"/>
        <v>2</v>
      </c>
      <c r="M128" s="69">
        <v>45114</v>
      </c>
      <c r="N128" s="40"/>
      <c r="O128" s="20"/>
      <c r="P128" s="35"/>
      <c r="Q128" s="21"/>
      <c r="R128" s="38"/>
      <c r="S128" s="9">
        <f t="shared" si="87"/>
        <v>0</v>
      </c>
      <c r="T128" s="20"/>
      <c r="U128" s="35"/>
      <c r="V128" s="21"/>
      <c r="W128" s="24"/>
      <c r="X128" s="25">
        <f t="shared" si="88"/>
        <v>0</v>
      </c>
      <c r="Y128" s="11">
        <f t="shared" si="76"/>
        <v>0</v>
      </c>
    </row>
    <row r="129" spans="1:25" x14ac:dyDescent="0.15">
      <c r="A129" s="104" t="s">
        <v>96</v>
      </c>
      <c r="B129" s="20"/>
      <c r="C129" s="35">
        <v>2</v>
      </c>
      <c r="D129" s="21">
        <v>1</v>
      </c>
      <c r="E129" s="24">
        <v>1</v>
      </c>
      <c r="F129" s="25">
        <f t="shared" si="80"/>
        <v>4</v>
      </c>
      <c r="G129" s="20"/>
      <c r="H129" s="35">
        <v>2</v>
      </c>
      <c r="I129" s="21">
        <v>1</v>
      </c>
      <c r="J129" s="24">
        <v>1</v>
      </c>
      <c r="K129" s="25">
        <f t="shared" si="81"/>
        <v>4</v>
      </c>
      <c r="L129" s="11">
        <f t="shared" si="75"/>
        <v>8</v>
      </c>
      <c r="M129" s="69">
        <v>45114</v>
      </c>
      <c r="N129" s="40"/>
      <c r="O129" s="20"/>
      <c r="P129" s="35"/>
      <c r="Q129" s="21"/>
      <c r="R129" s="38"/>
      <c r="S129" s="9">
        <f t="shared" si="87"/>
        <v>0</v>
      </c>
      <c r="T129" s="20"/>
      <c r="U129" s="35"/>
      <c r="V129" s="21"/>
      <c r="W129" s="24"/>
      <c r="X129" s="25">
        <f t="shared" si="88"/>
        <v>0</v>
      </c>
      <c r="Y129" s="11">
        <f t="shared" si="76"/>
        <v>0</v>
      </c>
    </row>
    <row r="130" spans="1:25" x14ac:dyDescent="0.15">
      <c r="A130" s="40" t="s">
        <v>99</v>
      </c>
      <c r="B130" s="20">
        <v>1</v>
      </c>
      <c r="C130" s="35"/>
      <c r="D130" s="21"/>
      <c r="E130" s="24">
        <v>1</v>
      </c>
      <c r="F130" s="25">
        <f t="shared" si="80"/>
        <v>2</v>
      </c>
      <c r="G130" s="20">
        <v>1</v>
      </c>
      <c r="H130" s="35"/>
      <c r="I130" s="21"/>
      <c r="J130" s="24">
        <v>1</v>
      </c>
      <c r="K130" s="25">
        <f t="shared" si="81"/>
        <v>2</v>
      </c>
      <c r="L130" s="11">
        <f t="shared" si="75"/>
        <v>4</v>
      </c>
      <c r="M130" s="69">
        <v>45117</v>
      </c>
      <c r="N130" s="40"/>
      <c r="O130" s="20"/>
      <c r="P130" s="35"/>
      <c r="Q130" s="21"/>
      <c r="R130" s="38"/>
      <c r="S130" s="9">
        <f t="shared" si="87"/>
        <v>0</v>
      </c>
      <c r="T130" s="20"/>
      <c r="U130" s="35"/>
      <c r="V130" s="21"/>
      <c r="W130" s="24"/>
      <c r="X130" s="25">
        <f t="shared" si="88"/>
        <v>0</v>
      </c>
      <c r="Y130" s="11">
        <f t="shared" si="76"/>
        <v>0</v>
      </c>
    </row>
    <row r="131" spans="1:25" x14ac:dyDescent="0.15">
      <c r="A131" s="104" t="s">
        <v>100</v>
      </c>
      <c r="B131" s="20">
        <v>2</v>
      </c>
      <c r="C131" s="35"/>
      <c r="D131" s="21"/>
      <c r="E131" s="24"/>
      <c r="F131" s="25">
        <f t="shared" si="80"/>
        <v>2</v>
      </c>
      <c r="G131" s="20">
        <v>2</v>
      </c>
      <c r="H131" s="35"/>
      <c r="I131" s="21"/>
      <c r="J131" s="24"/>
      <c r="K131" s="25">
        <f t="shared" si="81"/>
        <v>2</v>
      </c>
      <c r="L131" s="11">
        <f t="shared" si="75"/>
        <v>4</v>
      </c>
      <c r="M131" s="69">
        <v>45117</v>
      </c>
      <c r="N131" s="40"/>
      <c r="O131" s="20"/>
      <c r="P131" s="35"/>
      <c r="Q131" s="21"/>
      <c r="R131" s="38"/>
      <c r="S131" s="9">
        <f t="shared" si="87"/>
        <v>0</v>
      </c>
      <c r="T131" s="20"/>
      <c r="U131" s="35"/>
      <c r="V131" s="21"/>
      <c r="W131" s="24"/>
      <c r="X131" s="25">
        <f t="shared" si="88"/>
        <v>0</v>
      </c>
      <c r="Y131" s="11">
        <f t="shared" si="76"/>
        <v>0</v>
      </c>
    </row>
    <row r="132" spans="1:25" x14ac:dyDescent="0.15">
      <c r="A132" s="59" t="s">
        <v>27</v>
      </c>
      <c r="B132" s="20"/>
      <c r="C132" s="35">
        <v>1</v>
      </c>
      <c r="D132" s="21"/>
      <c r="E132" s="24"/>
      <c r="F132" s="25">
        <f t="shared" si="80"/>
        <v>1</v>
      </c>
      <c r="G132" s="20"/>
      <c r="H132" s="35">
        <v>1</v>
      </c>
      <c r="I132" s="21">
        <v>1</v>
      </c>
      <c r="J132" s="24"/>
      <c r="K132" s="25">
        <f t="shared" si="81"/>
        <v>2</v>
      </c>
      <c r="L132" s="11">
        <f t="shared" si="75"/>
        <v>3</v>
      </c>
      <c r="M132" s="71">
        <v>45114</v>
      </c>
      <c r="N132" s="40"/>
      <c r="O132" s="20"/>
      <c r="P132" s="35"/>
      <c r="Q132" s="21"/>
      <c r="R132" s="38"/>
      <c r="S132" s="9">
        <f t="shared" si="87"/>
        <v>0</v>
      </c>
      <c r="T132" s="20"/>
      <c r="U132" s="35"/>
      <c r="V132" s="21"/>
      <c r="W132" s="24"/>
      <c r="X132" s="25">
        <f t="shared" si="88"/>
        <v>0</v>
      </c>
      <c r="Y132" s="11">
        <f t="shared" si="76"/>
        <v>0</v>
      </c>
    </row>
    <row r="133" spans="1:25" x14ac:dyDescent="0.15">
      <c r="A133" s="40" t="s">
        <v>101</v>
      </c>
      <c r="B133" s="20"/>
      <c r="C133" s="35">
        <v>1</v>
      </c>
      <c r="D133" s="21"/>
      <c r="E133" s="24">
        <v>1</v>
      </c>
      <c r="F133" s="25">
        <f t="shared" si="80"/>
        <v>2</v>
      </c>
      <c r="G133" s="20"/>
      <c r="H133" s="35">
        <v>1</v>
      </c>
      <c r="I133" s="21"/>
      <c r="J133" s="24">
        <v>1</v>
      </c>
      <c r="K133" s="25">
        <f t="shared" si="81"/>
        <v>2</v>
      </c>
      <c r="L133" s="11">
        <f t="shared" si="75"/>
        <v>4</v>
      </c>
      <c r="M133" s="69">
        <v>45118</v>
      </c>
      <c r="N133" s="40"/>
      <c r="O133" s="20"/>
      <c r="P133" s="35"/>
      <c r="Q133" s="21"/>
      <c r="R133" s="38"/>
      <c r="S133" s="9">
        <f t="shared" si="87"/>
        <v>0</v>
      </c>
      <c r="T133" s="20"/>
      <c r="U133" s="35"/>
      <c r="V133" s="21"/>
      <c r="W133" s="24"/>
      <c r="X133" s="25">
        <f t="shared" si="88"/>
        <v>0</v>
      </c>
      <c r="Y133" s="11">
        <f t="shared" si="76"/>
        <v>0</v>
      </c>
    </row>
    <row r="134" spans="1:25" x14ac:dyDescent="0.15">
      <c r="A134" s="104" t="s">
        <v>102</v>
      </c>
      <c r="B134" s="20"/>
      <c r="C134" s="35">
        <v>2</v>
      </c>
      <c r="D134" s="21"/>
      <c r="E134" s="24">
        <v>1</v>
      </c>
      <c r="F134" s="25">
        <f t="shared" si="80"/>
        <v>3</v>
      </c>
      <c r="G134" s="20"/>
      <c r="H134" s="35">
        <v>2</v>
      </c>
      <c r="I134" s="21"/>
      <c r="J134" s="24">
        <v>1</v>
      </c>
      <c r="K134" s="25">
        <f t="shared" si="81"/>
        <v>3</v>
      </c>
      <c r="L134" s="11">
        <f t="shared" si="75"/>
        <v>6</v>
      </c>
      <c r="M134" s="69">
        <v>45118</v>
      </c>
      <c r="N134" s="40"/>
      <c r="O134" s="20"/>
      <c r="P134" s="35"/>
      <c r="Q134" s="21"/>
      <c r="R134" s="38"/>
      <c r="S134" s="9">
        <f t="shared" si="87"/>
        <v>0</v>
      </c>
      <c r="T134" s="20"/>
      <c r="U134" s="35"/>
      <c r="V134" s="21"/>
      <c r="W134" s="24"/>
      <c r="X134" s="25">
        <f t="shared" si="88"/>
        <v>0</v>
      </c>
      <c r="Y134" s="11">
        <f t="shared" si="76"/>
        <v>0</v>
      </c>
    </row>
    <row r="135" spans="1:25" x14ac:dyDescent="0.15">
      <c r="A135" s="59" t="s">
        <v>27</v>
      </c>
      <c r="B135" s="20">
        <v>3</v>
      </c>
      <c r="C135" s="35">
        <v>4</v>
      </c>
      <c r="D135" s="21">
        <v>2</v>
      </c>
      <c r="E135" s="24">
        <v>2</v>
      </c>
      <c r="F135" s="25">
        <f t="shared" si="80"/>
        <v>11</v>
      </c>
      <c r="G135" s="20">
        <v>3</v>
      </c>
      <c r="H135" s="35">
        <v>6</v>
      </c>
      <c r="I135" s="21">
        <v>3</v>
      </c>
      <c r="J135" s="24">
        <v>2</v>
      </c>
      <c r="K135" s="25">
        <f t="shared" si="81"/>
        <v>14</v>
      </c>
      <c r="L135" s="11">
        <f t="shared" si="75"/>
        <v>25</v>
      </c>
      <c r="M135" s="71">
        <v>45117</v>
      </c>
      <c r="N135" s="40"/>
      <c r="O135" s="20"/>
      <c r="P135" s="35"/>
      <c r="Q135" s="21"/>
      <c r="R135" s="38"/>
      <c r="S135" s="9">
        <f t="shared" si="87"/>
        <v>0</v>
      </c>
      <c r="T135" s="20"/>
      <c r="U135" s="35"/>
      <c r="V135" s="21"/>
      <c r="W135" s="24"/>
      <c r="X135" s="25">
        <f t="shared" si="88"/>
        <v>0</v>
      </c>
      <c r="Y135" s="11">
        <f t="shared" si="76"/>
        <v>0</v>
      </c>
    </row>
    <row r="136" spans="1:25" x14ac:dyDescent="0.15">
      <c r="A136" s="40" t="s">
        <v>104</v>
      </c>
      <c r="B136" s="20"/>
      <c r="C136" s="35"/>
      <c r="D136" s="21">
        <v>1</v>
      </c>
      <c r="E136" s="24"/>
      <c r="F136" s="25">
        <f t="shared" si="80"/>
        <v>1</v>
      </c>
      <c r="G136" s="20"/>
      <c r="H136" s="35"/>
      <c r="I136" s="21">
        <v>1</v>
      </c>
      <c r="J136" s="24"/>
      <c r="K136" s="25">
        <f t="shared" si="81"/>
        <v>1</v>
      </c>
      <c r="L136" s="11">
        <f t="shared" si="75"/>
        <v>2</v>
      </c>
      <c r="M136" s="69">
        <v>45119</v>
      </c>
      <c r="N136" s="40"/>
      <c r="O136" s="20"/>
      <c r="P136" s="35"/>
      <c r="Q136" s="21"/>
      <c r="R136" s="38"/>
      <c r="S136" s="9">
        <f t="shared" si="87"/>
        <v>0</v>
      </c>
      <c r="T136" s="20"/>
      <c r="U136" s="35"/>
      <c r="V136" s="21"/>
      <c r="W136" s="24"/>
      <c r="X136" s="25">
        <f t="shared" si="88"/>
        <v>0</v>
      </c>
      <c r="Y136" s="11">
        <f t="shared" si="76"/>
        <v>0</v>
      </c>
    </row>
    <row r="137" spans="1:25" x14ac:dyDescent="0.15">
      <c r="A137" s="104" t="s">
        <v>105</v>
      </c>
      <c r="B137" s="20">
        <v>1</v>
      </c>
      <c r="C137" s="35"/>
      <c r="D137" s="21"/>
      <c r="E137" s="24"/>
      <c r="F137" s="25">
        <f t="shared" si="80"/>
        <v>1</v>
      </c>
      <c r="G137" s="20">
        <v>1</v>
      </c>
      <c r="H137" s="35"/>
      <c r="I137" s="21"/>
      <c r="J137" s="24"/>
      <c r="K137" s="25">
        <f t="shared" si="81"/>
        <v>1</v>
      </c>
      <c r="L137" s="11">
        <f t="shared" si="75"/>
        <v>2</v>
      </c>
      <c r="M137" s="69">
        <v>45119</v>
      </c>
      <c r="N137" s="12"/>
      <c r="O137" s="20"/>
      <c r="P137" s="35"/>
      <c r="Q137" s="21"/>
      <c r="R137" s="38"/>
      <c r="S137" s="9">
        <f>SUM(O137:R137)</f>
        <v>0</v>
      </c>
      <c r="T137" s="20"/>
      <c r="U137" s="35"/>
      <c r="V137" s="21"/>
      <c r="W137" s="24"/>
      <c r="X137" s="25">
        <f>SUM(T137:W137)</f>
        <v>0</v>
      </c>
      <c r="Y137" s="11">
        <f t="shared" si="76"/>
        <v>0</v>
      </c>
    </row>
    <row r="138" spans="1:25" x14ac:dyDescent="0.15">
      <c r="A138" s="59" t="s">
        <v>27</v>
      </c>
      <c r="B138" s="20"/>
      <c r="C138" s="35">
        <v>1</v>
      </c>
      <c r="D138" s="21">
        <f>1+2</f>
        <v>3</v>
      </c>
      <c r="E138" s="24"/>
      <c r="F138" s="25">
        <f t="shared" si="80"/>
        <v>4</v>
      </c>
      <c r="G138" s="20">
        <v>1</v>
      </c>
      <c r="H138" s="35"/>
      <c r="I138" s="21">
        <f>1+1</f>
        <v>2</v>
      </c>
      <c r="J138" s="24"/>
      <c r="K138" s="25">
        <f t="shared" si="81"/>
        <v>3</v>
      </c>
      <c r="L138" s="11">
        <f t="shared" si="75"/>
        <v>7</v>
      </c>
      <c r="M138" s="71">
        <v>45118</v>
      </c>
      <c r="N138" s="40"/>
      <c r="O138" s="20"/>
      <c r="P138" s="35"/>
      <c r="Q138" s="21"/>
      <c r="R138" s="38"/>
      <c r="S138" s="9">
        <f t="shared" ref="S138:S149" si="89">SUM(O138:R138)</f>
        <v>0</v>
      </c>
      <c r="T138" s="20"/>
      <c r="U138" s="35"/>
      <c r="V138" s="21"/>
      <c r="W138" s="24"/>
      <c r="X138" s="25">
        <f t="shared" ref="X138:X149" si="90">SUM(T138:W138)</f>
        <v>0</v>
      </c>
      <c r="Y138" s="11">
        <f t="shared" si="76"/>
        <v>0</v>
      </c>
    </row>
    <row r="139" spans="1:25" x14ac:dyDescent="0.15">
      <c r="A139" s="104" t="s">
        <v>109</v>
      </c>
      <c r="B139" s="20"/>
      <c r="C139" s="35">
        <v>1</v>
      </c>
      <c r="D139" s="21"/>
      <c r="E139" s="24">
        <v>1</v>
      </c>
      <c r="F139" s="25">
        <f t="shared" si="80"/>
        <v>2</v>
      </c>
      <c r="G139" s="20"/>
      <c r="H139" s="35">
        <v>1</v>
      </c>
      <c r="I139" s="21"/>
      <c r="J139" s="24">
        <v>1</v>
      </c>
      <c r="K139" s="25">
        <f t="shared" si="81"/>
        <v>2</v>
      </c>
      <c r="L139" s="11">
        <f t="shared" si="75"/>
        <v>4</v>
      </c>
      <c r="M139" s="69">
        <v>45120</v>
      </c>
      <c r="N139" s="15"/>
      <c r="O139" s="20"/>
      <c r="P139" s="35"/>
      <c r="Q139" s="21"/>
      <c r="R139" s="38"/>
      <c r="S139" s="9">
        <f t="shared" si="89"/>
        <v>0</v>
      </c>
      <c r="T139" s="20"/>
      <c r="U139" s="35"/>
      <c r="V139" s="21"/>
      <c r="W139" s="24"/>
      <c r="X139" s="25">
        <f t="shared" si="90"/>
        <v>0</v>
      </c>
      <c r="Y139" s="11">
        <f t="shared" si="76"/>
        <v>0</v>
      </c>
    </row>
    <row r="140" spans="1:25" x14ac:dyDescent="0.15">
      <c r="A140" s="40" t="s">
        <v>110</v>
      </c>
      <c r="B140" s="20">
        <v>2</v>
      </c>
      <c r="C140" s="35">
        <v>2</v>
      </c>
      <c r="D140" s="21"/>
      <c r="E140" s="24"/>
      <c r="F140" s="25">
        <f t="shared" si="80"/>
        <v>4</v>
      </c>
      <c r="G140" s="20">
        <v>2</v>
      </c>
      <c r="H140" s="35">
        <v>2</v>
      </c>
      <c r="I140" s="21"/>
      <c r="J140" s="24"/>
      <c r="K140" s="25">
        <f t="shared" si="81"/>
        <v>4</v>
      </c>
      <c r="L140" s="11">
        <f t="shared" si="75"/>
        <v>8</v>
      </c>
      <c r="M140" s="69">
        <v>45121</v>
      </c>
      <c r="N140" s="40"/>
      <c r="O140" s="20"/>
      <c r="P140" s="35"/>
      <c r="Q140" s="21"/>
      <c r="R140" s="38"/>
      <c r="S140" s="9">
        <f t="shared" si="89"/>
        <v>0</v>
      </c>
      <c r="T140" s="20"/>
      <c r="U140" s="35"/>
      <c r="V140" s="21"/>
      <c r="W140" s="24"/>
      <c r="X140" s="25">
        <f t="shared" si="90"/>
        <v>0</v>
      </c>
      <c r="Y140" s="11">
        <f t="shared" si="76"/>
        <v>0</v>
      </c>
    </row>
    <row r="141" spans="1:25" x14ac:dyDescent="0.15">
      <c r="A141" s="104" t="s">
        <v>111</v>
      </c>
      <c r="B141" s="20"/>
      <c r="C141" s="35">
        <v>1</v>
      </c>
      <c r="D141" s="21">
        <v>1</v>
      </c>
      <c r="E141" s="24"/>
      <c r="F141" s="25">
        <f t="shared" si="80"/>
        <v>2</v>
      </c>
      <c r="G141" s="20"/>
      <c r="H141" s="35">
        <v>1</v>
      </c>
      <c r="I141" s="21">
        <v>1</v>
      </c>
      <c r="J141" s="24"/>
      <c r="K141" s="25">
        <f t="shared" si="81"/>
        <v>2</v>
      </c>
      <c r="L141" s="11">
        <f t="shared" si="75"/>
        <v>4</v>
      </c>
      <c r="M141" s="69">
        <v>45121</v>
      </c>
      <c r="N141" s="40"/>
      <c r="O141" s="48"/>
      <c r="P141" s="49"/>
      <c r="Q141" s="50"/>
      <c r="R141" s="72"/>
      <c r="S141" s="74">
        <f t="shared" si="89"/>
        <v>0</v>
      </c>
      <c r="T141" s="48"/>
      <c r="U141" s="49"/>
      <c r="V141" s="50"/>
      <c r="W141" s="51"/>
      <c r="X141" s="52">
        <f t="shared" si="90"/>
        <v>0</v>
      </c>
      <c r="Y141" s="11">
        <f t="shared" si="76"/>
        <v>0</v>
      </c>
    </row>
    <row r="142" spans="1:25" x14ac:dyDescent="0.15">
      <c r="A142" s="40" t="s">
        <v>112</v>
      </c>
      <c r="B142" s="20">
        <v>1</v>
      </c>
      <c r="C142" s="35"/>
      <c r="D142" s="21">
        <v>1</v>
      </c>
      <c r="E142" s="24">
        <v>1</v>
      </c>
      <c r="F142" s="25">
        <f t="shared" si="80"/>
        <v>3</v>
      </c>
      <c r="G142" s="20">
        <v>1</v>
      </c>
      <c r="H142" s="35"/>
      <c r="I142" s="21">
        <v>1</v>
      </c>
      <c r="J142" s="24">
        <v>1</v>
      </c>
      <c r="K142" s="25">
        <f t="shared" si="81"/>
        <v>3</v>
      </c>
      <c r="L142" s="11">
        <f t="shared" si="75"/>
        <v>6</v>
      </c>
      <c r="M142" s="69">
        <v>45122</v>
      </c>
      <c r="N142" s="12"/>
      <c r="O142" s="20"/>
      <c r="P142" s="35"/>
      <c r="Q142" s="21"/>
      <c r="R142" s="38"/>
      <c r="S142" s="9">
        <f t="shared" si="89"/>
        <v>0</v>
      </c>
      <c r="T142" s="20"/>
      <c r="U142" s="35"/>
      <c r="V142" s="21"/>
      <c r="W142" s="24"/>
      <c r="X142" s="25">
        <f t="shared" si="90"/>
        <v>0</v>
      </c>
      <c r="Y142" s="47">
        <f t="shared" si="76"/>
        <v>0</v>
      </c>
    </row>
    <row r="143" spans="1:25" x14ac:dyDescent="0.15">
      <c r="A143" s="104" t="s">
        <v>113</v>
      </c>
      <c r="B143" s="20"/>
      <c r="C143" s="35">
        <v>3</v>
      </c>
      <c r="D143" s="21"/>
      <c r="E143" s="24">
        <v>1</v>
      </c>
      <c r="F143" s="25">
        <f t="shared" si="80"/>
        <v>4</v>
      </c>
      <c r="G143" s="20"/>
      <c r="H143" s="35">
        <v>3</v>
      </c>
      <c r="I143" s="21"/>
      <c r="J143" s="24">
        <v>1</v>
      </c>
      <c r="K143" s="25">
        <f t="shared" si="81"/>
        <v>4</v>
      </c>
      <c r="L143" s="11">
        <f t="shared" si="75"/>
        <v>8</v>
      </c>
      <c r="M143" s="69">
        <v>45122</v>
      </c>
      <c r="N143" s="12"/>
      <c r="O143" s="20"/>
      <c r="P143" s="21"/>
      <c r="Q143" s="35"/>
      <c r="R143" s="73"/>
      <c r="S143" s="9">
        <f t="shared" si="89"/>
        <v>0</v>
      </c>
      <c r="T143" s="20"/>
      <c r="U143" s="35"/>
      <c r="V143" s="35"/>
      <c r="W143" s="24"/>
      <c r="X143" s="25">
        <f t="shared" si="90"/>
        <v>0</v>
      </c>
      <c r="Y143" s="11">
        <f t="shared" si="76"/>
        <v>0</v>
      </c>
    </row>
    <row r="144" spans="1:25" x14ac:dyDescent="0.15">
      <c r="A144" s="59" t="s">
        <v>27</v>
      </c>
      <c r="B144" s="20">
        <v>1</v>
      </c>
      <c r="C144" s="35"/>
      <c r="D144" s="21"/>
      <c r="E144" s="24"/>
      <c r="F144" s="25">
        <f t="shared" si="80"/>
        <v>1</v>
      </c>
      <c r="G144" s="20">
        <v>1</v>
      </c>
      <c r="H144" s="35"/>
      <c r="I144" s="21"/>
      <c r="J144" s="24"/>
      <c r="K144" s="25">
        <f t="shared" si="81"/>
        <v>1</v>
      </c>
      <c r="L144" s="11">
        <f t="shared" si="75"/>
        <v>2</v>
      </c>
      <c r="M144" s="71">
        <v>45122</v>
      </c>
      <c r="N144" s="12"/>
      <c r="O144" s="20"/>
      <c r="P144" s="35"/>
      <c r="Q144" s="21"/>
      <c r="R144" s="38"/>
      <c r="S144" s="9">
        <f t="shared" si="89"/>
        <v>0</v>
      </c>
      <c r="T144" s="20"/>
      <c r="U144" s="35"/>
      <c r="V144" s="21"/>
      <c r="W144" s="24"/>
      <c r="X144" s="25">
        <f t="shared" si="90"/>
        <v>0</v>
      </c>
      <c r="Y144" s="11">
        <f t="shared" si="76"/>
        <v>0</v>
      </c>
    </row>
    <row r="145" spans="1:25" x14ac:dyDescent="0.15">
      <c r="A145" s="40" t="s">
        <v>114</v>
      </c>
      <c r="B145" s="20"/>
      <c r="C145" s="35"/>
      <c r="D145" s="21">
        <v>1</v>
      </c>
      <c r="E145" s="24"/>
      <c r="F145" s="25">
        <f t="shared" si="80"/>
        <v>1</v>
      </c>
      <c r="G145" s="20"/>
      <c r="H145" s="35"/>
      <c r="I145" s="21">
        <v>1</v>
      </c>
      <c r="J145" s="24"/>
      <c r="K145" s="25">
        <f t="shared" si="81"/>
        <v>1</v>
      </c>
      <c r="L145" s="11">
        <f t="shared" si="75"/>
        <v>2</v>
      </c>
      <c r="M145" s="69">
        <v>45126</v>
      </c>
      <c r="N145" s="12"/>
      <c r="O145" s="48"/>
      <c r="P145" s="49"/>
      <c r="Q145" s="50"/>
      <c r="R145" s="72"/>
      <c r="S145" s="74">
        <f t="shared" si="89"/>
        <v>0</v>
      </c>
      <c r="T145" s="48"/>
      <c r="U145" s="49"/>
      <c r="V145" s="50"/>
      <c r="W145" s="51"/>
      <c r="X145" s="52">
        <f t="shared" si="90"/>
        <v>0</v>
      </c>
      <c r="Y145" s="11">
        <f t="shared" si="76"/>
        <v>0</v>
      </c>
    </row>
    <row r="146" spans="1:25" x14ac:dyDescent="0.15">
      <c r="A146" s="104" t="s">
        <v>115</v>
      </c>
      <c r="B146" s="20">
        <v>2</v>
      </c>
      <c r="C146" s="35">
        <v>1</v>
      </c>
      <c r="D146" s="21">
        <v>1</v>
      </c>
      <c r="E146" s="24">
        <v>2</v>
      </c>
      <c r="F146" s="25">
        <f t="shared" si="80"/>
        <v>6</v>
      </c>
      <c r="G146" s="20">
        <v>2</v>
      </c>
      <c r="H146" s="35">
        <v>1</v>
      </c>
      <c r="I146" s="21">
        <v>1</v>
      </c>
      <c r="J146" s="24">
        <v>2</v>
      </c>
      <c r="K146" s="25">
        <f t="shared" si="81"/>
        <v>6</v>
      </c>
      <c r="L146" s="11">
        <f t="shared" si="75"/>
        <v>12</v>
      </c>
      <c r="M146" s="69">
        <v>45126</v>
      </c>
      <c r="N146" s="12"/>
      <c r="O146" s="20"/>
      <c r="P146" s="35"/>
      <c r="Q146" s="21"/>
      <c r="R146" s="38"/>
      <c r="S146" s="9">
        <f t="shared" si="89"/>
        <v>0</v>
      </c>
      <c r="T146" s="20"/>
      <c r="U146" s="35"/>
      <c r="V146" s="21"/>
      <c r="W146" s="24"/>
      <c r="X146" s="25">
        <f t="shared" si="90"/>
        <v>0</v>
      </c>
      <c r="Y146" s="47">
        <f t="shared" si="76"/>
        <v>0</v>
      </c>
    </row>
    <row r="147" spans="1:25" x14ac:dyDescent="0.15">
      <c r="A147" s="59" t="s">
        <v>27</v>
      </c>
      <c r="B147" s="20"/>
      <c r="C147" s="35">
        <v>1</v>
      </c>
      <c r="D147" s="21"/>
      <c r="E147" s="24"/>
      <c r="F147" s="25">
        <f t="shared" si="80"/>
        <v>1</v>
      </c>
      <c r="G147" s="20"/>
      <c r="H147" s="35">
        <v>1</v>
      </c>
      <c r="I147" s="21"/>
      <c r="J147" s="24"/>
      <c r="K147" s="25">
        <f t="shared" si="81"/>
        <v>1</v>
      </c>
      <c r="L147" s="11">
        <f t="shared" si="75"/>
        <v>2</v>
      </c>
      <c r="M147" s="71">
        <v>45125</v>
      </c>
      <c r="N147" s="12"/>
      <c r="O147" s="20"/>
      <c r="P147" s="35"/>
      <c r="Q147" s="21"/>
      <c r="R147" s="38"/>
      <c r="S147" s="9">
        <f t="shared" ref="S147:S148" si="91">SUM(O147:R147)</f>
        <v>0</v>
      </c>
      <c r="T147" s="20"/>
      <c r="U147" s="35"/>
      <c r="V147" s="21"/>
      <c r="W147" s="24"/>
      <c r="X147" s="25">
        <f t="shared" ref="X147:X148" si="92">SUM(T147:W147)</f>
        <v>0</v>
      </c>
      <c r="Y147" s="47">
        <f t="shared" ref="Y147:Y148" si="93">S147+X147</f>
        <v>0</v>
      </c>
    </row>
    <row r="148" spans="1:25" ht="14.25" thickBot="1" x14ac:dyDescent="0.2">
      <c r="A148" s="15"/>
      <c r="B148" s="43"/>
      <c r="C148" s="44"/>
      <c r="D148" s="45"/>
      <c r="E148" s="46"/>
      <c r="F148" s="25">
        <f t="shared" si="80"/>
        <v>0</v>
      </c>
      <c r="G148" s="43"/>
      <c r="H148" s="44"/>
      <c r="I148" s="45"/>
      <c r="J148" s="46"/>
      <c r="K148" s="25">
        <f t="shared" si="81"/>
        <v>0</v>
      </c>
      <c r="L148" s="14">
        <f t="shared" si="75"/>
        <v>0</v>
      </c>
      <c r="N148" s="99"/>
      <c r="O148" s="43"/>
      <c r="P148" s="44"/>
      <c r="Q148" s="45"/>
      <c r="R148" s="100"/>
      <c r="S148" s="10">
        <f t="shared" si="91"/>
        <v>0</v>
      </c>
      <c r="T148" s="43"/>
      <c r="U148" s="44"/>
      <c r="V148" s="45"/>
      <c r="W148" s="46"/>
      <c r="X148" s="106">
        <f t="shared" si="92"/>
        <v>0</v>
      </c>
      <c r="Y148" s="75">
        <f t="shared" si="93"/>
        <v>0</v>
      </c>
    </row>
    <row r="149" spans="1:25" ht="14.25" thickBot="1" x14ac:dyDescent="0.2">
      <c r="A149" s="16" t="s">
        <v>9</v>
      </c>
      <c r="B149" s="28">
        <f>SUM(B124:B148)</f>
        <v>18</v>
      </c>
      <c r="C149" s="36">
        <f>SUM(C124:C148)</f>
        <v>21</v>
      </c>
      <c r="D149" s="29">
        <f>SUM(D124:D148)</f>
        <v>12</v>
      </c>
      <c r="E149" s="30">
        <f>SUM(E124:E148)</f>
        <v>14</v>
      </c>
      <c r="F149" s="26">
        <f>SUM(B149:E149)</f>
        <v>65</v>
      </c>
      <c r="G149" s="28">
        <f>SUM(G124:G148)</f>
        <v>20</v>
      </c>
      <c r="H149" s="36">
        <f>SUM(H124:H148)</f>
        <v>22</v>
      </c>
      <c r="I149" s="29">
        <f>SUM(I124:I148)</f>
        <v>15</v>
      </c>
      <c r="J149" s="30">
        <f>SUM(J124:J148)</f>
        <v>14</v>
      </c>
      <c r="K149" s="26">
        <f>SUM(G149:J149)</f>
        <v>71</v>
      </c>
      <c r="L149" s="27">
        <f t="shared" si="75"/>
        <v>136</v>
      </c>
      <c r="N149" s="61" t="s">
        <v>9</v>
      </c>
      <c r="O149" s="28">
        <f>SUM(O124:O148)</f>
        <v>6</v>
      </c>
      <c r="P149" s="36">
        <f>SUM(P124:P148)</f>
        <v>18</v>
      </c>
      <c r="Q149" s="29">
        <f>SUM(Q124:Q148)</f>
        <v>8</v>
      </c>
      <c r="R149" s="30">
        <f>SUM(R124:R148)</f>
        <v>12</v>
      </c>
      <c r="S149" s="60">
        <f t="shared" si="89"/>
        <v>44</v>
      </c>
      <c r="T149" s="28">
        <f>SUM(T124:T148)</f>
        <v>6</v>
      </c>
      <c r="U149" s="36">
        <f>SUM(U124:U148)</f>
        <v>18</v>
      </c>
      <c r="V149" s="29">
        <f>SUM(V124:V148)</f>
        <v>8</v>
      </c>
      <c r="W149" s="30">
        <f>SUM(W124:W148)</f>
        <v>12</v>
      </c>
      <c r="X149" s="60">
        <f t="shared" si="90"/>
        <v>44</v>
      </c>
      <c r="Y149" s="63">
        <f t="shared" si="76"/>
        <v>88</v>
      </c>
    </row>
    <row r="150" spans="1:25" ht="14.25" thickBot="1" x14ac:dyDescent="0.2">
      <c r="A150" s="18" t="s">
        <v>10</v>
      </c>
      <c r="B150" s="31">
        <f t="shared" ref="B150:K150" si="94">B123-B149</f>
        <v>15</v>
      </c>
      <c r="C150" s="37">
        <f t="shared" si="94"/>
        <v>15</v>
      </c>
      <c r="D150" s="32">
        <f t="shared" si="94"/>
        <v>25</v>
      </c>
      <c r="E150" s="33">
        <f t="shared" si="94"/>
        <v>17</v>
      </c>
      <c r="F150" s="42">
        <f t="shared" si="94"/>
        <v>72</v>
      </c>
      <c r="G150" s="31">
        <f t="shared" si="94"/>
        <v>13</v>
      </c>
      <c r="H150" s="37">
        <f t="shared" si="94"/>
        <v>13</v>
      </c>
      <c r="I150" s="32">
        <f t="shared" si="94"/>
        <v>22</v>
      </c>
      <c r="J150" s="33">
        <f t="shared" si="94"/>
        <v>17</v>
      </c>
      <c r="K150" s="42">
        <f t="shared" si="94"/>
        <v>65</v>
      </c>
      <c r="L150" s="17">
        <f t="shared" si="75"/>
        <v>137</v>
      </c>
      <c r="N150" s="16" t="s">
        <v>10</v>
      </c>
      <c r="O150" s="31">
        <f t="shared" ref="O150:X150" si="95">O123-O149</f>
        <v>286</v>
      </c>
      <c r="P150" s="37">
        <f t="shared" si="95"/>
        <v>393</v>
      </c>
      <c r="Q150" s="32">
        <f t="shared" si="95"/>
        <v>221</v>
      </c>
      <c r="R150" s="33">
        <f t="shared" si="95"/>
        <v>133</v>
      </c>
      <c r="S150" s="42">
        <f t="shared" si="95"/>
        <v>1033</v>
      </c>
      <c r="T150" s="31">
        <f t="shared" si="95"/>
        <v>276</v>
      </c>
      <c r="U150" s="37">
        <f t="shared" si="95"/>
        <v>388</v>
      </c>
      <c r="V150" s="32">
        <f t="shared" si="95"/>
        <v>216</v>
      </c>
      <c r="W150" s="33">
        <f t="shared" si="95"/>
        <v>133</v>
      </c>
      <c r="X150" s="42">
        <f t="shared" si="95"/>
        <v>1013</v>
      </c>
      <c r="Y150" s="17">
        <f t="shared" si="76"/>
        <v>2046</v>
      </c>
    </row>
    <row r="153" spans="1:25" ht="19.5" thickBot="1" x14ac:dyDescent="0.25">
      <c r="A153" s="2" t="s">
        <v>17</v>
      </c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N153" s="2" t="s">
        <v>18</v>
      </c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1"/>
    </row>
    <row r="154" spans="1:25" ht="14.25" thickBot="1" x14ac:dyDescent="0.2">
      <c r="A154" s="5" t="s">
        <v>0</v>
      </c>
      <c r="B154" s="244" t="s">
        <v>19</v>
      </c>
      <c r="C154" s="245"/>
      <c r="D154" s="245"/>
      <c r="E154" s="245"/>
      <c r="F154" s="246"/>
      <c r="G154" s="247" t="s">
        <v>20</v>
      </c>
      <c r="H154" s="248"/>
      <c r="I154" s="248"/>
      <c r="J154" s="248"/>
      <c r="K154" s="249"/>
      <c r="L154" s="250" t="s">
        <v>1</v>
      </c>
      <c r="N154" s="5" t="s">
        <v>0</v>
      </c>
      <c r="O154" s="244" t="s">
        <v>19</v>
      </c>
      <c r="P154" s="245"/>
      <c r="Q154" s="245"/>
      <c r="R154" s="245"/>
      <c r="S154" s="246"/>
      <c r="T154" s="247" t="s">
        <v>20</v>
      </c>
      <c r="U154" s="248"/>
      <c r="V154" s="248"/>
      <c r="W154" s="248"/>
      <c r="X154" s="249"/>
      <c r="Y154" s="250" t="s">
        <v>1</v>
      </c>
    </row>
    <row r="155" spans="1:25" ht="14.25" thickBot="1" x14ac:dyDescent="0.2">
      <c r="A155" s="5" t="s">
        <v>2</v>
      </c>
      <c r="B155" s="3" t="s">
        <v>11</v>
      </c>
      <c r="C155" s="34" t="s">
        <v>12</v>
      </c>
      <c r="D155" s="4" t="s">
        <v>13</v>
      </c>
      <c r="E155" s="19" t="s">
        <v>14</v>
      </c>
      <c r="F155" s="23" t="s">
        <v>3</v>
      </c>
      <c r="G155" s="3" t="s">
        <v>11</v>
      </c>
      <c r="H155" s="34" t="s">
        <v>12</v>
      </c>
      <c r="I155" s="4" t="s">
        <v>13</v>
      </c>
      <c r="J155" s="19" t="s">
        <v>14</v>
      </c>
      <c r="K155" s="23" t="s">
        <v>3</v>
      </c>
      <c r="L155" s="251"/>
      <c r="N155" s="5" t="s">
        <v>2</v>
      </c>
      <c r="O155" s="53" t="s">
        <v>11</v>
      </c>
      <c r="P155" s="54" t="s">
        <v>12</v>
      </c>
      <c r="Q155" s="55" t="s">
        <v>13</v>
      </c>
      <c r="R155" s="56" t="s">
        <v>14</v>
      </c>
      <c r="S155" s="23" t="s">
        <v>3</v>
      </c>
      <c r="T155" s="3" t="s">
        <v>11</v>
      </c>
      <c r="U155" s="34" t="s">
        <v>12</v>
      </c>
      <c r="V155" s="4" t="s">
        <v>13</v>
      </c>
      <c r="W155" s="19" t="s">
        <v>14</v>
      </c>
      <c r="X155" s="23" t="s">
        <v>3</v>
      </c>
      <c r="Y155" s="251"/>
    </row>
    <row r="156" spans="1:25" ht="14.25" thickBot="1" x14ac:dyDescent="0.2">
      <c r="A156" s="18" t="s">
        <v>15</v>
      </c>
      <c r="B156" s="31">
        <f>B150</f>
        <v>15</v>
      </c>
      <c r="C156" s="32">
        <f>C150</f>
        <v>15</v>
      </c>
      <c r="D156" s="32">
        <f>D150</f>
        <v>25</v>
      </c>
      <c r="E156" s="33">
        <f>E150</f>
        <v>17</v>
      </c>
      <c r="F156" s="86">
        <f>SUM(B156:E156)</f>
        <v>72</v>
      </c>
      <c r="G156" s="31">
        <f>G150</f>
        <v>13</v>
      </c>
      <c r="H156" s="32">
        <f>H150</f>
        <v>13</v>
      </c>
      <c r="I156" s="32">
        <f>I150</f>
        <v>22</v>
      </c>
      <c r="J156" s="33">
        <f>J150</f>
        <v>17</v>
      </c>
      <c r="K156" s="80">
        <f>SUM(G156:J156)</f>
        <v>65</v>
      </c>
      <c r="L156" s="17">
        <f>F156+K156</f>
        <v>137</v>
      </c>
      <c r="N156" s="18" t="s">
        <v>15</v>
      </c>
      <c r="O156" s="31">
        <f>O150</f>
        <v>286</v>
      </c>
      <c r="P156" s="32">
        <f>P150</f>
        <v>393</v>
      </c>
      <c r="Q156" s="32">
        <f>Q150</f>
        <v>221</v>
      </c>
      <c r="R156" s="33">
        <f>R150</f>
        <v>133</v>
      </c>
      <c r="S156" s="86">
        <f>SUM(O156:R156)</f>
        <v>1033</v>
      </c>
      <c r="T156" s="31">
        <f>T150</f>
        <v>276</v>
      </c>
      <c r="U156" s="32">
        <f>U150</f>
        <v>388</v>
      </c>
      <c r="V156" s="32">
        <f>V150</f>
        <v>216</v>
      </c>
      <c r="W156" s="33">
        <f>W150</f>
        <v>133</v>
      </c>
      <c r="X156" s="80">
        <f>SUM(T156:W156)</f>
        <v>1013</v>
      </c>
      <c r="Y156" s="17">
        <f t="shared" ref="Y156:Y188" si="96">S156+X156</f>
        <v>2046</v>
      </c>
    </row>
    <row r="157" spans="1:25" x14ac:dyDescent="0.15">
      <c r="A157" s="13" t="s">
        <v>5</v>
      </c>
      <c r="B157" s="6">
        <v>20</v>
      </c>
      <c r="C157" s="22">
        <v>20</v>
      </c>
      <c r="D157" s="7">
        <v>5</v>
      </c>
      <c r="E157" s="8">
        <v>15</v>
      </c>
      <c r="F157" s="9">
        <f>SUM(B157:E157)</f>
        <v>60</v>
      </c>
      <c r="G157" s="22">
        <v>20</v>
      </c>
      <c r="H157" s="22">
        <v>20</v>
      </c>
      <c r="I157" s="7">
        <v>10</v>
      </c>
      <c r="J157" s="8">
        <v>15</v>
      </c>
      <c r="K157" s="9">
        <f>SUM(G157:J157)</f>
        <v>65</v>
      </c>
      <c r="L157" s="11">
        <f t="shared" ref="L157:L158" si="97">F157+K157</f>
        <v>125</v>
      </c>
      <c r="M157" s="69">
        <v>45127</v>
      </c>
      <c r="N157" s="59" t="s">
        <v>16</v>
      </c>
      <c r="O157" s="48"/>
      <c r="P157" s="49"/>
      <c r="Q157" s="50"/>
      <c r="R157" s="51"/>
      <c r="S157" s="85">
        <f>SUM(O157:R157)</f>
        <v>0</v>
      </c>
      <c r="T157" s="48"/>
      <c r="U157" s="49"/>
      <c r="V157" s="50"/>
      <c r="W157" s="51"/>
      <c r="X157" s="74">
        <f>SUM(T157:W157)</f>
        <v>0</v>
      </c>
      <c r="Y157" s="11">
        <f t="shared" si="96"/>
        <v>0</v>
      </c>
    </row>
    <row r="158" spans="1:25" x14ac:dyDescent="0.15">
      <c r="A158" s="13" t="s">
        <v>72</v>
      </c>
      <c r="B158" s="6">
        <v>1</v>
      </c>
      <c r="C158" s="22"/>
      <c r="D158" s="7"/>
      <c r="E158" s="8"/>
      <c r="F158" s="9">
        <f>SUM(B158:E158)</f>
        <v>1</v>
      </c>
      <c r="G158" s="22">
        <v>1</v>
      </c>
      <c r="H158" s="22"/>
      <c r="I158" s="7"/>
      <c r="J158" s="8"/>
      <c r="K158" s="9">
        <f>SUM(G158:J158)</f>
        <v>1</v>
      </c>
      <c r="L158" s="11">
        <f t="shared" si="97"/>
        <v>2</v>
      </c>
      <c r="M158" s="69">
        <v>45133</v>
      </c>
      <c r="N158" s="13" t="s">
        <v>4</v>
      </c>
      <c r="O158" s="20"/>
      <c r="P158" s="35"/>
      <c r="Q158" s="21"/>
      <c r="R158" s="24"/>
      <c r="S158" s="57">
        <f>SUM(O158:R158)</f>
        <v>0</v>
      </c>
      <c r="T158" s="20"/>
      <c r="U158" s="35"/>
      <c r="V158" s="21"/>
      <c r="W158" s="24"/>
      <c r="X158" s="9">
        <f>SUM(T158:W158)</f>
        <v>0</v>
      </c>
      <c r="Y158" s="11">
        <f t="shared" si="96"/>
        <v>0</v>
      </c>
    </row>
    <row r="159" spans="1:25" x14ac:dyDescent="0.15">
      <c r="A159" s="13" t="s">
        <v>6</v>
      </c>
      <c r="B159" s="6">
        <v>5</v>
      </c>
      <c r="C159" s="22">
        <v>5</v>
      </c>
      <c r="D159" s="7">
        <v>5</v>
      </c>
      <c r="E159" s="8">
        <v>3</v>
      </c>
      <c r="F159" s="9">
        <f>SUM(B159:E159)</f>
        <v>18</v>
      </c>
      <c r="G159" s="22">
        <v>5</v>
      </c>
      <c r="H159" s="22">
        <v>5</v>
      </c>
      <c r="I159" s="7">
        <v>5</v>
      </c>
      <c r="J159" s="8">
        <v>3</v>
      </c>
      <c r="K159" s="9">
        <f>SUM(G159:J159)</f>
        <v>18</v>
      </c>
      <c r="L159" s="11">
        <f t="shared" ref="L159:L188" si="98">F159+K159</f>
        <v>36</v>
      </c>
      <c r="M159" s="69">
        <v>45143</v>
      </c>
      <c r="N159" s="13" t="s">
        <v>5</v>
      </c>
      <c r="O159" s="20"/>
      <c r="P159" s="35"/>
      <c r="Q159" s="21"/>
      <c r="R159" s="24"/>
      <c r="S159" s="57">
        <f>SUM(O159:R159)</f>
        <v>0</v>
      </c>
      <c r="T159" s="35"/>
      <c r="U159" s="35"/>
      <c r="V159" s="21"/>
      <c r="W159" s="38"/>
      <c r="X159" s="9">
        <f>SUM(T159:W159)</f>
        <v>0</v>
      </c>
      <c r="Y159" s="11">
        <f t="shared" si="96"/>
        <v>0</v>
      </c>
    </row>
    <row r="160" spans="1:25" ht="14.25" thickBot="1" x14ac:dyDescent="0.2">
      <c r="A160" s="13" t="s">
        <v>7</v>
      </c>
      <c r="B160" s="6"/>
      <c r="C160" s="22"/>
      <c r="D160" s="7"/>
      <c r="E160" s="8"/>
      <c r="F160" s="10">
        <f>SUM(B160:E160)</f>
        <v>0</v>
      </c>
      <c r="G160" s="22">
        <v>10</v>
      </c>
      <c r="H160" s="22">
        <v>10</v>
      </c>
      <c r="I160" s="7"/>
      <c r="J160" s="8"/>
      <c r="K160" s="10">
        <f>SUM(G160:J160)</f>
        <v>20</v>
      </c>
      <c r="L160" s="14">
        <f t="shared" si="98"/>
        <v>20</v>
      </c>
      <c r="M160" s="69">
        <v>45146</v>
      </c>
      <c r="N160" s="13" t="s">
        <v>6</v>
      </c>
      <c r="O160" s="43"/>
      <c r="P160" s="44"/>
      <c r="Q160" s="45"/>
      <c r="R160" s="46"/>
      <c r="S160" s="58">
        <f>SUM(O160:R160)</f>
        <v>0</v>
      </c>
      <c r="T160" s="35"/>
      <c r="U160" s="35"/>
      <c r="V160" s="21"/>
      <c r="W160" s="38"/>
      <c r="X160" s="10">
        <f>SUM(T160:W160)</f>
        <v>0</v>
      </c>
      <c r="Y160" s="14">
        <f t="shared" si="96"/>
        <v>0</v>
      </c>
    </row>
    <row r="161" spans="1:27" ht="14.25" thickBot="1" x14ac:dyDescent="0.2">
      <c r="A161" s="18" t="s">
        <v>8</v>
      </c>
      <c r="B161" s="76">
        <f t="shared" ref="B161:K161" si="99">SUM(B156:B160)</f>
        <v>41</v>
      </c>
      <c r="C161" s="77">
        <f t="shared" si="99"/>
        <v>40</v>
      </c>
      <c r="D161" s="78">
        <f t="shared" si="99"/>
        <v>35</v>
      </c>
      <c r="E161" s="79">
        <f t="shared" si="99"/>
        <v>35</v>
      </c>
      <c r="F161" s="80">
        <f t="shared" si="99"/>
        <v>151</v>
      </c>
      <c r="G161" s="76">
        <f t="shared" si="99"/>
        <v>49</v>
      </c>
      <c r="H161" s="77">
        <f t="shared" si="99"/>
        <v>48</v>
      </c>
      <c r="I161" s="78">
        <f t="shared" si="99"/>
        <v>37</v>
      </c>
      <c r="J161" s="79">
        <f t="shared" si="99"/>
        <v>35</v>
      </c>
      <c r="K161" s="80">
        <f t="shared" si="99"/>
        <v>169</v>
      </c>
      <c r="L161" s="17">
        <f t="shared" si="98"/>
        <v>320</v>
      </c>
      <c r="N161" s="16" t="s">
        <v>8</v>
      </c>
      <c r="O161" s="31">
        <f t="shared" ref="O161:X161" si="100">SUM(O156:O160)</f>
        <v>286</v>
      </c>
      <c r="P161" s="37">
        <f t="shared" si="100"/>
        <v>393</v>
      </c>
      <c r="Q161" s="32">
        <f t="shared" si="100"/>
        <v>221</v>
      </c>
      <c r="R161" s="82">
        <f t="shared" si="100"/>
        <v>133</v>
      </c>
      <c r="S161" s="83">
        <f t="shared" si="100"/>
        <v>1033</v>
      </c>
      <c r="T161" s="31">
        <f t="shared" si="100"/>
        <v>276</v>
      </c>
      <c r="U161" s="37">
        <f t="shared" si="100"/>
        <v>388</v>
      </c>
      <c r="V161" s="32">
        <f t="shared" si="100"/>
        <v>216</v>
      </c>
      <c r="W161" s="82">
        <f t="shared" si="100"/>
        <v>133</v>
      </c>
      <c r="X161" s="83">
        <f t="shared" si="100"/>
        <v>1013</v>
      </c>
      <c r="Y161" s="39">
        <f t="shared" si="96"/>
        <v>2046</v>
      </c>
    </row>
    <row r="162" spans="1:27" x14ac:dyDescent="0.15">
      <c r="A162" s="40" t="s">
        <v>116</v>
      </c>
      <c r="B162" s="48"/>
      <c r="C162" s="49"/>
      <c r="D162" s="50">
        <v>1</v>
      </c>
      <c r="E162" s="51"/>
      <c r="F162" s="52">
        <f t="shared" ref="F162:F186" si="101">SUM(B162:E162)</f>
        <v>1</v>
      </c>
      <c r="G162" s="48"/>
      <c r="H162" s="49"/>
      <c r="I162" s="50">
        <v>1</v>
      </c>
      <c r="J162" s="51"/>
      <c r="K162" s="52">
        <f t="shared" ref="K162:K186" si="102">SUM(G162:J162)</f>
        <v>1</v>
      </c>
      <c r="L162" s="11">
        <f t="shared" si="98"/>
        <v>2</v>
      </c>
      <c r="M162" s="69">
        <v>45127</v>
      </c>
      <c r="N162" s="40" t="s">
        <v>26</v>
      </c>
      <c r="O162" s="20">
        <v>20</v>
      </c>
      <c r="P162" s="35">
        <v>20</v>
      </c>
      <c r="Q162" s="21">
        <v>5</v>
      </c>
      <c r="R162" s="38">
        <v>15</v>
      </c>
      <c r="S162" s="9">
        <f>SUM(O162:R162)</f>
        <v>60</v>
      </c>
      <c r="T162" s="20">
        <v>20</v>
      </c>
      <c r="U162" s="35">
        <v>20</v>
      </c>
      <c r="V162" s="21">
        <v>10</v>
      </c>
      <c r="W162" s="24">
        <v>15</v>
      </c>
      <c r="X162" s="25">
        <f>SUM(T162:W162)</f>
        <v>65</v>
      </c>
      <c r="Y162" s="11">
        <f t="shared" si="96"/>
        <v>125</v>
      </c>
      <c r="Z162" s="69">
        <v>45127</v>
      </c>
    </row>
    <row r="163" spans="1:27" x14ac:dyDescent="0.15">
      <c r="A163" s="104" t="s">
        <v>117</v>
      </c>
      <c r="B163" s="20">
        <v>1</v>
      </c>
      <c r="C163" s="35"/>
      <c r="D163" s="21">
        <v>1</v>
      </c>
      <c r="E163" s="24">
        <v>1</v>
      </c>
      <c r="F163" s="25">
        <f t="shared" si="101"/>
        <v>3</v>
      </c>
      <c r="G163" s="20">
        <v>1</v>
      </c>
      <c r="H163" s="35"/>
      <c r="I163" s="21">
        <v>1</v>
      </c>
      <c r="J163" s="24">
        <v>1</v>
      </c>
      <c r="K163" s="25">
        <f t="shared" si="102"/>
        <v>3</v>
      </c>
      <c r="L163" s="11">
        <f t="shared" si="98"/>
        <v>6</v>
      </c>
      <c r="M163" s="69">
        <v>45127</v>
      </c>
      <c r="N163" s="40" t="s">
        <v>128</v>
      </c>
      <c r="O163" s="20"/>
      <c r="P163" s="35">
        <v>10</v>
      </c>
      <c r="Q163" s="21">
        <v>1</v>
      </c>
      <c r="R163" s="38">
        <v>1</v>
      </c>
      <c r="S163" s="9">
        <f t="shared" ref="S163:S174" si="103">SUM(O163:R163)</f>
        <v>12</v>
      </c>
      <c r="T163" s="20"/>
      <c r="U163" s="35">
        <v>10</v>
      </c>
      <c r="V163" s="21">
        <v>1</v>
      </c>
      <c r="W163" s="24">
        <v>1</v>
      </c>
      <c r="X163" s="25">
        <f t="shared" ref="X163:X174" si="104">SUM(T163:W163)</f>
        <v>12</v>
      </c>
      <c r="Y163" s="11">
        <f t="shared" si="96"/>
        <v>24</v>
      </c>
      <c r="Z163" s="69">
        <v>45140</v>
      </c>
    </row>
    <row r="164" spans="1:27" x14ac:dyDescent="0.15">
      <c r="A164" s="59" t="s">
        <v>27</v>
      </c>
      <c r="B164" s="20">
        <v>1</v>
      </c>
      <c r="C164" s="35"/>
      <c r="D164" s="21"/>
      <c r="E164" s="24"/>
      <c r="F164" s="25">
        <f t="shared" si="101"/>
        <v>1</v>
      </c>
      <c r="G164" s="20">
        <v>1</v>
      </c>
      <c r="H164" s="35"/>
      <c r="I164" s="21"/>
      <c r="J164" s="24"/>
      <c r="K164" s="25">
        <f t="shared" si="102"/>
        <v>1</v>
      </c>
      <c r="L164" s="11">
        <f t="shared" si="98"/>
        <v>2</v>
      </c>
      <c r="M164" s="71">
        <v>45126</v>
      </c>
      <c r="N164" s="40" t="s">
        <v>129</v>
      </c>
      <c r="O164" s="20">
        <v>6</v>
      </c>
      <c r="P164" s="35">
        <v>3</v>
      </c>
      <c r="Q164" s="21"/>
      <c r="R164" s="38">
        <v>6</v>
      </c>
      <c r="S164" s="9">
        <f t="shared" si="103"/>
        <v>15</v>
      </c>
      <c r="T164" s="20">
        <v>6</v>
      </c>
      <c r="U164" s="35">
        <v>3</v>
      </c>
      <c r="V164" s="21"/>
      <c r="W164" s="24">
        <v>6</v>
      </c>
      <c r="X164" s="25">
        <f t="shared" si="104"/>
        <v>15</v>
      </c>
      <c r="Y164" s="11">
        <f t="shared" si="96"/>
        <v>30</v>
      </c>
      <c r="Z164" s="69">
        <v>45141</v>
      </c>
      <c r="AA164" s="41"/>
    </row>
    <row r="165" spans="1:27" x14ac:dyDescent="0.15">
      <c r="A165" s="104" t="s">
        <v>118</v>
      </c>
      <c r="B165" s="20"/>
      <c r="C165" s="35"/>
      <c r="D165" s="21"/>
      <c r="E165" s="24">
        <v>1</v>
      </c>
      <c r="F165" s="25">
        <f t="shared" si="101"/>
        <v>1</v>
      </c>
      <c r="G165" s="20"/>
      <c r="H165" s="35"/>
      <c r="I165" s="21"/>
      <c r="J165" s="24">
        <v>1</v>
      </c>
      <c r="K165" s="25">
        <f t="shared" si="102"/>
        <v>1</v>
      </c>
      <c r="L165" s="11">
        <f t="shared" si="98"/>
        <v>2</v>
      </c>
      <c r="M165" s="69">
        <v>45128</v>
      </c>
      <c r="N165" s="40" t="s">
        <v>130</v>
      </c>
      <c r="O165" s="20">
        <v>1</v>
      </c>
      <c r="P165" s="35">
        <v>5</v>
      </c>
      <c r="Q165" s="21">
        <v>11</v>
      </c>
      <c r="R165" s="38">
        <v>5</v>
      </c>
      <c r="S165" s="9">
        <f t="shared" si="103"/>
        <v>22</v>
      </c>
      <c r="T165" s="20">
        <v>1</v>
      </c>
      <c r="U165" s="35">
        <v>5</v>
      </c>
      <c r="V165" s="21">
        <v>11</v>
      </c>
      <c r="W165" s="24">
        <v>5</v>
      </c>
      <c r="X165" s="25">
        <f t="shared" si="104"/>
        <v>22</v>
      </c>
      <c r="Y165" s="11">
        <f t="shared" si="96"/>
        <v>44</v>
      </c>
      <c r="Z165" s="69">
        <v>45142</v>
      </c>
    </row>
    <row r="166" spans="1:27" x14ac:dyDescent="0.15">
      <c r="A166" s="59" t="s">
        <v>27</v>
      </c>
      <c r="B166" s="20">
        <v>1</v>
      </c>
      <c r="C166" s="35">
        <v>4</v>
      </c>
      <c r="D166" s="21">
        <v>2</v>
      </c>
      <c r="E166" s="24"/>
      <c r="F166" s="25">
        <f t="shared" si="101"/>
        <v>7</v>
      </c>
      <c r="G166" s="20">
        <v>1</v>
      </c>
      <c r="H166" s="35">
        <v>3</v>
      </c>
      <c r="I166" s="21">
        <v>4</v>
      </c>
      <c r="J166" s="24"/>
      <c r="K166" s="25">
        <f t="shared" si="102"/>
        <v>8</v>
      </c>
      <c r="L166" s="11">
        <f t="shared" si="98"/>
        <v>15</v>
      </c>
      <c r="M166" s="69">
        <v>45127</v>
      </c>
      <c r="N166" s="40" t="s">
        <v>131</v>
      </c>
      <c r="O166" s="20">
        <v>5</v>
      </c>
      <c r="P166" s="35">
        <v>8</v>
      </c>
      <c r="Q166" s="21">
        <v>2</v>
      </c>
      <c r="R166" s="38">
        <v>6</v>
      </c>
      <c r="S166" s="9">
        <f t="shared" si="103"/>
        <v>21</v>
      </c>
      <c r="T166" s="20">
        <v>5</v>
      </c>
      <c r="U166" s="35">
        <v>8</v>
      </c>
      <c r="V166" s="21">
        <v>2</v>
      </c>
      <c r="W166" s="24">
        <v>6</v>
      </c>
      <c r="X166" s="25">
        <f t="shared" si="104"/>
        <v>21</v>
      </c>
      <c r="Y166" s="11">
        <f t="shared" si="96"/>
        <v>42</v>
      </c>
      <c r="Z166" s="69">
        <v>45145</v>
      </c>
    </row>
    <row r="167" spans="1:27" x14ac:dyDescent="0.15">
      <c r="A167" s="40" t="s">
        <v>119</v>
      </c>
      <c r="B167" s="20">
        <v>1</v>
      </c>
      <c r="C167" s="35">
        <v>1</v>
      </c>
      <c r="D167" s="21">
        <v>2</v>
      </c>
      <c r="E167" s="24"/>
      <c r="F167" s="25">
        <f t="shared" si="101"/>
        <v>4</v>
      </c>
      <c r="G167" s="20">
        <v>1</v>
      </c>
      <c r="H167" s="35">
        <v>1</v>
      </c>
      <c r="I167" s="21">
        <v>2</v>
      </c>
      <c r="J167" s="24"/>
      <c r="K167" s="25">
        <f t="shared" si="102"/>
        <v>4</v>
      </c>
      <c r="L167" s="11">
        <f t="shared" si="98"/>
        <v>8</v>
      </c>
      <c r="M167" s="69">
        <v>45131</v>
      </c>
      <c r="N167" s="40" t="s">
        <v>132</v>
      </c>
      <c r="O167" s="20">
        <v>4</v>
      </c>
      <c r="P167" s="35">
        <v>9</v>
      </c>
      <c r="Q167" s="21">
        <v>3</v>
      </c>
      <c r="R167" s="38">
        <v>2</v>
      </c>
      <c r="S167" s="9">
        <f t="shared" si="103"/>
        <v>18</v>
      </c>
      <c r="T167" s="20">
        <v>4</v>
      </c>
      <c r="U167" s="35">
        <v>9</v>
      </c>
      <c r="V167" s="21">
        <v>3</v>
      </c>
      <c r="W167" s="24">
        <v>2</v>
      </c>
      <c r="X167" s="25">
        <f t="shared" si="104"/>
        <v>18</v>
      </c>
      <c r="Y167" s="11">
        <f t="shared" si="96"/>
        <v>36</v>
      </c>
      <c r="Z167" s="69">
        <v>45146</v>
      </c>
    </row>
    <row r="168" spans="1:27" x14ac:dyDescent="0.15">
      <c r="A168" s="59" t="s">
        <v>27</v>
      </c>
      <c r="B168" s="20">
        <v>3</v>
      </c>
      <c r="C168" s="35">
        <v>1</v>
      </c>
      <c r="D168" s="21"/>
      <c r="E168" s="24"/>
      <c r="F168" s="25">
        <f t="shared" si="101"/>
        <v>4</v>
      </c>
      <c r="G168" s="20">
        <v>2</v>
      </c>
      <c r="H168" s="35">
        <v>2</v>
      </c>
      <c r="I168" s="21">
        <v>1</v>
      </c>
      <c r="J168" s="24"/>
      <c r="K168" s="25">
        <f t="shared" si="102"/>
        <v>5</v>
      </c>
      <c r="L168" s="11">
        <f t="shared" si="98"/>
        <v>9</v>
      </c>
      <c r="M168" s="71">
        <v>45128</v>
      </c>
      <c r="N168" s="40" t="s">
        <v>26</v>
      </c>
      <c r="O168" s="20">
        <v>5</v>
      </c>
      <c r="P168" s="35">
        <v>5</v>
      </c>
      <c r="Q168" s="21">
        <v>5</v>
      </c>
      <c r="R168" s="38">
        <v>3</v>
      </c>
      <c r="S168" s="9">
        <f>SUM(O168:R168)</f>
        <v>18</v>
      </c>
      <c r="T168" s="20">
        <v>5</v>
      </c>
      <c r="U168" s="35">
        <v>5</v>
      </c>
      <c r="V168" s="21">
        <v>5</v>
      </c>
      <c r="W168" s="24">
        <v>3</v>
      </c>
      <c r="X168" s="25">
        <f>SUM(T168:W168)</f>
        <v>18</v>
      </c>
      <c r="Y168" s="11">
        <f t="shared" si="96"/>
        <v>36</v>
      </c>
      <c r="Z168" s="69">
        <v>45143</v>
      </c>
    </row>
    <row r="169" spans="1:27" x14ac:dyDescent="0.15">
      <c r="A169" s="59" t="s">
        <v>27</v>
      </c>
      <c r="B169" s="20">
        <v>3</v>
      </c>
      <c r="C169" s="35">
        <v>2</v>
      </c>
      <c r="D169" s="21">
        <v>2</v>
      </c>
      <c r="E169" s="24">
        <v>2</v>
      </c>
      <c r="F169" s="25">
        <f t="shared" si="101"/>
        <v>9</v>
      </c>
      <c r="G169" s="20">
        <v>5</v>
      </c>
      <c r="H169" s="35">
        <v>3</v>
      </c>
      <c r="I169" s="21">
        <v>3</v>
      </c>
      <c r="J169" s="24">
        <v>1</v>
      </c>
      <c r="K169" s="25">
        <f t="shared" si="102"/>
        <v>12</v>
      </c>
      <c r="L169" s="11">
        <f t="shared" si="98"/>
        <v>21</v>
      </c>
      <c r="M169" s="71">
        <v>45131</v>
      </c>
      <c r="N169" s="40" t="s">
        <v>26</v>
      </c>
      <c r="O169" s="20"/>
      <c r="P169" s="35"/>
      <c r="Q169" s="21"/>
      <c r="R169" s="38"/>
      <c r="S169" s="9">
        <f>SUM(O169:R169)</f>
        <v>0</v>
      </c>
      <c r="T169" s="20">
        <v>10</v>
      </c>
      <c r="U169" s="35">
        <v>10</v>
      </c>
      <c r="V169" s="21"/>
      <c r="W169" s="24"/>
      <c r="X169" s="25">
        <f>SUM(T169:W169)</f>
        <v>20</v>
      </c>
      <c r="Y169" s="11">
        <f t="shared" ref="Y169:Y171" si="105">S169+X169</f>
        <v>20</v>
      </c>
      <c r="Z169" s="69">
        <v>45146</v>
      </c>
    </row>
    <row r="170" spans="1:27" x14ac:dyDescent="0.15">
      <c r="A170" s="40" t="s">
        <v>121</v>
      </c>
      <c r="B170" s="20"/>
      <c r="C170" s="35"/>
      <c r="D170" s="21"/>
      <c r="E170" s="24">
        <v>1</v>
      </c>
      <c r="F170" s="25">
        <f t="shared" si="101"/>
        <v>1</v>
      </c>
      <c r="G170" s="20"/>
      <c r="H170" s="35"/>
      <c r="I170" s="21"/>
      <c r="J170" s="24">
        <v>1</v>
      </c>
      <c r="K170" s="25">
        <f t="shared" si="102"/>
        <v>1</v>
      </c>
      <c r="L170" s="11">
        <f t="shared" si="98"/>
        <v>2</v>
      </c>
      <c r="M170" s="69">
        <v>45133</v>
      </c>
      <c r="N170" s="40" t="s">
        <v>26</v>
      </c>
      <c r="O170" s="20">
        <v>15</v>
      </c>
      <c r="P170" s="35">
        <v>20</v>
      </c>
      <c r="Q170" s="21">
        <v>20</v>
      </c>
      <c r="R170" s="38">
        <v>10</v>
      </c>
      <c r="S170" s="9">
        <f>SUM(O170:R170)</f>
        <v>65</v>
      </c>
      <c r="T170" s="20">
        <v>15</v>
      </c>
      <c r="U170" s="35">
        <v>15</v>
      </c>
      <c r="V170" s="21">
        <v>30</v>
      </c>
      <c r="W170" s="24">
        <v>15</v>
      </c>
      <c r="X170" s="25">
        <f>SUM(T170:W170)</f>
        <v>75</v>
      </c>
      <c r="Y170" s="11">
        <f t="shared" si="105"/>
        <v>140</v>
      </c>
      <c r="Z170" s="69">
        <v>45147</v>
      </c>
    </row>
    <row r="171" spans="1:27" x14ac:dyDescent="0.15">
      <c r="A171" s="104" t="s">
        <v>122</v>
      </c>
      <c r="B171" s="20"/>
      <c r="C171" s="35"/>
      <c r="D171" s="21"/>
      <c r="E171" s="24">
        <v>1</v>
      </c>
      <c r="F171" s="25">
        <f t="shared" si="101"/>
        <v>1</v>
      </c>
      <c r="G171" s="20"/>
      <c r="H171" s="35"/>
      <c r="I171" s="21"/>
      <c r="J171" s="24">
        <v>1</v>
      </c>
      <c r="K171" s="25">
        <f t="shared" si="102"/>
        <v>1</v>
      </c>
      <c r="L171" s="11">
        <f t="shared" si="98"/>
        <v>2</v>
      </c>
      <c r="M171" s="69">
        <v>45133</v>
      </c>
      <c r="N171" s="40" t="s">
        <v>138</v>
      </c>
      <c r="O171" s="20">
        <v>6</v>
      </c>
      <c r="P171" s="35">
        <v>3</v>
      </c>
      <c r="Q171" s="21">
        <v>5</v>
      </c>
      <c r="R171" s="38">
        <v>2</v>
      </c>
      <c r="S171" s="9">
        <f t="shared" ref="S171" si="106">SUM(O171:R171)</f>
        <v>16</v>
      </c>
      <c r="T171" s="20">
        <v>6</v>
      </c>
      <c r="U171" s="35">
        <v>3</v>
      </c>
      <c r="V171" s="21">
        <v>5</v>
      </c>
      <c r="W171" s="24">
        <v>2</v>
      </c>
      <c r="X171" s="25">
        <f t="shared" ref="X171" si="107">SUM(T171:W171)</f>
        <v>16</v>
      </c>
      <c r="Y171" s="11">
        <f t="shared" si="105"/>
        <v>32</v>
      </c>
      <c r="Z171" s="69">
        <v>45148</v>
      </c>
    </row>
    <row r="172" spans="1:27" x14ac:dyDescent="0.15">
      <c r="A172" s="59" t="s">
        <v>27</v>
      </c>
      <c r="B172" s="20"/>
      <c r="C172" s="35">
        <v>1</v>
      </c>
      <c r="D172" s="21"/>
      <c r="E172" s="24">
        <v>2</v>
      </c>
      <c r="F172" s="25">
        <f t="shared" si="101"/>
        <v>3</v>
      </c>
      <c r="G172" s="20">
        <f>1+2</f>
        <v>3</v>
      </c>
      <c r="H172" s="35">
        <v>1</v>
      </c>
      <c r="I172" s="21">
        <v>1</v>
      </c>
      <c r="J172" s="24">
        <v>1</v>
      </c>
      <c r="K172" s="25">
        <f t="shared" si="102"/>
        <v>6</v>
      </c>
      <c r="L172" s="11">
        <f t="shared" si="98"/>
        <v>9</v>
      </c>
      <c r="M172" s="71">
        <v>45132</v>
      </c>
      <c r="N172" s="40"/>
      <c r="O172" s="20"/>
      <c r="P172" s="35"/>
      <c r="Q172" s="21"/>
      <c r="R172" s="38"/>
      <c r="S172" s="9">
        <f t="shared" si="103"/>
        <v>0</v>
      </c>
      <c r="T172" s="20"/>
      <c r="U172" s="35"/>
      <c r="V172" s="21"/>
      <c r="W172" s="24"/>
      <c r="X172" s="25">
        <f t="shared" si="104"/>
        <v>0</v>
      </c>
      <c r="Y172" s="11">
        <f t="shared" si="96"/>
        <v>0</v>
      </c>
    </row>
    <row r="173" spans="1:27" x14ac:dyDescent="0.15">
      <c r="A173" s="40" t="s">
        <v>123</v>
      </c>
      <c r="B173" s="20"/>
      <c r="C173" s="35">
        <v>1</v>
      </c>
      <c r="D173" s="21"/>
      <c r="E173" s="24"/>
      <c r="F173" s="25">
        <f t="shared" si="101"/>
        <v>1</v>
      </c>
      <c r="G173" s="20"/>
      <c r="H173" s="35">
        <v>1</v>
      </c>
      <c r="I173" s="21"/>
      <c r="J173" s="24"/>
      <c r="K173" s="25">
        <f t="shared" si="102"/>
        <v>1</v>
      </c>
      <c r="L173" s="11">
        <f t="shared" si="98"/>
        <v>2</v>
      </c>
      <c r="M173" s="69">
        <v>45134</v>
      </c>
      <c r="N173" s="40"/>
      <c r="O173" s="20"/>
      <c r="P173" s="35"/>
      <c r="Q173" s="21"/>
      <c r="R173" s="38"/>
      <c r="S173" s="9">
        <f t="shared" si="103"/>
        <v>0</v>
      </c>
      <c r="T173" s="20"/>
      <c r="U173" s="35"/>
      <c r="V173" s="21"/>
      <c r="W173" s="24"/>
      <c r="X173" s="25">
        <f t="shared" si="104"/>
        <v>0</v>
      </c>
      <c r="Y173" s="11">
        <f t="shared" si="96"/>
        <v>0</v>
      </c>
    </row>
    <row r="174" spans="1:27" x14ac:dyDescent="0.15">
      <c r="A174" s="59" t="s">
        <v>27</v>
      </c>
      <c r="B174" s="20">
        <v>3</v>
      </c>
      <c r="C174" s="35">
        <v>1</v>
      </c>
      <c r="D174" s="21">
        <f>1+1</f>
        <v>2</v>
      </c>
      <c r="E174" s="24">
        <v>1</v>
      </c>
      <c r="F174" s="25">
        <f t="shared" si="101"/>
        <v>7</v>
      </c>
      <c r="G174" s="20">
        <v>2</v>
      </c>
      <c r="H174" s="35">
        <v>1</v>
      </c>
      <c r="I174" s="21">
        <f>1+1</f>
        <v>2</v>
      </c>
      <c r="J174" s="24">
        <v>3</v>
      </c>
      <c r="K174" s="25">
        <f t="shared" si="102"/>
        <v>8</v>
      </c>
      <c r="L174" s="11">
        <f t="shared" si="98"/>
        <v>15</v>
      </c>
      <c r="M174" s="69">
        <v>45133</v>
      </c>
      <c r="N174" s="40"/>
      <c r="O174" s="20"/>
      <c r="P174" s="35"/>
      <c r="Q174" s="21"/>
      <c r="R174" s="38"/>
      <c r="S174" s="9">
        <f t="shared" si="103"/>
        <v>0</v>
      </c>
      <c r="T174" s="20"/>
      <c r="U174" s="35"/>
      <c r="V174" s="21"/>
      <c r="W174" s="24"/>
      <c r="X174" s="25">
        <f t="shared" si="104"/>
        <v>0</v>
      </c>
      <c r="Y174" s="11">
        <f t="shared" si="96"/>
        <v>0</v>
      </c>
    </row>
    <row r="175" spans="1:27" x14ac:dyDescent="0.15">
      <c r="A175" s="40" t="s">
        <v>124</v>
      </c>
      <c r="B175" s="20"/>
      <c r="C175" s="35">
        <v>2</v>
      </c>
      <c r="D175" s="21"/>
      <c r="E175" s="24"/>
      <c r="F175" s="25">
        <f t="shared" si="101"/>
        <v>2</v>
      </c>
      <c r="G175" s="20"/>
      <c r="H175" s="35">
        <v>2</v>
      </c>
      <c r="I175" s="21"/>
      <c r="J175" s="24"/>
      <c r="K175" s="25">
        <f t="shared" si="102"/>
        <v>2</v>
      </c>
      <c r="L175" s="11">
        <f t="shared" si="98"/>
        <v>4</v>
      </c>
      <c r="M175" s="69">
        <v>45135</v>
      </c>
      <c r="N175" s="12"/>
      <c r="O175" s="20"/>
      <c r="P175" s="35"/>
      <c r="Q175" s="21"/>
      <c r="R175" s="38"/>
      <c r="S175" s="9">
        <f>SUM(O175:R175)</f>
        <v>0</v>
      </c>
      <c r="T175" s="20"/>
      <c r="U175" s="35"/>
      <c r="V175" s="21"/>
      <c r="W175" s="24"/>
      <c r="X175" s="25">
        <f>SUM(T175:W175)</f>
        <v>0</v>
      </c>
      <c r="Y175" s="11">
        <f t="shared" si="96"/>
        <v>0</v>
      </c>
    </row>
    <row r="176" spans="1:27" x14ac:dyDescent="0.15">
      <c r="A176" s="40" t="s">
        <v>125</v>
      </c>
      <c r="B176" s="20">
        <v>1</v>
      </c>
      <c r="C176" s="35">
        <v>1</v>
      </c>
      <c r="D176" s="21"/>
      <c r="E176" s="24"/>
      <c r="F176" s="25">
        <f t="shared" si="101"/>
        <v>2</v>
      </c>
      <c r="G176" s="20">
        <v>1</v>
      </c>
      <c r="H176" s="35">
        <v>1</v>
      </c>
      <c r="I176" s="21"/>
      <c r="J176" s="24"/>
      <c r="K176" s="25">
        <f t="shared" si="102"/>
        <v>2</v>
      </c>
      <c r="L176" s="11">
        <f t="shared" si="98"/>
        <v>4</v>
      </c>
      <c r="M176" s="69">
        <v>45138</v>
      </c>
      <c r="N176" s="40"/>
      <c r="O176" s="20"/>
      <c r="P176" s="35"/>
      <c r="Q176" s="21"/>
      <c r="R176" s="38"/>
      <c r="S176" s="9">
        <f t="shared" ref="S176:S187" si="108">SUM(O176:R176)</f>
        <v>0</v>
      </c>
      <c r="T176" s="20"/>
      <c r="U176" s="35"/>
      <c r="V176" s="21"/>
      <c r="W176" s="24"/>
      <c r="X176" s="25">
        <f t="shared" ref="X176:X187" si="109">SUM(T176:W176)</f>
        <v>0</v>
      </c>
      <c r="Y176" s="11">
        <f t="shared" si="96"/>
        <v>0</v>
      </c>
    </row>
    <row r="177" spans="1:26" x14ac:dyDescent="0.15">
      <c r="A177" s="59" t="s">
        <v>27</v>
      </c>
      <c r="B177" s="20"/>
      <c r="C177" s="35"/>
      <c r="D177" s="21"/>
      <c r="E177" s="24"/>
      <c r="F177" s="25">
        <f t="shared" si="101"/>
        <v>0</v>
      </c>
      <c r="G177" s="20">
        <v>1</v>
      </c>
      <c r="H177" s="35"/>
      <c r="I177" s="21"/>
      <c r="J177" s="24"/>
      <c r="K177" s="25">
        <f t="shared" si="102"/>
        <v>1</v>
      </c>
      <c r="L177" s="11">
        <f t="shared" si="98"/>
        <v>1</v>
      </c>
      <c r="M177" s="69">
        <v>45135</v>
      </c>
      <c r="N177" s="15"/>
      <c r="O177" s="20"/>
      <c r="P177" s="35"/>
      <c r="Q177" s="21"/>
      <c r="R177" s="38"/>
      <c r="S177" s="9">
        <f t="shared" si="108"/>
        <v>0</v>
      </c>
      <c r="T177" s="20"/>
      <c r="U177" s="35"/>
      <c r="V177" s="21"/>
      <c r="W177" s="24"/>
      <c r="X177" s="25">
        <f t="shared" si="109"/>
        <v>0</v>
      </c>
      <c r="Y177" s="11">
        <f t="shared" si="96"/>
        <v>0</v>
      </c>
    </row>
    <row r="178" spans="1:26" x14ac:dyDescent="0.15">
      <c r="A178" s="40" t="s">
        <v>126</v>
      </c>
      <c r="B178" s="20">
        <v>1</v>
      </c>
      <c r="C178" s="35"/>
      <c r="D178" s="21"/>
      <c r="E178" s="24">
        <v>1</v>
      </c>
      <c r="F178" s="25">
        <f t="shared" si="101"/>
        <v>2</v>
      </c>
      <c r="G178" s="20">
        <v>1</v>
      </c>
      <c r="H178" s="35"/>
      <c r="I178" s="21"/>
      <c r="J178" s="24">
        <v>1</v>
      </c>
      <c r="K178" s="25">
        <f t="shared" si="102"/>
        <v>2</v>
      </c>
      <c r="L178" s="11">
        <f t="shared" si="98"/>
        <v>4</v>
      </c>
      <c r="M178" s="69">
        <v>45139</v>
      </c>
      <c r="N178" s="40"/>
      <c r="O178" s="20"/>
      <c r="P178" s="35"/>
      <c r="Q178" s="21"/>
      <c r="R178" s="38"/>
      <c r="S178" s="9">
        <f t="shared" si="108"/>
        <v>0</v>
      </c>
      <c r="T178" s="20"/>
      <c r="U178" s="35"/>
      <c r="V178" s="21"/>
      <c r="W178" s="24"/>
      <c r="X178" s="25">
        <f t="shared" si="109"/>
        <v>0</v>
      </c>
      <c r="Y178" s="11">
        <f t="shared" si="96"/>
        <v>0</v>
      </c>
    </row>
    <row r="179" spans="1:26" x14ac:dyDescent="0.15">
      <c r="A179" s="104" t="s">
        <v>127</v>
      </c>
      <c r="B179" s="20"/>
      <c r="C179" s="35">
        <v>1</v>
      </c>
      <c r="D179" s="21"/>
      <c r="E179" s="24"/>
      <c r="F179" s="25">
        <f t="shared" si="101"/>
        <v>1</v>
      </c>
      <c r="G179" s="20"/>
      <c r="H179" s="35">
        <v>1</v>
      </c>
      <c r="I179" s="21"/>
      <c r="J179" s="24"/>
      <c r="K179" s="25">
        <f t="shared" si="102"/>
        <v>1</v>
      </c>
      <c r="L179" s="11">
        <f t="shared" si="98"/>
        <v>2</v>
      </c>
      <c r="M179" s="69">
        <v>45139</v>
      </c>
      <c r="N179" s="40"/>
      <c r="O179" s="48"/>
      <c r="P179" s="49"/>
      <c r="Q179" s="50"/>
      <c r="R179" s="72"/>
      <c r="S179" s="74">
        <f t="shared" si="108"/>
        <v>0</v>
      </c>
      <c r="T179" s="48"/>
      <c r="U179" s="49"/>
      <c r="V179" s="50"/>
      <c r="W179" s="51"/>
      <c r="X179" s="52">
        <f t="shared" si="109"/>
        <v>0</v>
      </c>
      <c r="Y179" s="11">
        <f t="shared" si="96"/>
        <v>0</v>
      </c>
    </row>
    <row r="180" spans="1:26" x14ac:dyDescent="0.15">
      <c r="A180" s="59" t="s">
        <v>27</v>
      </c>
      <c r="B180" s="20">
        <v>1</v>
      </c>
      <c r="C180" s="35"/>
      <c r="D180" s="21">
        <v>1</v>
      </c>
      <c r="E180" s="24"/>
      <c r="F180" s="25">
        <f t="shared" si="101"/>
        <v>2</v>
      </c>
      <c r="G180" s="20">
        <v>3</v>
      </c>
      <c r="H180" s="35"/>
      <c r="I180" s="21">
        <v>2</v>
      </c>
      <c r="J180" s="24"/>
      <c r="K180" s="25">
        <f t="shared" si="102"/>
        <v>5</v>
      </c>
      <c r="L180" s="11">
        <f t="shared" si="98"/>
        <v>7</v>
      </c>
      <c r="M180" s="71">
        <v>45138</v>
      </c>
      <c r="N180" s="12"/>
      <c r="O180" s="20"/>
      <c r="P180" s="35"/>
      <c r="Q180" s="21"/>
      <c r="R180" s="38"/>
      <c r="S180" s="9">
        <f t="shared" si="108"/>
        <v>0</v>
      </c>
      <c r="T180" s="20"/>
      <c r="U180" s="35"/>
      <c r="V180" s="21"/>
      <c r="W180" s="24"/>
      <c r="X180" s="25">
        <f t="shared" si="109"/>
        <v>0</v>
      </c>
      <c r="Y180" s="47">
        <f t="shared" si="96"/>
        <v>0</v>
      </c>
    </row>
    <row r="181" spans="1:26" x14ac:dyDescent="0.15">
      <c r="A181" s="59" t="s">
        <v>27</v>
      </c>
      <c r="B181" s="20"/>
      <c r="C181" s="35">
        <v>2</v>
      </c>
      <c r="D181" s="21"/>
      <c r="E181" s="24"/>
      <c r="F181" s="25">
        <f t="shared" si="101"/>
        <v>2</v>
      </c>
      <c r="G181" s="20"/>
      <c r="H181" s="35">
        <v>2</v>
      </c>
      <c r="I181" s="21"/>
      <c r="J181" s="24"/>
      <c r="K181" s="25">
        <f t="shared" si="102"/>
        <v>2</v>
      </c>
      <c r="L181" s="11">
        <f t="shared" si="98"/>
        <v>4</v>
      </c>
      <c r="M181" s="71">
        <v>45139</v>
      </c>
      <c r="N181" s="12"/>
      <c r="O181" s="20"/>
      <c r="P181" s="21"/>
      <c r="Q181" s="35"/>
      <c r="R181" s="73"/>
      <c r="S181" s="9">
        <f t="shared" si="108"/>
        <v>0</v>
      </c>
      <c r="T181" s="20"/>
      <c r="U181" s="35"/>
      <c r="V181" s="35"/>
      <c r="W181" s="24"/>
      <c r="X181" s="25">
        <f t="shared" si="109"/>
        <v>0</v>
      </c>
      <c r="Y181" s="11">
        <f t="shared" si="96"/>
        <v>0</v>
      </c>
    </row>
    <row r="182" spans="1:26" x14ac:dyDescent="0.15">
      <c r="A182" s="59" t="s">
        <v>27</v>
      </c>
      <c r="B182" s="20"/>
      <c r="C182" s="35"/>
      <c r="D182" s="21">
        <v>1</v>
      </c>
      <c r="E182" s="24"/>
      <c r="F182" s="25">
        <f t="shared" si="101"/>
        <v>1</v>
      </c>
      <c r="G182" s="20"/>
      <c r="H182" s="35"/>
      <c r="I182" s="21">
        <v>1</v>
      </c>
      <c r="J182" s="24"/>
      <c r="K182" s="25">
        <f t="shared" si="102"/>
        <v>1</v>
      </c>
      <c r="L182" s="11">
        <f t="shared" si="98"/>
        <v>2</v>
      </c>
      <c r="M182" s="71">
        <v>45141</v>
      </c>
      <c r="N182" s="12"/>
      <c r="O182" s="20"/>
      <c r="P182" s="35"/>
      <c r="Q182" s="21"/>
      <c r="R182" s="38"/>
      <c r="S182" s="9">
        <f t="shared" si="108"/>
        <v>0</v>
      </c>
      <c r="T182" s="20"/>
      <c r="U182" s="35"/>
      <c r="V182" s="21"/>
      <c r="W182" s="24"/>
      <c r="X182" s="25">
        <f t="shared" si="109"/>
        <v>0</v>
      </c>
      <c r="Y182" s="11">
        <f t="shared" si="96"/>
        <v>0</v>
      </c>
    </row>
    <row r="183" spans="1:26" x14ac:dyDescent="0.15">
      <c r="A183" s="59" t="s">
        <v>27</v>
      </c>
      <c r="B183" s="20"/>
      <c r="C183" s="35"/>
      <c r="D183" s="21"/>
      <c r="E183" s="24">
        <v>1</v>
      </c>
      <c r="F183" s="25">
        <f t="shared" si="101"/>
        <v>1</v>
      </c>
      <c r="G183" s="20">
        <v>1</v>
      </c>
      <c r="H183" s="35">
        <v>2</v>
      </c>
      <c r="I183" s="21"/>
      <c r="J183" s="24">
        <v>2</v>
      </c>
      <c r="K183" s="25">
        <f t="shared" si="102"/>
        <v>5</v>
      </c>
      <c r="L183" s="11">
        <f t="shared" si="98"/>
        <v>6</v>
      </c>
      <c r="M183" s="71">
        <v>45143</v>
      </c>
      <c r="N183" s="12"/>
      <c r="O183" s="48"/>
      <c r="P183" s="49"/>
      <c r="Q183" s="50"/>
      <c r="R183" s="72"/>
      <c r="S183" s="74">
        <f t="shared" si="108"/>
        <v>0</v>
      </c>
      <c r="T183" s="48"/>
      <c r="U183" s="49"/>
      <c r="V183" s="50"/>
      <c r="W183" s="51"/>
      <c r="X183" s="52">
        <f t="shared" si="109"/>
        <v>0</v>
      </c>
      <c r="Y183" s="11">
        <f t="shared" si="96"/>
        <v>0</v>
      </c>
    </row>
    <row r="184" spans="1:26" x14ac:dyDescent="0.15">
      <c r="A184" s="59" t="s">
        <v>27</v>
      </c>
      <c r="B184" s="20">
        <f>1+1</f>
        <v>2</v>
      </c>
      <c r="C184" s="35">
        <f>1+4+1</f>
        <v>6</v>
      </c>
      <c r="D184" s="21">
        <f>1+2</f>
        <v>3</v>
      </c>
      <c r="E184" s="24">
        <v>3</v>
      </c>
      <c r="F184" s="25">
        <f t="shared" si="101"/>
        <v>14</v>
      </c>
      <c r="G184" s="20">
        <f>1+4</f>
        <v>5</v>
      </c>
      <c r="H184" s="35">
        <f>3+5</f>
        <v>8</v>
      </c>
      <c r="I184" s="21">
        <v>2</v>
      </c>
      <c r="J184" s="24">
        <v>2</v>
      </c>
      <c r="K184" s="25">
        <f t="shared" si="102"/>
        <v>17</v>
      </c>
      <c r="L184" s="11">
        <f t="shared" si="98"/>
        <v>31</v>
      </c>
      <c r="M184" s="71">
        <v>45145</v>
      </c>
      <c r="N184" s="12"/>
      <c r="O184" s="48"/>
      <c r="P184" s="49"/>
      <c r="Q184" s="50"/>
      <c r="R184" s="72"/>
      <c r="S184" s="74">
        <f t="shared" ref="S184:S185" si="110">SUM(O184:R184)</f>
        <v>0</v>
      </c>
      <c r="T184" s="48"/>
      <c r="U184" s="49"/>
      <c r="V184" s="50"/>
      <c r="W184" s="51"/>
      <c r="X184" s="52">
        <f t="shared" ref="X184:X185" si="111">SUM(T184:W184)</f>
        <v>0</v>
      </c>
      <c r="Y184" s="11">
        <f t="shared" ref="Y184:Y185" si="112">S184+X184</f>
        <v>0</v>
      </c>
    </row>
    <row r="185" spans="1:26" x14ac:dyDescent="0.15">
      <c r="A185" s="59" t="s">
        <v>133</v>
      </c>
      <c r="B185" s="20"/>
      <c r="C185" s="35"/>
      <c r="D185" s="21"/>
      <c r="E185" s="24"/>
      <c r="F185" s="25">
        <f t="shared" si="101"/>
        <v>0</v>
      </c>
      <c r="G185" s="20"/>
      <c r="H185" s="35"/>
      <c r="I185" s="21">
        <v>1</v>
      </c>
      <c r="J185" s="24"/>
      <c r="K185" s="25">
        <f t="shared" si="102"/>
        <v>1</v>
      </c>
      <c r="L185" s="11">
        <f t="shared" si="98"/>
        <v>1</v>
      </c>
      <c r="M185" s="69">
        <v>45146</v>
      </c>
      <c r="N185" s="12" t="s">
        <v>107</v>
      </c>
      <c r="O185" s="20"/>
      <c r="P185" s="35"/>
      <c r="Q185" s="21"/>
      <c r="R185" s="38"/>
      <c r="S185" s="9">
        <f t="shared" si="110"/>
        <v>0</v>
      </c>
      <c r="T185" s="20"/>
      <c r="U185" s="35"/>
      <c r="V185" s="21"/>
      <c r="W185" s="24"/>
      <c r="X185" s="25">
        <f t="shared" si="111"/>
        <v>0</v>
      </c>
      <c r="Y185" s="47">
        <f t="shared" si="112"/>
        <v>0</v>
      </c>
      <c r="Z185" s="162" t="s">
        <v>106</v>
      </c>
    </row>
    <row r="186" spans="1:26" ht="14.25" thickBot="1" x14ac:dyDescent="0.2">
      <c r="A186" s="40" t="s">
        <v>134</v>
      </c>
      <c r="B186" s="43"/>
      <c r="C186" s="44"/>
      <c r="D186" s="45">
        <v>3</v>
      </c>
      <c r="E186" s="46"/>
      <c r="F186" s="25">
        <f t="shared" si="101"/>
        <v>3</v>
      </c>
      <c r="G186" s="43"/>
      <c r="H186" s="44"/>
      <c r="I186" s="45">
        <v>3</v>
      </c>
      <c r="J186" s="46"/>
      <c r="K186" s="25">
        <f t="shared" si="102"/>
        <v>3</v>
      </c>
      <c r="L186" s="14">
        <f t="shared" si="98"/>
        <v>6</v>
      </c>
      <c r="M186" s="69">
        <v>45147</v>
      </c>
      <c r="N186" s="105" t="s">
        <v>77</v>
      </c>
      <c r="O186" s="114"/>
      <c r="P186" s="115"/>
      <c r="Q186" s="116"/>
      <c r="R186" s="117"/>
      <c r="S186" s="60">
        <f t="shared" ref="S186" si="113">SUM(O186:R186)</f>
        <v>0</v>
      </c>
      <c r="T186" s="114"/>
      <c r="U186" s="115"/>
      <c r="V186" s="116"/>
      <c r="W186" s="118"/>
      <c r="X186" s="119">
        <f t="shared" ref="X186" si="114">SUM(T186:W186)</f>
        <v>0</v>
      </c>
      <c r="Y186" s="63">
        <f t="shared" ref="Y186" si="115">S186+X186</f>
        <v>0</v>
      </c>
      <c r="Z186" s="162" t="s">
        <v>78</v>
      </c>
    </row>
    <row r="187" spans="1:26" ht="14.25" thickBot="1" x14ac:dyDescent="0.2">
      <c r="A187" s="16" t="s">
        <v>9</v>
      </c>
      <c r="B187" s="28">
        <f>SUM(B162:B186)</f>
        <v>18</v>
      </c>
      <c r="C187" s="36">
        <f>SUM(C162:C186)</f>
        <v>23</v>
      </c>
      <c r="D187" s="29">
        <f>SUM(D162:D186)</f>
        <v>18</v>
      </c>
      <c r="E187" s="30">
        <f>SUM(E162:E186)</f>
        <v>14</v>
      </c>
      <c r="F187" s="26">
        <f>SUM(B187:E187)</f>
        <v>73</v>
      </c>
      <c r="G187" s="28">
        <f>SUM(G162:G186)</f>
        <v>28</v>
      </c>
      <c r="H187" s="36">
        <f>SUM(H162:H186)</f>
        <v>28</v>
      </c>
      <c r="I187" s="29">
        <f>SUM(I162:I186)</f>
        <v>24</v>
      </c>
      <c r="J187" s="30">
        <f>SUM(J162:J186)</f>
        <v>14</v>
      </c>
      <c r="K187" s="26">
        <f>SUM(G187:J187)</f>
        <v>94</v>
      </c>
      <c r="L187" s="27">
        <f t="shared" si="98"/>
        <v>167</v>
      </c>
      <c r="N187" s="61" t="s">
        <v>9</v>
      </c>
      <c r="O187" s="28">
        <f>SUM(O162:O186)</f>
        <v>62</v>
      </c>
      <c r="P187" s="36">
        <f>SUM(P162:P186)</f>
        <v>83</v>
      </c>
      <c r="Q187" s="29">
        <f>SUM(Q162:Q186)</f>
        <v>52</v>
      </c>
      <c r="R187" s="30">
        <f>SUM(R162:R186)</f>
        <v>50</v>
      </c>
      <c r="S187" s="60">
        <f t="shared" si="108"/>
        <v>247</v>
      </c>
      <c r="T187" s="28">
        <f>SUM(T162:T186)</f>
        <v>72</v>
      </c>
      <c r="U187" s="36">
        <f>SUM(U162:U186)</f>
        <v>88</v>
      </c>
      <c r="V187" s="29">
        <f>SUM(V162:V186)</f>
        <v>67</v>
      </c>
      <c r="W187" s="30">
        <f>SUM(W162:W186)</f>
        <v>55</v>
      </c>
      <c r="X187" s="60">
        <f t="shared" si="109"/>
        <v>282</v>
      </c>
      <c r="Y187" s="63">
        <f t="shared" si="96"/>
        <v>529</v>
      </c>
    </row>
    <row r="188" spans="1:26" ht="14.25" thickBot="1" x14ac:dyDescent="0.2">
      <c r="A188" s="18" t="s">
        <v>10</v>
      </c>
      <c r="B188" s="31">
        <f t="shared" ref="B188:K188" si="116">B161-B187</f>
        <v>23</v>
      </c>
      <c r="C188" s="37">
        <f t="shared" si="116"/>
        <v>17</v>
      </c>
      <c r="D188" s="32">
        <f t="shared" si="116"/>
        <v>17</v>
      </c>
      <c r="E188" s="33">
        <f t="shared" si="116"/>
        <v>21</v>
      </c>
      <c r="F188" s="42">
        <f t="shared" si="116"/>
        <v>78</v>
      </c>
      <c r="G188" s="31">
        <f t="shared" si="116"/>
        <v>21</v>
      </c>
      <c r="H188" s="37">
        <f t="shared" si="116"/>
        <v>20</v>
      </c>
      <c r="I188" s="32">
        <f t="shared" si="116"/>
        <v>13</v>
      </c>
      <c r="J188" s="33">
        <f t="shared" si="116"/>
        <v>21</v>
      </c>
      <c r="K188" s="42">
        <f t="shared" si="116"/>
        <v>75</v>
      </c>
      <c r="L188" s="17">
        <f t="shared" si="98"/>
        <v>153</v>
      </c>
      <c r="N188" s="16" t="s">
        <v>10</v>
      </c>
      <c r="O188" s="31">
        <f t="shared" ref="O188:X188" si="117">O161-O187</f>
        <v>224</v>
      </c>
      <c r="P188" s="37">
        <f t="shared" si="117"/>
        <v>310</v>
      </c>
      <c r="Q188" s="32">
        <f t="shared" si="117"/>
        <v>169</v>
      </c>
      <c r="R188" s="33">
        <f t="shared" si="117"/>
        <v>83</v>
      </c>
      <c r="S188" s="42">
        <f t="shared" si="117"/>
        <v>786</v>
      </c>
      <c r="T188" s="31">
        <f t="shared" si="117"/>
        <v>204</v>
      </c>
      <c r="U188" s="37">
        <f t="shared" si="117"/>
        <v>300</v>
      </c>
      <c r="V188" s="32">
        <f t="shared" si="117"/>
        <v>149</v>
      </c>
      <c r="W188" s="33">
        <f t="shared" si="117"/>
        <v>78</v>
      </c>
      <c r="X188" s="42">
        <f t="shared" si="117"/>
        <v>731</v>
      </c>
      <c r="Y188" s="17">
        <f t="shared" si="96"/>
        <v>1517</v>
      </c>
    </row>
    <row r="191" spans="1:26" ht="19.5" thickBot="1" x14ac:dyDescent="0.25">
      <c r="A191" s="2" t="s">
        <v>17</v>
      </c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N191" s="2" t="s">
        <v>18</v>
      </c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1"/>
    </row>
    <row r="192" spans="1:26" ht="14.25" thickBot="1" x14ac:dyDescent="0.2">
      <c r="A192" s="5" t="s">
        <v>0</v>
      </c>
      <c r="B192" s="244" t="s">
        <v>19</v>
      </c>
      <c r="C192" s="245"/>
      <c r="D192" s="245"/>
      <c r="E192" s="245"/>
      <c r="F192" s="246"/>
      <c r="G192" s="247" t="s">
        <v>20</v>
      </c>
      <c r="H192" s="248"/>
      <c r="I192" s="248"/>
      <c r="J192" s="248"/>
      <c r="K192" s="249"/>
      <c r="L192" s="250" t="s">
        <v>1</v>
      </c>
      <c r="N192" s="5" t="s">
        <v>0</v>
      </c>
      <c r="O192" s="244" t="s">
        <v>19</v>
      </c>
      <c r="P192" s="245"/>
      <c r="Q192" s="245"/>
      <c r="R192" s="245"/>
      <c r="S192" s="246"/>
      <c r="T192" s="247" t="s">
        <v>20</v>
      </c>
      <c r="U192" s="248"/>
      <c r="V192" s="248"/>
      <c r="W192" s="248"/>
      <c r="X192" s="249"/>
      <c r="Y192" s="250" t="s">
        <v>1</v>
      </c>
    </row>
    <row r="193" spans="1:26" ht="14.25" thickBot="1" x14ac:dyDescent="0.2">
      <c r="A193" s="5" t="s">
        <v>2</v>
      </c>
      <c r="B193" s="3" t="s">
        <v>11</v>
      </c>
      <c r="C193" s="34" t="s">
        <v>12</v>
      </c>
      <c r="D193" s="4" t="s">
        <v>13</v>
      </c>
      <c r="E193" s="19" t="s">
        <v>14</v>
      </c>
      <c r="F193" s="23" t="s">
        <v>3</v>
      </c>
      <c r="G193" s="3" t="s">
        <v>11</v>
      </c>
      <c r="H193" s="34" t="s">
        <v>12</v>
      </c>
      <c r="I193" s="4" t="s">
        <v>13</v>
      </c>
      <c r="J193" s="19" t="s">
        <v>14</v>
      </c>
      <c r="K193" s="23" t="s">
        <v>3</v>
      </c>
      <c r="L193" s="251"/>
      <c r="N193" s="5" t="s">
        <v>2</v>
      </c>
      <c r="O193" s="53" t="s">
        <v>11</v>
      </c>
      <c r="P193" s="54" t="s">
        <v>12</v>
      </c>
      <c r="Q193" s="55" t="s">
        <v>13</v>
      </c>
      <c r="R193" s="56" t="s">
        <v>14</v>
      </c>
      <c r="S193" s="23" t="s">
        <v>3</v>
      </c>
      <c r="T193" s="3" t="s">
        <v>11</v>
      </c>
      <c r="U193" s="34" t="s">
        <v>12</v>
      </c>
      <c r="V193" s="4" t="s">
        <v>13</v>
      </c>
      <c r="W193" s="19" t="s">
        <v>14</v>
      </c>
      <c r="X193" s="23" t="s">
        <v>3</v>
      </c>
      <c r="Y193" s="251"/>
    </row>
    <row r="194" spans="1:26" ht="14.25" thickBot="1" x14ac:dyDescent="0.2">
      <c r="A194" s="18" t="s">
        <v>15</v>
      </c>
      <c r="B194" s="31">
        <f>B188</f>
        <v>23</v>
      </c>
      <c r="C194" s="32">
        <f>C188</f>
        <v>17</v>
      </c>
      <c r="D194" s="32">
        <f>D188</f>
        <v>17</v>
      </c>
      <c r="E194" s="33">
        <f>E188</f>
        <v>21</v>
      </c>
      <c r="F194" s="86">
        <f>SUM(B194:E194)</f>
        <v>78</v>
      </c>
      <c r="G194" s="31">
        <f>G188</f>
        <v>21</v>
      </c>
      <c r="H194" s="32">
        <f>H188</f>
        <v>20</v>
      </c>
      <c r="I194" s="32">
        <f>I188</f>
        <v>13</v>
      </c>
      <c r="J194" s="33">
        <f>J188</f>
        <v>21</v>
      </c>
      <c r="K194" s="80">
        <f>SUM(G194:J194)</f>
        <v>75</v>
      </c>
      <c r="L194" s="17">
        <f>F194+K194</f>
        <v>153</v>
      </c>
      <c r="N194" s="18" t="s">
        <v>15</v>
      </c>
      <c r="O194" s="31">
        <f>O188</f>
        <v>224</v>
      </c>
      <c r="P194" s="32">
        <f>P188</f>
        <v>310</v>
      </c>
      <c r="Q194" s="32">
        <f>Q188</f>
        <v>169</v>
      </c>
      <c r="R194" s="33">
        <f>R188</f>
        <v>83</v>
      </c>
      <c r="S194" s="86">
        <f>SUM(O194:R194)</f>
        <v>786</v>
      </c>
      <c r="T194" s="31">
        <f>T188</f>
        <v>204</v>
      </c>
      <c r="U194" s="32">
        <f>U188</f>
        <v>300</v>
      </c>
      <c r="V194" s="32">
        <f>V188</f>
        <v>149</v>
      </c>
      <c r="W194" s="33">
        <f>W188</f>
        <v>78</v>
      </c>
      <c r="X194" s="80">
        <f>SUM(T194:W194)</f>
        <v>731</v>
      </c>
      <c r="Y194" s="17">
        <f t="shared" ref="Y194" si="118">S194+X194</f>
        <v>1517</v>
      </c>
    </row>
    <row r="195" spans="1:26" x14ac:dyDescent="0.15">
      <c r="A195" s="59" t="s">
        <v>4</v>
      </c>
      <c r="B195" s="64">
        <v>15</v>
      </c>
      <c r="C195" s="65">
        <v>20</v>
      </c>
      <c r="D195" s="66">
        <v>20</v>
      </c>
      <c r="E195" s="67">
        <v>10</v>
      </c>
      <c r="F195" s="74">
        <f>SUM(B195:E195)</f>
        <v>65</v>
      </c>
      <c r="G195" s="65">
        <v>15</v>
      </c>
      <c r="H195" s="65">
        <v>15</v>
      </c>
      <c r="I195" s="66">
        <v>30</v>
      </c>
      <c r="J195" s="67">
        <v>15</v>
      </c>
      <c r="K195" s="74">
        <f>SUM(G195:J195)</f>
        <v>75</v>
      </c>
      <c r="L195" s="11">
        <f t="shared" ref="L195:L226" si="119">F195+K195</f>
        <v>140</v>
      </c>
      <c r="M195" s="69">
        <v>45147</v>
      </c>
      <c r="N195" s="59" t="s">
        <v>16</v>
      </c>
      <c r="O195" s="48"/>
      <c r="P195" s="49"/>
      <c r="Q195" s="50"/>
      <c r="R195" s="51"/>
      <c r="S195" s="85">
        <f>SUM(O195:R195)</f>
        <v>0</v>
      </c>
      <c r="T195" s="48"/>
      <c r="U195" s="49"/>
      <c r="V195" s="50"/>
      <c r="W195" s="51"/>
      <c r="X195" s="74">
        <f>SUM(T195:W195)</f>
        <v>0</v>
      </c>
      <c r="Y195" s="11">
        <f t="shared" ref="Y195:Y226" si="120">S195+X195</f>
        <v>0</v>
      </c>
    </row>
    <row r="196" spans="1:26" x14ac:dyDescent="0.15">
      <c r="A196" s="13" t="s">
        <v>140</v>
      </c>
      <c r="B196" s="6"/>
      <c r="C196" s="22">
        <v>-1</v>
      </c>
      <c r="D196" s="7"/>
      <c r="E196" s="8"/>
      <c r="F196" s="9">
        <f>SUM(B196:E196)</f>
        <v>-1</v>
      </c>
      <c r="G196" s="22">
        <v>1</v>
      </c>
      <c r="H196" s="22">
        <v>-1</v>
      </c>
      <c r="I196" s="7"/>
      <c r="J196" s="8">
        <v>-1</v>
      </c>
      <c r="K196" s="9">
        <f>SUM(G196:J196)</f>
        <v>-1</v>
      </c>
      <c r="L196" s="11">
        <f t="shared" si="119"/>
        <v>-2</v>
      </c>
      <c r="M196" s="71">
        <v>45147</v>
      </c>
      <c r="N196" s="13" t="s">
        <v>4</v>
      </c>
      <c r="O196" s="20"/>
      <c r="P196" s="35"/>
      <c r="Q196" s="21"/>
      <c r="R196" s="24"/>
      <c r="S196" s="57">
        <f>SUM(O196:R196)</f>
        <v>0</v>
      </c>
      <c r="T196" s="35"/>
      <c r="U196" s="35"/>
      <c r="V196" s="21"/>
      <c r="W196" s="38"/>
      <c r="X196" s="9">
        <f>SUM(T196:W196)</f>
        <v>0</v>
      </c>
      <c r="Y196" s="11">
        <f t="shared" ref="Y196" si="121">S196+X196</f>
        <v>0</v>
      </c>
    </row>
    <row r="197" spans="1:26" x14ac:dyDescent="0.15">
      <c r="A197" s="13" t="s">
        <v>72</v>
      </c>
      <c r="B197" s="6">
        <v>1</v>
      </c>
      <c r="C197" s="22"/>
      <c r="D197" s="7"/>
      <c r="E197" s="8"/>
      <c r="F197" s="9">
        <f>SUM(B197:E197)</f>
        <v>1</v>
      </c>
      <c r="G197" s="22">
        <v>1</v>
      </c>
      <c r="H197" s="22"/>
      <c r="I197" s="7"/>
      <c r="J197" s="8"/>
      <c r="K197" s="9">
        <f>SUM(G197:J197)</f>
        <v>1</v>
      </c>
      <c r="L197" s="11">
        <f t="shared" si="119"/>
        <v>2</v>
      </c>
      <c r="M197" s="69">
        <v>45148</v>
      </c>
      <c r="N197" s="13" t="s">
        <v>5</v>
      </c>
      <c r="O197" s="20"/>
      <c r="P197" s="35"/>
      <c r="Q197" s="21"/>
      <c r="R197" s="24"/>
      <c r="S197" s="57">
        <f>SUM(O197:R197)</f>
        <v>0</v>
      </c>
      <c r="T197" s="35"/>
      <c r="U197" s="35"/>
      <c r="V197" s="21"/>
      <c r="W197" s="38"/>
      <c r="X197" s="9">
        <f>SUM(T197:W197)</f>
        <v>0</v>
      </c>
      <c r="Y197" s="11">
        <f t="shared" si="120"/>
        <v>0</v>
      </c>
    </row>
    <row r="198" spans="1:26" ht="14.25" thickBot="1" x14ac:dyDescent="0.2">
      <c r="A198" s="13" t="s">
        <v>7</v>
      </c>
      <c r="B198" s="6"/>
      <c r="C198" s="22">
        <v>10</v>
      </c>
      <c r="D198" s="7"/>
      <c r="E198" s="8"/>
      <c r="F198" s="10">
        <f>SUM(B198:E198)</f>
        <v>10</v>
      </c>
      <c r="G198" s="22"/>
      <c r="H198" s="22">
        <v>15</v>
      </c>
      <c r="I198" s="7"/>
      <c r="J198" s="8"/>
      <c r="K198" s="10">
        <f>SUM(G198:J198)</f>
        <v>15</v>
      </c>
      <c r="L198" s="14">
        <f t="shared" si="119"/>
        <v>25</v>
      </c>
      <c r="M198" s="69">
        <v>45167</v>
      </c>
      <c r="N198" s="13" t="s">
        <v>6</v>
      </c>
      <c r="O198" s="43"/>
      <c r="P198" s="44"/>
      <c r="Q198" s="45"/>
      <c r="R198" s="46"/>
      <c r="S198" s="58">
        <f>SUM(O198:R198)</f>
        <v>0</v>
      </c>
      <c r="T198" s="35"/>
      <c r="U198" s="35"/>
      <c r="V198" s="21"/>
      <c r="W198" s="38"/>
      <c r="X198" s="10">
        <f>SUM(T198:W198)</f>
        <v>0</v>
      </c>
      <c r="Y198" s="14">
        <f t="shared" si="120"/>
        <v>0</v>
      </c>
    </row>
    <row r="199" spans="1:26" ht="14.25" thickBot="1" x14ac:dyDescent="0.2">
      <c r="A199" s="18" t="s">
        <v>8</v>
      </c>
      <c r="B199" s="76">
        <f t="shared" ref="B199:K199" si="122">SUM(B194:B198)</f>
        <v>39</v>
      </c>
      <c r="C199" s="77">
        <f t="shared" si="122"/>
        <v>46</v>
      </c>
      <c r="D199" s="78">
        <f t="shared" si="122"/>
        <v>37</v>
      </c>
      <c r="E199" s="79">
        <f t="shared" si="122"/>
        <v>31</v>
      </c>
      <c r="F199" s="80">
        <f t="shared" si="122"/>
        <v>153</v>
      </c>
      <c r="G199" s="76">
        <f t="shared" si="122"/>
        <v>38</v>
      </c>
      <c r="H199" s="77">
        <f t="shared" si="122"/>
        <v>49</v>
      </c>
      <c r="I199" s="78">
        <f t="shared" si="122"/>
        <v>43</v>
      </c>
      <c r="J199" s="79">
        <f t="shared" si="122"/>
        <v>35</v>
      </c>
      <c r="K199" s="80">
        <f t="shared" si="122"/>
        <v>165</v>
      </c>
      <c r="L199" s="17">
        <f t="shared" si="119"/>
        <v>318</v>
      </c>
      <c r="N199" s="16" t="s">
        <v>8</v>
      </c>
      <c r="O199" s="31">
        <f t="shared" ref="O199:X199" si="123">SUM(O194:O198)</f>
        <v>224</v>
      </c>
      <c r="P199" s="37">
        <f t="shared" si="123"/>
        <v>310</v>
      </c>
      <c r="Q199" s="32">
        <f t="shared" si="123"/>
        <v>169</v>
      </c>
      <c r="R199" s="82">
        <f t="shared" si="123"/>
        <v>83</v>
      </c>
      <c r="S199" s="83">
        <f t="shared" si="123"/>
        <v>786</v>
      </c>
      <c r="T199" s="31">
        <f t="shared" si="123"/>
        <v>204</v>
      </c>
      <c r="U199" s="37">
        <f t="shared" si="123"/>
        <v>300</v>
      </c>
      <c r="V199" s="32">
        <f t="shared" si="123"/>
        <v>149</v>
      </c>
      <c r="W199" s="82">
        <f t="shared" si="123"/>
        <v>78</v>
      </c>
      <c r="X199" s="83">
        <f t="shared" si="123"/>
        <v>731</v>
      </c>
      <c r="Y199" s="39">
        <f t="shared" si="120"/>
        <v>1517</v>
      </c>
    </row>
    <row r="200" spans="1:26" x14ac:dyDescent="0.15">
      <c r="A200" s="59" t="s">
        <v>135</v>
      </c>
      <c r="B200" s="48">
        <v>5</v>
      </c>
      <c r="C200" s="49">
        <v>5</v>
      </c>
      <c r="D200" s="50">
        <v>5</v>
      </c>
      <c r="E200" s="51">
        <v>3</v>
      </c>
      <c r="F200" s="52">
        <f t="shared" ref="F200:F224" si="124">SUM(B200:E200)</f>
        <v>18</v>
      </c>
      <c r="G200" s="48">
        <v>5</v>
      </c>
      <c r="H200" s="49">
        <v>5</v>
      </c>
      <c r="I200" s="50">
        <v>5</v>
      </c>
      <c r="J200" s="51">
        <v>3</v>
      </c>
      <c r="K200" s="52">
        <f t="shared" ref="K200:K224" si="125">SUM(G200:J200)</f>
        <v>18</v>
      </c>
      <c r="L200" s="11">
        <f t="shared" si="119"/>
        <v>36</v>
      </c>
      <c r="M200" s="69">
        <v>45147</v>
      </c>
      <c r="N200" s="40" t="s">
        <v>141</v>
      </c>
      <c r="O200" s="48">
        <v>9</v>
      </c>
      <c r="P200" s="49">
        <v>7</v>
      </c>
      <c r="Q200" s="50">
        <v>4</v>
      </c>
      <c r="R200" s="72">
        <v>2</v>
      </c>
      <c r="S200" s="74">
        <f t="shared" ref="S200:S211" si="126">SUM(O200:R200)</f>
        <v>22</v>
      </c>
      <c r="T200" s="48">
        <v>9</v>
      </c>
      <c r="U200" s="49">
        <v>7</v>
      </c>
      <c r="V200" s="50">
        <v>4</v>
      </c>
      <c r="W200" s="51">
        <v>2</v>
      </c>
      <c r="X200" s="52">
        <f t="shared" ref="X200:X211" si="127">SUM(T200:W200)</f>
        <v>22</v>
      </c>
      <c r="Y200" s="11">
        <f t="shared" si="120"/>
        <v>44</v>
      </c>
      <c r="Z200" s="69">
        <v>45154</v>
      </c>
    </row>
    <row r="201" spans="1:26" x14ac:dyDescent="0.15">
      <c r="A201" s="59" t="s">
        <v>27</v>
      </c>
      <c r="B201" s="20">
        <v>2</v>
      </c>
      <c r="C201" s="35">
        <v>1</v>
      </c>
      <c r="D201" s="21"/>
      <c r="E201" s="24">
        <v>2</v>
      </c>
      <c r="F201" s="25">
        <f t="shared" si="124"/>
        <v>5</v>
      </c>
      <c r="G201" s="20">
        <v>3</v>
      </c>
      <c r="H201" s="35">
        <v>1</v>
      </c>
      <c r="I201" s="21">
        <v>2</v>
      </c>
      <c r="J201" s="24">
        <v>2</v>
      </c>
      <c r="K201" s="25">
        <f t="shared" si="125"/>
        <v>8</v>
      </c>
      <c r="L201" s="11">
        <f t="shared" si="119"/>
        <v>13</v>
      </c>
      <c r="M201" s="69">
        <v>45146</v>
      </c>
      <c r="N201" s="40" t="s">
        <v>145</v>
      </c>
      <c r="O201" s="20">
        <v>10</v>
      </c>
      <c r="P201" s="35">
        <v>13</v>
      </c>
      <c r="Q201" s="21">
        <v>3</v>
      </c>
      <c r="R201" s="38">
        <v>3</v>
      </c>
      <c r="S201" s="9">
        <f t="shared" si="126"/>
        <v>29</v>
      </c>
      <c r="T201" s="20">
        <v>10</v>
      </c>
      <c r="U201" s="35">
        <v>13</v>
      </c>
      <c r="V201" s="21">
        <v>3</v>
      </c>
      <c r="W201" s="24">
        <v>3</v>
      </c>
      <c r="X201" s="25">
        <f t="shared" si="127"/>
        <v>29</v>
      </c>
      <c r="Y201" s="11">
        <f t="shared" si="120"/>
        <v>58</v>
      </c>
      <c r="Z201" s="69">
        <v>45156</v>
      </c>
    </row>
    <row r="202" spans="1:26" x14ac:dyDescent="0.15">
      <c r="A202" s="59" t="s">
        <v>27</v>
      </c>
      <c r="B202" s="20"/>
      <c r="C202" s="35"/>
      <c r="D202" s="21">
        <v>1</v>
      </c>
      <c r="E202" s="24"/>
      <c r="F202" s="25">
        <f t="shared" si="124"/>
        <v>1</v>
      </c>
      <c r="G202" s="20"/>
      <c r="H202" s="35"/>
      <c r="I202" s="21">
        <v>1</v>
      </c>
      <c r="J202" s="24"/>
      <c r="K202" s="25">
        <f t="shared" si="125"/>
        <v>1</v>
      </c>
      <c r="L202" s="11">
        <f t="shared" si="119"/>
        <v>2</v>
      </c>
      <c r="M202" s="71">
        <v>45147</v>
      </c>
      <c r="N202" s="40" t="s">
        <v>146</v>
      </c>
      <c r="O202" s="20">
        <v>1</v>
      </c>
      <c r="P202" s="35">
        <v>6</v>
      </c>
      <c r="Q202" s="21">
        <v>6</v>
      </c>
      <c r="R202" s="38">
        <v>1</v>
      </c>
      <c r="S202" s="9">
        <f t="shared" si="126"/>
        <v>14</v>
      </c>
      <c r="T202" s="20">
        <v>1</v>
      </c>
      <c r="U202" s="35">
        <v>6</v>
      </c>
      <c r="V202" s="21">
        <v>6</v>
      </c>
      <c r="W202" s="24">
        <v>1</v>
      </c>
      <c r="X202" s="25">
        <f t="shared" si="127"/>
        <v>14</v>
      </c>
      <c r="Y202" s="11">
        <f t="shared" si="120"/>
        <v>28</v>
      </c>
      <c r="Z202" s="69">
        <v>45159</v>
      </c>
    </row>
    <row r="203" spans="1:26" x14ac:dyDescent="0.15">
      <c r="A203" s="59" t="s">
        <v>27</v>
      </c>
      <c r="B203" s="20">
        <f>1+1</f>
        <v>2</v>
      </c>
      <c r="C203" s="35">
        <f>1+1+1</f>
        <v>3</v>
      </c>
      <c r="D203" s="21">
        <v>1</v>
      </c>
      <c r="E203" s="24"/>
      <c r="F203" s="25">
        <f t="shared" si="124"/>
        <v>6</v>
      </c>
      <c r="G203" s="20">
        <v>2</v>
      </c>
      <c r="H203" s="35">
        <f>1+2+1</f>
        <v>4</v>
      </c>
      <c r="I203" s="21"/>
      <c r="J203" s="24"/>
      <c r="K203" s="25">
        <f t="shared" si="125"/>
        <v>6</v>
      </c>
      <c r="L203" s="11">
        <f t="shared" si="119"/>
        <v>12</v>
      </c>
      <c r="M203" s="71">
        <v>45148</v>
      </c>
      <c r="N203" s="40" t="s">
        <v>147</v>
      </c>
      <c r="O203" s="20">
        <v>1</v>
      </c>
      <c r="P203" s="35">
        <v>2</v>
      </c>
      <c r="Q203" s="21"/>
      <c r="R203" s="38">
        <v>3</v>
      </c>
      <c r="S203" s="9">
        <f t="shared" si="126"/>
        <v>6</v>
      </c>
      <c r="T203" s="20">
        <v>1</v>
      </c>
      <c r="U203" s="35">
        <v>2</v>
      </c>
      <c r="V203" s="21"/>
      <c r="W203" s="24">
        <v>3</v>
      </c>
      <c r="X203" s="25">
        <f t="shared" si="127"/>
        <v>6</v>
      </c>
      <c r="Y203" s="11">
        <f t="shared" si="120"/>
        <v>12</v>
      </c>
      <c r="Z203" s="69">
        <v>45160</v>
      </c>
    </row>
    <row r="204" spans="1:26" x14ac:dyDescent="0.15">
      <c r="A204" s="59" t="s">
        <v>27</v>
      </c>
      <c r="B204" s="20">
        <v>2</v>
      </c>
      <c r="C204" s="35">
        <v>1</v>
      </c>
      <c r="D204" s="21"/>
      <c r="E204" s="24"/>
      <c r="F204" s="25">
        <f t="shared" si="124"/>
        <v>3</v>
      </c>
      <c r="G204" s="20"/>
      <c r="H204" s="35"/>
      <c r="I204" s="21"/>
      <c r="J204" s="24"/>
      <c r="K204" s="25">
        <f t="shared" si="125"/>
        <v>0</v>
      </c>
      <c r="L204" s="11">
        <f t="shared" si="119"/>
        <v>3</v>
      </c>
      <c r="M204" s="71">
        <v>45149</v>
      </c>
      <c r="N204" s="12" t="s">
        <v>149</v>
      </c>
      <c r="O204" s="20">
        <v>10</v>
      </c>
      <c r="P204" s="35">
        <v>20</v>
      </c>
      <c r="Q204" s="21">
        <v>20</v>
      </c>
      <c r="R204" s="38">
        <v>10</v>
      </c>
      <c r="S204" s="9">
        <f t="shared" si="126"/>
        <v>60</v>
      </c>
      <c r="T204" s="20">
        <v>10</v>
      </c>
      <c r="U204" s="35">
        <v>20</v>
      </c>
      <c r="V204" s="21">
        <v>10</v>
      </c>
      <c r="W204" s="24">
        <v>10</v>
      </c>
      <c r="X204" s="25">
        <f t="shared" si="127"/>
        <v>50</v>
      </c>
      <c r="Y204" s="11">
        <f t="shared" si="120"/>
        <v>110</v>
      </c>
      <c r="Z204" s="69">
        <v>45162</v>
      </c>
    </row>
    <row r="205" spans="1:26" x14ac:dyDescent="0.15">
      <c r="A205" s="59" t="s">
        <v>27</v>
      </c>
      <c r="B205" s="20"/>
      <c r="C205" s="35">
        <v>2</v>
      </c>
      <c r="D205" s="21">
        <v>1</v>
      </c>
      <c r="E205" s="24"/>
      <c r="F205" s="25">
        <f t="shared" si="124"/>
        <v>3</v>
      </c>
      <c r="G205" s="20"/>
      <c r="H205" s="35">
        <v>3</v>
      </c>
      <c r="I205" s="21">
        <v>1</v>
      </c>
      <c r="J205" s="24"/>
      <c r="K205" s="25">
        <f t="shared" si="125"/>
        <v>4</v>
      </c>
      <c r="L205" s="11">
        <f t="shared" si="119"/>
        <v>7</v>
      </c>
      <c r="M205" s="71">
        <v>45154</v>
      </c>
      <c r="N205" s="40" t="s">
        <v>150</v>
      </c>
      <c r="O205" s="20"/>
      <c r="P205" s="35"/>
      <c r="Q205" s="21"/>
      <c r="R205" s="38">
        <v>3</v>
      </c>
      <c r="S205" s="9">
        <f t="shared" si="126"/>
        <v>3</v>
      </c>
      <c r="T205" s="20"/>
      <c r="U205" s="35"/>
      <c r="V205" s="21"/>
      <c r="W205" s="24">
        <v>3</v>
      </c>
      <c r="X205" s="25">
        <f t="shared" si="127"/>
        <v>3</v>
      </c>
      <c r="Y205" s="11">
        <f t="shared" si="120"/>
        <v>6</v>
      </c>
      <c r="Z205" s="69">
        <v>45162</v>
      </c>
    </row>
    <row r="206" spans="1:26" x14ac:dyDescent="0.15">
      <c r="A206" s="59" t="s">
        <v>133</v>
      </c>
      <c r="B206" s="20"/>
      <c r="C206" s="35"/>
      <c r="D206" s="21"/>
      <c r="E206" s="24"/>
      <c r="F206" s="25">
        <f t="shared" si="124"/>
        <v>0</v>
      </c>
      <c r="G206" s="20"/>
      <c r="H206" s="35">
        <v>1</v>
      </c>
      <c r="I206" s="21"/>
      <c r="J206" s="24"/>
      <c r="K206" s="25">
        <f t="shared" si="125"/>
        <v>1</v>
      </c>
      <c r="L206" s="11">
        <f t="shared" si="119"/>
        <v>1</v>
      </c>
      <c r="M206" s="69">
        <v>45155</v>
      </c>
      <c r="N206" s="12" t="s">
        <v>151</v>
      </c>
      <c r="O206" s="20">
        <v>30</v>
      </c>
      <c r="P206" s="35">
        <v>40</v>
      </c>
      <c r="Q206" s="21">
        <v>30</v>
      </c>
      <c r="R206" s="38">
        <v>15</v>
      </c>
      <c r="S206" s="9">
        <f t="shared" si="126"/>
        <v>115</v>
      </c>
      <c r="T206" s="20">
        <v>30</v>
      </c>
      <c r="U206" s="35">
        <v>40</v>
      </c>
      <c r="V206" s="21">
        <v>30</v>
      </c>
      <c r="W206" s="24">
        <v>15</v>
      </c>
      <c r="X206" s="25">
        <f t="shared" si="127"/>
        <v>115</v>
      </c>
      <c r="Y206" s="11">
        <f t="shared" si="120"/>
        <v>230</v>
      </c>
      <c r="Z206" s="69">
        <v>45163</v>
      </c>
    </row>
    <row r="207" spans="1:26" x14ac:dyDescent="0.15">
      <c r="A207" s="59" t="s">
        <v>27</v>
      </c>
      <c r="B207" s="20"/>
      <c r="C207" s="35">
        <v>1</v>
      </c>
      <c r="D207" s="21"/>
      <c r="E207" s="24"/>
      <c r="F207" s="25">
        <f t="shared" si="124"/>
        <v>1</v>
      </c>
      <c r="G207" s="20"/>
      <c r="H207" s="35">
        <v>1</v>
      </c>
      <c r="I207" s="21"/>
      <c r="J207" s="24"/>
      <c r="K207" s="25">
        <f t="shared" si="125"/>
        <v>1</v>
      </c>
      <c r="L207" s="11">
        <f t="shared" si="119"/>
        <v>2</v>
      </c>
      <c r="M207" s="71">
        <v>45156</v>
      </c>
      <c r="N207" s="40" t="s">
        <v>152</v>
      </c>
      <c r="O207" s="20"/>
      <c r="P207" s="35">
        <v>2</v>
      </c>
      <c r="Q207" s="21"/>
      <c r="R207" s="38">
        <v>1</v>
      </c>
      <c r="S207" s="9">
        <f t="shared" si="126"/>
        <v>3</v>
      </c>
      <c r="T207" s="20"/>
      <c r="U207" s="35">
        <v>2</v>
      </c>
      <c r="V207" s="21"/>
      <c r="W207" s="24">
        <v>1</v>
      </c>
      <c r="X207" s="25">
        <f t="shared" si="127"/>
        <v>3</v>
      </c>
      <c r="Y207" s="11">
        <f t="shared" si="120"/>
        <v>6</v>
      </c>
      <c r="Z207" s="69">
        <v>45166</v>
      </c>
    </row>
    <row r="208" spans="1:26" x14ac:dyDescent="0.15">
      <c r="A208" s="59" t="s">
        <v>148</v>
      </c>
      <c r="B208" s="20"/>
      <c r="C208" s="35"/>
      <c r="D208" s="21"/>
      <c r="E208" s="24"/>
      <c r="F208" s="25">
        <f t="shared" si="124"/>
        <v>0</v>
      </c>
      <c r="G208" s="20"/>
      <c r="H208" s="35"/>
      <c r="I208" s="21"/>
      <c r="J208" s="24">
        <v>3</v>
      </c>
      <c r="K208" s="25">
        <f t="shared" si="125"/>
        <v>3</v>
      </c>
      <c r="L208" s="11">
        <f t="shared" si="119"/>
        <v>3</v>
      </c>
      <c r="M208" s="69">
        <v>45160</v>
      </c>
      <c r="N208" s="12" t="s">
        <v>155</v>
      </c>
      <c r="O208" s="20"/>
      <c r="P208" s="35"/>
      <c r="Q208" s="21">
        <v>10</v>
      </c>
      <c r="R208" s="38">
        <v>25</v>
      </c>
      <c r="S208" s="9">
        <f t="shared" si="126"/>
        <v>35</v>
      </c>
      <c r="T208" s="20"/>
      <c r="U208" s="35"/>
      <c r="V208" s="21"/>
      <c r="W208" s="24">
        <v>5</v>
      </c>
      <c r="X208" s="25">
        <f t="shared" si="127"/>
        <v>5</v>
      </c>
      <c r="Y208" s="11">
        <f t="shared" si="120"/>
        <v>40</v>
      </c>
      <c r="Z208" s="69">
        <v>45167</v>
      </c>
    </row>
    <row r="209" spans="1:26" x14ac:dyDescent="0.15">
      <c r="A209" s="59" t="s">
        <v>27</v>
      </c>
      <c r="B209" s="20"/>
      <c r="C209" s="35">
        <v>1</v>
      </c>
      <c r="D209" s="21"/>
      <c r="E209" s="24"/>
      <c r="F209" s="25">
        <f t="shared" si="124"/>
        <v>1</v>
      </c>
      <c r="G209" s="20"/>
      <c r="H209" s="35">
        <v>1</v>
      </c>
      <c r="I209" s="21"/>
      <c r="J209" s="24"/>
      <c r="K209" s="25">
        <f t="shared" si="125"/>
        <v>1</v>
      </c>
      <c r="L209" s="11">
        <f t="shared" si="119"/>
        <v>2</v>
      </c>
      <c r="M209" s="71">
        <v>45160</v>
      </c>
      <c r="N209" s="40" t="s">
        <v>26</v>
      </c>
      <c r="O209" s="20"/>
      <c r="P209" s="35">
        <v>10</v>
      </c>
      <c r="Q209" s="21"/>
      <c r="R209" s="38"/>
      <c r="S209" s="9">
        <f>SUM(O209:R209)</f>
        <v>10</v>
      </c>
      <c r="T209" s="20"/>
      <c r="U209" s="35">
        <v>15</v>
      </c>
      <c r="V209" s="21"/>
      <c r="W209" s="24"/>
      <c r="X209" s="25">
        <f>SUM(T209:W209)</f>
        <v>15</v>
      </c>
      <c r="Y209" s="11">
        <f t="shared" si="120"/>
        <v>25</v>
      </c>
      <c r="Z209" s="69">
        <v>45167</v>
      </c>
    </row>
    <row r="210" spans="1:26" x14ac:dyDescent="0.15">
      <c r="A210" s="59" t="s">
        <v>27</v>
      </c>
      <c r="B210" s="20"/>
      <c r="C210" s="35">
        <v>1</v>
      </c>
      <c r="D210" s="21"/>
      <c r="E210" s="24"/>
      <c r="F210" s="25">
        <f t="shared" si="124"/>
        <v>1</v>
      </c>
      <c r="G210" s="20"/>
      <c r="H210" s="35">
        <v>1</v>
      </c>
      <c r="I210" s="21"/>
      <c r="J210" s="24"/>
      <c r="K210" s="25">
        <f t="shared" si="125"/>
        <v>1</v>
      </c>
      <c r="L210" s="11">
        <f t="shared" si="119"/>
        <v>2</v>
      </c>
      <c r="M210" s="69">
        <v>45161</v>
      </c>
      <c r="N210" s="12" t="s">
        <v>159</v>
      </c>
      <c r="O210" s="20">
        <v>10</v>
      </c>
      <c r="P210" s="35">
        <v>10</v>
      </c>
      <c r="Q210" s="21">
        <v>10</v>
      </c>
      <c r="R210" s="38">
        <v>5</v>
      </c>
      <c r="S210" s="9">
        <f t="shared" si="126"/>
        <v>35</v>
      </c>
      <c r="T210" s="20"/>
      <c r="U210" s="35"/>
      <c r="V210" s="21"/>
      <c r="W210" s="24">
        <v>20</v>
      </c>
      <c r="X210" s="25">
        <f t="shared" si="127"/>
        <v>20</v>
      </c>
      <c r="Y210" s="11">
        <f t="shared" si="120"/>
        <v>55</v>
      </c>
      <c r="Z210" s="69">
        <v>45170</v>
      </c>
    </row>
    <row r="211" spans="1:26" x14ac:dyDescent="0.15">
      <c r="A211" s="59" t="s">
        <v>133</v>
      </c>
      <c r="B211" s="20"/>
      <c r="C211" s="35">
        <v>1</v>
      </c>
      <c r="D211" s="21"/>
      <c r="E211" s="24"/>
      <c r="F211" s="25">
        <f t="shared" si="124"/>
        <v>1</v>
      </c>
      <c r="G211" s="20"/>
      <c r="H211" s="35">
        <v>2</v>
      </c>
      <c r="I211" s="21"/>
      <c r="J211" s="24"/>
      <c r="K211" s="25">
        <f t="shared" si="125"/>
        <v>2</v>
      </c>
      <c r="L211" s="11">
        <f t="shared" si="119"/>
        <v>3</v>
      </c>
      <c r="M211" s="69">
        <v>45167</v>
      </c>
      <c r="N211" s="12" t="s">
        <v>160</v>
      </c>
      <c r="O211" s="20">
        <v>30</v>
      </c>
      <c r="P211" s="35">
        <v>40</v>
      </c>
      <c r="Q211" s="21"/>
      <c r="R211" s="38"/>
      <c r="S211" s="9">
        <f t="shared" si="126"/>
        <v>70</v>
      </c>
      <c r="T211" s="20"/>
      <c r="U211" s="35">
        <v>35</v>
      </c>
      <c r="V211" s="21"/>
      <c r="W211" s="24"/>
      <c r="X211" s="25">
        <f t="shared" si="127"/>
        <v>35</v>
      </c>
      <c r="Y211" s="11">
        <f t="shared" si="120"/>
        <v>105</v>
      </c>
      <c r="Z211" s="69">
        <v>45171</v>
      </c>
    </row>
    <row r="212" spans="1:26" x14ac:dyDescent="0.15">
      <c r="A212" s="59" t="s">
        <v>153</v>
      </c>
      <c r="B212" s="20"/>
      <c r="C212" s="35">
        <v>1</v>
      </c>
      <c r="D212" s="21"/>
      <c r="E212" s="24">
        <v>1</v>
      </c>
      <c r="F212" s="25">
        <f t="shared" si="124"/>
        <v>2</v>
      </c>
      <c r="G212" s="20">
        <v>2</v>
      </c>
      <c r="H212" s="35">
        <v>3</v>
      </c>
      <c r="I212" s="21"/>
      <c r="J212" s="24"/>
      <c r="K212" s="25">
        <f t="shared" si="125"/>
        <v>5</v>
      </c>
      <c r="L212" s="11">
        <f t="shared" si="119"/>
        <v>7</v>
      </c>
      <c r="M212" s="69">
        <v>45164</v>
      </c>
      <c r="N212" s="40" t="s">
        <v>26</v>
      </c>
      <c r="O212" s="20">
        <v>5</v>
      </c>
      <c r="P212" s="35">
        <v>5</v>
      </c>
      <c r="Q212" s="21">
        <v>5</v>
      </c>
      <c r="R212" s="38">
        <v>5</v>
      </c>
      <c r="S212" s="9">
        <f>SUM(O212:R212)</f>
        <v>20</v>
      </c>
      <c r="T212" s="20">
        <v>10</v>
      </c>
      <c r="U212" s="35">
        <v>10</v>
      </c>
      <c r="V212" s="21"/>
      <c r="W212" s="24">
        <v>5</v>
      </c>
      <c r="X212" s="25">
        <f>SUM(T212:W212)</f>
        <v>25</v>
      </c>
      <c r="Y212" s="11">
        <f t="shared" si="120"/>
        <v>45</v>
      </c>
      <c r="Z212" s="69">
        <v>45171</v>
      </c>
    </row>
    <row r="213" spans="1:26" x14ac:dyDescent="0.15">
      <c r="A213" s="40" t="s">
        <v>154</v>
      </c>
      <c r="B213" s="20">
        <v>2</v>
      </c>
      <c r="C213" s="35">
        <v>2</v>
      </c>
      <c r="D213" s="21"/>
      <c r="E213" s="24"/>
      <c r="F213" s="25">
        <f t="shared" si="124"/>
        <v>4</v>
      </c>
      <c r="G213" s="20">
        <v>2</v>
      </c>
      <c r="H213" s="35">
        <v>2</v>
      </c>
      <c r="I213" s="21"/>
      <c r="J213" s="24"/>
      <c r="K213" s="25">
        <f t="shared" si="125"/>
        <v>4</v>
      </c>
      <c r="L213" s="11">
        <f t="shared" si="119"/>
        <v>8</v>
      </c>
      <c r="M213" s="69">
        <v>45167</v>
      </c>
      <c r="N213" s="12"/>
      <c r="O213" s="20"/>
      <c r="P213" s="35"/>
      <c r="Q213" s="21"/>
      <c r="R213" s="38"/>
      <c r="S213" s="9">
        <f>SUM(O213:R213)</f>
        <v>0</v>
      </c>
      <c r="T213" s="20"/>
      <c r="U213" s="35"/>
      <c r="V213" s="21"/>
      <c r="W213" s="24"/>
      <c r="X213" s="25">
        <f>SUM(T213:W213)</f>
        <v>0</v>
      </c>
      <c r="Y213" s="11">
        <f t="shared" si="120"/>
        <v>0</v>
      </c>
    </row>
    <row r="214" spans="1:26" x14ac:dyDescent="0.15">
      <c r="A214" s="59" t="s">
        <v>27</v>
      </c>
      <c r="B214" s="20"/>
      <c r="C214" s="35">
        <v>1</v>
      </c>
      <c r="D214" s="21"/>
      <c r="E214" s="24"/>
      <c r="F214" s="25">
        <f t="shared" si="124"/>
        <v>1</v>
      </c>
      <c r="G214" s="20"/>
      <c r="H214" s="35">
        <v>2</v>
      </c>
      <c r="I214" s="21"/>
      <c r="J214" s="24"/>
      <c r="K214" s="25">
        <f t="shared" si="125"/>
        <v>2</v>
      </c>
      <c r="L214" s="11">
        <f t="shared" si="119"/>
        <v>3</v>
      </c>
      <c r="M214" s="71">
        <v>45166</v>
      </c>
      <c r="N214" s="40"/>
      <c r="O214" s="20"/>
      <c r="P214" s="35"/>
      <c r="Q214" s="21"/>
      <c r="R214" s="38"/>
      <c r="S214" s="9">
        <f t="shared" ref="S214:S225" si="128">SUM(O214:R214)</f>
        <v>0</v>
      </c>
      <c r="T214" s="20"/>
      <c r="U214" s="35"/>
      <c r="V214" s="21"/>
      <c r="W214" s="24"/>
      <c r="X214" s="25">
        <f t="shared" ref="X214:X225" si="129">SUM(T214:W214)</f>
        <v>0</v>
      </c>
      <c r="Y214" s="11">
        <f t="shared" si="120"/>
        <v>0</v>
      </c>
    </row>
    <row r="215" spans="1:26" x14ac:dyDescent="0.15">
      <c r="A215" s="40" t="s">
        <v>156</v>
      </c>
      <c r="B215" s="20">
        <v>1</v>
      </c>
      <c r="C215" s="35"/>
      <c r="D215" s="21"/>
      <c r="E215" s="24">
        <v>1</v>
      </c>
      <c r="F215" s="25">
        <f t="shared" si="124"/>
        <v>2</v>
      </c>
      <c r="G215" s="20">
        <v>1</v>
      </c>
      <c r="H215" s="35"/>
      <c r="I215" s="21"/>
      <c r="J215" s="24">
        <v>1</v>
      </c>
      <c r="K215" s="25">
        <f t="shared" si="125"/>
        <v>2</v>
      </c>
      <c r="L215" s="11">
        <f t="shared" si="119"/>
        <v>4</v>
      </c>
      <c r="M215" s="69">
        <v>45168</v>
      </c>
      <c r="N215" s="15"/>
      <c r="O215" s="20"/>
      <c r="P215" s="35"/>
      <c r="Q215" s="21"/>
      <c r="R215" s="38"/>
      <c r="S215" s="9">
        <f t="shared" si="128"/>
        <v>0</v>
      </c>
      <c r="T215" s="20"/>
      <c r="U215" s="35"/>
      <c r="V215" s="21"/>
      <c r="W215" s="24"/>
      <c r="X215" s="25">
        <f t="shared" si="129"/>
        <v>0</v>
      </c>
      <c r="Y215" s="11">
        <f t="shared" si="120"/>
        <v>0</v>
      </c>
    </row>
    <row r="216" spans="1:26" x14ac:dyDescent="0.15">
      <c r="A216" s="40" t="s">
        <v>157</v>
      </c>
      <c r="B216" s="20">
        <v>1</v>
      </c>
      <c r="C216" s="35">
        <v>1</v>
      </c>
      <c r="D216" s="21"/>
      <c r="E216" s="24"/>
      <c r="F216" s="25">
        <f t="shared" si="124"/>
        <v>2</v>
      </c>
      <c r="G216" s="20">
        <v>1</v>
      </c>
      <c r="H216" s="35">
        <v>1</v>
      </c>
      <c r="I216" s="21"/>
      <c r="J216" s="24"/>
      <c r="K216" s="25">
        <f t="shared" si="125"/>
        <v>2</v>
      </c>
      <c r="L216" s="11">
        <f t="shared" si="119"/>
        <v>4</v>
      </c>
      <c r="M216" s="69">
        <v>45169</v>
      </c>
      <c r="N216" s="40"/>
      <c r="O216" s="20"/>
      <c r="P216" s="35"/>
      <c r="Q216" s="21"/>
      <c r="R216" s="38"/>
      <c r="S216" s="9">
        <f t="shared" si="128"/>
        <v>0</v>
      </c>
      <c r="T216" s="20"/>
      <c r="U216" s="35"/>
      <c r="V216" s="21"/>
      <c r="W216" s="24"/>
      <c r="X216" s="25">
        <f t="shared" si="129"/>
        <v>0</v>
      </c>
      <c r="Y216" s="11">
        <f t="shared" si="120"/>
        <v>0</v>
      </c>
    </row>
    <row r="217" spans="1:26" x14ac:dyDescent="0.15">
      <c r="A217" s="59" t="s">
        <v>27</v>
      </c>
      <c r="B217" s="20"/>
      <c r="C217" s="35">
        <v>1</v>
      </c>
      <c r="D217" s="21"/>
      <c r="E217" s="24"/>
      <c r="F217" s="25">
        <f t="shared" ref="F217:F218" si="130">SUM(B217:E217)</f>
        <v>1</v>
      </c>
      <c r="G217" s="20"/>
      <c r="H217" s="35">
        <v>1</v>
      </c>
      <c r="I217" s="21"/>
      <c r="J217" s="24"/>
      <c r="K217" s="25">
        <f t="shared" ref="K217:K218" si="131">SUM(G217:J217)</f>
        <v>1</v>
      </c>
      <c r="L217" s="11">
        <f t="shared" ref="L217:L218" si="132">F217+K217</f>
        <v>2</v>
      </c>
      <c r="M217" s="69">
        <v>45169</v>
      </c>
      <c r="N217" s="40"/>
      <c r="O217" s="48"/>
      <c r="P217" s="49"/>
      <c r="Q217" s="50"/>
      <c r="R217" s="72"/>
      <c r="S217" s="74">
        <f t="shared" si="128"/>
        <v>0</v>
      </c>
      <c r="T217" s="48"/>
      <c r="U217" s="49"/>
      <c r="V217" s="50"/>
      <c r="W217" s="51"/>
      <c r="X217" s="52">
        <f t="shared" si="129"/>
        <v>0</v>
      </c>
      <c r="Y217" s="11">
        <f t="shared" si="120"/>
        <v>0</v>
      </c>
    </row>
    <row r="218" spans="1:26" x14ac:dyDescent="0.15">
      <c r="A218" s="40" t="s">
        <v>158</v>
      </c>
      <c r="B218" s="20"/>
      <c r="C218" s="35">
        <v>2</v>
      </c>
      <c r="D218" s="21"/>
      <c r="E218" s="24"/>
      <c r="F218" s="25">
        <f t="shared" si="130"/>
        <v>2</v>
      </c>
      <c r="G218" s="20"/>
      <c r="H218" s="35">
        <v>2</v>
      </c>
      <c r="I218" s="21"/>
      <c r="J218" s="24"/>
      <c r="K218" s="25">
        <f t="shared" si="131"/>
        <v>2</v>
      </c>
      <c r="L218" s="11">
        <f t="shared" si="132"/>
        <v>4</v>
      </c>
      <c r="M218" s="69">
        <v>45170</v>
      </c>
      <c r="N218" s="12"/>
      <c r="O218" s="20"/>
      <c r="P218" s="35"/>
      <c r="Q218" s="21"/>
      <c r="R218" s="38"/>
      <c r="S218" s="9">
        <f t="shared" si="128"/>
        <v>0</v>
      </c>
      <c r="T218" s="20"/>
      <c r="U218" s="35"/>
      <c r="V218" s="21"/>
      <c r="W218" s="24"/>
      <c r="X218" s="25">
        <f t="shared" si="129"/>
        <v>0</v>
      </c>
      <c r="Y218" s="47">
        <f t="shared" si="120"/>
        <v>0</v>
      </c>
    </row>
    <row r="219" spans="1:26" x14ac:dyDescent="0.15">
      <c r="A219" s="40" t="s">
        <v>161</v>
      </c>
      <c r="B219" s="20">
        <v>1</v>
      </c>
      <c r="C219" s="35"/>
      <c r="D219" s="21">
        <v>1</v>
      </c>
      <c r="E219" s="24"/>
      <c r="F219" s="25">
        <f t="shared" si="124"/>
        <v>2</v>
      </c>
      <c r="G219" s="20">
        <v>1</v>
      </c>
      <c r="H219" s="35"/>
      <c r="I219" s="21">
        <v>1</v>
      </c>
      <c r="J219" s="24"/>
      <c r="K219" s="25">
        <f t="shared" si="125"/>
        <v>2</v>
      </c>
      <c r="L219" s="11">
        <f t="shared" si="119"/>
        <v>4</v>
      </c>
      <c r="M219" s="69">
        <v>45173</v>
      </c>
      <c r="N219" s="12"/>
      <c r="O219" s="20"/>
      <c r="P219" s="35"/>
      <c r="Q219" s="21"/>
      <c r="R219" s="38"/>
      <c r="S219" s="9">
        <f t="shared" si="128"/>
        <v>0</v>
      </c>
      <c r="T219" s="20"/>
      <c r="U219" s="35"/>
      <c r="V219" s="21"/>
      <c r="W219" s="24"/>
      <c r="X219" s="25">
        <f t="shared" si="129"/>
        <v>0</v>
      </c>
      <c r="Y219" s="47">
        <f t="shared" si="120"/>
        <v>0</v>
      </c>
    </row>
    <row r="220" spans="1:26" x14ac:dyDescent="0.15">
      <c r="A220" s="12" t="s">
        <v>162</v>
      </c>
      <c r="B220" s="20"/>
      <c r="C220" s="35"/>
      <c r="D220" s="21"/>
      <c r="E220" s="24"/>
      <c r="F220" s="25">
        <f t="shared" si="124"/>
        <v>0</v>
      </c>
      <c r="G220" s="20">
        <v>5</v>
      </c>
      <c r="H220" s="35"/>
      <c r="I220" s="21"/>
      <c r="J220" s="24"/>
      <c r="K220" s="25">
        <f t="shared" si="125"/>
        <v>5</v>
      </c>
      <c r="L220" s="11">
        <f t="shared" si="119"/>
        <v>5</v>
      </c>
      <c r="M220" s="69">
        <v>45173</v>
      </c>
      <c r="N220" s="12"/>
      <c r="O220" s="20"/>
      <c r="P220" s="35"/>
      <c r="Q220" s="21"/>
      <c r="R220" s="38"/>
      <c r="S220" s="9">
        <f t="shared" ref="S220" si="133">SUM(O220:R220)</f>
        <v>0</v>
      </c>
      <c r="T220" s="20"/>
      <c r="U220" s="35"/>
      <c r="V220" s="21"/>
      <c r="W220" s="24"/>
      <c r="X220" s="25">
        <f t="shared" ref="X220" si="134">SUM(T220:W220)</f>
        <v>0</v>
      </c>
      <c r="Y220" s="47">
        <f t="shared" ref="Y220" si="135">S220+X220</f>
        <v>0</v>
      </c>
    </row>
    <row r="221" spans="1:26" x14ac:dyDescent="0.15">
      <c r="A221" s="59" t="s">
        <v>27</v>
      </c>
      <c r="B221" s="20"/>
      <c r="C221" s="35"/>
      <c r="D221" s="21"/>
      <c r="E221" s="24">
        <v>1</v>
      </c>
      <c r="F221" s="25">
        <f t="shared" si="124"/>
        <v>1</v>
      </c>
      <c r="G221" s="20"/>
      <c r="H221" s="35"/>
      <c r="I221" s="21"/>
      <c r="J221" s="24">
        <v>1</v>
      </c>
      <c r="K221" s="25">
        <f t="shared" si="125"/>
        <v>1</v>
      </c>
      <c r="L221" s="11">
        <f t="shared" si="119"/>
        <v>2</v>
      </c>
      <c r="M221" s="71">
        <v>45170</v>
      </c>
      <c r="N221" s="12"/>
      <c r="O221" s="20"/>
      <c r="P221" s="35"/>
      <c r="Q221" s="21"/>
      <c r="R221" s="38"/>
      <c r="S221" s="9">
        <f t="shared" ref="S221:S224" si="136">SUM(O221:R221)</f>
        <v>0</v>
      </c>
      <c r="T221" s="20"/>
      <c r="U221" s="35"/>
      <c r="V221" s="21"/>
      <c r="W221" s="24"/>
      <c r="X221" s="25">
        <f t="shared" ref="X221:X224" si="137">SUM(T221:W221)</f>
        <v>0</v>
      </c>
      <c r="Y221" s="47">
        <f t="shared" ref="Y221:Y224" si="138">S221+X221</f>
        <v>0</v>
      </c>
    </row>
    <row r="222" spans="1:26" x14ac:dyDescent="0.15">
      <c r="A222" s="59" t="s">
        <v>240</v>
      </c>
      <c r="B222" s="20">
        <v>-3</v>
      </c>
      <c r="C222" s="35">
        <v>3</v>
      </c>
      <c r="D222" s="21">
        <v>-4</v>
      </c>
      <c r="E222" s="24">
        <v>1</v>
      </c>
      <c r="F222" s="25">
        <f t="shared" ref="F222" si="139">SUM(B222:E222)</f>
        <v>-3</v>
      </c>
      <c r="G222" s="20">
        <v>3</v>
      </c>
      <c r="H222" s="35">
        <v>-1</v>
      </c>
      <c r="I222" s="21">
        <v>2</v>
      </c>
      <c r="J222" s="24"/>
      <c r="K222" s="25">
        <f t="shared" ref="K222" si="140">SUM(G222:J222)</f>
        <v>4</v>
      </c>
      <c r="L222" s="11">
        <f t="shared" ref="L222" si="141">F222+K222</f>
        <v>1</v>
      </c>
      <c r="M222" s="71">
        <v>45173</v>
      </c>
      <c r="N222" s="12"/>
      <c r="O222" s="20"/>
      <c r="P222" s="35"/>
      <c r="Q222" s="21"/>
      <c r="R222" s="38"/>
      <c r="S222" s="9">
        <f t="shared" si="136"/>
        <v>0</v>
      </c>
      <c r="T222" s="20"/>
      <c r="U222" s="35"/>
      <c r="V222" s="21"/>
      <c r="W222" s="24"/>
      <c r="X222" s="25">
        <f t="shared" si="137"/>
        <v>0</v>
      </c>
      <c r="Y222" s="47">
        <f t="shared" si="138"/>
        <v>0</v>
      </c>
    </row>
    <row r="223" spans="1:26" x14ac:dyDescent="0.15">
      <c r="A223" s="59"/>
      <c r="B223" s="20"/>
      <c r="C223" s="35"/>
      <c r="D223" s="21"/>
      <c r="E223" s="24"/>
      <c r="F223" s="25">
        <f t="shared" si="124"/>
        <v>0</v>
      </c>
      <c r="G223" s="20"/>
      <c r="H223" s="35"/>
      <c r="I223" s="21"/>
      <c r="J223" s="24"/>
      <c r="K223" s="25">
        <f t="shared" si="125"/>
        <v>0</v>
      </c>
      <c r="L223" s="11">
        <f t="shared" si="119"/>
        <v>0</v>
      </c>
      <c r="N223" s="137" t="s">
        <v>66</v>
      </c>
      <c r="O223" s="138"/>
      <c r="P223" s="139"/>
      <c r="Q223" s="140"/>
      <c r="R223" s="141"/>
      <c r="S223" s="142">
        <f t="shared" si="136"/>
        <v>0</v>
      </c>
      <c r="T223" s="138"/>
      <c r="U223" s="139"/>
      <c r="V223" s="140"/>
      <c r="W223" s="143"/>
      <c r="X223" s="144">
        <f t="shared" si="137"/>
        <v>0</v>
      </c>
      <c r="Y223" s="145">
        <f t="shared" si="138"/>
        <v>0</v>
      </c>
      <c r="Z223" s="162"/>
    </row>
    <row r="224" spans="1:26" ht="14.25" thickBot="1" x14ac:dyDescent="0.2">
      <c r="A224" s="15"/>
      <c r="B224" s="43"/>
      <c r="C224" s="44"/>
      <c r="D224" s="45"/>
      <c r="E224" s="46"/>
      <c r="F224" s="25">
        <f t="shared" si="124"/>
        <v>0</v>
      </c>
      <c r="G224" s="43"/>
      <c r="H224" s="44"/>
      <c r="I224" s="45"/>
      <c r="J224" s="46"/>
      <c r="K224" s="25">
        <f t="shared" si="125"/>
        <v>0</v>
      </c>
      <c r="L224" s="14">
        <f t="shared" si="119"/>
        <v>0</v>
      </c>
      <c r="N224" s="99" t="s">
        <v>175</v>
      </c>
      <c r="O224" s="43"/>
      <c r="P224" s="44"/>
      <c r="Q224" s="45"/>
      <c r="R224" s="100"/>
      <c r="S224" s="10">
        <f t="shared" si="136"/>
        <v>0</v>
      </c>
      <c r="T224" s="43"/>
      <c r="U224" s="44"/>
      <c r="V224" s="45"/>
      <c r="W224" s="46"/>
      <c r="X224" s="106">
        <f t="shared" si="137"/>
        <v>0</v>
      </c>
      <c r="Y224" s="75">
        <f t="shared" si="138"/>
        <v>0</v>
      </c>
      <c r="Z224" s="162" t="s">
        <v>65</v>
      </c>
    </row>
    <row r="225" spans="1:27" ht="14.25" thickBot="1" x14ac:dyDescent="0.2">
      <c r="A225" s="16" t="s">
        <v>9</v>
      </c>
      <c r="B225" s="28">
        <f>SUM(B200:B224)</f>
        <v>13</v>
      </c>
      <c r="C225" s="36">
        <f>SUM(C200:C224)</f>
        <v>27</v>
      </c>
      <c r="D225" s="29">
        <f>SUM(D200:D224)</f>
        <v>5</v>
      </c>
      <c r="E225" s="30">
        <f>SUM(E200:E224)</f>
        <v>9</v>
      </c>
      <c r="F225" s="26">
        <f>SUM(B225:E225)</f>
        <v>54</v>
      </c>
      <c r="G225" s="28">
        <f>SUM(G200:G224)</f>
        <v>25</v>
      </c>
      <c r="H225" s="36">
        <f>SUM(H200:H224)</f>
        <v>29</v>
      </c>
      <c r="I225" s="29">
        <f>SUM(I200:I224)</f>
        <v>12</v>
      </c>
      <c r="J225" s="30">
        <f>SUM(J200:J224)</f>
        <v>10</v>
      </c>
      <c r="K225" s="26">
        <f>SUM(G225:J225)</f>
        <v>76</v>
      </c>
      <c r="L225" s="27">
        <f t="shared" si="119"/>
        <v>130</v>
      </c>
      <c r="N225" s="61" t="s">
        <v>9</v>
      </c>
      <c r="O225" s="28">
        <f>SUM(O200:O224)</f>
        <v>106</v>
      </c>
      <c r="P225" s="36">
        <f>SUM(P200:P224)</f>
        <v>155</v>
      </c>
      <c r="Q225" s="29">
        <f>SUM(Q200:Q224)</f>
        <v>88</v>
      </c>
      <c r="R225" s="30">
        <f>SUM(R200:R224)</f>
        <v>73</v>
      </c>
      <c r="S225" s="60">
        <f t="shared" si="128"/>
        <v>422</v>
      </c>
      <c r="T225" s="28">
        <f>SUM(T200:T224)</f>
        <v>71</v>
      </c>
      <c r="U225" s="36">
        <f>SUM(U200:U224)</f>
        <v>150</v>
      </c>
      <c r="V225" s="29">
        <f>SUM(V200:V224)</f>
        <v>53</v>
      </c>
      <c r="W225" s="30">
        <f>SUM(W200:W224)</f>
        <v>68</v>
      </c>
      <c r="X225" s="60">
        <f t="shared" si="129"/>
        <v>342</v>
      </c>
      <c r="Y225" s="63">
        <f t="shared" si="120"/>
        <v>764</v>
      </c>
    </row>
    <row r="226" spans="1:27" ht="14.25" thickBot="1" x14ac:dyDescent="0.2">
      <c r="A226" s="18" t="s">
        <v>10</v>
      </c>
      <c r="B226" s="31">
        <f t="shared" ref="B226:K226" si="142">B199-B225</f>
        <v>26</v>
      </c>
      <c r="C226" s="37">
        <f t="shared" si="142"/>
        <v>19</v>
      </c>
      <c r="D226" s="32">
        <f t="shared" si="142"/>
        <v>32</v>
      </c>
      <c r="E226" s="33">
        <f t="shared" si="142"/>
        <v>22</v>
      </c>
      <c r="F226" s="42">
        <f t="shared" si="142"/>
        <v>99</v>
      </c>
      <c r="G226" s="31">
        <f t="shared" si="142"/>
        <v>13</v>
      </c>
      <c r="H226" s="37">
        <f t="shared" si="142"/>
        <v>20</v>
      </c>
      <c r="I226" s="32">
        <f t="shared" si="142"/>
        <v>31</v>
      </c>
      <c r="J226" s="33">
        <f t="shared" si="142"/>
        <v>25</v>
      </c>
      <c r="K226" s="42">
        <f t="shared" si="142"/>
        <v>89</v>
      </c>
      <c r="L226" s="17">
        <f t="shared" si="119"/>
        <v>188</v>
      </c>
      <c r="N226" s="16" t="s">
        <v>10</v>
      </c>
      <c r="O226" s="31">
        <f t="shared" ref="O226:X226" si="143">O199-O225</f>
        <v>118</v>
      </c>
      <c r="P226" s="37">
        <f t="shared" si="143"/>
        <v>155</v>
      </c>
      <c r="Q226" s="32">
        <f t="shared" si="143"/>
        <v>81</v>
      </c>
      <c r="R226" s="33">
        <f t="shared" si="143"/>
        <v>10</v>
      </c>
      <c r="S226" s="42">
        <f t="shared" si="143"/>
        <v>364</v>
      </c>
      <c r="T226" s="31">
        <f t="shared" si="143"/>
        <v>133</v>
      </c>
      <c r="U226" s="37">
        <f t="shared" si="143"/>
        <v>150</v>
      </c>
      <c r="V226" s="32">
        <f t="shared" si="143"/>
        <v>96</v>
      </c>
      <c r="W226" s="33">
        <f t="shared" si="143"/>
        <v>10</v>
      </c>
      <c r="X226" s="42">
        <f t="shared" si="143"/>
        <v>389</v>
      </c>
      <c r="Y226" s="17">
        <f t="shared" si="120"/>
        <v>753</v>
      </c>
    </row>
    <row r="227" spans="1:27" x14ac:dyDescent="0.15">
      <c r="O227" s="87"/>
      <c r="P227" s="87"/>
      <c r="Q227" s="87"/>
      <c r="R227" s="87"/>
      <c r="S227" s="87"/>
      <c r="T227" s="87"/>
      <c r="U227" s="87"/>
      <c r="V227" s="87"/>
      <c r="W227" s="87"/>
      <c r="X227" s="87"/>
    </row>
    <row r="228" spans="1:27" x14ac:dyDescent="0.15">
      <c r="O228" s="81"/>
      <c r="P228" s="81"/>
      <c r="Q228" s="81"/>
      <c r="R228" s="81"/>
      <c r="S228" s="81"/>
      <c r="T228" s="81"/>
      <c r="U228" s="81"/>
      <c r="V228" s="81"/>
      <c r="W228" s="81"/>
      <c r="X228" s="81"/>
    </row>
    <row r="229" spans="1:27" ht="19.5" thickBot="1" x14ac:dyDescent="0.25">
      <c r="A229" s="2" t="s">
        <v>17</v>
      </c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N229" s="2" t="s">
        <v>18</v>
      </c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1"/>
    </row>
    <row r="230" spans="1:27" ht="14.25" thickBot="1" x14ac:dyDescent="0.2">
      <c r="A230" s="5" t="s">
        <v>0</v>
      </c>
      <c r="B230" s="244" t="s">
        <v>19</v>
      </c>
      <c r="C230" s="245"/>
      <c r="D230" s="245"/>
      <c r="E230" s="245"/>
      <c r="F230" s="246"/>
      <c r="G230" s="247" t="s">
        <v>20</v>
      </c>
      <c r="H230" s="248"/>
      <c r="I230" s="248"/>
      <c r="J230" s="248"/>
      <c r="K230" s="249"/>
      <c r="L230" s="250" t="s">
        <v>1</v>
      </c>
      <c r="N230" s="5" t="s">
        <v>0</v>
      </c>
      <c r="O230" s="244" t="s">
        <v>19</v>
      </c>
      <c r="P230" s="245"/>
      <c r="Q230" s="245"/>
      <c r="R230" s="245"/>
      <c r="S230" s="246"/>
      <c r="T230" s="247" t="s">
        <v>20</v>
      </c>
      <c r="U230" s="248"/>
      <c r="V230" s="248"/>
      <c r="W230" s="248"/>
      <c r="X230" s="249"/>
      <c r="Y230" s="250" t="s">
        <v>1</v>
      </c>
    </row>
    <row r="231" spans="1:27" ht="14.25" thickBot="1" x14ac:dyDescent="0.2">
      <c r="A231" s="5" t="s">
        <v>2</v>
      </c>
      <c r="B231" s="3" t="s">
        <v>11</v>
      </c>
      <c r="C231" s="34" t="s">
        <v>12</v>
      </c>
      <c r="D231" s="4" t="s">
        <v>13</v>
      </c>
      <c r="E231" s="19" t="s">
        <v>14</v>
      </c>
      <c r="F231" s="23" t="s">
        <v>3</v>
      </c>
      <c r="G231" s="3" t="s">
        <v>11</v>
      </c>
      <c r="H231" s="34" t="s">
        <v>12</v>
      </c>
      <c r="I231" s="4" t="s">
        <v>13</v>
      </c>
      <c r="J231" s="19" t="s">
        <v>14</v>
      </c>
      <c r="K231" s="23" t="s">
        <v>3</v>
      </c>
      <c r="L231" s="251"/>
      <c r="N231" s="5" t="s">
        <v>2</v>
      </c>
      <c r="O231" s="53" t="s">
        <v>11</v>
      </c>
      <c r="P231" s="54" t="s">
        <v>12</v>
      </c>
      <c r="Q231" s="55" t="s">
        <v>13</v>
      </c>
      <c r="R231" s="56" t="s">
        <v>14</v>
      </c>
      <c r="S231" s="23" t="s">
        <v>3</v>
      </c>
      <c r="T231" s="3" t="s">
        <v>11</v>
      </c>
      <c r="U231" s="34" t="s">
        <v>12</v>
      </c>
      <c r="V231" s="4" t="s">
        <v>13</v>
      </c>
      <c r="W231" s="19" t="s">
        <v>14</v>
      </c>
      <c r="X231" s="23" t="s">
        <v>3</v>
      </c>
      <c r="Y231" s="251"/>
    </row>
    <row r="232" spans="1:27" ht="14.25" thickBot="1" x14ac:dyDescent="0.2">
      <c r="A232" s="18" t="s">
        <v>15</v>
      </c>
      <c r="B232" s="31">
        <f>B226</f>
        <v>26</v>
      </c>
      <c r="C232" s="32">
        <f>C226</f>
        <v>19</v>
      </c>
      <c r="D232" s="32">
        <f>D226</f>
        <v>32</v>
      </c>
      <c r="E232" s="33">
        <f>E226</f>
        <v>22</v>
      </c>
      <c r="F232" s="86">
        <f>SUM(B232:E232)</f>
        <v>99</v>
      </c>
      <c r="G232" s="31">
        <f>G226</f>
        <v>13</v>
      </c>
      <c r="H232" s="32">
        <f>H226</f>
        <v>20</v>
      </c>
      <c r="I232" s="32">
        <f>I226</f>
        <v>31</v>
      </c>
      <c r="J232" s="33">
        <f>J226</f>
        <v>25</v>
      </c>
      <c r="K232" s="80">
        <f>SUM(G232:J232)</f>
        <v>89</v>
      </c>
      <c r="L232" s="17">
        <f>F232+K232</f>
        <v>188</v>
      </c>
      <c r="N232" s="18" t="s">
        <v>15</v>
      </c>
      <c r="O232" s="31">
        <f>O226</f>
        <v>118</v>
      </c>
      <c r="P232" s="32">
        <f>P226</f>
        <v>155</v>
      </c>
      <c r="Q232" s="32">
        <f>Q226</f>
        <v>81</v>
      </c>
      <c r="R232" s="33">
        <f>R226</f>
        <v>10</v>
      </c>
      <c r="S232" s="86">
        <f>SUM(O232:R232)</f>
        <v>364</v>
      </c>
      <c r="T232" s="31">
        <f>T226</f>
        <v>133</v>
      </c>
      <c r="U232" s="32">
        <f>U226</f>
        <v>150</v>
      </c>
      <c r="V232" s="32">
        <f>V226</f>
        <v>96</v>
      </c>
      <c r="W232" s="33">
        <f>W226</f>
        <v>10</v>
      </c>
      <c r="X232" s="80">
        <f>SUM(T232:W232)</f>
        <v>389</v>
      </c>
      <c r="Y232" s="17">
        <f t="shared" ref="Y232:Y264" si="144">S232+X232</f>
        <v>753</v>
      </c>
    </row>
    <row r="233" spans="1:27" x14ac:dyDescent="0.15">
      <c r="A233" s="59" t="s">
        <v>4</v>
      </c>
      <c r="B233" s="64">
        <v>5</v>
      </c>
      <c r="C233" s="65">
        <v>5</v>
      </c>
      <c r="D233" s="66">
        <v>5</v>
      </c>
      <c r="E233" s="67">
        <v>5</v>
      </c>
      <c r="F233" s="74">
        <f>SUM(B233:E233)</f>
        <v>20</v>
      </c>
      <c r="G233" s="65">
        <v>10</v>
      </c>
      <c r="H233" s="65">
        <v>10</v>
      </c>
      <c r="I233" s="66"/>
      <c r="J233" s="67">
        <v>5</v>
      </c>
      <c r="K233" s="74">
        <f>SUM(G233:J233)</f>
        <v>25</v>
      </c>
      <c r="L233" s="11">
        <f t="shared" ref="L233:L264" si="145">F233+K233</f>
        <v>45</v>
      </c>
      <c r="M233" s="69">
        <v>45171</v>
      </c>
      <c r="N233" s="59" t="s">
        <v>16</v>
      </c>
      <c r="O233" s="48"/>
      <c r="P233" s="49"/>
      <c r="Q233" s="50"/>
      <c r="R233" s="51"/>
      <c r="S233" s="85">
        <f>SUM(O233:R233)</f>
        <v>0</v>
      </c>
      <c r="T233" s="48"/>
      <c r="U233" s="49"/>
      <c r="V233" s="50"/>
      <c r="W233" s="51"/>
      <c r="X233" s="74">
        <f>SUM(T233:W233)</f>
        <v>0</v>
      </c>
      <c r="Y233" s="11">
        <f t="shared" si="144"/>
        <v>0</v>
      </c>
    </row>
    <row r="234" spans="1:27" x14ac:dyDescent="0.15">
      <c r="A234" s="13" t="s">
        <v>5</v>
      </c>
      <c r="B234" s="6">
        <v>10</v>
      </c>
      <c r="C234" s="22">
        <v>15</v>
      </c>
      <c r="D234" s="7">
        <v>10</v>
      </c>
      <c r="E234" s="8"/>
      <c r="F234" s="9">
        <f>SUM(B234:E234)</f>
        <v>35</v>
      </c>
      <c r="G234" s="22">
        <v>10</v>
      </c>
      <c r="H234" s="22">
        <v>10</v>
      </c>
      <c r="I234" s="7">
        <v>10</v>
      </c>
      <c r="J234" s="8">
        <v>5</v>
      </c>
      <c r="K234" s="9">
        <f>SUM(G234:J234)</f>
        <v>35</v>
      </c>
      <c r="L234" s="11">
        <f t="shared" si="145"/>
        <v>70</v>
      </c>
      <c r="M234" s="69">
        <v>45180</v>
      </c>
      <c r="N234" s="13" t="s">
        <v>4</v>
      </c>
      <c r="O234" s="20">
        <v>550</v>
      </c>
      <c r="P234" s="35">
        <v>700</v>
      </c>
      <c r="Q234" s="21">
        <v>450</v>
      </c>
      <c r="R234" s="24">
        <v>300</v>
      </c>
      <c r="S234" s="57">
        <f>SUM(O234:R234)</f>
        <v>2000</v>
      </c>
      <c r="T234" s="20">
        <v>550</v>
      </c>
      <c r="U234" s="35">
        <v>700</v>
      </c>
      <c r="V234" s="21">
        <v>450</v>
      </c>
      <c r="W234" s="24">
        <v>300</v>
      </c>
      <c r="X234" s="9">
        <f>SUM(T234:W234)</f>
        <v>2000</v>
      </c>
      <c r="Y234" s="11">
        <f t="shared" si="144"/>
        <v>4000</v>
      </c>
      <c r="Z234" s="69" t="s">
        <v>183</v>
      </c>
    </row>
    <row r="235" spans="1:27" x14ac:dyDescent="0.15">
      <c r="A235" s="13" t="s">
        <v>72</v>
      </c>
      <c r="B235" s="6">
        <v>1</v>
      </c>
      <c r="C235" s="22"/>
      <c r="D235" s="7"/>
      <c r="E235" s="8"/>
      <c r="F235" s="9">
        <f>SUM(B235:E235)</f>
        <v>1</v>
      </c>
      <c r="G235" s="22">
        <v>1</v>
      </c>
      <c r="H235" s="22"/>
      <c r="I235" s="7"/>
      <c r="J235" s="8"/>
      <c r="K235" s="9">
        <f>SUM(G235:J235)</f>
        <v>1</v>
      </c>
      <c r="L235" s="11">
        <f t="shared" si="145"/>
        <v>2</v>
      </c>
      <c r="M235" s="71">
        <v>45183</v>
      </c>
      <c r="N235" s="13" t="s">
        <v>5</v>
      </c>
      <c r="O235" s="20"/>
      <c r="P235" s="35"/>
      <c r="Q235" s="21"/>
      <c r="R235" s="24"/>
      <c r="S235" s="57">
        <f>SUM(O235:R235)</f>
        <v>0</v>
      </c>
      <c r="T235" s="35"/>
      <c r="U235" s="35"/>
      <c r="V235" s="21"/>
      <c r="W235" s="38"/>
      <c r="X235" s="9">
        <f>SUM(T235:W235)</f>
        <v>0</v>
      </c>
      <c r="Y235" s="11">
        <f t="shared" si="144"/>
        <v>0</v>
      </c>
      <c r="Z235" s="70" t="s">
        <v>142</v>
      </c>
    </row>
    <row r="236" spans="1:27" ht="14.25" thickBot="1" x14ac:dyDescent="0.2">
      <c r="A236" s="13" t="s">
        <v>191</v>
      </c>
      <c r="B236" s="6"/>
      <c r="C236" s="22"/>
      <c r="D236" s="7">
        <v>2</v>
      </c>
      <c r="E236" s="8"/>
      <c r="F236" s="10">
        <f>SUM(B236:E236)</f>
        <v>2</v>
      </c>
      <c r="G236" s="22"/>
      <c r="H236" s="22"/>
      <c r="I236" s="7">
        <v>2</v>
      </c>
      <c r="J236" s="8"/>
      <c r="K236" s="10">
        <f>SUM(G236:J236)</f>
        <v>2</v>
      </c>
      <c r="L236" s="14">
        <f t="shared" si="145"/>
        <v>4</v>
      </c>
      <c r="M236" s="71">
        <v>45188</v>
      </c>
      <c r="N236" s="13" t="s">
        <v>192</v>
      </c>
      <c r="O236" s="43">
        <v>24</v>
      </c>
      <c r="P236" s="44">
        <v>32</v>
      </c>
      <c r="Q236" s="45">
        <v>21</v>
      </c>
      <c r="R236" s="46">
        <v>15</v>
      </c>
      <c r="S236" s="58">
        <f>SUM(O236:R236)</f>
        <v>92</v>
      </c>
      <c r="T236" s="35"/>
      <c r="U236" s="35">
        <v>30</v>
      </c>
      <c r="V236" s="21">
        <v>11</v>
      </c>
      <c r="W236" s="38"/>
      <c r="X236" s="10">
        <f>SUM(T236:W236)</f>
        <v>41</v>
      </c>
      <c r="Y236" s="14">
        <f t="shared" si="144"/>
        <v>133</v>
      </c>
      <c r="Z236" s="69">
        <v>45181</v>
      </c>
    </row>
    <row r="237" spans="1:27" ht="14.25" thickBot="1" x14ac:dyDescent="0.2">
      <c r="A237" s="18" t="s">
        <v>8</v>
      </c>
      <c r="B237" s="76">
        <f t="shared" ref="B237:K237" si="146">SUM(B232:B236)</f>
        <v>42</v>
      </c>
      <c r="C237" s="77">
        <f t="shared" si="146"/>
        <v>39</v>
      </c>
      <c r="D237" s="78">
        <f t="shared" si="146"/>
        <v>49</v>
      </c>
      <c r="E237" s="79">
        <f t="shared" si="146"/>
        <v>27</v>
      </c>
      <c r="F237" s="80">
        <f t="shared" si="146"/>
        <v>157</v>
      </c>
      <c r="G237" s="76">
        <f t="shared" si="146"/>
        <v>34</v>
      </c>
      <c r="H237" s="77">
        <f t="shared" si="146"/>
        <v>40</v>
      </c>
      <c r="I237" s="78">
        <f t="shared" si="146"/>
        <v>43</v>
      </c>
      <c r="J237" s="79">
        <f t="shared" si="146"/>
        <v>35</v>
      </c>
      <c r="K237" s="80">
        <f t="shared" si="146"/>
        <v>152</v>
      </c>
      <c r="L237" s="17">
        <f t="shared" si="145"/>
        <v>309</v>
      </c>
      <c r="N237" s="16" t="s">
        <v>8</v>
      </c>
      <c r="O237" s="31">
        <f t="shared" ref="O237:X237" si="147">SUM(O232:O236)</f>
        <v>692</v>
      </c>
      <c r="P237" s="37">
        <f t="shared" si="147"/>
        <v>887</v>
      </c>
      <c r="Q237" s="32">
        <f t="shared" si="147"/>
        <v>552</v>
      </c>
      <c r="R237" s="82">
        <f t="shared" si="147"/>
        <v>325</v>
      </c>
      <c r="S237" s="83">
        <f t="shared" si="147"/>
        <v>2456</v>
      </c>
      <c r="T237" s="31">
        <f t="shared" si="147"/>
        <v>683</v>
      </c>
      <c r="U237" s="37">
        <f t="shared" si="147"/>
        <v>880</v>
      </c>
      <c r="V237" s="32">
        <f t="shared" si="147"/>
        <v>557</v>
      </c>
      <c r="W237" s="82">
        <f t="shared" si="147"/>
        <v>310</v>
      </c>
      <c r="X237" s="83">
        <f t="shared" si="147"/>
        <v>2430</v>
      </c>
      <c r="Y237" s="39">
        <f t="shared" si="144"/>
        <v>4886</v>
      </c>
    </row>
    <row r="238" spans="1:27" x14ac:dyDescent="0.15">
      <c r="A238" s="40" t="s">
        <v>163</v>
      </c>
      <c r="B238" s="20"/>
      <c r="C238" s="35"/>
      <c r="D238" s="21">
        <v>3</v>
      </c>
      <c r="E238" s="24"/>
      <c r="F238" s="25">
        <f t="shared" ref="F238" si="148">SUM(B238:E238)</f>
        <v>3</v>
      </c>
      <c r="G238" s="20"/>
      <c r="H238" s="35"/>
      <c r="I238" s="21">
        <v>3</v>
      </c>
      <c r="J238" s="24"/>
      <c r="K238" s="25">
        <f t="shared" ref="K238" si="149">SUM(G238:J238)</f>
        <v>3</v>
      </c>
      <c r="L238" s="11">
        <f t="shared" si="145"/>
        <v>6</v>
      </c>
      <c r="M238" s="69">
        <v>45174</v>
      </c>
      <c r="N238" s="136" t="s">
        <v>98</v>
      </c>
      <c r="O238" s="48">
        <v>20</v>
      </c>
      <c r="P238" s="49">
        <v>20</v>
      </c>
      <c r="Q238" s="50">
        <v>10</v>
      </c>
      <c r="R238" s="72">
        <v>5</v>
      </c>
      <c r="S238" s="74">
        <f t="shared" ref="S238:S240" si="150">SUM(O238:R238)</f>
        <v>55</v>
      </c>
      <c r="T238" s="48">
        <v>20</v>
      </c>
      <c r="U238" s="49">
        <v>20</v>
      </c>
      <c r="V238" s="50">
        <v>10</v>
      </c>
      <c r="W238" s="51">
        <v>5</v>
      </c>
      <c r="X238" s="52">
        <f t="shared" ref="X238:X240" si="151">SUM(T238:W238)</f>
        <v>55</v>
      </c>
      <c r="Y238" s="11">
        <f t="shared" si="144"/>
        <v>110</v>
      </c>
      <c r="Z238" s="69">
        <v>45176</v>
      </c>
    </row>
    <row r="239" spans="1:27" x14ac:dyDescent="0.15">
      <c r="A239" s="12" t="s">
        <v>164</v>
      </c>
      <c r="B239" s="20"/>
      <c r="C239" s="35"/>
      <c r="D239" s="21"/>
      <c r="E239" s="24"/>
      <c r="F239" s="25">
        <f t="shared" ref="F239:F261" si="152">SUM(B239:E239)</f>
        <v>0</v>
      </c>
      <c r="G239" s="20">
        <v>1</v>
      </c>
      <c r="H239" s="35"/>
      <c r="I239" s="21"/>
      <c r="J239" s="24"/>
      <c r="K239" s="25">
        <f t="shared" ref="K239:K261" si="153">SUM(G239:J239)</f>
        <v>1</v>
      </c>
      <c r="L239" s="11">
        <f t="shared" si="145"/>
        <v>1</v>
      </c>
      <c r="M239" s="69">
        <v>45174</v>
      </c>
      <c r="N239" s="12" t="s">
        <v>171</v>
      </c>
      <c r="O239" s="20">
        <v>10</v>
      </c>
      <c r="P239" s="35"/>
      <c r="Q239" s="21"/>
      <c r="R239" s="38">
        <v>10</v>
      </c>
      <c r="S239" s="9">
        <f t="shared" si="150"/>
        <v>20</v>
      </c>
      <c r="T239" s="20">
        <v>10</v>
      </c>
      <c r="U239" s="35">
        <v>60</v>
      </c>
      <c r="V239" s="21">
        <v>30</v>
      </c>
      <c r="W239" s="24">
        <v>20</v>
      </c>
      <c r="X239" s="25">
        <f t="shared" si="151"/>
        <v>120</v>
      </c>
      <c r="Y239" s="11">
        <f t="shared" ref="Y239:Y240" si="154">S239+X239</f>
        <v>140</v>
      </c>
      <c r="Z239" s="69">
        <v>45176</v>
      </c>
    </row>
    <row r="240" spans="1:27" x14ac:dyDescent="0.15">
      <c r="A240" s="59" t="s">
        <v>133</v>
      </c>
      <c r="B240" s="20">
        <v>1</v>
      </c>
      <c r="C240" s="35"/>
      <c r="D240" s="21"/>
      <c r="E240" s="24"/>
      <c r="F240" s="25">
        <f t="shared" si="152"/>
        <v>1</v>
      </c>
      <c r="G240" s="20"/>
      <c r="H240" s="35"/>
      <c r="I240" s="21"/>
      <c r="J240" s="24"/>
      <c r="K240" s="25">
        <f t="shared" si="153"/>
        <v>0</v>
      </c>
      <c r="L240" s="11">
        <f t="shared" si="145"/>
        <v>1</v>
      </c>
      <c r="M240" s="69">
        <v>45174</v>
      </c>
      <c r="N240" s="12" t="s">
        <v>173</v>
      </c>
      <c r="O240" s="20">
        <v>10</v>
      </c>
      <c r="P240" s="35">
        <v>10</v>
      </c>
      <c r="Q240" s="21">
        <v>10</v>
      </c>
      <c r="R240" s="38">
        <v>10</v>
      </c>
      <c r="S240" s="9">
        <f t="shared" si="150"/>
        <v>40</v>
      </c>
      <c r="T240" s="20">
        <v>10</v>
      </c>
      <c r="U240" s="35">
        <v>10</v>
      </c>
      <c r="V240" s="21">
        <v>10</v>
      </c>
      <c r="W240" s="24">
        <v>10</v>
      </c>
      <c r="X240" s="25">
        <f t="shared" si="151"/>
        <v>40</v>
      </c>
      <c r="Y240" s="11">
        <f t="shared" si="154"/>
        <v>80</v>
      </c>
      <c r="Z240" s="69">
        <v>45183</v>
      </c>
      <c r="AA240" s="41"/>
    </row>
    <row r="241" spans="1:27" x14ac:dyDescent="0.15">
      <c r="A241" s="40" t="s">
        <v>163</v>
      </c>
      <c r="B241" s="20"/>
      <c r="C241" s="35"/>
      <c r="D241" s="21">
        <v>2</v>
      </c>
      <c r="E241" s="38"/>
      <c r="F241" s="9">
        <f t="shared" ref="F241:F244" si="155">SUM(B241:E241)</f>
        <v>2</v>
      </c>
      <c r="G241" s="20"/>
      <c r="H241" s="35"/>
      <c r="I241" s="21">
        <v>2</v>
      </c>
      <c r="J241" s="24"/>
      <c r="K241" s="25">
        <f t="shared" ref="K241:K244" si="156">SUM(G241:J241)</f>
        <v>2</v>
      </c>
      <c r="L241" s="11">
        <f t="shared" ref="L241:L244" si="157">F241+K241</f>
        <v>4</v>
      </c>
      <c r="M241" s="69">
        <v>45175</v>
      </c>
      <c r="N241" s="12" t="s">
        <v>179</v>
      </c>
      <c r="O241" s="20">
        <v>10</v>
      </c>
      <c r="P241" s="35">
        <v>10</v>
      </c>
      <c r="Q241" s="21"/>
      <c r="R241" s="38">
        <v>10</v>
      </c>
      <c r="S241" s="9">
        <f t="shared" ref="S241:S250" si="158">SUM(O241:R241)</f>
        <v>30</v>
      </c>
      <c r="T241" s="20">
        <v>20</v>
      </c>
      <c r="U241" s="35"/>
      <c r="V241" s="21"/>
      <c r="W241" s="24"/>
      <c r="X241" s="25">
        <f t="shared" ref="X241:X250" si="159">SUM(T241:W241)</f>
        <v>20</v>
      </c>
      <c r="Y241" s="11">
        <f t="shared" si="144"/>
        <v>50</v>
      </c>
      <c r="Z241" s="69">
        <v>45177</v>
      </c>
    </row>
    <row r="242" spans="1:27" x14ac:dyDescent="0.15">
      <c r="A242" s="104" t="s">
        <v>165</v>
      </c>
      <c r="B242" s="20">
        <v>1</v>
      </c>
      <c r="C242" s="35">
        <v>1</v>
      </c>
      <c r="D242" s="21"/>
      <c r="E242" s="24">
        <v>1</v>
      </c>
      <c r="F242" s="25">
        <f t="shared" si="155"/>
        <v>3</v>
      </c>
      <c r="G242" s="20">
        <v>1</v>
      </c>
      <c r="H242" s="35">
        <v>1</v>
      </c>
      <c r="I242" s="21"/>
      <c r="J242" s="24">
        <v>1</v>
      </c>
      <c r="K242" s="25">
        <f t="shared" si="156"/>
        <v>3</v>
      </c>
      <c r="L242" s="11">
        <f t="shared" si="157"/>
        <v>6</v>
      </c>
      <c r="M242" s="69">
        <v>45175</v>
      </c>
      <c r="N242" s="12" t="s">
        <v>180</v>
      </c>
      <c r="O242" s="20"/>
      <c r="P242" s="35">
        <v>10</v>
      </c>
      <c r="Q242" s="21">
        <v>20</v>
      </c>
      <c r="R242" s="38"/>
      <c r="S242" s="9">
        <f t="shared" si="158"/>
        <v>30</v>
      </c>
      <c r="T242" s="20">
        <v>30</v>
      </c>
      <c r="U242" s="35">
        <v>5</v>
      </c>
      <c r="V242" s="21">
        <v>15</v>
      </c>
      <c r="W242" s="24">
        <v>15</v>
      </c>
      <c r="X242" s="25">
        <f t="shared" si="159"/>
        <v>65</v>
      </c>
      <c r="Y242" s="11">
        <f t="shared" si="144"/>
        <v>95</v>
      </c>
      <c r="Z242" s="69">
        <v>45178</v>
      </c>
    </row>
    <row r="243" spans="1:27" x14ac:dyDescent="0.15">
      <c r="A243" s="59" t="s">
        <v>27</v>
      </c>
      <c r="B243" s="20">
        <v>1</v>
      </c>
      <c r="C243" s="35">
        <v>2</v>
      </c>
      <c r="D243" s="21">
        <v>2</v>
      </c>
      <c r="E243" s="24"/>
      <c r="F243" s="25">
        <f t="shared" si="155"/>
        <v>5</v>
      </c>
      <c r="G243" s="20"/>
      <c r="H243" s="35">
        <v>1</v>
      </c>
      <c r="I243" s="21">
        <v>1</v>
      </c>
      <c r="J243" s="24">
        <v>1</v>
      </c>
      <c r="K243" s="25">
        <f t="shared" si="156"/>
        <v>3</v>
      </c>
      <c r="L243" s="11">
        <f t="shared" si="157"/>
        <v>8</v>
      </c>
      <c r="M243" s="69">
        <v>45174</v>
      </c>
      <c r="N243" s="40" t="s">
        <v>26</v>
      </c>
      <c r="O243" s="20">
        <v>10</v>
      </c>
      <c r="P243" s="35">
        <v>15</v>
      </c>
      <c r="Q243" s="21">
        <v>10</v>
      </c>
      <c r="R243" s="38"/>
      <c r="S243" s="9">
        <f>SUM(O243:R243)</f>
        <v>35</v>
      </c>
      <c r="T243" s="20">
        <v>10</v>
      </c>
      <c r="U243" s="35">
        <v>10</v>
      </c>
      <c r="V243" s="21">
        <v>10</v>
      </c>
      <c r="W243" s="24">
        <v>5</v>
      </c>
      <c r="X243" s="25">
        <f>SUM(T243:W243)</f>
        <v>35</v>
      </c>
      <c r="Y243" s="11">
        <f t="shared" si="144"/>
        <v>70</v>
      </c>
      <c r="Z243" s="69">
        <v>45180</v>
      </c>
    </row>
    <row r="244" spans="1:27" x14ac:dyDescent="0.15">
      <c r="A244" s="40" t="s">
        <v>172</v>
      </c>
      <c r="B244" s="20">
        <v>1</v>
      </c>
      <c r="C244" s="35">
        <v>1</v>
      </c>
      <c r="D244" s="21"/>
      <c r="E244" s="24"/>
      <c r="F244" s="25">
        <f t="shared" si="155"/>
        <v>2</v>
      </c>
      <c r="G244" s="20">
        <v>1</v>
      </c>
      <c r="H244" s="35">
        <v>1</v>
      </c>
      <c r="I244" s="21"/>
      <c r="J244" s="24"/>
      <c r="K244" s="25">
        <f t="shared" si="156"/>
        <v>2</v>
      </c>
      <c r="L244" s="11">
        <f t="shared" si="157"/>
        <v>4</v>
      </c>
      <c r="M244" s="69">
        <v>45176</v>
      </c>
      <c r="N244" s="40" t="s">
        <v>186</v>
      </c>
      <c r="O244" s="20">
        <v>5</v>
      </c>
      <c r="P244" s="35">
        <v>10</v>
      </c>
      <c r="Q244" s="21">
        <v>10</v>
      </c>
      <c r="R244" s="38">
        <v>10</v>
      </c>
      <c r="S244" s="9">
        <f t="shared" si="158"/>
        <v>35</v>
      </c>
      <c r="T244" s="20">
        <v>5</v>
      </c>
      <c r="U244" s="35">
        <v>10</v>
      </c>
      <c r="V244" s="21"/>
      <c r="W244" s="24"/>
      <c r="X244" s="25">
        <f t="shared" si="159"/>
        <v>15</v>
      </c>
      <c r="Y244" s="11">
        <f t="shared" si="144"/>
        <v>50</v>
      </c>
      <c r="Z244" s="69">
        <v>45189</v>
      </c>
    </row>
    <row r="245" spans="1:27" x14ac:dyDescent="0.15">
      <c r="A245" s="59" t="s">
        <v>174</v>
      </c>
      <c r="B245" s="20">
        <v>3</v>
      </c>
      <c r="C245" s="35">
        <v>3</v>
      </c>
      <c r="D245" s="21">
        <v>3</v>
      </c>
      <c r="E245" s="24"/>
      <c r="F245" s="25">
        <f t="shared" si="152"/>
        <v>9</v>
      </c>
      <c r="G245" s="20">
        <v>1</v>
      </c>
      <c r="H245" s="35">
        <v>5</v>
      </c>
      <c r="I245" s="21">
        <v>5</v>
      </c>
      <c r="J245" s="24"/>
      <c r="K245" s="25">
        <f t="shared" si="153"/>
        <v>11</v>
      </c>
      <c r="L245" s="11">
        <f t="shared" si="145"/>
        <v>20</v>
      </c>
      <c r="M245" s="69">
        <v>45176</v>
      </c>
      <c r="N245" s="40" t="s">
        <v>188</v>
      </c>
      <c r="O245" s="20">
        <v>3</v>
      </c>
      <c r="P245" s="35">
        <v>3</v>
      </c>
      <c r="Q245" s="21"/>
      <c r="R245" s="38"/>
      <c r="S245" s="9">
        <f t="shared" si="158"/>
        <v>6</v>
      </c>
      <c r="T245" s="20">
        <v>3</v>
      </c>
      <c r="U245" s="35">
        <v>3</v>
      </c>
      <c r="V245" s="21"/>
      <c r="W245" s="24"/>
      <c r="X245" s="25">
        <f t="shared" si="159"/>
        <v>6</v>
      </c>
      <c r="Y245" s="11">
        <f t="shared" si="144"/>
        <v>12</v>
      </c>
      <c r="Z245" s="69">
        <v>45184</v>
      </c>
    </row>
    <row r="246" spans="1:27" x14ac:dyDescent="0.15">
      <c r="A246" s="59" t="s">
        <v>27</v>
      </c>
      <c r="B246" s="20">
        <v>1</v>
      </c>
      <c r="C246" s="35">
        <v>2</v>
      </c>
      <c r="D246" s="21"/>
      <c r="E246" s="24"/>
      <c r="F246" s="25">
        <f t="shared" si="152"/>
        <v>3</v>
      </c>
      <c r="G246" s="20"/>
      <c r="H246" s="35">
        <v>1</v>
      </c>
      <c r="I246" s="21"/>
      <c r="J246" s="24"/>
      <c r="K246" s="25">
        <f t="shared" si="153"/>
        <v>1</v>
      </c>
      <c r="L246" s="11">
        <f t="shared" si="145"/>
        <v>4</v>
      </c>
      <c r="M246" s="71">
        <v>45175</v>
      </c>
      <c r="N246" s="40" t="s">
        <v>193</v>
      </c>
      <c r="O246" s="20">
        <v>3</v>
      </c>
      <c r="P246" s="35"/>
      <c r="Q246" s="21"/>
      <c r="R246" s="38">
        <v>1</v>
      </c>
      <c r="S246" s="9">
        <f t="shared" si="158"/>
        <v>4</v>
      </c>
      <c r="T246" s="20">
        <v>3</v>
      </c>
      <c r="U246" s="35"/>
      <c r="V246" s="21"/>
      <c r="W246" s="24">
        <v>1</v>
      </c>
      <c r="X246" s="25">
        <f t="shared" si="159"/>
        <v>4</v>
      </c>
      <c r="Y246" s="11">
        <f t="shared" si="144"/>
        <v>8</v>
      </c>
      <c r="Z246" s="69">
        <v>45190</v>
      </c>
    </row>
    <row r="247" spans="1:27" x14ac:dyDescent="0.15">
      <c r="A247" s="40" t="s">
        <v>178</v>
      </c>
      <c r="B247" s="20"/>
      <c r="C247" s="35">
        <v>1</v>
      </c>
      <c r="D247" s="21"/>
      <c r="E247" s="24"/>
      <c r="F247" s="25">
        <f t="shared" si="152"/>
        <v>1</v>
      </c>
      <c r="G247" s="20"/>
      <c r="H247" s="35">
        <v>1</v>
      </c>
      <c r="I247" s="21"/>
      <c r="J247" s="24"/>
      <c r="K247" s="25">
        <f t="shared" si="153"/>
        <v>1</v>
      </c>
      <c r="L247" s="11">
        <f t="shared" si="145"/>
        <v>2</v>
      </c>
      <c r="M247" s="69">
        <v>45177</v>
      </c>
      <c r="N247" s="40" t="s">
        <v>26</v>
      </c>
      <c r="O247" s="20">
        <v>10</v>
      </c>
      <c r="P247" s="35">
        <v>5</v>
      </c>
      <c r="Q247" s="21"/>
      <c r="R247" s="38">
        <v>5</v>
      </c>
      <c r="S247" s="9">
        <f>SUM(O247:R247)</f>
        <v>20</v>
      </c>
      <c r="T247" s="20">
        <v>15</v>
      </c>
      <c r="U247" s="35">
        <v>10</v>
      </c>
      <c r="V247" s="21"/>
      <c r="W247" s="24"/>
      <c r="X247" s="25">
        <f>SUM(T247:W247)</f>
        <v>25</v>
      </c>
      <c r="Y247" s="11">
        <f t="shared" si="144"/>
        <v>45</v>
      </c>
      <c r="Z247" s="69">
        <v>45190</v>
      </c>
    </row>
    <row r="248" spans="1:27" x14ac:dyDescent="0.15">
      <c r="A248" s="59" t="s">
        <v>27</v>
      </c>
      <c r="B248" s="20"/>
      <c r="C248" s="35"/>
      <c r="D248" s="21"/>
      <c r="E248" s="24"/>
      <c r="F248" s="25">
        <f t="shared" si="152"/>
        <v>0</v>
      </c>
      <c r="G248" s="20">
        <v>1</v>
      </c>
      <c r="H248" s="35"/>
      <c r="I248" s="21">
        <v>1</v>
      </c>
      <c r="J248" s="24">
        <v>2</v>
      </c>
      <c r="K248" s="25">
        <f t="shared" si="153"/>
        <v>4</v>
      </c>
      <c r="L248" s="11">
        <f t="shared" si="145"/>
        <v>4</v>
      </c>
      <c r="M248" s="71">
        <v>45176</v>
      </c>
      <c r="N248" s="40" t="s">
        <v>194</v>
      </c>
      <c r="O248" s="20"/>
      <c r="P248" s="35"/>
      <c r="Q248" s="21"/>
      <c r="R248" s="38">
        <v>6</v>
      </c>
      <c r="S248" s="9">
        <f t="shared" si="158"/>
        <v>6</v>
      </c>
      <c r="T248" s="20">
        <v>10</v>
      </c>
      <c r="U248" s="35"/>
      <c r="V248" s="21"/>
      <c r="W248" s="24"/>
      <c r="X248" s="25">
        <f t="shared" si="159"/>
        <v>10</v>
      </c>
      <c r="Y248" s="11">
        <f t="shared" si="144"/>
        <v>16</v>
      </c>
      <c r="Z248" s="69">
        <v>45196</v>
      </c>
      <c r="AA248" s="41"/>
    </row>
    <row r="249" spans="1:27" x14ac:dyDescent="0.15">
      <c r="A249" s="59" t="s">
        <v>133</v>
      </c>
      <c r="B249" s="20">
        <v>2</v>
      </c>
      <c r="C249" s="35"/>
      <c r="D249" s="21"/>
      <c r="E249" s="24"/>
      <c r="F249" s="25">
        <f t="shared" si="152"/>
        <v>2</v>
      </c>
      <c r="G249" s="20"/>
      <c r="H249" s="35"/>
      <c r="I249" s="21">
        <v>2</v>
      </c>
      <c r="J249" s="24"/>
      <c r="K249" s="25">
        <f t="shared" si="153"/>
        <v>2</v>
      </c>
      <c r="L249" s="11">
        <f t="shared" si="145"/>
        <v>4</v>
      </c>
      <c r="M249" s="69">
        <v>45181</v>
      </c>
      <c r="N249" s="12" t="s">
        <v>199</v>
      </c>
      <c r="O249" s="20">
        <v>10</v>
      </c>
      <c r="P249" s="35"/>
      <c r="Q249" s="21">
        <v>10</v>
      </c>
      <c r="R249" s="38"/>
      <c r="S249" s="9">
        <f t="shared" si="158"/>
        <v>20</v>
      </c>
      <c r="T249" s="20">
        <v>10</v>
      </c>
      <c r="U249" s="35"/>
      <c r="V249" s="21">
        <v>10</v>
      </c>
      <c r="W249" s="24"/>
      <c r="X249" s="25">
        <f t="shared" si="159"/>
        <v>20</v>
      </c>
      <c r="Y249" s="11">
        <f t="shared" si="144"/>
        <v>40</v>
      </c>
      <c r="Z249" s="69">
        <v>45196</v>
      </c>
      <c r="AA249" s="41"/>
    </row>
    <row r="250" spans="1:27" x14ac:dyDescent="0.15">
      <c r="A250" s="59" t="s">
        <v>181</v>
      </c>
      <c r="B250" s="20">
        <v>3</v>
      </c>
      <c r="C250" s="35">
        <v>2</v>
      </c>
      <c r="D250" s="21">
        <v>1</v>
      </c>
      <c r="E250" s="24">
        <v>2</v>
      </c>
      <c r="F250" s="25">
        <f t="shared" si="152"/>
        <v>8</v>
      </c>
      <c r="G250" s="20">
        <v>4</v>
      </c>
      <c r="H250" s="35">
        <v>2</v>
      </c>
      <c r="I250" s="21">
        <v>2</v>
      </c>
      <c r="J250" s="24">
        <v>2</v>
      </c>
      <c r="K250" s="25">
        <f t="shared" si="153"/>
        <v>10</v>
      </c>
      <c r="L250" s="11">
        <f t="shared" si="145"/>
        <v>18</v>
      </c>
      <c r="M250" s="69">
        <v>45181</v>
      </c>
      <c r="N250" s="12" t="s">
        <v>201</v>
      </c>
      <c r="O250" s="20">
        <v>20</v>
      </c>
      <c r="P250" s="35">
        <v>50</v>
      </c>
      <c r="Q250" s="21">
        <v>12</v>
      </c>
      <c r="R250" s="38">
        <v>3</v>
      </c>
      <c r="S250" s="9">
        <f t="shared" si="158"/>
        <v>85</v>
      </c>
      <c r="T250" s="20">
        <v>20</v>
      </c>
      <c r="U250" s="35">
        <v>50</v>
      </c>
      <c r="V250" s="21">
        <v>12</v>
      </c>
      <c r="W250" s="24">
        <v>3</v>
      </c>
      <c r="X250" s="25">
        <f t="shared" si="159"/>
        <v>85</v>
      </c>
      <c r="Y250" s="11">
        <f t="shared" si="144"/>
        <v>170</v>
      </c>
      <c r="Z250" s="69">
        <v>45197</v>
      </c>
    </row>
    <row r="251" spans="1:27" x14ac:dyDescent="0.15">
      <c r="A251" s="59" t="s">
        <v>27</v>
      </c>
      <c r="B251" s="20">
        <v>1</v>
      </c>
      <c r="C251" s="35">
        <v>2</v>
      </c>
      <c r="D251" s="21"/>
      <c r="E251" s="24"/>
      <c r="F251" s="25">
        <f t="shared" si="152"/>
        <v>3</v>
      </c>
      <c r="G251" s="20">
        <v>1</v>
      </c>
      <c r="H251" s="35">
        <v>2</v>
      </c>
      <c r="I251" s="21"/>
      <c r="J251" s="24"/>
      <c r="K251" s="25">
        <f t="shared" si="153"/>
        <v>3</v>
      </c>
      <c r="L251" s="11">
        <f t="shared" si="145"/>
        <v>6</v>
      </c>
      <c r="M251" s="71">
        <v>45180</v>
      </c>
      <c r="N251" s="12" t="s">
        <v>203</v>
      </c>
      <c r="O251" s="20">
        <v>20</v>
      </c>
      <c r="P251" s="35">
        <v>5</v>
      </c>
      <c r="Q251" s="21">
        <v>10</v>
      </c>
      <c r="R251" s="38">
        <v>5</v>
      </c>
      <c r="S251" s="9">
        <f>SUM(O251:R251)</f>
        <v>40</v>
      </c>
      <c r="T251" s="20">
        <v>20</v>
      </c>
      <c r="U251" s="35">
        <v>5</v>
      </c>
      <c r="V251" s="21">
        <v>10</v>
      </c>
      <c r="W251" s="24">
        <v>5</v>
      </c>
      <c r="X251" s="25">
        <f>SUM(T251:W251)</f>
        <v>40</v>
      </c>
      <c r="Y251" s="11">
        <f t="shared" si="144"/>
        <v>80</v>
      </c>
      <c r="Z251" s="69">
        <v>45198</v>
      </c>
    </row>
    <row r="252" spans="1:27" x14ac:dyDescent="0.15">
      <c r="A252" s="40" t="s">
        <v>182</v>
      </c>
      <c r="B252" s="20"/>
      <c r="C252" s="35"/>
      <c r="D252" s="21"/>
      <c r="E252" s="24">
        <v>1</v>
      </c>
      <c r="F252" s="25">
        <f t="shared" si="152"/>
        <v>1</v>
      </c>
      <c r="G252" s="20"/>
      <c r="H252" s="35"/>
      <c r="I252" s="21"/>
      <c r="J252" s="24">
        <v>1</v>
      </c>
      <c r="K252" s="25">
        <f t="shared" si="153"/>
        <v>1</v>
      </c>
      <c r="L252" s="11">
        <f t="shared" si="145"/>
        <v>2</v>
      </c>
      <c r="M252" s="69">
        <v>45182</v>
      </c>
      <c r="N252" s="12" t="s">
        <v>207</v>
      </c>
      <c r="O252" s="20">
        <v>20</v>
      </c>
      <c r="P252" s="35">
        <v>20</v>
      </c>
      <c r="Q252" s="21">
        <v>20</v>
      </c>
      <c r="R252" s="38">
        <v>15</v>
      </c>
      <c r="S252" s="9">
        <f t="shared" ref="S252:S263" si="160">SUM(O252:R252)</f>
        <v>75</v>
      </c>
      <c r="T252" s="20">
        <v>20</v>
      </c>
      <c r="U252" s="35">
        <v>20</v>
      </c>
      <c r="V252" s="21">
        <v>20</v>
      </c>
      <c r="W252" s="24">
        <v>15</v>
      </c>
      <c r="X252" s="25">
        <f t="shared" ref="X252:X263" si="161">SUM(T252:W252)</f>
        <v>75</v>
      </c>
      <c r="Y252" s="11">
        <f t="shared" si="144"/>
        <v>150</v>
      </c>
      <c r="Z252" s="69">
        <v>45199</v>
      </c>
    </row>
    <row r="253" spans="1:27" x14ac:dyDescent="0.15">
      <c r="A253" s="59" t="s">
        <v>185</v>
      </c>
      <c r="B253" s="20">
        <v>1</v>
      </c>
      <c r="C253" s="35"/>
      <c r="D253" s="21">
        <v>1</v>
      </c>
      <c r="E253" s="24"/>
      <c r="F253" s="25">
        <f t="shared" si="152"/>
        <v>2</v>
      </c>
      <c r="G253" s="20"/>
      <c r="H253" s="35">
        <v>1</v>
      </c>
      <c r="I253" s="21"/>
      <c r="J253" s="24">
        <v>1</v>
      </c>
      <c r="K253" s="25">
        <f t="shared" si="153"/>
        <v>2</v>
      </c>
      <c r="L253" s="11">
        <f t="shared" si="145"/>
        <v>4</v>
      </c>
      <c r="M253" s="71">
        <v>45182</v>
      </c>
      <c r="N253" s="40" t="s">
        <v>26</v>
      </c>
      <c r="O253" s="20">
        <v>10</v>
      </c>
      <c r="P253" s="35"/>
      <c r="Q253" s="21"/>
      <c r="R253" s="38">
        <v>5</v>
      </c>
      <c r="S253" s="9">
        <f>SUM(O253:R253)</f>
        <v>15</v>
      </c>
      <c r="T253" s="20"/>
      <c r="U253" s="35"/>
      <c r="V253" s="21">
        <v>15</v>
      </c>
      <c r="W253" s="24">
        <v>10</v>
      </c>
      <c r="X253" s="25">
        <f>SUM(T253:W253)</f>
        <v>25</v>
      </c>
      <c r="Y253" s="11">
        <f t="shared" si="144"/>
        <v>40</v>
      </c>
      <c r="Z253" s="69">
        <v>45199</v>
      </c>
    </row>
    <row r="254" spans="1:27" x14ac:dyDescent="0.15">
      <c r="A254" s="40" t="s">
        <v>187</v>
      </c>
      <c r="B254" s="20"/>
      <c r="C254" s="35">
        <v>1</v>
      </c>
      <c r="D254" s="21"/>
      <c r="E254" s="24"/>
      <c r="F254" s="25">
        <f t="shared" si="152"/>
        <v>1</v>
      </c>
      <c r="G254" s="20"/>
      <c r="H254" s="35">
        <v>1</v>
      </c>
      <c r="I254" s="21"/>
      <c r="J254" s="24"/>
      <c r="K254" s="25">
        <f t="shared" si="153"/>
        <v>1</v>
      </c>
      <c r="L254" s="11">
        <f t="shared" si="145"/>
        <v>2</v>
      </c>
      <c r="M254" s="69">
        <v>45183</v>
      </c>
      <c r="N254" s="40"/>
      <c r="O254" s="20"/>
      <c r="P254" s="35"/>
      <c r="Q254" s="21"/>
      <c r="R254" s="38"/>
      <c r="S254" s="9">
        <f t="shared" si="160"/>
        <v>0</v>
      </c>
      <c r="T254" s="20"/>
      <c r="U254" s="35"/>
      <c r="V254" s="21"/>
      <c r="W254" s="24"/>
      <c r="X254" s="25">
        <f t="shared" si="161"/>
        <v>0</v>
      </c>
      <c r="Y254" s="11">
        <f t="shared" si="144"/>
        <v>0</v>
      </c>
    </row>
    <row r="255" spans="1:27" x14ac:dyDescent="0.15">
      <c r="A255" s="40" t="s">
        <v>189</v>
      </c>
      <c r="B255" s="20">
        <v>1</v>
      </c>
      <c r="C255" s="35"/>
      <c r="D255" s="21">
        <v>1</v>
      </c>
      <c r="E255" s="24"/>
      <c r="F255" s="25">
        <f t="shared" si="152"/>
        <v>2</v>
      </c>
      <c r="G255" s="20">
        <v>1</v>
      </c>
      <c r="H255" s="35"/>
      <c r="I255" s="21">
        <v>1</v>
      </c>
      <c r="J255" s="24"/>
      <c r="K255" s="25">
        <f t="shared" si="153"/>
        <v>2</v>
      </c>
      <c r="L255" s="11">
        <f t="shared" si="145"/>
        <v>4</v>
      </c>
      <c r="M255" s="69">
        <v>45188</v>
      </c>
      <c r="N255" s="40"/>
      <c r="O255" s="48"/>
      <c r="P255" s="49"/>
      <c r="Q255" s="50"/>
      <c r="R255" s="72"/>
      <c r="S255" s="74">
        <f t="shared" si="160"/>
        <v>0</v>
      </c>
      <c r="T255" s="48"/>
      <c r="U255" s="49"/>
      <c r="V255" s="50"/>
      <c r="W255" s="51"/>
      <c r="X255" s="52">
        <f t="shared" si="161"/>
        <v>0</v>
      </c>
      <c r="Y255" s="11">
        <f t="shared" si="144"/>
        <v>0</v>
      </c>
    </row>
    <row r="256" spans="1:27" x14ac:dyDescent="0.15">
      <c r="A256" s="59" t="s">
        <v>27</v>
      </c>
      <c r="B256" s="20">
        <v>1</v>
      </c>
      <c r="C256" s="35"/>
      <c r="D256" s="21"/>
      <c r="E256" s="24"/>
      <c r="F256" s="25">
        <f t="shared" si="152"/>
        <v>1</v>
      </c>
      <c r="G256" s="20">
        <v>1</v>
      </c>
      <c r="H256" s="35"/>
      <c r="I256" s="21"/>
      <c r="J256" s="24"/>
      <c r="K256" s="25">
        <f t="shared" si="153"/>
        <v>1</v>
      </c>
      <c r="L256" s="11">
        <f t="shared" si="145"/>
        <v>2</v>
      </c>
      <c r="M256" s="71">
        <v>45184</v>
      </c>
      <c r="N256" s="12"/>
      <c r="O256" s="20"/>
      <c r="P256" s="35"/>
      <c r="Q256" s="21"/>
      <c r="R256" s="38"/>
      <c r="S256" s="9">
        <f t="shared" si="160"/>
        <v>0</v>
      </c>
      <c r="T256" s="20"/>
      <c r="U256" s="35"/>
      <c r="V256" s="21"/>
      <c r="W256" s="24"/>
      <c r="X256" s="25">
        <f t="shared" si="161"/>
        <v>0</v>
      </c>
      <c r="Y256" s="47">
        <f t="shared" si="144"/>
        <v>0</v>
      </c>
    </row>
    <row r="257" spans="1:26" x14ac:dyDescent="0.15">
      <c r="A257" s="59" t="s">
        <v>190</v>
      </c>
      <c r="B257" s="20"/>
      <c r="C257" s="35"/>
      <c r="D257" s="21"/>
      <c r="E257" s="24"/>
      <c r="F257" s="25">
        <f t="shared" si="152"/>
        <v>0</v>
      </c>
      <c r="G257" s="20">
        <v>5</v>
      </c>
      <c r="H257" s="35"/>
      <c r="I257" s="21"/>
      <c r="J257" s="24"/>
      <c r="K257" s="25">
        <f t="shared" si="153"/>
        <v>5</v>
      </c>
      <c r="L257" s="11">
        <f t="shared" si="145"/>
        <v>5</v>
      </c>
      <c r="M257" s="69">
        <v>45190</v>
      </c>
      <c r="N257" s="12"/>
      <c r="O257" s="20"/>
      <c r="P257" s="35"/>
      <c r="Q257" s="21"/>
      <c r="R257" s="38"/>
      <c r="S257" s="9">
        <f t="shared" si="160"/>
        <v>0</v>
      </c>
      <c r="T257" s="20"/>
      <c r="U257" s="35"/>
      <c r="V257" s="21"/>
      <c r="W257" s="24"/>
      <c r="X257" s="25">
        <f t="shared" si="161"/>
        <v>0</v>
      </c>
      <c r="Y257" s="47">
        <f t="shared" si="144"/>
        <v>0</v>
      </c>
    </row>
    <row r="258" spans="1:26" x14ac:dyDescent="0.15">
      <c r="A258" s="59" t="s">
        <v>27</v>
      </c>
      <c r="B258" s="20">
        <v>1</v>
      </c>
      <c r="C258" s="35"/>
      <c r="D258" s="21">
        <v>3</v>
      </c>
      <c r="E258" s="24"/>
      <c r="F258" s="25">
        <f t="shared" si="152"/>
        <v>4</v>
      </c>
      <c r="G258" s="20">
        <v>2</v>
      </c>
      <c r="H258" s="35">
        <v>1</v>
      </c>
      <c r="I258" s="21">
        <v>1</v>
      </c>
      <c r="J258" s="24"/>
      <c r="K258" s="25">
        <f t="shared" si="153"/>
        <v>4</v>
      </c>
      <c r="L258" s="11">
        <f t="shared" si="145"/>
        <v>8</v>
      </c>
      <c r="M258" s="71">
        <v>45188</v>
      </c>
      <c r="N258" s="12"/>
      <c r="O258" s="20"/>
      <c r="P258" s="35"/>
      <c r="Q258" s="21"/>
      <c r="R258" s="38"/>
      <c r="S258" s="9">
        <f>SUM(O258:R258)</f>
        <v>0</v>
      </c>
      <c r="T258" s="20"/>
      <c r="U258" s="35"/>
      <c r="V258" s="21"/>
      <c r="W258" s="24"/>
      <c r="X258" s="25">
        <f>SUM(T258:W258)</f>
        <v>0</v>
      </c>
      <c r="Y258" s="47">
        <f>S258+X258</f>
        <v>0</v>
      </c>
      <c r="Z258" s="162"/>
    </row>
    <row r="259" spans="1:26" x14ac:dyDescent="0.15">
      <c r="A259" s="59" t="s">
        <v>27</v>
      </c>
      <c r="B259" s="20">
        <v>1</v>
      </c>
      <c r="C259" s="35">
        <f>1+1</f>
        <v>2</v>
      </c>
      <c r="D259" s="21"/>
      <c r="E259" s="24"/>
      <c r="F259" s="25">
        <f t="shared" si="152"/>
        <v>3</v>
      </c>
      <c r="G259" s="20">
        <v>1</v>
      </c>
      <c r="H259" s="35">
        <v>2</v>
      </c>
      <c r="I259" s="21"/>
      <c r="J259" s="24"/>
      <c r="K259" s="25">
        <f t="shared" si="153"/>
        <v>3</v>
      </c>
      <c r="L259" s="11">
        <f t="shared" si="145"/>
        <v>6</v>
      </c>
      <c r="M259" s="71">
        <v>45189</v>
      </c>
      <c r="N259" s="104" t="s">
        <v>85</v>
      </c>
      <c r="O259" s="154"/>
      <c r="P259" s="155"/>
      <c r="Q259" s="156"/>
      <c r="R259" s="157"/>
      <c r="S259" s="158">
        <f t="shared" ref="S259:S260" si="162">SUM(O259:R259)</f>
        <v>0</v>
      </c>
      <c r="T259" s="154"/>
      <c r="U259" s="156"/>
      <c r="V259" s="156"/>
      <c r="W259" s="159"/>
      <c r="X259" s="158">
        <f t="shared" ref="X259:X260" si="163">SUM(T259:W259)</f>
        <v>0</v>
      </c>
      <c r="Y259" s="145">
        <f t="shared" ref="Y259:Y261" si="164">S259+X259</f>
        <v>0</v>
      </c>
      <c r="Z259" s="162"/>
    </row>
    <row r="260" spans="1:26" x14ac:dyDescent="0.15">
      <c r="A260" s="40" t="s">
        <v>195</v>
      </c>
      <c r="B260" s="20"/>
      <c r="C260" s="35">
        <v>1</v>
      </c>
      <c r="D260" s="21"/>
      <c r="E260" s="24"/>
      <c r="F260" s="25">
        <f t="shared" si="152"/>
        <v>1</v>
      </c>
      <c r="G260" s="20"/>
      <c r="H260" s="35">
        <v>1</v>
      </c>
      <c r="I260" s="21"/>
      <c r="J260" s="24"/>
      <c r="K260" s="25">
        <f t="shared" si="153"/>
        <v>1</v>
      </c>
      <c r="L260" s="11">
        <f t="shared" si="145"/>
        <v>2</v>
      </c>
      <c r="M260" s="69">
        <v>45191</v>
      </c>
      <c r="N260" s="12" t="s">
        <v>83</v>
      </c>
      <c r="O260" s="20"/>
      <c r="P260" s="35"/>
      <c r="Q260" s="21"/>
      <c r="R260" s="38"/>
      <c r="S260" s="9">
        <f t="shared" si="162"/>
        <v>0</v>
      </c>
      <c r="T260" s="20"/>
      <c r="U260" s="35"/>
      <c r="V260" s="21"/>
      <c r="W260" s="38"/>
      <c r="X260" s="9">
        <f t="shared" si="163"/>
        <v>0</v>
      </c>
      <c r="Y260" s="11">
        <f t="shared" si="164"/>
        <v>0</v>
      </c>
      <c r="Z260" s="162" t="s">
        <v>84</v>
      </c>
    </row>
    <row r="261" spans="1:26" x14ac:dyDescent="0.15">
      <c r="A261" s="59" t="s">
        <v>196</v>
      </c>
      <c r="B261" s="20">
        <v>1</v>
      </c>
      <c r="C261" s="35"/>
      <c r="D261" s="21"/>
      <c r="E261" s="24"/>
      <c r="F261" s="25">
        <f t="shared" si="152"/>
        <v>1</v>
      </c>
      <c r="G261" s="20"/>
      <c r="H261" s="35"/>
      <c r="I261" s="21">
        <v>1</v>
      </c>
      <c r="J261" s="24"/>
      <c r="K261" s="25">
        <f t="shared" si="153"/>
        <v>1</v>
      </c>
      <c r="L261" s="11">
        <f t="shared" si="145"/>
        <v>2</v>
      </c>
      <c r="M261" s="69">
        <v>45190</v>
      </c>
      <c r="N261" s="137" t="s">
        <v>75</v>
      </c>
      <c r="O261" s="138"/>
      <c r="P261" s="139"/>
      <c r="Q261" s="140"/>
      <c r="R261" s="141"/>
      <c r="S261" s="142">
        <f t="shared" ref="S261:S262" si="165">SUM(O261:R261)</f>
        <v>0</v>
      </c>
      <c r="T261" s="138"/>
      <c r="U261" s="139"/>
      <c r="V261" s="140"/>
      <c r="W261" s="143"/>
      <c r="X261" s="144">
        <f t="shared" ref="X261:X262" si="166">SUM(T261:W261)</f>
        <v>0</v>
      </c>
      <c r="Y261" s="145">
        <f t="shared" si="164"/>
        <v>0</v>
      </c>
      <c r="Z261" s="167"/>
    </row>
    <row r="262" spans="1:26" ht="14.25" thickBot="1" x14ac:dyDescent="0.2">
      <c r="A262" s="146" t="s">
        <v>27</v>
      </c>
      <c r="B262" s="147"/>
      <c r="C262" s="148"/>
      <c r="D262" s="149">
        <v>1</v>
      </c>
      <c r="E262" s="150"/>
      <c r="F262" s="106">
        <f t="shared" ref="F262" si="167">SUM(B262:E262)</f>
        <v>1</v>
      </c>
      <c r="G262" s="43"/>
      <c r="H262" s="44"/>
      <c r="I262" s="45">
        <v>1</v>
      </c>
      <c r="J262" s="46">
        <v>1</v>
      </c>
      <c r="K262" s="106">
        <f t="shared" ref="K262" si="168">SUM(G262:J262)</f>
        <v>2</v>
      </c>
      <c r="L262" s="75">
        <f t="shared" ref="L262" si="169">F262+K262</f>
        <v>3</v>
      </c>
      <c r="M262" s="71">
        <v>45190</v>
      </c>
      <c r="N262" s="99" t="s">
        <v>108</v>
      </c>
      <c r="O262" s="43"/>
      <c r="P262" s="44"/>
      <c r="Q262" s="45"/>
      <c r="R262" s="100"/>
      <c r="S262" s="10">
        <f t="shared" si="165"/>
        <v>0</v>
      </c>
      <c r="T262" s="43"/>
      <c r="U262" s="44"/>
      <c r="V262" s="45"/>
      <c r="W262" s="46"/>
      <c r="X262" s="106">
        <f t="shared" si="166"/>
        <v>0</v>
      </c>
      <c r="Y262" s="75">
        <f t="shared" ref="Y262" si="170">S262+X262</f>
        <v>0</v>
      </c>
      <c r="Z262" s="162" t="s">
        <v>90</v>
      </c>
    </row>
    <row r="263" spans="1:26" ht="14.25" thickBot="1" x14ac:dyDescent="0.2">
      <c r="A263" s="16" t="s">
        <v>9</v>
      </c>
      <c r="B263" s="94">
        <f>SUM(B238:B262)</f>
        <v>20</v>
      </c>
      <c r="C263" s="151">
        <f>SUM(C238:C262)</f>
        <v>18</v>
      </c>
      <c r="D263" s="95">
        <f>SUM(D238:D262)</f>
        <v>17</v>
      </c>
      <c r="E263" s="96">
        <f>SUM(E238:E262)</f>
        <v>4</v>
      </c>
      <c r="F263" s="60">
        <f>SUM(B263:E263)</f>
        <v>59</v>
      </c>
      <c r="G263" s="28">
        <f>SUM(G238:G262)</f>
        <v>20</v>
      </c>
      <c r="H263" s="36">
        <f>SUM(H238:H262)</f>
        <v>20</v>
      </c>
      <c r="I263" s="29">
        <f>SUM(I238:I262)</f>
        <v>20</v>
      </c>
      <c r="J263" s="30">
        <f>SUM(J238:J262)</f>
        <v>9</v>
      </c>
      <c r="K263" s="60">
        <f>SUM(G263:J263)</f>
        <v>69</v>
      </c>
      <c r="L263" s="63">
        <f t="shared" si="145"/>
        <v>128</v>
      </c>
      <c r="N263" s="61" t="s">
        <v>9</v>
      </c>
      <c r="O263" s="28">
        <f>SUM(O238:O262)</f>
        <v>161</v>
      </c>
      <c r="P263" s="36">
        <f>SUM(P238:P262)</f>
        <v>158</v>
      </c>
      <c r="Q263" s="29">
        <f>SUM(Q238:Q262)</f>
        <v>112</v>
      </c>
      <c r="R263" s="30">
        <f>SUM(R238:R262)</f>
        <v>85</v>
      </c>
      <c r="S263" s="60">
        <f t="shared" si="160"/>
        <v>516</v>
      </c>
      <c r="T263" s="28">
        <f>SUM(T238:T262)</f>
        <v>206</v>
      </c>
      <c r="U263" s="36">
        <f>SUM(U238:U262)</f>
        <v>203</v>
      </c>
      <c r="V263" s="29">
        <f>SUM(V238:V262)</f>
        <v>142</v>
      </c>
      <c r="W263" s="30">
        <f>SUM(W238:W262)</f>
        <v>89</v>
      </c>
      <c r="X263" s="60">
        <f t="shared" si="161"/>
        <v>640</v>
      </c>
      <c r="Y263" s="63">
        <f t="shared" si="144"/>
        <v>1156</v>
      </c>
    </row>
    <row r="264" spans="1:26" ht="14.25" thickBot="1" x14ac:dyDescent="0.2">
      <c r="A264" s="18" t="s">
        <v>10</v>
      </c>
      <c r="B264" s="31">
        <f t="shared" ref="B264:K264" si="171">B237-B263</f>
        <v>22</v>
      </c>
      <c r="C264" s="37">
        <f t="shared" si="171"/>
        <v>21</v>
      </c>
      <c r="D264" s="32">
        <f t="shared" si="171"/>
        <v>32</v>
      </c>
      <c r="E264" s="33">
        <f t="shared" si="171"/>
        <v>23</v>
      </c>
      <c r="F264" s="42">
        <f t="shared" si="171"/>
        <v>98</v>
      </c>
      <c r="G264" s="31">
        <f t="shared" si="171"/>
        <v>14</v>
      </c>
      <c r="H264" s="37">
        <f t="shared" si="171"/>
        <v>20</v>
      </c>
      <c r="I264" s="32">
        <f t="shared" si="171"/>
        <v>23</v>
      </c>
      <c r="J264" s="33">
        <f t="shared" si="171"/>
        <v>26</v>
      </c>
      <c r="K264" s="42">
        <f t="shared" si="171"/>
        <v>83</v>
      </c>
      <c r="L264" s="17">
        <f t="shared" si="145"/>
        <v>181</v>
      </c>
      <c r="N264" s="16" t="s">
        <v>10</v>
      </c>
      <c r="O264" s="31">
        <f t="shared" ref="O264:X264" si="172">O237-O263</f>
        <v>531</v>
      </c>
      <c r="P264" s="37">
        <f t="shared" si="172"/>
        <v>729</v>
      </c>
      <c r="Q264" s="32">
        <f t="shared" si="172"/>
        <v>440</v>
      </c>
      <c r="R264" s="33">
        <f t="shared" si="172"/>
        <v>240</v>
      </c>
      <c r="S264" s="42">
        <f t="shared" si="172"/>
        <v>1940</v>
      </c>
      <c r="T264" s="31">
        <f t="shared" si="172"/>
        <v>477</v>
      </c>
      <c r="U264" s="37">
        <f t="shared" si="172"/>
        <v>677</v>
      </c>
      <c r="V264" s="32">
        <f t="shared" si="172"/>
        <v>415</v>
      </c>
      <c r="W264" s="33">
        <f t="shared" si="172"/>
        <v>221</v>
      </c>
      <c r="X264" s="42">
        <f t="shared" si="172"/>
        <v>1790</v>
      </c>
      <c r="Y264" s="17">
        <f t="shared" si="144"/>
        <v>3730</v>
      </c>
    </row>
    <row r="265" spans="1:26" x14ac:dyDescent="0.15">
      <c r="O265" s="62">
        <f>O263+O225+O187+O149+O111+O75</f>
        <v>593</v>
      </c>
      <c r="P265" s="62">
        <f t="shared" ref="P265:Y265" si="173">P263+P225+P187+P149+P111+P75</f>
        <v>703</v>
      </c>
      <c r="Q265" s="62">
        <f t="shared" si="173"/>
        <v>481</v>
      </c>
      <c r="R265" s="62">
        <f t="shared" si="173"/>
        <v>375</v>
      </c>
      <c r="S265" s="62">
        <f t="shared" si="173"/>
        <v>2152</v>
      </c>
      <c r="T265" s="62">
        <f t="shared" si="173"/>
        <v>623</v>
      </c>
      <c r="U265" s="62">
        <f t="shared" si="173"/>
        <v>753</v>
      </c>
      <c r="V265" s="62">
        <f t="shared" si="173"/>
        <v>496</v>
      </c>
      <c r="W265" s="62">
        <f t="shared" si="173"/>
        <v>379</v>
      </c>
      <c r="X265" s="62">
        <f t="shared" si="173"/>
        <v>2251</v>
      </c>
      <c r="Y265" s="62">
        <f t="shared" si="173"/>
        <v>4403</v>
      </c>
    </row>
    <row r="266" spans="1:26" x14ac:dyDescent="0.15">
      <c r="O266" s="87">
        <f>O265/$S$265*100</f>
        <v>27.555762081784387</v>
      </c>
      <c r="P266" s="87">
        <f t="shared" ref="P266:S266" si="174">P265/$S$265*100</f>
        <v>32.667286245353161</v>
      </c>
      <c r="Q266" s="87">
        <f t="shared" si="174"/>
        <v>22.351301115241636</v>
      </c>
      <c r="R266" s="87">
        <f t="shared" si="174"/>
        <v>17.425650557620816</v>
      </c>
      <c r="S266" s="87">
        <f t="shared" si="174"/>
        <v>100</v>
      </c>
      <c r="T266" s="87">
        <f>T265/$X$265*100</f>
        <v>27.676588183029764</v>
      </c>
      <c r="U266" s="87">
        <f t="shared" ref="U266:X266" si="175">U265/$X$265*100</f>
        <v>33.451799200355396</v>
      </c>
      <c r="V266" s="87">
        <f t="shared" si="175"/>
        <v>22.034651266103957</v>
      </c>
      <c r="W266" s="87">
        <f t="shared" si="175"/>
        <v>16.836961350510883</v>
      </c>
      <c r="X266" s="87">
        <f t="shared" si="175"/>
        <v>100</v>
      </c>
    </row>
    <row r="267" spans="1:26" ht="19.5" thickBot="1" x14ac:dyDescent="0.25">
      <c r="A267" s="2" t="s">
        <v>17</v>
      </c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N267" s="2" t="s">
        <v>18</v>
      </c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1"/>
    </row>
    <row r="268" spans="1:26" ht="14.25" thickBot="1" x14ac:dyDescent="0.2">
      <c r="A268" s="5" t="s">
        <v>0</v>
      </c>
      <c r="B268" s="244" t="s">
        <v>19</v>
      </c>
      <c r="C268" s="245"/>
      <c r="D268" s="245"/>
      <c r="E268" s="245"/>
      <c r="F268" s="246"/>
      <c r="G268" s="247" t="s">
        <v>20</v>
      </c>
      <c r="H268" s="248"/>
      <c r="I268" s="248"/>
      <c r="J268" s="248"/>
      <c r="K268" s="249"/>
      <c r="L268" s="250" t="s">
        <v>1</v>
      </c>
      <c r="N268" s="5" t="s">
        <v>0</v>
      </c>
      <c r="O268" s="244" t="s">
        <v>19</v>
      </c>
      <c r="P268" s="245"/>
      <c r="Q268" s="245"/>
      <c r="R268" s="245"/>
      <c r="S268" s="246"/>
      <c r="T268" s="247" t="s">
        <v>20</v>
      </c>
      <c r="U268" s="248"/>
      <c r="V268" s="248"/>
      <c r="W268" s="248"/>
      <c r="X268" s="249"/>
      <c r="Y268" s="250" t="s">
        <v>1</v>
      </c>
    </row>
    <row r="269" spans="1:26" ht="14.25" thickBot="1" x14ac:dyDescent="0.2">
      <c r="A269" s="5" t="s">
        <v>2</v>
      </c>
      <c r="B269" s="3" t="s">
        <v>11</v>
      </c>
      <c r="C269" s="34" t="s">
        <v>12</v>
      </c>
      <c r="D269" s="4" t="s">
        <v>13</v>
      </c>
      <c r="E269" s="19" t="s">
        <v>14</v>
      </c>
      <c r="F269" s="23" t="s">
        <v>3</v>
      </c>
      <c r="G269" s="3" t="s">
        <v>11</v>
      </c>
      <c r="H269" s="34" t="s">
        <v>12</v>
      </c>
      <c r="I269" s="4" t="s">
        <v>13</v>
      </c>
      <c r="J269" s="19" t="s">
        <v>14</v>
      </c>
      <c r="K269" s="23" t="s">
        <v>3</v>
      </c>
      <c r="L269" s="251"/>
      <c r="N269" s="5" t="s">
        <v>2</v>
      </c>
      <c r="O269" s="53" t="s">
        <v>11</v>
      </c>
      <c r="P269" s="54" t="s">
        <v>12</v>
      </c>
      <c r="Q269" s="55" t="s">
        <v>13</v>
      </c>
      <c r="R269" s="56" t="s">
        <v>14</v>
      </c>
      <c r="S269" s="23" t="s">
        <v>3</v>
      </c>
      <c r="T269" s="3" t="s">
        <v>11</v>
      </c>
      <c r="U269" s="34" t="s">
        <v>12</v>
      </c>
      <c r="V269" s="4" t="s">
        <v>13</v>
      </c>
      <c r="W269" s="19" t="s">
        <v>14</v>
      </c>
      <c r="X269" s="23" t="s">
        <v>3</v>
      </c>
      <c r="Y269" s="251"/>
    </row>
    <row r="270" spans="1:26" ht="14.25" thickBot="1" x14ac:dyDescent="0.2">
      <c r="A270" s="18" t="s">
        <v>15</v>
      </c>
      <c r="B270" s="31">
        <f>B264</f>
        <v>22</v>
      </c>
      <c r="C270" s="32">
        <f>C264</f>
        <v>21</v>
      </c>
      <c r="D270" s="32">
        <f>D264</f>
        <v>32</v>
      </c>
      <c r="E270" s="33">
        <f>E264</f>
        <v>23</v>
      </c>
      <c r="F270" s="86">
        <f>SUM(B270:E270)</f>
        <v>98</v>
      </c>
      <c r="G270" s="31">
        <f>G264</f>
        <v>14</v>
      </c>
      <c r="H270" s="32">
        <f>H264</f>
        <v>20</v>
      </c>
      <c r="I270" s="32">
        <f>I264</f>
        <v>23</v>
      </c>
      <c r="J270" s="33">
        <f>J264</f>
        <v>26</v>
      </c>
      <c r="K270" s="80">
        <f>SUM(G270:J270)</f>
        <v>83</v>
      </c>
      <c r="L270" s="17">
        <f>F270+K270</f>
        <v>181</v>
      </c>
      <c r="N270" s="18" t="s">
        <v>15</v>
      </c>
      <c r="O270" s="120">
        <f>O264</f>
        <v>531</v>
      </c>
      <c r="P270" s="121">
        <f>P264</f>
        <v>729</v>
      </c>
      <c r="Q270" s="121">
        <f>Q264</f>
        <v>440</v>
      </c>
      <c r="R270" s="122">
        <f>R264</f>
        <v>240</v>
      </c>
      <c r="S270" s="130">
        <f>SUM(O270:R270)</f>
        <v>1940</v>
      </c>
      <c r="T270" s="31">
        <f>T264</f>
        <v>477</v>
      </c>
      <c r="U270" s="32">
        <f>U264</f>
        <v>677</v>
      </c>
      <c r="V270" s="32">
        <f>V264</f>
        <v>415</v>
      </c>
      <c r="W270" s="33">
        <f>W264</f>
        <v>221</v>
      </c>
      <c r="X270" s="131">
        <f>SUM(T270:W270)</f>
        <v>1790</v>
      </c>
      <c r="Y270" s="132">
        <f t="shared" ref="Y270:Y302" si="176">S270+X270</f>
        <v>3730</v>
      </c>
    </row>
    <row r="271" spans="1:26" x14ac:dyDescent="0.15">
      <c r="A271" s="59" t="s">
        <v>4</v>
      </c>
      <c r="B271" s="64">
        <v>10</v>
      </c>
      <c r="C271" s="65">
        <v>5</v>
      </c>
      <c r="D271" s="66"/>
      <c r="E271" s="67">
        <v>5</v>
      </c>
      <c r="F271" s="74">
        <f>SUM(B271:E271)</f>
        <v>20</v>
      </c>
      <c r="G271" s="65">
        <v>15</v>
      </c>
      <c r="H271" s="65">
        <v>10</v>
      </c>
      <c r="I271" s="66"/>
      <c r="J271" s="67"/>
      <c r="K271" s="74">
        <f>SUM(G271:J271)</f>
        <v>25</v>
      </c>
      <c r="L271" s="11">
        <f t="shared" ref="L271:L302" si="177">F271+K271</f>
        <v>45</v>
      </c>
      <c r="M271" s="69">
        <v>45190</v>
      </c>
      <c r="N271" s="59" t="s">
        <v>16</v>
      </c>
      <c r="O271" s="127"/>
      <c r="P271" s="128"/>
      <c r="Q271" s="128"/>
      <c r="R271" s="129"/>
      <c r="S271" s="98">
        <f>SUM(O271:R271)</f>
        <v>0</v>
      </c>
      <c r="T271" s="49"/>
      <c r="U271" s="49"/>
      <c r="V271" s="50"/>
      <c r="W271" s="72"/>
      <c r="X271" s="98">
        <f>SUM(T271:W271)</f>
        <v>0</v>
      </c>
      <c r="Y271" s="135">
        <f t="shared" si="176"/>
        <v>0</v>
      </c>
    </row>
    <row r="272" spans="1:26" x14ac:dyDescent="0.15">
      <c r="A272" s="13" t="s">
        <v>5</v>
      </c>
      <c r="B272" s="6">
        <v>10</v>
      </c>
      <c r="C272" s="22"/>
      <c r="D272" s="7"/>
      <c r="E272" s="8">
        <v>5</v>
      </c>
      <c r="F272" s="9">
        <f>SUM(B272:E272)</f>
        <v>15</v>
      </c>
      <c r="G272" s="22"/>
      <c r="H272" s="22"/>
      <c r="I272" s="7">
        <v>15</v>
      </c>
      <c r="J272" s="8">
        <v>10</v>
      </c>
      <c r="K272" s="9">
        <f>SUM(G272:J272)</f>
        <v>25</v>
      </c>
      <c r="L272" s="11">
        <f t="shared" si="177"/>
        <v>40</v>
      </c>
      <c r="M272" s="69">
        <v>45199</v>
      </c>
      <c r="N272" s="13" t="s">
        <v>4</v>
      </c>
      <c r="O272" s="20"/>
      <c r="P272" s="21"/>
      <c r="Q272" s="21"/>
      <c r="R272" s="38"/>
      <c r="S272" s="9">
        <f t="shared" ref="S272:S273" si="178">SUM(O272:R272)</f>
        <v>0</v>
      </c>
      <c r="T272" s="35"/>
      <c r="U272" s="35"/>
      <c r="V272" s="21"/>
      <c r="W272" s="38"/>
      <c r="X272" s="9">
        <f t="shared" ref="X272:X273" si="179">SUM(T272:W272)</f>
        <v>0</v>
      </c>
      <c r="Y272" s="47">
        <f t="shared" ref="Y272:Y273" si="180">S272+X272</f>
        <v>0</v>
      </c>
    </row>
    <row r="273" spans="1:27" x14ac:dyDescent="0.15">
      <c r="A273" s="59" t="s">
        <v>208</v>
      </c>
      <c r="B273" s="20">
        <v>1</v>
      </c>
      <c r="C273" s="35"/>
      <c r="D273" s="21"/>
      <c r="E273" s="24"/>
      <c r="F273" s="25">
        <f t="shared" ref="F273" si="181">SUM(B273:E273)</f>
        <v>1</v>
      </c>
      <c r="G273" s="20">
        <v>1</v>
      </c>
      <c r="H273" s="35"/>
      <c r="I273" s="21"/>
      <c r="J273" s="24"/>
      <c r="K273" s="25">
        <f t="shared" ref="K273" si="182">SUM(G273:J273)</f>
        <v>1</v>
      </c>
      <c r="L273" s="11">
        <f t="shared" si="177"/>
        <v>2</v>
      </c>
      <c r="M273" s="71">
        <v>45199</v>
      </c>
      <c r="N273" s="13" t="s">
        <v>5</v>
      </c>
      <c r="O273" s="20"/>
      <c r="P273" s="21"/>
      <c r="Q273" s="21"/>
      <c r="R273" s="38"/>
      <c r="S273" s="9">
        <f t="shared" si="178"/>
        <v>0</v>
      </c>
      <c r="T273" s="35"/>
      <c r="U273" s="35"/>
      <c r="V273" s="21"/>
      <c r="W273" s="38"/>
      <c r="X273" s="9">
        <f t="shared" si="179"/>
        <v>0</v>
      </c>
      <c r="Y273" s="47">
        <f t="shared" si="180"/>
        <v>0</v>
      </c>
    </row>
    <row r="274" spans="1:27" ht="14.25" thickBot="1" x14ac:dyDescent="0.2">
      <c r="A274" s="13" t="s">
        <v>7</v>
      </c>
      <c r="B274" s="6">
        <v>15</v>
      </c>
      <c r="C274" s="22">
        <v>15</v>
      </c>
      <c r="D274" s="7">
        <v>10</v>
      </c>
      <c r="E274" s="8">
        <v>10</v>
      </c>
      <c r="F274" s="10">
        <f>SUM(B274:E274)</f>
        <v>50</v>
      </c>
      <c r="G274" s="22">
        <v>21</v>
      </c>
      <c r="H274" s="22">
        <v>19</v>
      </c>
      <c r="I274" s="7">
        <v>10</v>
      </c>
      <c r="J274" s="8">
        <v>5</v>
      </c>
      <c r="K274" s="10">
        <f>SUM(G274:J274)</f>
        <v>55</v>
      </c>
      <c r="L274" s="14">
        <f t="shared" si="177"/>
        <v>105</v>
      </c>
      <c r="M274" s="69">
        <v>45211</v>
      </c>
      <c r="N274" s="13" t="s">
        <v>6</v>
      </c>
      <c r="O274" s="43"/>
      <c r="P274" s="45"/>
      <c r="Q274" s="45"/>
      <c r="R274" s="100"/>
      <c r="S274" s="10">
        <f t="shared" ref="S274" si="183">SUM(O274:R274)</f>
        <v>0</v>
      </c>
      <c r="T274" s="35"/>
      <c r="U274" s="35"/>
      <c r="V274" s="21"/>
      <c r="W274" s="38"/>
      <c r="X274" s="10">
        <f t="shared" ref="X274" si="184">SUM(T274:W274)</f>
        <v>0</v>
      </c>
      <c r="Y274" s="75">
        <f t="shared" ref="Y274" si="185">S274+X274</f>
        <v>0</v>
      </c>
    </row>
    <row r="275" spans="1:27" ht="14.25" thickBot="1" x14ac:dyDescent="0.2">
      <c r="A275" s="18" t="s">
        <v>8</v>
      </c>
      <c r="B275" s="76">
        <f t="shared" ref="B275:K275" si="186">SUM(B270:B274)</f>
        <v>58</v>
      </c>
      <c r="C275" s="77">
        <f t="shared" si="186"/>
        <v>41</v>
      </c>
      <c r="D275" s="78">
        <f t="shared" si="186"/>
        <v>42</v>
      </c>
      <c r="E275" s="79">
        <f t="shared" si="186"/>
        <v>43</v>
      </c>
      <c r="F275" s="80">
        <f t="shared" si="186"/>
        <v>184</v>
      </c>
      <c r="G275" s="76">
        <f t="shared" si="186"/>
        <v>51</v>
      </c>
      <c r="H275" s="77">
        <f t="shared" si="186"/>
        <v>49</v>
      </c>
      <c r="I275" s="78">
        <f t="shared" si="186"/>
        <v>48</v>
      </c>
      <c r="J275" s="79">
        <f t="shared" si="186"/>
        <v>41</v>
      </c>
      <c r="K275" s="80">
        <f t="shared" si="186"/>
        <v>189</v>
      </c>
      <c r="L275" s="17">
        <f t="shared" si="177"/>
        <v>373</v>
      </c>
      <c r="N275" s="16" t="s">
        <v>8</v>
      </c>
      <c r="O275" s="123">
        <f t="shared" ref="O275:X275" si="187">SUM(O270:O274)</f>
        <v>531</v>
      </c>
      <c r="P275" s="124">
        <f t="shared" si="187"/>
        <v>729</v>
      </c>
      <c r="Q275" s="125">
        <f t="shared" si="187"/>
        <v>440</v>
      </c>
      <c r="R275" s="126">
        <f t="shared" si="187"/>
        <v>240</v>
      </c>
      <c r="S275" s="133">
        <f t="shared" si="187"/>
        <v>1940</v>
      </c>
      <c r="T275" s="31">
        <f t="shared" si="187"/>
        <v>477</v>
      </c>
      <c r="U275" s="37">
        <f t="shared" si="187"/>
        <v>677</v>
      </c>
      <c r="V275" s="32">
        <f t="shared" si="187"/>
        <v>415</v>
      </c>
      <c r="W275" s="82">
        <f t="shared" si="187"/>
        <v>221</v>
      </c>
      <c r="X275" s="133">
        <f t="shared" si="187"/>
        <v>1790</v>
      </c>
      <c r="Y275" s="134">
        <f t="shared" si="176"/>
        <v>3730</v>
      </c>
    </row>
    <row r="276" spans="1:27" x14ac:dyDescent="0.15">
      <c r="A276" s="40" t="s">
        <v>197</v>
      </c>
      <c r="B276" s="48"/>
      <c r="C276" s="49">
        <v>1</v>
      </c>
      <c r="D276" s="50"/>
      <c r="E276" s="51"/>
      <c r="F276" s="52">
        <f t="shared" ref="F276:F299" si="188">SUM(B276:E276)</f>
        <v>1</v>
      </c>
      <c r="G276" s="48"/>
      <c r="H276" s="49">
        <v>1</v>
      </c>
      <c r="I276" s="50"/>
      <c r="J276" s="51"/>
      <c r="K276" s="52">
        <f t="shared" ref="K276:K299" si="189">SUM(G276:J276)</f>
        <v>1</v>
      </c>
      <c r="L276" s="11">
        <f t="shared" si="177"/>
        <v>2</v>
      </c>
      <c r="M276" s="69">
        <v>45194</v>
      </c>
      <c r="N276" s="12" t="s">
        <v>184</v>
      </c>
      <c r="O276" s="20">
        <v>20</v>
      </c>
      <c r="P276" s="35">
        <v>30</v>
      </c>
      <c r="Q276" s="21">
        <v>20</v>
      </c>
      <c r="R276" s="38">
        <v>15</v>
      </c>
      <c r="S276" s="9">
        <f t="shared" ref="S276:S278" si="190">SUM(O276:R276)</f>
        <v>85</v>
      </c>
      <c r="T276" s="20">
        <v>20</v>
      </c>
      <c r="U276" s="35">
        <v>30</v>
      </c>
      <c r="V276" s="21">
        <v>20</v>
      </c>
      <c r="W276" s="38">
        <v>15</v>
      </c>
      <c r="X276" s="98">
        <f t="shared" ref="X276:X278" si="191">SUM(T276:W276)</f>
        <v>85</v>
      </c>
      <c r="Y276" s="11">
        <f t="shared" ref="Y276:Y279" si="192">S276+X276</f>
        <v>170</v>
      </c>
      <c r="Z276" s="69">
        <v>45201</v>
      </c>
      <c r="AA276" s="41"/>
    </row>
    <row r="277" spans="1:27" x14ac:dyDescent="0.15">
      <c r="A277" s="59" t="s">
        <v>27</v>
      </c>
      <c r="B277" s="20"/>
      <c r="C277" s="35">
        <v>1</v>
      </c>
      <c r="D277" s="21"/>
      <c r="E277" s="24">
        <v>1</v>
      </c>
      <c r="F277" s="25">
        <f t="shared" si="188"/>
        <v>2</v>
      </c>
      <c r="G277" s="20"/>
      <c r="H277" s="35">
        <v>1</v>
      </c>
      <c r="I277" s="21">
        <v>2</v>
      </c>
      <c r="J277" s="24"/>
      <c r="K277" s="25">
        <f t="shared" si="189"/>
        <v>3</v>
      </c>
      <c r="L277" s="11">
        <f t="shared" si="177"/>
        <v>5</v>
      </c>
      <c r="M277" s="69">
        <v>45191</v>
      </c>
      <c r="N277" s="12" t="s">
        <v>202</v>
      </c>
      <c r="O277" s="20">
        <v>5</v>
      </c>
      <c r="P277" s="35"/>
      <c r="Q277" s="21"/>
      <c r="R277" s="38"/>
      <c r="S277" s="9">
        <f t="shared" si="190"/>
        <v>5</v>
      </c>
      <c r="T277" s="20"/>
      <c r="U277" s="35"/>
      <c r="V277" s="21">
        <v>5</v>
      </c>
      <c r="W277" s="38">
        <v>5</v>
      </c>
      <c r="X277" s="9">
        <f t="shared" si="191"/>
        <v>10</v>
      </c>
      <c r="Y277" s="11">
        <f t="shared" si="192"/>
        <v>15</v>
      </c>
      <c r="Z277" s="69">
        <v>45202</v>
      </c>
    </row>
    <row r="278" spans="1:27" x14ac:dyDescent="0.15">
      <c r="A278" s="59" t="s">
        <v>198</v>
      </c>
      <c r="B278" s="20"/>
      <c r="C278" s="35"/>
      <c r="D278" s="21"/>
      <c r="E278" s="24">
        <v>2</v>
      </c>
      <c r="F278" s="25">
        <f t="shared" si="188"/>
        <v>2</v>
      </c>
      <c r="G278" s="20"/>
      <c r="H278" s="35"/>
      <c r="I278" s="21">
        <v>2</v>
      </c>
      <c r="J278" s="24"/>
      <c r="K278" s="25">
        <f t="shared" si="189"/>
        <v>2</v>
      </c>
      <c r="L278" s="11">
        <f t="shared" si="177"/>
        <v>4</v>
      </c>
      <c r="M278" s="69">
        <v>45192</v>
      </c>
      <c r="N278" s="40" t="s">
        <v>213</v>
      </c>
      <c r="O278" s="20"/>
      <c r="P278" s="35"/>
      <c r="Q278" s="21">
        <v>7</v>
      </c>
      <c r="R278" s="38"/>
      <c r="S278" s="9">
        <f t="shared" si="190"/>
        <v>7</v>
      </c>
      <c r="T278" s="20"/>
      <c r="U278" s="35"/>
      <c r="V278" s="21">
        <v>7</v>
      </c>
      <c r="W278" s="38"/>
      <c r="X278" s="9">
        <f t="shared" si="191"/>
        <v>7</v>
      </c>
      <c r="Y278" s="11">
        <f t="shared" si="192"/>
        <v>14</v>
      </c>
      <c r="Z278" s="69">
        <v>45211</v>
      </c>
    </row>
    <row r="279" spans="1:27" x14ac:dyDescent="0.15">
      <c r="A279" s="59" t="s">
        <v>27</v>
      </c>
      <c r="B279" s="20">
        <v>1</v>
      </c>
      <c r="C279" s="35">
        <v>1</v>
      </c>
      <c r="D279" s="21">
        <v>1</v>
      </c>
      <c r="E279" s="24">
        <v>1</v>
      </c>
      <c r="F279" s="25">
        <f t="shared" si="188"/>
        <v>4</v>
      </c>
      <c r="G279" s="20">
        <v>1</v>
      </c>
      <c r="H279" s="35">
        <v>1</v>
      </c>
      <c r="I279" s="21">
        <v>1</v>
      </c>
      <c r="J279" s="24"/>
      <c r="K279" s="25">
        <f t="shared" si="189"/>
        <v>3</v>
      </c>
      <c r="L279" s="11">
        <f t="shared" si="177"/>
        <v>7</v>
      </c>
      <c r="M279" s="71">
        <v>45194</v>
      </c>
      <c r="N279" s="40" t="s">
        <v>216</v>
      </c>
      <c r="O279" s="20"/>
      <c r="P279" s="35"/>
      <c r="Q279" s="21">
        <v>10</v>
      </c>
      <c r="R279" s="38">
        <v>10</v>
      </c>
      <c r="S279" s="9">
        <f>SUM(O279:R279)</f>
        <v>20</v>
      </c>
      <c r="T279" s="20"/>
      <c r="U279" s="35"/>
      <c r="V279" s="21">
        <v>10</v>
      </c>
      <c r="W279" s="38">
        <v>10</v>
      </c>
      <c r="X279" s="9">
        <f>SUM(T279:W279)</f>
        <v>20</v>
      </c>
      <c r="Y279" s="11">
        <f t="shared" si="192"/>
        <v>40</v>
      </c>
      <c r="Z279" s="69">
        <v>45211</v>
      </c>
    </row>
    <row r="280" spans="1:27" x14ac:dyDescent="0.15">
      <c r="A280" s="40" t="s">
        <v>200</v>
      </c>
      <c r="B280" s="20"/>
      <c r="C280" s="35"/>
      <c r="D280" s="21"/>
      <c r="E280" s="24">
        <v>1</v>
      </c>
      <c r="F280" s="25">
        <f t="shared" si="188"/>
        <v>1</v>
      </c>
      <c r="G280" s="20"/>
      <c r="H280" s="35"/>
      <c r="I280" s="21"/>
      <c r="J280" s="24">
        <v>1</v>
      </c>
      <c r="K280" s="25">
        <f t="shared" si="189"/>
        <v>1</v>
      </c>
      <c r="L280" s="11">
        <f t="shared" si="177"/>
        <v>2</v>
      </c>
      <c r="M280" s="69">
        <v>45196</v>
      </c>
      <c r="N280" s="40" t="s">
        <v>26</v>
      </c>
      <c r="O280" s="20">
        <v>15</v>
      </c>
      <c r="P280" s="35">
        <v>15</v>
      </c>
      <c r="Q280" s="21">
        <v>10</v>
      </c>
      <c r="R280" s="38">
        <v>10</v>
      </c>
      <c r="S280" s="9">
        <f>SUM(O280:R280)</f>
        <v>50</v>
      </c>
      <c r="T280" s="20">
        <v>20</v>
      </c>
      <c r="U280" s="35">
        <v>20</v>
      </c>
      <c r="V280" s="21">
        <v>10</v>
      </c>
      <c r="W280" s="38">
        <v>5</v>
      </c>
      <c r="X280" s="9">
        <f>SUM(T280:W280)</f>
        <v>55</v>
      </c>
      <c r="Y280" s="11">
        <f t="shared" ref="Y280" si="193">S280+X280</f>
        <v>105</v>
      </c>
      <c r="Z280" s="69">
        <v>45211</v>
      </c>
    </row>
    <row r="281" spans="1:27" x14ac:dyDescent="0.15">
      <c r="A281" s="59" t="s">
        <v>27</v>
      </c>
      <c r="B281" s="20">
        <v>1</v>
      </c>
      <c r="C281" s="35"/>
      <c r="D281" s="21"/>
      <c r="E281" s="24">
        <v>2</v>
      </c>
      <c r="F281" s="25">
        <f t="shared" si="188"/>
        <v>3</v>
      </c>
      <c r="G281" s="20">
        <v>1</v>
      </c>
      <c r="H281" s="35"/>
      <c r="I281" s="21"/>
      <c r="J281" s="24">
        <v>2</v>
      </c>
      <c r="K281" s="25">
        <f t="shared" si="189"/>
        <v>3</v>
      </c>
      <c r="L281" s="11">
        <f t="shared" si="177"/>
        <v>6</v>
      </c>
      <c r="M281" s="71">
        <v>45195</v>
      </c>
      <c r="N281" s="40" t="s">
        <v>217</v>
      </c>
      <c r="O281" s="20"/>
      <c r="P281" s="35">
        <v>17</v>
      </c>
      <c r="Q281" s="21"/>
      <c r="R281" s="38"/>
      <c r="S281" s="9">
        <f t="shared" ref="S281:S288" si="194">SUM(O281:R281)</f>
        <v>17</v>
      </c>
      <c r="T281" s="20"/>
      <c r="U281" s="35">
        <v>17</v>
      </c>
      <c r="V281" s="21"/>
      <c r="W281" s="38"/>
      <c r="X281" s="9">
        <f t="shared" ref="X281:X288" si="195">SUM(T281:W281)</f>
        <v>17</v>
      </c>
      <c r="Y281" s="11">
        <f t="shared" si="176"/>
        <v>34</v>
      </c>
      <c r="Z281" s="69">
        <v>45215</v>
      </c>
    </row>
    <row r="282" spans="1:27" x14ac:dyDescent="0.15">
      <c r="A282" s="59" t="s">
        <v>27</v>
      </c>
      <c r="B282" s="20">
        <v>1</v>
      </c>
      <c r="C282" s="35"/>
      <c r="D282" s="21"/>
      <c r="E282" s="24"/>
      <c r="F282" s="25">
        <f t="shared" si="188"/>
        <v>1</v>
      </c>
      <c r="G282" s="20">
        <v>1</v>
      </c>
      <c r="H282" s="35"/>
      <c r="I282" s="21"/>
      <c r="J282" s="24"/>
      <c r="K282" s="25">
        <f t="shared" si="189"/>
        <v>1</v>
      </c>
      <c r="L282" s="11">
        <f t="shared" si="177"/>
        <v>2</v>
      </c>
      <c r="M282" s="71">
        <v>45196</v>
      </c>
      <c r="N282" s="40" t="s">
        <v>220</v>
      </c>
      <c r="O282" s="20"/>
      <c r="P282" s="35">
        <v>3</v>
      </c>
      <c r="Q282" s="21"/>
      <c r="R282" s="38"/>
      <c r="S282" s="9">
        <f t="shared" si="194"/>
        <v>3</v>
      </c>
      <c r="T282" s="20"/>
      <c r="U282" s="35">
        <v>3</v>
      </c>
      <c r="V282" s="21"/>
      <c r="W282" s="38"/>
      <c r="X282" s="9">
        <f t="shared" si="195"/>
        <v>3</v>
      </c>
      <c r="Y282" s="11">
        <f t="shared" si="176"/>
        <v>6</v>
      </c>
      <c r="Z282" s="69">
        <v>45216</v>
      </c>
    </row>
    <row r="283" spans="1:27" x14ac:dyDescent="0.15">
      <c r="A283" s="40" t="s">
        <v>206</v>
      </c>
      <c r="B283" s="20">
        <v>3</v>
      </c>
      <c r="C283" s="35"/>
      <c r="D283" s="21">
        <v>1</v>
      </c>
      <c r="E283" s="24"/>
      <c r="F283" s="25">
        <f t="shared" si="188"/>
        <v>4</v>
      </c>
      <c r="G283" s="20">
        <v>3</v>
      </c>
      <c r="H283" s="35"/>
      <c r="I283" s="21">
        <v>1</v>
      </c>
      <c r="J283" s="24"/>
      <c r="K283" s="25">
        <f t="shared" si="189"/>
        <v>4</v>
      </c>
      <c r="L283" s="11">
        <f t="shared" si="177"/>
        <v>8</v>
      </c>
      <c r="M283" s="69">
        <v>45198</v>
      </c>
      <c r="N283" s="40" t="s">
        <v>223</v>
      </c>
      <c r="O283" s="20">
        <v>2</v>
      </c>
      <c r="P283" s="35">
        <v>6</v>
      </c>
      <c r="Q283" s="21"/>
      <c r="R283" s="38"/>
      <c r="S283" s="9">
        <f t="shared" si="194"/>
        <v>8</v>
      </c>
      <c r="T283" s="20">
        <v>2</v>
      </c>
      <c r="U283" s="35">
        <v>6</v>
      </c>
      <c r="V283" s="21"/>
      <c r="W283" s="38"/>
      <c r="X283" s="9">
        <f t="shared" si="195"/>
        <v>8</v>
      </c>
      <c r="Y283" s="11">
        <f t="shared" si="176"/>
        <v>16</v>
      </c>
      <c r="Z283" s="69">
        <v>45215</v>
      </c>
      <c r="AA283" s="41"/>
    </row>
    <row r="284" spans="1:27" x14ac:dyDescent="0.15">
      <c r="A284" s="59" t="s">
        <v>27</v>
      </c>
      <c r="B284" s="20">
        <f>1+1</f>
        <v>2</v>
      </c>
      <c r="C284" s="35"/>
      <c r="D284" s="21">
        <v>1</v>
      </c>
      <c r="E284" s="24"/>
      <c r="F284" s="25">
        <f t="shared" si="188"/>
        <v>3</v>
      </c>
      <c r="G284" s="20">
        <f>1+1</f>
        <v>2</v>
      </c>
      <c r="H284" s="35"/>
      <c r="I284" s="21">
        <v>1</v>
      </c>
      <c r="J284" s="24"/>
      <c r="K284" s="25">
        <f t="shared" si="189"/>
        <v>3</v>
      </c>
      <c r="L284" s="11">
        <f t="shared" si="177"/>
        <v>6</v>
      </c>
      <c r="M284" s="71">
        <v>45197</v>
      </c>
      <c r="N284" s="12" t="s">
        <v>224</v>
      </c>
      <c r="O284" s="20">
        <v>5</v>
      </c>
      <c r="P284" s="35"/>
      <c r="Q284" s="21"/>
      <c r="R284" s="38"/>
      <c r="S284" s="9">
        <f t="shared" si="194"/>
        <v>5</v>
      </c>
      <c r="T284" s="20">
        <v>5</v>
      </c>
      <c r="U284" s="35"/>
      <c r="V284" s="21"/>
      <c r="W284" s="38"/>
      <c r="X284" s="9">
        <f t="shared" si="195"/>
        <v>5</v>
      </c>
      <c r="Y284" s="11">
        <f t="shared" si="176"/>
        <v>10</v>
      </c>
      <c r="Z284" s="69">
        <v>45218</v>
      </c>
      <c r="AA284" s="41"/>
    </row>
    <row r="285" spans="1:27" x14ac:dyDescent="0.15">
      <c r="A285" s="59" t="s">
        <v>27</v>
      </c>
      <c r="B285" s="20">
        <v>3</v>
      </c>
      <c r="C285" s="35"/>
      <c r="D285" s="21"/>
      <c r="E285" s="24">
        <v>1</v>
      </c>
      <c r="F285" s="25">
        <f t="shared" si="188"/>
        <v>4</v>
      </c>
      <c r="G285" s="20">
        <v>1</v>
      </c>
      <c r="H285" s="35"/>
      <c r="I285" s="21"/>
      <c r="J285" s="24">
        <v>1</v>
      </c>
      <c r="K285" s="25">
        <f t="shared" si="189"/>
        <v>2</v>
      </c>
      <c r="L285" s="11">
        <f t="shared" si="177"/>
        <v>6</v>
      </c>
      <c r="M285" s="71">
        <v>45198</v>
      </c>
      <c r="N285" s="40" t="s">
        <v>225</v>
      </c>
      <c r="O285" s="20">
        <v>7</v>
      </c>
      <c r="P285" s="35">
        <v>2</v>
      </c>
      <c r="Q285" s="21">
        <v>8</v>
      </c>
      <c r="R285" s="38">
        <v>6</v>
      </c>
      <c r="S285" s="9">
        <f t="shared" si="194"/>
        <v>23</v>
      </c>
      <c r="T285" s="20">
        <v>7</v>
      </c>
      <c r="U285" s="35">
        <v>2</v>
      </c>
      <c r="V285" s="21">
        <v>8</v>
      </c>
      <c r="W285" s="38">
        <v>6</v>
      </c>
      <c r="X285" s="9">
        <f t="shared" si="195"/>
        <v>23</v>
      </c>
      <c r="Y285" s="11">
        <f t="shared" si="176"/>
        <v>46</v>
      </c>
      <c r="Z285" s="69">
        <v>45216</v>
      </c>
      <c r="AA285" s="41"/>
    </row>
    <row r="286" spans="1:27" x14ac:dyDescent="0.15">
      <c r="A286" s="59" t="s">
        <v>27</v>
      </c>
      <c r="B286" s="20">
        <v>1</v>
      </c>
      <c r="C286" s="35"/>
      <c r="D286" s="21">
        <v>1</v>
      </c>
      <c r="E286" s="24"/>
      <c r="F286" s="25">
        <f t="shared" si="188"/>
        <v>2</v>
      </c>
      <c r="G286" s="20"/>
      <c r="H286" s="35"/>
      <c r="I286" s="21">
        <v>1</v>
      </c>
      <c r="J286" s="24"/>
      <c r="K286" s="25">
        <f t="shared" si="189"/>
        <v>1</v>
      </c>
      <c r="L286" s="11">
        <f t="shared" si="177"/>
        <v>3</v>
      </c>
      <c r="M286" s="71">
        <v>45201</v>
      </c>
      <c r="N286" s="40" t="s">
        <v>226</v>
      </c>
      <c r="O286" s="20"/>
      <c r="P286" s="35">
        <v>13</v>
      </c>
      <c r="Q286" s="21">
        <v>4</v>
      </c>
      <c r="R286" s="38">
        <v>5</v>
      </c>
      <c r="S286" s="9">
        <f t="shared" si="194"/>
        <v>22</v>
      </c>
      <c r="T286" s="20"/>
      <c r="U286" s="35">
        <v>13</v>
      </c>
      <c r="V286" s="21">
        <v>4</v>
      </c>
      <c r="W286" s="38">
        <v>5</v>
      </c>
      <c r="X286" s="9">
        <f t="shared" si="195"/>
        <v>22</v>
      </c>
      <c r="Y286" s="11">
        <f t="shared" si="176"/>
        <v>44</v>
      </c>
      <c r="Z286" s="69">
        <v>45217</v>
      </c>
      <c r="AA286" s="41"/>
    </row>
    <row r="287" spans="1:27" x14ac:dyDescent="0.15">
      <c r="A287" s="40" t="s">
        <v>209</v>
      </c>
      <c r="B287" s="20">
        <v>1</v>
      </c>
      <c r="C287" s="35"/>
      <c r="D287" s="21"/>
      <c r="E287" s="24"/>
      <c r="F287" s="25">
        <f t="shared" si="188"/>
        <v>1</v>
      </c>
      <c r="G287" s="20">
        <v>1</v>
      </c>
      <c r="H287" s="35"/>
      <c r="I287" s="21"/>
      <c r="J287" s="24"/>
      <c r="K287" s="25">
        <f t="shared" si="189"/>
        <v>1</v>
      </c>
      <c r="L287" s="11">
        <f t="shared" si="177"/>
        <v>2</v>
      </c>
      <c r="M287" s="69">
        <v>45203</v>
      </c>
      <c r="N287" s="12" t="s">
        <v>227</v>
      </c>
      <c r="O287" s="20"/>
      <c r="P287" s="35"/>
      <c r="Q287" s="21"/>
      <c r="R287" s="38"/>
      <c r="S287" s="9">
        <f t="shared" si="194"/>
        <v>0</v>
      </c>
      <c r="T287" s="20"/>
      <c r="U287" s="35"/>
      <c r="V287" s="21"/>
      <c r="W287" s="38">
        <v>5</v>
      </c>
      <c r="X287" s="9">
        <f t="shared" si="195"/>
        <v>5</v>
      </c>
      <c r="Y287" s="11">
        <f t="shared" si="176"/>
        <v>5</v>
      </c>
      <c r="Z287" s="69">
        <v>45223</v>
      </c>
    </row>
    <row r="288" spans="1:27" x14ac:dyDescent="0.15">
      <c r="A288" s="59" t="s">
        <v>27</v>
      </c>
      <c r="B288" s="20"/>
      <c r="C288" s="35">
        <v>1</v>
      </c>
      <c r="D288" s="21"/>
      <c r="E288" s="24"/>
      <c r="F288" s="25">
        <f t="shared" si="188"/>
        <v>1</v>
      </c>
      <c r="G288" s="20"/>
      <c r="H288" s="35">
        <v>1</v>
      </c>
      <c r="I288" s="21"/>
      <c r="J288" s="24"/>
      <c r="K288" s="25">
        <f t="shared" si="189"/>
        <v>1</v>
      </c>
      <c r="L288" s="11">
        <f t="shared" si="177"/>
        <v>2</v>
      </c>
      <c r="M288" s="71">
        <v>45202</v>
      </c>
      <c r="N288" s="40" t="s">
        <v>228</v>
      </c>
      <c r="O288" s="20">
        <v>4</v>
      </c>
      <c r="P288" s="35">
        <v>1</v>
      </c>
      <c r="Q288" s="21"/>
      <c r="R288" s="38">
        <v>2</v>
      </c>
      <c r="S288" s="9">
        <f t="shared" si="194"/>
        <v>7</v>
      </c>
      <c r="T288" s="20">
        <v>4</v>
      </c>
      <c r="U288" s="35">
        <v>1</v>
      </c>
      <c r="V288" s="21"/>
      <c r="W288" s="38">
        <v>2</v>
      </c>
      <c r="X288" s="9">
        <f t="shared" si="195"/>
        <v>7</v>
      </c>
      <c r="Y288" s="11">
        <f t="shared" si="176"/>
        <v>14</v>
      </c>
      <c r="Z288" s="69">
        <v>45218</v>
      </c>
    </row>
    <row r="289" spans="1:27" x14ac:dyDescent="0.15">
      <c r="A289" s="59" t="s">
        <v>210</v>
      </c>
      <c r="B289" s="20">
        <v>2</v>
      </c>
      <c r="C289" s="35">
        <v>2</v>
      </c>
      <c r="D289" s="21">
        <v>2</v>
      </c>
      <c r="E289" s="24">
        <v>2</v>
      </c>
      <c r="F289" s="25">
        <f t="shared" si="188"/>
        <v>8</v>
      </c>
      <c r="G289" s="20">
        <v>2</v>
      </c>
      <c r="H289" s="35">
        <v>2</v>
      </c>
      <c r="I289" s="21">
        <v>2</v>
      </c>
      <c r="J289" s="24">
        <v>2</v>
      </c>
      <c r="K289" s="25">
        <f t="shared" si="189"/>
        <v>8</v>
      </c>
      <c r="L289" s="11">
        <f t="shared" si="177"/>
        <v>16</v>
      </c>
      <c r="M289" s="69">
        <v>45203</v>
      </c>
      <c r="N289" s="40" t="s">
        <v>229</v>
      </c>
      <c r="O289" s="20">
        <v>3</v>
      </c>
      <c r="P289" s="35">
        <v>6</v>
      </c>
      <c r="Q289" s="21">
        <v>6</v>
      </c>
      <c r="R289" s="38"/>
      <c r="S289" s="9">
        <f>SUM(O289:R289)</f>
        <v>15</v>
      </c>
      <c r="T289" s="20">
        <v>3</v>
      </c>
      <c r="U289" s="35">
        <v>6</v>
      </c>
      <c r="V289" s="21">
        <v>6</v>
      </c>
      <c r="W289" s="38"/>
      <c r="X289" s="9">
        <f>SUM(T289:W289)</f>
        <v>15</v>
      </c>
      <c r="Y289" s="11">
        <f t="shared" si="176"/>
        <v>30</v>
      </c>
      <c r="Z289" s="69">
        <v>45219</v>
      </c>
      <c r="AA289" s="41"/>
    </row>
    <row r="290" spans="1:27" x14ac:dyDescent="0.15">
      <c r="A290" s="59" t="s">
        <v>211</v>
      </c>
      <c r="B290" s="20">
        <v>2</v>
      </c>
      <c r="C290" s="35">
        <v>2</v>
      </c>
      <c r="D290" s="21">
        <v>2</v>
      </c>
      <c r="E290" s="24">
        <v>2</v>
      </c>
      <c r="F290" s="25">
        <f t="shared" si="188"/>
        <v>8</v>
      </c>
      <c r="G290" s="20">
        <v>2</v>
      </c>
      <c r="H290" s="35">
        <v>2</v>
      </c>
      <c r="I290" s="21">
        <v>2</v>
      </c>
      <c r="J290" s="24">
        <v>2</v>
      </c>
      <c r="K290" s="25">
        <f t="shared" si="189"/>
        <v>8</v>
      </c>
      <c r="L290" s="11">
        <f t="shared" si="177"/>
        <v>16</v>
      </c>
      <c r="M290" s="69">
        <v>45203</v>
      </c>
      <c r="N290" s="12" t="s">
        <v>230</v>
      </c>
      <c r="O290" s="20">
        <v>10</v>
      </c>
      <c r="P290" s="35">
        <v>10</v>
      </c>
      <c r="Q290" s="21"/>
      <c r="R290" s="38"/>
      <c r="S290" s="9">
        <f t="shared" ref="S290:S301" si="196">SUM(O290:R290)</f>
        <v>20</v>
      </c>
      <c r="T290" s="20">
        <v>10</v>
      </c>
      <c r="U290" s="35">
        <v>10</v>
      </c>
      <c r="V290" s="21"/>
      <c r="W290" s="38"/>
      <c r="X290" s="9">
        <f t="shared" ref="X290:X301" si="197">SUM(T290:W290)</f>
        <v>20</v>
      </c>
      <c r="Y290" s="11">
        <f t="shared" si="176"/>
        <v>40</v>
      </c>
      <c r="Z290" s="69">
        <v>45223</v>
      </c>
    </row>
    <row r="291" spans="1:27" x14ac:dyDescent="0.15">
      <c r="A291" s="40" t="s">
        <v>212</v>
      </c>
      <c r="B291" s="20">
        <v>1</v>
      </c>
      <c r="C291" s="35"/>
      <c r="D291" s="21"/>
      <c r="E291" s="24"/>
      <c r="F291" s="25">
        <f t="shared" si="188"/>
        <v>1</v>
      </c>
      <c r="G291" s="20">
        <v>1</v>
      </c>
      <c r="H291" s="35"/>
      <c r="I291" s="21"/>
      <c r="J291" s="24"/>
      <c r="K291" s="25">
        <f t="shared" si="189"/>
        <v>1</v>
      </c>
      <c r="L291" s="11">
        <f t="shared" si="177"/>
        <v>2</v>
      </c>
      <c r="M291" s="69">
        <v>45204</v>
      </c>
      <c r="N291" s="40" t="s">
        <v>232</v>
      </c>
      <c r="O291" s="20">
        <v>5</v>
      </c>
      <c r="P291" s="35">
        <v>4</v>
      </c>
      <c r="Q291" s="21">
        <v>5</v>
      </c>
      <c r="R291" s="38">
        <v>1</v>
      </c>
      <c r="S291" s="9">
        <f t="shared" si="196"/>
        <v>15</v>
      </c>
      <c r="T291" s="20">
        <v>5</v>
      </c>
      <c r="U291" s="35">
        <v>4</v>
      </c>
      <c r="V291" s="21">
        <v>5</v>
      </c>
      <c r="W291" s="38">
        <v>1</v>
      </c>
      <c r="X291" s="9">
        <f t="shared" si="197"/>
        <v>15</v>
      </c>
      <c r="Y291" s="11">
        <f t="shared" si="176"/>
        <v>30</v>
      </c>
      <c r="Z291" s="69">
        <v>45222</v>
      </c>
    </row>
    <row r="292" spans="1:27" x14ac:dyDescent="0.15">
      <c r="A292" s="59" t="s">
        <v>27</v>
      </c>
      <c r="B292" s="20"/>
      <c r="C292" s="35">
        <f>1+3</f>
        <v>4</v>
      </c>
      <c r="D292" s="21">
        <v>1</v>
      </c>
      <c r="E292" s="24"/>
      <c r="F292" s="25">
        <f t="shared" si="188"/>
        <v>5</v>
      </c>
      <c r="G292" s="20"/>
      <c r="H292" s="35">
        <f>1+2</f>
        <v>3</v>
      </c>
      <c r="I292" s="21">
        <v>1</v>
      </c>
      <c r="J292" s="24"/>
      <c r="K292" s="25">
        <f t="shared" si="189"/>
        <v>4</v>
      </c>
      <c r="L292" s="11">
        <f t="shared" si="177"/>
        <v>9</v>
      </c>
      <c r="M292" s="71">
        <v>45204</v>
      </c>
      <c r="N292" s="40" t="s">
        <v>26</v>
      </c>
      <c r="O292" s="20">
        <v>11</v>
      </c>
      <c r="P292" s="35">
        <v>10</v>
      </c>
      <c r="Q292" s="21">
        <v>5</v>
      </c>
      <c r="R292" s="38"/>
      <c r="S292" s="9">
        <f>SUM(O292:R292)</f>
        <v>26</v>
      </c>
      <c r="T292" s="20">
        <v>10</v>
      </c>
      <c r="U292" s="35">
        <v>10</v>
      </c>
      <c r="V292" s="21">
        <v>5</v>
      </c>
      <c r="W292" s="38"/>
      <c r="X292" s="9">
        <f>SUM(T292:W292)</f>
        <v>25</v>
      </c>
      <c r="Y292" s="11">
        <f t="shared" si="176"/>
        <v>51</v>
      </c>
      <c r="Z292" s="69">
        <v>45219</v>
      </c>
    </row>
    <row r="293" spans="1:27" x14ac:dyDescent="0.15">
      <c r="A293" s="59" t="s">
        <v>27</v>
      </c>
      <c r="B293" s="20">
        <v>1</v>
      </c>
      <c r="C293" s="35">
        <v>1</v>
      </c>
      <c r="D293" s="21"/>
      <c r="E293" s="24"/>
      <c r="F293" s="25">
        <f t="shared" si="188"/>
        <v>2</v>
      </c>
      <c r="G293" s="20">
        <v>1</v>
      </c>
      <c r="H293" s="35">
        <v>1</v>
      </c>
      <c r="I293" s="21">
        <v>1</v>
      </c>
      <c r="J293" s="24"/>
      <c r="K293" s="25">
        <f t="shared" si="189"/>
        <v>3</v>
      </c>
      <c r="L293" s="11">
        <f t="shared" si="177"/>
        <v>5</v>
      </c>
      <c r="M293" s="71">
        <v>45205</v>
      </c>
      <c r="N293" s="40" t="s">
        <v>231</v>
      </c>
      <c r="O293" s="48">
        <v>5</v>
      </c>
      <c r="P293" s="49"/>
      <c r="Q293" s="50"/>
      <c r="R293" s="72"/>
      <c r="S293" s="74">
        <f t="shared" si="196"/>
        <v>5</v>
      </c>
      <c r="T293" s="48">
        <v>5</v>
      </c>
      <c r="U293" s="49"/>
      <c r="V293" s="50"/>
      <c r="W293" s="72"/>
      <c r="X293" s="74">
        <f t="shared" si="197"/>
        <v>5</v>
      </c>
      <c r="Y293" s="11">
        <f t="shared" si="176"/>
        <v>10</v>
      </c>
      <c r="Z293" s="69">
        <v>45225</v>
      </c>
    </row>
    <row r="294" spans="1:27" x14ac:dyDescent="0.15">
      <c r="A294" s="59" t="s">
        <v>215</v>
      </c>
      <c r="B294" s="20">
        <v>1</v>
      </c>
      <c r="C294" s="35">
        <v>2</v>
      </c>
      <c r="D294" s="21"/>
      <c r="E294" s="24">
        <v>2</v>
      </c>
      <c r="F294" s="25">
        <f t="shared" si="188"/>
        <v>5</v>
      </c>
      <c r="G294" s="20">
        <v>4</v>
      </c>
      <c r="H294" s="35">
        <v>3</v>
      </c>
      <c r="I294" s="21">
        <v>3</v>
      </c>
      <c r="J294" s="24">
        <v>2</v>
      </c>
      <c r="K294" s="25">
        <f t="shared" si="189"/>
        <v>12</v>
      </c>
      <c r="L294" s="11">
        <f t="shared" si="177"/>
        <v>17</v>
      </c>
      <c r="M294" s="69">
        <v>45207</v>
      </c>
      <c r="N294" s="40" t="s">
        <v>233</v>
      </c>
      <c r="O294" s="20">
        <v>5</v>
      </c>
      <c r="P294" s="35">
        <v>12</v>
      </c>
      <c r="Q294" s="21">
        <v>9</v>
      </c>
      <c r="R294" s="38"/>
      <c r="S294" s="9">
        <f t="shared" si="196"/>
        <v>26</v>
      </c>
      <c r="T294" s="20">
        <v>5</v>
      </c>
      <c r="U294" s="35">
        <v>12</v>
      </c>
      <c r="V294" s="21">
        <v>9</v>
      </c>
      <c r="W294" s="38"/>
      <c r="X294" s="9">
        <f t="shared" si="197"/>
        <v>26</v>
      </c>
      <c r="Y294" s="47">
        <f t="shared" si="176"/>
        <v>52</v>
      </c>
      <c r="Z294" s="69">
        <v>45223</v>
      </c>
      <c r="AA294" s="41"/>
    </row>
    <row r="295" spans="1:27" x14ac:dyDescent="0.15">
      <c r="A295" s="59" t="s">
        <v>27</v>
      </c>
      <c r="B295" s="20">
        <f>1+1</f>
        <v>2</v>
      </c>
      <c r="C295" s="35"/>
      <c r="D295" s="21"/>
      <c r="E295" s="24"/>
      <c r="F295" s="25">
        <f t="shared" si="188"/>
        <v>2</v>
      </c>
      <c r="G295" s="20">
        <f>1+1</f>
        <v>2</v>
      </c>
      <c r="H295" s="35">
        <v>1</v>
      </c>
      <c r="I295" s="21"/>
      <c r="J295" s="24"/>
      <c r="K295" s="25">
        <f t="shared" si="189"/>
        <v>3</v>
      </c>
      <c r="L295" s="11">
        <f t="shared" si="177"/>
        <v>5</v>
      </c>
      <c r="M295" s="71">
        <v>45209</v>
      </c>
      <c r="N295" s="12"/>
      <c r="O295" s="20"/>
      <c r="P295" s="35"/>
      <c r="Q295" s="21"/>
      <c r="R295" s="38"/>
      <c r="S295" s="9">
        <f t="shared" si="196"/>
        <v>0</v>
      </c>
      <c r="T295" s="20"/>
      <c r="U295" s="35"/>
      <c r="V295" s="21"/>
      <c r="W295" s="38"/>
      <c r="X295" s="9">
        <f t="shared" si="197"/>
        <v>0</v>
      </c>
      <c r="Y295" s="47">
        <f t="shared" si="176"/>
        <v>0</v>
      </c>
    </row>
    <row r="296" spans="1:27" x14ac:dyDescent="0.15">
      <c r="A296" s="40" t="s">
        <v>218</v>
      </c>
      <c r="B296" s="20">
        <v>1</v>
      </c>
      <c r="C296" s="35"/>
      <c r="D296" s="21">
        <v>1</v>
      </c>
      <c r="E296" s="24"/>
      <c r="F296" s="25">
        <f t="shared" si="188"/>
        <v>2</v>
      </c>
      <c r="G296" s="20">
        <v>1</v>
      </c>
      <c r="H296" s="35"/>
      <c r="I296" s="21">
        <v>1</v>
      </c>
      <c r="J296" s="24"/>
      <c r="K296" s="25">
        <f t="shared" si="189"/>
        <v>2</v>
      </c>
      <c r="L296" s="11">
        <f t="shared" si="177"/>
        <v>4</v>
      </c>
      <c r="M296" s="69">
        <v>45211</v>
      </c>
      <c r="N296" s="12"/>
      <c r="O296" s="20"/>
      <c r="P296" s="35"/>
      <c r="Q296" s="21"/>
      <c r="R296" s="38"/>
      <c r="S296" s="9">
        <f t="shared" ref="S296:S298" si="198">SUM(O296:R296)</f>
        <v>0</v>
      </c>
      <c r="T296" s="20"/>
      <c r="U296" s="35"/>
      <c r="V296" s="21"/>
      <c r="W296" s="38"/>
      <c r="X296" s="9">
        <f t="shared" ref="X296:X298" si="199">SUM(T296:W296)</f>
        <v>0</v>
      </c>
      <c r="Y296" s="47">
        <f t="shared" ref="Y296:Y298" si="200">S296+X296</f>
        <v>0</v>
      </c>
    </row>
    <row r="297" spans="1:27" x14ac:dyDescent="0.15">
      <c r="A297" s="104" t="s">
        <v>219</v>
      </c>
      <c r="B297" s="20"/>
      <c r="C297" s="35"/>
      <c r="D297" s="21">
        <v>1</v>
      </c>
      <c r="E297" s="24"/>
      <c r="F297" s="25">
        <f t="shared" si="188"/>
        <v>1</v>
      </c>
      <c r="G297" s="20"/>
      <c r="H297" s="35"/>
      <c r="I297" s="21">
        <v>1</v>
      </c>
      <c r="J297" s="24"/>
      <c r="K297" s="25">
        <f t="shared" si="189"/>
        <v>1</v>
      </c>
      <c r="L297" s="11">
        <f t="shared" si="177"/>
        <v>2</v>
      </c>
      <c r="M297" s="69">
        <v>45211</v>
      </c>
      <c r="N297" s="12"/>
      <c r="O297" s="20"/>
      <c r="P297" s="35"/>
      <c r="Q297" s="21"/>
      <c r="R297" s="38"/>
      <c r="S297" s="9">
        <f t="shared" si="198"/>
        <v>0</v>
      </c>
      <c r="T297" s="20"/>
      <c r="U297" s="35"/>
      <c r="V297" s="21"/>
      <c r="W297" s="38"/>
      <c r="X297" s="9">
        <f t="shared" si="199"/>
        <v>0</v>
      </c>
      <c r="Y297" s="47">
        <f t="shared" si="200"/>
        <v>0</v>
      </c>
    </row>
    <row r="298" spans="1:27" x14ac:dyDescent="0.15">
      <c r="A298" s="40" t="s">
        <v>221</v>
      </c>
      <c r="B298" s="20">
        <v>1</v>
      </c>
      <c r="C298" s="35">
        <v>2</v>
      </c>
      <c r="D298" s="21">
        <v>2</v>
      </c>
      <c r="E298" s="24"/>
      <c r="F298" s="25">
        <f t="shared" si="188"/>
        <v>5</v>
      </c>
      <c r="G298" s="20">
        <v>1</v>
      </c>
      <c r="H298" s="35">
        <v>2</v>
      </c>
      <c r="I298" s="21">
        <v>2</v>
      </c>
      <c r="J298" s="24"/>
      <c r="K298" s="25">
        <f t="shared" si="189"/>
        <v>5</v>
      </c>
      <c r="L298" s="11">
        <f t="shared" si="177"/>
        <v>10</v>
      </c>
      <c r="M298" s="69">
        <v>45212</v>
      </c>
      <c r="N298" s="12"/>
      <c r="O298" s="20"/>
      <c r="P298" s="35"/>
      <c r="Q298" s="21"/>
      <c r="R298" s="38"/>
      <c r="S298" s="9">
        <f t="shared" si="198"/>
        <v>0</v>
      </c>
      <c r="T298" s="20"/>
      <c r="U298" s="35"/>
      <c r="V298" s="21"/>
      <c r="W298" s="38"/>
      <c r="X298" s="9">
        <f t="shared" si="199"/>
        <v>0</v>
      </c>
      <c r="Y298" s="47">
        <f t="shared" si="200"/>
        <v>0</v>
      </c>
    </row>
    <row r="299" spans="1:27" x14ac:dyDescent="0.15">
      <c r="A299" s="59" t="s">
        <v>222</v>
      </c>
      <c r="B299" s="20">
        <v>3</v>
      </c>
      <c r="C299" s="35"/>
      <c r="D299" s="21"/>
      <c r="E299" s="24"/>
      <c r="F299" s="25">
        <f t="shared" si="188"/>
        <v>3</v>
      </c>
      <c r="G299" s="20">
        <v>2</v>
      </c>
      <c r="H299" s="35"/>
      <c r="I299" s="21"/>
      <c r="J299" s="24"/>
      <c r="K299" s="25">
        <f t="shared" si="189"/>
        <v>2</v>
      </c>
      <c r="L299" s="11">
        <f t="shared" si="177"/>
        <v>5</v>
      </c>
      <c r="M299" s="69">
        <v>45212</v>
      </c>
      <c r="N299" s="12" t="s">
        <v>136</v>
      </c>
      <c r="O299" s="20"/>
      <c r="P299" s="35"/>
      <c r="Q299" s="21"/>
      <c r="R299" s="38"/>
      <c r="S299" s="9">
        <f>SUM(O299:R299)</f>
        <v>0</v>
      </c>
      <c r="T299" s="20"/>
      <c r="U299" s="35"/>
      <c r="V299" s="21"/>
      <c r="W299" s="24"/>
      <c r="X299" s="25">
        <f>SUM(T299:W299)</f>
        <v>0</v>
      </c>
      <c r="Y299" s="47">
        <f>S299+X299</f>
        <v>0</v>
      </c>
      <c r="Z299" s="162" t="s">
        <v>137</v>
      </c>
    </row>
    <row r="300" spans="1:27" ht="14.25" thickBot="1" x14ac:dyDescent="0.2">
      <c r="A300" s="59" t="s">
        <v>27</v>
      </c>
      <c r="B300" s="147">
        <v>1</v>
      </c>
      <c r="C300" s="148"/>
      <c r="D300" s="149"/>
      <c r="E300" s="150"/>
      <c r="F300" s="152">
        <f t="shared" ref="F300" si="201">SUM(B300:E300)</f>
        <v>1</v>
      </c>
      <c r="G300" s="147">
        <v>1</v>
      </c>
      <c r="H300" s="148"/>
      <c r="I300" s="149"/>
      <c r="J300" s="150"/>
      <c r="K300" s="152">
        <f t="shared" ref="K300" si="202">SUM(G300:J300)</f>
        <v>1</v>
      </c>
      <c r="L300" s="14">
        <f t="shared" ref="L300" si="203">F300+K300</f>
        <v>2</v>
      </c>
      <c r="M300" s="71">
        <v>45211</v>
      </c>
      <c r="N300" s="99" t="s">
        <v>169</v>
      </c>
      <c r="O300" s="43"/>
      <c r="P300" s="44"/>
      <c r="Q300" s="45"/>
      <c r="R300" s="100"/>
      <c r="S300" s="10">
        <f t="shared" ref="S300" si="204">SUM(O300:R300)</f>
        <v>0</v>
      </c>
      <c r="T300" s="43"/>
      <c r="U300" s="44"/>
      <c r="V300" s="45"/>
      <c r="W300" s="46"/>
      <c r="X300" s="106">
        <f t="shared" ref="X300" si="205">SUM(T300:W300)</f>
        <v>0</v>
      </c>
      <c r="Y300" s="75">
        <f t="shared" ref="Y300" si="206">S300+X300</f>
        <v>0</v>
      </c>
      <c r="Z300" s="162" t="s">
        <v>170</v>
      </c>
    </row>
    <row r="301" spans="1:27" ht="14.25" thickBot="1" x14ac:dyDescent="0.2">
      <c r="A301" s="16" t="s">
        <v>9</v>
      </c>
      <c r="B301" s="94">
        <f>SUM(B276:B300)</f>
        <v>28</v>
      </c>
      <c r="C301" s="151">
        <f>SUM(C276:C300)</f>
        <v>17</v>
      </c>
      <c r="D301" s="95">
        <f>SUM(D276:D300)</f>
        <v>13</v>
      </c>
      <c r="E301" s="153">
        <f>SUM(E276:E300)</f>
        <v>14</v>
      </c>
      <c r="F301" s="26">
        <f>SUM(B301:E301)</f>
        <v>72</v>
      </c>
      <c r="G301" s="94">
        <f>SUM(G276:G300)</f>
        <v>27</v>
      </c>
      <c r="H301" s="151">
        <f>SUM(H276:H300)</f>
        <v>18</v>
      </c>
      <c r="I301" s="95">
        <f>SUM(I276:I300)</f>
        <v>21</v>
      </c>
      <c r="J301" s="153">
        <f>SUM(J276:J300)</f>
        <v>10</v>
      </c>
      <c r="K301" s="26">
        <f>SUM(G301:J301)</f>
        <v>76</v>
      </c>
      <c r="L301" s="27">
        <f t="shared" si="177"/>
        <v>148</v>
      </c>
      <c r="N301" s="61" t="s">
        <v>9</v>
      </c>
      <c r="O301" s="28">
        <f>SUM(O276:O300)</f>
        <v>97</v>
      </c>
      <c r="P301" s="36">
        <f>SUM(P276:P300)</f>
        <v>129</v>
      </c>
      <c r="Q301" s="29">
        <f>SUM(Q276:Q300)</f>
        <v>84</v>
      </c>
      <c r="R301" s="30">
        <f>SUM(R276:R300)</f>
        <v>49</v>
      </c>
      <c r="S301" s="60">
        <f t="shared" si="196"/>
        <v>359</v>
      </c>
      <c r="T301" s="28">
        <f>SUM(T276:T300)</f>
        <v>96</v>
      </c>
      <c r="U301" s="36">
        <f>SUM(U276:U300)</f>
        <v>134</v>
      </c>
      <c r="V301" s="29">
        <f>SUM(V276:V300)</f>
        <v>89</v>
      </c>
      <c r="W301" s="30">
        <f>SUM(W276:W300)</f>
        <v>54</v>
      </c>
      <c r="X301" s="60">
        <f t="shared" si="197"/>
        <v>373</v>
      </c>
      <c r="Y301" s="63">
        <f t="shared" si="176"/>
        <v>732</v>
      </c>
    </row>
    <row r="302" spans="1:27" ht="14.25" thickBot="1" x14ac:dyDescent="0.2">
      <c r="A302" s="18" t="s">
        <v>10</v>
      </c>
      <c r="B302" s="31">
        <f t="shared" ref="B302:K302" si="207">B275-B301</f>
        <v>30</v>
      </c>
      <c r="C302" s="37">
        <f t="shared" si="207"/>
        <v>24</v>
      </c>
      <c r="D302" s="32">
        <f t="shared" si="207"/>
        <v>29</v>
      </c>
      <c r="E302" s="33">
        <f t="shared" si="207"/>
        <v>29</v>
      </c>
      <c r="F302" s="42">
        <f t="shared" si="207"/>
        <v>112</v>
      </c>
      <c r="G302" s="31">
        <f t="shared" si="207"/>
        <v>24</v>
      </c>
      <c r="H302" s="37">
        <f t="shared" si="207"/>
        <v>31</v>
      </c>
      <c r="I302" s="32">
        <f t="shared" si="207"/>
        <v>27</v>
      </c>
      <c r="J302" s="33">
        <f t="shared" si="207"/>
        <v>31</v>
      </c>
      <c r="K302" s="42">
        <f t="shared" si="207"/>
        <v>113</v>
      </c>
      <c r="L302" s="17">
        <f t="shared" si="177"/>
        <v>225</v>
      </c>
      <c r="N302" s="16" t="s">
        <v>10</v>
      </c>
      <c r="O302" s="31">
        <f t="shared" ref="O302:X302" si="208">O275-O301</f>
        <v>434</v>
      </c>
      <c r="P302" s="37">
        <f t="shared" si="208"/>
        <v>600</v>
      </c>
      <c r="Q302" s="32">
        <f t="shared" si="208"/>
        <v>356</v>
      </c>
      <c r="R302" s="33">
        <f t="shared" si="208"/>
        <v>191</v>
      </c>
      <c r="S302" s="42">
        <f t="shared" si="208"/>
        <v>1581</v>
      </c>
      <c r="T302" s="31">
        <f t="shared" si="208"/>
        <v>381</v>
      </c>
      <c r="U302" s="37">
        <f t="shared" si="208"/>
        <v>543</v>
      </c>
      <c r="V302" s="32">
        <f t="shared" si="208"/>
        <v>326</v>
      </c>
      <c r="W302" s="33">
        <f t="shared" si="208"/>
        <v>167</v>
      </c>
      <c r="X302" s="42">
        <f t="shared" si="208"/>
        <v>1417</v>
      </c>
      <c r="Y302" s="17">
        <f t="shared" si="176"/>
        <v>2998</v>
      </c>
    </row>
    <row r="305" spans="1:28" ht="19.5" thickBot="1" x14ac:dyDescent="0.25">
      <c r="A305" s="2" t="s">
        <v>17</v>
      </c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N305" s="2" t="s">
        <v>18</v>
      </c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1"/>
    </row>
    <row r="306" spans="1:28" ht="14.25" thickBot="1" x14ac:dyDescent="0.2">
      <c r="A306" s="5" t="s">
        <v>0</v>
      </c>
      <c r="B306" s="244" t="s">
        <v>19</v>
      </c>
      <c r="C306" s="245"/>
      <c r="D306" s="245"/>
      <c r="E306" s="245"/>
      <c r="F306" s="246"/>
      <c r="G306" s="247" t="s">
        <v>20</v>
      </c>
      <c r="H306" s="248"/>
      <c r="I306" s="248"/>
      <c r="J306" s="248"/>
      <c r="K306" s="249"/>
      <c r="L306" s="250" t="s">
        <v>1</v>
      </c>
      <c r="N306" s="5" t="s">
        <v>0</v>
      </c>
      <c r="O306" s="244" t="s">
        <v>19</v>
      </c>
      <c r="P306" s="245"/>
      <c r="Q306" s="245"/>
      <c r="R306" s="245"/>
      <c r="S306" s="246"/>
      <c r="T306" s="247" t="s">
        <v>20</v>
      </c>
      <c r="U306" s="248"/>
      <c r="V306" s="248"/>
      <c r="W306" s="248"/>
      <c r="X306" s="249"/>
      <c r="Y306" s="250" t="s">
        <v>1</v>
      </c>
    </row>
    <row r="307" spans="1:28" ht="14.25" thickBot="1" x14ac:dyDescent="0.2">
      <c r="A307" s="5" t="s">
        <v>2</v>
      </c>
      <c r="B307" s="3" t="s">
        <v>11</v>
      </c>
      <c r="C307" s="34" t="s">
        <v>12</v>
      </c>
      <c r="D307" s="4" t="s">
        <v>13</v>
      </c>
      <c r="E307" s="19" t="s">
        <v>14</v>
      </c>
      <c r="F307" s="23" t="s">
        <v>3</v>
      </c>
      <c r="G307" s="3" t="s">
        <v>11</v>
      </c>
      <c r="H307" s="34" t="s">
        <v>12</v>
      </c>
      <c r="I307" s="4" t="s">
        <v>13</v>
      </c>
      <c r="J307" s="19" t="s">
        <v>14</v>
      </c>
      <c r="K307" s="23" t="s">
        <v>3</v>
      </c>
      <c r="L307" s="251"/>
      <c r="N307" s="5" t="s">
        <v>2</v>
      </c>
      <c r="O307" s="53" t="s">
        <v>11</v>
      </c>
      <c r="P307" s="54" t="s">
        <v>12</v>
      </c>
      <c r="Q307" s="55" t="s">
        <v>13</v>
      </c>
      <c r="R307" s="56" t="s">
        <v>14</v>
      </c>
      <c r="S307" s="23" t="s">
        <v>3</v>
      </c>
      <c r="T307" s="3" t="s">
        <v>11</v>
      </c>
      <c r="U307" s="34" t="s">
        <v>12</v>
      </c>
      <c r="V307" s="4" t="s">
        <v>13</v>
      </c>
      <c r="W307" s="19" t="s">
        <v>14</v>
      </c>
      <c r="X307" s="23" t="s">
        <v>3</v>
      </c>
      <c r="Y307" s="251"/>
    </row>
    <row r="308" spans="1:28" ht="14.25" thickBot="1" x14ac:dyDescent="0.2">
      <c r="A308" s="18" t="s">
        <v>15</v>
      </c>
      <c r="B308" s="31">
        <f>B302</f>
        <v>30</v>
      </c>
      <c r="C308" s="32">
        <f>C302</f>
        <v>24</v>
      </c>
      <c r="D308" s="32">
        <f>D302</f>
        <v>29</v>
      </c>
      <c r="E308" s="33">
        <f>E302</f>
        <v>29</v>
      </c>
      <c r="F308" s="86">
        <f>SUM(B308:E308)</f>
        <v>112</v>
      </c>
      <c r="G308" s="31">
        <f>G302</f>
        <v>24</v>
      </c>
      <c r="H308" s="32">
        <f>H302</f>
        <v>31</v>
      </c>
      <c r="I308" s="32">
        <f>I302</f>
        <v>27</v>
      </c>
      <c r="J308" s="33">
        <f>J302</f>
        <v>31</v>
      </c>
      <c r="K308" s="80">
        <f>SUM(G308:J308)</f>
        <v>113</v>
      </c>
      <c r="L308" s="17">
        <f>F308+K308</f>
        <v>225</v>
      </c>
      <c r="N308" s="18" t="s">
        <v>15</v>
      </c>
      <c r="O308" s="31">
        <f>O302</f>
        <v>434</v>
      </c>
      <c r="P308" s="32">
        <f>P302</f>
        <v>600</v>
      </c>
      <c r="Q308" s="32">
        <f>Q302</f>
        <v>356</v>
      </c>
      <c r="R308" s="33">
        <f>R302</f>
        <v>191</v>
      </c>
      <c r="S308" s="86">
        <f>SUM(O308:R308)</f>
        <v>1581</v>
      </c>
      <c r="T308" s="31">
        <f>T302</f>
        <v>381</v>
      </c>
      <c r="U308" s="32">
        <f>U302</f>
        <v>543</v>
      </c>
      <c r="V308" s="32">
        <f>V302</f>
        <v>326</v>
      </c>
      <c r="W308" s="33">
        <f>W302</f>
        <v>167</v>
      </c>
      <c r="X308" s="80">
        <f>SUM(T308:W308)</f>
        <v>1417</v>
      </c>
      <c r="Y308" s="17">
        <f t="shared" ref="Y308:Y340" si="209">S308+X308</f>
        <v>2998</v>
      </c>
    </row>
    <row r="309" spans="1:28" x14ac:dyDescent="0.15">
      <c r="A309" s="59" t="s">
        <v>214</v>
      </c>
      <c r="B309" s="64">
        <v>1</v>
      </c>
      <c r="C309" s="65">
        <v>1</v>
      </c>
      <c r="D309" s="66">
        <v>1</v>
      </c>
      <c r="E309" s="67">
        <v>1</v>
      </c>
      <c r="F309" s="74">
        <f>SUM(B309:E309)</f>
        <v>4</v>
      </c>
      <c r="G309" s="65">
        <v>1</v>
      </c>
      <c r="H309" s="65">
        <v>1</v>
      </c>
      <c r="I309" s="66">
        <v>1</v>
      </c>
      <c r="J309" s="67">
        <v>1</v>
      </c>
      <c r="K309" s="74">
        <f>SUM(G309:J309)</f>
        <v>4</v>
      </c>
      <c r="L309" s="11">
        <f t="shared" ref="L309:L340" si="210">F309+K309</f>
        <v>8</v>
      </c>
      <c r="M309" s="69">
        <v>45218</v>
      </c>
      <c r="N309" s="59" t="s">
        <v>16</v>
      </c>
      <c r="O309" s="48"/>
      <c r="P309" s="49"/>
      <c r="Q309" s="50"/>
      <c r="R309" s="51"/>
      <c r="S309" s="85">
        <f>SUM(O309:R309)</f>
        <v>0</v>
      </c>
      <c r="T309" s="48"/>
      <c r="U309" s="49"/>
      <c r="V309" s="50"/>
      <c r="W309" s="51"/>
      <c r="X309" s="74">
        <f>SUM(T309:W309)</f>
        <v>0</v>
      </c>
      <c r="Y309" s="11">
        <f t="shared" si="209"/>
        <v>0</v>
      </c>
    </row>
    <row r="310" spans="1:28" x14ac:dyDescent="0.15">
      <c r="A310" s="13" t="s">
        <v>5</v>
      </c>
      <c r="B310" s="6">
        <v>11</v>
      </c>
      <c r="C310" s="22">
        <v>10</v>
      </c>
      <c r="D310" s="7">
        <v>5</v>
      </c>
      <c r="E310" s="8"/>
      <c r="F310" s="9">
        <f>SUM(B310:E310)</f>
        <v>26</v>
      </c>
      <c r="G310" s="22">
        <v>10</v>
      </c>
      <c r="H310" s="22">
        <v>10</v>
      </c>
      <c r="I310" s="7">
        <v>5</v>
      </c>
      <c r="J310" s="8"/>
      <c r="K310" s="9">
        <f>SUM(G310:J310)</f>
        <v>25</v>
      </c>
      <c r="L310" s="11">
        <f t="shared" ref="L310:L311" si="211">F310+K310</f>
        <v>51</v>
      </c>
      <c r="M310" s="69">
        <v>45219</v>
      </c>
      <c r="N310" s="59" t="s">
        <v>4</v>
      </c>
      <c r="O310" s="48"/>
      <c r="P310" s="49"/>
      <c r="Q310" s="50"/>
      <c r="R310" s="51"/>
      <c r="S310" s="85">
        <f>SUM(O310:R310)</f>
        <v>0</v>
      </c>
      <c r="T310" s="48"/>
      <c r="U310" s="49"/>
      <c r="V310" s="50"/>
      <c r="W310" s="51"/>
      <c r="X310" s="74">
        <f>SUM(T310:W310)</f>
        <v>0</v>
      </c>
      <c r="Y310" s="11">
        <f t="shared" si="209"/>
        <v>0</v>
      </c>
    </row>
    <row r="311" spans="1:28" x14ac:dyDescent="0.15">
      <c r="A311" s="13" t="s">
        <v>6</v>
      </c>
      <c r="B311" s="6">
        <v>5</v>
      </c>
      <c r="C311" s="22">
        <v>10</v>
      </c>
      <c r="D311" s="7"/>
      <c r="E311" s="8"/>
      <c r="F311" s="9">
        <f>SUM(B311:E311)</f>
        <v>15</v>
      </c>
      <c r="G311" s="22">
        <v>5</v>
      </c>
      <c r="H311" s="22">
        <v>10</v>
      </c>
      <c r="I311" s="7">
        <v>5</v>
      </c>
      <c r="J311" s="8"/>
      <c r="K311" s="9">
        <f>SUM(G311:J311)</f>
        <v>20</v>
      </c>
      <c r="L311" s="47">
        <f t="shared" si="211"/>
        <v>35</v>
      </c>
      <c r="M311" s="69">
        <v>45229</v>
      </c>
      <c r="N311" s="13" t="s">
        <v>5</v>
      </c>
      <c r="O311" s="20"/>
      <c r="P311" s="35"/>
      <c r="Q311" s="21"/>
      <c r="R311" s="24"/>
      <c r="S311" s="57">
        <f>SUM(O311:R311)</f>
        <v>0</v>
      </c>
      <c r="T311" s="35"/>
      <c r="U311" s="35"/>
      <c r="V311" s="21"/>
      <c r="W311" s="38"/>
      <c r="X311" s="9">
        <f>SUM(T311:W311)</f>
        <v>0</v>
      </c>
      <c r="Y311" s="11">
        <f t="shared" si="209"/>
        <v>0</v>
      </c>
    </row>
    <row r="312" spans="1:28" ht="14.25" thickBot="1" x14ac:dyDescent="0.2">
      <c r="A312" s="59" t="s">
        <v>7</v>
      </c>
      <c r="B312" s="64">
        <v>5</v>
      </c>
      <c r="C312" s="65">
        <v>15</v>
      </c>
      <c r="D312" s="66">
        <v>5</v>
      </c>
      <c r="E312" s="67"/>
      <c r="F312" s="60">
        <f>SUM(B312:E312)</f>
        <v>25</v>
      </c>
      <c r="G312" s="65">
        <v>5</v>
      </c>
      <c r="H312" s="65">
        <v>15</v>
      </c>
      <c r="I312" s="66">
        <v>5</v>
      </c>
      <c r="J312" s="67"/>
      <c r="K312" s="60">
        <f>SUM(G312:J312)</f>
        <v>25</v>
      </c>
      <c r="L312" s="14">
        <f t="shared" si="210"/>
        <v>50</v>
      </c>
      <c r="M312" s="69">
        <v>45230</v>
      </c>
      <c r="N312" s="13" t="s">
        <v>6</v>
      </c>
      <c r="O312" s="43"/>
      <c r="P312" s="44"/>
      <c r="Q312" s="45"/>
      <c r="R312" s="46"/>
      <c r="S312" s="58">
        <f>SUM(O312:R312)</f>
        <v>0</v>
      </c>
      <c r="T312" s="35"/>
      <c r="U312" s="35"/>
      <c r="V312" s="21"/>
      <c r="W312" s="38"/>
      <c r="X312" s="10">
        <f>SUM(T312:W312)</f>
        <v>0</v>
      </c>
      <c r="Y312" s="14">
        <f t="shared" si="209"/>
        <v>0</v>
      </c>
    </row>
    <row r="313" spans="1:28" ht="14.25" thickBot="1" x14ac:dyDescent="0.2">
      <c r="A313" s="18" t="s">
        <v>8</v>
      </c>
      <c r="B313" s="76">
        <f t="shared" ref="B313:K313" si="212">SUM(B308:B312)</f>
        <v>52</v>
      </c>
      <c r="C313" s="77">
        <f t="shared" si="212"/>
        <v>60</v>
      </c>
      <c r="D313" s="78">
        <f t="shared" si="212"/>
        <v>40</v>
      </c>
      <c r="E313" s="79">
        <f t="shared" si="212"/>
        <v>30</v>
      </c>
      <c r="F313" s="80">
        <f t="shared" si="212"/>
        <v>182</v>
      </c>
      <c r="G313" s="76">
        <f t="shared" si="212"/>
        <v>45</v>
      </c>
      <c r="H313" s="77">
        <f t="shared" si="212"/>
        <v>67</v>
      </c>
      <c r="I313" s="78">
        <f t="shared" si="212"/>
        <v>43</v>
      </c>
      <c r="J313" s="79">
        <f t="shared" si="212"/>
        <v>32</v>
      </c>
      <c r="K313" s="80">
        <f t="shared" si="212"/>
        <v>187</v>
      </c>
      <c r="L313" s="17">
        <f t="shared" si="210"/>
        <v>369</v>
      </c>
      <c r="N313" s="16" t="s">
        <v>8</v>
      </c>
      <c r="O313" s="31">
        <f t="shared" ref="O313:X313" si="213">SUM(O308:O312)</f>
        <v>434</v>
      </c>
      <c r="P313" s="37">
        <f t="shared" si="213"/>
        <v>600</v>
      </c>
      <c r="Q313" s="32">
        <f t="shared" si="213"/>
        <v>356</v>
      </c>
      <c r="R313" s="82">
        <f t="shared" si="213"/>
        <v>191</v>
      </c>
      <c r="S313" s="83">
        <f t="shared" si="213"/>
        <v>1581</v>
      </c>
      <c r="T313" s="31">
        <f t="shared" si="213"/>
        <v>381</v>
      </c>
      <c r="U313" s="37">
        <f t="shared" si="213"/>
        <v>543</v>
      </c>
      <c r="V313" s="32">
        <f t="shared" si="213"/>
        <v>326</v>
      </c>
      <c r="W313" s="82">
        <f t="shared" si="213"/>
        <v>167</v>
      </c>
      <c r="X313" s="83">
        <f t="shared" si="213"/>
        <v>1417</v>
      </c>
      <c r="Y313" s="39">
        <f t="shared" si="209"/>
        <v>2998</v>
      </c>
    </row>
    <row r="314" spans="1:28" x14ac:dyDescent="0.15">
      <c r="A314" s="59" t="s">
        <v>210</v>
      </c>
      <c r="B314" s="48"/>
      <c r="C314" s="49">
        <v>2</v>
      </c>
      <c r="D314" s="50"/>
      <c r="E314" s="51"/>
      <c r="F314" s="52">
        <f t="shared" ref="F314:F338" si="214">SUM(B314:E314)</f>
        <v>2</v>
      </c>
      <c r="G314" s="48"/>
      <c r="H314" s="49">
        <v>2</v>
      </c>
      <c r="I314" s="50">
        <v>1</v>
      </c>
      <c r="J314" s="51"/>
      <c r="K314" s="52">
        <f t="shared" ref="K314:K338" si="215">SUM(G314:J314)</f>
        <v>3</v>
      </c>
      <c r="L314" s="11">
        <f t="shared" si="210"/>
        <v>5</v>
      </c>
      <c r="M314" s="69">
        <v>45216</v>
      </c>
      <c r="N314" s="40" t="s">
        <v>231</v>
      </c>
      <c r="O314" s="20"/>
      <c r="P314" s="35"/>
      <c r="Q314" s="21"/>
      <c r="R314" s="38">
        <v>6</v>
      </c>
      <c r="S314" s="9">
        <f t="shared" ref="S314" si="216">SUM(O314:R314)</f>
        <v>6</v>
      </c>
      <c r="T314" s="20"/>
      <c r="U314" s="35"/>
      <c r="V314" s="21"/>
      <c r="W314" s="24">
        <v>6</v>
      </c>
      <c r="X314" s="25">
        <f t="shared" ref="X314" si="217">SUM(T314:W314)</f>
        <v>6</v>
      </c>
      <c r="Y314" s="11">
        <f t="shared" ref="Y314" si="218">S314+X314</f>
        <v>12</v>
      </c>
      <c r="Z314" s="69">
        <v>45232</v>
      </c>
      <c r="AA314" s="41"/>
      <c r="AB314" s="41"/>
    </row>
    <row r="315" spans="1:28" x14ac:dyDescent="0.15">
      <c r="A315" s="59" t="s">
        <v>27</v>
      </c>
      <c r="B315" s="20">
        <v>6</v>
      </c>
      <c r="C315" s="35">
        <f>1+3</f>
        <v>4</v>
      </c>
      <c r="D315" s="21">
        <v>1</v>
      </c>
      <c r="E315" s="24">
        <v>1</v>
      </c>
      <c r="F315" s="25">
        <f t="shared" si="214"/>
        <v>12</v>
      </c>
      <c r="G315" s="20">
        <v>5</v>
      </c>
      <c r="H315" s="35">
        <f>1+6</f>
        <v>7</v>
      </c>
      <c r="I315" s="21">
        <v>2</v>
      </c>
      <c r="J315" s="24">
        <v>1</v>
      </c>
      <c r="K315" s="25">
        <f t="shared" si="215"/>
        <v>15</v>
      </c>
      <c r="L315" s="11">
        <f t="shared" si="210"/>
        <v>27</v>
      </c>
      <c r="M315" s="71">
        <v>45215</v>
      </c>
      <c r="N315" s="40" t="s">
        <v>235</v>
      </c>
      <c r="O315" s="20"/>
      <c r="P315" s="35">
        <v>1</v>
      </c>
      <c r="Q315" s="21">
        <v>4</v>
      </c>
      <c r="R315" s="38">
        <v>3</v>
      </c>
      <c r="S315" s="9">
        <f t="shared" ref="S315:S323" si="219">SUM(O315:R315)</f>
        <v>8</v>
      </c>
      <c r="T315" s="20"/>
      <c r="U315" s="35">
        <v>1</v>
      </c>
      <c r="V315" s="21">
        <v>4</v>
      </c>
      <c r="W315" s="24">
        <v>3</v>
      </c>
      <c r="X315" s="25">
        <f t="shared" ref="X315:X323" si="220">SUM(T315:W315)</f>
        <v>8</v>
      </c>
      <c r="Y315" s="11">
        <f t="shared" si="209"/>
        <v>16</v>
      </c>
      <c r="Z315" s="69">
        <v>45224</v>
      </c>
    </row>
    <row r="316" spans="1:28" x14ac:dyDescent="0.15">
      <c r="A316" s="59" t="s">
        <v>27</v>
      </c>
      <c r="B316" s="20"/>
      <c r="C316" s="35"/>
      <c r="D316" s="21"/>
      <c r="E316" s="24"/>
      <c r="F316" s="25">
        <f t="shared" si="214"/>
        <v>0</v>
      </c>
      <c r="G316" s="20"/>
      <c r="H316" s="35">
        <v>1</v>
      </c>
      <c r="I316" s="21"/>
      <c r="J316" s="24"/>
      <c r="K316" s="25">
        <f t="shared" si="215"/>
        <v>1</v>
      </c>
      <c r="L316" s="11">
        <f t="shared" si="210"/>
        <v>1</v>
      </c>
      <c r="M316" s="71">
        <v>45216</v>
      </c>
      <c r="N316" s="12" t="s">
        <v>236</v>
      </c>
      <c r="O316" s="20">
        <v>5</v>
      </c>
      <c r="P316" s="35">
        <v>5</v>
      </c>
      <c r="Q316" s="21">
        <v>5</v>
      </c>
      <c r="R316" s="38">
        <v>5</v>
      </c>
      <c r="S316" s="9">
        <f t="shared" si="219"/>
        <v>20</v>
      </c>
      <c r="T316" s="20">
        <v>5</v>
      </c>
      <c r="U316" s="35">
        <v>5</v>
      </c>
      <c r="V316" s="21">
        <v>5</v>
      </c>
      <c r="W316" s="24">
        <v>5</v>
      </c>
      <c r="X316" s="25">
        <f t="shared" si="220"/>
        <v>20</v>
      </c>
      <c r="Y316" s="11">
        <f t="shared" si="209"/>
        <v>40</v>
      </c>
      <c r="Z316" s="69">
        <v>45226</v>
      </c>
      <c r="AA316" s="41"/>
    </row>
    <row r="317" spans="1:28" x14ac:dyDescent="0.15">
      <c r="A317" s="59" t="s">
        <v>32</v>
      </c>
      <c r="B317" s="20">
        <v>2</v>
      </c>
      <c r="C317" s="35">
        <v>1</v>
      </c>
      <c r="D317" s="21"/>
      <c r="E317" s="24"/>
      <c r="F317" s="25">
        <f t="shared" si="214"/>
        <v>3</v>
      </c>
      <c r="G317" s="20">
        <v>1</v>
      </c>
      <c r="H317" s="35">
        <v>1</v>
      </c>
      <c r="I317" s="21"/>
      <c r="J317" s="24"/>
      <c r="K317" s="25">
        <f t="shared" si="215"/>
        <v>2</v>
      </c>
      <c r="L317" s="11">
        <f t="shared" si="210"/>
        <v>5</v>
      </c>
      <c r="M317" s="69">
        <v>45218</v>
      </c>
      <c r="N317" s="40" t="s">
        <v>237</v>
      </c>
      <c r="O317" s="20">
        <v>5</v>
      </c>
      <c r="P317" s="35">
        <v>8</v>
      </c>
      <c r="Q317" s="21">
        <v>7</v>
      </c>
      <c r="R317" s="38">
        <v>4</v>
      </c>
      <c r="S317" s="9">
        <f t="shared" si="219"/>
        <v>24</v>
      </c>
      <c r="T317" s="20">
        <v>5</v>
      </c>
      <c r="U317" s="35">
        <v>8</v>
      </c>
      <c r="V317" s="21">
        <v>7</v>
      </c>
      <c r="W317" s="24">
        <v>4</v>
      </c>
      <c r="X317" s="25">
        <f t="shared" si="220"/>
        <v>24</v>
      </c>
      <c r="Y317" s="11">
        <f t="shared" si="209"/>
        <v>48</v>
      </c>
      <c r="Z317" s="69">
        <v>45225</v>
      </c>
    </row>
    <row r="318" spans="1:28" x14ac:dyDescent="0.15">
      <c r="A318" s="59" t="s">
        <v>27</v>
      </c>
      <c r="B318" s="20">
        <v>1</v>
      </c>
      <c r="C318" s="35"/>
      <c r="D318" s="21"/>
      <c r="E318" s="24"/>
      <c r="F318" s="25">
        <f t="shared" si="214"/>
        <v>1</v>
      </c>
      <c r="G318" s="20">
        <v>1</v>
      </c>
      <c r="H318" s="35"/>
      <c r="I318" s="21"/>
      <c r="J318" s="24"/>
      <c r="K318" s="25">
        <f t="shared" si="215"/>
        <v>1</v>
      </c>
      <c r="L318" s="11">
        <f t="shared" si="210"/>
        <v>2</v>
      </c>
      <c r="M318" s="71">
        <v>45217</v>
      </c>
      <c r="N318" s="40" t="s">
        <v>241</v>
      </c>
      <c r="O318" s="20"/>
      <c r="P318" s="35"/>
      <c r="Q318" s="21">
        <v>6</v>
      </c>
      <c r="R318" s="38"/>
      <c r="S318" s="9">
        <f t="shared" si="219"/>
        <v>6</v>
      </c>
      <c r="T318" s="20"/>
      <c r="U318" s="35"/>
      <c r="V318" s="21">
        <v>6</v>
      </c>
      <c r="W318" s="24"/>
      <c r="X318" s="25">
        <f t="shared" si="220"/>
        <v>6</v>
      </c>
      <c r="Y318" s="11">
        <f t="shared" si="209"/>
        <v>12</v>
      </c>
      <c r="Z318" s="69">
        <v>45226</v>
      </c>
    </row>
    <row r="319" spans="1:28" x14ac:dyDescent="0.15">
      <c r="A319" s="59" t="s">
        <v>27</v>
      </c>
      <c r="B319" s="20">
        <v>1</v>
      </c>
      <c r="C319" s="35"/>
      <c r="D319" s="21"/>
      <c r="E319" s="24">
        <v>1</v>
      </c>
      <c r="F319" s="25">
        <f t="shared" si="214"/>
        <v>2</v>
      </c>
      <c r="G319" s="20">
        <v>1</v>
      </c>
      <c r="H319" s="35"/>
      <c r="I319" s="21"/>
      <c r="J319" s="24">
        <v>1</v>
      </c>
      <c r="K319" s="25">
        <f t="shared" si="215"/>
        <v>2</v>
      </c>
      <c r="L319" s="11">
        <f t="shared" si="210"/>
        <v>4</v>
      </c>
      <c r="M319" s="71">
        <v>45218</v>
      </c>
      <c r="N319" s="40" t="s">
        <v>26</v>
      </c>
      <c r="O319" s="20">
        <v>5</v>
      </c>
      <c r="P319" s="35">
        <v>10</v>
      </c>
      <c r="Q319" s="21"/>
      <c r="R319" s="38"/>
      <c r="S319" s="9">
        <f>SUM(O319:R319)</f>
        <v>15</v>
      </c>
      <c r="T319" s="20">
        <v>5</v>
      </c>
      <c r="U319" s="35">
        <v>10</v>
      </c>
      <c r="V319" s="21">
        <v>5</v>
      </c>
      <c r="W319" s="24"/>
      <c r="X319" s="25">
        <f>SUM(T319:W319)</f>
        <v>20</v>
      </c>
      <c r="Y319" s="11">
        <f t="shared" si="209"/>
        <v>35</v>
      </c>
      <c r="Z319" s="69">
        <v>45229</v>
      </c>
    </row>
    <row r="320" spans="1:28" x14ac:dyDescent="0.15">
      <c r="A320" s="59" t="s">
        <v>247</v>
      </c>
      <c r="B320" s="20"/>
      <c r="C320" s="35">
        <v>-1</v>
      </c>
      <c r="D320" s="21">
        <v>-2</v>
      </c>
      <c r="E320" s="24">
        <v>-1</v>
      </c>
      <c r="F320" s="25">
        <f t="shared" si="214"/>
        <v>-4</v>
      </c>
      <c r="G320" s="20">
        <v>-1</v>
      </c>
      <c r="H320" s="35"/>
      <c r="I320" s="21">
        <v>-1</v>
      </c>
      <c r="J320" s="24"/>
      <c r="K320" s="25">
        <f t="shared" si="215"/>
        <v>-2</v>
      </c>
      <c r="L320" s="11">
        <f t="shared" si="210"/>
        <v>-6</v>
      </c>
      <c r="M320" s="71">
        <v>45218</v>
      </c>
      <c r="N320" s="40" t="s">
        <v>244</v>
      </c>
      <c r="O320" s="20">
        <v>5</v>
      </c>
      <c r="P320" s="35">
        <v>2</v>
      </c>
      <c r="Q320" s="21">
        <v>1</v>
      </c>
      <c r="R320" s="38">
        <v>1</v>
      </c>
      <c r="S320" s="9">
        <f t="shared" ref="S320:S321" si="221">SUM(O320:R320)</f>
        <v>9</v>
      </c>
      <c r="T320" s="20">
        <v>5</v>
      </c>
      <c r="U320" s="35">
        <v>2</v>
      </c>
      <c r="V320" s="21">
        <v>1</v>
      </c>
      <c r="W320" s="24">
        <v>1</v>
      </c>
      <c r="X320" s="25">
        <f t="shared" ref="X320:X321" si="222">SUM(T320:W320)</f>
        <v>9</v>
      </c>
      <c r="Y320" s="11">
        <f t="shared" ref="Y320:Y321" si="223">S320+X320</f>
        <v>18</v>
      </c>
      <c r="Z320" s="69">
        <v>45230</v>
      </c>
    </row>
    <row r="321" spans="1:27" x14ac:dyDescent="0.15">
      <c r="A321" s="59" t="s">
        <v>27</v>
      </c>
      <c r="B321" s="20"/>
      <c r="C321" s="35">
        <v>2</v>
      </c>
      <c r="D321" s="21"/>
      <c r="E321" s="24">
        <v>2</v>
      </c>
      <c r="F321" s="25">
        <f t="shared" ref="F321:F331" si="224">SUM(B321:E321)</f>
        <v>4</v>
      </c>
      <c r="G321" s="20"/>
      <c r="H321" s="35"/>
      <c r="I321" s="21"/>
      <c r="J321" s="24"/>
      <c r="K321" s="25">
        <f t="shared" ref="K321:K331" si="225">SUM(G321:J321)</f>
        <v>0</v>
      </c>
      <c r="L321" s="11">
        <f t="shared" ref="L321:L331" si="226">F321+K321</f>
        <v>4</v>
      </c>
      <c r="M321" s="71">
        <v>45220</v>
      </c>
      <c r="N321" s="40" t="s">
        <v>26</v>
      </c>
      <c r="O321" s="20">
        <v>5</v>
      </c>
      <c r="P321" s="35">
        <v>15</v>
      </c>
      <c r="Q321" s="21">
        <v>5</v>
      </c>
      <c r="R321" s="38"/>
      <c r="S321" s="9">
        <f t="shared" si="221"/>
        <v>25</v>
      </c>
      <c r="T321" s="20">
        <v>5</v>
      </c>
      <c r="U321" s="35">
        <v>15</v>
      </c>
      <c r="V321" s="21">
        <v>5</v>
      </c>
      <c r="W321" s="24"/>
      <c r="X321" s="25">
        <f t="shared" si="222"/>
        <v>25</v>
      </c>
      <c r="Y321" s="11">
        <f t="shared" si="223"/>
        <v>50</v>
      </c>
      <c r="Z321" s="69">
        <v>45230</v>
      </c>
    </row>
    <row r="322" spans="1:27" x14ac:dyDescent="0.15">
      <c r="A322" s="59" t="s">
        <v>27</v>
      </c>
      <c r="B322" s="20"/>
      <c r="C322" s="35">
        <v>1</v>
      </c>
      <c r="D322" s="21"/>
      <c r="E322" s="24"/>
      <c r="F322" s="25">
        <f t="shared" si="224"/>
        <v>1</v>
      </c>
      <c r="G322" s="20"/>
      <c r="H322" s="35">
        <v>1</v>
      </c>
      <c r="I322" s="21"/>
      <c r="J322" s="24"/>
      <c r="K322" s="25">
        <f t="shared" si="225"/>
        <v>1</v>
      </c>
      <c r="L322" s="11">
        <f t="shared" si="226"/>
        <v>2</v>
      </c>
      <c r="M322" s="71">
        <v>45222</v>
      </c>
      <c r="N322" s="40" t="s">
        <v>246</v>
      </c>
      <c r="O322" s="20">
        <v>2</v>
      </c>
      <c r="P322" s="35">
        <v>1</v>
      </c>
      <c r="Q322" s="21"/>
      <c r="R322" s="38"/>
      <c r="S322" s="9">
        <f t="shared" si="219"/>
        <v>3</v>
      </c>
      <c r="T322" s="20">
        <v>2</v>
      </c>
      <c r="U322" s="35">
        <v>1</v>
      </c>
      <c r="V322" s="21"/>
      <c r="W322" s="24"/>
      <c r="X322" s="25">
        <f t="shared" si="220"/>
        <v>3</v>
      </c>
      <c r="Y322" s="11">
        <f t="shared" si="209"/>
        <v>6</v>
      </c>
      <c r="Z322" s="69">
        <v>45231</v>
      </c>
    </row>
    <row r="323" spans="1:27" x14ac:dyDescent="0.15">
      <c r="A323" s="59" t="s">
        <v>234</v>
      </c>
      <c r="B323" s="20"/>
      <c r="C323" s="35"/>
      <c r="D323" s="21"/>
      <c r="E323" s="24"/>
      <c r="F323" s="25">
        <f t="shared" si="224"/>
        <v>0</v>
      </c>
      <c r="G323" s="20"/>
      <c r="H323" s="35">
        <v>1</v>
      </c>
      <c r="I323" s="21"/>
      <c r="J323" s="24"/>
      <c r="K323" s="25">
        <f t="shared" si="225"/>
        <v>1</v>
      </c>
      <c r="L323" s="11">
        <f t="shared" si="226"/>
        <v>1</v>
      </c>
      <c r="M323" s="69">
        <v>45223</v>
      </c>
      <c r="N323" s="40" t="s">
        <v>248</v>
      </c>
      <c r="O323" s="20">
        <v>7</v>
      </c>
      <c r="P323" s="35">
        <v>15</v>
      </c>
      <c r="Q323" s="21"/>
      <c r="R323" s="38"/>
      <c r="S323" s="9">
        <f t="shared" si="219"/>
        <v>22</v>
      </c>
      <c r="T323" s="20">
        <v>7</v>
      </c>
      <c r="U323" s="35">
        <v>15</v>
      </c>
      <c r="V323" s="21"/>
      <c r="W323" s="24"/>
      <c r="X323" s="25">
        <f t="shared" si="220"/>
        <v>22</v>
      </c>
      <c r="Y323" s="11">
        <f t="shared" si="209"/>
        <v>44</v>
      </c>
      <c r="Z323" s="69">
        <v>45236</v>
      </c>
    </row>
    <row r="324" spans="1:27" x14ac:dyDescent="0.15">
      <c r="A324" s="59" t="s">
        <v>27</v>
      </c>
      <c r="B324" s="20">
        <v>1</v>
      </c>
      <c r="C324" s="35">
        <f>1+5</f>
        <v>6</v>
      </c>
      <c r="D324" s="21">
        <v>6</v>
      </c>
      <c r="E324" s="24"/>
      <c r="F324" s="25">
        <f t="shared" si="224"/>
        <v>13</v>
      </c>
      <c r="G324" s="20">
        <v>1</v>
      </c>
      <c r="H324" s="35">
        <v>5</v>
      </c>
      <c r="I324" s="21">
        <v>4</v>
      </c>
      <c r="J324" s="24"/>
      <c r="K324" s="25">
        <f t="shared" si="225"/>
        <v>10</v>
      </c>
      <c r="L324" s="11">
        <f t="shared" si="226"/>
        <v>23</v>
      </c>
      <c r="M324" s="69">
        <v>45224</v>
      </c>
      <c r="N324" s="40" t="s">
        <v>254</v>
      </c>
      <c r="O324" s="20"/>
      <c r="P324" s="35">
        <v>10</v>
      </c>
      <c r="Q324" s="21"/>
      <c r="R324" s="38"/>
      <c r="S324" s="9">
        <f t="shared" ref="S324:S327" si="227">SUM(O324:R324)</f>
        <v>10</v>
      </c>
      <c r="T324" s="20"/>
      <c r="U324" s="35">
        <v>10</v>
      </c>
      <c r="V324" s="21"/>
      <c r="W324" s="24"/>
      <c r="X324" s="25">
        <f t="shared" ref="X324:X327" si="228">SUM(T324:W324)</f>
        <v>10</v>
      </c>
      <c r="Y324" s="11">
        <f t="shared" ref="Y324:Y329" si="229">S324+X324</f>
        <v>20</v>
      </c>
      <c r="Z324" s="69">
        <v>45240</v>
      </c>
      <c r="AA324" s="41"/>
    </row>
    <row r="325" spans="1:27" x14ac:dyDescent="0.15">
      <c r="A325" s="59" t="s">
        <v>27</v>
      </c>
      <c r="B325" s="20">
        <v>2</v>
      </c>
      <c r="C325" s="35">
        <v>2</v>
      </c>
      <c r="D325" s="21"/>
      <c r="E325" s="24"/>
      <c r="F325" s="25">
        <f t="shared" si="224"/>
        <v>4</v>
      </c>
      <c r="G325" s="20">
        <v>2</v>
      </c>
      <c r="H325" s="35">
        <v>2</v>
      </c>
      <c r="I325" s="21">
        <v>2</v>
      </c>
      <c r="J325" s="24"/>
      <c r="K325" s="25">
        <f t="shared" si="225"/>
        <v>6</v>
      </c>
      <c r="L325" s="11">
        <f t="shared" si="226"/>
        <v>10</v>
      </c>
      <c r="M325" s="71">
        <v>45225</v>
      </c>
      <c r="N325" s="40" t="s">
        <v>249</v>
      </c>
      <c r="O325" s="20"/>
      <c r="P325" s="35"/>
      <c r="Q325" s="21">
        <v>2</v>
      </c>
      <c r="R325" s="38"/>
      <c r="S325" s="9">
        <f t="shared" si="227"/>
        <v>2</v>
      </c>
      <c r="T325" s="20"/>
      <c r="U325" s="35"/>
      <c r="V325" s="21">
        <v>2</v>
      </c>
      <c r="W325" s="24"/>
      <c r="X325" s="25">
        <f t="shared" si="228"/>
        <v>2</v>
      </c>
      <c r="Y325" s="11">
        <f t="shared" si="229"/>
        <v>4</v>
      </c>
      <c r="Z325" s="69">
        <v>45232</v>
      </c>
    </row>
    <row r="326" spans="1:27" x14ac:dyDescent="0.15">
      <c r="A326" s="40" t="s">
        <v>243</v>
      </c>
      <c r="B326" s="20">
        <v>3</v>
      </c>
      <c r="C326" s="35"/>
      <c r="D326" s="21"/>
      <c r="E326" s="24"/>
      <c r="F326" s="25">
        <f t="shared" si="224"/>
        <v>3</v>
      </c>
      <c r="G326" s="20">
        <v>3</v>
      </c>
      <c r="H326" s="35"/>
      <c r="I326" s="21"/>
      <c r="J326" s="24"/>
      <c r="K326" s="25">
        <f t="shared" si="225"/>
        <v>3</v>
      </c>
      <c r="L326" s="11">
        <f t="shared" si="226"/>
        <v>6</v>
      </c>
      <c r="M326" s="69">
        <v>45229</v>
      </c>
      <c r="N326" s="12" t="s">
        <v>250</v>
      </c>
      <c r="O326" s="20"/>
      <c r="P326" s="35"/>
      <c r="Q326" s="21">
        <v>5</v>
      </c>
      <c r="R326" s="38"/>
      <c r="S326" s="9">
        <f t="shared" si="227"/>
        <v>5</v>
      </c>
      <c r="T326" s="20"/>
      <c r="U326" s="35">
        <v>5</v>
      </c>
      <c r="V326" s="21">
        <v>5</v>
      </c>
      <c r="W326" s="24"/>
      <c r="X326" s="25">
        <f t="shared" si="228"/>
        <v>10</v>
      </c>
      <c r="Y326" s="11">
        <f t="shared" si="229"/>
        <v>15</v>
      </c>
      <c r="Z326" s="69">
        <v>45239</v>
      </c>
      <c r="AA326" s="41"/>
    </row>
    <row r="327" spans="1:27" x14ac:dyDescent="0.15">
      <c r="A327" s="59" t="s">
        <v>27</v>
      </c>
      <c r="B327" s="20">
        <v>3</v>
      </c>
      <c r="C327" s="35">
        <v>1</v>
      </c>
      <c r="D327" s="21"/>
      <c r="E327" s="24"/>
      <c r="F327" s="25">
        <f t="shared" si="224"/>
        <v>4</v>
      </c>
      <c r="G327" s="20">
        <v>2</v>
      </c>
      <c r="H327" s="35">
        <v>1</v>
      </c>
      <c r="I327" s="21">
        <v>3</v>
      </c>
      <c r="J327" s="24"/>
      <c r="K327" s="25">
        <f t="shared" si="225"/>
        <v>6</v>
      </c>
      <c r="L327" s="11">
        <f t="shared" si="226"/>
        <v>10</v>
      </c>
      <c r="M327" s="71">
        <v>45226</v>
      </c>
      <c r="N327" s="12" t="s">
        <v>252</v>
      </c>
      <c r="O327" s="20">
        <v>5</v>
      </c>
      <c r="P327" s="35">
        <v>5</v>
      </c>
      <c r="Q327" s="21">
        <v>15</v>
      </c>
      <c r="R327" s="38"/>
      <c r="S327" s="9">
        <f t="shared" si="227"/>
        <v>25</v>
      </c>
      <c r="T327" s="20">
        <v>5</v>
      </c>
      <c r="U327" s="35">
        <v>5</v>
      </c>
      <c r="V327" s="21">
        <v>15</v>
      </c>
      <c r="W327" s="24"/>
      <c r="X327" s="25">
        <f t="shared" si="228"/>
        <v>25</v>
      </c>
      <c r="Y327" s="11">
        <f t="shared" si="229"/>
        <v>50</v>
      </c>
      <c r="Z327" s="69">
        <v>45237</v>
      </c>
    </row>
    <row r="328" spans="1:27" x14ac:dyDescent="0.15">
      <c r="A328" s="59" t="s">
        <v>245</v>
      </c>
      <c r="B328" s="20"/>
      <c r="C328" s="35"/>
      <c r="D328" s="21"/>
      <c r="E328" s="24">
        <v>1</v>
      </c>
      <c r="F328" s="25">
        <f t="shared" si="224"/>
        <v>1</v>
      </c>
      <c r="G328" s="20"/>
      <c r="H328" s="35"/>
      <c r="I328" s="21"/>
      <c r="J328" s="24">
        <v>1</v>
      </c>
      <c r="K328" s="25">
        <f t="shared" si="225"/>
        <v>1</v>
      </c>
      <c r="L328" s="11">
        <f t="shared" si="226"/>
        <v>2</v>
      </c>
      <c r="M328" s="69">
        <v>45230</v>
      </c>
      <c r="N328" s="40" t="s">
        <v>255</v>
      </c>
      <c r="O328" s="20"/>
      <c r="P328" s="35"/>
      <c r="Q328" s="21">
        <v>10</v>
      </c>
      <c r="R328" s="38"/>
      <c r="S328" s="9">
        <f>SUM(O328:R328)</f>
        <v>10</v>
      </c>
      <c r="T328" s="20"/>
      <c r="U328" s="35"/>
      <c r="V328" s="21">
        <v>10</v>
      </c>
      <c r="W328" s="24"/>
      <c r="X328" s="25">
        <f>SUM(T328:W328)</f>
        <v>10</v>
      </c>
      <c r="Y328" s="11">
        <f t="shared" si="229"/>
        <v>20</v>
      </c>
      <c r="Z328" s="69">
        <v>45245</v>
      </c>
    </row>
    <row r="329" spans="1:27" x14ac:dyDescent="0.15">
      <c r="A329" s="12" t="s">
        <v>242</v>
      </c>
      <c r="B329" s="20">
        <v>5</v>
      </c>
      <c r="C329" s="35">
        <v>15</v>
      </c>
      <c r="D329" s="21">
        <v>5</v>
      </c>
      <c r="E329" s="38"/>
      <c r="F329" s="9">
        <f t="shared" si="224"/>
        <v>25</v>
      </c>
      <c r="G329" s="20">
        <v>5</v>
      </c>
      <c r="H329" s="35">
        <v>15</v>
      </c>
      <c r="I329" s="21">
        <v>5</v>
      </c>
      <c r="J329" s="24"/>
      <c r="K329" s="25">
        <f t="shared" si="225"/>
        <v>25</v>
      </c>
      <c r="L329" s="11">
        <f t="shared" si="226"/>
        <v>50</v>
      </c>
      <c r="M329" s="69">
        <v>45232</v>
      </c>
      <c r="N329" s="40" t="s">
        <v>26</v>
      </c>
      <c r="O329" s="20">
        <v>20</v>
      </c>
      <c r="P329" s="35">
        <v>15</v>
      </c>
      <c r="Q329" s="21">
        <v>10</v>
      </c>
      <c r="R329" s="38">
        <v>10</v>
      </c>
      <c r="S329" s="9">
        <f>SUM(O329:R329)</f>
        <v>55</v>
      </c>
      <c r="T329" s="20">
        <v>15</v>
      </c>
      <c r="U329" s="35">
        <v>15</v>
      </c>
      <c r="V329" s="21">
        <v>15</v>
      </c>
      <c r="W329" s="24">
        <v>10</v>
      </c>
      <c r="X329" s="25">
        <f>SUM(T329:W329)</f>
        <v>55</v>
      </c>
      <c r="Y329" s="11">
        <f t="shared" si="229"/>
        <v>110</v>
      </c>
      <c r="Z329" s="69">
        <v>45238</v>
      </c>
    </row>
    <row r="330" spans="1:27" x14ac:dyDescent="0.15">
      <c r="A330" s="59" t="s">
        <v>27</v>
      </c>
      <c r="B330" s="20">
        <v>2</v>
      </c>
      <c r="C330" s="35"/>
      <c r="D330" s="21"/>
      <c r="E330" s="24"/>
      <c r="F330" s="25">
        <f t="shared" si="224"/>
        <v>2</v>
      </c>
      <c r="G330" s="20"/>
      <c r="H330" s="35">
        <v>2</v>
      </c>
      <c r="I330" s="21">
        <v>1</v>
      </c>
      <c r="J330" s="24">
        <v>2</v>
      </c>
      <c r="K330" s="25">
        <f t="shared" si="225"/>
        <v>5</v>
      </c>
      <c r="L330" s="11">
        <f t="shared" si="226"/>
        <v>7</v>
      </c>
      <c r="M330" s="71">
        <v>45229</v>
      </c>
      <c r="N330" s="12" t="s">
        <v>259</v>
      </c>
      <c r="O330" s="20">
        <v>10</v>
      </c>
      <c r="P330" s="35">
        <v>10</v>
      </c>
      <c r="Q330" s="21">
        <v>5</v>
      </c>
      <c r="R330" s="38">
        <v>20</v>
      </c>
      <c r="S330" s="9">
        <f t="shared" ref="S330:S339" si="230">SUM(O330:R330)</f>
        <v>45</v>
      </c>
      <c r="T330" s="20">
        <v>10</v>
      </c>
      <c r="U330" s="35">
        <v>10</v>
      </c>
      <c r="V330" s="21">
        <v>5</v>
      </c>
      <c r="W330" s="24">
        <v>20</v>
      </c>
      <c r="X330" s="25">
        <f t="shared" ref="X330:X339" si="231">SUM(T330:W330)</f>
        <v>45</v>
      </c>
      <c r="Y330" s="11">
        <f t="shared" si="209"/>
        <v>90</v>
      </c>
      <c r="Z330" s="69">
        <v>45243</v>
      </c>
    </row>
    <row r="331" spans="1:27" x14ac:dyDescent="0.15">
      <c r="A331" s="59" t="s">
        <v>27</v>
      </c>
      <c r="B331" s="20">
        <v>1</v>
      </c>
      <c r="C331" s="35"/>
      <c r="D331" s="21"/>
      <c r="E331" s="24"/>
      <c r="F331" s="25">
        <f t="shared" si="224"/>
        <v>1</v>
      </c>
      <c r="G331" s="20">
        <v>1</v>
      </c>
      <c r="H331" s="35"/>
      <c r="I331" s="21"/>
      <c r="J331" s="24"/>
      <c r="K331" s="25">
        <f t="shared" si="225"/>
        <v>1</v>
      </c>
      <c r="L331" s="11">
        <f t="shared" si="226"/>
        <v>2</v>
      </c>
      <c r="M331" s="71">
        <v>45230</v>
      </c>
      <c r="N331" s="12" t="s">
        <v>261</v>
      </c>
      <c r="O331" s="48"/>
      <c r="P331" s="49">
        <v>5</v>
      </c>
      <c r="Q331" s="50">
        <v>5</v>
      </c>
      <c r="R331" s="72"/>
      <c r="S331" s="74">
        <f t="shared" si="230"/>
        <v>10</v>
      </c>
      <c r="T331" s="48"/>
      <c r="U331" s="49"/>
      <c r="V331" s="50"/>
      <c r="W331" s="51">
        <v>5</v>
      </c>
      <c r="X331" s="52">
        <f t="shared" si="231"/>
        <v>5</v>
      </c>
      <c r="Y331" s="11">
        <f t="shared" si="209"/>
        <v>15</v>
      </c>
      <c r="Z331" s="69">
        <v>45244</v>
      </c>
      <c r="AA331" s="41"/>
    </row>
    <row r="332" spans="1:27" x14ac:dyDescent="0.15">
      <c r="A332" s="59" t="s">
        <v>251</v>
      </c>
      <c r="B332" s="20"/>
      <c r="C332" s="35"/>
      <c r="D332" s="21"/>
      <c r="E332" s="24"/>
      <c r="F332" s="25">
        <f t="shared" si="214"/>
        <v>0</v>
      </c>
      <c r="G332" s="20"/>
      <c r="H332" s="35"/>
      <c r="I332" s="21">
        <v>1</v>
      </c>
      <c r="J332" s="24"/>
      <c r="K332" s="25">
        <f t="shared" si="215"/>
        <v>1</v>
      </c>
      <c r="L332" s="11">
        <f t="shared" si="210"/>
        <v>1</v>
      </c>
      <c r="M332" s="69">
        <v>45232</v>
      </c>
      <c r="N332" s="12" t="s">
        <v>262</v>
      </c>
      <c r="O332" s="20">
        <v>10</v>
      </c>
      <c r="P332" s="35">
        <v>10</v>
      </c>
      <c r="Q332" s="21"/>
      <c r="R332" s="38"/>
      <c r="S332" s="9">
        <f t="shared" si="230"/>
        <v>20</v>
      </c>
      <c r="T332" s="20">
        <v>10</v>
      </c>
      <c r="U332" s="35">
        <v>10</v>
      </c>
      <c r="V332" s="21"/>
      <c r="W332" s="24"/>
      <c r="X332" s="25">
        <f t="shared" si="231"/>
        <v>20</v>
      </c>
      <c r="Y332" s="47">
        <f t="shared" si="209"/>
        <v>40</v>
      </c>
      <c r="Z332" s="69">
        <v>45245</v>
      </c>
    </row>
    <row r="333" spans="1:27" x14ac:dyDescent="0.15">
      <c r="A333" s="59" t="s">
        <v>27</v>
      </c>
      <c r="B333" s="20"/>
      <c r="C333" s="35">
        <v>2</v>
      </c>
      <c r="D333" s="21">
        <v>1</v>
      </c>
      <c r="E333" s="24"/>
      <c r="F333" s="25">
        <f t="shared" si="214"/>
        <v>3</v>
      </c>
      <c r="G333" s="20"/>
      <c r="H333" s="35">
        <v>1</v>
      </c>
      <c r="I333" s="21">
        <v>1</v>
      </c>
      <c r="J333" s="24"/>
      <c r="K333" s="25">
        <f t="shared" si="215"/>
        <v>2</v>
      </c>
      <c r="L333" s="11">
        <f t="shared" si="210"/>
        <v>5</v>
      </c>
      <c r="M333" s="71">
        <v>45231</v>
      </c>
      <c r="N333" s="40" t="s">
        <v>26</v>
      </c>
      <c r="O333" s="20">
        <v>10</v>
      </c>
      <c r="P333" s="35">
        <v>15</v>
      </c>
      <c r="Q333" s="21">
        <v>5</v>
      </c>
      <c r="R333" s="38"/>
      <c r="S333" s="9">
        <f>SUM(O333:R333)</f>
        <v>30</v>
      </c>
      <c r="T333" s="20">
        <v>5</v>
      </c>
      <c r="U333" s="35">
        <v>15</v>
      </c>
      <c r="V333" s="21">
        <v>5</v>
      </c>
      <c r="W333" s="24"/>
      <c r="X333" s="25">
        <f>SUM(T333:W333)</f>
        <v>25</v>
      </c>
      <c r="Y333" s="47">
        <f t="shared" si="209"/>
        <v>55</v>
      </c>
      <c r="Z333" s="69">
        <v>45243</v>
      </c>
    </row>
    <row r="334" spans="1:27" x14ac:dyDescent="0.15">
      <c r="A334" s="40" t="s">
        <v>253</v>
      </c>
      <c r="B334" s="20">
        <v>1</v>
      </c>
      <c r="C334" s="35">
        <v>1</v>
      </c>
      <c r="D334" s="21"/>
      <c r="E334" s="24"/>
      <c r="F334" s="25">
        <f t="shared" si="214"/>
        <v>2</v>
      </c>
      <c r="G334" s="20">
        <v>1</v>
      </c>
      <c r="H334" s="35">
        <v>1</v>
      </c>
      <c r="I334" s="21"/>
      <c r="J334" s="24"/>
      <c r="K334" s="25">
        <f t="shared" si="215"/>
        <v>2</v>
      </c>
      <c r="L334" s="11">
        <f t="shared" si="210"/>
        <v>4</v>
      </c>
      <c r="M334" s="69">
        <v>45236</v>
      </c>
      <c r="N334" s="40" t="s">
        <v>26</v>
      </c>
      <c r="O334" s="20">
        <v>5</v>
      </c>
      <c r="P334" s="35">
        <v>15</v>
      </c>
      <c r="Q334" s="21">
        <v>5</v>
      </c>
      <c r="R334" s="38"/>
      <c r="S334" s="9">
        <f t="shared" ref="S334" si="232">SUM(O334:R334)</f>
        <v>25</v>
      </c>
      <c r="T334" s="20">
        <v>10</v>
      </c>
      <c r="U334" s="35">
        <v>15</v>
      </c>
      <c r="V334" s="21">
        <v>5</v>
      </c>
      <c r="W334" s="24"/>
      <c r="X334" s="25">
        <f t="shared" ref="X334" si="233">SUM(T334:W334)</f>
        <v>30</v>
      </c>
      <c r="Y334" s="47">
        <f t="shared" si="209"/>
        <v>55</v>
      </c>
      <c r="Z334" s="69">
        <v>45248</v>
      </c>
    </row>
    <row r="335" spans="1:27" x14ac:dyDescent="0.15">
      <c r="A335" s="59" t="s">
        <v>27</v>
      </c>
      <c r="B335" s="20">
        <v>3</v>
      </c>
      <c r="C335" s="35"/>
      <c r="D335" s="21">
        <v>1</v>
      </c>
      <c r="E335" s="24"/>
      <c r="F335" s="25">
        <f t="shared" si="214"/>
        <v>4</v>
      </c>
      <c r="G335" s="20">
        <v>1</v>
      </c>
      <c r="H335" s="35"/>
      <c r="I335" s="21">
        <v>1</v>
      </c>
      <c r="J335" s="24"/>
      <c r="K335" s="25">
        <f t="shared" si="215"/>
        <v>2</v>
      </c>
      <c r="L335" s="11">
        <f t="shared" si="210"/>
        <v>6</v>
      </c>
      <c r="M335" s="71">
        <v>45234</v>
      </c>
      <c r="N335" s="12"/>
      <c r="O335" s="20"/>
      <c r="P335" s="35"/>
      <c r="Q335" s="21"/>
      <c r="R335" s="38"/>
      <c r="S335" s="9">
        <f t="shared" ref="S335" si="234">SUM(O335:R335)</f>
        <v>0</v>
      </c>
      <c r="T335" s="20"/>
      <c r="U335" s="35"/>
      <c r="V335" s="21"/>
      <c r="W335" s="24"/>
      <c r="X335" s="25">
        <f t="shared" ref="X335" si="235">SUM(T335:W335)</f>
        <v>0</v>
      </c>
      <c r="Y335" s="47">
        <f t="shared" ref="Y335:Y338" si="236">S335+X335</f>
        <v>0</v>
      </c>
    </row>
    <row r="336" spans="1:27" x14ac:dyDescent="0.15">
      <c r="A336" s="40" t="s">
        <v>256</v>
      </c>
      <c r="B336" s="20">
        <v>3</v>
      </c>
      <c r="C336" s="35"/>
      <c r="D336" s="21"/>
      <c r="E336" s="24">
        <v>1</v>
      </c>
      <c r="F336" s="25">
        <f t="shared" si="214"/>
        <v>4</v>
      </c>
      <c r="G336" s="20">
        <v>3</v>
      </c>
      <c r="H336" s="35"/>
      <c r="I336" s="21"/>
      <c r="J336" s="24">
        <v>1</v>
      </c>
      <c r="K336" s="25">
        <f t="shared" si="215"/>
        <v>4</v>
      </c>
      <c r="L336" s="11">
        <f t="shared" si="210"/>
        <v>8</v>
      </c>
      <c r="M336" s="69">
        <v>45237</v>
      </c>
      <c r="N336" s="12" t="s">
        <v>177</v>
      </c>
      <c r="O336" s="20"/>
      <c r="P336" s="35"/>
      <c r="Q336" s="21"/>
      <c r="R336" s="38"/>
      <c r="S336" s="9">
        <f t="shared" ref="S336" si="237">SUM(O336:R336)</f>
        <v>0</v>
      </c>
      <c r="T336" s="20"/>
      <c r="U336" s="35"/>
      <c r="V336" s="21"/>
      <c r="W336" s="38"/>
      <c r="X336" s="9">
        <f t="shared" ref="X336" si="238">SUM(T336:W336)</f>
        <v>0</v>
      </c>
      <c r="Y336" s="47">
        <f t="shared" si="236"/>
        <v>0</v>
      </c>
      <c r="Z336" s="162" t="s">
        <v>120</v>
      </c>
    </row>
    <row r="337" spans="1:27" x14ac:dyDescent="0.15">
      <c r="A337" s="59" t="s">
        <v>27</v>
      </c>
      <c r="B337" s="20">
        <f>1+5+1</f>
        <v>7</v>
      </c>
      <c r="C337" s="35">
        <f>1+7</f>
        <v>8</v>
      </c>
      <c r="D337" s="21">
        <v>5</v>
      </c>
      <c r="E337" s="24">
        <v>3</v>
      </c>
      <c r="F337" s="25">
        <f t="shared" si="214"/>
        <v>23</v>
      </c>
      <c r="G337" s="20">
        <f>1+4</f>
        <v>5</v>
      </c>
      <c r="H337" s="35">
        <f>1+8</f>
        <v>9</v>
      </c>
      <c r="I337" s="21">
        <v>5</v>
      </c>
      <c r="J337" s="24">
        <v>3</v>
      </c>
      <c r="K337" s="25">
        <f t="shared" si="215"/>
        <v>22</v>
      </c>
      <c r="L337" s="11">
        <f t="shared" si="210"/>
        <v>45</v>
      </c>
      <c r="M337" s="71">
        <v>45236</v>
      </c>
      <c r="N337" s="104" t="s">
        <v>74</v>
      </c>
      <c r="O337" s="154"/>
      <c r="P337" s="156"/>
      <c r="Q337" s="155"/>
      <c r="R337" s="159"/>
      <c r="S337" s="158">
        <f t="shared" ref="S337:S338" si="239">SUM(O337:R337)</f>
        <v>0</v>
      </c>
      <c r="T337" s="154"/>
      <c r="U337" s="156"/>
      <c r="V337" s="155"/>
      <c r="W337" s="159"/>
      <c r="X337" s="158">
        <f t="shared" ref="X337:X338" si="240">SUM(T337:W337)</f>
        <v>0</v>
      </c>
      <c r="Y337" s="160">
        <f t="shared" si="236"/>
        <v>0</v>
      </c>
      <c r="Z337" s="167"/>
    </row>
    <row r="338" spans="1:27" ht="14.25" thickBot="1" x14ac:dyDescent="0.2">
      <c r="A338" s="59" t="s">
        <v>27</v>
      </c>
      <c r="B338" s="43"/>
      <c r="C338" s="44">
        <v>2</v>
      </c>
      <c r="D338" s="45">
        <v>1</v>
      </c>
      <c r="E338" s="46"/>
      <c r="F338" s="25">
        <f t="shared" si="214"/>
        <v>3</v>
      </c>
      <c r="G338" s="43"/>
      <c r="H338" s="44">
        <v>2</v>
      </c>
      <c r="I338" s="45">
        <v>1</v>
      </c>
      <c r="J338" s="46"/>
      <c r="K338" s="25">
        <f t="shared" si="215"/>
        <v>3</v>
      </c>
      <c r="L338" s="14">
        <f t="shared" si="210"/>
        <v>6</v>
      </c>
      <c r="M338" s="71">
        <v>45237</v>
      </c>
      <c r="N338" s="105" t="s">
        <v>33</v>
      </c>
      <c r="O338" s="43"/>
      <c r="P338" s="45"/>
      <c r="Q338" s="44"/>
      <c r="R338" s="161"/>
      <c r="S338" s="10">
        <f t="shared" si="239"/>
        <v>0</v>
      </c>
      <c r="T338" s="43"/>
      <c r="U338" s="45"/>
      <c r="V338" s="44"/>
      <c r="W338" s="161"/>
      <c r="X338" s="10">
        <f t="shared" si="240"/>
        <v>0</v>
      </c>
      <c r="Y338" s="75">
        <f t="shared" si="236"/>
        <v>0</v>
      </c>
      <c r="Z338" s="162" t="s">
        <v>97</v>
      </c>
    </row>
    <row r="339" spans="1:27" ht="14.25" thickBot="1" x14ac:dyDescent="0.2">
      <c r="A339" s="16" t="s">
        <v>9</v>
      </c>
      <c r="B339" s="28">
        <f>SUM(B314:B338)</f>
        <v>41</v>
      </c>
      <c r="C339" s="36">
        <f>SUM(C314:C338)</f>
        <v>46</v>
      </c>
      <c r="D339" s="29">
        <f>SUM(D314:D338)</f>
        <v>18</v>
      </c>
      <c r="E339" s="30">
        <f>SUM(E314:E338)</f>
        <v>8</v>
      </c>
      <c r="F339" s="26">
        <f>SUM(B339:E339)</f>
        <v>113</v>
      </c>
      <c r="G339" s="28">
        <f>SUM(G314:G338)</f>
        <v>31</v>
      </c>
      <c r="H339" s="36">
        <f>SUM(H314:H338)</f>
        <v>51</v>
      </c>
      <c r="I339" s="29">
        <f>SUM(I314:I338)</f>
        <v>26</v>
      </c>
      <c r="J339" s="30">
        <f>SUM(J314:J338)</f>
        <v>9</v>
      </c>
      <c r="K339" s="26">
        <f>SUM(G339:J339)</f>
        <v>117</v>
      </c>
      <c r="L339" s="27">
        <f t="shared" si="210"/>
        <v>230</v>
      </c>
      <c r="N339" s="61" t="s">
        <v>9</v>
      </c>
      <c r="O339" s="28">
        <f>SUM(O314:O338)</f>
        <v>94</v>
      </c>
      <c r="P339" s="36">
        <f>SUM(P314:P338)</f>
        <v>142</v>
      </c>
      <c r="Q339" s="29">
        <f>SUM(Q314:Q338)</f>
        <v>90</v>
      </c>
      <c r="R339" s="30">
        <f>SUM(R314:R338)</f>
        <v>49</v>
      </c>
      <c r="S339" s="60">
        <f t="shared" si="230"/>
        <v>375</v>
      </c>
      <c r="T339" s="28">
        <f>SUM(T314:T338)</f>
        <v>89</v>
      </c>
      <c r="U339" s="36">
        <f>SUM(U314:U338)</f>
        <v>142</v>
      </c>
      <c r="V339" s="29">
        <f>SUM(V314:V338)</f>
        <v>95</v>
      </c>
      <c r="W339" s="30">
        <f>SUM(W314:W338)</f>
        <v>54</v>
      </c>
      <c r="X339" s="60">
        <f t="shared" si="231"/>
        <v>380</v>
      </c>
      <c r="Y339" s="63">
        <f t="shared" si="209"/>
        <v>755</v>
      </c>
    </row>
    <row r="340" spans="1:27" ht="14.25" thickBot="1" x14ac:dyDescent="0.2">
      <c r="A340" s="18" t="s">
        <v>10</v>
      </c>
      <c r="B340" s="31">
        <f t="shared" ref="B340:K340" si="241">B313-B339</f>
        <v>11</v>
      </c>
      <c r="C340" s="37">
        <f t="shared" si="241"/>
        <v>14</v>
      </c>
      <c r="D340" s="32">
        <f t="shared" si="241"/>
        <v>22</v>
      </c>
      <c r="E340" s="33">
        <f t="shared" si="241"/>
        <v>22</v>
      </c>
      <c r="F340" s="42">
        <f t="shared" si="241"/>
        <v>69</v>
      </c>
      <c r="G340" s="31">
        <f t="shared" si="241"/>
        <v>14</v>
      </c>
      <c r="H340" s="37">
        <f t="shared" si="241"/>
        <v>16</v>
      </c>
      <c r="I340" s="32">
        <f t="shared" si="241"/>
        <v>17</v>
      </c>
      <c r="J340" s="33">
        <f t="shared" si="241"/>
        <v>23</v>
      </c>
      <c r="K340" s="42">
        <f t="shared" si="241"/>
        <v>70</v>
      </c>
      <c r="L340" s="17">
        <f t="shared" si="210"/>
        <v>139</v>
      </c>
      <c r="N340" s="16" t="s">
        <v>10</v>
      </c>
      <c r="O340" s="31">
        <f t="shared" ref="O340:X340" si="242">O313-O339</f>
        <v>340</v>
      </c>
      <c r="P340" s="37">
        <f t="shared" si="242"/>
        <v>458</v>
      </c>
      <c r="Q340" s="32">
        <f t="shared" si="242"/>
        <v>266</v>
      </c>
      <c r="R340" s="33">
        <f t="shared" si="242"/>
        <v>142</v>
      </c>
      <c r="S340" s="42">
        <f t="shared" si="242"/>
        <v>1206</v>
      </c>
      <c r="T340" s="31">
        <f t="shared" si="242"/>
        <v>292</v>
      </c>
      <c r="U340" s="37">
        <f t="shared" si="242"/>
        <v>401</v>
      </c>
      <c r="V340" s="32">
        <f t="shared" si="242"/>
        <v>231</v>
      </c>
      <c r="W340" s="33">
        <f t="shared" si="242"/>
        <v>113</v>
      </c>
      <c r="X340" s="42">
        <f t="shared" si="242"/>
        <v>1037</v>
      </c>
      <c r="Y340" s="17">
        <f t="shared" si="209"/>
        <v>2243</v>
      </c>
    </row>
    <row r="343" spans="1:27" ht="19.5" thickBot="1" x14ac:dyDescent="0.25">
      <c r="A343" s="2" t="s">
        <v>17</v>
      </c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N343" s="2" t="s">
        <v>18</v>
      </c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1"/>
    </row>
    <row r="344" spans="1:27" ht="14.25" thickBot="1" x14ac:dyDescent="0.2">
      <c r="A344" s="5" t="s">
        <v>0</v>
      </c>
      <c r="B344" s="244" t="s">
        <v>19</v>
      </c>
      <c r="C344" s="245"/>
      <c r="D344" s="245"/>
      <c r="E344" s="245"/>
      <c r="F344" s="246"/>
      <c r="G344" s="247" t="s">
        <v>20</v>
      </c>
      <c r="H344" s="248"/>
      <c r="I344" s="248"/>
      <c r="J344" s="248"/>
      <c r="K344" s="249"/>
      <c r="L344" s="250" t="s">
        <v>1</v>
      </c>
      <c r="N344" s="5" t="s">
        <v>0</v>
      </c>
      <c r="O344" s="244" t="s">
        <v>19</v>
      </c>
      <c r="P344" s="245"/>
      <c r="Q344" s="245"/>
      <c r="R344" s="245"/>
      <c r="S344" s="246"/>
      <c r="T344" s="247" t="s">
        <v>20</v>
      </c>
      <c r="U344" s="248"/>
      <c r="V344" s="248"/>
      <c r="W344" s="248"/>
      <c r="X344" s="249"/>
      <c r="Y344" s="250" t="s">
        <v>1</v>
      </c>
    </row>
    <row r="345" spans="1:27" ht="14.25" thickBot="1" x14ac:dyDescent="0.2">
      <c r="A345" s="5" t="s">
        <v>2</v>
      </c>
      <c r="B345" s="3" t="s">
        <v>11</v>
      </c>
      <c r="C345" s="34" t="s">
        <v>12</v>
      </c>
      <c r="D345" s="4" t="s">
        <v>13</v>
      </c>
      <c r="E345" s="19" t="s">
        <v>14</v>
      </c>
      <c r="F345" s="23" t="s">
        <v>3</v>
      </c>
      <c r="G345" s="3" t="s">
        <v>11</v>
      </c>
      <c r="H345" s="34" t="s">
        <v>12</v>
      </c>
      <c r="I345" s="4" t="s">
        <v>13</v>
      </c>
      <c r="J345" s="19" t="s">
        <v>14</v>
      </c>
      <c r="K345" s="23" t="s">
        <v>3</v>
      </c>
      <c r="L345" s="251"/>
      <c r="N345" s="5" t="s">
        <v>2</v>
      </c>
      <c r="O345" s="53" t="s">
        <v>11</v>
      </c>
      <c r="P345" s="54" t="s">
        <v>12</v>
      </c>
      <c r="Q345" s="55" t="s">
        <v>13</v>
      </c>
      <c r="R345" s="56" t="s">
        <v>14</v>
      </c>
      <c r="S345" s="23" t="s">
        <v>3</v>
      </c>
      <c r="T345" s="3" t="s">
        <v>11</v>
      </c>
      <c r="U345" s="34" t="s">
        <v>12</v>
      </c>
      <c r="V345" s="4" t="s">
        <v>13</v>
      </c>
      <c r="W345" s="19" t="s">
        <v>14</v>
      </c>
      <c r="X345" s="23" t="s">
        <v>3</v>
      </c>
      <c r="Y345" s="251"/>
    </row>
    <row r="346" spans="1:27" ht="14.25" thickBot="1" x14ac:dyDescent="0.2">
      <c r="A346" s="18" t="s">
        <v>15</v>
      </c>
      <c r="B346" s="31">
        <f>B340</f>
        <v>11</v>
      </c>
      <c r="C346" s="32">
        <f>C340</f>
        <v>14</v>
      </c>
      <c r="D346" s="32">
        <f>D340</f>
        <v>22</v>
      </c>
      <c r="E346" s="33">
        <f>E340</f>
        <v>22</v>
      </c>
      <c r="F346" s="86">
        <f>SUM(B346:E346)</f>
        <v>69</v>
      </c>
      <c r="G346" s="31">
        <f>G340</f>
        <v>14</v>
      </c>
      <c r="H346" s="32">
        <f>H340</f>
        <v>16</v>
      </c>
      <c r="I346" s="32">
        <f>I340</f>
        <v>17</v>
      </c>
      <c r="J346" s="33">
        <f>J340</f>
        <v>23</v>
      </c>
      <c r="K346" s="80">
        <f>SUM(G346:J346)</f>
        <v>70</v>
      </c>
      <c r="L346" s="17">
        <f>F346+K346</f>
        <v>139</v>
      </c>
      <c r="N346" s="18" t="s">
        <v>15</v>
      </c>
      <c r="O346" s="31">
        <f>O340</f>
        <v>340</v>
      </c>
      <c r="P346" s="32">
        <f>P340</f>
        <v>458</v>
      </c>
      <c r="Q346" s="32">
        <f>Q340</f>
        <v>266</v>
      </c>
      <c r="R346" s="33">
        <f>R340</f>
        <v>142</v>
      </c>
      <c r="S346" s="86">
        <f>SUM(O346:R346)</f>
        <v>1206</v>
      </c>
      <c r="T346" s="31">
        <f>T340</f>
        <v>292</v>
      </c>
      <c r="U346" s="32">
        <f>U340</f>
        <v>401</v>
      </c>
      <c r="V346" s="32">
        <f>V340</f>
        <v>231</v>
      </c>
      <c r="W346" s="33">
        <f>W340</f>
        <v>113</v>
      </c>
      <c r="X346" s="80">
        <f>SUM(T346:W346)</f>
        <v>1037</v>
      </c>
      <c r="Y346" s="17">
        <f t="shared" ref="Y346:Y378" si="243">S346+X346</f>
        <v>2243</v>
      </c>
    </row>
    <row r="347" spans="1:27" x14ac:dyDescent="0.15">
      <c r="A347" s="59" t="s">
        <v>4</v>
      </c>
      <c r="B347" s="64">
        <v>20</v>
      </c>
      <c r="C347" s="65">
        <v>15</v>
      </c>
      <c r="D347" s="66">
        <v>10</v>
      </c>
      <c r="E347" s="67">
        <v>10</v>
      </c>
      <c r="F347" s="74">
        <f>SUM(B347:E347)</f>
        <v>55</v>
      </c>
      <c r="G347" s="65">
        <v>15</v>
      </c>
      <c r="H347" s="65">
        <v>15</v>
      </c>
      <c r="I347" s="66">
        <v>15</v>
      </c>
      <c r="J347" s="67">
        <v>10</v>
      </c>
      <c r="K347" s="74">
        <f>SUM(G347:J347)</f>
        <v>55</v>
      </c>
      <c r="L347" s="11">
        <f t="shared" ref="L347:L378" si="244">F347+K347</f>
        <v>110</v>
      </c>
      <c r="M347" s="69">
        <v>45238</v>
      </c>
      <c r="N347" s="59" t="s">
        <v>16</v>
      </c>
      <c r="O347" s="48"/>
      <c r="P347" s="49"/>
      <c r="Q347" s="50"/>
      <c r="R347" s="51"/>
      <c r="S347" s="85">
        <f>SUM(O347:R347)</f>
        <v>0</v>
      </c>
      <c r="T347" s="48"/>
      <c r="U347" s="49"/>
      <c r="V347" s="50"/>
      <c r="W347" s="51"/>
      <c r="X347" s="74">
        <f>SUM(T347:W347)</f>
        <v>0</v>
      </c>
      <c r="Y347" s="11">
        <f t="shared" si="243"/>
        <v>0</v>
      </c>
    </row>
    <row r="348" spans="1:27" x14ac:dyDescent="0.15">
      <c r="A348" s="59" t="s">
        <v>5</v>
      </c>
      <c r="B348" s="6">
        <v>10</v>
      </c>
      <c r="C348" s="22">
        <v>15</v>
      </c>
      <c r="D348" s="7">
        <v>5</v>
      </c>
      <c r="E348" s="8"/>
      <c r="F348" s="9">
        <f>SUM(B348:E348)</f>
        <v>30</v>
      </c>
      <c r="G348" s="22">
        <v>5</v>
      </c>
      <c r="H348" s="22">
        <v>15</v>
      </c>
      <c r="I348" s="7">
        <v>5</v>
      </c>
      <c r="J348" s="8"/>
      <c r="K348" s="9">
        <f>SUM(G348:J348)</f>
        <v>25</v>
      </c>
      <c r="L348" s="11">
        <f t="shared" ref="L348:L349" si="245">F348+K348</f>
        <v>55</v>
      </c>
      <c r="M348" s="69">
        <v>45243</v>
      </c>
      <c r="N348" s="59" t="s">
        <v>4</v>
      </c>
      <c r="O348" s="48"/>
      <c r="P348" s="49"/>
      <c r="Q348" s="50"/>
      <c r="R348" s="51">
        <v>150</v>
      </c>
      <c r="S348" s="85">
        <f>SUM(O348:R348)</f>
        <v>150</v>
      </c>
      <c r="T348" s="48"/>
      <c r="U348" s="49"/>
      <c r="V348" s="50"/>
      <c r="W348" s="51">
        <v>150</v>
      </c>
      <c r="X348" s="74">
        <f>SUM(T348:W348)</f>
        <v>150</v>
      </c>
      <c r="Y348" s="11">
        <f t="shared" si="243"/>
        <v>300</v>
      </c>
      <c r="Z348" s="69" t="s">
        <v>285</v>
      </c>
      <c r="AA348" s="41"/>
    </row>
    <row r="349" spans="1:27" x14ac:dyDescent="0.15">
      <c r="A349" s="13" t="s">
        <v>192</v>
      </c>
      <c r="B349" s="6">
        <v>1</v>
      </c>
      <c r="C349" s="22"/>
      <c r="D349" s="7"/>
      <c r="E349" s="8"/>
      <c r="F349" s="9">
        <f>SUM(B349:E349)</f>
        <v>1</v>
      </c>
      <c r="G349" s="22"/>
      <c r="H349" s="22"/>
      <c r="I349" s="7"/>
      <c r="J349" s="8"/>
      <c r="K349" s="9">
        <f>SUM(G349:J349)</f>
        <v>0</v>
      </c>
      <c r="L349" s="47">
        <f t="shared" si="245"/>
        <v>1</v>
      </c>
      <c r="M349" s="69">
        <v>45247</v>
      </c>
      <c r="N349" s="13" t="s">
        <v>5</v>
      </c>
      <c r="O349" s="20"/>
      <c r="P349" s="35"/>
      <c r="Q349" s="21"/>
      <c r="R349" s="24"/>
      <c r="S349" s="57">
        <f>SUM(O349:R349)</f>
        <v>0</v>
      </c>
      <c r="T349" s="35"/>
      <c r="U349" s="35"/>
      <c r="V349" s="21"/>
      <c r="W349" s="38"/>
      <c r="X349" s="9">
        <f>SUM(T349:W349)</f>
        <v>0</v>
      </c>
      <c r="Y349" s="11">
        <f t="shared" si="243"/>
        <v>0</v>
      </c>
      <c r="Z349" s="165"/>
    </row>
    <row r="350" spans="1:27" ht="14.25" thickBot="1" x14ac:dyDescent="0.2">
      <c r="A350" s="59" t="s">
        <v>269</v>
      </c>
      <c r="B350" s="64">
        <v>5</v>
      </c>
      <c r="C350" s="65">
        <v>15</v>
      </c>
      <c r="D350" s="66">
        <v>5</v>
      </c>
      <c r="E350" s="67"/>
      <c r="F350" s="60">
        <f>SUM(B350:E350)</f>
        <v>25</v>
      </c>
      <c r="G350" s="65">
        <v>10</v>
      </c>
      <c r="H350" s="65">
        <v>15</v>
      </c>
      <c r="I350" s="66">
        <v>5</v>
      </c>
      <c r="J350" s="67"/>
      <c r="K350" s="60">
        <f>SUM(G350:J350)</f>
        <v>30</v>
      </c>
      <c r="L350" s="14">
        <f t="shared" si="244"/>
        <v>55</v>
      </c>
      <c r="M350" s="69">
        <v>45248</v>
      </c>
      <c r="N350" s="13" t="s">
        <v>6</v>
      </c>
      <c r="O350" s="43"/>
      <c r="P350" s="44"/>
      <c r="Q350" s="45"/>
      <c r="R350" s="46"/>
      <c r="S350" s="58">
        <f>SUM(O350:R350)</f>
        <v>0</v>
      </c>
      <c r="T350" s="35"/>
      <c r="U350" s="35"/>
      <c r="V350" s="21"/>
      <c r="W350" s="38"/>
      <c r="X350" s="10">
        <f>SUM(T350:W350)</f>
        <v>0</v>
      </c>
      <c r="Y350" s="14">
        <f t="shared" si="243"/>
        <v>0</v>
      </c>
    </row>
    <row r="351" spans="1:27" ht="14.25" thickBot="1" x14ac:dyDescent="0.2">
      <c r="A351" s="18" t="s">
        <v>8</v>
      </c>
      <c r="B351" s="76">
        <f t="shared" ref="B351:K351" si="246">SUM(B346:B350)</f>
        <v>47</v>
      </c>
      <c r="C351" s="77">
        <f t="shared" si="246"/>
        <v>59</v>
      </c>
      <c r="D351" s="78">
        <f t="shared" si="246"/>
        <v>42</v>
      </c>
      <c r="E351" s="79">
        <f t="shared" si="246"/>
        <v>32</v>
      </c>
      <c r="F351" s="80">
        <f t="shared" si="246"/>
        <v>180</v>
      </c>
      <c r="G351" s="76">
        <f t="shared" si="246"/>
        <v>44</v>
      </c>
      <c r="H351" s="77">
        <f t="shared" si="246"/>
        <v>61</v>
      </c>
      <c r="I351" s="78">
        <f t="shared" si="246"/>
        <v>42</v>
      </c>
      <c r="J351" s="79">
        <f t="shared" si="246"/>
        <v>33</v>
      </c>
      <c r="K351" s="80">
        <f t="shared" si="246"/>
        <v>180</v>
      </c>
      <c r="L351" s="17">
        <f t="shared" si="244"/>
        <v>360</v>
      </c>
      <c r="N351" s="16" t="s">
        <v>8</v>
      </c>
      <c r="O351" s="31">
        <f t="shared" ref="O351:X351" si="247">SUM(O346:O350)</f>
        <v>340</v>
      </c>
      <c r="P351" s="37">
        <f t="shared" si="247"/>
        <v>458</v>
      </c>
      <c r="Q351" s="32">
        <f t="shared" si="247"/>
        <v>266</v>
      </c>
      <c r="R351" s="82">
        <f t="shared" si="247"/>
        <v>292</v>
      </c>
      <c r="S351" s="83">
        <f t="shared" si="247"/>
        <v>1356</v>
      </c>
      <c r="T351" s="31">
        <f t="shared" si="247"/>
        <v>292</v>
      </c>
      <c r="U351" s="37">
        <f t="shared" si="247"/>
        <v>401</v>
      </c>
      <c r="V351" s="32">
        <f t="shared" si="247"/>
        <v>231</v>
      </c>
      <c r="W351" s="82">
        <f t="shared" si="247"/>
        <v>263</v>
      </c>
      <c r="X351" s="83">
        <f t="shared" si="247"/>
        <v>1187</v>
      </c>
      <c r="Y351" s="39">
        <f t="shared" si="243"/>
        <v>2543</v>
      </c>
    </row>
    <row r="352" spans="1:27" x14ac:dyDescent="0.15">
      <c r="A352" s="40" t="s">
        <v>257</v>
      </c>
      <c r="B352" s="48">
        <v>2</v>
      </c>
      <c r="C352" s="49"/>
      <c r="D352" s="50"/>
      <c r="E352" s="51"/>
      <c r="F352" s="52">
        <f t="shared" ref="F352:F376" si="248">SUM(B352:E352)</f>
        <v>2</v>
      </c>
      <c r="G352" s="48">
        <v>2</v>
      </c>
      <c r="H352" s="49"/>
      <c r="I352" s="50"/>
      <c r="J352" s="51"/>
      <c r="K352" s="52">
        <f t="shared" ref="K352:K376" si="249">SUM(G352:J352)</f>
        <v>2</v>
      </c>
      <c r="L352" s="11">
        <f t="shared" si="244"/>
        <v>4</v>
      </c>
      <c r="M352" s="69">
        <v>45239</v>
      </c>
      <c r="N352" s="12" t="s">
        <v>271</v>
      </c>
      <c r="O352" s="20">
        <v>5</v>
      </c>
      <c r="P352" s="35">
        <v>5</v>
      </c>
      <c r="Q352" s="21"/>
      <c r="R352" s="38"/>
      <c r="S352" s="9">
        <f t="shared" ref="S352:S364" si="250">SUM(O352:R352)</f>
        <v>10</v>
      </c>
      <c r="T352" s="20"/>
      <c r="U352" s="35">
        <v>5</v>
      </c>
      <c r="V352" s="21"/>
      <c r="W352" s="38"/>
      <c r="X352" s="98">
        <f t="shared" ref="X352:X364" si="251">SUM(T352:W352)</f>
        <v>5</v>
      </c>
      <c r="Y352" s="11">
        <f t="shared" si="243"/>
        <v>15</v>
      </c>
      <c r="Z352" s="69">
        <v>45259</v>
      </c>
      <c r="AA352" s="41"/>
    </row>
    <row r="353" spans="1:27" x14ac:dyDescent="0.15">
      <c r="A353" s="59" t="s">
        <v>27</v>
      </c>
      <c r="B353" s="20"/>
      <c r="C353" s="35"/>
      <c r="D353" s="21">
        <v>1</v>
      </c>
      <c r="E353" s="24"/>
      <c r="F353" s="25">
        <f t="shared" si="248"/>
        <v>1</v>
      </c>
      <c r="G353" s="20"/>
      <c r="H353" s="35"/>
      <c r="I353" s="21">
        <v>1</v>
      </c>
      <c r="J353" s="24">
        <v>1</v>
      </c>
      <c r="K353" s="25">
        <f t="shared" si="249"/>
        <v>2</v>
      </c>
      <c r="L353" s="11">
        <f t="shared" si="244"/>
        <v>3</v>
      </c>
      <c r="M353" s="71">
        <v>45238</v>
      </c>
      <c r="N353" s="40" t="s">
        <v>26</v>
      </c>
      <c r="O353" s="20">
        <v>5</v>
      </c>
      <c r="P353" s="35">
        <v>5</v>
      </c>
      <c r="Q353" s="21"/>
      <c r="R353" s="38">
        <v>5</v>
      </c>
      <c r="S353" s="9">
        <f>SUM(O353:R353)</f>
        <v>15</v>
      </c>
      <c r="T353" s="20">
        <v>5</v>
      </c>
      <c r="U353" s="35">
        <v>5</v>
      </c>
      <c r="V353" s="21"/>
      <c r="W353" s="38">
        <v>5</v>
      </c>
      <c r="X353" s="9">
        <f>SUM(T353:W353)</f>
        <v>15</v>
      </c>
      <c r="Y353" s="11">
        <f t="shared" si="243"/>
        <v>30</v>
      </c>
      <c r="Z353" s="69">
        <v>45254</v>
      </c>
    </row>
    <row r="354" spans="1:27" x14ac:dyDescent="0.15">
      <c r="A354" s="59" t="s">
        <v>258</v>
      </c>
      <c r="B354" s="20">
        <v>1</v>
      </c>
      <c r="C354" s="35">
        <v>3</v>
      </c>
      <c r="D354" s="21">
        <v>1</v>
      </c>
      <c r="E354" s="24">
        <v>1</v>
      </c>
      <c r="F354" s="25">
        <f t="shared" si="248"/>
        <v>6</v>
      </c>
      <c r="G354" s="20">
        <v>1</v>
      </c>
      <c r="H354" s="35">
        <v>3</v>
      </c>
      <c r="I354" s="21">
        <v>2</v>
      </c>
      <c r="J354" s="24">
        <v>1</v>
      </c>
      <c r="K354" s="25">
        <f t="shared" si="249"/>
        <v>7</v>
      </c>
      <c r="L354" s="11">
        <f t="shared" si="244"/>
        <v>13</v>
      </c>
      <c r="M354" s="69">
        <v>45239</v>
      </c>
      <c r="N354" s="12" t="s">
        <v>278</v>
      </c>
      <c r="O354" s="20"/>
      <c r="P354" s="35"/>
      <c r="Q354" s="21">
        <v>5</v>
      </c>
      <c r="R354" s="38">
        <v>10</v>
      </c>
      <c r="S354" s="9">
        <f t="shared" si="250"/>
        <v>15</v>
      </c>
      <c r="T354" s="20"/>
      <c r="U354" s="35"/>
      <c r="V354" s="21">
        <v>5</v>
      </c>
      <c r="W354" s="38">
        <v>10</v>
      </c>
      <c r="X354" s="9">
        <f t="shared" si="251"/>
        <v>15</v>
      </c>
      <c r="Y354" s="11">
        <f t="shared" si="243"/>
        <v>30</v>
      </c>
      <c r="Z354" s="69">
        <v>45259</v>
      </c>
    </row>
    <row r="355" spans="1:27" x14ac:dyDescent="0.15">
      <c r="A355" s="40" t="s">
        <v>260</v>
      </c>
      <c r="B355" s="20"/>
      <c r="C355" s="35">
        <v>1</v>
      </c>
      <c r="D355" s="21"/>
      <c r="E355" s="24"/>
      <c r="F355" s="25">
        <f t="shared" si="248"/>
        <v>1</v>
      </c>
      <c r="G355" s="20"/>
      <c r="H355" s="35">
        <v>1</v>
      </c>
      <c r="I355" s="21"/>
      <c r="J355" s="24"/>
      <c r="K355" s="25">
        <f t="shared" si="249"/>
        <v>1</v>
      </c>
      <c r="L355" s="11">
        <f t="shared" si="244"/>
        <v>2</v>
      </c>
      <c r="M355" s="69">
        <v>45240</v>
      </c>
      <c r="N355" s="12" t="s">
        <v>279</v>
      </c>
      <c r="O355" s="20">
        <v>20</v>
      </c>
      <c r="P355" s="35">
        <v>55</v>
      </c>
      <c r="Q355" s="21">
        <v>40</v>
      </c>
      <c r="R355" s="38">
        <v>35</v>
      </c>
      <c r="S355" s="9">
        <f t="shared" si="250"/>
        <v>150</v>
      </c>
      <c r="T355" s="20">
        <v>20</v>
      </c>
      <c r="U355" s="35">
        <v>55</v>
      </c>
      <c r="V355" s="21">
        <v>40</v>
      </c>
      <c r="W355" s="38">
        <v>35</v>
      </c>
      <c r="X355" s="9">
        <f t="shared" si="251"/>
        <v>150</v>
      </c>
      <c r="Y355" s="11">
        <f t="shared" si="243"/>
        <v>300</v>
      </c>
      <c r="Z355" s="69">
        <v>45260</v>
      </c>
    </row>
    <row r="356" spans="1:27" x14ac:dyDescent="0.15">
      <c r="A356" s="59" t="s">
        <v>27</v>
      </c>
      <c r="B356" s="20">
        <f>1+1</f>
        <v>2</v>
      </c>
      <c r="C356" s="35">
        <v>5</v>
      </c>
      <c r="D356" s="21">
        <v>1</v>
      </c>
      <c r="E356" s="24"/>
      <c r="F356" s="25">
        <f t="shared" si="248"/>
        <v>8</v>
      </c>
      <c r="G356" s="20">
        <f>1+1</f>
        <v>2</v>
      </c>
      <c r="H356" s="35">
        <v>7</v>
      </c>
      <c r="I356" s="21">
        <v>2</v>
      </c>
      <c r="J356" s="24"/>
      <c r="K356" s="25">
        <f t="shared" si="249"/>
        <v>11</v>
      </c>
      <c r="L356" s="11">
        <f t="shared" si="244"/>
        <v>19</v>
      </c>
      <c r="M356" s="69">
        <v>45239</v>
      </c>
      <c r="N356" s="12" t="s">
        <v>281</v>
      </c>
      <c r="O356" s="20">
        <v>10</v>
      </c>
      <c r="P356" s="35">
        <v>25</v>
      </c>
      <c r="Q356" s="21">
        <v>10</v>
      </c>
      <c r="R356" s="38">
        <v>10</v>
      </c>
      <c r="S356" s="9">
        <f t="shared" si="250"/>
        <v>55</v>
      </c>
      <c r="T356" s="20">
        <v>10</v>
      </c>
      <c r="U356" s="35">
        <v>25</v>
      </c>
      <c r="V356" s="21">
        <v>10</v>
      </c>
      <c r="W356" s="38">
        <v>10</v>
      </c>
      <c r="X356" s="9">
        <f t="shared" si="251"/>
        <v>55</v>
      </c>
      <c r="Y356" s="11">
        <f t="shared" si="243"/>
        <v>110</v>
      </c>
      <c r="Z356" s="69">
        <v>45261</v>
      </c>
    </row>
    <row r="357" spans="1:27" x14ac:dyDescent="0.15">
      <c r="A357" s="59" t="s">
        <v>268</v>
      </c>
      <c r="B357" s="20"/>
      <c r="C357" s="35">
        <v>-1</v>
      </c>
      <c r="D357" s="21"/>
      <c r="E357" s="24"/>
      <c r="F357" s="25">
        <f t="shared" si="248"/>
        <v>-1</v>
      </c>
      <c r="G357" s="20">
        <v>-1</v>
      </c>
      <c r="H357" s="35"/>
      <c r="I357" s="21"/>
      <c r="J357" s="24"/>
      <c r="K357" s="25">
        <f t="shared" si="249"/>
        <v>-1</v>
      </c>
      <c r="L357" s="11">
        <f t="shared" si="244"/>
        <v>-2</v>
      </c>
      <c r="M357" s="71">
        <v>45240</v>
      </c>
      <c r="N357" s="40" t="s">
        <v>26</v>
      </c>
      <c r="O357" s="20">
        <v>14</v>
      </c>
      <c r="P357" s="35">
        <v>10</v>
      </c>
      <c r="Q357" s="21">
        <v>5</v>
      </c>
      <c r="R357" s="38">
        <v>10</v>
      </c>
      <c r="S357" s="9">
        <f>SUM(O357:R357)</f>
        <v>39</v>
      </c>
      <c r="T357" s="20">
        <v>15</v>
      </c>
      <c r="U357" s="35">
        <v>14</v>
      </c>
      <c r="V357" s="21">
        <v>10</v>
      </c>
      <c r="W357" s="38">
        <v>10</v>
      </c>
      <c r="X357" s="9">
        <f>SUM(T357:W357)</f>
        <v>49</v>
      </c>
      <c r="Y357" s="11">
        <f t="shared" si="243"/>
        <v>88</v>
      </c>
      <c r="Z357" s="69">
        <v>45260</v>
      </c>
      <c r="AA357" s="41"/>
    </row>
    <row r="358" spans="1:27" x14ac:dyDescent="0.15">
      <c r="A358" s="59" t="s">
        <v>27</v>
      </c>
      <c r="B358" s="20"/>
      <c r="C358" s="35">
        <v>5</v>
      </c>
      <c r="D358" s="21"/>
      <c r="E358" s="24"/>
      <c r="F358" s="25">
        <f t="shared" ref="F358:F367" si="252">SUM(B358:E358)</f>
        <v>5</v>
      </c>
      <c r="G358" s="20">
        <v>1</v>
      </c>
      <c r="H358" s="35">
        <v>4</v>
      </c>
      <c r="I358" s="21"/>
      <c r="J358" s="24"/>
      <c r="K358" s="25">
        <f t="shared" ref="K358:K367" si="253">SUM(G358:J358)</f>
        <v>5</v>
      </c>
      <c r="L358" s="11">
        <f t="shared" ref="L358:L367" si="254">F358+K358</f>
        <v>10</v>
      </c>
      <c r="M358" s="71">
        <v>45240</v>
      </c>
      <c r="N358" s="12" t="s">
        <v>283</v>
      </c>
      <c r="O358" s="20">
        <v>5</v>
      </c>
      <c r="P358" s="35"/>
      <c r="Q358" s="21">
        <v>5</v>
      </c>
      <c r="R358" s="38">
        <v>5</v>
      </c>
      <c r="S358" s="9">
        <f t="shared" si="250"/>
        <v>15</v>
      </c>
      <c r="T358" s="20">
        <v>5</v>
      </c>
      <c r="U358" s="35"/>
      <c r="V358" s="21">
        <v>5</v>
      </c>
      <c r="W358" s="38">
        <v>5</v>
      </c>
      <c r="X358" s="9">
        <f t="shared" si="251"/>
        <v>15</v>
      </c>
      <c r="Y358" s="11">
        <f t="shared" si="243"/>
        <v>30</v>
      </c>
      <c r="Z358" s="69">
        <v>45262</v>
      </c>
      <c r="AA358" s="41"/>
    </row>
    <row r="359" spans="1:27" x14ac:dyDescent="0.15">
      <c r="A359" s="40" t="s">
        <v>263</v>
      </c>
      <c r="B359" s="20"/>
      <c r="C359" s="35">
        <v>2</v>
      </c>
      <c r="D359" s="21"/>
      <c r="E359" s="24"/>
      <c r="F359" s="25">
        <f t="shared" si="252"/>
        <v>2</v>
      </c>
      <c r="G359" s="20"/>
      <c r="H359" s="35">
        <v>2</v>
      </c>
      <c r="I359" s="21"/>
      <c r="J359" s="24"/>
      <c r="K359" s="25">
        <f t="shared" si="253"/>
        <v>2</v>
      </c>
      <c r="L359" s="11">
        <f t="shared" si="254"/>
        <v>4</v>
      </c>
      <c r="M359" s="69">
        <v>45244</v>
      </c>
      <c r="N359" s="40" t="s">
        <v>284</v>
      </c>
      <c r="O359" s="20"/>
      <c r="P359" s="35">
        <v>5</v>
      </c>
      <c r="Q359" s="21">
        <v>5</v>
      </c>
      <c r="R359" s="38"/>
      <c r="S359" s="9">
        <f t="shared" si="250"/>
        <v>10</v>
      </c>
      <c r="T359" s="20"/>
      <c r="U359" s="35">
        <v>5</v>
      </c>
      <c r="V359" s="21">
        <v>5</v>
      </c>
      <c r="W359" s="38"/>
      <c r="X359" s="9">
        <f t="shared" si="251"/>
        <v>10</v>
      </c>
      <c r="Y359" s="11">
        <f t="shared" si="243"/>
        <v>20</v>
      </c>
      <c r="Z359" s="69">
        <v>45267</v>
      </c>
    </row>
    <row r="360" spans="1:27" x14ac:dyDescent="0.15">
      <c r="A360" s="59" t="s">
        <v>32</v>
      </c>
      <c r="B360" s="20"/>
      <c r="C360" s="35"/>
      <c r="D360" s="21"/>
      <c r="E360" s="24"/>
      <c r="F360" s="25">
        <f t="shared" si="252"/>
        <v>0</v>
      </c>
      <c r="G360" s="20">
        <v>1</v>
      </c>
      <c r="H360" s="35"/>
      <c r="I360" s="21"/>
      <c r="J360" s="24"/>
      <c r="K360" s="25">
        <f t="shared" si="253"/>
        <v>1</v>
      </c>
      <c r="L360" s="11">
        <f t="shared" si="254"/>
        <v>1</v>
      </c>
      <c r="M360" s="69">
        <v>45243</v>
      </c>
      <c r="N360" s="40"/>
      <c r="O360" s="20"/>
      <c r="P360" s="35"/>
      <c r="Q360" s="21"/>
      <c r="R360" s="38"/>
      <c r="S360" s="9">
        <f t="shared" si="250"/>
        <v>0</v>
      </c>
      <c r="T360" s="20"/>
      <c r="U360" s="35"/>
      <c r="V360" s="21"/>
      <c r="W360" s="38"/>
      <c r="X360" s="9">
        <f t="shared" si="251"/>
        <v>0</v>
      </c>
      <c r="Y360" s="11">
        <f t="shared" si="243"/>
        <v>0</v>
      </c>
    </row>
    <row r="361" spans="1:27" x14ac:dyDescent="0.15">
      <c r="A361" s="59" t="s">
        <v>27</v>
      </c>
      <c r="B361" s="20">
        <v>6</v>
      </c>
      <c r="C361" s="35">
        <f>1+1</f>
        <v>2</v>
      </c>
      <c r="D361" s="21">
        <f>1+1</f>
        <v>2</v>
      </c>
      <c r="E361" s="24"/>
      <c r="F361" s="25">
        <f t="shared" si="252"/>
        <v>10</v>
      </c>
      <c r="G361" s="20">
        <v>6</v>
      </c>
      <c r="H361" s="35">
        <f>1+2</f>
        <v>3</v>
      </c>
      <c r="I361" s="21">
        <v>7</v>
      </c>
      <c r="J361" s="24"/>
      <c r="K361" s="25">
        <f t="shared" si="253"/>
        <v>16</v>
      </c>
      <c r="L361" s="11">
        <f t="shared" si="254"/>
        <v>26</v>
      </c>
      <c r="M361" s="71">
        <v>45243</v>
      </c>
      <c r="N361" s="40"/>
      <c r="O361" s="20"/>
      <c r="P361" s="35"/>
      <c r="Q361" s="21"/>
      <c r="R361" s="38"/>
      <c r="S361" s="9">
        <f t="shared" si="250"/>
        <v>0</v>
      </c>
      <c r="T361" s="20"/>
      <c r="U361" s="35"/>
      <c r="V361" s="21"/>
      <c r="W361" s="38"/>
      <c r="X361" s="9">
        <f t="shared" si="251"/>
        <v>0</v>
      </c>
      <c r="Y361" s="11">
        <f t="shared" si="243"/>
        <v>0</v>
      </c>
    </row>
    <row r="362" spans="1:27" x14ac:dyDescent="0.15">
      <c r="A362" s="40" t="s">
        <v>264</v>
      </c>
      <c r="B362" s="20"/>
      <c r="C362" s="35">
        <v>4</v>
      </c>
      <c r="D362" s="21"/>
      <c r="E362" s="24"/>
      <c r="F362" s="25">
        <f t="shared" si="252"/>
        <v>4</v>
      </c>
      <c r="G362" s="20"/>
      <c r="H362" s="35">
        <v>4</v>
      </c>
      <c r="I362" s="21"/>
      <c r="J362" s="24"/>
      <c r="K362" s="25">
        <f t="shared" si="253"/>
        <v>4</v>
      </c>
      <c r="L362" s="11">
        <f t="shared" si="254"/>
        <v>8</v>
      </c>
      <c r="M362" s="69">
        <v>45245</v>
      </c>
      <c r="N362" s="40"/>
      <c r="O362" s="20"/>
      <c r="P362" s="35"/>
      <c r="Q362" s="21"/>
      <c r="R362" s="38"/>
      <c r="S362" s="9">
        <f t="shared" si="250"/>
        <v>0</v>
      </c>
      <c r="T362" s="20"/>
      <c r="U362" s="35"/>
      <c r="V362" s="21"/>
      <c r="W362" s="38"/>
      <c r="X362" s="9">
        <f t="shared" si="251"/>
        <v>0</v>
      </c>
      <c r="Y362" s="11">
        <f t="shared" si="243"/>
        <v>0</v>
      </c>
    </row>
    <row r="363" spans="1:27" x14ac:dyDescent="0.15">
      <c r="A363" s="40" t="s">
        <v>265</v>
      </c>
      <c r="B363" s="20"/>
      <c r="C363" s="35">
        <v>1</v>
      </c>
      <c r="D363" s="21"/>
      <c r="E363" s="24"/>
      <c r="F363" s="25">
        <f t="shared" si="252"/>
        <v>1</v>
      </c>
      <c r="G363" s="20"/>
      <c r="H363" s="35">
        <v>1</v>
      </c>
      <c r="I363" s="21"/>
      <c r="J363" s="24"/>
      <c r="K363" s="25">
        <f t="shared" si="253"/>
        <v>1</v>
      </c>
      <c r="L363" s="11">
        <f t="shared" si="254"/>
        <v>2</v>
      </c>
      <c r="M363" s="69">
        <v>45247</v>
      </c>
      <c r="N363" s="40"/>
      <c r="O363" s="20"/>
      <c r="P363" s="35"/>
      <c r="Q363" s="21"/>
      <c r="R363" s="38"/>
      <c r="S363" s="9">
        <f t="shared" si="250"/>
        <v>0</v>
      </c>
      <c r="T363" s="20"/>
      <c r="U363" s="35"/>
      <c r="V363" s="21"/>
      <c r="W363" s="38"/>
      <c r="X363" s="9">
        <f t="shared" si="251"/>
        <v>0</v>
      </c>
      <c r="Y363" s="11">
        <f t="shared" si="243"/>
        <v>0</v>
      </c>
    </row>
    <row r="364" spans="1:27" x14ac:dyDescent="0.15">
      <c r="A364" s="59" t="s">
        <v>258</v>
      </c>
      <c r="B364" s="20">
        <v>1</v>
      </c>
      <c r="C364" s="35">
        <v>2</v>
      </c>
      <c r="D364" s="21">
        <v>1</v>
      </c>
      <c r="E364" s="24">
        <v>1</v>
      </c>
      <c r="F364" s="25">
        <f t="shared" si="252"/>
        <v>5</v>
      </c>
      <c r="G364" s="20">
        <v>3</v>
      </c>
      <c r="H364" s="35">
        <v>2</v>
      </c>
      <c r="I364" s="21">
        <v>1</v>
      </c>
      <c r="J364" s="24">
        <v>1</v>
      </c>
      <c r="K364" s="25">
        <f t="shared" si="253"/>
        <v>7</v>
      </c>
      <c r="L364" s="11">
        <f t="shared" si="254"/>
        <v>12</v>
      </c>
      <c r="M364" s="69">
        <v>45246</v>
      </c>
      <c r="N364" s="40"/>
      <c r="O364" s="20"/>
      <c r="P364" s="35"/>
      <c r="Q364" s="21"/>
      <c r="R364" s="38"/>
      <c r="S364" s="9">
        <f t="shared" si="250"/>
        <v>0</v>
      </c>
      <c r="T364" s="20"/>
      <c r="U364" s="35"/>
      <c r="V364" s="21"/>
      <c r="W364" s="38"/>
      <c r="X364" s="9">
        <f t="shared" si="251"/>
        <v>0</v>
      </c>
      <c r="Y364" s="11">
        <f t="shared" si="243"/>
        <v>0</v>
      </c>
    </row>
    <row r="365" spans="1:27" x14ac:dyDescent="0.15">
      <c r="A365" s="59" t="s">
        <v>27</v>
      </c>
      <c r="B365" s="20"/>
      <c r="C365" s="35"/>
      <c r="D365" s="21">
        <v>1</v>
      </c>
      <c r="E365" s="24"/>
      <c r="F365" s="25">
        <f t="shared" si="252"/>
        <v>1</v>
      </c>
      <c r="G365" s="20"/>
      <c r="H365" s="35"/>
      <c r="I365" s="21">
        <v>1</v>
      </c>
      <c r="J365" s="24"/>
      <c r="K365" s="25">
        <f t="shared" si="253"/>
        <v>1</v>
      </c>
      <c r="L365" s="11">
        <f t="shared" si="254"/>
        <v>2</v>
      </c>
      <c r="M365" s="69">
        <v>45245</v>
      </c>
      <c r="N365" s="12"/>
      <c r="O365" s="20"/>
      <c r="P365" s="35"/>
      <c r="Q365" s="21"/>
      <c r="R365" s="38"/>
      <c r="S365" s="9">
        <f>SUM(O365:R365)</f>
        <v>0</v>
      </c>
      <c r="T365" s="20"/>
      <c r="U365" s="35"/>
      <c r="V365" s="21"/>
      <c r="W365" s="38"/>
      <c r="X365" s="9">
        <f>SUM(T365:W365)</f>
        <v>0</v>
      </c>
      <c r="Y365" s="11">
        <f t="shared" si="243"/>
        <v>0</v>
      </c>
    </row>
    <row r="366" spans="1:27" x14ac:dyDescent="0.15">
      <c r="A366" s="40" t="s">
        <v>266</v>
      </c>
      <c r="B366" s="20">
        <v>2</v>
      </c>
      <c r="C366" s="35"/>
      <c r="D366" s="21"/>
      <c r="E366" s="24"/>
      <c r="F366" s="25">
        <f t="shared" si="252"/>
        <v>2</v>
      </c>
      <c r="G366" s="20">
        <v>2</v>
      </c>
      <c r="H366" s="35"/>
      <c r="I366" s="21"/>
      <c r="J366" s="24"/>
      <c r="K366" s="25">
        <f t="shared" si="253"/>
        <v>2</v>
      </c>
      <c r="L366" s="11">
        <f t="shared" si="254"/>
        <v>4</v>
      </c>
      <c r="M366" s="69">
        <v>45250</v>
      </c>
      <c r="N366" s="40"/>
      <c r="O366" s="20"/>
      <c r="P366" s="35"/>
      <c r="Q366" s="21"/>
      <c r="R366" s="38"/>
      <c r="S366" s="9">
        <f t="shared" ref="S366:S377" si="255">SUM(O366:R366)</f>
        <v>0</v>
      </c>
      <c r="T366" s="20"/>
      <c r="U366" s="35"/>
      <c r="V366" s="21"/>
      <c r="W366" s="38"/>
      <c r="X366" s="9">
        <f t="shared" ref="X366:X377" si="256">SUM(T366:W366)</f>
        <v>0</v>
      </c>
      <c r="Y366" s="11">
        <f t="shared" si="243"/>
        <v>0</v>
      </c>
    </row>
    <row r="367" spans="1:27" x14ac:dyDescent="0.15">
      <c r="A367" s="59" t="s">
        <v>27</v>
      </c>
      <c r="B367" s="20"/>
      <c r="C367" s="35">
        <v>4</v>
      </c>
      <c r="D367" s="21"/>
      <c r="E367" s="24"/>
      <c r="F367" s="25">
        <f t="shared" si="252"/>
        <v>4</v>
      </c>
      <c r="G367" s="20"/>
      <c r="H367" s="35">
        <v>2</v>
      </c>
      <c r="I367" s="21"/>
      <c r="J367" s="24"/>
      <c r="K367" s="25">
        <f t="shared" si="253"/>
        <v>2</v>
      </c>
      <c r="L367" s="11">
        <f t="shared" si="254"/>
        <v>6</v>
      </c>
      <c r="M367" s="69">
        <v>45246</v>
      </c>
      <c r="N367" s="15"/>
      <c r="O367" s="20"/>
      <c r="P367" s="35"/>
      <c r="Q367" s="21"/>
      <c r="R367" s="38"/>
      <c r="S367" s="9">
        <f t="shared" si="255"/>
        <v>0</v>
      </c>
      <c r="T367" s="20"/>
      <c r="U367" s="35"/>
      <c r="V367" s="21"/>
      <c r="W367" s="38"/>
      <c r="X367" s="9">
        <f t="shared" si="256"/>
        <v>0</v>
      </c>
      <c r="Y367" s="11">
        <f t="shared" si="243"/>
        <v>0</v>
      </c>
    </row>
    <row r="368" spans="1:27" x14ac:dyDescent="0.15">
      <c r="A368" s="40" t="s">
        <v>267</v>
      </c>
      <c r="B368" s="20">
        <v>1</v>
      </c>
      <c r="C368" s="35"/>
      <c r="D368" s="21"/>
      <c r="E368" s="24"/>
      <c r="F368" s="25">
        <f t="shared" ref="F368:F369" si="257">SUM(B368:E368)</f>
        <v>1</v>
      </c>
      <c r="G368" s="20">
        <v>1</v>
      </c>
      <c r="H368" s="35"/>
      <c r="I368" s="21"/>
      <c r="J368" s="24"/>
      <c r="K368" s="25">
        <f t="shared" ref="K368:K369" si="258">SUM(G368:J368)</f>
        <v>1</v>
      </c>
      <c r="L368" s="11">
        <f t="shared" ref="L368:L369" si="259">F368+K368</f>
        <v>2</v>
      </c>
      <c r="M368" s="69">
        <v>45250</v>
      </c>
      <c r="N368" s="40"/>
      <c r="O368" s="20"/>
      <c r="P368" s="35"/>
      <c r="Q368" s="21"/>
      <c r="R368" s="38"/>
      <c r="S368" s="9">
        <f t="shared" si="255"/>
        <v>0</v>
      </c>
      <c r="T368" s="20"/>
      <c r="U368" s="35"/>
      <c r="V368" s="21"/>
      <c r="W368" s="38"/>
      <c r="X368" s="9">
        <f t="shared" si="256"/>
        <v>0</v>
      </c>
      <c r="Y368" s="11">
        <f t="shared" si="243"/>
        <v>0</v>
      </c>
    </row>
    <row r="369" spans="1:26" x14ac:dyDescent="0.15">
      <c r="A369" s="59" t="s">
        <v>27</v>
      </c>
      <c r="B369" s="20"/>
      <c r="C369" s="35">
        <v>1</v>
      </c>
      <c r="D369" s="21"/>
      <c r="E369" s="24"/>
      <c r="F369" s="25">
        <f t="shared" si="257"/>
        <v>1</v>
      </c>
      <c r="G369" s="20"/>
      <c r="H369" s="35">
        <v>1</v>
      </c>
      <c r="I369" s="21"/>
      <c r="J369" s="24"/>
      <c r="K369" s="25">
        <f t="shared" si="258"/>
        <v>1</v>
      </c>
      <c r="L369" s="11">
        <f t="shared" si="259"/>
        <v>2</v>
      </c>
      <c r="M369" s="71">
        <v>45247</v>
      </c>
      <c r="N369" s="40"/>
      <c r="O369" s="48"/>
      <c r="P369" s="49"/>
      <c r="Q369" s="50"/>
      <c r="R369" s="72"/>
      <c r="S369" s="74">
        <f t="shared" si="255"/>
        <v>0</v>
      </c>
      <c r="T369" s="48"/>
      <c r="U369" s="49"/>
      <c r="V369" s="50"/>
      <c r="W369" s="72"/>
      <c r="X369" s="74">
        <f t="shared" si="256"/>
        <v>0</v>
      </c>
      <c r="Y369" s="11">
        <f t="shared" si="243"/>
        <v>0</v>
      </c>
    </row>
    <row r="370" spans="1:26" x14ac:dyDescent="0.15">
      <c r="A370" s="40" t="s">
        <v>270</v>
      </c>
      <c r="B370" s="20">
        <v>1</v>
      </c>
      <c r="C370" s="35">
        <v>1</v>
      </c>
      <c r="D370" s="21"/>
      <c r="E370" s="24"/>
      <c r="F370" s="25">
        <f t="shared" si="248"/>
        <v>2</v>
      </c>
      <c r="G370" s="20">
        <v>1</v>
      </c>
      <c r="H370" s="35">
        <v>1</v>
      </c>
      <c r="I370" s="21"/>
      <c r="J370" s="24"/>
      <c r="K370" s="25">
        <f t="shared" si="249"/>
        <v>2</v>
      </c>
      <c r="L370" s="11">
        <f t="shared" si="244"/>
        <v>4</v>
      </c>
      <c r="M370" s="69">
        <v>45252</v>
      </c>
      <c r="N370" s="12"/>
      <c r="O370" s="20"/>
      <c r="P370" s="35"/>
      <c r="Q370" s="21"/>
      <c r="R370" s="38"/>
      <c r="S370" s="9">
        <f t="shared" si="255"/>
        <v>0</v>
      </c>
      <c r="T370" s="20"/>
      <c r="U370" s="35"/>
      <c r="V370" s="21"/>
      <c r="W370" s="38"/>
      <c r="X370" s="9">
        <f t="shared" si="256"/>
        <v>0</v>
      </c>
      <c r="Y370" s="47">
        <f t="shared" si="243"/>
        <v>0</v>
      </c>
    </row>
    <row r="371" spans="1:26" x14ac:dyDescent="0.15">
      <c r="A371" s="59" t="s">
        <v>27</v>
      </c>
      <c r="B371" s="20">
        <v>1</v>
      </c>
      <c r="C371" s="35"/>
      <c r="D371" s="21"/>
      <c r="E371" s="24"/>
      <c r="F371" s="25">
        <f t="shared" si="248"/>
        <v>1</v>
      </c>
      <c r="G371" s="20"/>
      <c r="H371" s="35"/>
      <c r="I371" s="21"/>
      <c r="J371" s="24"/>
      <c r="K371" s="25">
        <f t="shared" si="249"/>
        <v>0</v>
      </c>
      <c r="L371" s="11">
        <f t="shared" si="244"/>
        <v>1</v>
      </c>
      <c r="M371" s="69">
        <v>45250</v>
      </c>
      <c r="N371" s="12"/>
      <c r="O371" s="20"/>
      <c r="P371" s="35"/>
      <c r="Q371" s="21"/>
      <c r="R371" s="38"/>
      <c r="S371" s="9">
        <f t="shared" si="255"/>
        <v>0</v>
      </c>
      <c r="T371" s="20"/>
      <c r="U371" s="35"/>
      <c r="V371" s="21"/>
      <c r="W371" s="38"/>
      <c r="X371" s="9">
        <f t="shared" si="256"/>
        <v>0</v>
      </c>
      <c r="Y371" s="47">
        <f t="shared" si="243"/>
        <v>0</v>
      </c>
    </row>
    <row r="372" spans="1:26" x14ac:dyDescent="0.15">
      <c r="A372" s="40" t="s">
        <v>272</v>
      </c>
      <c r="B372" s="20"/>
      <c r="C372" s="35"/>
      <c r="D372" s="21"/>
      <c r="E372" s="24">
        <v>1</v>
      </c>
      <c r="F372" s="25">
        <f t="shared" si="248"/>
        <v>1</v>
      </c>
      <c r="G372" s="20"/>
      <c r="H372" s="35"/>
      <c r="I372" s="21"/>
      <c r="J372" s="24">
        <v>1</v>
      </c>
      <c r="K372" s="25">
        <f t="shared" si="249"/>
        <v>1</v>
      </c>
      <c r="L372" s="11">
        <f t="shared" si="244"/>
        <v>2</v>
      </c>
      <c r="M372" s="69">
        <v>45254</v>
      </c>
      <c r="N372" s="12"/>
      <c r="O372" s="20"/>
      <c r="P372" s="35"/>
      <c r="Q372" s="21"/>
      <c r="R372" s="38"/>
      <c r="S372" s="9">
        <f t="shared" ref="S372:S373" si="260">SUM(O372:R372)</f>
        <v>0</v>
      </c>
      <c r="T372" s="20"/>
      <c r="U372" s="35"/>
      <c r="V372" s="21"/>
      <c r="W372" s="38"/>
      <c r="X372" s="9">
        <f t="shared" ref="X372:X373" si="261">SUM(T372:W372)</f>
        <v>0</v>
      </c>
      <c r="Y372" s="47">
        <f t="shared" ref="Y372:Y373" si="262">S372+X372</f>
        <v>0</v>
      </c>
    </row>
    <row r="373" spans="1:26" x14ac:dyDescent="0.15">
      <c r="A373" s="59" t="s">
        <v>273</v>
      </c>
      <c r="B373" s="20"/>
      <c r="C373" s="35">
        <v>1</v>
      </c>
      <c r="D373" s="21"/>
      <c r="E373" s="24"/>
      <c r="F373" s="25">
        <f t="shared" si="248"/>
        <v>1</v>
      </c>
      <c r="G373" s="20"/>
      <c r="H373" s="35">
        <v>1</v>
      </c>
      <c r="I373" s="21"/>
      <c r="J373" s="24"/>
      <c r="K373" s="25">
        <f t="shared" si="249"/>
        <v>1</v>
      </c>
      <c r="L373" s="11">
        <f t="shared" si="244"/>
        <v>2</v>
      </c>
      <c r="M373" s="69">
        <v>45254</v>
      </c>
      <c r="N373" s="12"/>
      <c r="O373" s="20"/>
      <c r="P373" s="35"/>
      <c r="Q373" s="21"/>
      <c r="R373" s="38"/>
      <c r="S373" s="9">
        <f t="shared" si="260"/>
        <v>0</v>
      </c>
      <c r="T373" s="20"/>
      <c r="U373" s="35"/>
      <c r="V373" s="21"/>
      <c r="W373" s="38"/>
      <c r="X373" s="9">
        <f t="shared" si="261"/>
        <v>0</v>
      </c>
      <c r="Y373" s="47">
        <f t="shared" si="262"/>
        <v>0</v>
      </c>
    </row>
    <row r="374" spans="1:26" x14ac:dyDescent="0.15">
      <c r="A374" s="59" t="s">
        <v>27</v>
      </c>
      <c r="B374" s="20"/>
      <c r="C374" s="35">
        <v>1</v>
      </c>
      <c r="D374" s="21">
        <v>1</v>
      </c>
      <c r="E374" s="24"/>
      <c r="F374" s="25">
        <f t="shared" si="248"/>
        <v>2</v>
      </c>
      <c r="G374" s="20"/>
      <c r="H374" s="35">
        <v>1</v>
      </c>
      <c r="I374" s="21">
        <v>1</v>
      </c>
      <c r="J374" s="24"/>
      <c r="K374" s="25">
        <f t="shared" si="249"/>
        <v>2</v>
      </c>
      <c r="L374" s="11">
        <f t="shared" si="244"/>
        <v>4</v>
      </c>
      <c r="M374" s="69">
        <v>45251</v>
      </c>
      <c r="N374" s="104" t="s">
        <v>166</v>
      </c>
      <c r="O374" s="154"/>
      <c r="P374" s="155"/>
      <c r="Q374" s="156"/>
      <c r="R374" s="157"/>
      <c r="S374" s="158">
        <f t="shared" ref="S374:S376" si="263">SUM(O374:R374)</f>
        <v>0</v>
      </c>
      <c r="T374" s="154"/>
      <c r="U374" s="155"/>
      <c r="V374" s="156"/>
      <c r="W374" s="157"/>
      <c r="X374" s="158">
        <f t="shared" ref="X374:X376" si="264">SUM(T374:W374)</f>
        <v>0</v>
      </c>
      <c r="Y374" s="160">
        <f t="shared" ref="Y374:Y376" si="265">S374+X374</f>
        <v>0</v>
      </c>
      <c r="Z374" s="162"/>
    </row>
    <row r="375" spans="1:26" x14ac:dyDescent="0.15">
      <c r="A375" s="59" t="s">
        <v>274</v>
      </c>
      <c r="B375" s="20"/>
      <c r="C375" s="35">
        <v>1</v>
      </c>
      <c r="D375" s="21"/>
      <c r="E375" s="24"/>
      <c r="F375" s="25">
        <f t="shared" si="248"/>
        <v>1</v>
      </c>
      <c r="G375" s="20">
        <v>2</v>
      </c>
      <c r="H375" s="35">
        <v>1</v>
      </c>
      <c r="I375" s="21"/>
      <c r="J375" s="24"/>
      <c r="K375" s="25">
        <f t="shared" si="249"/>
        <v>3</v>
      </c>
      <c r="L375" s="11">
        <f t="shared" si="244"/>
        <v>4</v>
      </c>
      <c r="M375" s="69">
        <v>45251</v>
      </c>
      <c r="N375" s="12" t="s">
        <v>168</v>
      </c>
      <c r="O375" s="20"/>
      <c r="P375" s="35"/>
      <c r="Q375" s="21"/>
      <c r="R375" s="38"/>
      <c r="S375" s="9">
        <f t="shared" si="263"/>
        <v>0</v>
      </c>
      <c r="T375" s="20"/>
      <c r="U375" s="35"/>
      <c r="V375" s="21"/>
      <c r="W375" s="38"/>
      <c r="X375" s="9">
        <f t="shared" si="264"/>
        <v>0</v>
      </c>
      <c r="Y375" s="47">
        <f t="shared" si="265"/>
        <v>0</v>
      </c>
      <c r="Z375" s="162" t="s">
        <v>167</v>
      </c>
    </row>
    <row r="376" spans="1:26" ht="14.25" thickBot="1" x14ac:dyDescent="0.2">
      <c r="A376" s="15" t="s">
        <v>275</v>
      </c>
      <c r="B376" s="43"/>
      <c r="C376" s="44"/>
      <c r="D376" s="45">
        <v>-1</v>
      </c>
      <c r="E376" s="46"/>
      <c r="F376" s="25">
        <f t="shared" si="248"/>
        <v>-1</v>
      </c>
      <c r="G376" s="43"/>
      <c r="H376" s="44"/>
      <c r="I376" s="45">
        <v>-1</v>
      </c>
      <c r="J376" s="46"/>
      <c r="K376" s="25">
        <f t="shared" si="249"/>
        <v>-1</v>
      </c>
      <c r="L376" s="14">
        <f t="shared" si="244"/>
        <v>-2</v>
      </c>
      <c r="M376" s="71">
        <v>45251</v>
      </c>
      <c r="N376" s="99" t="s">
        <v>176</v>
      </c>
      <c r="O376" s="43"/>
      <c r="P376" s="44"/>
      <c r="Q376" s="45"/>
      <c r="R376" s="100"/>
      <c r="S376" s="10">
        <f t="shared" si="263"/>
        <v>0</v>
      </c>
      <c r="T376" s="43"/>
      <c r="U376" s="44"/>
      <c r="V376" s="45"/>
      <c r="W376" s="100"/>
      <c r="X376" s="10">
        <f t="shared" si="264"/>
        <v>0</v>
      </c>
      <c r="Y376" s="75">
        <f t="shared" si="265"/>
        <v>0</v>
      </c>
      <c r="Z376" s="162" t="s">
        <v>139</v>
      </c>
    </row>
    <row r="377" spans="1:26" ht="14.25" thickBot="1" x14ac:dyDescent="0.2">
      <c r="A377" s="16" t="s">
        <v>9</v>
      </c>
      <c r="B377" s="28">
        <f>SUM(B352:B376)</f>
        <v>17</v>
      </c>
      <c r="C377" s="36">
        <f>SUM(C352:C376)</f>
        <v>33</v>
      </c>
      <c r="D377" s="29">
        <f>SUM(D352:D376)</f>
        <v>7</v>
      </c>
      <c r="E377" s="30">
        <f>SUM(E352:E376)</f>
        <v>3</v>
      </c>
      <c r="F377" s="26">
        <f>SUM(B377:E377)</f>
        <v>60</v>
      </c>
      <c r="G377" s="28">
        <f>SUM(G352:G376)</f>
        <v>21</v>
      </c>
      <c r="H377" s="36">
        <f>SUM(H352:H376)</f>
        <v>34</v>
      </c>
      <c r="I377" s="29">
        <f>SUM(I352:I376)</f>
        <v>14</v>
      </c>
      <c r="J377" s="30">
        <f>SUM(J352:J376)</f>
        <v>4</v>
      </c>
      <c r="K377" s="26">
        <f>SUM(G377:J377)</f>
        <v>73</v>
      </c>
      <c r="L377" s="27">
        <f t="shared" si="244"/>
        <v>133</v>
      </c>
      <c r="N377" s="61" t="s">
        <v>9</v>
      </c>
      <c r="O377" s="28">
        <f>SUM(O352:O376)</f>
        <v>59</v>
      </c>
      <c r="P377" s="36">
        <f>SUM(P352:P376)</f>
        <v>105</v>
      </c>
      <c r="Q377" s="29">
        <f>SUM(Q352:Q376)</f>
        <v>70</v>
      </c>
      <c r="R377" s="30">
        <f>SUM(R352:R376)</f>
        <v>75</v>
      </c>
      <c r="S377" s="60">
        <f t="shared" si="255"/>
        <v>309</v>
      </c>
      <c r="T377" s="28">
        <f>SUM(T352:T376)</f>
        <v>55</v>
      </c>
      <c r="U377" s="36">
        <f>SUM(U352:U376)</f>
        <v>109</v>
      </c>
      <c r="V377" s="29">
        <f>SUM(V352:V376)</f>
        <v>75</v>
      </c>
      <c r="W377" s="30">
        <f>SUM(W352:W376)</f>
        <v>75</v>
      </c>
      <c r="X377" s="60">
        <f t="shared" si="256"/>
        <v>314</v>
      </c>
      <c r="Y377" s="63">
        <f t="shared" si="243"/>
        <v>623</v>
      </c>
    </row>
    <row r="378" spans="1:26" ht="14.25" thickBot="1" x14ac:dyDescent="0.2">
      <c r="A378" s="18" t="s">
        <v>10</v>
      </c>
      <c r="B378" s="31">
        <f t="shared" ref="B378:K378" si="266">B351-B377</f>
        <v>30</v>
      </c>
      <c r="C378" s="37">
        <f t="shared" si="266"/>
        <v>26</v>
      </c>
      <c r="D378" s="32">
        <f t="shared" si="266"/>
        <v>35</v>
      </c>
      <c r="E378" s="33">
        <f t="shared" si="266"/>
        <v>29</v>
      </c>
      <c r="F378" s="42">
        <f t="shared" si="266"/>
        <v>120</v>
      </c>
      <c r="G378" s="31">
        <f t="shared" si="266"/>
        <v>23</v>
      </c>
      <c r="H378" s="37">
        <f t="shared" si="266"/>
        <v>27</v>
      </c>
      <c r="I378" s="32">
        <f t="shared" si="266"/>
        <v>28</v>
      </c>
      <c r="J378" s="33">
        <f t="shared" si="266"/>
        <v>29</v>
      </c>
      <c r="K378" s="42">
        <f t="shared" si="266"/>
        <v>107</v>
      </c>
      <c r="L378" s="17">
        <f t="shared" si="244"/>
        <v>227</v>
      </c>
      <c r="N378" s="16" t="s">
        <v>10</v>
      </c>
      <c r="O378" s="31">
        <f t="shared" ref="O378:X378" si="267">O351-O377</f>
        <v>281</v>
      </c>
      <c r="P378" s="37">
        <f t="shared" si="267"/>
        <v>353</v>
      </c>
      <c r="Q378" s="32">
        <f t="shared" si="267"/>
        <v>196</v>
      </c>
      <c r="R378" s="33">
        <f t="shared" si="267"/>
        <v>217</v>
      </c>
      <c r="S378" s="42">
        <f t="shared" si="267"/>
        <v>1047</v>
      </c>
      <c r="T378" s="31">
        <f t="shared" si="267"/>
        <v>237</v>
      </c>
      <c r="U378" s="37">
        <f t="shared" si="267"/>
        <v>292</v>
      </c>
      <c r="V378" s="32">
        <f t="shared" si="267"/>
        <v>156</v>
      </c>
      <c r="W378" s="33">
        <f t="shared" si="267"/>
        <v>188</v>
      </c>
      <c r="X378" s="42">
        <f t="shared" si="267"/>
        <v>873</v>
      </c>
      <c r="Y378" s="17">
        <f t="shared" si="243"/>
        <v>1920</v>
      </c>
    </row>
    <row r="381" spans="1:26" ht="19.5" thickBot="1" x14ac:dyDescent="0.25">
      <c r="A381" s="2" t="s">
        <v>17</v>
      </c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N381" s="2" t="s">
        <v>18</v>
      </c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1"/>
    </row>
    <row r="382" spans="1:26" ht="14.25" thickBot="1" x14ac:dyDescent="0.2">
      <c r="A382" s="5" t="s">
        <v>0</v>
      </c>
      <c r="B382" s="244" t="s">
        <v>19</v>
      </c>
      <c r="C382" s="245"/>
      <c r="D382" s="245"/>
      <c r="E382" s="245"/>
      <c r="F382" s="246"/>
      <c r="G382" s="247" t="s">
        <v>20</v>
      </c>
      <c r="H382" s="248"/>
      <c r="I382" s="248"/>
      <c r="J382" s="248"/>
      <c r="K382" s="249"/>
      <c r="L382" s="250" t="s">
        <v>1</v>
      </c>
      <c r="N382" s="5" t="s">
        <v>0</v>
      </c>
      <c r="O382" s="244" t="s">
        <v>19</v>
      </c>
      <c r="P382" s="245"/>
      <c r="Q382" s="245"/>
      <c r="R382" s="245"/>
      <c r="S382" s="246"/>
      <c r="T382" s="247" t="s">
        <v>20</v>
      </c>
      <c r="U382" s="248"/>
      <c r="V382" s="248"/>
      <c r="W382" s="248"/>
      <c r="X382" s="249"/>
      <c r="Y382" s="250" t="s">
        <v>1</v>
      </c>
    </row>
    <row r="383" spans="1:26" ht="14.25" thickBot="1" x14ac:dyDescent="0.2">
      <c r="A383" s="5" t="s">
        <v>2</v>
      </c>
      <c r="B383" s="3" t="s">
        <v>11</v>
      </c>
      <c r="C383" s="34" t="s">
        <v>12</v>
      </c>
      <c r="D383" s="4" t="s">
        <v>13</v>
      </c>
      <c r="E383" s="19" t="s">
        <v>14</v>
      </c>
      <c r="F383" s="23" t="s">
        <v>3</v>
      </c>
      <c r="G383" s="3" t="s">
        <v>11</v>
      </c>
      <c r="H383" s="34" t="s">
        <v>12</v>
      </c>
      <c r="I383" s="4" t="s">
        <v>13</v>
      </c>
      <c r="J383" s="19" t="s">
        <v>14</v>
      </c>
      <c r="K383" s="23" t="s">
        <v>3</v>
      </c>
      <c r="L383" s="251"/>
      <c r="N383" s="5" t="s">
        <v>2</v>
      </c>
      <c r="O383" s="53" t="s">
        <v>11</v>
      </c>
      <c r="P383" s="54" t="s">
        <v>12</v>
      </c>
      <c r="Q383" s="55" t="s">
        <v>13</v>
      </c>
      <c r="R383" s="56" t="s">
        <v>14</v>
      </c>
      <c r="S383" s="23" t="s">
        <v>3</v>
      </c>
      <c r="T383" s="3" t="s">
        <v>11</v>
      </c>
      <c r="U383" s="34" t="s">
        <v>12</v>
      </c>
      <c r="V383" s="4" t="s">
        <v>13</v>
      </c>
      <c r="W383" s="19" t="s">
        <v>14</v>
      </c>
      <c r="X383" s="23" t="s">
        <v>3</v>
      </c>
      <c r="Y383" s="251"/>
    </row>
    <row r="384" spans="1:26" ht="14.25" thickBot="1" x14ac:dyDescent="0.2">
      <c r="A384" s="18" t="s">
        <v>15</v>
      </c>
      <c r="B384" s="31">
        <f>B378</f>
        <v>30</v>
      </c>
      <c r="C384" s="32">
        <f>C378</f>
        <v>26</v>
      </c>
      <c r="D384" s="32">
        <f>D378</f>
        <v>35</v>
      </c>
      <c r="E384" s="33">
        <f>E378</f>
        <v>29</v>
      </c>
      <c r="F384" s="86">
        <f>SUM(B384:E384)</f>
        <v>120</v>
      </c>
      <c r="G384" s="31">
        <f>G378</f>
        <v>23</v>
      </c>
      <c r="H384" s="32">
        <f>H378</f>
        <v>27</v>
      </c>
      <c r="I384" s="32">
        <f>I378</f>
        <v>28</v>
      </c>
      <c r="J384" s="33">
        <f>J378</f>
        <v>29</v>
      </c>
      <c r="K384" s="80">
        <f>SUM(G384:J384)</f>
        <v>107</v>
      </c>
      <c r="L384" s="17">
        <f>F384+K384</f>
        <v>227</v>
      </c>
      <c r="N384" s="18" t="s">
        <v>15</v>
      </c>
      <c r="O384" s="31">
        <f>O378</f>
        <v>281</v>
      </c>
      <c r="P384" s="32">
        <f>P378</f>
        <v>353</v>
      </c>
      <c r="Q384" s="32">
        <f>Q378</f>
        <v>196</v>
      </c>
      <c r="R384" s="33">
        <f>R378</f>
        <v>217</v>
      </c>
      <c r="S384" s="86">
        <f>SUM(O384:R384)</f>
        <v>1047</v>
      </c>
      <c r="T384" s="31">
        <f>T378</f>
        <v>237</v>
      </c>
      <c r="U384" s="32">
        <f>U378</f>
        <v>292</v>
      </c>
      <c r="V384" s="32">
        <f>V378</f>
        <v>156</v>
      </c>
      <c r="W384" s="33">
        <f>W378</f>
        <v>188</v>
      </c>
      <c r="X384" s="80">
        <f>SUM(T384:W384)</f>
        <v>873</v>
      </c>
      <c r="Y384" s="17">
        <f t="shared" ref="Y384:Y416" si="268">S384+X384</f>
        <v>1920</v>
      </c>
    </row>
    <row r="385" spans="1:27" x14ac:dyDescent="0.15">
      <c r="A385" s="59" t="s">
        <v>4</v>
      </c>
      <c r="B385" s="64">
        <v>5</v>
      </c>
      <c r="C385" s="65">
        <v>5</v>
      </c>
      <c r="D385" s="66"/>
      <c r="E385" s="67">
        <v>5</v>
      </c>
      <c r="F385" s="74">
        <f>SUM(B385:E385)</f>
        <v>15</v>
      </c>
      <c r="G385" s="65">
        <v>5</v>
      </c>
      <c r="H385" s="65">
        <v>5</v>
      </c>
      <c r="I385" s="66"/>
      <c r="J385" s="67">
        <v>5</v>
      </c>
      <c r="K385" s="74">
        <f>SUM(G385:J385)</f>
        <v>15</v>
      </c>
      <c r="L385" s="11">
        <f t="shared" ref="L385:L416" si="269">F385+K385</f>
        <v>30</v>
      </c>
      <c r="M385" s="69">
        <v>45254</v>
      </c>
      <c r="N385" s="59" t="s">
        <v>16</v>
      </c>
      <c r="O385" s="48"/>
      <c r="P385" s="49"/>
      <c r="Q385" s="50"/>
      <c r="R385" s="51"/>
      <c r="S385" s="85">
        <f>SUM(O385:R385)</f>
        <v>0</v>
      </c>
      <c r="T385" s="48"/>
      <c r="U385" s="49"/>
      <c r="V385" s="50"/>
      <c r="W385" s="51"/>
      <c r="X385" s="74">
        <f>SUM(T385:W385)</f>
        <v>0</v>
      </c>
      <c r="Y385" s="11">
        <f t="shared" si="268"/>
        <v>0</v>
      </c>
    </row>
    <row r="386" spans="1:27" x14ac:dyDescent="0.15">
      <c r="A386" s="13" t="s">
        <v>5</v>
      </c>
      <c r="B386" s="6">
        <v>14</v>
      </c>
      <c r="C386" s="22">
        <v>10</v>
      </c>
      <c r="D386" s="7">
        <v>5</v>
      </c>
      <c r="E386" s="8">
        <v>10</v>
      </c>
      <c r="F386" s="9">
        <f>SUM(B386:E386)</f>
        <v>39</v>
      </c>
      <c r="G386" s="22">
        <v>15</v>
      </c>
      <c r="H386" s="22">
        <v>14</v>
      </c>
      <c r="I386" s="7">
        <v>10</v>
      </c>
      <c r="J386" s="8">
        <v>10</v>
      </c>
      <c r="K386" s="9">
        <f>SUM(G386:J386)</f>
        <v>49</v>
      </c>
      <c r="L386" s="11">
        <f t="shared" si="269"/>
        <v>88</v>
      </c>
      <c r="M386" s="69">
        <v>45260</v>
      </c>
      <c r="N386" s="59" t="s">
        <v>4</v>
      </c>
      <c r="O386" s="48">
        <v>550</v>
      </c>
      <c r="P386" s="49">
        <v>650</v>
      </c>
      <c r="Q386" s="50">
        <v>500</v>
      </c>
      <c r="R386" s="51">
        <v>500</v>
      </c>
      <c r="S386" s="85">
        <f>SUM(O386:R386)</f>
        <v>2200</v>
      </c>
      <c r="T386" s="48">
        <v>560</v>
      </c>
      <c r="U386" s="49">
        <v>670</v>
      </c>
      <c r="V386" s="50">
        <v>470</v>
      </c>
      <c r="W386" s="51">
        <v>500</v>
      </c>
      <c r="X386" s="74">
        <f>SUM(T386:W386)</f>
        <v>2200</v>
      </c>
      <c r="Y386" s="11">
        <f t="shared" si="268"/>
        <v>4400</v>
      </c>
      <c r="Z386" s="69" t="s">
        <v>317</v>
      </c>
    </row>
    <row r="387" spans="1:27" x14ac:dyDescent="0.15">
      <c r="A387" s="13" t="s">
        <v>72</v>
      </c>
      <c r="B387" s="6"/>
      <c r="C387" s="22">
        <v>1</v>
      </c>
      <c r="D387" s="7">
        <v>1</v>
      </c>
      <c r="E387" s="8"/>
      <c r="F387" s="9">
        <f>SUM(B387:E387)</f>
        <v>2</v>
      </c>
      <c r="G387" s="22"/>
      <c r="H387" s="22">
        <v>1</v>
      </c>
      <c r="I387" s="7">
        <v>1</v>
      </c>
      <c r="J387" s="8"/>
      <c r="K387" s="9">
        <f>SUM(G387:J387)</f>
        <v>2</v>
      </c>
      <c r="L387" s="11">
        <f t="shared" si="269"/>
        <v>4</v>
      </c>
      <c r="M387" s="69">
        <v>45260</v>
      </c>
      <c r="N387" s="13" t="s">
        <v>5</v>
      </c>
      <c r="O387" s="20"/>
      <c r="P387" s="35"/>
      <c r="Q387" s="21"/>
      <c r="R387" s="24">
        <v>-150</v>
      </c>
      <c r="S387" s="57">
        <f>SUM(O387:R387)</f>
        <v>-150</v>
      </c>
      <c r="T387" s="35"/>
      <c r="U387" s="35"/>
      <c r="V387" s="21"/>
      <c r="W387" s="38">
        <v>-150</v>
      </c>
      <c r="X387" s="9">
        <f>SUM(T387:W387)</f>
        <v>-150</v>
      </c>
      <c r="Y387" s="11">
        <f t="shared" si="268"/>
        <v>-300</v>
      </c>
      <c r="Z387" s="162" t="s">
        <v>293</v>
      </c>
    </row>
    <row r="388" spans="1:27" ht="14.25" thickBot="1" x14ac:dyDescent="0.2">
      <c r="A388" s="13" t="s">
        <v>7</v>
      </c>
      <c r="B388" s="6"/>
      <c r="C388" s="22"/>
      <c r="D388" s="7"/>
      <c r="E388" s="8"/>
      <c r="F388" s="10">
        <f>SUM(B388:E388)</f>
        <v>0</v>
      </c>
      <c r="G388" s="22"/>
      <c r="H388" s="22">
        <v>10</v>
      </c>
      <c r="I388" s="7">
        <v>10</v>
      </c>
      <c r="J388" s="8"/>
      <c r="K388" s="10">
        <f>SUM(G388:J388)</f>
        <v>20</v>
      </c>
      <c r="L388" s="14">
        <f t="shared" si="269"/>
        <v>20</v>
      </c>
      <c r="M388" s="69">
        <v>45266</v>
      </c>
      <c r="N388" s="13" t="s">
        <v>6</v>
      </c>
      <c r="O388" s="43"/>
      <c r="P388" s="44"/>
      <c r="Q388" s="45"/>
      <c r="R388" s="46"/>
      <c r="S388" s="58">
        <f>SUM(O388:R388)</f>
        <v>0</v>
      </c>
      <c r="T388" s="35"/>
      <c r="U388" s="35"/>
      <c r="V388" s="21"/>
      <c r="W388" s="38"/>
      <c r="X388" s="10">
        <f>SUM(T388:W388)</f>
        <v>0</v>
      </c>
      <c r="Y388" s="14">
        <f t="shared" si="268"/>
        <v>0</v>
      </c>
    </row>
    <row r="389" spans="1:27" ht="14.25" thickBot="1" x14ac:dyDescent="0.2">
      <c r="A389" s="18" t="s">
        <v>8</v>
      </c>
      <c r="B389" s="76">
        <f t="shared" ref="B389:K389" si="270">SUM(B384:B388)</f>
        <v>49</v>
      </c>
      <c r="C389" s="77">
        <f t="shared" si="270"/>
        <v>42</v>
      </c>
      <c r="D389" s="78">
        <f t="shared" si="270"/>
        <v>41</v>
      </c>
      <c r="E389" s="79">
        <f t="shared" si="270"/>
        <v>44</v>
      </c>
      <c r="F389" s="80">
        <f t="shared" si="270"/>
        <v>176</v>
      </c>
      <c r="G389" s="76">
        <f t="shared" si="270"/>
        <v>43</v>
      </c>
      <c r="H389" s="77">
        <f t="shared" si="270"/>
        <v>57</v>
      </c>
      <c r="I389" s="78">
        <f t="shared" si="270"/>
        <v>49</v>
      </c>
      <c r="J389" s="79">
        <f t="shared" si="270"/>
        <v>44</v>
      </c>
      <c r="K389" s="80">
        <f t="shared" si="270"/>
        <v>193</v>
      </c>
      <c r="L389" s="17">
        <f t="shared" si="269"/>
        <v>369</v>
      </c>
      <c r="N389" s="16" t="s">
        <v>8</v>
      </c>
      <c r="O389" s="31">
        <f t="shared" ref="O389:X389" si="271">SUM(O384:O388)</f>
        <v>831</v>
      </c>
      <c r="P389" s="37">
        <f t="shared" si="271"/>
        <v>1003</v>
      </c>
      <c r="Q389" s="32">
        <f t="shared" si="271"/>
        <v>696</v>
      </c>
      <c r="R389" s="82">
        <f t="shared" si="271"/>
        <v>567</v>
      </c>
      <c r="S389" s="83">
        <f t="shared" si="271"/>
        <v>3097</v>
      </c>
      <c r="T389" s="31">
        <f t="shared" si="271"/>
        <v>797</v>
      </c>
      <c r="U389" s="37">
        <f t="shared" si="271"/>
        <v>962</v>
      </c>
      <c r="V389" s="32">
        <f t="shared" si="271"/>
        <v>626</v>
      </c>
      <c r="W389" s="82">
        <f t="shared" si="271"/>
        <v>538</v>
      </c>
      <c r="X389" s="83">
        <f t="shared" si="271"/>
        <v>2923</v>
      </c>
      <c r="Y389" s="39">
        <f t="shared" si="268"/>
        <v>6020</v>
      </c>
    </row>
    <row r="390" spans="1:27" x14ac:dyDescent="0.15">
      <c r="A390" s="40" t="s">
        <v>276</v>
      </c>
      <c r="B390" s="48"/>
      <c r="C390" s="49"/>
      <c r="D390" s="50"/>
      <c r="E390" s="51">
        <v>1</v>
      </c>
      <c r="F390" s="52">
        <f t="shared" ref="F390:F414" si="272">SUM(B390:E390)</f>
        <v>1</v>
      </c>
      <c r="G390" s="48"/>
      <c r="H390" s="49"/>
      <c r="I390" s="50"/>
      <c r="J390" s="51">
        <v>1</v>
      </c>
      <c r="K390" s="52">
        <f t="shared" ref="K390:K414" si="273">SUM(G390:J390)</f>
        <v>1</v>
      </c>
      <c r="L390" s="11">
        <f t="shared" si="269"/>
        <v>2</v>
      </c>
      <c r="M390" s="69">
        <v>45254</v>
      </c>
      <c r="N390" s="40" t="s">
        <v>291</v>
      </c>
      <c r="O390" s="20"/>
      <c r="P390" s="35"/>
      <c r="Q390" s="21"/>
      <c r="R390" s="38"/>
      <c r="S390" s="9">
        <f t="shared" ref="S390:S402" si="274">SUM(O390:R390)</f>
        <v>0</v>
      </c>
      <c r="T390" s="20"/>
      <c r="U390" s="35">
        <v>10</v>
      </c>
      <c r="V390" s="21">
        <v>10</v>
      </c>
      <c r="W390" s="24"/>
      <c r="X390" s="25">
        <f t="shared" ref="X390:X402" si="275">SUM(T390:W390)</f>
        <v>20</v>
      </c>
      <c r="Y390" s="11">
        <f t="shared" si="268"/>
        <v>20</v>
      </c>
      <c r="Z390" s="69">
        <v>45266</v>
      </c>
    </row>
    <row r="391" spans="1:27" x14ac:dyDescent="0.15">
      <c r="A391" s="59" t="s">
        <v>210</v>
      </c>
      <c r="B391" s="20"/>
      <c r="C391" s="35"/>
      <c r="D391" s="21"/>
      <c r="E391" s="24">
        <v>2</v>
      </c>
      <c r="F391" s="25">
        <f t="shared" si="272"/>
        <v>2</v>
      </c>
      <c r="G391" s="20"/>
      <c r="H391" s="35"/>
      <c r="I391" s="21"/>
      <c r="J391" s="24">
        <v>2</v>
      </c>
      <c r="K391" s="25">
        <f t="shared" si="273"/>
        <v>2</v>
      </c>
      <c r="L391" s="11">
        <f t="shared" si="269"/>
        <v>4</v>
      </c>
      <c r="M391" s="69">
        <v>45253</v>
      </c>
      <c r="N391" s="40" t="s">
        <v>26</v>
      </c>
      <c r="O391" s="20">
        <v>15</v>
      </c>
      <c r="P391" s="35">
        <v>15</v>
      </c>
      <c r="Q391" s="21">
        <v>10</v>
      </c>
      <c r="R391" s="38">
        <v>5</v>
      </c>
      <c r="S391" s="9">
        <f>SUM(O391:R391)</f>
        <v>45</v>
      </c>
      <c r="T391" s="20">
        <v>15</v>
      </c>
      <c r="U391" s="35">
        <v>10</v>
      </c>
      <c r="V391" s="21">
        <v>5</v>
      </c>
      <c r="W391" s="24">
        <v>5</v>
      </c>
      <c r="X391" s="25">
        <f>SUM(T391:W391)</f>
        <v>35</v>
      </c>
      <c r="Y391" s="11">
        <f t="shared" si="268"/>
        <v>80</v>
      </c>
      <c r="Z391" s="69">
        <v>45267</v>
      </c>
    </row>
    <row r="392" spans="1:27" x14ac:dyDescent="0.15">
      <c r="A392" s="59" t="s">
        <v>277</v>
      </c>
      <c r="B392" s="20">
        <v>2</v>
      </c>
      <c r="C392" s="35">
        <v>1</v>
      </c>
      <c r="D392" s="21">
        <v>1</v>
      </c>
      <c r="E392" s="24">
        <v>1</v>
      </c>
      <c r="F392" s="25">
        <f t="shared" si="272"/>
        <v>5</v>
      </c>
      <c r="G392" s="20"/>
      <c r="H392" s="35">
        <v>1</v>
      </c>
      <c r="I392" s="21">
        <v>1</v>
      </c>
      <c r="J392" s="24"/>
      <c r="K392" s="25">
        <f t="shared" si="273"/>
        <v>2</v>
      </c>
      <c r="L392" s="11">
        <f t="shared" si="269"/>
        <v>7</v>
      </c>
      <c r="M392" s="69">
        <v>45253</v>
      </c>
      <c r="N392" s="40" t="s">
        <v>294</v>
      </c>
      <c r="O392" s="20"/>
      <c r="P392" s="35">
        <v>4</v>
      </c>
      <c r="Q392" s="21"/>
      <c r="R392" s="38"/>
      <c r="S392" s="9">
        <f t="shared" si="274"/>
        <v>4</v>
      </c>
      <c r="T392" s="20"/>
      <c r="U392" s="35">
        <v>4</v>
      </c>
      <c r="V392" s="21"/>
      <c r="W392" s="24"/>
      <c r="X392" s="9">
        <f t="shared" si="275"/>
        <v>4</v>
      </c>
      <c r="Y392" s="11">
        <f t="shared" si="268"/>
        <v>8</v>
      </c>
      <c r="Z392" s="69">
        <v>45271</v>
      </c>
    </row>
    <row r="393" spans="1:27" x14ac:dyDescent="0.15">
      <c r="A393" s="59" t="s">
        <v>27</v>
      </c>
      <c r="B393" s="20">
        <v>4</v>
      </c>
      <c r="C393" s="35">
        <v>1</v>
      </c>
      <c r="D393" s="21"/>
      <c r="E393" s="24"/>
      <c r="F393" s="25">
        <f t="shared" si="272"/>
        <v>5</v>
      </c>
      <c r="G393" s="20"/>
      <c r="H393" s="35">
        <v>2</v>
      </c>
      <c r="I393" s="21"/>
      <c r="J393" s="24"/>
      <c r="K393" s="25">
        <f t="shared" si="273"/>
        <v>2</v>
      </c>
      <c r="L393" s="11">
        <f t="shared" si="269"/>
        <v>7</v>
      </c>
      <c r="M393" s="71">
        <v>45252</v>
      </c>
      <c r="N393" s="12" t="s">
        <v>297</v>
      </c>
      <c r="O393" s="20">
        <v>10</v>
      </c>
      <c r="P393" s="35">
        <v>10</v>
      </c>
      <c r="Q393" s="21">
        <v>10</v>
      </c>
      <c r="R393" s="38">
        <v>10</v>
      </c>
      <c r="S393" s="9">
        <f t="shared" si="274"/>
        <v>40</v>
      </c>
      <c r="T393" s="20">
        <v>10</v>
      </c>
      <c r="U393" s="35">
        <v>10</v>
      </c>
      <c r="V393" s="21">
        <v>10</v>
      </c>
      <c r="W393" s="38">
        <v>10</v>
      </c>
      <c r="X393" s="74">
        <f t="shared" si="275"/>
        <v>40</v>
      </c>
      <c r="Y393" s="11">
        <f t="shared" si="268"/>
        <v>80</v>
      </c>
      <c r="Z393" s="69">
        <v>45275</v>
      </c>
    </row>
    <row r="394" spans="1:27" x14ac:dyDescent="0.15">
      <c r="A394" s="59" t="s">
        <v>27</v>
      </c>
      <c r="B394" s="20">
        <f>1+1</f>
        <v>2</v>
      </c>
      <c r="C394" s="35">
        <v>1</v>
      </c>
      <c r="D394" s="21">
        <v>1</v>
      </c>
      <c r="E394" s="24">
        <v>3</v>
      </c>
      <c r="F394" s="25">
        <f t="shared" si="272"/>
        <v>7</v>
      </c>
      <c r="G394" s="20">
        <f>1+1</f>
        <v>2</v>
      </c>
      <c r="H394" s="35">
        <v>1</v>
      </c>
      <c r="I394" s="21">
        <v>2</v>
      </c>
      <c r="J394" s="24">
        <v>3</v>
      </c>
      <c r="K394" s="25">
        <f t="shared" si="273"/>
        <v>8</v>
      </c>
      <c r="L394" s="11">
        <f t="shared" si="269"/>
        <v>15</v>
      </c>
      <c r="M394" s="71">
        <v>45254</v>
      </c>
      <c r="N394" s="40" t="s">
        <v>299</v>
      </c>
      <c r="O394" s="20"/>
      <c r="P394" s="35">
        <v>3</v>
      </c>
      <c r="Q394" s="21"/>
      <c r="R394" s="38"/>
      <c r="S394" s="9">
        <f t="shared" si="274"/>
        <v>3</v>
      </c>
      <c r="T394" s="20"/>
      <c r="U394" s="35">
        <v>3</v>
      </c>
      <c r="V394" s="21"/>
      <c r="W394" s="24"/>
      <c r="X394" s="25">
        <f t="shared" si="275"/>
        <v>3</v>
      </c>
      <c r="Y394" s="11">
        <f t="shared" si="268"/>
        <v>6</v>
      </c>
      <c r="Z394" s="69">
        <v>45274</v>
      </c>
    </row>
    <row r="395" spans="1:27" x14ac:dyDescent="0.15">
      <c r="A395" s="59" t="s">
        <v>32</v>
      </c>
      <c r="B395" s="20">
        <v>3</v>
      </c>
      <c r="C395" s="35"/>
      <c r="D395" s="21"/>
      <c r="E395" s="24"/>
      <c r="F395" s="25">
        <f t="shared" si="272"/>
        <v>3</v>
      </c>
      <c r="G395" s="20">
        <v>1</v>
      </c>
      <c r="H395" s="35"/>
      <c r="I395" s="21"/>
      <c r="J395" s="24"/>
      <c r="K395" s="25">
        <f t="shared" si="273"/>
        <v>1</v>
      </c>
      <c r="L395" s="11">
        <f t="shared" si="269"/>
        <v>4</v>
      </c>
      <c r="M395" s="69">
        <v>45258</v>
      </c>
      <c r="N395" s="12" t="s">
        <v>306</v>
      </c>
      <c r="O395" s="20"/>
      <c r="P395" s="35"/>
      <c r="Q395" s="21"/>
      <c r="R395" s="38"/>
      <c r="S395" s="9">
        <f t="shared" si="274"/>
        <v>0</v>
      </c>
      <c r="T395" s="20">
        <v>5</v>
      </c>
      <c r="U395" s="35"/>
      <c r="V395" s="21"/>
      <c r="W395" s="24"/>
      <c r="X395" s="25">
        <f t="shared" si="275"/>
        <v>5</v>
      </c>
      <c r="Y395" s="11">
        <f t="shared" si="268"/>
        <v>5</v>
      </c>
      <c r="Z395" s="69">
        <v>45279</v>
      </c>
    </row>
    <row r="396" spans="1:27" x14ac:dyDescent="0.15">
      <c r="A396" s="59" t="s">
        <v>27</v>
      </c>
      <c r="B396" s="20">
        <f>3+1+2</f>
        <v>6</v>
      </c>
      <c r="C396" s="35">
        <f>4+1</f>
        <v>5</v>
      </c>
      <c r="D396" s="21">
        <f>1+1+2</f>
        <v>4</v>
      </c>
      <c r="E396" s="24">
        <f>1+4</f>
        <v>5</v>
      </c>
      <c r="F396" s="25">
        <f t="shared" si="272"/>
        <v>20</v>
      </c>
      <c r="G396" s="20">
        <f>2+2+2</f>
        <v>6</v>
      </c>
      <c r="H396" s="35">
        <f>1+9+1</f>
        <v>11</v>
      </c>
      <c r="I396" s="21">
        <f>1+1+4</f>
        <v>6</v>
      </c>
      <c r="J396" s="24">
        <f>1+4</f>
        <v>5</v>
      </c>
      <c r="K396" s="25">
        <f t="shared" si="273"/>
        <v>28</v>
      </c>
      <c r="L396" s="11">
        <f t="shared" si="269"/>
        <v>48</v>
      </c>
      <c r="M396" s="71">
        <v>45257</v>
      </c>
      <c r="N396" s="40" t="s">
        <v>307</v>
      </c>
      <c r="O396" s="20">
        <v>3</v>
      </c>
      <c r="P396" s="35">
        <v>15</v>
      </c>
      <c r="Q396" s="21"/>
      <c r="R396" s="38"/>
      <c r="S396" s="9">
        <f t="shared" si="274"/>
        <v>18</v>
      </c>
      <c r="T396" s="20">
        <v>3</v>
      </c>
      <c r="U396" s="35">
        <v>15</v>
      </c>
      <c r="V396" s="21"/>
      <c r="W396" s="24"/>
      <c r="X396" s="25">
        <f t="shared" si="275"/>
        <v>18</v>
      </c>
      <c r="Y396" s="11">
        <f t="shared" si="268"/>
        <v>36</v>
      </c>
      <c r="Z396" s="69">
        <v>45281</v>
      </c>
      <c r="AA396" s="41"/>
    </row>
    <row r="397" spans="1:27" x14ac:dyDescent="0.15">
      <c r="A397" s="59" t="s">
        <v>27</v>
      </c>
      <c r="B397" s="20"/>
      <c r="C397" s="35"/>
      <c r="D397" s="21"/>
      <c r="E397" s="24"/>
      <c r="F397" s="25">
        <f t="shared" si="272"/>
        <v>0</v>
      </c>
      <c r="G397" s="20">
        <v>2</v>
      </c>
      <c r="H397" s="35"/>
      <c r="I397" s="21">
        <v>1</v>
      </c>
      <c r="J397" s="24">
        <v>1</v>
      </c>
      <c r="K397" s="25">
        <f t="shared" si="273"/>
        <v>4</v>
      </c>
      <c r="L397" s="11">
        <f t="shared" si="269"/>
        <v>4</v>
      </c>
      <c r="M397" s="71">
        <v>45258</v>
      </c>
      <c r="N397" s="40" t="s">
        <v>26</v>
      </c>
      <c r="O397" s="20">
        <v>5</v>
      </c>
      <c r="P397" s="35">
        <v>25</v>
      </c>
      <c r="Q397" s="21">
        <v>5</v>
      </c>
      <c r="R397" s="38">
        <v>5</v>
      </c>
      <c r="S397" s="9">
        <f>SUM(O397:R397)</f>
        <v>40</v>
      </c>
      <c r="T397" s="20">
        <v>10</v>
      </c>
      <c r="U397" s="35">
        <v>25</v>
      </c>
      <c r="V397" s="21">
        <v>5</v>
      </c>
      <c r="W397" s="24">
        <v>5</v>
      </c>
      <c r="X397" s="25">
        <f>SUM(T397:W397)</f>
        <v>45</v>
      </c>
      <c r="Y397" s="11">
        <f t="shared" si="268"/>
        <v>85</v>
      </c>
      <c r="Z397" s="69">
        <v>45275</v>
      </c>
    </row>
    <row r="398" spans="1:27" x14ac:dyDescent="0.15">
      <c r="A398" s="40" t="s">
        <v>280</v>
      </c>
      <c r="B398" s="20">
        <v>1</v>
      </c>
      <c r="C398" s="35"/>
      <c r="D398" s="21"/>
      <c r="E398" s="24">
        <v>1</v>
      </c>
      <c r="F398" s="25">
        <f t="shared" si="272"/>
        <v>2</v>
      </c>
      <c r="G398" s="20">
        <v>1</v>
      </c>
      <c r="H398" s="35"/>
      <c r="I398" s="21"/>
      <c r="J398" s="24">
        <v>1</v>
      </c>
      <c r="K398" s="25">
        <f t="shared" si="273"/>
        <v>2</v>
      </c>
      <c r="L398" s="11">
        <f t="shared" si="269"/>
        <v>4</v>
      </c>
      <c r="M398" s="69">
        <v>45261</v>
      </c>
      <c r="N398" s="40"/>
      <c r="O398" s="20"/>
      <c r="P398" s="35"/>
      <c r="Q398" s="21"/>
      <c r="R398" s="38"/>
      <c r="S398" s="9">
        <f t="shared" ref="S398" si="276">SUM(O398:R398)</f>
        <v>0</v>
      </c>
      <c r="T398" s="20"/>
      <c r="U398" s="35"/>
      <c r="V398" s="21"/>
      <c r="W398" s="24"/>
      <c r="X398" s="25">
        <f t="shared" ref="X398" si="277">SUM(T398:W398)</f>
        <v>0</v>
      </c>
      <c r="Y398" s="11">
        <f t="shared" ref="Y398" si="278">S398+X398</f>
        <v>0</v>
      </c>
    </row>
    <row r="399" spans="1:27" x14ac:dyDescent="0.15">
      <c r="A399" s="59" t="s">
        <v>27</v>
      </c>
      <c r="B399" s="20"/>
      <c r="C399" s="35">
        <v>1</v>
      </c>
      <c r="D399" s="21"/>
      <c r="E399" s="24"/>
      <c r="F399" s="25">
        <f t="shared" si="272"/>
        <v>1</v>
      </c>
      <c r="G399" s="20">
        <v>2</v>
      </c>
      <c r="H399" s="35">
        <v>1</v>
      </c>
      <c r="I399" s="21"/>
      <c r="J399" s="24"/>
      <c r="K399" s="25">
        <f t="shared" si="273"/>
        <v>3</v>
      </c>
      <c r="L399" s="11">
        <f t="shared" si="269"/>
        <v>4</v>
      </c>
      <c r="M399" s="71">
        <v>45259</v>
      </c>
      <c r="N399" s="40"/>
      <c r="O399" s="20"/>
      <c r="P399" s="35"/>
      <c r="Q399" s="21"/>
      <c r="R399" s="38"/>
      <c r="S399" s="9">
        <f t="shared" si="274"/>
        <v>0</v>
      </c>
      <c r="T399" s="20"/>
      <c r="U399" s="35"/>
      <c r="V399" s="21"/>
      <c r="W399" s="24"/>
      <c r="X399" s="25">
        <f t="shared" si="275"/>
        <v>0</v>
      </c>
      <c r="Y399" s="11">
        <f t="shared" si="268"/>
        <v>0</v>
      </c>
    </row>
    <row r="400" spans="1:27" x14ac:dyDescent="0.15">
      <c r="A400" s="40" t="s">
        <v>282</v>
      </c>
      <c r="B400" s="20"/>
      <c r="C400" s="35"/>
      <c r="D400" s="21">
        <v>1</v>
      </c>
      <c r="E400" s="24"/>
      <c r="F400" s="25">
        <f t="shared" si="272"/>
        <v>1</v>
      </c>
      <c r="G400" s="20"/>
      <c r="H400" s="35"/>
      <c r="I400" s="21">
        <v>1</v>
      </c>
      <c r="J400" s="24"/>
      <c r="K400" s="25">
        <f t="shared" si="273"/>
        <v>1</v>
      </c>
      <c r="L400" s="11">
        <f t="shared" si="269"/>
        <v>2</v>
      </c>
      <c r="M400" s="69">
        <v>45264</v>
      </c>
      <c r="N400" s="40"/>
      <c r="O400" s="20"/>
      <c r="P400" s="35"/>
      <c r="Q400" s="21"/>
      <c r="R400" s="38"/>
      <c r="S400" s="9">
        <f t="shared" si="274"/>
        <v>0</v>
      </c>
      <c r="T400" s="20"/>
      <c r="U400" s="35"/>
      <c r="V400" s="21"/>
      <c r="W400" s="24"/>
      <c r="X400" s="25">
        <f t="shared" si="275"/>
        <v>0</v>
      </c>
      <c r="Y400" s="11">
        <f t="shared" si="268"/>
        <v>0</v>
      </c>
    </row>
    <row r="401" spans="1:25" x14ac:dyDescent="0.15">
      <c r="A401" s="59" t="s">
        <v>27</v>
      </c>
      <c r="B401" s="20"/>
      <c r="C401" s="35">
        <v>1</v>
      </c>
      <c r="D401" s="21"/>
      <c r="E401" s="24">
        <v>1</v>
      </c>
      <c r="F401" s="25">
        <f t="shared" si="272"/>
        <v>2</v>
      </c>
      <c r="G401" s="20">
        <v>1</v>
      </c>
      <c r="H401" s="35">
        <v>1</v>
      </c>
      <c r="I401" s="21"/>
      <c r="J401" s="24">
        <v>1</v>
      </c>
      <c r="K401" s="25">
        <f t="shared" si="273"/>
        <v>3</v>
      </c>
      <c r="L401" s="11">
        <f t="shared" si="269"/>
        <v>5</v>
      </c>
      <c r="M401" s="69">
        <v>45260</v>
      </c>
      <c r="N401" s="40"/>
      <c r="O401" s="20"/>
      <c r="P401" s="35"/>
      <c r="Q401" s="21"/>
      <c r="R401" s="38"/>
      <c r="S401" s="9">
        <f t="shared" si="274"/>
        <v>0</v>
      </c>
      <c r="T401" s="20"/>
      <c r="U401" s="35"/>
      <c r="V401" s="21"/>
      <c r="W401" s="24"/>
      <c r="X401" s="25">
        <f t="shared" si="275"/>
        <v>0</v>
      </c>
      <c r="Y401" s="11">
        <f t="shared" si="268"/>
        <v>0</v>
      </c>
    </row>
    <row r="402" spans="1:25" x14ac:dyDescent="0.15">
      <c r="A402" s="40" t="s">
        <v>286</v>
      </c>
      <c r="B402" s="20"/>
      <c r="C402" s="35">
        <v>1</v>
      </c>
      <c r="D402" s="21"/>
      <c r="E402" s="24">
        <v>1</v>
      </c>
      <c r="F402" s="25">
        <f t="shared" si="272"/>
        <v>2</v>
      </c>
      <c r="G402" s="20"/>
      <c r="H402" s="35">
        <v>1</v>
      </c>
      <c r="I402" s="21"/>
      <c r="J402" s="24">
        <v>1</v>
      </c>
      <c r="K402" s="25">
        <f t="shared" si="273"/>
        <v>2</v>
      </c>
      <c r="L402" s="11">
        <f t="shared" si="269"/>
        <v>4</v>
      </c>
      <c r="M402" s="69">
        <v>45264</v>
      </c>
      <c r="N402" s="40"/>
      <c r="O402" s="20"/>
      <c r="P402" s="35"/>
      <c r="Q402" s="21"/>
      <c r="R402" s="38"/>
      <c r="S402" s="9">
        <f t="shared" si="274"/>
        <v>0</v>
      </c>
      <c r="T402" s="20"/>
      <c r="U402" s="35"/>
      <c r="V402" s="21"/>
      <c r="W402" s="24"/>
      <c r="X402" s="25">
        <f t="shared" si="275"/>
        <v>0</v>
      </c>
      <c r="Y402" s="11">
        <f t="shared" si="268"/>
        <v>0</v>
      </c>
    </row>
    <row r="403" spans="1:25" x14ac:dyDescent="0.15">
      <c r="A403" s="40" t="s">
        <v>287</v>
      </c>
      <c r="B403" s="20"/>
      <c r="C403" s="35">
        <v>5</v>
      </c>
      <c r="D403" s="21">
        <v>10</v>
      </c>
      <c r="E403" s="24"/>
      <c r="F403" s="25">
        <f t="shared" si="272"/>
        <v>15</v>
      </c>
      <c r="G403" s="20"/>
      <c r="H403" s="35">
        <v>5</v>
      </c>
      <c r="I403" s="21">
        <v>10</v>
      </c>
      <c r="J403" s="24"/>
      <c r="K403" s="25">
        <f t="shared" si="273"/>
        <v>15</v>
      </c>
      <c r="L403" s="11">
        <f t="shared" si="269"/>
        <v>30</v>
      </c>
      <c r="M403" s="69">
        <v>45265</v>
      </c>
      <c r="N403" s="12"/>
      <c r="O403" s="20"/>
      <c r="P403" s="35"/>
      <c r="Q403" s="21"/>
      <c r="R403" s="38"/>
      <c r="S403" s="9">
        <f>SUM(O403:R403)</f>
        <v>0</v>
      </c>
      <c r="T403" s="20"/>
      <c r="U403" s="35"/>
      <c r="V403" s="21"/>
      <c r="W403" s="24"/>
      <c r="X403" s="25">
        <f>SUM(T403:W403)</f>
        <v>0</v>
      </c>
      <c r="Y403" s="11">
        <f t="shared" si="268"/>
        <v>0</v>
      </c>
    </row>
    <row r="404" spans="1:25" x14ac:dyDescent="0.15">
      <c r="A404" s="59" t="s">
        <v>27</v>
      </c>
      <c r="B404" s="20"/>
      <c r="C404" s="35"/>
      <c r="D404" s="21"/>
      <c r="E404" s="24">
        <v>1</v>
      </c>
      <c r="F404" s="25">
        <f t="shared" si="272"/>
        <v>1</v>
      </c>
      <c r="G404" s="20"/>
      <c r="H404" s="35"/>
      <c r="I404" s="21"/>
      <c r="J404" s="24">
        <v>1</v>
      </c>
      <c r="K404" s="25">
        <f t="shared" si="273"/>
        <v>1</v>
      </c>
      <c r="L404" s="11">
        <f t="shared" si="269"/>
        <v>2</v>
      </c>
      <c r="M404" s="71">
        <v>45261</v>
      </c>
      <c r="N404" s="40"/>
      <c r="O404" s="20"/>
      <c r="P404" s="35"/>
      <c r="Q404" s="21"/>
      <c r="R404" s="38"/>
      <c r="S404" s="9">
        <f t="shared" ref="S404:S415" si="279">SUM(O404:R404)</f>
        <v>0</v>
      </c>
      <c r="T404" s="20"/>
      <c r="U404" s="35"/>
      <c r="V404" s="21"/>
      <c r="W404" s="24"/>
      <c r="X404" s="25">
        <f t="shared" ref="X404:X415" si="280">SUM(T404:W404)</f>
        <v>0</v>
      </c>
      <c r="Y404" s="11">
        <f t="shared" si="268"/>
        <v>0</v>
      </c>
    </row>
    <row r="405" spans="1:25" x14ac:dyDescent="0.15">
      <c r="A405" s="59" t="s">
        <v>27</v>
      </c>
      <c r="B405" s="20"/>
      <c r="C405" s="35">
        <v>1</v>
      </c>
      <c r="D405" s="21"/>
      <c r="E405" s="24"/>
      <c r="F405" s="25">
        <f t="shared" si="272"/>
        <v>1</v>
      </c>
      <c r="G405" s="20"/>
      <c r="H405" s="35">
        <v>1</v>
      </c>
      <c r="I405" s="21"/>
      <c r="J405" s="24"/>
      <c r="K405" s="25">
        <f t="shared" si="273"/>
        <v>1</v>
      </c>
      <c r="L405" s="11">
        <f t="shared" si="269"/>
        <v>2</v>
      </c>
      <c r="M405" s="71">
        <v>45262</v>
      </c>
      <c r="N405" s="15"/>
      <c r="O405" s="20"/>
      <c r="P405" s="35"/>
      <c r="Q405" s="21"/>
      <c r="R405" s="38"/>
      <c r="S405" s="9">
        <f t="shared" si="279"/>
        <v>0</v>
      </c>
      <c r="T405" s="20"/>
      <c r="U405" s="35"/>
      <c r="V405" s="21"/>
      <c r="W405" s="24"/>
      <c r="X405" s="25">
        <f t="shared" si="280"/>
        <v>0</v>
      </c>
      <c r="Y405" s="11">
        <f t="shared" si="268"/>
        <v>0</v>
      </c>
    </row>
    <row r="406" spans="1:25" x14ac:dyDescent="0.15">
      <c r="A406" s="40" t="s">
        <v>288</v>
      </c>
      <c r="B406" s="20"/>
      <c r="C406" s="35"/>
      <c r="D406" s="21"/>
      <c r="E406" s="24">
        <v>1</v>
      </c>
      <c r="F406" s="25">
        <f t="shared" si="272"/>
        <v>1</v>
      </c>
      <c r="G406" s="20"/>
      <c r="H406" s="35"/>
      <c r="I406" s="21"/>
      <c r="J406" s="24">
        <v>1</v>
      </c>
      <c r="K406" s="25">
        <f t="shared" si="273"/>
        <v>1</v>
      </c>
      <c r="L406" s="11">
        <f t="shared" si="269"/>
        <v>2</v>
      </c>
      <c r="M406" s="69">
        <v>45266</v>
      </c>
      <c r="N406" s="40"/>
      <c r="O406" s="20"/>
      <c r="P406" s="35"/>
      <c r="Q406" s="21"/>
      <c r="R406" s="38"/>
      <c r="S406" s="9">
        <f t="shared" si="279"/>
        <v>0</v>
      </c>
      <c r="T406" s="20"/>
      <c r="U406" s="35"/>
      <c r="V406" s="21"/>
      <c r="W406" s="24"/>
      <c r="X406" s="25">
        <f t="shared" si="280"/>
        <v>0</v>
      </c>
      <c r="Y406" s="11">
        <f t="shared" si="268"/>
        <v>0</v>
      </c>
    </row>
    <row r="407" spans="1:25" x14ac:dyDescent="0.15">
      <c r="A407" s="59" t="s">
        <v>27</v>
      </c>
      <c r="B407" s="20">
        <f>1+2</f>
        <v>3</v>
      </c>
      <c r="C407" s="35"/>
      <c r="D407" s="21">
        <v>1</v>
      </c>
      <c r="E407" s="24"/>
      <c r="F407" s="25">
        <f t="shared" si="272"/>
        <v>4</v>
      </c>
      <c r="G407" s="20">
        <f>1+2</f>
        <v>3</v>
      </c>
      <c r="H407" s="35">
        <v>2</v>
      </c>
      <c r="I407" s="21">
        <v>2</v>
      </c>
      <c r="J407" s="24"/>
      <c r="K407" s="25">
        <f t="shared" si="273"/>
        <v>7</v>
      </c>
      <c r="L407" s="11">
        <f t="shared" si="269"/>
        <v>11</v>
      </c>
      <c r="M407" s="69">
        <v>45264</v>
      </c>
      <c r="N407" s="40"/>
      <c r="O407" s="48"/>
      <c r="P407" s="49"/>
      <c r="Q407" s="50"/>
      <c r="R407" s="72"/>
      <c r="S407" s="74">
        <f t="shared" si="279"/>
        <v>0</v>
      </c>
      <c r="T407" s="48"/>
      <c r="U407" s="49"/>
      <c r="V407" s="50"/>
      <c r="W407" s="51"/>
      <c r="X407" s="52">
        <f t="shared" si="280"/>
        <v>0</v>
      </c>
      <c r="Y407" s="11">
        <f t="shared" si="268"/>
        <v>0</v>
      </c>
    </row>
    <row r="408" spans="1:25" x14ac:dyDescent="0.15">
      <c r="A408" s="59" t="s">
        <v>289</v>
      </c>
      <c r="B408" s="20"/>
      <c r="C408" s="35">
        <v>3</v>
      </c>
      <c r="D408" s="21"/>
      <c r="E408" s="24"/>
      <c r="F408" s="25">
        <f t="shared" si="272"/>
        <v>3</v>
      </c>
      <c r="G408" s="20"/>
      <c r="H408" s="35">
        <v>3</v>
      </c>
      <c r="I408" s="21"/>
      <c r="J408" s="24">
        <v>2</v>
      </c>
      <c r="K408" s="25">
        <f t="shared" si="273"/>
        <v>5</v>
      </c>
      <c r="L408" s="11">
        <f t="shared" si="269"/>
        <v>8</v>
      </c>
      <c r="M408" s="69">
        <v>45265</v>
      </c>
      <c r="N408" s="12"/>
      <c r="O408" s="20"/>
      <c r="P408" s="35"/>
      <c r="Q408" s="21"/>
      <c r="R408" s="38"/>
      <c r="S408" s="9">
        <f t="shared" si="279"/>
        <v>0</v>
      </c>
      <c r="T408" s="20"/>
      <c r="U408" s="35"/>
      <c r="V408" s="21"/>
      <c r="W408" s="24"/>
      <c r="X408" s="25">
        <f t="shared" si="280"/>
        <v>0</v>
      </c>
      <c r="Y408" s="47">
        <f t="shared" si="268"/>
        <v>0</v>
      </c>
    </row>
    <row r="409" spans="1:25" x14ac:dyDescent="0.15">
      <c r="A409" s="40" t="s">
        <v>290</v>
      </c>
      <c r="B409" s="20">
        <v>4</v>
      </c>
      <c r="C409" s="35"/>
      <c r="D409" s="21"/>
      <c r="E409" s="24"/>
      <c r="F409" s="25">
        <f t="shared" si="272"/>
        <v>4</v>
      </c>
      <c r="G409" s="20">
        <v>4</v>
      </c>
      <c r="H409" s="35"/>
      <c r="I409" s="21"/>
      <c r="J409" s="24"/>
      <c r="K409" s="25">
        <f t="shared" si="273"/>
        <v>4</v>
      </c>
      <c r="L409" s="11">
        <f t="shared" si="269"/>
        <v>8</v>
      </c>
      <c r="M409" s="69">
        <v>45267</v>
      </c>
      <c r="N409" s="12"/>
      <c r="O409" s="20"/>
      <c r="P409" s="35"/>
      <c r="Q409" s="21"/>
      <c r="R409" s="38"/>
      <c r="S409" s="9">
        <f t="shared" ref="S409:S410" si="281">SUM(O409:R409)</f>
        <v>0</v>
      </c>
      <c r="T409" s="20"/>
      <c r="U409" s="35"/>
      <c r="V409" s="21"/>
      <c r="W409" s="24"/>
      <c r="X409" s="25">
        <f t="shared" ref="X409:X410" si="282">SUM(T409:W409)</f>
        <v>0</v>
      </c>
      <c r="Y409" s="47">
        <f t="shared" ref="Y409:Y410" si="283">S409+X409</f>
        <v>0</v>
      </c>
    </row>
    <row r="410" spans="1:25" x14ac:dyDescent="0.15">
      <c r="A410" s="59" t="s">
        <v>27</v>
      </c>
      <c r="B410" s="20">
        <v>3</v>
      </c>
      <c r="C410" s="35">
        <v>2</v>
      </c>
      <c r="D410" s="21">
        <v>1</v>
      </c>
      <c r="E410" s="24"/>
      <c r="F410" s="25">
        <f t="shared" si="272"/>
        <v>6</v>
      </c>
      <c r="G410" s="20">
        <v>5</v>
      </c>
      <c r="H410" s="35"/>
      <c r="I410" s="21">
        <v>1</v>
      </c>
      <c r="J410" s="24"/>
      <c r="K410" s="25">
        <f t="shared" si="273"/>
        <v>6</v>
      </c>
      <c r="L410" s="11">
        <f t="shared" si="269"/>
        <v>12</v>
      </c>
      <c r="M410" s="69">
        <v>45265</v>
      </c>
      <c r="N410" s="12"/>
      <c r="O410" s="20"/>
      <c r="P410" s="35"/>
      <c r="Q410" s="21"/>
      <c r="R410" s="38"/>
      <c r="S410" s="9">
        <f t="shared" si="281"/>
        <v>0</v>
      </c>
      <c r="T410" s="20"/>
      <c r="U410" s="35"/>
      <c r="V410" s="21"/>
      <c r="W410" s="24"/>
      <c r="X410" s="25">
        <f t="shared" si="282"/>
        <v>0</v>
      </c>
      <c r="Y410" s="47">
        <f t="shared" si="283"/>
        <v>0</v>
      </c>
    </row>
    <row r="411" spans="1:25" x14ac:dyDescent="0.15">
      <c r="A411" s="40" t="s">
        <v>292</v>
      </c>
      <c r="B411" s="20"/>
      <c r="C411" s="35">
        <v>1</v>
      </c>
      <c r="D411" s="21">
        <v>1</v>
      </c>
      <c r="E411" s="24">
        <v>2</v>
      </c>
      <c r="F411" s="25">
        <f t="shared" si="272"/>
        <v>4</v>
      </c>
      <c r="G411" s="20"/>
      <c r="H411" s="35">
        <v>1</v>
      </c>
      <c r="I411" s="21">
        <v>1</v>
      </c>
      <c r="J411" s="24">
        <v>2</v>
      </c>
      <c r="K411" s="25">
        <f t="shared" si="273"/>
        <v>4</v>
      </c>
      <c r="L411" s="11">
        <f t="shared" si="269"/>
        <v>8</v>
      </c>
      <c r="M411" s="69">
        <v>45268</v>
      </c>
      <c r="N411" s="12"/>
      <c r="O411" s="20"/>
      <c r="P411" s="35"/>
      <c r="Q411" s="21"/>
      <c r="R411" s="38"/>
      <c r="S411" s="9">
        <f t="shared" ref="S411:S414" si="284">SUM(O411:R411)</f>
        <v>0</v>
      </c>
      <c r="T411" s="20"/>
      <c r="U411" s="35"/>
      <c r="V411" s="21"/>
      <c r="W411" s="24"/>
      <c r="X411" s="25">
        <f t="shared" ref="X411:X414" si="285">SUM(T411:W411)</f>
        <v>0</v>
      </c>
      <c r="Y411" s="47">
        <f t="shared" ref="Y411:Y414" si="286">S411+X411</f>
        <v>0</v>
      </c>
    </row>
    <row r="412" spans="1:25" x14ac:dyDescent="0.15">
      <c r="A412" s="59" t="s">
        <v>32</v>
      </c>
      <c r="B412" s="20"/>
      <c r="C412" s="35">
        <v>2</v>
      </c>
      <c r="D412" s="21"/>
      <c r="E412" s="24"/>
      <c r="F412" s="25">
        <f t="shared" si="272"/>
        <v>2</v>
      </c>
      <c r="G412" s="20"/>
      <c r="H412" s="35"/>
      <c r="I412" s="21"/>
      <c r="J412" s="24"/>
      <c r="K412" s="25">
        <f t="shared" si="273"/>
        <v>0</v>
      </c>
      <c r="L412" s="11">
        <f t="shared" si="269"/>
        <v>2</v>
      </c>
      <c r="M412" s="69">
        <v>45267</v>
      </c>
      <c r="N412" s="12"/>
      <c r="O412" s="20"/>
      <c r="P412" s="35"/>
      <c r="Q412" s="21"/>
      <c r="R412" s="38"/>
      <c r="S412" s="9">
        <f t="shared" si="284"/>
        <v>0</v>
      </c>
      <c r="T412" s="20"/>
      <c r="U412" s="35"/>
      <c r="V412" s="21"/>
      <c r="W412" s="24"/>
      <c r="X412" s="25">
        <f t="shared" si="285"/>
        <v>0</v>
      </c>
      <c r="Y412" s="47">
        <f t="shared" si="286"/>
        <v>0</v>
      </c>
    </row>
    <row r="413" spans="1:25" x14ac:dyDescent="0.15">
      <c r="A413" s="59" t="s">
        <v>27</v>
      </c>
      <c r="B413" s="20">
        <v>3</v>
      </c>
      <c r="C413" s="35">
        <v>2</v>
      </c>
      <c r="D413" s="21"/>
      <c r="E413" s="24"/>
      <c r="F413" s="25">
        <f t="shared" si="272"/>
        <v>5</v>
      </c>
      <c r="G413" s="20">
        <v>3</v>
      </c>
      <c r="H413" s="35">
        <v>2</v>
      </c>
      <c r="I413" s="21"/>
      <c r="J413" s="24"/>
      <c r="K413" s="25">
        <f t="shared" si="273"/>
        <v>5</v>
      </c>
      <c r="L413" s="11">
        <f t="shared" si="269"/>
        <v>10</v>
      </c>
      <c r="M413" s="69">
        <v>45266</v>
      </c>
      <c r="N413" s="12"/>
      <c r="O413" s="20"/>
      <c r="P413" s="35"/>
      <c r="Q413" s="21"/>
      <c r="R413" s="38"/>
      <c r="S413" s="9">
        <f t="shared" si="284"/>
        <v>0</v>
      </c>
      <c r="T413" s="20"/>
      <c r="U413" s="35"/>
      <c r="V413" s="21"/>
      <c r="W413" s="24"/>
      <c r="X413" s="25">
        <f t="shared" si="285"/>
        <v>0</v>
      </c>
      <c r="Y413" s="47">
        <f t="shared" si="286"/>
        <v>0</v>
      </c>
    </row>
    <row r="414" spans="1:25" ht="14.25" thickBot="1" x14ac:dyDescent="0.2">
      <c r="A414" s="12" t="s">
        <v>295</v>
      </c>
      <c r="B414" s="43">
        <v>1</v>
      </c>
      <c r="C414" s="44"/>
      <c r="D414" s="45"/>
      <c r="E414" s="46"/>
      <c r="F414" s="25">
        <f t="shared" si="272"/>
        <v>1</v>
      </c>
      <c r="G414" s="43">
        <v>1</v>
      </c>
      <c r="H414" s="44"/>
      <c r="I414" s="45"/>
      <c r="J414" s="46"/>
      <c r="K414" s="25">
        <f t="shared" si="273"/>
        <v>1</v>
      </c>
      <c r="L414" s="14">
        <f t="shared" si="269"/>
        <v>2</v>
      </c>
      <c r="M414" s="71">
        <v>45267</v>
      </c>
      <c r="N414" s="99"/>
      <c r="O414" s="43"/>
      <c r="P414" s="44"/>
      <c r="Q414" s="45"/>
      <c r="R414" s="100"/>
      <c r="S414" s="10">
        <f t="shared" si="284"/>
        <v>0</v>
      </c>
      <c r="T414" s="43"/>
      <c r="U414" s="44"/>
      <c r="V414" s="45"/>
      <c r="W414" s="46"/>
      <c r="X414" s="106">
        <f t="shared" si="285"/>
        <v>0</v>
      </c>
      <c r="Y414" s="75">
        <f t="shared" si="286"/>
        <v>0</v>
      </c>
    </row>
    <row r="415" spans="1:25" ht="14.25" thickBot="1" x14ac:dyDescent="0.2">
      <c r="A415" s="16" t="s">
        <v>9</v>
      </c>
      <c r="B415" s="28">
        <f>SUM(B390:B414)</f>
        <v>32</v>
      </c>
      <c r="C415" s="36">
        <f>SUM(C390:C414)</f>
        <v>27</v>
      </c>
      <c r="D415" s="29">
        <f>SUM(D390:D414)</f>
        <v>20</v>
      </c>
      <c r="E415" s="30">
        <f>SUM(E390:E414)</f>
        <v>19</v>
      </c>
      <c r="F415" s="26">
        <f>SUM(B415:E415)</f>
        <v>98</v>
      </c>
      <c r="G415" s="28">
        <f>SUM(G390:G414)</f>
        <v>31</v>
      </c>
      <c r="H415" s="36">
        <f>SUM(H390:H414)</f>
        <v>32</v>
      </c>
      <c r="I415" s="29">
        <f>SUM(I390:I414)</f>
        <v>25</v>
      </c>
      <c r="J415" s="30">
        <f>SUM(J390:J414)</f>
        <v>21</v>
      </c>
      <c r="K415" s="26">
        <f>SUM(G415:J415)</f>
        <v>109</v>
      </c>
      <c r="L415" s="27">
        <f t="shared" si="269"/>
        <v>207</v>
      </c>
      <c r="N415" s="61" t="s">
        <v>9</v>
      </c>
      <c r="O415" s="28">
        <f>SUM(O390:O414)</f>
        <v>33</v>
      </c>
      <c r="P415" s="36">
        <f>SUM(P390:P414)</f>
        <v>72</v>
      </c>
      <c r="Q415" s="29">
        <f>SUM(Q390:Q414)</f>
        <v>25</v>
      </c>
      <c r="R415" s="30">
        <f>SUM(R390:R414)</f>
        <v>20</v>
      </c>
      <c r="S415" s="60">
        <f t="shared" si="279"/>
        <v>150</v>
      </c>
      <c r="T415" s="28">
        <f>SUM(T390:T414)</f>
        <v>43</v>
      </c>
      <c r="U415" s="36">
        <f>SUM(U390:U414)</f>
        <v>77</v>
      </c>
      <c r="V415" s="29">
        <f>SUM(V390:V414)</f>
        <v>30</v>
      </c>
      <c r="W415" s="30">
        <f>SUM(W390:W414)</f>
        <v>20</v>
      </c>
      <c r="X415" s="60">
        <f t="shared" si="280"/>
        <v>170</v>
      </c>
      <c r="Y415" s="63">
        <f t="shared" si="268"/>
        <v>320</v>
      </c>
    </row>
    <row r="416" spans="1:25" ht="14.25" thickBot="1" x14ac:dyDescent="0.2">
      <c r="A416" s="18" t="s">
        <v>10</v>
      </c>
      <c r="B416" s="31">
        <f t="shared" ref="B416:K416" si="287">B389-B415</f>
        <v>17</v>
      </c>
      <c r="C416" s="37">
        <f t="shared" si="287"/>
        <v>15</v>
      </c>
      <c r="D416" s="32">
        <f t="shared" si="287"/>
        <v>21</v>
      </c>
      <c r="E416" s="33">
        <f t="shared" si="287"/>
        <v>25</v>
      </c>
      <c r="F416" s="42">
        <f t="shared" si="287"/>
        <v>78</v>
      </c>
      <c r="G416" s="31">
        <f t="shared" si="287"/>
        <v>12</v>
      </c>
      <c r="H416" s="37">
        <f t="shared" si="287"/>
        <v>25</v>
      </c>
      <c r="I416" s="32">
        <f t="shared" si="287"/>
        <v>24</v>
      </c>
      <c r="J416" s="33">
        <f t="shared" si="287"/>
        <v>23</v>
      </c>
      <c r="K416" s="42">
        <f t="shared" si="287"/>
        <v>84</v>
      </c>
      <c r="L416" s="17">
        <f t="shared" si="269"/>
        <v>162</v>
      </c>
      <c r="N416" s="16" t="s">
        <v>10</v>
      </c>
      <c r="O416" s="31">
        <f t="shared" ref="O416:X416" si="288">O389-O415</f>
        <v>798</v>
      </c>
      <c r="P416" s="37">
        <f t="shared" si="288"/>
        <v>931</v>
      </c>
      <c r="Q416" s="32">
        <f t="shared" si="288"/>
        <v>671</v>
      </c>
      <c r="R416" s="33">
        <f t="shared" si="288"/>
        <v>547</v>
      </c>
      <c r="S416" s="42">
        <f t="shared" si="288"/>
        <v>2947</v>
      </c>
      <c r="T416" s="31">
        <f t="shared" si="288"/>
        <v>754</v>
      </c>
      <c r="U416" s="37">
        <f t="shared" si="288"/>
        <v>885</v>
      </c>
      <c r="V416" s="32">
        <f t="shared" si="288"/>
        <v>596</v>
      </c>
      <c r="W416" s="33">
        <f t="shared" si="288"/>
        <v>518</v>
      </c>
      <c r="X416" s="42">
        <f t="shared" si="288"/>
        <v>2753</v>
      </c>
      <c r="Y416" s="17">
        <f t="shared" si="268"/>
        <v>5700</v>
      </c>
    </row>
    <row r="417" spans="1:28" x14ac:dyDescent="0.15">
      <c r="O417" s="87"/>
      <c r="P417" s="87"/>
      <c r="Q417" s="87"/>
      <c r="R417" s="87"/>
      <c r="S417" s="87"/>
      <c r="T417" s="87"/>
      <c r="U417" s="87"/>
      <c r="V417" s="87"/>
      <c r="W417" s="87"/>
      <c r="X417" s="87"/>
    </row>
    <row r="418" spans="1:28" x14ac:dyDescent="0.15"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</row>
    <row r="419" spans="1:28" ht="19.5" thickBot="1" x14ac:dyDescent="0.25">
      <c r="A419" s="2" t="s">
        <v>17</v>
      </c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N419" s="2" t="s">
        <v>18</v>
      </c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1"/>
    </row>
    <row r="420" spans="1:28" ht="14.25" thickBot="1" x14ac:dyDescent="0.2">
      <c r="A420" s="5" t="s">
        <v>0</v>
      </c>
      <c r="B420" s="244" t="s">
        <v>19</v>
      </c>
      <c r="C420" s="245"/>
      <c r="D420" s="245"/>
      <c r="E420" s="245"/>
      <c r="F420" s="246"/>
      <c r="G420" s="247" t="s">
        <v>20</v>
      </c>
      <c r="H420" s="248"/>
      <c r="I420" s="248"/>
      <c r="J420" s="248"/>
      <c r="K420" s="249"/>
      <c r="L420" s="250" t="s">
        <v>1</v>
      </c>
      <c r="N420" s="5" t="s">
        <v>0</v>
      </c>
      <c r="O420" s="244" t="s">
        <v>19</v>
      </c>
      <c r="P420" s="245"/>
      <c r="Q420" s="245"/>
      <c r="R420" s="245"/>
      <c r="S420" s="246"/>
      <c r="T420" s="247" t="s">
        <v>20</v>
      </c>
      <c r="U420" s="248"/>
      <c r="V420" s="248"/>
      <c r="W420" s="248"/>
      <c r="X420" s="249"/>
      <c r="Y420" s="250" t="s">
        <v>1</v>
      </c>
    </row>
    <row r="421" spans="1:28" ht="14.25" thickBot="1" x14ac:dyDescent="0.2">
      <c r="A421" s="5" t="s">
        <v>2</v>
      </c>
      <c r="B421" s="3" t="s">
        <v>11</v>
      </c>
      <c r="C421" s="34" t="s">
        <v>12</v>
      </c>
      <c r="D421" s="4" t="s">
        <v>13</v>
      </c>
      <c r="E421" s="19" t="s">
        <v>14</v>
      </c>
      <c r="F421" s="23" t="s">
        <v>3</v>
      </c>
      <c r="G421" s="3" t="s">
        <v>11</v>
      </c>
      <c r="H421" s="34" t="s">
        <v>12</v>
      </c>
      <c r="I421" s="4" t="s">
        <v>13</v>
      </c>
      <c r="J421" s="19" t="s">
        <v>14</v>
      </c>
      <c r="K421" s="23" t="s">
        <v>3</v>
      </c>
      <c r="L421" s="251"/>
      <c r="N421" s="5" t="s">
        <v>2</v>
      </c>
      <c r="O421" s="53" t="s">
        <v>11</v>
      </c>
      <c r="P421" s="54" t="s">
        <v>12</v>
      </c>
      <c r="Q421" s="55" t="s">
        <v>13</v>
      </c>
      <c r="R421" s="56" t="s">
        <v>14</v>
      </c>
      <c r="S421" s="23" t="s">
        <v>3</v>
      </c>
      <c r="T421" s="3" t="s">
        <v>11</v>
      </c>
      <c r="U421" s="34" t="s">
        <v>12</v>
      </c>
      <c r="V421" s="4" t="s">
        <v>13</v>
      </c>
      <c r="W421" s="19" t="s">
        <v>14</v>
      </c>
      <c r="X421" s="23" t="s">
        <v>3</v>
      </c>
      <c r="Y421" s="251"/>
    </row>
    <row r="422" spans="1:28" ht="14.25" thickBot="1" x14ac:dyDescent="0.2">
      <c r="A422" s="18" t="s">
        <v>15</v>
      </c>
      <c r="B422" s="31">
        <f>B416</f>
        <v>17</v>
      </c>
      <c r="C422" s="32">
        <f>C416</f>
        <v>15</v>
      </c>
      <c r="D422" s="32">
        <f>D416</f>
        <v>21</v>
      </c>
      <c r="E422" s="33">
        <f>E416</f>
        <v>25</v>
      </c>
      <c r="F422" s="86">
        <f>SUM(B422:E422)</f>
        <v>78</v>
      </c>
      <c r="G422" s="31">
        <f>G416</f>
        <v>12</v>
      </c>
      <c r="H422" s="32">
        <f>H416</f>
        <v>25</v>
      </c>
      <c r="I422" s="32">
        <f>I416</f>
        <v>24</v>
      </c>
      <c r="J422" s="33">
        <f>J416</f>
        <v>23</v>
      </c>
      <c r="K422" s="80">
        <f>SUM(G422:J422)</f>
        <v>84</v>
      </c>
      <c r="L422" s="17">
        <f>F422+K422</f>
        <v>162</v>
      </c>
      <c r="N422" s="18" t="s">
        <v>15</v>
      </c>
      <c r="O422" s="31">
        <f>O416</f>
        <v>798</v>
      </c>
      <c r="P422" s="32">
        <f>P416</f>
        <v>931</v>
      </c>
      <c r="Q422" s="32">
        <f>Q416</f>
        <v>671</v>
      </c>
      <c r="R422" s="33">
        <f>R416</f>
        <v>547</v>
      </c>
      <c r="S422" s="86">
        <f>SUM(O422:R422)</f>
        <v>2947</v>
      </c>
      <c r="T422" s="31">
        <f>T416</f>
        <v>754</v>
      </c>
      <c r="U422" s="32">
        <f>U416</f>
        <v>885</v>
      </c>
      <c r="V422" s="32">
        <f>V416</f>
        <v>596</v>
      </c>
      <c r="W422" s="33">
        <f>W416</f>
        <v>518</v>
      </c>
      <c r="X422" s="80">
        <f>SUM(T422:W422)</f>
        <v>2753</v>
      </c>
      <c r="Y422" s="17">
        <f t="shared" ref="Y422:Y448" si="289">S422+X422</f>
        <v>5700</v>
      </c>
    </row>
    <row r="423" spans="1:28" x14ac:dyDescent="0.15">
      <c r="A423" s="59" t="s">
        <v>4</v>
      </c>
      <c r="B423" s="64">
        <v>15</v>
      </c>
      <c r="C423" s="65">
        <v>15</v>
      </c>
      <c r="D423" s="66">
        <v>10</v>
      </c>
      <c r="E423" s="67">
        <v>5</v>
      </c>
      <c r="F423" s="74">
        <f>SUM(B423:E423)</f>
        <v>45</v>
      </c>
      <c r="G423" s="65">
        <v>15</v>
      </c>
      <c r="H423" s="65">
        <v>10</v>
      </c>
      <c r="I423" s="66">
        <v>5</v>
      </c>
      <c r="J423" s="67">
        <v>5</v>
      </c>
      <c r="K423" s="74">
        <f>SUM(G423:J423)</f>
        <v>35</v>
      </c>
      <c r="L423" s="11">
        <f t="shared" ref="L423:L454" si="290">F423+K423</f>
        <v>80</v>
      </c>
      <c r="M423" s="69">
        <v>45267</v>
      </c>
      <c r="N423" s="59" t="s">
        <v>16</v>
      </c>
      <c r="O423" s="48"/>
      <c r="P423" s="49"/>
      <c r="Q423" s="50"/>
      <c r="R423" s="51"/>
      <c r="S423" s="85">
        <f>SUM(O423:R423)</f>
        <v>0</v>
      </c>
      <c r="T423" s="48"/>
      <c r="U423" s="49"/>
      <c r="V423" s="50"/>
      <c r="W423" s="51"/>
      <c r="X423" s="74">
        <f>SUM(T423:W423)</f>
        <v>0</v>
      </c>
      <c r="Y423" s="11">
        <f t="shared" si="289"/>
        <v>0</v>
      </c>
    </row>
    <row r="424" spans="1:28" x14ac:dyDescent="0.15">
      <c r="A424" s="13" t="s">
        <v>296</v>
      </c>
      <c r="B424" s="6"/>
      <c r="C424" s="22"/>
      <c r="D424" s="7"/>
      <c r="E424" s="8">
        <v>2</v>
      </c>
      <c r="F424" s="9">
        <f>SUM(B424:E424)</f>
        <v>2</v>
      </c>
      <c r="G424" s="22">
        <v>1</v>
      </c>
      <c r="H424" s="22">
        <v>1</v>
      </c>
      <c r="I424" s="7">
        <v>1</v>
      </c>
      <c r="J424" s="8">
        <v>3</v>
      </c>
      <c r="K424" s="9">
        <f>SUM(G424:J424)</f>
        <v>6</v>
      </c>
      <c r="L424" s="11">
        <f t="shared" si="290"/>
        <v>8</v>
      </c>
      <c r="M424" s="69">
        <v>45266</v>
      </c>
      <c r="N424" s="59" t="s">
        <v>4</v>
      </c>
      <c r="O424" s="48"/>
      <c r="P424" s="49"/>
      <c r="Q424" s="50"/>
      <c r="R424" s="51"/>
      <c r="S424" s="85">
        <f t="shared" ref="S424:S425" si="291">SUM(O424:R424)</f>
        <v>0</v>
      </c>
      <c r="T424" s="48"/>
      <c r="U424" s="49"/>
      <c r="V424" s="50"/>
      <c r="W424" s="51"/>
      <c r="X424" s="74">
        <f t="shared" ref="X424:X425" si="292">SUM(T424:W424)</f>
        <v>0</v>
      </c>
      <c r="Y424" s="11">
        <f t="shared" ref="Y424:Y425" si="293">S424+X424</f>
        <v>0</v>
      </c>
    </row>
    <row r="425" spans="1:28" x14ac:dyDescent="0.15">
      <c r="A425" s="59" t="s">
        <v>6</v>
      </c>
      <c r="B425" s="6">
        <v>5</v>
      </c>
      <c r="C425" s="22">
        <v>25</v>
      </c>
      <c r="D425" s="7">
        <v>5</v>
      </c>
      <c r="E425" s="8">
        <v>5</v>
      </c>
      <c r="F425" s="9">
        <f>SUM(B425:E425)</f>
        <v>40</v>
      </c>
      <c r="G425" s="22">
        <v>10</v>
      </c>
      <c r="H425" s="22">
        <v>25</v>
      </c>
      <c r="I425" s="7">
        <v>5</v>
      </c>
      <c r="J425" s="8">
        <v>5</v>
      </c>
      <c r="K425" s="9">
        <f>SUM(G425:J425)</f>
        <v>45</v>
      </c>
      <c r="L425" s="47">
        <f t="shared" ref="L425" si="294">F425+K425</f>
        <v>85</v>
      </c>
      <c r="M425" s="69">
        <v>45275</v>
      </c>
      <c r="N425" s="59" t="s">
        <v>5</v>
      </c>
      <c r="O425" s="48"/>
      <c r="P425" s="49"/>
      <c r="Q425" s="50"/>
      <c r="R425" s="51"/>
      <c r="S425" s="85">
        <f t="shared" si="291"/>
        <v>0</v>
      </c>
      <c r="T425" s="48"/>
      <c r="U425" s="49"/>
      <c r="V425" s="50"/>
      <c r="W425" s="51"/>
      <c r="X425" s="74">
        <f t="shared" si="292"/>
        <v>0</v>
      </c>
      <c r="Y425" s="11">
        <f t="shared" si="293"/>
        <v>0</v>
      </c>
    </row>
    <row r="426" spans="1:28" ht="14.25" thickBot="1" x14ac:dyDescent="0.2">
      <c r="A426" s="59" t="s">
        <v>7</v>
      </c>
      <c r="B426" s="64">
        <v>10</v>
      </c>
      <c r="C426" s="65">
        <v>10</v>
      </c>
      <c r="D426" s="66">
        <v>10</v>
      </c>
      <c r="E426" s="67">
        <v>5</v>
      </c>
      <c r="F426" s="60">
        <v>35</v>
      </c>
      <c r="G426" s="65">
        <v>10</v>
      </c>
      <c r="H426" s="65">
        <v>15</v>
      </c>
      <c r="I426" s="66">
        <v>15</v>
      </c>
      <c r="J426" s="67">
        <v>10</v>
      </c>
      <c r="K426" s="60">
        <v>50</v>
      </c>
      <c r="L426" s="14">
        <v>85</v>
      </c>
      <c r="M426" s="69">
        <v>45286</v>
      </c>
      <c r="N426" s="13" t="s">
        <v>6</v>
      </c>
      <c r="O426" s="43"/>
      <c r="P426" s="44"/>
      <c r="Q426" s="45"/>
      <c r="R426" s="46"/>
      <c r="S426" s="58">
        <f>SUM(O426:R426)</f>
        <v>0</v>
      </c>
      <c r="T426" s="35"/>
      <c r="U426" s="35"/>
      <c r="V426" s="21"/>
      <c r="W426" s="38"/>
      <c r="X426" s="10">
        <f>SUM(T426:W426)</f>
        <v>0</v>
      </c>
      <c r="Y426" s="14">
        <f t="shared" si="289"/>
        <v>0</v>
      </c>
    </row>
    <row r="427" spans="1:28" ht="14.25" thickBot="1" x14ac:dyDescent="0.2">
      <c r="A427" s="18" t="s">
        <v>8</v>
      </c>
      <c r="B427" s="76">
        <f t="shared" ref="B427:K427" si="295">SUM(B422:B426)</f>
        <v>47</v>
      </c>
      <c r="C427" s="77">
        <f t="shared" si="295"/>
        <v>65</v>
      </c>
      <c r="D427" s="78">
        <f t="shared" si="295"/>
        <v>46</v>
      </c>
      <c r="E427" s="79">
        <f t="shared" si="295"/>
        <v>42</v>
      </c>
      <c r="F427" s="80">
        <f t="shared" si="295"/>
        <v>200</v>
      </c>
      <c r="G427" s="76">
        <f t="shared" si="295"/>
        <v>48</v>
      </c>
      <c r="H427" s="77">
        <f t="shared" si="295"/>
        <v>76</v>
      </c>
      <c r="I427" s="78">
        <f t="shared" si="295"/>
        <v>50</v>
      </c>
      <c r="J427" s="79">
        <f t="shared" si="295"/>
        <v>46</v>
      </c>
      <c r="K427" s="80">
        <f t="shared" si="295"/>
        <v>220</v>
      </c>
      <c r="L427" s="17">
        <f t="shared" si="290"/>
        <v>420</v>
      </c>
      <c r="N427" s="16" t="s">
        <v>8</v>
      </c>
      <c r="O427" s="31">
        <f t="shared" ref="O427:X427" si="296">SUM(O422:O426)</f>
        <v>798</v>
      </c>
      <c r="P427" s="37">
        <f t="shared" si="296"/>
        <v>931</v>
      </c>
      <c r="Q427" s="32">
        <f t="shared" si="296"/>
        <v>671</v>
      </c>
      <c r="R427" s="82">
        <f t="shared" si="296"/>
        <v>547</v>
      </c>
      <c r="S427" s="83">
        <f t="shared" si="296"/>
        <v>2947</v>
      </c>
      <c r="T427" s="31">
        <f t="shared" si="296"/>
        <v>754</v>
      </c>
      <c r="U427" s="37">
        <f t="shared" si="296"/>
        <v>885</v>
      </c>
      <c r="V427" s="32">
        <f t="shared" si="296"/>
        <v>596</v>
      </c>
      <c r="W427" s="82">
        <f t="shared" si="296"/>
        <v>518</v>
      </c>
      <c r="X427" s="83">
        <f t="shared" si="296"/>
        <v>2753</v>
      </c>
      <c r="Y427" s="39">
        <f t="shared" si="289"/>
        <v>5700</v>
      </c>
    </row>
    <row r="428" spans="1:28" x14ac:dyDescent="0.15">
      <c r="A428" s="59" t="s">
        <v>27</v>
      </c>
      <c r="B428" s="20">
        <v>1</v>
      </c>
      <c r="C428" s="35">
        <v>1</v>
      </c>
      <c r="D428" s="21"/>
      <c r="E428" s="24">
        <v>1</v>
      </c>
      <c r="F428" s="25">
        <f t="shared" ref="F428" si="297">SUM(B428:E428)</f>
        <v>3</v>
      </c>
      <c r="G428" s="20">
        <v>1</v>
      </c>
      <c r="H428" s="35">
        <v>1</v>
      </c>
      <c r="I428" s="21"/>
      <c r="J428" s="24"/>
      <c r="K428" s="25">
        <f t="shared" ref="K428" si="298">SUM(G428:J428)</f>
        <v>2</v>
      </c>
      <c r="L428" s="11">
        <f t="shared" ref="L428" si="299">F428+K428</f>
        <v>5</v>
      </c>
      <c r="M428" s="71">
        <v>45267</v>
      </c>
      <c r="N428" s="40" t="s">
        <v>26</v>
      </c>
      <c r="O428" s="20">
        <v>10</v>
      </c>
      <c r="P428" s="35">
        <v>10</v>
      </c>
      <c r="Q428" s="21">
        <v>10</v>
      </c>
      <c r="R428" s="38">
        <v>5</v>
      </c>
      <c r="S428" s="9">
        <f>SUM(O428:R428)</f>
        <v>35</v>
      </c>
      <c r="T428" s="20">
        <v>10</v>
      </c>
      <c r="U428" s="35">
        <v>15</v>
      </c>
      <c r="V428" s="21">
        <v>15</v>
      </c>
      <c r="W428" s="38">
        <v>10</v>
      </c>
      <c r="X428" s="9">
        <f>SUM(T428:W428)</f>
        <v>50</v>
      </c>
      <c r="Y428" s="11">
        <f t="shared" si="289"/>
        <v>85</v>
      </c>
      <c r="Z428" s="69">
        <v>45285</v>
      </c>
      <c r="AA428" s="41"/>
      <c r="AB428" s="41"/>
    </row>
    <row r="429" spans="1:28" x14ac:dyDescent="0.15">
      <c r="A429" s="40" t="s">
        <v>298</v>
      </c>
      <c r="B429" s="20">
        <v>1</v>
      </c>
      <c r="C429" s="35"/>
      <c r="D429" s="21"/>
      <c r="E429" s="24"/>
      <c r="F429" s="25">
        <f t="shared" ref="F429:F452" si="300">SUM(B429:E429)</f>
        <v>1</v>
      </c>
      <c r="G429" s="20">
        <v>1</v>
      </c>
      <c r="H429" s="35"/>
      <c r="I429" s="21"/>
      <c r="J429" s="24"/>
      <c r="K429" s="25">
        <f t="shared" ref="K429:K452" si="301">SUM(G429:J429)</f>
        <v>1</v>
      </c>
      <c r="L429" s="11">
        <f t="shared" si="290"/>
        <v>2</v>
      </c>
      <c r="M429" s="69">
        <v>45273</v>
      </c>
      <c r="N429" s="40"/>
      <c r="O429" s="20"/>
      <c r="P429" s="35"/>
      <c r="Q429" s="21"/>
      <c r="R429" s="38"/>
      <c r="S429" s="9">
        <f t="shared" ref="S429:S433" si="302">SUM(O429:R429)</f>
        <v>0</v>
      </c>
      <c r="T429" s="20"/>
      <c r="U429" s="35"/>
      <c r="V429" s="21"/>
      <c r="W429" s="38"/>
      <c r="X429" s="9">
        <f t="shared" ref="X429:X433" si="303">SUM(T429:W429)</f>
        <v>0</v>
      </c>
      <c r="Y429" s="11">
        <f t="shared" ref="Y429:Y433" si="304">S429+X429</f>
        <v>0</v>
      </c>
      <c r="Z429" s="162"/>
      <c r="AA429" s="41"/>
      <c r="AB429" s="41"/>
    </row>
    <row r="430" spans="1:28" x14ac:dyDescent="0.15">
      <c r="A430" s="59" t="s">
        <v>32</v>
      </c>
      <c r="B430" s="20"/>
      <c r="C430" s="35">
        <v>1</v>
      </c>
      <c r="D430" s="21"/>
      <c r="E430" s="24"/>
      <c r="F430" s="25">
        <f t="shared" si="300"/>
        <v>1</v>
      </c>
      <c r="G430" s="20">
        <v>3</v>
      </c>
      <c r="H430" s="35">
        <v>1</v>
      </c>
      <c r="I430" s="21"/>
      <c r="J430" s="24"/>
      <c r="K430" s="25">
        <f t="shared" si="301"/>
        <v>4</v>
      </c>
      <c r="L430" s="11">
        <f t="shared" si="290"/>
        <v>5</v>
      </c>
      <c r="M430" s="69">
        <v>45272</v>
      </c>
      <c r="N430" s="40"/>
      <c r="O430" s="20"/>
      <c r="P430" s="35"/>
      <c r="Q430" s="21"/>
      <c r="R430" s="38"/>
      <c r="S430" s="9">
        <f t="shared" si="302"/>
        <v>0</v>
      </c>
      <c r="T430" s="20"/>
      <c r="U430" s="35"/>
      <c r="V430" s="21"/>
      <c r="W430" s="38"/>
      <c r="X430" s="9">
        <f t="shared" si="303"/>
        <v>0</v>
      </c>
      <c r="Y430" s="11">
        <f t="shared" si="304"/>
        <v>0</v>
      </c>
      <c r="Z430" s="162"/>
      <c r="AA430" s="41"/>
      <c r="AB430" s="41"/>
    </row>
    <row r="431" spans="1:28" x14ac:dyDescent="0.15">
      <c r="A431" s="59" t="s">
        <v>27</v>
      </c>
      <c r="B431" s="20">
        <v>3</v>
      </c>
      <c r="C431" s="35">
        <f>4+1+8</f>
        <v>13</v>
      </c>
      <c r="D431" s="21">
        <v>2</v>
      </c>
      <c r="E431" s="24">
        <v>4</v>
      </c>
      <c r="F431" s="25">
        <f t="shared" si="300"/>
        <v>22</v>
      </c>
      <c r="G431" s="20">
        <v>2</v>
      </c>
      <c r="H431" s="35">
        <f>2+1+7</f>
        <v>10</v>
      </c>
      <c r="I431" s="21">
        <v>3</v>
      </c>
      <c r="J431" s="24">
        <v>4</v>
      </c>
      <c r="K431" s="25">
        <f t="shared" si="301"/>
        <v>19</v>
      </c>
      <c r="L431" s="11">
        <f t="shared" si="290"/>
        <v>41</v>
      </c>
      <c r="M431" s="71">
        <v>45271</v>
      </c>
      <c r="N431" s="40"/>
      <c r="O431" s="20"/>
      <c r="P431" s="35"/>
      <c r="Q431" s="21"/>
      <c r="R431" s="38"/>
      <c r="S431" s="9">
        <f t="shared" si="302"/>
        <v>0</v>
      </c>
      <c r="T431" s="20"/>
      <c r="U431" s="35"/>
      <c r="V431" s="21"/>
      <c r="W431" s="38"/>
      <c r="X431" s="9">
        <f t="shared" si="303"/>
        <v>0</v>
      </c>
      <c r="Y431" s="11">
        <f t="shared" si="304"/>
        <v>0</v>
      </c>
    </row>
    <row r="432" spans="1:28" x14ac:dyDescent="0.15">
      <c r="A432" s="40" t="s">
        <v>303</v>
      </c>
      <c r="B432" s="20"/>
      <c r="C432" s="35">
        <v>2</v>
      </c>
      <c r="D432" s="21"/>
      <c r="E432" s="24"/>
      <c r="F432" s="25">
        <f t="shared" si="300"/>
        <v>2</v>
      </c>
      <c r="G432" s="20"/>
      <c r="H432" s="35">
        <v>2</v>
      </c>
      <c r="I432" s="21"/>
      <c r="J432" s="24"/>
      <c r="K432" s="25">
        <f t="shared" si="301"/>
        <v>2</v>
      </c>
      <c r="L432" s="11">
        <f t="shared" si="290"/>
        <v>4</v>
      </c>
      <c r="M432" s="69">
        <v>45274</v>
      </c>
      <c r="N432" s="40"/>
      <c r="O432" s="20"/>
      <c r="P432" s="35"/>
      <c r="Q432" s="21"/>
      <c r="R432" s="38"/>
      <c r="S432" s="9">
        <f t="shared" si="302"/>
        <v>0</v>
      </c>
      <c r="T432" s="20"/>
      <c r="U432" s="35"/>
      <c r="V432" s="21"/>
      <c r="W432" s="38"/>
      <c r="X432" s="9">
        <f t="shared" si="303"/>
        <v>0</v>
      </c>
      <c r="Y432" s="11">
        <f t="shared" si="304"/>
        <v>0</v>
      </c>
    </row>
    <row r="433" spans="1:25" x14ac:dyDescent="0.15">
      <c r="A433" s="59" t="s">
        <v>27</v>
      </c>
      <c r="B433" s="20"/>
      <c r="C433" s="35"/>
      <c r="D433" s="21">
        <v>1</v>
      </c>
      <c r="E433" s="24"/>
      <c r="F433" s="25">
        <f t="shared" si="300"/>
        <v>1</v>
      </c>
      <c r="G433" s="20"/>
      <c r="H433" s="35">
        <v>3</v>
      </c>
      <c r="I433" s="21">
        <v>1</v>
      </c>
      <c r="J433" s="24"/>
      <c r="K433" s="25">
        <f t="shared" si="301"/>
        <v>4</v>
      </c>
      <c r="L433" s="11">
        <f t="shared" si="290"/>
        <v>5</v>
      </c>
      <c r="M433" s="71">
        <v>45272</v>
      </c>
      <c r="N433" s="40"/>
      <c r="O433" s="20"/>
      <c r="P433" s="35"/>
      <c r="Q433" s="21"/>
      <c r="R433" s="38"/>
      <c r="S433" s="9">
        <f t="shared" si="302"/>
        <v>0</v>
      </c>
      <c r="T433" s="20"/>
      <c r="U433" s="35"/>
      <c r="V433" s="21"/>
      <c r="W433" s="38"/>
      <c r="X433" s="9">
        <f t="shared" si="303"/>
        <v>0</v>
      </c>
      <c r="Y433" s="11">
        <f t="shared" si="304"/>
        <v>0</v>
      </c>
    </row>
    <row r="434" spans="1:25" x14ac:dyDescent="0.15">
      <c r="A434" s="59" t="s">
        <v>27</v>
      </c>
      <c r="B434" s="20">
        <v>1</v>
      </c>
      <c r="C434" s="35"/>
      <c r="D434" s="21"/>
      <c r="E434" s="24"/>
      <c r="F434" s="25">
        <f t="shared" si="300"/>
        <v>1</v>
      </c>
      <c r="G434" s="20">
        <v>1</v>
      </c>
      <c r="H434" s="35"/>
      <c r="I434" s="21"/>
      <c r="J434" s="24"/>
      <c r="K434" s="25">
        <f t="shared" si="301"/>
        <v>1</v>
      </c>
      <c r="L434" s="11">
        <f t="shared" si="290"/>
        <v>2</v>
      </c>
      <c r="M434" s="71">
        <v>45273</v>
      </c>
      <c r="N434" s="40"/>
      <c r="O434" s="20"/>
      <c r="P434" s="35"/>
      <c r="Q434" s="21"/>
      <c r="R434" s="38"/>
      <c r="S434" s="9">
        <f t="shared" ref="S434:S440" si="305">SUM(O434:R434)</f>
        <v>0</v>
      </c>
      <c r="T434" s="20"/>
      <c r="U434" s="35"/>
      <c r="V434" s="21"/>
      <c r="W434" s="38"/>
      <c r="X434" s="9">
        <f t="shared" ref="X434:X440" si="306">SUM(T434:W434)</f>
        <v>0</v>
      </c>
      <c r="Y434" s="11">
        <f t="shared" si="289"/>
        <v>0</v>
      </c>
    </row>
    <row r="435" spans="1:25" x14ac:dyDescent="0.15">
      <c r="A435" s="13" t="s">
        <v>305</v>
      </c>
      <c r="B435" s="20">
        <v>-1</v>
      </c>
      <c r="C435" s="35">
        <v>-1</v>
      </c>
      <c r="D435" s="21"/>
      <c r="E435" s="24"/>
      <c r="F435" s="25">
        <f t="shared" si="300"/>
        <v>-2</v>
      </c>
      <c r="G435" s="20">
        <v>-1</v>
      </c>
      <c r="H435" s="35">
        <v>-1</v>
      </c>
      <c r="I435" s="21"/>
      <c r="J435" s="24"/>
      <c r="K435" s="25">
        <f t="shared" si="301"/>
        <v>-2</v>
      </c>
      <c r="L435" s="11">
        <f t="shared" si="290"/>
        <v>-4</v>
      </c>
      <c r="M435" s="69">
        <v>45273</v>
      </c>
      <c r="N435" s="40"/>
      <c r="O435" s="20"/>
      <c r="P435" s="35"/>
      <c r="Q435" s="21"/>
      <c r="R435" s="38"/>
      <c r="S435" s="9">
        <f t="shared" si="305"/>
        <v>0</v>
      </c>
      <c r="T435" s="20"/>
      <c r="U435" s="35"/>
      <c r="V435" s="21"/>
      <c r="W435" s="38"/>
      <c r="X435" s="9">
        <f t="shared" si="306"/>
        <v>0</v>
      </c>
      <c r="Y435" s="11">
        <f t="shared" si="289"/>
        <v>0</v>
      </c>
    </row>
    <row r="436" spans="1:25" x14ac:dyDescent="0.15">
      <c r="A436" s="40" t="s">
        <v>308</v>
      </c>
      <c r="B436" s="20">
        <v>1</v>
      </c>
      <c r="C436" s="35"/>
      <c r="D436" s="21"/>
      <c r="E436" s="24"/>
      <c r="F436" s="25">
        <f t="shared" ref="F436:F450" si="307">SUM(B436:E436)</f>
        <v>1</v>
      </c>
      <c r="G436" s="20">
        <v>1</v>
      </c>
      <c r="H436" s="35"/>
      <c r="I436" s="21"/>
      <c r="J436" s="24"/>
      <c r="K436" s="25">
        <f t="shared" ref="K436:K450" si="308">SUM(G436:J436)</f>
        <v>1</v>
      </c>
      <c r="L436" s="11">
        <f t="shared" ref="L436:L450" si="309">F436+K436</f>
        <v>2</v>
      </c>
      <c r="M436" s="69">
        <v>45275</v>
      </c>
      <c r="N436" s="40"/>
      <c r="O436" s="20"/>
      <c r="P436" s="35"/>
      <c r="Q436" s="21"/>
      <c r="R436" s="38"/>
      <c r="S436" s="9">
        <f t="shared" si="305"/>
        <v>0</v>
      </c>
      <c r="T436" s="20"/>
      <c r="U436" s="35"/>
      <c r="V436" s="21"/>
      <c r="W436" s="38"/>
      <c r="X436" s="9">
        <f t="shared" si="306"/>
        <v>0</v>
      </c>
      <c r="Y436" s="11">
        <f t="shared" si="289"/>
        <v>0</v>
      </c>
    </row>
    <row r="437" spans="1:25" x14ac:dyDescent="0.15">
      <c r="A437" s="59" t="s">
        <v>210</v>
      </c>
      <c r="B437" s="20"/>
      <c r="C437" s="35">
        <v>5</v>
      </c>
      <c r="D437" s="21"/>
      <c r="E437" s="24">
        <v>2</v>
      </c>
      <c r="F437" s="25">
        <f t="shared" si="307"/>
        <v>7</v>
      </c>
      <c r="G437" s="20"/>
      <c r="H437" s="35">
        <v>10</v>
      </c>
      <c r="I437" s="21"/>
      <c r="J437" s="24">
        <v>2</v>
      </c>
      <c r="K437" s="25">
        <f t="shared" si="308"/>
        <v>12</v>
      </c>
      <c r="L437" s="11">
        <f t="shared" si="309"/>
        <v>19</v>
      </c>
      <c r="M437" s="69">
        <v>45275</v>
      </c>
      <c r="N437" s="40"/>
      <c r="O437" s="20"/>
      <c r="P437" s="35"/>
      <c r="Q437" s="21"/>
      <c r="R437" s="38"/>
      <c r="S437" s="9">
        <f t="shared" si="305"/>
        <v>0</v>
      </c>
      <c r="T437" s="20"/>
      <c r="U437" s="35"/>
      <c r="V437" s="21"/>
      <c r="W437" s="38"/>
      <c r="X437" s="9">
        <f t="shared" si="306"/>
        <v>0</v>
      </c>
      <c r="Y437" s="11">
        <f t="shared" si="289"/>
        <v>0</v>
      </c>
    </row>
    <row r="438" spans="1:25" x14ac:dyDescent="0.15">
      <c r="A438" s="59" t="s">
        <v>27</v>
      </c>
      <c r="B438" s="20"/>
      <c r="C438" s="35">
        <v>1</v>
      </c>
      <c r="D438" s="21"/>
      <c r="E438" s="24"/>
      <c r="F438" s="25">
        <f t="shared" si="307"/>
        <v>1</v>
      </c>
      <c r="G438" s="20"/>
      <c r="H438" s="35">
        <v>1</v>
      </c>
      <c r="I438" s="21"/>
      <c r="J438" s="24"/>
      <c r="K438" s="25">
        <f t="shared" si="308"/>
        <v>1</v>
      </c>
      <c r="L438" s="11">
        <f t="shared" si="309"/>
        <v>2</v>
      </c>
      <c r="M438" s="71">
        <v>45274</v>
      </c>
      <c r="N438" s="40"/>
      <c r="O438" s="20"/>
      <c r="P438" s="35"/>
      <c r="Q438" s="21"/>
      <c r="R438" s="38"/>
      <c r="S438" s="9">
        <f t="shared" si="305"/>
        <v>0</v>
      </c>
      <c r="T438" s="20"/>
      <c r="U438" s="35"/>
      <c r="V438" s="21"/>
      <c r="W438" s="38"/>
      <c r="X438" s="9">
        <f t="shared" si="306"/>
        <v>0</v>
      </c>
      <c r="Y438" s="11">
        <f t="shared" si="289"/>
        <v>0</v>
      </c>
    </row>
    <row r="439" spans="1:25" x14ac:dyDescent="0.15">
      <c r="A439" s="40" t="s">
        <v>309</v>
      </c>
      <c r="B439" s="20"/>
      <c r="C439" s="35">
        <v>1</v>
      </c>
      <c r="D439" s="21"/>
      <c r="E439" s="24"/>
      <c r="F439" s="25">
        <f t="shared" si="307"/>
        <v>1</v>
      </c>
      <c r="G439" s="20"/>
      <c r="H439" s="35">
        <v>1</v>
      </c>
      <c r="I439" s="21"/>
      <c r="J439" s="24"/>
      <c r="K439" s="25">
        <f t="shared" si="308"/>
        <v>1</v>
      </c>
      <c r="L439" s="11">
        <f t="shared" si="309"/>
        <v>2</v>
      </c>
      <c r="M439" s="69">
        <v>45278</v>
      </c>
      <c r="N439" s="40"/>
      <c r="O439" s="20"/>
      <c r="P439" s="35"/>
      <c r="Q439" s="21"/>
      <c r="R439" s="38"/>
      <c r="S439" s="9">
        <f t="shared" si="305"/>
        <v>0</v>
      </c>
      <c r="T439" s="20"/>
      <c r="U439" s="35"/>
      <c r="V439" s="21"/>
      <c r="W439" s="38"/>
      <c r="X439" s="9">
        <f t="shared" si="306"/>
        <v>0</v>
      </c>
      <c r="Y439" s="11">
        <f t="shared" si="289"/>
        <v>0</v>
      </c>
    </row>
    <row r="440" spans="1:25" x14ac:dyDescent="0.15">
      <c r="A440" s="59" t="s">
        <v>27</v>
      </c>
      <c r="B440" s="20">
        <v>1</v>
      </c>
      <c r="C440" s="35"/>
      <c r="D440" s="21"/>
      <c r="E440" s="24"/>
      <c r="F440" s="25">
        <f t="shared" si="307"/>
        <v>1</v>
      </c>
      <c r="G440" s="20">
        <v>1</v>
      </c>
      <c r="H440" s="35"/>
      <c r="I440" s="21"/>
      <c r="J440" s="24"/>
      <c r="K440" s="25">
        <f t="shared" si="308"/>
        <v>1</v>
      </c>
      <c r="L440" s="11">
        <f t="shared" si="309"/>
        <v>2</v>
      </c>
      <c r="M440" s="71">
        <v>45275</v>
      </c>
      <c r="N440" s="40"/>
      <c r="O440" s="20"/>
      <c r="P440" s="35"/>
      <c r="Q440" s="21"/>
      <c r="R440" s="38"/>
      <c r="S440" s="9">
        <f t="shared" si="305"/>
        <v>0</v>
      </c>
      <c r="T440" s="20"/>
      <c r="U440" s="35"/>
      <c r="V440" s="21"/>
      <c r="W440" s="38"/>
      <c r="X440" s="9">
        <f t="shared" si="306"/>
        <v>0</v>
      </c>
      <c r="Y440" s="11">
        <f t="shared" si="289"/>
        <v>0</v>
      </c>
    </row>
    <row r="441" spans="1:25" x14ac:dyDescent="0.15">
      <c r="A441" s="59" t="s">
        <v>27</v>
      </c>
      <c r="B441" s="20"/>
      <c r="C441" s="35">
        <v>1</v>
      </c>
      <c r="D441" s="21"/>
      <c r="E441" s="24"/>
      <c r="F441" s="25">
        <f t="shared" si="307"/>
        <v>1</v>
      </c>
      <c r="G441" s="20"/>
      <c r="H441" s="35">
        <v>2</v>
      </c>
      <c r="I441" s="21"/>
      <c r="J441" s="24"/>
      <c r="K441" s="25">
        <f t="shared" si="308"/>
        <v>2</v>
      </c>
      <c r="L441" s="11">
        <f t="shared" si="309"/>
        <v>3</v>
      </c>
      <c r="M441" s="71">
        <v>45276</v>
      </c>
      <c r="N441" s="12"/>
      <c r="O441" s="20"/>
      <c r="P441" s="35"/>
      <c r="Q441" s="21"/>
      <c r="R441" s="38"/>
      <c r="S441" s="9">
        <f>SUM(O441:R441)</f>
        <v>0</v>
      </c>
      <c r="T441" s="20"/>
      <c r="U441" s="35"/>
      <c r="V441" s="21"/>
      <c r="W441" s="38"/>
      <c r="X441" s="9">
        <f>SUM(T441:W441)</f>
        <v>0</v>
      </c>
      <c r="Y441" s="11">
        <f t="shared" si="289"/>
        <v>0</v>
      </c>
    </row>
    <row r="442" spans="1:25" x14ac:dyDescent="0.15">
      <c r="A442" s="40" t="s">
        <v>312</v>
      </c>
      <c r="B442" s="20"/>
      <c r="C442" s="35"/>
      <c r="D442" s="21">
        <v>1</v>
      </c>
      <c r="E442" s="24">
        <v>1</v>
      </c>
      <c r="F442" s="25">
        <f t="shared" si="307"/>
        <v>2</v>
      </c>
      <c r="G442" s="20"/>
      <c r="H442" s="35"/>
      <c r="I442" s="21">
        <v>1</v>
      </c>
      <c r="J442" s="24">
        <v>1</v>
      </c>
      <c r="K442" s="25">
        <f t="shared" si="308"/>
        <v>2</v>
      </c>
      <c r="L442" s="11">
        <f t="shared" si="309"/>
        <v>4</v>
      </c>
      <c r="M442" s="69">
        <v>45280</v>
      </c>
      <c r="N442" s="40"/>
      <c r="O442" s="20"/>
      <c r="P442" s="35"/>
      <c r="Q442" s="21"/>
      <c r="R442" s="38"/>
      <c r="S442" s="9">
        <f t="shared" ref="S442:S448" si="310">SUM(O442:R442)</f>
        <v>0</v>
      </c>
      <c r="T442" s="20"/>
      <c r="U442" s="35"/>
      <c r="V442" s="21"/>
      <c r="W442" s="38"/>
      <c r="X442" s="9">
        <f t="shared" ref="X442:X448" si="311">SUM(T442:W442)</f>
        <v>0</v>
      </c>
      <c r="Y442" s="11">
        <f t="shared" si="289"/>
        <v>0</v>
      </c>
    </row>
    <row r="443" spans="1:25" x14ac:dyDescent="0.15">
      <c r="A443" s="59" t="s">
        <v>27</v>
      </c>
      <c r="B443" s="20">
        <v>2</v>
      </c>
      <c r="C443" s="35"/>
      <c r="D443" s="21">
        <v>1</v>
      </c>
      <c r="E443" s="24"/>
      <c r="F443" s="25">
        <f t="shared" si="307"/>
        <v>3</v>
      </c>
      <c r="G443" s="20">
        <v>5</v>
      </c>
      <c r="H443" s="35">
        <v>4</v>
      </c>
      <c r="I443" s="21">
        <v>1</v>
      </c>
      <c r="J443" s="24">
        <v>1</v>
      </c>
      <c r="K443" s="25">
        <f t="shared" si="308"/>
        <v>11</v>
      </c>
      <c r="L443" s="11">
        <f t="shared" si="309"/>
        <v>14</v>
      </c>
      <c r="M443" s="71">
        <v>45278</v>
      </c>
      <c r="N443" s="15"/>
      <c r="O443" s="20"/>
      <c r="P443" s="35"/>
      <c r="Q443" s="21"/>
      <c r="R443" s="38"/>
      <c r="S443" s="9">
        <f t="shared" si="310"/>
        <v>0</v>
      </c>
      <c r="T443" s="20"/>
      <c r="U443" s="35"/>
      <c r="V443" s="21"/>
      <c r="W443" s="38"/>
      <c r="X443" s="9">
        <f t="shared" si="311"/>
        <v>0</v>
      </c>
      <c r="Y443" s="11">
        <f t="shared" si="289"/>
        <v>0</v>
      </c>
    </row>
    <row r="444" spans="1:25" x14ac:dyDescent="0.15">
      <c r="A444" s="59" t="s">
        <v>27</v>
      </c>
      <c r="B444" s="20">
        <v>1</v>
      </c>
      <c r="C444" s="35">
        <v>3</v>
      </c>
      <c r="D444" s="21">
        <v>1</v>
      </c>
      <c r="E444" s="24">
        <v>1</v>
      </c>
      <c r="F444" s="25">
        <f t="shared" si="307"/>
        <v>6</v>
      </c>
      <c r="G444" s="20">
        <v>1</v>
      </c>
      <c r="H444" s="35">
        <v>2</v>
      </c>
      <c r="I444" s="21">
        <v>1</v>
      </c>
      <c r="J444" s="24">
        <f>1+1</f>
        <v>2</v>
      </c>
      <c r="K444" s="25">
        <f t="shared" si="308"/>
        <v>6</v>
      </c>
      <c r="L444" s="11">
        <f t="shared" si="309"/>
        <v>12</v>
      </c>
      <c r="M444" s="71">
        <v>45280</v>
      </c>
      <c r="N444" s="40"/>
      <c r="O444" s="20"/>
      <c r="P444" s="35"/>
      <c r="Q444" s="21"/>
      <c r="R444" s="38"/>
      <c r="S444" s="9">
        <f t="shared" si="310"/>
        <v>0</v>
      </c>
      <c r="T444" s="20"/>
      <c r="U444" s="35"/>
      <c r="V444" s="21"/>
      <c r="W444" s="38"/>
      <c r="X444" s="9">
        <f t="shared" si="311"/>
        <v>0</v>
      </c>
      <c r="Y444" s="11">
        <f t="shared" si="289"/>
        <v>0</v>
      </c>
    </row>
    <row r="445" spans="1:25" x14ac:dyDescent="0.15">
      <c r="A445" s="59" t="s">
        <v>27</v>
      </c>
      <c r="B445" s="20"/>
      <c r="C445" s="35"/>
      <c r="D445" s="21">
        <v>2</v>
      </c>
      <c r="E445" s="24"/>
      <c r="F445" s="25">
        <f t="shared" si="307"/>
        <v>2</v>
      </c>
      <c r="G445" s="20"/>
      <c r="H445" s="35"/>
      <c r="I445" s="21">
        <v>5</v>
      </c>
      <c r="J445" s="24"/>
      <c r="K445" s="25">
        <f t="shared" si="308"/>
        <v>5</v>
      </c>
      <c r="L445" s="11">
        <f t="shared" si="309"/>
        <v>7</v>
      </c>
      <c r="M445" s="71">
        <v>45281</v>
      </c>
      <c r="N445" s="40"/>
      <c r="O445" s="48"/>
      <c r="P445" s="49"/>
      <c r="Q445" s="50"/>
      <c r="R445" s="72"/>
      <c r="S445" s="74">
        <f t="shared" si="310"/>
        <v>0</v>
      </c>
      <c r="T445" s="48"/>
      <c r="U445" s="49"/>
      <c r="V445" s="50"/>
      <c r="W445" s="72"/>
      <c r="X445" s="74">
        <f t="shared" si="311"/>
        <v>0</v>
      </c>
      <c r="Y445" s="11">
        <f t="shared" si="289"/>
        <v>0</v>
      </c>
    </row>
    <row r="446" spans="1:25" x14ac:dyDescent="0.15">
      <c r="A446" s="40" t="s">
        <v>313</v>
      </c>
      <c r="B446" s="20"/>
      <c r="C446" s="35"/>
      <c r="D446" s="21">
        <v>1</v>
      </c>
      <c r="E446" s="24"/>
      <c r="F446" s="25">
        <f t="shared" si="307"/>
        <v>1</v>
      </c>
      <c r="G446" s="20"/>
      <c r="H446" s="35"/>
      <c r="I446" s="21">
        <v>1</v>
      </c>
      <c r="J446" s="24"/>
      <c r="K446" s="25">
        <f t="shared" si="308"/>
        <v>1</v>
      </c>
      <c r="L446" s="11">
        <f t="shared" si="309"/>
        <v>2</v>
      </c>
      <c r="M446" s="69">
        <v>45285</v>
      </c>
      <c r="N446" s="12"/>
      <c r="O446" s="20"/>
      <c r="P446" s="35"/>
      <c r="Q446" s="21"/>
      <c r="R446" s="38"/>
      <c r="S446" s="9">
        <f t="shared" si="310"/>
        <v>0</v>
      </c>
      <c r="T446" s="20"/>
      <c r="U446" s="35"/>
      <c r="V446" s="21"/>
      <c r="W446" s="38"/>
      <c r="X446" s="9">
        <f t="shared" si="311"/>
        <v>0</v>
      </c>
      <c r="Y446" s="47">
        <f t="shared" si="289"/>
        <v>0</v>
      </c>
    </row>
    <row r="447" spans="1:25" x14ac:dyDescent="0.15">
      <c r="A447" s="59" t="s">
        <v>27</v>
      </c>
      <c r="B447" s="20">
        <v>2</v>
      </c>
      <c r="C447" s="35"/>
      <c r="D447" s="21"/>
      <c r="E447" s="24">
        <v>1</v>
      </c>
      <c r="F447" s="25">
        <f t="shared" si="307"/>
        <v>3</v>
      </c>
      <c r="G447" s="20">
        <v>1</v>
      </c>
      <c r="H447" s="35"/>
      <c r="I447" s="21"/>
      <c r="J447" s="24">
        <f>1+2</f>
        <v>3</v>
      </c>
      <c r="K447" s="25">
        <f t="shared" si="308"/>
        <v>4</v>
      </c>
      <c r="L447" s="11">
        <f t="shared" si="309"/>
        <v>7</v>
      </c>
      <c r="M447" s="69">
        <v>45282</v>
      </c>
      <c r="N447" s="12"/>
      <c r="O447" s="20"/>
      <c r="P447" s="35"/>
      <c r="Q447" s="21"/>
      <c r="R447" s="38"/>
      <c r="S447" s="9">
        <f t="shared" si="310"/>
        <v>0</v>
      </c>
      <c r="T447" s="20"/>
      <c r="U447" s="35"/>
      <c r="V447" s="21"/>
      <c r="W447" s="38"/>
      <c r="X447" s="9">
        <f t="shared" si="311"/>
        <v>0</v>
      </c>
      <c r="Y447" s="47">
        <f t="shared" si="289"/>
        <v>0</v>
      </c>
    </row>
    <row r="448" spans="1:25" x14ac:dyDescent="0.15">
      <c r="A448" s="40" t="s">
        <v>314</v>
      </c>
      <c r="B448" s="20"/>
      <c r="C448" s="35">
        <v>2</v>
      </c>
      <c r="D448" s="21">
        <v>1</v>
      </c>
      <c r="E448" s="24"/>
      <c r="F448" s="25">
        <f t="shared" si="307"/>
        <v>3</v>
      </c>
      <c r="G448" s="20"/>
      <c r="H448" s="35">
        <v>2</v>
      </c>
      <c r="I448" s="21">
        <v>1</v>
      </c>
      <c r="J448" s="24"/>
      <c r="K448" s="25">
        <f t="shared" si="308"/>
        <v>3</v>
      </c>
      <c r="L448" s="11">
        <f t="shared" si="309"/>
        <v>6</v>
      </c>
      <c r="M448" s="69">
        <v>45287</v>
      </c>
      <c r="N448" s="12"/>
      <c r="O448" s="20"/>
      <c r="P448" s="35"/>
      <c r="Q448" s="21"/>
      <c r="R448" s="38"/>
      <c r="S448" s="9">
        <f t="shared" si="310"/>
        <v>0</v>
      </c>
      <c r="T448" s="20"/>
      <c r="U448" s="35"/>
      <c r="V448" s="21"/>
      <c r="W448" s="38"/>
      <c r="X448" s="9">
        <f t="shared" si="311"/>
        <v>0</v>
      </c>
      <c r="Y448" s="47">
        <f t="shared" si="289"/>
        <v>0</v>
      </c>
    </row>
    <row r="449" spans="1:25" x14ac:dyDescent="0.15">
      <c r="A449" s="59" t="s">
        <v>27</v>
      </c>
      <c r="B449" s="20">
        <v>2</v>
      </c>
      <c r="C449" s="35">
        <f>1+1</f>
        <v>2</v>
      </c>
      <c r="D449" s="21">
        <v>1</v>
      </c>
      <c r="E449" s="24">
        <v>1</v>
      </c>
      <c r="F449" s="25">
        <f t="shared" si="307"/>
        <v>6</v>
      </c>
      <c r="G449" s="20"/>
      <c r="H449" s="35">
        <f>1+3</f>
        <v>4</v>
      </c>
      <c r="I449" s="21">
        <f>1+3</f>
        <v>4</v>
      </c>
      <c r="J449" s="24">
        <f>3+1</f>
        <v>4</v>
      </c>
      <c r="K449" s="25">
        <f t="shared" si="308"/>
        <v>12</v>
      </c>
      <c r="L449" s="11">
        <f t="shared" si="309"/>
        <v>18</v>
      </c>
      <c r="M449" s="71">
        <v>45285</v>
      </c>
      <c r="N449" s="12"/>
      <c r="O449" s="20"/>
      <c r="P449" s="35"/>
      <c r="Q449" s="21"/>
      <c r="R449" s="38"/>
      <c r="S449" s="9">
        <f t="shared" ref="S449:S450" si="312">SUM(O449:R449)</f>
        <v>0</v>
      </c>
      <c r="T449" s="20"/>
      <c r="U449" s="35"/>
      <c r="V449" s="21"/>
      <c r="W449" s="38"/>
      <c r="X449" s="9">
        <f t="shared" ref="X449:X450" si="313">SUM(T449:W449)</f>
        <v>0</v>
      </c>
      <c r="Y449" s="47">
        <f t="shared" ref="Y449:Y450" si="314">S449+X449</f>
        <v>0</v>
      </c>
    </row>
    <row r="450" spans="1:25" x14ac:dyDescent="0.15">
      <c r="A450" s="59" t="s">
        <v>32</v>
      </c>
      <c r="B450" s="20"/>
      <c r="C450" s="35">
        <v>1</v>
      </c>
      <c r="D450" s="21"/>
      <c r="E450" s="24"/>
      <c r="F450" s="25">
        <f t="shared" si="307"/>
        <v>1</v>
      </c>
      <c r="G450" s="20"/>
      <c r="H450" s="35"/>
      <c r="I450" s="21"/>
      <c r="J450" s="24"/>
      <c r="K450" s="25">
        <f t="shared" si="308"/>
        <v>0</v>
      </c>
      <c r="L450" s="11">
        <f t="shared" si="309"/>
        <v>1</v>
      </c>
      <c r="M450" s="69">
        <v>45285</v>
      </c>
      <c r="N450" s="12"/>
      <c r="O450" s="20"/>
      <c r="P450" s="35"/>
      <c r="Q450" s="21"/>
      <c r="R450" s="38"/>
      <c r="S450" s="9">
        <f t="shared" si="312"/>
        <v>0</v>
      </c>
      <c r="T450" s="20"/>
      <c r="U450" s="35"/>
      <c r="V450" s="21"/>
      <c r="W450" s="38"/>
      <c r="X450" s="9">
        <f t="shared" si="313"/>
        <v>0</v>
      </c>
      <c r="Y450" s="47">
        <f t="shared" si="314"/>
        <v>0</v>
      </c>
    </row>
    <row r="451" spans="1:25" x14ac:dyDescent="0.15">
      <c r="A451" s="59" t="s">
        <v>27</v>
      </c>
      <c r="B451" s="20">
        <v>2</v>
      </c>
      <c r="C451" s="35"/>
      <c r="D451" s="21"/>
      <c r="E451" s="24"/>
      <c r="F451" s="25">
        <f t="shared" si="300"/>
        <v>2</v>
      </c>
      <c r="G451" s="20">
        <v>2</v>
      </c>
      <c r="H451" s="35">
        <v>2</v>
      </c>
      <c r="I451" s="21"/>
      <c r="J451" s="24"/>
      <c r="K451" s="25">
        <f t="shared" si="301"/>
        <v>4</v>
      </c>
      <c r="L451" s="11">
        <f t="shared" si="290"/>
        <v>6</v>
      </c>
      <c r="M451" s="69">
        <v>45286</v>
      </c>
      <c r="N451" s="12"/>
      <c r="O451" s="20"/>
      <c r="P451" s="35"/>
      <c r="Q451" s="21"/>
      <c r="R451" s="38"/>
      <c r="S451" s="9">
        <f t="shared" ref="S451:S452" si="315">SUM(O451:R451)</f>
        <v>0</v>
      </c>
      <c r="T451" s="20"/>
      <c r="U451" s="35"/>
      <c r="V451" s="21"/>
      <c r="W451" s="38"/>
      <c r="X451" s="9">
        <f t="shared" ref="X451:X452" si="316">SUM(T451:W451)</f>
        <v>0</v>
      </c>
      <c r="Y451" s="47">
        <f t="shared" ref="Y451:Y452" si="317">S451+X451</f>
        <v>0</v>
      </c>
    </row>
    <row r="452" spans="1:25" ht="14.25" thickBot="1" x14ac:dyDescent="0.2">
      <c r="A452" s="40" t="s">
        <v>315</v>
      </c>
      <c r="B452" s="43"/>
      <c r="C452" s="44">
        <v>1</v>
      </c>
      <c r="D452" s="45">
        <v>4</v>
      </c>
      <c r="E452" s="46"/>
      <c r="F452" s="25">
        <f t="shared" si="300"/>
        <v>5</v>
      </c>
      <c r="G452" s="43"/>
      <c r="H452" s="44">
        <v>1</v>
      </c>
      <c r="I452" s="45">
        <v>4</v>
      </c>
      <c r="J452" s="46"/>
      <c r="K452" s="25">
        <f t="shared" si="301"/>
        <v>5</v>
      </c>
      <c r="L452" s="14">
        <f t="shared" si="290"/>
        <v>10</v>
      </c>
      <c r="M452" s="69">
        <v>45288</v>
      </c>
      <c r="N452" s="99"/>
      <c r="O452" s="43"/>
      <c r="P452" s="44"/>
      <c r="Q452" s="45"/>
      <c r="R452" s="100"/>
      <c r="S452" s="10">
        <f t="shared" si="315"/>
        <v>0</v>
      </c>
      <c r="T452" s="43"/>
      <c r="U452" s="44"/>
      <c r="V452" s="45"/>
      <c r="W452" s="100"/>
      <c r="X452" s="10">
        <f t="shared" si="316"/>
        <v>0</v>
      </c>
      <c r="Y452" s="75">
        <f t="shared" si="317"/>
        <v>0</v>
      </c>
    </row>
    <row r="453" spans="1:25" ht="14.25" thickBot="1" x14ac:dyDescent="0.2">
      <c r="A453" s="16" t="s">
        <v>9</v>
      </c>
      <c r="B453" s="28">
        <f>SUM(B428:B452)</f>
        <v>16</v>
      </c>
      <c r="C453" s="36">
        <f>SUM(C428:C452)</f>
        <v>33</v>
      </c>
      <c r="D453" s="29">
        <f>SUM(D428:D452)</f>
        <v>15</v>
      </c>
      <c r="E453" s="30">
        <f>SUM(E428:E452)</f>
        <v>11</v>
      </c>
      <c r="F453" s="26">
        <f>SUM(B453:E453)</f>
        <v>75</v>
      </c>
      <c r="G453" s="28">
        <f>SUM(G428:G452)</f>
        <v>18</v>
      </c>
      <c r="H453" s="36">
        <f>SUM(H428:H452)</f>
        <v>45</v>
      </c>
      <c r="I453" s="29">
        <f>SUM(I428:I452)</f>
        <v>22</v>
      </c>
      <c r="J453" s="30">
        <f>SUM(J428:J452)</f>
        <v>17</v>
      </c>
      <c r="K453" s="26">
        <f>SUM(G453:J453)</f>
        <v>102</v>
      </c>
      <c r="L453" s="27">
        <f t="shared" si="290"/>
        <v>177</v>
      </c>
      <c r="N453" s="61" t="s">
        <v>9</v>
      </c>
      <c r="O453" s="28">
        <f>SUM(O428:O452)</f>
        <v>10</v>
      </c>
      <c r="P453" s="36">
        <f>SUM(P428:P452)</f>
        <v>10</v>
      </c>
      <c r="Q453" s="29">
        <f>SUM(Q428:Q452)</f>
        <v>10</v>
      </c>
      <c r="R453" s="30">
        <f>SUM(R428:R452)</f>
        <v>5</v>
      </c>
      <c r="S453" s="60">
        <f t="shared" ref="S453" si="318">SUM(O453:R453)</f>
        <v>35</v>
      </c>
      <c r="T453" s="28">
        <f>SUM(T428:T452)</f>
        <v>10</v>
      </c>
      <c r="U453" s="36">
        <f>SUM(U428:U452)</f>
        <v>15</v>
      </c>
      <c r="V453" s="29">
        <f>SUM(V428:V452)</f>
        <v>15</v>
      </c>
      <c r="W453" s="30">
        <f>SUM(W428:W452)</f>
        <v>10</v>
      </c>
      <c r="X453" s="60">
        <f t="shared" ref="X453" si="319">SUM(T453:W453)</f>
        <v>50</v>
      </c>
      <c r="Y453" s="63">
        <f t="shared" ref="Y453:Y454" si="320">S453+X453</f>
        <v>85</v>
      </c>
    </row>
    <row r="454" spans="1:25" ht="14.25" thickBot="1" x14ac:dyDescent="0.2">
      <c r="A454" s="18" t="s">
        <v>10</v>
      </c>
      <c r="B454" s="31">
        <f t="shared" ref="B454:K454" si="321">B427-B453</f>
        <v>31</v>
      </c>
      <c r="C454" s="37">
        <f t="shared" si="321"/>
        <v>32</v>
      </c>
      <c r="D454" s="32">
        <f t="shared" si="321"/>
        <v>31</v>
      </c>
      <c r="E454" s="33">
        <f t="shared" si="321"/>
        <v>31</v>
      </c>
      <c r="F454" s="42">
        <f t="shared" si="321"/>
        <v>125</v>
      </c>
      <c r="G454" s="31">
        <f t="shared" si="321"/>
        <v>30</v>
      </c>
      <c r="H454" s="37">
        <f t="shared" si="321"/>
        <v>31</v>
      </c>
      <c r="I454" s="32">
        <f t="shared" si="321"/>
        <v>28</v>
      </c>
      <c r="J454" s="33">
        <f t="shared" si="321"/>
        <v>29</v>
      </c>
      <c r="K454" s="42">
        <f t="shared" si="321"/>
        <v>118</v>
      </c>
      <c r="L454" s="17">
        <f t="shared" si="290"/>
        <v>243</v>
      </c>
      <c r="N454" s="16" t="s">
        <v>10</v>
      </c>
      <c r="O454" s="31">
        <f t="shared" ref="O454:X454" si="322">O427-O453</f>
        <v>788</v>
      </c>
      <c r="P454" s="37">
        <f t="shared" si="322"/>
        <v>921</v>
      </c>
      <c r="Q454" s="32">
        <f t="shared" si="322"/>
        <v>661</v>
      </c>
      <c r="R454" s="33">
        <f t="shared" si="322"/>
        <v>542</v>
      </c>
      <c r="S454" s="42">
        <f t="shared" si="322"/>
        <v>2912</v>
      </c>
      <c r="T454" s="31">
        <f t="shared" si="322"/>
        <v>744</v>
      </c>
      <c r="U454" s="37">
        <f t="shared" si="322"/>
        <v>870</v>
      </c>
      <c r="V454" s="32">
        <f t="shared" si="322"/>
        <v>581</v>
      </c>
      <c r="W454" s="33">
        <f t="shared" si="322"/>
        <v>508</v>
      </c>
      <c r="X454" s="42">
        <f t="shared" si="322"/>
        <v>2703</v>
      </c>
      <c r="Y454" s="17">
        <f t="shared" si="320"/>
        <v>5615</v>
      </c>
    </row>
    <row r="457" spans="1:25" ht="19.5" thickBot="1" x14ac:dyDescent="0.25">
      <c r="A457" s="2" t="s">
        <v>17</v>
      </c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N457" s="2" t="s">
        <v>18</v>
      </c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1"/>
    </row>
    <row r="458" spans="1:25" ht="14.25" thickBot="1" x14ac:dyDescent="0.2">
      <c r="A458" s="5" t="s">
        <v>0</v>
      </c>
      <c r="B458" s="244" t="s">
        <v>19</v>
      </c>
      <c r="C458" s="245"/>
      <c r="D458" s="245"/>
      <c r="E458" s="245"/>
      <c r="F458" s="246"/>
      <c r="G458" s="247" t="s">
        <v>20</v>
      </c>
      <c r="H458" s="248"/>
      <c r="I458" s="248"/>
      <c r="J458" s="248"/>
      <c r="K458" s="249"/>
      <c r="L458" s="250" t="s">
        <v>1</v>
      </c>
      <c r="N458" s="5" t="s">
        <v>0</v>
      </c>
      <c r="O458" s="244" t="s">
        <v>19</v>
      </c>
      <c r="P458" s="245"/>
      <c r="Q458" s="245"/>
      <c r="R458" s="245"/>
      <c r="S458" s="246"/>
      <c r="T458" s="247" t="s">
        <v>20</v>
      </c>
      <c r="U458" s="248"/>
      <c r="V458" s="248"/>
      <c r="W458" s="248"/>
      <c r="X458" s="249"/>
      <c r="Y458" s="250" t="s">
        <v>1</v>
      </c>
    </row>
    <row r="459" spans="1:25" ht="14.25" thickBot="1" x14ac:dyDescent="0.2">
      <c r="A459" s="5" t="s">
        <v>2</v>
      </c>
      <c r="B459" s="3" t="s">
        <v>11</v>
      </c>
      <c r="C459" s="34" t="s">
        <v>12</v>
      </c>
      <c r="D459" s="4" t="s">
        <v>13</v>
      </c>
      <c r="E459" s="19" t="s">
        <v>14</v>
      </c>
      <c r="F459" s="23" t="s">
        <v>3</v>
      </c>
      <c r="G459" s="3" t="s">
        <v>11</v>
      </c>
      <c r="H459" s="34" t="s">
        <v>12</v>
      </c>
      <c r="I459" s="4" t="s">
        <v>13</v>
      </c>
      <c r="J459" s="19" t="s">
        <v>14</v>
      </c>
      <c r="K459" s="23" t="s">
        <v>3</v>
      </c>
      <c r="L459" s="251"/>
      <c r="N459" s="5" t="s">
        <v>2</v>
      </c>
      <c r="O459" s="53" t="s">
        <v>11</v>
      </c>
      <c r="P459" s="54" t="s">
        <v>12</v>
      </c>
      <c r="Q459" s="55" t="s">
        <v>13</v>
      </c>
      <c r="R459" s="56" t="s">
        <v>14</v>
      </c>
      <c r="S459" s="23" t="s">
        <v>3</v>
      </c>
      <c r="T459" s="3" t="s">
        <v>11</v>
      </c>
      <c r="U459" s="34" t="s">
        <v>12</v>
      </c>
      <c r="V459" s="4" t="s">
        <v>13</v>
      </c>
      <c r="W459" s="19" t="s">
        <v>14</v>
      </c>
      <c r="X459" s="23" t="s">
        <v>3</v>
      </c>
      <c r="Y459" s="251"/>
    </row>
    <row r="460" spans="1:25" ht="14.25" thickBot="1" x14ac:dyDescent="0.2">
      <c r="A460" s="18" t="s">
        <v>15</v>
      </c>
      <c r="B460" s="31">
        <f>B454</f>
        <v>31</v>
      </c>
      <c r="C460" s="32">
        <f>C454</f>
        <v>32</v>
      </c>
      <c r="D460" s="32">
        <f>D454</f>
        <v>31</v>
      </c>
      <c r="E460" s="33">
        <f>E454</f>
        <v>31</v>
      </c>
      <c r="F460" s="86">
        <f>SUM(B460:E460)</f>
        <v>125</v>
      </c>
      <c r="G460" s="31">
        <f>G454</f>
        <v>30</v>
      </c>
      <c r="H460" s="32">
        <f>H454</f>
        <v>31</v>
      </c>
      <c r="I460" s="32">
        <f>I454</f>
        <v>28</v>
      </c>
      <c r="J460" s="33">
        <f>J454</f>
        <v>29</v>
      </c>
      <c r="K460" s="80">
        <f>SUM(G460:J460)</f>
        <v>118</v>
      </c>
      <c r="L460" s="17">
        <f>F460+K460</f>
        <v>243</v>
      </c>
      <c r="N460" s="18" t="s">
        <v>15</v>
      </c>
      <c r="O460" s="31">
        <f>O454</f>
        <v>788</v>
      </c>
      <c r="P460" s="32">
        <f>P454</f>
        <v>921</v>
      </c>
      <c r="Q460" s="32">
        <f>Q454</f>
        <v>661</v>
      </c>
      <c r="R460" s="33">
        <f>R454</f>
        <v>542</v>
      </c>
      <c r="S460" s="86">
        <f>SUM(O460:R460)</f>
        <v>2912</v>
      </c>
      <c r="T460" s="31">
        <f>T454</f>
        <v>744</v>
      </c>
      <c r="U460" s="32">
        <f>U454</f>
        <v>870</v>
      </c>
      <c r="V460" s="32">
        <f>V454</f>
        <v>581</v>
      </c>
      <c r="W460" s="33">
        <f>W454</f>
        <v>508</v>
      </c>
      <c r="X460" s="80">
        <f>SUM(T460:W460)</f>
        <v>2703</v>
      </c>
      <c r="Y460" s="17">
        <f t="shared" ref="Y460:Y485" si="323">S460+X460</f>
        <v>5615</v>
      </c>
    </row>
    <row r="461" spans="1:25" x14ac:dyDescent="0.15">
      <c r="A461" s="13" t="s">
        <v>4</v>
      </c>
      <c r="B461" s="6">
        <v>15</v>
      </c>
      <c r="C461" s="22">
        <v>10</v>
      </c>
      <c r="D461" s="7">
        <v>10</v>
      </c>
      <c r="E461" s="8">
        <v>5</v>
      </c>
      <c r="F461" s="9">
        <f>SUM(B461:E461)</f>
        <v>40</v>
      </c>
      <c r="G461" s="22">
        <v>20</v>
      </c>
      <c r="H461" s="22">
        <v>15</v>
      </c>
      <c r="I461" s="7">
        <v>15</v>
      </c>
      <c r="J461" s="8">
        <v>10</v>
      </c>
      <c r="K461" s="9">
        <f>SUM(G461:J461)</f>
        <v>60</v>
      </c>
      <c r="L461" s="11">
        <f t="shared" ref="L461" si="324">F461+K461</f>
        <v>100</v>
      </c>
      <c r="M461" s="69">
        <v>45306</v>
      </c>
      <c r="N461" s="59" t="s">
        <v>16</v>
      </c>
      <c r="O461" s="48"/>
      <c r="P461" s="49"/>
      <c r="Q461" s="50"/>
      <c r="R461" s="51"/>
      <c r="S461" s="85">
        <f>SUM(O461:R461)</f>
        <v>0</v>
      </c>
      <c r="T461" s="48"/>
      <c r="U461" s="49"/>
      <c r="V461" s="50"/>
      <c r="W461" s="51"/>
      <c r="X461" s="74">
        <f>SUM(T461:W461)</f>
        <v>0</v>
      </c>
      <c r="Y461" s="11">
        <f t="shared" si="323"/>
        <v>0</v>
      </c>
    </row>
    <row r="462" spans="1:25" x14ac:dyDescent="0.15">
      <c r="A462" s="13" t="s">
        <v>5</v>
      </c>
      <c r="B462" s="6"/>
      <c r="C462" s="22">
        <v>20</v>
      </c>
      <c r="D462" s="7"/>
      <c r="E462" s="8"/>
      <c r="F462" s="9">
        <f>SUM(B462:E462)</f>
        <v>20</v>
      </c>
      <c r="G462" s="22"/>
      <c r="H462" s="22">
        <v>20</v>
      </c>
      <c r="I462" s="7"/>
      <c r="J462" s="8"/>
      <c r="K462" s="9">
        <f>SUM(G462:J462)</f>
        <v>20</v>
      </c>
      <c r="L462" s="11">
        <f t="shared" ref="L462:L492" si="325">F462+K462</f>
        <v>40</v>
      </c>
      <c r="M462" s="69">
        <v>45310</v>
      </c>
      <c r="N462" s="59" t="s">
        <v>4</v>
      </c>
      <c r="O462" s="48"/>
      <c r="P462" s="49"/>
      <c r="Q462" s="50"/>
      <c r="R462" s="51"/>
      <c r="S462" s="85">
        <f t="shared" ref="S462:S463" si="326">SUM(O462:R462)</f>
        <v>0</v>
      </c>
      <c r="T462" s="48"/>
      <c r="U462" s="49"/>
      <c r="V462" s="50"/>
      <c r="W462" s="51"/>
      <c r="X462" s="74">
        <f t="shared" ref="X462:X463" si="327">SUM(T462:W462)</f>
        <v>0</v>
      </c>
      <c r="Y462" s="11">
        <f t="shared" si="323"/>
        <v>0</v>
      </c>
    </row>
    <row r="463" spans="1:25" x14ac:dyDescent="0.15">
      <c r="A463" s="59" t="s">
        <v>333</v>
      </c>
      <c r="B463" s="164">
        <v>1</v>
      </c>
      <c r="C463" s="35"/>
      <c r="D463" s="21"/>
      <c r="E463" s="24"/>
      <c r="F463" s="25">
        <f t="shared" ref="F463" si="328">SUM(B463:E463)</f>
        <v>1</v>
      </c>
      <c r="G463" s="164">
        <v>1</v>
      </c>
      <c r="H463" s="35"/>
      <c r="I463" s="21"/>
      <c r="J463" s="24"/>
      <c r="K463" s="25">
        <f t="shared" ref="K463" si="329">SUM(G463:J463)</f>
        <v>1</v>
      </c>
      <c r="L463" s="11">
        <f t="shared" si="325"/>
        <v>2</v>
      </c>
      <c r="M463" s="71">
        <v>45311</v>
      </c>
      <c r="N463" s="59" t="s">
        <v>5</v>
      </c>
      <c r="O463" s="48"/>
      <c r="P463" s="49"/>
      <c r="Q463" s="50"/>
      <c r="R463" s="51"/>
      <c r="S463" s="85">
        <f t="shared" si="326"/>
        <v>0</v>
      </c>
      <c r="T463" s="48"/>
      <c r="U463" s="49"/>
      <c r="V463" s="50"/>
      <c r="W463" s="51"/>
      <c r="X463" s="74">
        <f t="shared" si="327"/>
        <v>0</v>
      </c>
      <c r="Y463" s="11">
        <f t="shared" si="323"/>
        <v>0</v>
      </c>
    </row>
    <row r="464" spans="1:25" ht="14.25" thickBot="1" x14ac:dyDescent="0.2">
      <c r="A464" s="13" t="s">
        <v>140</v>
      </c>
      <c r="B464" s="6"/>
      <c r="C464" s="22"/>
      <c r="D464" s="7"/>
      <c r="E464" s="8"/>
      <c r="F464" s="10">
        <f>SUM(B464:E464)</f>
        <v>0</v>
      </c>
      <c r="G464" s="22">
        <v>2</v>
      </c>
      <c r="H464" s="22"/>
      <c r="I464" s="7"/>
      <c r="J464" s="8"/>
      <c r="K464" s="10">
        <f>SUM(G464:J464)</f>
        <v>2</v>
      </c>
      <c r="L464" s="14">
        <f t="shared" si="325"/>
        <v>2</v>
      </c>
      <c r="M464" s="71">
        <v>45311</v>
      </c>
      <c r="N464" s="13" t="s">
        <v>6</v>
      </c>
      <c r="O464" s="43"/>
      <c r="P464" s="44"/>
      <c r="Q464" s="45"/>
      <c r="R464" s="46"/>
      <c r="S464" s="58">
        <f>SUM(O464:R464)</f>
        <v>0</v>
      </c>
      <c r="T464" s="35"/>
      <c r="U464" s="35"/>
      <c r="V464" s="21"/>
      <c r="W464" s="38"/>
      <c r="X464" s="10">
        <f>SUM(T464:W464)</f>
        <v>0</v>
      </c>
      <c r="Y464" s="14">
        <f t="shared" si="323"/>
        <v>0</v>
      </c>
    </row>
    <row r="465" spans="1:27" ht="14.25" thickBot="1" x14ac:dyDescent="0.2">
      <c r="A465" s="18" t="s">
        <v>8</v>
      </c>
      <c r="B465" s="76">
        <f t="shared" ref="B465:K465" si="330">SUM(B460:B464)</f>
        <v>47</v>
      </c>
      <c r="C465" s="77">
        <f t="shared" si="330"/>
        <v>62</v>
      </c>
      <c r="D465" s="78">
        <f t="shared" si="330"/>
        <v>41</v>
      </c>
      <c r="E465" s="79">
        <f t="shared" si="330"/>
        <v>36</v>
      </c>
      <c r="F465" s="80">
        <f t="shared" si="330"/>
        <v>186</v>
      </c>
      <c r="G465" s="76">
        <f t="shared" si="330"/>
        <v>53</v>
      </c>
      <c r="H465" s="77">
        <f t="shared" si="330"/>
        <v>66</v>
      </c>
      <c r="I465" s="78">
        <f t="shared" si="330"/>
        <v>43</v>
      </c>
      <c r="J465" s="79">
        <f t="shared" si="330"/>
        <v>39</v>
      </c>
      <c r="K465" s="80">
        <f t="shared" si="330"/>
        <v>201</v>
      </c>
      <c r="L465" s="17">
        <f t="shared" si="325"/>
        <v>387</v>
      </c>
      <c r="N465" s="16" t="s">
        <v>8</v>
      </c>
      <c r="O465" s="31">
        <f t="shared" ref="O465:X465" si="331">SUM(O460:O464)</f>
        <v>788</v>
      </c>
      <c r="P465" s="37">
        <f t="shared" si="331"/>
        <v>921</v>
      </c>
      <c r="Q465" s="32">
        <f t="shared" si="331"/>
        <v>661</v>
      </c>
      <c r="R465" s="82">
        <f t="shared" si="331"/>
        <v>542</v>
      </c>
      <c r="S465" s="83">
        <f t="shared" si="331"/>
        <v>2912</v>
      </c>
      <c r="T465" s="31">
        <f t="shared" si="331"/>
        <v>744</v>
      </c>
      <c r="U465" s="37">
        <f t="shared" si="331"/>
        <v>870</v>
      </c>
      <c r="V465" s="32">
        <f t="shared" si="331"/>
        <v>581</v>
      </c>
      <c r="W465" s="82">
        <f t="shared" si="331"/>
        <v>508</v>
      </c>
      <c r="X465" s="83">
        <f t="shared" si="331"/>
        <v>2703</v>
      </c>
      <c r="Y465" s="39">
        <f t="shared" si="323"/>
        <v>5615</v>
      </c>
    </row>
    <row r="466" spans="1:27" x14ac:dyDescent="0.15">
      <c r="A466" s="59" t="s">
        <v>27</v>
      </c>
      <c r="B466" s="20"/>
      <c r="C466" s="35"/>
      <c r="D466" s="21">
        <v>1</v>
      </c>
      <c r="E466" s="24"/>
      <c r="F466" s="25">
        <f t="shared" ref="F466:F490" si="332">SUM(B466:E466)</f>
        <v>1</v>
      </c>
      <c r="G466" s="20"/>
      <c r="H466" s="35"/>
      <c r="I466" s="21"/>
      <c r="J466" s="24"/>
      <c r="K466" s="25">
        <f t="shared" ref="K466:K490" si="333">SUM(G466:J466)</f>
        <v>0</v>
      </c>
      <c r="L466" s="11">
        <f t="shared" si="325"/>
        <v>1</v>
      </c>
      <c r="M466" s="71">
        <v>45287</v>
      </c>
      <c r="N466" s="12" t="s">
        <v>462</v>
      </c>
      <c r="O466" s="20"/>
      <c r="P466" s="35"/>
      <c r="Q466" s="21"/>
      <c r="R466" s="38"/>
      <c r="S466" s="9">
        <f t="shared" ref="S466" si="334">SUM(O466:R466)</f>
        <v>0</v>
      </c>
      <c r="T466" s="20"/>
      <c r="U466" s="35"/>
      <c r="V466" s="21"/>
      <c r="W466" s="38">
        <v>5</v>
      </c>
      <c r="X466" s="98">
        <f t="shared" ref="X466" si="335">SUM(T466:W466)</f>
        <v>5</v>
      </c>
      <c r="Y466" s="135">
        <f t="shared" si="323"/>
        <v>5</v>
      </c>
      <c r="Z466" s="69">
        <v>44936</v>
      </c>
    </row>
    <row r="467" spans="1:27" x14ac:dyDescent="0.15">
      <c r="A467" s="40" t="s">
        <v>316</v>
      </c>
      <c r="B467" s="20">
        <v>2</v>
      </c>
      <c r="C467" s="35"/>
      <c r="D467" s="21"/>
      <c r="E467" s="24"/>
      <c r="F467" s="25">
        <f t="shared" si="332"/>
        <v>2</v>
      </c>
      <c r="G467" s="20">
        <v>2</v>
      </c>
      <c r="H467" s="35"/>
      <c r="I467" s="21"/>
      <c r="J467" s="24"/>
      <c r="K467" s="25">
        <f t="shared" si="333"/>
        <v>2</v>
      </c>
      <c r="L467" s="11">
        <f t="shared" si="325"/>
        <v>4</v>
      </c>
      <c r="M467" s="69">
        <v>44931</v>
      </c>
      <c r="N467" s="40" t="s">
        <v>318</v>
      </c>
      <c r="O467" s="20"/>
      <c r="P467" s="35">
        <v>1</v>
      </c>
      <c r="Q467" s="21"/>
      <c r="R467" s="38"/>
      <c r="S467" s="9">
        <f t="shared" ref="S467:S478" si="336">SUM(O467:R467)</f>
        <v>1</v>
      </c>
      <c r="T467" s="20"/>
      <c r="U467" s="35">
        <v>1</v>
      </c>
      <c r="V467" s="21"/>
      <c r="W467" s="38"/>
      <c r="X467" s="9">
        <f t="shared" ref="X467:X478" si="337">SUM(T467:W467)</f>
        <v>1</v>
      </c>
      <c r="Y467" s="11">
        <f t="shared" si="323"/>
        <v>2</v>
      </c>
      <c r="Z467" s="69">
        <v>45302</v>
      </c>
      <c r="AA467" s="41"/>
    </row>
    <row r="468" spans="1:27" x14ac:dyDescent="0.15">
      <c r="A468" s="59" t="s">
        <v>210</v>
      </c>
      <c r="B468" s="20"/>
      <c r="C468" s="35"/>
      <c r="D468" s="21">
        <v>2</v>
      </c>
      <c r="E468" s="24">
        <v>3</v>
      </c>
      <c r="F468" s="25">
        <f t="shared" si="332"/>
        <v>5</v>
      </c>
      <c r="G468" s="20"/>
      <c r="H468" s="35">
        <v>2</v>
      </c>
      <c r="I468" s="21">
        <v>2</v>
      </c>
      <c r="J468" s="24">
        <v>4</v>
      </c>
      <c r="K468" s="25">
        <f t="shared" si="333"/>
        <v>8</v>
      </c>
      <c r="L468" s="11">
        <f t="shared" si="325"/>
        <v>13</v>
      </c>
      <c r="M468" s="69">
        <v>45289</v>
      </c>
      <c r="N468" s="12" t="s">
        <v>320</v>
      </c>
      <c r="O468" s="20">
        <v>5</v>
      </c>
      <c r="P468" s="35">
        <v>10</v>
      </c>
      <c r="Q468" s="21"/>
      <c r="R468" s="38"/>
      <c r="S468" s="9">
        <f t="shared" si="336"/>
        <v>15</v>
      </c>
      <c r="T468" s="20">
        <v>5</v>
      </c>
      <c r="U468" s="35">
        <v>10</v>
      </c>
      <c r="V468" s="21"/>
      <c r="W468" s="38"/>
      <c r="X468" s="9">
        <f t="shared" si="337"/>
        <v>15</v>
      </c>
      <c r="Y468" s="11">
        <f t="shared" si="323"/>
        <v>30</v>
      </c>
      <c r="Z468" s="69">
        <v>45302</v>
      </c>
      <c r="AA468" s="41"/>
    </row>
    <row r="469" spans="1:27" x14ac:dyDescent="0.15">
      <c r="A469" s="59" t="s">
        <v>27</v>
      </c>
      <c r="B469" s="20">
        <v>2</v>
      </c>
      <c r="C469" s="35"/>
      <c r="D469" s="21"/>
      <c r="E469" s="24"/>
      <c r="F469" s="25">
        <f t="shared" si="332"/>
        <v>2</v>
      </c>
      <c r="G469" s="20">
        <v>2</v>
      </c>
      <c r="H469" s="35"/>
      <c r="I469" s="21"/>
      <c r="J469" s="24"/>
      <c r="K469" s="25">
        <f t="shared" si="333"/>
        <v>2</v>
      </c>
      <c r="L469" s="11">
        <f t="shared" si="325"/>
        <v>4</v>
      </c>
      <c r="M469" s="69">
        <v>45288</v>
      </c>
      <c r="N469" s="40" t="s">
        <v>322</v>
      </c>
      <c r="O469" s="20"/>
      <c r="P469" s="35">
        <v>5</v>
      </c>
      <c r="Q469" s="21"/>
      <c r="R469" s="38"/>
      <c r="S469" s="9">
        <f t="shared" si="336"/>
        <v>5</v>
      </c>
      <c r="T469" s="20"/>
      <c r="U469" s="35">
        <v>5</v>
      </c>
      <c r="V469" s="21"/>
      <c r="W469" s="38"/>
      <c r="X469" s="9">
        <f t="shared" si="337"/>
        <v>5</v>
      </c>
      <c r="Y469" s="11">
        <f t="shared" si="323"/>
        <v>10</v>
      </c>
      <c r="Z469" s="69">
        <v>45303</v>
      </c>
      <c r="AA469" s="41"/>
    </row>
    <row r="470" spans="1:27" x14ac:dyDescent="0.15">
      <c r="A470" s="59" t="s">
        <v>27</v>
      </c>
      <c r="B470" s="20">
        <v>3</v>
      </c>
      <c r="C470" s="35">
        <v>4</v>
      </c>
      <c r="D470" s="21">
        <v>2</v>
      </c>
      <c r="E470" s="24">
        <f>1+1</f>
        <v>2</v>
      </c>
      <c r="F470" s="25">
        <f t="shared" si="332"/>
        <v>11</v>
      </c>
      <c r="G470" s="20">
        <v>5</v>
      </c>
      <c r="H470" s="35">
        <v>5</v>
      </c>
      <c r="I470" s="21">
        <v>6</v>
      </c>
      <c r="J470" s="24">
        <f>1+1</f>
        <v>2</v>
      </c>
      <c r="K470" s="25">
        <f t="shared" si="333"/>
        <v>18</v>
      </c>
      <c r="L470" s="11">
        <f t="shared" si="325"/>
        <v>29</v>
      </c>
      <c r="M470" s="71">
        <v>45296</v>
      </c>
      <c r="N470" s="12" t="s">
        <v>330</v>
      </c>
      <c r="O470" s="20">
        <v>5</v>
      </c>
      <c r="P470" s="35">
        <v>5</v>
      </c>
      <c r="Q470" s="21">
        <v>5</v>
      </c>
      <c r="R470" s="38">
        <v>5</v>
      </c>
      <c r="S470" s="9">
        <f t="shared" si="336"/>
        <v>20</v>
      </c>
      <c r="T470" s="20">
        <v>5</v>
      </c>
      <c r="U470" s="35">
        <v>5</v>
      </c>
      <c r="V470" s="21">
        <v>5</v>
      </c>
      <c r="W470" s="38">
        <v>5</v>
      </c>
      <c r="X470" s="9">
        <f t="shared" si="337"/>
        <v>20</v>
      </c>
      <c r="Y470" s="11">
        <f t="shared" si="323"/>
        <v>40</v>
      </c>
      <c r="Z470" s="69">
        <v>45310</v>
      </c>
      <c r="AA470" s="41"/>
    </row>
    <row r="471" spans="1:27" x14ac:dyDescent="0.15">
      <c r="A471" s="59" t="s">
        <v>27</v>
      </c>
      <c r="B471" s="20"/>
      <c r="C471" s="35"/>
      <c r="D471" s="21">
        <v>1</v>
      </c>
      <c r="E471" s="24"/>
      <c r="F471" s="25">
        <f t="shared" si="332"/>
        <v>1</v>
      </c>
      <c r="G471" s="20"/>
      <c r="H471" s="35"/>
      <c r="I471" s="21"/>
      <c r="J471" s="24">
        <v>2</v>
      </c>
      <c r="K471" s="25">
        <f t="shared" si="333"/>
        <v>2</v>
      </c>
      <c r="L471" s="11">
        <f t="shared" si="325"/>
        <v>3</v>
      </c>
      <c r="M471" s="71">
        <v>45297</v>
      </c>
      <c r="N471" s="40" t="s">
        <v>26</v>
      </c>
      <c r="O471" s="20">
        <v>15</v>
      </c>
      <c r="P471" s="35">
        <v>10</v>
      </c>
      <c r="Q471" s="21">
        <v>10</v>
      </c>
      <c r="R471" s="38">
        <v>5</v>
      </c>
      <c r="S471" s="9">
        <f>SUM(O471:R471)</f>
        <v>40</v>
      </c>
      <c r="T471" s="20">
        <v>20</v>
      </c>
      <c r="U471" s="35">
        <v>15</v>
      </c>
      <c r="V471" s="21">
        <v>15</v>
      </c>
      <c r="W471" s="38">
        <v>10</v>
      </c>
      <c r="X471" s="9">
        <f>SUM(T471:W471)</f>
        <v>60</v>
      </c>
      <c r="Y471" s="11">
        <f t="shared" ref="Y471:Y472" si="338">S471+X471</f>
        <v>100</v>
      </c>
      <c r="Z471" s="69">
        <v>45306</v>
      </c>
    </row>
    <row r="472" spans="1:27" x14ac:dyDescent="0.15">
      <c r="A472" s="59" t="s">
        <v>319</v>
      </c>
      <c r="B472" s="20"/>
      <c r="C472" s="35"/>
      <c r="D472" s="21"/>
      <c r="E472" s="24"/>
      <c r="F472" s="25">
        <f t="shared" si="332"/>
        <v>0</v>
      </c>
      <c r="G472" s="20"/>
      <c r="H472" s="35"/>
      <c r="I472" s="21">
        <v>1</v>
      </c>
      <c r="J472" s="24"/>
      <c r="K472" s="25">
        <f t="shared" si="333"/>
        <v>1</v>
      </c>
      <c r="L472" s="11">
        <f t="shared" si="325"/>
        <v>1</v>
      </c>
      <c r="M472" s="69">
        <v>45301</v>
      </c>
      <c r="N472" s="12" t="s">
        <v>326</v>
      </c>
      <c r="O472" s="20">
        <v>20</v>
      </c>
      <c r="P472" s="35">
        <v>20</v>
      </c>
      <c r="Q472" s="21"/>
      <c r="R472" s="38"/>
      <c r="S472" s="9">
        <f t="shared" ref="S472" si="339">SUM(O472:R472)</f>
        <v>40</v>
      </c>
      <c r="T472" s="20">
        <v>20</v>
      </c>
      <c r="U472" s="35">
        <v>20</v>
      </c>
      <c r="V472" s="21"/>
      <c r="W472" s="38"/>
      <c r="X472" s="9">
        <f t="shared" ref="X472" si="340">SUM(T472:W472)</f>
        <v>40</v>
      </c>
      <c r="Y472" s="11">
        <f t="shared" si="338"/>
        <v>80</v>
      </c>
      <c r="Z472" s="69">
        <v>45309</v>
      </c>
    </row>
    <row r="473" spans="1:27" x14ac:dyDescent="0.15">
      <c r="A473" s="59" t="s">
        <v>27</v>
      </c>
      <c r="B473" s="20">
        <v>1</v>
      </c>
      <c r="C473" s="35">
        <v>1</v>
      </c>
      <c r="D473" s="21">
        <v>1</v>
      </c>
      <c r="E473" s="24">
        <v>1</v>
      </c>
      <c r="F473" s="25">
        <f t="shared" si="332"/>
        <v>4</v>
      </c>
      <c r="G473" s="20">
        <v>1</v>
      </c>
      <c r="H473" s="35">
        <v>2</v>
      </c>
      <c r="I473" s="21">
        <v>1</v>
      </c>
      <c r="J473" s="24">
        <v>1</v>
      </c>
      <c r="K473" s="25">
        <f t="shared" si="333"/>
        <v>5</v>
      </c>
      <c r="L473" s="11">
        <f t="shared" si="325"/>
        <v>9</v>
      </c>
      <c r="M473" s="69">
        <v>45300</v>
      </c>
      <c r="N473" s="40" t="s">
        <v>331</v>
      </c>
      <c r="O473" s="20">
        <v>1</v>
      </c>
      <c r="P473" s="35">
        <v>1</v>
      </c>
      <c r="Q473" s="21"/>
      <c r="R473" s="38"/>
      <c r="S473" s="9">
        <f t="shared" si="336"/>
        <v>2</v>
      </c>
      <c r="T473" s="20">
        <v>1</v>
      </c>
      <c r="U473" s="35">
        <v>1</v>
      </c>
      <c r="V473" s="21"/>
      <c r="W473" s="38"/>
      <c r="X473" s="9">
        <f t="shared" si="337"/>
        <v>2</v>
      </c>
      <c r="Y473" s="11">
        <f t="shared" si="323"/>
        <v>4</v>
      </c>
      <c r="Z473" s="69">
        <v>45310</v>
      </c>
      <c r="AA473" s="41"/>
    </row>
    <row r="474" spans="1:27" x14ac:dyDescent="0.15">
      <c r="A474" s="59" t="s">
        <v>27</v>
      </c>
      <c r="B474" s="20">
        <v>1</v>
      </c>
      <c r="C474" s="35">
        <v>2</v>
      </c>
      <c r="D474" s="21"/>
      <c r="E474" s="24"/>
      <c r="F474" s="25">
        <f t="shared" si="332"/>
        <v>3</v>
      </c>
      <c r="G474" s="20">
        <v>1</v>
      </c>
      <c r="H474" s="35">
        <v>1</v>
      </c>
      <c r="I474" s="21"/>
      <c r="J474" s="24"/>
      <c r="K474" s="25">
        <f t="shared" si="333"/>
        <v>2</v>
      </c>
      <c r="L474" s="11">
        <f t="shared" si="325"/>
        <v>5</v>
      </c>
      <c r="M474" s="69">
        <v>45301</v>
      </c>
      <c r="N474" s="40" t="s">
        <v>26</v>
      </c>
      <c r="O474" s="20"/>
      <c r="P474" s="35">
        <v>20</v>
      </c>
      <c r="Q474" s="21"/>
      <c r="R474" s="38"/>
      <c r="S474" s="9">
        <f>SUM(O474:R474)</f>
        <v>20</v>
      </c>
      <c r="T474" s="20"/>
      <c r="U474" s="35">
        <v>20</v>
      </c>
      <c r="V474" s="21"/>
      <c r="W474" s="38"/>
      <c r="X474" s="9">
        <f>SUM(T474:W474)</f>
        <v>20</v>
      </c>
      <c r="Y474" s="11">
        <f t="shared" si="323"/>
        <v>40</v>
      </c>
      <c r="Z474" s="69">
        <v>45310</v>
      </c>
    </row>
    <row r="475" spans="1:27" x14ac:dyDescent="0.15">
      <c r="A475" s="12" t="s">
        <v>323</v>
      </c>
      <c r="B475" s="20">
        <v>5</v>
      </c>
      <c r="C475" s="35"/>
      <c r="D475" s="21"/>
      <c r="E475" s="24"/>
      <c r="F475" s="25">
        <f t="shared" si="332"/>
        <v>5</v>
      </c>
      <c r="G475" s="20">
        <v>5</v>
      </c>
      <c r="H475" s="35"/>
      <c r="I475" s="21"/>
      <c r="J475" s="24"/>
      <c r="K475" s="25">
        <f t="shared" si="333"/>
        <v>5</v>
      </c>
      <c r="L475" s="11">
        <f t="shared" si="325"/>
        <v>10</v>
      </c>
      <c r="M475" s="69">
        <v>45303</v>
      </c>
      <c r="N475" s="40" t="s">
        <v>334</v>
      </c>
      <c r="O475" s="20">
        <v>4</v>
      </c>
      <c r="P475" s="35">
        <v>9</v>
      </c>
      <c r="Q475" s="21"/>
      <c r="R475" s="38"/>
      <c r="S475" s="9">
        <f t="shared" si="336"/>
        <v>13</v>
      </c>
      <c r="T475" s="20">
        <v>4</v>
      </c>
      <c r="U475" s="35">
        <v>9</v>
      </c>
      <c r="V475" s="21"/>
      <c r="W475" s="38"/>
      <c r="X475" s="9">
        <f t="shared" si="337"/>
        <v>13</v>
      </c>
      <c r="Y475" s="11">
        <f t="shared" si="323"/>
        <v>26</v>
      </c>
      <c r="Z475" s="69">
        <v>45315</v>
      </c>
    </row>
    <row r="476" spans="1:27" x14ac:dyDescent="0.15">
      <c r="A476" s="40" t="s">
        <v>324</v>
      </c>
      <c r="B476" s="20"/>
      <c r="C476" s="35">
        <v>1</v>
      </c>
      <c r="D476" s="21"/>
      <c r="E476" s="24"/>
      <c r="F476" s="25">
        <f t="shared" si="332"/>
        <v>1</v>
      </c>
      <c r="G476" s="20"/>
      <c r="H476" s="35">
        <v>1</v>
      </c>
      <c r="I476" s="21"/>
      <c r="J476" s="24"/>
      <c r="K476" s="25">
        <f t="shared" si="333"/>
        <v>1</v>
      </c>
      <c r="L476" s="11">
        <f t="shared" si="325"/>
        <v>2</v>
      </c>
      <c r="M476" s="69">
        <v>45303</v>
      </c>
      <c r="N476" s="40" t="s">
        <v>335</v>
      </c>
      <c r="O476" s="20">
        <v>7</v>
      </c>
      <c r="P476" s="35"/>
      <c r="Q476" s="21">
        <v>5</v>
      </c>
      <c r="R476" s="38"/>
      <c r="S476" s="9">
        <f t="shared" si="336"/>
        <v>12</v>
      </c>
      <c r="T476" s="20">
        <v>7</v>
      </c>
      <c r="U476" s="35"/>
      <c r="V476" s="21">
        <v>5</v>
      </c>
      <c r="W476" s="38"/>
      <c r="X476" s="9">
        <f t="shared" si="337"/>
        <v>12</v>
      </c>
      <c r="Y476" s="11">
        <f t="shared" si="323"/>
        <v>24</v>
      </c>
      <c r="Z476" s="69">
        <v>45316</v>
      </c>
    </row>
    <row r="477" spans="1:27" x14ac:dyDescent="0.15">
      <c r="A477" s="59" t="s">
        <v>27</v>
      </c>
      <c r="B477" s="20"/>
      <c r="C477" s="35">
        <v>1</v>
      </c>
      <c r="D477" s="21">
        <v>1</v>
      </c>
      <c r="E477" s="24"/>
      <c r="F477" s="25">
        <f t="shared" si="332"/>
        <v>2</v>
      </c>
      <c r="G477" s="20">
        <v>2</v>
      </c>
      <c r="H477" s="35">
        <v>1</v>
      </c>
      <c r="I477" s="21">
        <v>1</v>
      </c>
      <c r="J477" s="24"/>
      <c r="K477" s="25">
        <f t="shared" si="333"/>
        <v>4</v>
      </c>
      <c r="L477" s="11">
        <f t="shared" si="325"/>
        <v>6</v>
      </c>
      <c r="M477" s="69">
        <v>45302</v>
      </c>
      <c r="N477" s="40" t="s">
        <v>338</v>
      </c>
      <c r="O477" s="20"/>
      <c r="P477" s="35">
        <v>4</v>
      </c>
      <c r="Q477" s="21"/>
      <c r="R477" s="38"/>
      <c r="S477" s="9">
        <f t="shared" si="336"/>
        <v>4</v>
      </c>
      <c r="T477" s="20"/>
      <c r="U477" s="35">
        <v>4</v>
      </c>
      <c r="V477" s="21"/>
      <c r="W477" s="38"/>
      <c r="X477" s="9">
        <f t="shared" si="337"/>
        <v>4</v>
      </c>
      <c r="Y477" s="11">
        <f t="shared" si="323"/>
        <v>8</v>
      </c>
      <c r="Z477" s="69">
        <v>45320</v>
      </c>
    </row>
    <row r="478" spans="1:27" x14ac:dyDescent="0.15">
      <c r="A478" s="12" t="s">
        <v>325</v>
      </c>
      <c r="B478" s="20"/>
      <c r="C478" s="35">
        <v>5</v>
      </c>
      <c r="D478" s="21"/>
      <c r="E478" s="38"/>
      <c r="F478" s="9">
        <f t="shared" si="332"/>
        <v>5</v>
      </c>
      <c r="G478" s="20"/>
      <c r="H478" s="35">
        <v>5</v>
      </c>
      <c r="I478" s="21"/>
      <c r="J478" s="24"/>
      <c r="K478" s="25">
        <f t="shared" si="333"/>
        <v>5</v>
      </c>
      <c r="L478" s="11">
        <f t="shared" si="325"/>
        <v>10</v>
      </c>
      <c r="M478" s="69">
        <v>45307</v>
      </c>
      <c r="N478" s="40" t="s">
        <v>341</v>
      </c>
      <c r="O478" s="20"/>
      <c r="P478" s="35">
        <v>3</v>
      </c>
      <c r="Q478" s="21"/>
      <c r="R478" s="38"/>
      <c r="S478" s="9">
        <f t="shared" si="336"/>
        <v>3</v>
      </c>
      <c r="T478" s="20"/>
      <c r="U478" s="35">
        <v>3</v>
      </c>
      <c r="V478" s="21"/>
      <c r="W478" s="38"/>
      <c r="X478" s="9">
        <f t="shared" si="337"/>
        <v>3</v>
      </c>
      <c r="Y478" s="11">
        <f t="shared" si="323"/>
        <v>6</v>
      </c>
      <c r="Z478" s="69">
        <v>45322</v>
      </c>
    </row>
    <row r="479" spans="1:27" x14ac:dyDescent="0.15">
      <c r="A479" s="59" t="s">
        <v>27</v>
      </c>
      <c r="B479" s="20">
        <f>1+2</f>
        <v>3</v>
      </c>
      <c r="C479" s="35">
        <f>3+1</f>
        <v>4</v>
      </c>
      <c r="D479" s="21">
        <v>1</v>
      </c>
      <c r="E479" s="24"/>
      <c r="F479" s="25">
        <f t="shared" si="332"/>
        <v>8</v>
      </c>
      <c r="G479" s="20">
        <v>1</v>
      </c>
      <c r="H479" s="35">
        <v>3</v>
      </c>
      <c r="I479" s="21">
        <v>1</v>
      </c>
      <c r="J479" s="24"/>
      <c r="K479" s="25">
        <f t="shared" si="333"/>
        <v>5</v>
      </c>
      <c r="L479" s="11">
        <f t="shared" si="325"/>
        <v>13</v>
      </c>
      <c r="M479" s="71">
        <v>45306</v>
      </c>
      <c r="N479" s="12"/>
      <c r="O479" s="20"/>
      <c r="P479" s="35"/>
      <c r="Q479" s="21"/>
      <c r="R479" s="38"/>
      <c r="S479" s="9">
        <f>SUM(O479:R479)</f>
        <v>0</v>
      </c>
      <c r="T479" s="20"/>
      <c r="U479" s="35"/>
      <c r="V479" s="21"/>
      <c r="W479" s="38"/>
      <c r="X479" s="9">
        <f>SUM(T479:W479)</f>
        <v>0</v>
      </c>
      <c r="Y479" s="11">
        <f t="shared" si="323"/>
        <v>0</v>
      </c>
      <c r="Z479" s="162"/>
    </row>
    <row r="480" spans="1:27" x14ac:dyDescent="0.15">
      <c r="A480" s="40" t="s">
        <v>327</v>
      </c>
      <c r="B480" s="20">
        <v>1</v>
      </c>
      <c r="C480" s="35"/>
      <c r="D480" s="21"/>
      <c r="E480" s="24"/>
      <c r="F480" s="25">
        <f t="shared" si="332"/>
        <v>1</v>
      </c>
      <c r="G480" s="20">
        <v>1</v>
      </c>
      <c r="H480" s="35"/>
      <c r="I480" s="21"/>
      <c r="J480" s="24"/>
      <c r="K480" s="25">
        <f t="shared" si="333"/>
        <v>1</v>
      </c>
      <c r="L480" s="11">
        <f t="shared" si="325"/>
        <v>2</v>
      </c>
      <c r="M480" s="69">
        <v>45309</v>
      </c>
      <c r="N480" s="40"/>
      <c r="O480" s="20"/>
      <c r="P480" s="35"/>
      <c r="Q480" s="21"/>
      <c r="R480" s="38"/>
      <c r="S480" s="9">
        <f t="shared" ref="S480:S485" si="341">SUM(O480:R480)</f>
        <v>0</v>
      </c>
      <c r="T480" s="20"/>
      <c r="U480" s="35"/>
      <c r="V480" s="21"/>
      <c r="W480" s="38"/>
      <c r="X480" s="9">
        <f t="shared" ref="X480:X485" si="342">SUM(T480:W480)</f>
        <v>0</v>
      </c>
      <c r="Y480" s="11">
        <f t="shared" si="323"/>
        <v>0</v>
      </c>
    </row>
    <row r="481" spans="1:26" x14ac:dyDescent="0.15">
      <c r="A481" s="59" t="s">
        <v>27</v>
      </c>
      <c r="B481" s="20">
        <v>1</v>
      </c>
      <c r="C481" s="35">
        <v>1</v>
      </c>
      <c r="D481" s="21"/>
      <c r="E481" s="24"/>
      <c r="F481" s="25">
        <f t="shared" si="332"/>
        <v>2</v>
      </c>
      <c r="G481" s="20">
        <v>1</v>
      </c>
      <c r="H481" s="35">
        <v>1</v>
      </c>
      <c r="I481" s="21">
        <v>1</v>
      </c>
      <c r="J481" s="24"/>
      <c r="K481" s="25">
        <f t="shared" si="333"/>
        <v>3</v>
      </c>
      <c r="L481" s="11">
        <f t="shared" si="325"/>
        <v>5</v>
      </c>
      <c r="M481" s="69">
        <v>45307</v>
      </c>
      <c r="N481" s="15"/>
      <c r="O481" s="20"/>
      <c r="P481" s="35"/>
      <c r="Q481" s="21"/>
      <c r="R481" s="38"/>
      <c r="S481" s="9">
        <f t="shared" si="341"/>
        <v>0</v>
      </c>
      <c r="T481" s="20"/>
      <c r="U481" s="35"/>
      <c r="V481" s="21"/>
      <c r="W481" s="38"/>
      <c r="X481" s="9">
        <f t="shared" si="342"/>
        <v>0</v>
      </c>
      <c r="Y481" s="11">
        <f t="shared" si="323"/>
        <v>0</v>
      </c>
    </row>
    <row r="482" spans="1:26" x14ac:dyDescent="0.15">
      <c r="A482" s="40" t="s">
        <v>328</v>
      </c>
      <c r="B482" s="20"/>
      <c r="C482" s="35">
        <v>1</v>
      </c>
      <c r="D482" s="21">
        <v>1</v>
      </c>
      <c r="E482" s="24"/>
      <c r="F482" s="25">
        <f t="shared" si="332"/>
        <v>2</v>
      </c>
      <c r="G482" s="20"/>
      <c r="H482" s="35">
        <v>1</v>
      </c>
      <c r="I482" s="21">
        <v>1</v>
      </c>
      <c r="J482" s="24"/>
      <c r="K482" s="25">
        <f t="shared" si="333"/>
        <v>2</v>
      </c>
      <c r="L482" s="11">
        <f t="shared" si="325"/>
        <v>4</v>
      </c>
      <c r="M482" s="69">
        <v>45310</v>
      </c>
      <c r="N482" s="40"/>
      <c r="O482" s="20"/>
      <c r="P482" s="35"/>
      <c r="Q482" s="21"/>
      <c r="R482" s="38"/>
      <c r="S482" s="9">
        <f t="shared" si="341"/>
        <v>0</v>
      </c>
      <c r="T482" s="20"/>
      <c r="U482" s="35"/>
      <c r="V482" s="21"/>
      <c r="W482" s="38"/>
      <c r="X482" s="9">
        <f t="shared" si="342"/>
        <v>0</v>
      </c>
      <c r="Y482" s="11">
        <f t="shared" si="323"/>
        <v>0</v>
      </c>
    </row>
    <row r="483" spans="1:26" x14ac:dyDescent="0.15">
      <c r="A483" s="12" t="s">
        <v>329</v>
      </c>
      <c r="B483" s="20"/>
      <c r="C483" s="35">
        <v>10</v>
      </c>
      <c r="D483" s="21"/>
      <c r="E483" s="24"/>
      <c r="F483" s="25">
        <f t="shared" si="332"/>
        <v>10</v>
      </c>
      <c r="G483" s="20"/>
      <c r="H483" s="35">
        <v>10</v>
      </c>
      <c r="I483" s="21"/>
      <c r="J483" s="24"/>
      <c r="K483" s="25">
        <f t="shared" si="333"/>
        <v>10</v>
      </c>
      <c r="L483" s="11">
        <f t="shared" si="325"/>
        <v>20</v>
      </c>
      <c r="M483" s="69">
        <v>45310</v>
      </c>
      <c r="N483" s="40"/>
      <c r="O483" s="48"/>
      <c r="P483" s="49"/>
      <c r="Q483" s="50"/>
      <c r="R483" s="72"/>
      <c r="S483" s="74">
        <f t="shared" si="341"/>
        <v>0</v>
      </c>
      <c r="T483" s="48"/>
      <c r="U483" s="49"/>
      <c r="V483" s="50"/>
      <c r="W483" s="72"/>
      <c r="X483" s="74">
        <f t="shared" si="342"/>
        <v>0</v>
      </c>
      <c r="Y483" s="11">
        <f t="shared" si="323"/>
        <v>0</v>
      </c>
    </row>
    <row r="484" spans="1:26" x14ac:dyDescent="0.15">
      <c r="A484" s="59" t="s">
        <v>332</v>
      </c>
      <c r="B484" s="20">
        <v>1</v>
      </c>
      <c r="C484" s="35"/>
      <c r="D484" s="21"/>
      <c r="E484" s="24"/>
      <c r="F484" s="25">
        <f t="shared" si="332"/>
        <v>1</v>
      </c>
      <c r="G484" s="20">
        <v>2</v>
      </c>
      <c r="H484" s="35"/>
      <c r="I484" s="21">
        <v>1</v>
      </c>
      <c r="J484" s="24"/>
      <c r="K484" s="25">
        <f t="shared" si="333"/>
        <v>3</v>
      </c>
      <c r="L484" s="11">
        <f t="shared" si="325"/>
        <v>4</v>
      </c>
      <c r="M484" s="69">
        <v>45311</v>
      </c>
      <c r="N484" s="12"/>
      <c r="O484" s="20"/>
      <c r="P484" s="35"/>
      <c r="Q484" s="21"/>
      <c r="R484" s="38"/>
      <c r="S484" s="9">
        <f t="shared" si="341"/>
        <v>0</v>
      </c>
      <c r="T484" s="20"/>
      <c r="U484" s="35"/>
      <c r="V484" s="21"/>
      <c r="W484" s="38"/>
      <c r="X484" s="9">
        <f t="shared" si="342"/>
        <v>0</v>
      </c>
      <c r="Y484" s="47">
        <f t="shared" si="323"/>
        <v>0</v>
      </c>
    </row>
    <row r="485" spans="1:26" x14ac:dyDescent="0.15">
      <c r="A485" s="59" t="s">
        <v>27</v>
      </c>
      <c r="B485" s="20"/>
      <c r="C485" s="35"/>
      <c r="D485" s="21"/>
      <c r="E485" s="24"/>
      <c r="F485" s="25">
        <f t="shared" si="332"/>
        <v>0</v>
      </c>
      <c r="G485" s="20"/>
      <c r="H485" s="35">
        <v>2</v>
      </c>
      <c r="I485" s="21"/>
      <c r="J485" s="24"/>
      <c r="K485" s="25">
        <f t="shared" si="333"/>
        <v>2</v>
      </c>
      <c r="L485" s="11">
        <f t="shared" si="325"/>
        <v>2</v>
      </c>
      <c r="M485" s="69">
        <v>45310</v>
      </c>
      <c r="N485" s="12"/>
      <c r="O485" s="20"/>
      <c r="P485" s="35"/>
      <c r="Q485" s="21"/>
      <c r="R485" s="38"/>
      <c r="S485" s="9">
        <f t="shared" si="341"/>
        <v>0</v>
      </c>
      <c r="T485" s="20"/>
      <c r="U485" s="35"/>
      <c r="V485" s="21"/>
      <c r="W485" s="38"/>
      <c r="X485" s="9">
        <f t="shared" si="342"/>
        <v>0</v>
      </c>
      <c r="Y485" s="47">
        <f t="shared" si="323"/>
        <v>0</v>
      </c>
    </row>
    <row r="486" spans="1:26" x14ac:dyDescent="0.15">
      <c r="A486" s="59" t="s">
        <v>27</v>
      </c>
      <c r="B486" s="20"/>
      <c r="C486" s="35"/>
      <c r="D486" s="21"/>
      <c r="E486" s="24"/>
      <c r="F486" s="25">
        <f t="shared" si="332"/>
        <v>0</v>
      </c>
      <c r="G486" s="20"/>
      <c r="H486" s="35">
        <v>1</v>
      </c>
      <c r="I486" s="21"/>
      <c r="J486" s="24"/>
      <c r="K486" s="25">
        <f t="shared" si="333"/>
        <v>1</v>
      </c>
      <c r="L486" s="11">
        <f t="shared" si="325"/>
        <v>1</v>
      </c>
      <c r="M486" s="71">
        <v>45311</v>
      </c>
      <c r="N486" s="12"/>
      <c r="O486" s="20"/>
      <c r="P486" s="35"/>
      <c r="Q486" s="21"/>
      <c r="R486" s="38"/>
      <c r="S486" s="9">
        <f t="shared" ref="S486:S487" si="343">SUM(O486:R486)</f>
        <v>0</v>
      </c>
      <c r="T486" s="20"/>
      <c r="U486" s="35"/>
      <c r="V486" s="21"/>
      <c r="W486" s="38"/>
      <c r="X486" s="9">
        <f t="shared" ref="X486:X487" si="344">SUM(T486:W486)</f>
        <v>0</v>
      </c>
      <c r="Y486" s="47">
        <f t="shared" ref="Y486:Y487" si="345">S486+X486</f>
        <v>0</v>
      </c>
    </row>
    <row r="487" spans="1:26" x14ac:dyDescent="0.15">
      <c r="A487" s="59" t="s">
        <v>27</v>
      </c>
      <c r="B487" s="20"/>
      <c r="C487" s="35"/>
      <c r="D487" s="21"/>
      <c r="E487" s="24"/>
      <c r="F487" s="25">
        <f t="shared" si="332"/>
        <v>0</v>
      </c>
      <c r="G487" s="20"/>
      <c r="H487" s="35">
        <v>1</v>
      </c>
      <c r="I487" s="21"/>
      <c r="J487" s="24"/>
      <c r="K487" s="25">
        <f t="shared" si="333"/>
        <v>1</v>
      </c>
      <c r="L487" s="11">
        <f t="shared" si="325"/>
        <v>1</v>
      </c>
      <c r="M487" s="69">
        <v>45313</v>
      </c>
      <c r="N487" s="12"/>
      <c r="O487" s="20"/>
      <c r="P487" s="35"/>
      <c r="Q487" s="21"/>
      <c r="R487" s="38"/>
      <c r="S487" s="9">
        <f t="shared" si="343"/>
        <v>0</v>
      </c>
      <c r="T487" s="20"/>
      <c r="U487" s="35"/>
      <c r="V487" s="21"/>
      <c r="W487" s="38"/>
      <c r="X487" s="9">
        <f t="shared" si="344"/>
        <v>0</v>
      </c>
      <c r="Y487" s="47">
        <f t="shared" si="345"/>
        <v>0</v>
      </c>
    </row>
    <row r="488" spans="1:26" x14ac:dyDescent="0.15">
      <c r="A488" s="40" t="s">
        <v>336</v>
      </c>
      <c r="B488" s="20">
        <v>1</v>
      </c>
      <c r="C488" s="35">
        <v>1</v>
      </c>
      <c r="D488" s="21">
        <v>1</v>
      </c>
      <c r="E488" s="24"/>
      <c r="F488" s="25">
        <f t="shared" si="332"/>
        <v>3</v>
      </c>
      <c r="G488" s="20">
        <v>1</v>
      </c>
      <c r="H488" s="35">
        <v>1</v>
      </c>
      <c r="I488" s="21">
        <v>1</v>
      </c>
      <c r="J488" s="24"/>
      <c r="K488" s="25">
        <f t="shared" si="333"/>
        <v>3</v>
      </c>
      <c r="L488" s="11">
        <f t="shared" si="325"/>
        <v>6</v>
      </c>
      <c r="M488" s="69">
        <v>45316</v>
      </c>
      <c r="N488" s="12" t="s">
        <v>238</v>
      </c>
      <c r="O488" s="20"/>
      <c r="P488" s="35"/>
      <c r="Q488" s="21"/>
      <c r="R488" s="38"/>
      <c r="S488" s="9">
        <f t="shared" ref="S488:S491" si="346">SUM(O488:R488)</f>
        <v>0</v>
      </c>
      <c r="T488" s="20"/>
      <c r="U488" s="35"/>
      <c r="V488" s="21"/>
      <c r="W488" s="38"/>
      <c r="X488" s="9">
        <f t="shared" ref="X488:X491" si="347">SUM(T488:W488)</f>
        <v>0</v>
      </c>
      <c r="Y488" s="47">
        <f t="shared" ref="Y488:Y492" si="348">S488+X488</f>
        <v>0</v>
      </c>
      <c r="Z488" s="162" t="s">
        <v>239</v>
      </c>
    </row>
    <row r="489" spans="1:26" x14ac:dyDescent="0.15">
      <c r="A489" s="40" t="s">
        <v>337</v>
      </c>
      <c r="B489" s="20"/>
      <c r="C489" s="35"/>
      <c r="D489" s="21"/>
      <c r="E489" s="24">
        <v>1</v>
      </c>
      <c r="F489" s="25">
        <f t="shared" si="332"/>
        <v>1</v>
      </c>
      <c r="G489" s="20"/>
      <c r="H489" s="35"/>
      <c r="I489" s="21"/>
      <c r="J489" s="24">
        <v>1</v>
      </c>
      <c r="K489" s="25">
        <f t="shared" si="333"/>
        <v>1</v>
      </c>
      <c r="L489" s="11">
        <f t="shared" si="325"/>
        <v>2</v>
      </c>
      <c r="M489" s="69">
        <v>45317</v>
      </c>
      <c r="N489" s="12" t="s">
        <v>144</v>
      </c>
      <c r="O489" s="20"/>
      <c r="P489" s="35"/>
      <c r="Q489" s="21"/>
      <c r="R489" s="38"/>
      <c r="S489" s="9">
        <f t="shared" si="346"/>
        <v>0</v>
      </c>
      <c r="T489" s="20"/>
      <c r="U489" s="35"/>
      <c r="V489" s="21"/>
      <c r="W489" s="38"/>
      <c r="X489" s="9">
        <f t="shared" si="347"/>
        <v>0</v>
      </c>
      <c r="Y489" s="47">
        <f t="shared" si="348"/>
        <v>0</v>
      </c>
      <c r="Z489" s="162" t="s">
        <v>143</v>
      </c>
    </row>
    <row r="490" spans="1:26" ht="14.25" thickBot="1" x14ac:dyDescent="0.2">
      <c r="A490" s="59" t="s">
        <v>27</v>
      </c>
      <c r="B490" s="43"/>
      <c r="C490" s="44">
        <v>1</v>
      </c>
      <c r="D490" s="45"/>
      <c r="E490" s="46"/>
      <c r="F490" s="25">
        <f t="shared" si="332"/>
        <v>1</v>
      </c>
      <c r="G490" s="43"/>
      <c r="H490" s="44">
        <v>1</v>
      </c>
      <c r="I490" s="45"/>
      <c r="J490" s="46"/>
      <c r="K490" s="25">
        <f t="shared" si="333"/>
        <v>1</v>
      </c>
      <c r="L490" s="14">
        <f t="shared" si="325"/>
        <v>2</v>
      </c>
      <c r="M490" s="71">
        <v>45315</v>
      </c>
      <c r="N490" s="105" t="s">
        <v>310</v>
      </c>
      <c r="O490" s="114"/>
      <c r="P490" s="115"/>
      <c r="Q490" s="116"/>
      <c r="R490" s="117"/>
      <c r="S490" s="60">
        <f t="shared" si="346"/>
        <v>0</v>
      </c>
      <c r="T490" s="114"/>
      <c r="U490" s="115"/>
      <c r="V490" s="116"/>
      <c r="W490" s="117"/>
      <c r="X490" s="60">
        <f t="shared" si="347"/>
        <v>0</v>
      </c>
      <c r="Y490" s="63">
        <f t="shared" si="348"/>
        <v>0</v>
      </c>
      <c r="Z490" s="162" t="s">
        <v>311</v>
      </c>
    </row>
    <row r="491" spans="1:26" ht="14.25" thickBot="1" x14ac:dyDescent="0.2">
      <c r="A491" s="16" t="s">
        <v>9</v>
      </c>
      <c r="B491" s="28">
        <f>SUM(B466:B490)</f>
        <v>21</v>
      </c>
      <c r="C491" s="36">
        <f>SUM(C466:C490)</f>
        <v>32</v>
      </c>
      <c r="D491" s="29">
        <f>SUM(D466:D490)</f>
        <v>11</v>
      </c>
      <c r="E491" s="30">
        <f>SUM(E466:E490)</f>
        <v>7</v>
      </c>
      <c r="F491" s="26">
        <f>SUM(B491:E491)</f>
        <v>71</v>
      </c>
      <c r="G491" s="28">
        <f>SUM(G466:G490)</f>
        <v>24</v>
      </c>
      <c r="H491" s="36">
        <f>SUM(H466:H490)</f>
        <v>38</v>
      </c>
      <c r="I491" s="29">
        <f>SUM(I466:I490)</f>
        <v>16</v>
      </c>
      <c r="J491" s="30">
        <f>SUM(J466:J490)</f>
        <v>10</v>
      </c>
      <c r="K491" s="26">
        <f>SUM(G491:J491)</f>
        <v>88</v>
      </c>
      <c r="L491" s="27">
        <f t="shared" si="325"/>
        <v>159</v>
      </c>
      <c r="N491" s="61" t="s">
        <v>9</v>
      </c>
      <c r="O491" s="28">
        <f>SUM(O466:O490)</f>
        <v>57</v>
      </c>
      <c r="P491" s="36">
        <f>SUM(P466:P490)</f>
        <v>88</v>
      </c>
      <c r="Q491" s="29">
        <f>SUM(Q466:Q490)</f>
        <v>20</v>
      </c>
      <c r="R491" s="30">
        <f>SUM(R466:R490)</f>
        <v>10</v>
      </c>
      <c r="S491" s="60">
        <f t="shared" si="346"/>
        <v>175</v>
      </c>
      <c r="T491" s="28">
        <f>SUM(T466:T490)</f>
        <v>62</v>
      </c>
      <c r="U491" s="36">
        <f>SUM(U466:U490)</f>
        <v>93</v>
      </c>
      <c r="V491" s="29">
        <f>SUM(V466:V490)</f>
        <v>25</v>
      </c>
      <c r="W491" s="30">
        <f>SUM(W466:W490)</f>
        <v>20</v>
      </c>
      <c r="X491" s="60">
        <f t="shared" si="347"/>
        <v>200</v>
      </c>
      <c r="Y491" s="63">
        <f t="shared" si="348"/>
        <v>375</v>
      </c>
    </row>
    <row r="492" spans="1:26" ht="14.25" thickBot="1" x14ac:dyDescent="0.2">
      <c r="A492" s="18" t="s">
        <v>10</v>
      </c>
      <c r="B492" s="31">
        <f t="shared" ref="B492:K492" si="349">B465-B491</f>
        <v>26</v>
      </c>
      <c r="C492" s="37">
        <f t="shared" si="349"/>
        <v>30</v>
      </c>
      <c r="D492" s="32">
        <f t="shared" si="349"/>
        <v>30</v>
      </c>
      <c r="E492" s="33">
        <f t="shared" si="349"/>
        <v>29</v>
      </c>
      <c r="F492" s="42">
        <f t="shared" si="349"/>
        <v>115</v>
      </c>
      <c r="G492" s="31">
        <f t="shared" si="349"/>
        <v>29</v>
      </c>
      <c r="H492" s="37">
        <f t="shared" si="349"/>
        <v>28</v>
      </c>
      <c r="I492" s="32">
        <f t="shared" si="349"/>
        <v>27</v>
      </c>
      <c r="J492" s="33">
        <f t="shared" si="349"/>
        <v>29</v>
      </c>
      <c r="K492" s="42">
        <f t="shared" si="349"/>
        <v>113</v>
      </c>
      <c r="L492" s="17">
        <f t="shared" si="325"/>
        <v>228</v>
      </c>
      <c r="N492" s="16" t="s">
        <v>10</v>
      </c>
      <c r="O492" s="31">
        <f t="shared" ref="O492:X492" si="350">O465-O491</f>
        <v>731</v>
      </c>
      <c r="P492" s="37">
        <f t="shared" si="350"/>
        <v>833</v>
      </c>
      <c r="Q492" s="32">
        <f t="shared" si="350"/>
        <v>641</v>
      </c>
      <c r="R492" s="33">
        <f t="shared" si="350"/>
        <v>532</v>
      </c>
      <c r="S492" s="42">
        <f t="shared" si="350"/>
        <v>2737</v>
      </c>
      <c r="T492" s="31">
        <f t="shared" si="350"/>
        <v>682</v>
      </c>
      <c r="U492" s="37">
        <f t="shared" si="350"/>
        <v>777</v>
      </c>
      <c r="V492" s="32">
        <f t="shared" si="350"/>
        <v>556</v>
      </c>
      <c r="W492" s="33">
        <f t="shared" si="350"/>
        <v>488</v>
      </c>
      <c r="X492" s="42">
        <f t="shared" si="350"/>
        <v>2503</v>
      </c>
      <c r="Y492" s="17">
        <f t="shared" si="348"/>
        <v>5240</v>
      </c>
    </row>
    <row r="495" spans="1:26" ht="19.5" thickBot="1" x14ac:dyDescent="0.25">
      <c r="A495" s="2" t="s">
        <v>17</v>
      </c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N495" s="2" t="s">
        <v>18</v>
      </c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1"/>
    </row>
    <row r="496" spans="1:26" ht="14.25" thickBot="1" x14ac:dyDescent="0.2">
      <c r="A496" s="5" t="s">
        <v>0</v>
      </c>
      <c r="B496" s="244" t="s">
        <v>19</v>
      </c>
      <c r="C496" s="245"/>
      <c r="D496" s="245"/>
      <c r="E496" s="245"/>
      <c r="F496" s="246"/>
      <c r="G496" s="247" t="s">
        <v>20</v>
      </c>
      <c r="H496" s="248"/>
      <c r="I496" s="248"/>
      <c r="J496" s="248"/>
      <c r="K496" s="249"/>
      <c r="L496" s="250" t="s">
        <v>1</v>
      </c>
      <c r="N496" s="5" t="s">
        <v>0</v>
      </c>
      <c r="O496" s="244" t="s">
        <v>19</v>
      </c>
      <c r="P496" s="245"/>
      <c r="Q496" s="245"/>
      <c r="R496" s="245"/>
      <c r="S496" s="246"/>
      <c r="T496" s="247" t="s">
        <v>20</v>
      </c>
      <c r="U496" s="248"/>
      <c r="V496" s="248"/>
      <c r="W496" s="248"/>
      <c r="X496" s="249"/>
      <c r="Y496" s="250" t="s">
        <v>1</v>
      </c>
    </row>
    <row r="497" spans="1:27" ht="14.25" thickBot="1" x14ac:dyDescent="0.2">
      <c r="A497" s="5" t="s">
        <v>2</v>
      </c>
      <c r="B497" s="3" t="s">
        <v>11</v>
      </c>
      <c r="C497" s="34" t="s">
        <v>12</v>
      </c>
      <c r="D497" s="4" t="s">
        <v>13</v>
      </c>
      <c r="E497" s="19" t="s">
        <v>14</v>
      </c>
      <c r="F497" s="23" t="s">
        <v>3</v>
      </c>
      <c r="G497" s="3" t="s">
        <v>11</v>
      </c>
      <c r="H497" s="34" t="s">
        <v>12</v>
      </c>
      <c r="I497" s="4" t="s">
        <v>13</v>
      </c>
      <c r="J497" s="19" t="s">
        <v>14</v>
      </c>
      <c r="K497" s="23" t="s">
        <v>3</v>
      </c>
      <c r="L497" s="251"/>
      <c r="N497" s="5" t="s">
        <v>2</v>
      </c>
      <c r="O497" s="53" t="s">
        <v>11</v>
      </c>
      <c r="P497" s="54" t="s">
        <v>12</v>
      </c>
      <c r="Q497" s="55" t="s">
        <v>13</v>
      </c>
      <c r="R497" s="56" t="s">
        <v>14</v>
      </c>
      <c r="S497" s="23" t="s">
        <v>3</v>
      </c>
      <c r="T497" s="3" t="s">
        <v>11</v>
      </c>
      <c r="U497" s="34" t="s">
        <v>12</v>
      </c>
      <c r="V497" s="4" t="s">
        <v>13</v>
      </c>
      <c r="W497" s="19" t="s">
        <v>14</v>
      </c>
      <c r="X497" s="23" t="s">
        <v>3</v>
      </c>
      <c r="Y497" s="251"/>
    </row>
    <row r="498" spans="1:27" ht="14.25" thickBot="1" x14ac:dyDescent="0.2">
      <c r="A498" s="18" t="s">
        <v>15</v>
      </c>
      <c r="B498" s="31">
        <f>B492</f>
        <v>26</v>
      </c>
      <c r="C498" s="32">
        <f>C492</f>
        <v>30</v>
      </c>
      <c r="D498" s="32">
        <f>D492</f>
        <v>30</v>
      </c>
      <c r="E498" s="33">
        <f>E492</f>
        <v>29</v>
      </c>
      <c r="F498" s="86">
        <f>SUM(B498:E498)</f>
        <v>115</v>
      </c>
      <c r="G498" s="31">
        <f>G492</f>
        <v>29</v>
      </c>
      <c r="H498" s="32">
        <f>H492</f>
        <v>28</v>
      </c>
      <c r="I498" s="32">
        <f>I492</f>
        <v>27</v>
      </c>
      <c r="J498" s="33">
        <f>J492</f>
        <v>29</v>
      </c>
      <c r="K498" s="80">
        <f>SUM(G498:J498)</f>
        <v>113</v>
      </c>
      <c r="L498" s="17">
        <f>F498+K498</f>
        <v>228</v>
      </c>
      <c r="N498" s="18" t="s">
        <v>15</v>
      </c>
      <c r="O498" s="31">
        <f>O492</f>
        <v>731</v>
      </c>
      <c r="P498" s="32">
        <f>P492</f>
        <v>833</v>
      </c>
      <c r="Q498" s="32">
        <f>Q492</f>
        <v>641</v>
      </c>
      <c r="R498" s="33">
        <f>R492</f>
        <v>532</v>
      </c>
      <c r="S498" s="86">
        <f>SUM(O498:R498)</f>
        <v>2737</v>
      </c>
      <c r="T498" s="31">
        <f>T492</f>
        <v>682</v>
      </c>
      <c r="U498" s="32">
        <f>U492</f>
        <v>777</v>
      </c>
      <c r="V498" s="32">
        <f>V492</f>
        <v>556</v>
      </c>
      <c r="W498" s="33">
        <f>W492</f>
        <v>488</v>
      </c>
      <c r="X498" s="80">
        <f>SUM(T498:W498)</f>
        <v>2503</v>
      </c>
      <c r="Y498" s="17">
        <f t="shared" ref="Y498:Y525" si="351">S498+X498</f>
        <v>5240</v>
      </c>
    </row>
    <row r="499" spans="1:27" x14ac:dyDescent="0.15">
      <c r="A499" s="59" t="s">
        <v>4</v>
      </c>
      <c r="B499" s="64">
        <v>20</v>
      </c>
      <c r="C499" s="65">
        <v>10</v>
      </c>
      <c r="D499" s="66">
        <v>5</v>
      </c>
      <c r="E499" s="67">
        <v>5</v>
      </c>
      <c r="F499" s="74">
        <f>SUM(B499:E499)</f>
        <v>40</v>
      </c>
      <c r="G499" s="65">
        <v>20</v>
      </c>
      <c r="H499" s="65">
        <v>15</v>
      </c>
      <c r="I499" s="66">
        <v>10</v>
      </c>
      <c r="J499" s="67">
        <v>5</v>
      </c>
      <c r="K499" s="74">
        <f>SUM(G499:J499)</f>
        <v>50</v>
      </c>
      <c r="L499" s="11">
        <f t="shared" ref="L499:L530" si="352">F499+K499</f>
        <v>90</v>
      </c>
      <c r="M499" s="69">
        <v>45323</v>
      </c>
      <c r="N499" s="59" t="s">
        <v>16</v>
      </c>
      <c r="O499" s="48"/>
      <c r="P499" s="49"/>
      <c r="Q499" s="50"/>
      <c r="R499" s="51"/>
      <c r="S499" s="85">
        <f>SUM(O499:R499)</f>
        <v>0</v>
      </c>
      <c r="T499" s="48"/>
      <c r="U499" s="49"/>
      <c r="V499" s="50"/>
      <c r="W499" s="51"/>
      <c r="X499" s="74">
        <f>SUM(T499:W499)</f>
        <v>0</v>
      </c>
      <c r="Y499" s="11">
        <f t="shared" si="351"/>
        <v>0</v>
      </c>
    </row>
    <row r="500" spans="1:27" x14ac:dyDescent="0.15">
      <c r="A500" s="13" t="s">
        <v>5</v>
      </c>
      <c r="B500" s="6">
        <v>5</v>
      </c>
      <c r="C500" s="22">
        <v>15</v>
      </c>
      <c r="D500" s="7">
        <v>10</v>
      </c>
      <c r="E500" s="8"/>
      <c r="F500" s="9">
        <f>SUM(B500:E500)</f>
        <v>30</v>
      </c>
      <c r="G500" s="22">
        <v>10</v>
      </c>
      <c r="H500" s="22">
        <v>15</v>
      </c>
      <c r="I500" s="7">
        <v>10</v>
      </c>
      <c r="J500" s="8"/>
      <c r="K500" s="9">
        <f>SUM(G500:J500)</f>
        <v>35</v>
      </c>
      <c r="L500" s="11">
        <f t="shared" si="352"/>
        <v>65</v>
      </c>
      <c r="M500" s="69">
        <v>45330</v>
      </c>
      <c r="N500" s="59" t="s">
        <v>4</v>
      </c>
      <c r="O500" s="48"/>
      <c r="P500" s="49"/>
      <c r="Q500" s="50"/>
      <c r="R500" s="51"/>
      <c r="S500" s="85">
        <f t="shared" ref="S500:S501" si="353">SUM(O500:R500)</f>
        <v>0</v>
      </c>
      <c r="T500" s="48"/>
      <c r="U500" s="49"/>
      <c r="V500" s="50"/>
      <c r="W500" s="51"/>
      <c r="X500" s="74">
        <f t="shared" ref="X500:X501" si="354">SUM(T500:W500)</f>
        <v>0</v>
      </c>
      <c r="Y500" s="11">
        <f t="shared" si="351"/>
        <v>0</v>
      </c>
    </row>
    <row r="501" spans="1:27" x14ac:dyDescent="0.15">
      <c r="A501" s="13" t="s">
        <v>6</v>
      </c>
      <c r="B501" s="6"/>
      <c r="C501" s="22"/>
      <c r="D501" s="7"/>
      <c r="E501" s="8"/>
      <c r="F501" s="9">
        <f>SUM(B501:E501)</f>
        <v>0</v>
      </c>
      <c r="G501" s="22"/>
      <c r="H501" s="22"/>
      <c r="I501" s="7"/>
      <c r="J501" s="8"/>
      <c r="K501" s="9">
        <f>SUM(G501:J501)</f>
        <v>0</v>
      </c>
      <c r="L501" s="11">
        <f t="shared" si="352"/>
        <v>0</v>
      </c>
      <c r="M501" s="162"/>
      <c r="N501" s="59" t="s">
        <v>5</v>
      </c>
      <c r="O501" s="48"/>
      <c r="P501" s="49"/>
      <c r="Q501" s="50"/>
      <c r="R501" s="51"/>
      <c r="S501" s="85">
        <f t="shared" si="353"/>
        <v>0</v>
      </c>
      <c r="T501" s="48"/>
      <c r="U501" s="49"/>
      <c r="V501" s="50"/>
      <c r="W501" s="51"/>
      <c r="X501" s="74">
        <f t="shared" si="354"/>
        <v>0</v>
      </c>
      <c r="Y501" s="11">
        <f t="shared" si="351"/>
        <v>0</v>
      </c>
    </row>
    <row r="502" spans="1:27" ht="14.25" thickBot="1" x14ac:dyDescent="0.2">
      <c r="A502" s="13" t="s">
        <v>7</v>
      </c>
      <c r="B502" s="6"/>
      <c r="C502" s="22"/>
      <c r="D502" s="7"/>
      <c r="E502" s="8"/>
      <c r="F502" s="10">
        <f>SUM(B502:E502)</f>
        <v>0</v>
      </c>
      <c r="G502" s="22"/>
      <c r="H502" s="22"/>
      <c r="I502" s="7"/>
      <c r="J502" s="8"/>
      <c r="K502" s="10">
        <f>SUM(G502:J502)</f>
        <v>0</v>
      </c>
      <c r="L502" s="14">
        <f t="shared" si="352"/>
        <v>0</v>
      </c>
      <c r="N502" s="13" t="s">
        <v>6</v>
      </c>
      <c r="O502" s="43"/>
      <c r="P502" s="44"/>
      <c r="Q502" s="45"/>
      <c r="R502" s="46"/>
      <c r="S502" s="58">
        <f>SUM(O502:R502)</f>
        <v>0</v>
      </c>
      <c r="T502" s="35"/>
      <c r="U502" s="35"/>
      <c r="V502" s="21"/>
      <c r="W502" s="38"/>
      <c r="X502" s="10">
        <f>SUM(T502:W502)</f>
        <v>0</v>
      </c>
      <c r="Y502" s="14">
        <f t="shared" si="351"/>
        <v>0</v>
      </c>
    </row>
    <row r="503" spans="1:27" ht="14.25" thickBot="1" x14ac:dyDescent="0.2">
      <c r="A503" s="18" t="s">
        <v>8</v>
      </c>
      <c r="B503" s="76">
        <f t="shared" ref="B503:K503" si="355">SUM(B498:B502)</f>
        <v>51</v>
      </c>
      <c r="C503" s="77">
        <f t="shared" si="355"/>
        <v>55</v>
      </c>
      <c r="D503" s="78">
        <f t="shared" si="355"/>
        <v>45</v>
      </c>
      <c r="E503" s="79">
        <f t="shared" si="355"/>
        <v>34</v>
      </c>
      <c r="F503" s="80">
        <f t="shared" si="355"/>
        <v>185</v>
      </c>
      <c r="G503" s="76">
        <f t="shared" si="355"/>
        <v>59</v>
      </c>
      <c r="H503" s="77">
        <f t="shared" si="355"/>
        <v>58</v>
      </c>
      <c r="I503" s="78">
        <f t="shared" si="355"/>
        <v>47</v>
      </c>
      <c r="J503" s="79">
        <f t="shared" si="355"/>
        <v>34</v>
      </c>
      <c r="K503" s="80">
        <f t="shared" si="355"/>
        <v>198</v>
      </c>
      <c r="L503" s="17">
        <f t="shared" si="352"/>
        <v>383</v>
      </c>
      <c r="N503" s="16" t="s">
        <v>8</v>
      </c>
      <c r="O503" s="31">
        <f t="shared" ref="O503:X503" si="356">SUM(O498:O502)</f>
        <v>731</v>
      </c>
      <c r="P503" s="37">
        <f t="shared" si="356"/>
        <v>833</v>
      </c>
      <c r="Q503" s="32">
        <f t="shared" si="356"/>
        <v>641</v>
      </c>
      <c r="R503" s="82">
        <f t="shared" si="356"/>
        <v>532</v>
      </c>
      <c r="S503" s="83">
        <f t="shared" si="356"/>
        <v>2737</v>
      </c>
      <c r="T503" s="31">
        <f t="shared" si="356"/>
        <v>682</v>
      </c>
      <c r="U503" s="37">
        <f t="shared" si="356"/>
        <v>777</v>
      </c>
      <c r="V503" s="32">
        <f t="shared" si="356"/>
        <v>556</v>
      </c>
      <c r="W503" s="82">
        <f t="shared" si="356"/>
        <v>488</v>
      </c>
      <c r="X503" s="83">
        <f t="shared" si="356"/>
        <v>2503</v>
      </c>
      <c r="Y503" s="39">
        <f t="shared" si="351"/>
        <v>5240</v>
      </c>
    </row>
    <row r="504" spans="1:27" x14ac:dyDescent="0.15">
      <c r="A504" s="59" t="s">
        <v>27</v>
      </c>
      <c r="B504" s="20"/>
      <c r="C504" s="35"/>
      <c r="D504" s="21">
        <v>1</v>
      </c>
      <c r="E504" s="24"/>
      <c r="F504" s="25">
        <f t="shared" ref="F504:F528" si="357">SUM(B504:E504)</f>
        <v>1</v>
      </c>
      <c r="G504" s="20"/>
      <c r="H504" s="35"/>
      <c r="I504" s="21">
        <v>1</v>
      </c>
      <c r="J504" s="24"/>
      <c r="K504" s="25">
        <f t="shared" ref="K504:K528" si="358">SUM(G504:J504)</f>
        <v>1</v>
      </c>
      <c r="L504" s="11">
        <f t="shared" si="352"/>
        <v>2</v>
      </c>
      <c r="M504" s="71">
        <v>45316</v>
      </c>
      <c r="N504" s="12" t="s">
        <v>461</v>
      </c>
      <c r="O504" s="20"/>
      <c r="P504" s="35"/>
      <c r="Q504" s="21"/>
      <c r="R504" s="38">
        <v>5</v>
      </c>
      <c r="S504" s="9">
        <f t="shared" ref="S504:S511" si="359">SUM(O504:R504)</f>
        <v>5</v>
      </c>
      <c r="T504" s="20"/>
      <c r="U504" s="35"/>
      <c r="V504" s="21"/>
      <c r="W504" s="38"/>
      <c r="X504" s="98">
        <f t="shared" ref="X504:X511" si="360">SUM(T504:W504)</f>
        <v>0</v>
      </c>
      <c r="Y504" s="135">
        <f t="shared" si="351"/>
        <v>5</v>
      </c>
      <c r="Z504" s="69">
        <v>45324</v>
      </c>
    </row>
    <row r="505" spans="1:27" x14ac:dyDescent="0.15">
      <c r="A505" s="40" t="s">
        <v>340</v>
      </c>
      <c r="B505" s="20"/>
      <c r="C505" s="35"/>
      <c r="D505" s="21">
        <v>1</v>
      </c>
      <c r="E505" s="24"/>
      <c r="F505" s="25">
        <f t="shared" si="357"/>
        <v>1</v>
      </c>
      <c r="G505" s="20"/>
      <c r="H505" s="35"/>
      <c r="I505" s="21">
        <v>1</v>
      </c>
      <c r="J505" s="24"/>
      <c r="K505" s="25">
        <f t="shared" si="358"/>
        <v>1</v>
      </c>
      <c r="L505" s="11">
        <f t="shared" si="352"/>
        <v>2</v>
      </c>
      <c r="M505" s="69">
        <v>45320</v>
      </c>
      <c r="N505" s="12" t="s">
        <v>339</v>
      </c>
      <c r="O505" s="20">
        <v>10</v>
      </c>
      <c r="P505" s="35">
        <v>10</v>
      </c>
      <c r="Q505" s="21">
        <v>5</v>
      </c>
      <c r="R505" s="38">
        <v>5</v>
      </c>
      <c r="S505" s="9">
        <f t="shared" si="359"/>
        <v>30</v>
      </c>
      <c r="T505" s="20">
        <v>10</v>
      </c>
      <c r="U505" s="35">
        <v>10</v>
      </c>
      <c r="V505" s="21">
        <v>5</v>
      </c>
      <c r="W505" s="38">
        <v>5</v>
      </c>
      <c r="X505" s="9">
        <f t="shared" si="360"/>
        <v>30</v>
      </c>
      <c r="Y505" s="11">
        <f t="shared" si="351"/>
        <v>60</v>
      </c>
      <c r="Z505" s="69">
        <v>45323</v>
      </c>
    </row>
    <row r="506" spans="1:27" x14ac:dyDescent="0.15">
      <c r="A506" s="59" t="s">
        <v>27</v>
      </c>
      <c r="B506" s="20"/>
      <c r="C506" s="35"/>
      <c r="D506" s="21"/>
      <c r="E506" s="24"/>
      <c r="F506" s="25">
        <f t="shared" si="357"/>
        <v>0</v>
      </c>
      <c r="G506" s="20"/>
      <c r="H506" s="35">
        <v>1</v>
      </c>
      <c r="I506" s="21"/>
      <c r="J506" s="24"/>
      <c r="K506" s="25">
        <f t="shared" si="358"/>
        <v>1</v>
      </c>
      <c r="L506" s="11">
        <f t="shared" si="352"/>
        <v>1</v>
      </c>
      <c r="M506" s="69">
        <v>45317</v>
      </c>
      <c r="N506" s="12" t="s">
        <v>349</v>
      </c>
      <c r="O506" s="20">
        <v>35</v>
      </c>
      <c r="P506" s="35">
        <v>60</v>
      </c>
      <c r="Q506" s="21">
        <v>50</v>
      </c>
      <c r="R506" s="38">
        <v>20</v>
      </c>
      <c r="S506" s="9">
        <f t="shared" si="359"/>
        <v>165</v>
      </c>
      <c r="T506" s="20">
        <v>15</v>
      </c>
      <c r="U506" s="35">
        <v>45</v>
      </c>
      <c r="V506" s="21">
        <v>35</v>
      </c>
      <c r="W506" s="38">
        <v>15</v>
      </c>
      <c r="X506" s="9">
        <f t="shared" si="360"/>
        <v>110</v>
      </c>
      <c r="Y506" s="11">
        <f t="shared" si="351"/>
        <v>275</v>
      </c>
      <c r="Z506" s="69">
        <v>45324</v>
      </c>
      <c r="AA506" s="41"/>
    </row>
    <row r="507" spans="1:27" x14ac:dyDescent="0.15">
      <c r="A507" s="40" t="s">
        <v>342</v>
      </c>
      <c r="B507" s="20">
        <v>3</v>
      </c>
      <c r="C507" s="35"/>
      <c r="D507" s="21"/>
      <c r="E507" s="24"/>
      <c r="F507" s="25">
        <f t="shared" si="357"/>
        <v>3</v>
      </c>
      <c r="G507" s="20">
        <v>3</v>
      </c>
      <c r="H507" s="35"/>
      <c r="I507" s="21"/>
      <c r="J507" s="24"/>
      <c r="K507" s="25">
        <f t="shared" si="358"/>
        <v>3</v>
      </c>
      <c r="L507" s="11">
        <f t="shared" si="352"/>
        <v>6</v>
      </c>
      <c r="M507" s="69">
        <v>45322</v>
      </c>
      <c r="N507" s="40" t="s">
        <v>344</v>
      </c>
      <c r="O507" s="20">
        <v>1</v>
      </c>
      <c r="P507" s="35">
        <v>20</v>
      </c>
      <c r="Q507" s="21"/>
      <c r="R507" s="38"/>
      <c r="S507" s="9">
        <f t="shared" si="359"/>
        <v>21</v>
      </c>
      <c r="T507" s="20">
        <v>1</v>
      </c>
      <c r="U507" s="35">
        <v>20</v>
      </c>
      <c r="V507" s="21"/>
      <c r="W507" s="38"/>
      <c r="X507" s="9">
        <f t="shared" si="360"/>
        <v>21</v>
      </c>
      <c r="Y507" s="11">
        <f t="shared" si="351"/>
        <v>42</v>
      </c>
      <c r="Z507" s="69">
        <v>45324</v>
      </c>
    </row>
    <row r="508" spans="1:27" x14ac:dyDescent="0.15">
      <c r="A508" s="59" t="s">
        <v>27</v>
      </c>
      <c r="B508" s="20"/>
      <c r="C508" s="35">
        <v>1</v>
      </c>
      <c r="D508" s="21">
        <f>1+1</f>
        <v>2</v>
      </c>
      <c r="E508" s="24"/>
      <c r="F508" s="25">
        <f t="shared" si="357"/>
        <v>3</v>
      </c>
      <c r="G508" s="20">
        <v>1</v>
      </c>
      <c r="H508" s="35"/>
      <c r="I508" s="21">
        <f>1+1</f>
        <v>2</v>
      </c>
      <c r="J508" s="24"/>
      <c r="K508" s="25">
        <f t="shared" si="358"/>
        <v>3</v>
      </c>
      <c r="L508" s="11">
        <f t="shared" si="352"/>
        <v>6</v>
      </c>
      <c r="M508" s="71">
        <v>45320</v>
      </c>
      <c r="N508" s="40" t="s">
        <v>26</v>
      </c>
      <c r="O508" s="20">
        <v>20</v>
      </c>
      <c r="P508" s="35">
        <v>10</v>
      </c>
      <c r="Q508" s="21">
        <v>5</v>
      </c>
      <c r="R508" s="38">
        <v>5</v>
      </c>
      <c r="S508" s="9">
        <f>SUM(O508:R508)</f>
        <v>40</v>
      </c>
      <c r="T508" s="20">
        <v>20</v>
      </c>
      <c r="U508" s="35">
        <v>15</v>
      </c>
      <c r="V508" s="21">
        <v>10</v>
      </c>
      <c r="W508" s="38">
        <v>5</v>
      </c>
      <c r="X508" s="9">
        <f>SUM(T508:W508)</f>
        <v>50</v>
      </c>
      <c r="Y508" s="11">
        <f t="shared" si="351"/>
        <v>90</v>
      </c>
      <c r="Z508" s="69">
        <v>45323</v>
      </c>
    </row>
    <row r="509" spans="1:27" x14ac:dyDescent="0.15">
      <c r="A509" s="59" t="s">
        <v>343</v>
      </c>
      <c r="B509" s="20"/>
      <c r="C509" s="35"/>
      <c r="D509" s="21"/>
      <c r="E509" s="24">
        <v>1</v>
      </c>
      <c r="F509" s="25">
        <f t="shared" si="357"/>
        <v>1</v>
      </c>
      <c r="G509" s="20"/>
      <c r="H509" s="35"/>
      <c r="I509" s="21"/>
      <c r="J509" s="24"/>
      <c r="K509" s="25">
        <f t="shared" si="358"/>
        <v>0</v>
      </c>
      <c r="L509" s="11">
        <f t="shared" si="352"/>
        <v>1</v>
      </c>
      <c r="M509" s="69">
        <v>45321</v>
      </c>
      <c r="N509" s="40" t="s">
        <v>351</v>
      </c>
      <c r="O509" s="20"/>
      <c r="P509" s="35"/>
      <c r="Q509" s="21"/>
      <c r="R509" s="38">
        <v>2</v>
      </c>
      <c r="S509" s="9">
        <f t="shared" si="359"/>
        <v>2</v>
      </c>
      <c r="T509" s="20"/>
      <c r="U509" s="35"/>
      <c r="V509" s="21"/>
      <c r="W509" s="38">
        <v>2</v>
      </c>
      <c r="X509" s="9">
        <f t="shared" si="360"/>
        <v>2</v>
      </c>
      <c r="Y509" s="11">
        <f t="shared" si="351"/>
        <v>4</v>
      </c>
      <c r="Z509" s="69">
        <v>45327</v>
      </c>
    </row>
    <row r="510" spans="1:27" x14ac:dyDescent="0.15">
      <c r="A510" s="59" t="s">
        <v>345</v>
      </c>
      <c r="B510" s="20">
        <v>1</v>
      </c>
      <c r="C510" s="35"/>
      <c r="D510" s="21"/>
      <c r="E510" s="24"/>
      <c r="F510" s="25">
        <f t="shared" si="357"/>
        <v>1</v>
      </c>
      <c r="G510" s="20">
        <v>1</v>
      </c>
      <c r="H510" s="35"/>
      <c r="I510" s="21"/>
      <c r="J510" s="24"/>
      <c r="K510" s="25">
        <f t="shared" si="358"/>
        <v>1</v>
      </c>
      <c r="L510" s="11">
        <f t="shared" si="352"/>
        <v>2</v>
      </c>
      <c r="M510" s="69">
        <v>45322</v>
      </c>
      <c r="N510" s="40" t="s">
        <v>352</v>
      </c>
      <c r="O510" s="20">
        <v>6</v>
      </c>
      <c r="P510" s="35"/>
      <c r="Q510" s="21"/>
      <c r="R510" s="38"/>
      <c r="S510" s="9">
        <f t="shared" si="359"/>
        <v>6</v>
      </c>
      <c r="T510" s="20">
        <v>6</v>
      </c>
      <c r="U510" s="35"/>
      <c r="V510" s="21"/>
      <c r="W510" s="38"/>
      <c r="X510" s="9">
        <f t="shared" si="360"/>
        <v>6</v>
      </c>
      <c r="Y510" s="11">
        <f t="shared" si="351"/>
        <v>12</v>
      </c>
      <c r="Z510" s="69">
        <v>45336</v>
      </c>
    </row>
    <row r="511" spans="1:27" x14ac:dyDescent="0.15">
      <c r="A511" s="40" t="s">
        <v>346</v>
      </c>
      <c r="B511" s="20"/>
      <c r="C511" s="35"/>
      <c r="D511" s="21">
        <v>1</v>
      </c>
      <c r="E511" s="24">
        <v>1</v>
      </c>
      <c r="F511" s="25">
        <f t="shared" si="357"/>
        <v>2</v>
      </c>
      <c r="G511" s="20"/>
      <c r="H511" s="35"/>
      <c r="I511" s="21">
        <v>1</v>
      </c>
      <c r="J511" s="24">
        <v>1</v>
      </c>
      <c r="K511" s="25">
        <f t="shared" si="358"/>
        <v>2</v>
      </c>
      <c r="L511" s="11">
        <f t="shared" si="352"/>
        <v>4</v>
      </c>
      <c r="M511" s="69">
        <v>45323</v>
      </c>
      <c r="N511" s="40" t="s">
        <v>354</v>
      </c>
      <c r="O511" s="20"/>
      <c r="P511" s="35"/>
      <c r="Q511" s="21"/>
      <c r="R511" s="38">
        <v>3</v>
      </c>
      <c r="S511" s="9">
        <f t="shared" si="359"/>
        <v>3</v>
      </c>
      <c r="T511" s="20"/>
      <c r="U511" s="35"/>
      <c r="V511" s="21"/>
      <c r="W511" s="38">
        <v>3</v>
      </c>
      <c r="X511" s="9">
        <f t="shared" si="360"/>
        <v>3</v>
      </c>
      <c r="Y511" s="11">
        <f t="shared" si="351"/>
        <v>6</v>
      </c>
      <c r="Z511" s="69">
        <v>45330</v>
      </c>
    </row>
    <row r="512" spans="1:27" x14ac:dyDescent="0.15">
      <c r="A512" s="12" t="s">
        <v>347</v>
      </c>
      <c r="B512" s="20">
        <v>10</v>
      </c>
      <c r="C512" s="35">
        <v>10</v>
      </c>
      <c r="D512" s="21"/>
      <c r="E512" s="24"/>
      <c r="F512" s="25">
        <f t="shared" si="357"/>
        <v>20</v>
      </c>
      <c r="G512" s="20">
        <v>10</v>
      </c>
      <c r="H512" s="35">
        <v>10</v>
      </c>
      <c r="I512" s="21"/>
      <c r="J512" s="24"/>
      <c r="K512" s="25">
        <f t="shared" si="358"/>
        <v>20</v>
      </c>
      <c r="L512" s="11">
        <f t="shared" si="352"/>
        <v>40</v>
      </c>
      <c r="M512" s="69">
        <v>45323</v>
      </c>
      <c r="N512" s="12" t="s">
        <v>361</v>
      </c>
      <c r="O512" s="20">
        <v>15</v>
      </c>
      <c r="P512" s="35">
        <v>45</v>
      </c>
      <c r="Q512" s="21"/>
      <c r="R512" s="38">
        <v>20</v>
      </c>
      <c r="S512" s="9">
        <f t="shared" ref="S512" si="361">SUM(O512:R512)</f>
        <v>80</v>
      </c>
      <c r="T512" s="20"/>
      <c r="U512" s="35">
        <v>20</v>
      </c>
      <c r="V512" s="21"/>
      <c r="W512" s="38">
        <v>20</v>
      </c>
      <c r="X512" s="9">
        <f t="shared" ref="X512" si="362">SUM(T512:W512)</f>
        <v>40</v>
      </c>
      <c r="Y512" s="11">
        <f t="shared" ref="Y512:Y516" si="363">S512+X512</f>
        <v>120</v>
      </c>
      <c r="Z512" s="69">
        <v>45331</v>
      </c>
    </row>
    <row r="513" spans="1:26" x14ac:dyDescent="0.15">
      <c r="A513" s="59" t="s">
        <v>32</v>
      </c>
      <c r="B513" s="20"/>
      <c r="C513" s="35"/>
      <c r="D513" s="21"/>
      <c r="E513" s="24"/>
      <c r="F513" s="25">
        <f t="shared" si="357"/>
        <v>0</v>
      </c>
      <c r="G513" s="20"/>
      <c r="H513" s="35">
        <v>2</v>
      </c>
      <c r="I513" s="21"/>
      <c r="J513" s="24"/>
      <c r="K513" s="25">
        <f t="shared" si="358"/>
        <v>2</v>
      </c>
      <c r="L513" s="11">
        <f t="shared" si="352"/>
        <v>2</v>
      </c>
      <c r="M513" s="69">
        <v>45322</v>
      </c>
      <c r="N513" s="40" t="s">
        <v>26</v>
      </c>
      <c r="O513" s="20">
        <v>5</v>
      </c>
      <c r="P513" s="35">
        <v>15</v>
      </c>
      <c r="Q513" s="21">
        <v>10</v>
      </c>
      <c r="R513" s="38"/>
      <c r="S513" s="9">
        <f>SUM(O513:R513)</f>
        <v>30</v>
      </c>
      <c r="T513" s="20">
        <v>10</v>
      </c>
      <c r="U513" s="35">
        <v>15</v>
      </c>
      <c r="V513" s="21">
        <v>10</v>
      </c>
      <c r="W513" s="38"/>
      <c r="X513" s="9">
        <f>SUM(T513:W513)</f>
        <v>35</v>
      </c>
      <c r="Y513" s="11">
        <f t="shared" si="363"/>
        <v>65</v>
      </c>
      <c r="Z513" s="69">
        <v>45330</v>
      </c>
    </row>
    <row r="514" spans="1:26" x14ac:dyDescent="0.15">
      <c r="A514" s="40" t="s">
        <v>348</v>
      </c>
      <c r="B514" s="20"/>
      <c r="C514" s="35"/>
      <c r="D514" s="21"/>
      <c r="E514" s="24">
        <v>1</v>
      </c>
      <c r="F514" s="25">
        <f t="shared" si="357"/>
        <v>1</v>
      </c>
      <c r="G514" s="20"/>
      <c r="H514" s="35"/>
      <c r="I514" s="21"/>
      <c r="J514" s="24">
        <v>1</v>
      </c>
      <c r="K514" s="25">
        <f t="shared" si="358"/>
        <v>1</v>
      </c>
      <c r="L514" s="11">
        <f t="shared" si="352"/>
        <v>2</v>
      </c>
      <c r="M514" s="69">
        <v>45324</v>
      </c>
      <c r="N514" s="12"/>
      <c r="O514" s="20"/>
      <c r="P514" s="35"/>
      <c r="Q514" s="21"/>
      <c r="R514" s="38"/>
      <c r="S514" s="9">
        <f t="shared" ref="S514:S516" si="364">SUM(O514:R514)</f>
        <v>0</v>
      </c>
      <c r="T514" s="20"/>
      <c r="U514" s="35"/>
      <c r="V514" s="21"/>
      <c r="W514" s="38"/>
      <c r="X514" s="9">
        <f t="shared" ref="X514:X516" si="365">SUM(T514:W514)</f>
        <v>0</v>
      </c>
      <c r="Y514" s="11">
        <f t="shared" si="363"/>
        <v>0</v>
      </c>
    </row>
    <row r="515" spans="1:26" x14ac:dyDescent="0.15">
      <c r="A515" s="59" t="s">
        <v>27</v>
      </c>
      <c r="B515" s="20">
        <v>1</v>
      </c>
      <c r="C515" s="35"/>
      <c r="D515" s="21"/>
      <c r="E515" s="24"/>
      <c r="F515" s="25">
        <f t="shared" si="357"/>
        <v>1</v>
      </c>
      <c r="G515" s="20">
        <v>1</v>
      </c>
      <c r="H515" s="35">
        <v>1</v>
      </c>
      <c r="I515" s="21"/>
      <c r="J515" s="24"/>
      <c r="K515" s="25">
        <f t="shared" si="358"/>
        <v>2</v>
      </c>
      <c r="L515" s="11">
        <f t="shared" si="352"/>
        <v>3</v>
      </c>
      <c r="M515" s="71">
        <v>45322</v>
      </c>
      <c r="N515" s="12"/>
      <c r="O515" s="20"/>
      <c r="P515" s="35"/>
      <c r="Q515" s="21"/>
      <c r="R515" s="38"/>
      <c r="S515" s="9">
        <f t="shared" si="364"/>
        <v>0</v>
      </c>
      <c r="T515" s="20"/>
      <c r="U515" s="35"/>
      <c r="V515" s="21"/>
      <c r="W515" s="38"/>
      <c r="X515" s="9">
        <f t="shared" si="365"/>
        <v>0</v>
      </c>
      <c r="Y515" s="11">
        <f t="shared" si="363"/>
        <v>0</v>
      </c>
    </row>
    <row r="516" spans="1:26" x14ac:dyDescent="0.15">
      <c r="A516" s="40" t="s">
        <v>350</v>
      </c>
      <c r="B516" s="20">
        <v>1</v>
      </c>
      <c r="C516" s="35">
        <v>1</v>
      </c>
      <c r="D516" s="21"/>
      <c r="E516" s="24"/>
      <c r="F516" s="25">
        <f t="shared" si="357"/>
        <v>2</v>
      </c>
      <c r="G516" s="20">
        <v>1</v>
      </c>
      <c r="H516" s="35">
        <v>1</v>
      </c>
      <c r="I516" s="21"/>
      <c r="J516" s="24"/>
      <c r="K516" s="25">
        <f t="shared" si="358"/>
        <v>2</v>
      </c>
      <c r="L516" s="11">
        <f t="shared" si="352"/>
        <v>4</v>
      </c>
      <c r="M516" s="69">
        <v>45324</v>
      </c>
      <c r="N516" s="12"/>
      <c r="O516" s="20"/>
      <c r="P516" s="35"/>
      <c r="Q516" s="21"/>
      <c r="R516" s="38"/>
      <c r="S516" s="9">
        <f t="shared" si="364"/>
        <v>0</v>
      </c>
      <c r="T516" s="20"/>
      <c r="U516" s="35"/>
      <c r="V516" s="21"/>
      <c r="W516" s="38"/>
      <c r="X516" s="9">
        <f t="shared" si="365"/>
        <v>0</v>
      </c>
      <c r="Y516" s="11">
        <f t="shared" si="363"/>
        <v>0</v>
      </c>
    </row>
    <row r="517" spans="1:26" x14ac:dyDescent="0.15">
      <c r="A517" s="40" t="s">
        <v>353</v>
      </c>
      <c r="B517" s="20"/>
      <c r="C517" s="35">
        <v>2</v>
      </c>
      <c r="D517" s="21">
        <v>2</v>
      </c>
      <c r="E517" s="24">
        <v>2</v>
      </c>
      <c r="F517" s="25">
        <f t="shared" si="357"/>
        <v>6</v>
      </c>
      <c r="G517" s="20"/>
      <c r="H517" s="35">
        <v>2</v>
      </c>
      <c r="I517" s="21">
        <v>2</v>
      </c>
      <c r="J517" s="24">
        <v>2</v>
      </c>
      <c r="K517" s="25">
        <f t="shared" si="358"/>
        <v>6</v>
      </c>
      <c r="L517" s="11">
        <f t="shared" si="352"/>
        <v>12</v>
      </c>
      <c r="M517" s="69">
        <v>45327</v>
      </c>
      <c r="N517" s="12"/>
      <c r="O517" s="20"/>
      <c r="P517" s="35"/>
      <c r="Q517" s="21"/>
      <c r="R517" s="38"/>
      <c r="S517" s="9">
        <f>SUM(O517:R517)</f>
        <v>0</v>
      </c>
      <c r="T517" s="20"/>
      <c r="U517" s="35"/>
      <c r="V517" s="21"/>
      <c r="W517" s="38"/>
      <c r="X517" s="9">
        <f>SUM(T517:W517)</f>
        <v>0</v>
      </c>
      <c r="Y517" s="11">
        <f t="shared" si="351"/>
        <v>0</v>
      </c>
    </row>
    <row r="518" spans="1:26" x14ac:dyDescent="0.15">
      <c r="A518" s="59" t="s">
        <v>27</v>
      </c>
      <c r="B518" s="20">
        <v>1</v>
      </c>
      <c r="C518" s="35">
        <v>1</v>
      </c>
      <c r="D518" s="21"/>
      <c r="E518" s="24"/>
      <c r="F518" s="25">
        <f t="shared" si="357"/>
        <v>2</v>
      </c>
      <c r="G518" s="20">
        <v>1</v>
      </c>
      <c r="H518" s="35">
        <v>1</v>
      </c>
      <c r="I518" s="21"/>
      <c r="J518" s="24"/>
      <c r="K518" s="25">
        <f t="shared" si="358"/>
        <v>2</v>
      </c>
      <c r="L518" s="11">
        <f t="shared" si="352"/>
        <v>4</v>
      </c>
      <c r="M518" s="71">
        <v>45324</v>
      </c>
      <c r="N518" s="40"/>
      <c r="O518" s="20"/>
      <c r="P518" s="35"/>
      <c r="Q518" s="21"/>
      <c r="R518" s="38"/>
      <c r="S518" s="9">
        <f t="shared" ref="S518:S525" si="366">SUM(O518:R518)</f>
        <v>0</v>
      </c>
      <c r="T518" s="20"/>
      <c r="U518" s="35"/>
      <c r="V518" s="21"/>
      <c r="W518" s="38"/>
      <c r="X518" s="9">
        <f t="shared" ref="X518:X525" si="367">SUM(T518:W518)</f>
        <v>0</v>
      </c>
      <c r="Y518" s="11">
        <f t="shared" si="351"/>
        <v>0</v>
      </c>
    </row>
    <row r="519" spans="1:26" x14ac:dyDescent="0.15">
      <c r="A519" s="40" t="s">
        <v>355</v>
      </c>
      <c r="B519" s="20"/>
      <c r="C519" s="35">
        <v>2</v>
      </c>
      <c r="D519" s="21"/>
      <c r="E519" s="24"/>
      <c r="F519" s="25">
        <f t="shared" si="357"/>
        <v>2</v>
      </c>
      <c r="G519" s="20"/>
      <c r="H519" s="35">
        <v>2</v>
      </c>
      <c r="I519" s="21"/>
      <c r="J519" s="24"/>
      <c r="K519" s="25">
        <f t="shared" si="358"/>
        <v>2</v>
      </c>
      <c r="L519" s="11">
        <f t="shared" si="352"/>
        <v>4</v>
      </c>
      <c r="M519" s="69">
        <v>45329</v>
      </c>
      <c r="N519" s="15"/>
      <c r="O519" s="20"/>
      <c r="P519" s="35"/>
      <c r="Q519" s="21"/>
      <c r="R519" s="38"/>
      <c r="S519" s="9">
        <f t="shared" si="366"/>
        <v>0</v>
      </c>
      <c r="T519" s="20"/>
      <c r="U519" s="35"/>
      <c r="V519" s="21"/>
      <c r="W519" s="38"/>
      <c r="X519" s="9">
        <f t="shared" si="367"/>
        <v>0</v>
      </c>
      <c r="Y519" s="11">
        <f t="shared" si="351"/>
        <v>0</v>
      </c>
    </row>
    <row r="520" spans="1:26" x14ac:dyDescent="0.15">
      <c r="A520" s="59" t="s">
        <v>32</v>
      </c>
      <c r="B520" s="20"/>
      <c r="C520" s="35"/>
      <c r="D520" s="21">
        <v>1</v>
      </c>
      <c r="E520" s="24"/>
      <c r="F520" s="25">
        <f t="shared" si="357"/>
        <v>1</v>
      </c>
      <c r="G520" s="20"/>
      <c r="H520" s="35">
        <v>1</v>
      </c>
      <c r="I520" s="21"/>
      <c r="J520" s="24"/>
      <c r="K520" s="25">
        <f t="shared" si="358"/>
        <v>1</v>
      </c>
      <c r="L520" s="11">
        <f t="shared" si="352"/>
        <v>2</v>
      </c>
      <c r="M520" s="69">
        <v>45327</v>
      </c>
      <c r="N520" s="40"/>
      <c r="O520" s="20"/>
      <c r="P520" s="35"/>
      <c r="Q520" s="21"/>
      <c r="R520" s="38"/>
      <c r="S520" s="9">
        <f t="shared" si="366"/>
        <v>0</v>
      </c>
      <c r="T520" s="20"/>
      <c r="U520" s="35"/>
      <c r="V520" s="21"/>
      <c r="W520" s="38"/>
      <c r="X520" s="9">
        <f t="shared" si="367"/>
        <v>0</v>
      </c>
      <c r="Y520" s="11">
        <f t="shared" si="351"/>
        <v>0</v>
      </c>
    </row>
    <row r="521" spans="1:26" x14ac:dyDescent="0.15">
      <c r="A521" s="59" t="s">
        <v>27</v>
      </c>
      <c r="B521" s="20">
        <f>1+2</f>
        <v>3</v>
      </c>
      <c r="C521" s="35">
        <v>2</v>
      </c>
      <c r="D521" s="21"/>
      <c r="E521" s="24"/>
      <c r="F521" s="25">
        <f t="shared" si="357"/>
        <v>5</v>
      </c>
      <c r="G521" s="20">
        <f>3+3</f>
        <v>6</v>
      </c>
      <c r="H521" s="35">
        <v>3</v>
      </c>
      <c r="I521" s="21"/>
      <c r="J521" s="24">
        <v>2</v>
      </c>
      <c r="K521" s="25">
        <f t="shared" si="358"/>
        <v>11</v>
      </c>
      <c r="L521" s="11">
        <f t="shared" si="352"/>
        <v>16</v>
      </c>
      <c r="M521" s="69">
        <v>45327</v>
      </c>
      <c r="N521" s="40"/>
      <c r="O521" s="48"/>
      <c r="P521" s="49"/>
      <c r="Q521" s="50"/>
      <c r="R521" s="72"/>
      <c r="S521" s="74">
        <f t="shared" si="366"/>
        <v>0</v>
      </c>
      <c r="T521" s="48"/>
      <c r="U521" s="49"/>
      <c r="V521" s="50"/>
      <c r="W521" s="72"/>
      <c r="X521" s="74">
        <f t="shared" si="367"/>
        <v>0</v>
      </c>
      <c r="Y521" s="11">
        <f t="shared" si="351"/>
        <v>0</v>
      </c>
    </row>
    <row r="522" spans="1:26" x14ac:dyDescent="0.15">
      <c r="A522" s="12" t="s">
        <v>356</v>
      </c>
      <c r="B522" s="20"/>
      <c r="C522" s="35"/>
      <c r="D522" s="21">
        <v>5</v>
      </c>
      <c r="E522" s="24"/>
      <c r="F522" s="25">
        <f t="shared" si="357"/>
        <v>5</v>
      </c>
      <c r="G522" s="20"/>
      <c r="H522" s="35"/>
      <c r="I522" s="21">
        <v>5</v>
      </c>
      <c r="J522" s="24"/>
      <c r="K522" s="25">
        <f t="shared" si="358"/>
        <v>5</v>
      </c>
      <c r="L522" s="11">
        <f t="shared" si="352"/>
        <v>10</v>
      </c>
      <c r="M522" s="69">
        <v>45330</v>
      </c>
      <c r="N522" s="12"/>
      <c r="O522" s="20"/>
      <c r="P522" s="35"/>
      <c r="Q522" s="21"/>
      <c r="R522" s="38"/>
      <c r="S522" s="9">
        <f t="shared" si="366"/>
        <v>0</v>
      </c>
      <c r="T522" s="20"/>
      <c r="U522" s="35"/>
      <c r="V522" s="21"/>
      <c r="W522" s="38"/>
      <c r="X522" s="9">
        <f t="shared" si="367"/>
        <v>0</v>
      </c>
      <c r="Y522" s="47">
        <f t="shared" si="351"/>
        <v>0</v>
      </c>
    </row>
    <row r="523" spans="1:26" x14ac:dyDescent="0.15">
      <c r="A523" s="40" t="s">
        <v>357</v>
      </c>
      <c r="B523" s="20"/>
      <c r="C523" s="35"/>
      <c r="D523" s="21">
        <v>1</v>
      </c>
      <c r="E523" s="24"/>
      <c r="F523" s="25">
        <f t="shared" si="357"/>
        <v>1</v>
      </c>
      <c r="G523" s="20"/>
      <c r="H523" s="35"/>
      <c r="I523" s="21">
        <v>1</v>
      </c>
      <c r="J523" s="24"/>
      <c r="K523" s="25">
        <f t="shared" si="358"/>
        <v>1</v>
      </c>
      <c r="L523" s="11">
        <f t="shared" si="352"/>
        <v>2</v>
      </c>
      <c r="M523" s="69">
        <v>45330</v>
      </c>
      <c r="N523" s="12"/>
      <c r="O523" s="20"/>
      <c r="P523" s="35"/>
      <c r="Q523" s="21"/>
      <c r="R523" s="38"/>
      <c r="S523" s="9">
        <f t="shared" si="366"/>
        <v>0</v>
      </c>
      <c r="T523" s="20"/>
      <c r="U523" s="35"/>
      <c r="V523" s="21"/>
      <c r="W523" s="38"/>
      <c r="X523" s="9">
        <f t="shared" si="367"/>
        <v>0</v>
      </c>
      <c r="Y523" s="47">
        <f t="shared" si="351"/>
        <v>0</v>
      </c>
    </row>
    <row r="524" spans="1:26" x14ac:dyDescent="0.15">
      <c r="A524" s="59" t="s">
        <v>27</v>
      </c>
      <c r="B524" s="20">
        <v>1</v>
      </c>
      <c r="C524" s="35">
        <v>1</v>
      </c>
      <c r="D524" s="21"/>
      <c r="E524" s="24">
        <v>1</v>
      </c>
      <c r="F524" s="25">
        <f t="shared" si="357"/>
        <v>3</v>
      </c>
      <c r="G524" s="20">
        <f>1+1</f>
        <v>2</v>
      </c>
      <c r="H524" s="35">
        <v>1</v>
      </c>
      <c r="I524" s="21"/>
      <c r="J524" s="24">
        <v>1</v>
      </c>
      <c r="K524" s="25">
        <f t="shared" si="358"/>
        <v>4</v>
      </c>
      <c r="L524" s="11">
        <f t="shared" si="352"/>
        <v>7</v>
      </c>
      <c r="M524" s="69">
        <v>45328</v>
      </c>
      <c r="N524" s="12"/>
      <c r="O524" s="20"/>
      <c r="P524" s="35"/>
      <c r="Q524" s="21"/>
      <c r="R524" s="38"/>
      <c r="S524" s="9">
        <f t="shared" si="366"/>
        <v>0</v>
      </c>
      <c r="T524" s="20"/>
      <c r="U524" s="35"/>
      <c r="V524" s="21"/>
      <c r="W524" s="38"/>
      <c r="X524" s="9">
        <f t="shared" si="367"/>
        <v>0</v>
      </c>
      <c r="Y524" s="47">
        <f t="shared" si="351"/>
        <v>0</v>
      </c>
    </row>
    <row r="525" spans="1:26" x14ac:dyDescent="0.15">
      <c r="A525" s="40" t="s">
        <v>359</v>
      </c>
      <c r="B525" s="20"/>
      <c r="C525" s="35">
        <v>3</v>
      </c>
      <c r="D525" s="21"/>
      <c r="E525" s="24"/>
      <c r="F525" s="25">
        <f t="shared" si="357"/>
        <v>3</v>
      </c>
      <c r="G525" s="20"/>
      <c r="H525" s="35">
        <v>3</v>
      </c>
      <c r="I525" s="21"/>
      <c r="J525" s="24"/>
      <c r="K525" s="25">
        <f t="shared" si="358"/>
        <v>3</v>
      </c>
      <c r="L525" s="11">
        <f t="shared" si="352"/>
        <v>6</v>
      </c>
      <c r="M525" s="69">
        <v>45331</v>
      </c>
      <c r="N525" s="12"/>
      <c r="O525" s="20"/>
      <c r="P525" s="35"/>
      <c r="Q525" s="21"/>
      <c r="R525" s="38"/>
      <c r="S525" s="9">
        <f t="shared" si="366"/>
        <v>0</v>
      </c>
      <c r="T525" s="20"/>
      <c r="U525" s="35"/>
      <c r="V525" s="21"/>
      <c r="W525" s="38"/>
      <c r="X525" s="9">
        <f t="shared" si="367"/>
        <v>0</v>
      </c>
      <c r="Y525" s="47">
        <f t="shared" si="351"/>
        <v>0</v>
      </c>
    </row>
    <row r="526" spans="1:26" x14ac:dyDescent="0.15">
      <c r="A526" s="59" t="s">
        <v>27</v>
      </c>
      <c r="B526" s="20">
        <v>2</v>
      </c>
      <c r="C526" s="35"/>
      <c r="D526" s="21">
        <v>1</v>
      </c>
      <c r="E526" s="24"/>
      <c r="F526" s="25">
        <f t="shared" si="357"/>
        <v>3</v>
      </c>
      <c r="G526" s="20"/>
      <c r="H526" s="35"/>
      <c r="I526" s="21">
        <v>1</v>
      </c>
      <c r="J526" s="24"/>
      <c r="K526" s="25">
        <f t="shared" si="358"/>
        <v>1</v>
      </c>
      <c r="L526" s="11">
        <f t="shared" si="352"/>
        <v>4</v>
      </c>
      <c r="M526" s="69">
        <v>45329</v>
      </c>
      <c r="N526" s="12"/>
      <c r="O526" s="20"/>
      <c r="P526" s="35"/>
      <c r="Q526" s="21"/>
      <c r="R526" s="38"/>
      <c r="S526" s="9">
        <f t="shared" ref="S526:S527" si="368">SUM(O526:R526)</f>
        <v>0</v>
      </c>
      <c r="T526" s="20"/>
      <c r="U526" s="35"/>
      <c r="V526" s="21"/>
      <c r="W526" s="38"/>
      <c r="X526" s="9">
        <f t="shared" ref="X526:X527" si="369">SUM(T526:W526)</f>
        <v>0</v>
      </c>
      <c r="Y526" s="47">
        <f t="shared" ref="Y526:Y527" si="370">S526+X526</f>
        <v>0</v>
      </c>
    </row>
    <row r="527" spans="1:26" x14ac:dyDescent="0.15">
      <c r="A527" s="59" t="s">
        <v>210</v>
      </c>
      <c r="B527" s="20">
        <v>2</v>
      </c>
      <c r="C527" s="35"/>
      <c r="D527" s="21"/>
      <c r="E527" s="24"/>
      <c r="F527" s="25">
        <f t="shared" si="357"/>
        <v>2</v>
      </c>
      <c r="G527" s="20">
        <v>2</v>
      </c>
      <c r="H527" s="35"/>
      <c r="I527" s="21"/>
      <c r="J527" s="24"/>
      <c r="K527" s="25">
        <f t="shared" si="358"/>
        <v>2</v>
      </c>
      <c r="L527" s="11">
        <f t="shared" si="352"/>
        <v>4</v>
      </c>
      <c r="M527" s="69">
        <v>45329</v>
      </c>
      <c r="N527" s="137" t="s">
        <v>205</v>
      </c>
      <c r="O527" s="138"/>
      <c r="P527" s="139"/>
      <c r="Q527" s="140"/>
      <c r="R527" s="141"/>
      <c r="S527" s="142">
        <f t="shared" si="368"/>
        <v>0</v>
      </c>
      <c r="T527" s="138"/>
      <c r="U527" s="139"/>
      <c r="V527" s="140"/>
      <c r="W527" s="141"/>
      <c r="X527" s="142">
        <f t="shared" si="369"/>
        <v>0</v>
      </c>
      <c r="Y527" s="145">
        <f t="shared" si="370"/>
        <v>0</v>
      </c>
      <c r="Z527" s="162"/>
    </row>
    <row r="528" spans="1:26" ht="14.25" thickBot="1" x14ac:dyDescent="0.2">
      <c r="A528" s="40" t="s">
        <v>362</v>
      </c>
      <c r="B528" s="43"/>
      <c r="C528" s="44">
        <v>2</v>
      </c>
      <c r="D528" s="45"/>
      <c r="E528" s="46">
        <v>1</v>
      </c>
      <c r="F528" s="25">
        <f t="shared" si="357"/>
        <v>3</v>
      </c>
      <c r="G528" s="43"/>
      <c r="H528" s="44">
        <v>2</v>
      </c>
      <c r="I528" s="45"/>
      <c r="J528" s="46">
        <v>1</v>
      </c>
      <c r="K528" s="25">
        <f t="shared" si="358"/>
        <v>3</v>
      </c>
      <c r="L528" s="14">
        <f t="shared" si="352"/>
        <v>6</v>
      </c>
      <c r="M528" s="69">
        <v>45331</v>
      </c>
      <c r="N528" s="99" t="s">
        <v>366</v>
      </c>
      <c r="O528" s="43"/>
      <c r="P528" s="44"/>
      <c r="Q528" s="45"/>
      <c r="R528" s="100"/>
      <c r="S528" s="10">
        <f>SUM(O528:R528)</f>
        <v>0</v>
      </c>
      <c r="T528" s="43"/>
      <c r="U528" s="44"/>
      <c r="V528" s="45"/>
      <c r="W528" s="100"/>
      <c r="X528" s="10">
        <f>SUM(T528:W528)</f>
        <v>0</v>
      </c>
      <c r="Y528" s="75">
        <f>S528+X528</f>
        <v>0</v>
      </c>
      <c r="Z528" s="162" t="s">
        <v>204</v>
      </c>
    </row>
    <row r="529" spans="1:27" ht="14.25" thickBot="1" x14ac:dyDescent="0.2">
      <c r="A529" s="16" t="s">
        <v>9</v>
      </c>
      <c r="B529" s="28">
        <f>SUM(B504:B528)</f>
        <v>25</v>
      </c>
      <c r="C529" s="36">
        <f>SUM(C504:C528)</f>
        <v>25</v>
      </c>
      <c r="D529" s="29">
        <f>SUM(D504:D528)</f>
        <v>15</v>
      </c>
      <c r="E529" s="30">
        <f>SUM(E504:E528)</f>
        <v>7</v>
      </c>
      <c r="F529" s="26">
        <f>SUM(B529:E529)</f>
        <v>72</v>
      </c>
      <c r="G529" s="28">
        <f>SUM(G504:G528)</f>
        <v>28</v>
      </c>
      <c r="H529" s="36">
        <f>SUM(H504:H528)</f>
        <v>30</v>
      </c>
      <c r="I529" s="29">
        <f>SUM(I504:I528)</f>
        <v>14</v>
      </c>
      <c r="J529" s="30">
        <f>SUM(J504:J528)</f>
        <v>8</v>
      </c>
      <c r="K529" s="26">
        <f>SUM(G529:J529)</f>
        <v>80</v>
      </c>
      <c r="L529" s="27">
        <f t="shared" si="352"/>
        <v>152</v>
      </c>
      <c r="N529" s="61" t="s">
        <v>9</v>
      </c>
      <c r="O529" s="28">
        <f>SUM(O504:O528)</f>
        <v>92</v>
      </c>
      <c r="P529" s="36">
        <f>SUM(P504:P528)</f>
        <v>160</v>
      </c>
      <c r="Q529" s="29">
        <f>SUM(Q504:Q528)</f>
        <v>70</v>
      </c>
      <c r="R529" s="30">
        <f>SUM(R504:R528)</f>
        <v>60</v>
      </c>
      <c r="S529" s="60">
        <f t="shared" ref="S529" si="371">SUM(O529:R529)</f>
        <v>382</v>
      </c>
      <c r="T529" s="28">
        <f>SUM(T504:T528)</f>
        <v>62</v>
      </c>
      <c r="U529" s="36">
        <f>SUM(U504:U528)</f>
        <v>125</v>
      </c>
      <c r="V529" s="29">
        <f>SUM(V504:V528)</f>
        <v>60</v>
      </c>
      <c r="W529" s="30">
        <f>SUM(W504:W528)</f>
        <v>50</v>
      </c>
      <c r="X529" s="60">
        <f t="shared" ref="X529" si="372">SUM(T529:W529)</f>
        <v>297</v>
      </c>
      <c r="Y529" s="63">
        <f t="shared" ref="Y529:Y530" si="373">S529+X529</f>
        <v>679</v>
      </c>
    </row>
    <row r="530" spans="1:27" ht="14.25" thickBot="1" x14ac:dyDescent="0.2">
      <c r="A530" s="18" t="s">
        <v>10</v>
      </c>
      <c r="B530" s="31">
        <f t="shared" ref="B530:K530" si="374">B503-B529</f>
        <v>26</v>
      </c>
      <c r="C530" s="37">
        <f t="shared" si="374"/>
        <v>30</v>
      </c>
      <c r="D530" s="32">
        <f t="shared" si="374"/>
        <v>30</v>
      </c>
      <c r="E530" s="33">
        <f t="shared" si="374"/>
        <v>27</v>
      </c>
      <c r="F530" s="42">
        <f t="shared" si="374"/>
        <v>113</v>
      </c>
      <c r="G530" s="31">
        <f t="shared" si="374"/>
        <v>31</v>
      </c>
      <c r="H530" s="37">
        <f t="shared" si="374"/>
        <v>28</v>
      </c>
      <c r="I530" s="32">
        <f t="shared" si="374"/>
        <v>33</v>
      </c>
      <c r="J530" s="33">
        <f t="shared" si="374"/>
        <v>26</v>
      </c>
      <c r="K530" s="42">
        <f t="shared" si="374"/>
        <v>118</v>
      </c>
      <c r="L530" s="17">
        <f t="shared" si="352"/>
        <v>231</v>
      </c>
      <c r="N530" s="16" t="s">
        <v>10</v>
      </c>
      <c r="O530" s="31">
        <f t="shared" ref="O530:X530" si="375">O503-O529</f>
        <v>639</v>
      </c>
      <c r="P530" s="37">
        <f t="shared" si="375"/>
        <v>673</v>
      </c>
      <c r="Q530" s="32">
        <f t="shared" si="375"/>
        <v>571</v>
      </c>
      <c r="R530" s="33">
        <f t="shared" si="375"/>
        <v>472</v>
      </c>
      <c r="S530" s="42">
        <f t="shared" si="375"/>
        <v>2355</v>
      </c>
      <c r="T530" s="31">
        <f t="shared" si="375"/>
        <v>620</v>
      </c>
      <c r="U530" s="37">
        <f t="shared" si="375"/>
        <v>652</v>
      </c>
      <c r="V530" s="32">
        <f t="shared" si="375"/>
        <v>496</v>
      </c>
      <c r="W530" s="33">
        <f t="shared" si="375"/>
        <v>438</v>
      </c>
      <c r="X530" s="42">
        <f t="shared" si="375"/>
        <v>2206</v>
      </c>
      <c r="Y530" s="17">
        <f t="shared" si="373"/>
        <v>4561</v>
      </c>
    </row>
    <row r="533" spans="1:27" ht="19.5" thickBot="1" x14ac:dyDescent="0.25">
      <c r="A533" s="2" t="s">
        <v>17</v>
      </c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N533" s="2" t="s">
        <v>18</v>
      </c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1"/>
    </row>
    <row r="534" spans="1:27" ht="14.25" thickBot="1" x14ac:dyDescent="0.2">
      <c r="A534" s="5" t="s">
        <v>0</v>
      </c>
      <c r="B534" s="244" t="s">
        <v>19</v>
      </c>
      <c r="C534" s="245"/>
      <c r="D534" s="245"/>
      <c r="E534" s="245"/>
      <c r="F534" s="246"/>
      <c r="G534" s="247" t="s">
        <v>20</v>
      </c>
      <c r="H534" s="248"/>
      <c r="I534" s="248"/>
      <c r="J534" s="248"/>
      <c r="K534" s="249"/>
      <c r="L534" s="250" t="s">
        <v>1</v>
      </c>
      <c r="N534" s="5" t="s">
        <v>0</v>
      </c>
      <c r="O534" s="244" t="s">
        <v>19</v>
      </c>
      <c r="P534" s="245"/>
      <c r="Q534" s="245"/>
      <c r="R534" s="245"/>
      <c r="S534" s="246"/>
      <c r="T534" s="247" t="s">
        <v>20</v>
      </c>
      <c r="U534" s="248"/>
      <c r="V534" s="248"/>
      <c r="W534" s="248"/>
      <c r="X534" s="249"/>
      <c r="Y534" s="250" t="s">
        <v>1</v>
      </c>
    </row>
    <row r="535" spans="1:27" ht="14.25" thickBot="1" x14ac:dyDescent="0.2">
      <c r="A535" s="5" t="s">
        <v>2</v>
      </c>
      <c r="B535" s="3" t="s">
        <v>11</v>
      </c>
      <c r="C535" s="34" t="s">
        <v>12</v>
      </c>
      <c r="D535" s="4" t="s">
        <v>13</v>
      </c>
      <c r="E535" s="19" t="s">
        <v>14</v>
      </c>
      <c r="F535" s="23" t="s">
        <v>3</v>
      </c>
      <c r="G535" s="3" t="s">
        <v>11</v>
      </c>
      <c r="H535" s="34" t="s">
        <v>12</v>
      </c>
      <c r="I535" s="4" t="s">
        <v>13</v>
      </c>
      <c r="J535" s="19" t="s">
        <v>14</v>
      </c>
      <c r="K535" s="23" t="s">
        <v>3</v>
      </c>
      <c r="L535" s="251"/>
      <c r="N535" s="5" t="s">
        <v>2</v>
      </c>
      <c r="O535" s="53" t="s">
        <v>11</v>
      </c>
      <c r="P535" s="54" t="s">
        <v>12</v>
      </c>
      <c r="Q535" s="55" t="s">
        <v>13</v>
      </c>
      <c r="R535" s="56" t="s">
        <v>14</v>
      </c>
      <c r="S535" s="23" t="s">
        <v>3</v>
      </c>
      <c r="T535" s="3" t="s">
        <v>11</v>
      </c>
      <c r="U535" s="34" t="s">
        <v>12</v>
      </c>
      <c r="V535" s="4" t="s">
        <v>13</v>
      </c>
      <c r="W535" s="19" t="s">
        <v>14</v>
      </c>
      <c r="X535" s="23" t="s">
        <v>3</v>
      </c>
      <c r="Y535" s="251"/>
    </row>
    <row r="536" spans="1:27" ht="14.25" thickBot="1" x14ac:dyDescent="0.2">
      <c r="A536" s="18" t="s">
        <v>15</v>
      </c>
      <c r="B536" s="31">
        <f>B530</f>
        <v>26</v>
      </c>
      <c r="C536" s="32">
        <f>C530</f>
        <v>30</v>
      </c>
      <c r="D536" s="32">
        <f>D530</f>
        <v>30</v>
      </c>
      <c r="E536" s="33">
        <f>E530</f>
        <v>27</v>
      </c>
      <c r="F536" s="86">
        <f>SUM(B536:E536)</f>
        <v>113</v>
      </c>
      <c r="G536" s="31">
        <f>G530</f>
        <v>31</v>
      </c>
      <c r="H536" s="32">
        <f>H530</f>
        <v>28</v>
      </c>
      <c r="I536" s="32">
        <f>I530</f>
        <v>33</v>
      </c>
      <c r="J536" s="33">
        <f>J530</f>
        <v>26</v>
      </c>
      <c r="K536" s="80">
        <f>SUM(G536:J536)</f>
        <v>118</v>
      </c>
      <c r="L536" s="17">
        <f>F536+K536</f>
        <v>231</v>
      </c>
      <c r="N536" s="18" t="s">
        <v>15</v>
      </c>
      <c r="O536" s="31">
        <f>O530</f>
        <v>639</v>
      </c>
      <c r="P536" s="32">
        <f>P530</f>
        <v>673</v>
      </c>
      <c r="Q536" s="32">
        <f>Q530</f>
        <v>571</v>
      </c>
      <c r="R536" s="33">
        <f>R530</f>
        <v>472</v>
      </c>
      <c r="S536" s="86">
        <f>SUM(O536:R536)</f>
        <v>2355</v>
      </c>
      <c r="T536" s="31">
        <f>T530</f>
        <v>620</v>
      </c>
      <c r="U536" s="32">
        <f>U530</f>
        <v>652</v>
      </c>
      <c r="V536" s="32">
        <f>V530</f>
        <v>496</v>
      </c>
      <c r="W536" s="33">
        <f>W530</f>
        <v>438</v>
      </c>
      <c r="X536" s="80">
        <f>SUM(T536:W536)</f>
        <v>2206</v>
      </c>
      <c r="Y536" s="17">
        <f t="shared" ref="Y536:Y563" si="376">S536+X536</f>
        <v>4561</v>
      </c>
    </row>
    <row r="537" spans="1:27" x14ac:dyDescent="0.15">
      <c r="A537" s="13" t="s">
        <v>4</v>
      </c>
      <c r="B537" s="6">
        <v>20</v>
      </c>
      <c r="C537" s="22">
        <v>15</v>
      </c>
      <c r="D537" s="7">
        <v>5</v>
      </c>
      <c r="E537" s="8">
        <v>5</v>
      </c>
      <c r="F537" s="9">
        <f>SUM(B537:E537)</f>
        <v>45</v>
      </c>
      <c r="G537" s="22">
        <v>15</v>
      </c>
      <c r="H537" s="22">
        <v>10</v>
      </c>
      <c r="I537" s="7"/>
      <c r="J537" s="8">
        <v>5</v>
      </c>
      <c r="K537" s="9">
        <f>SUM(G537:J537)</f>
        <v>30</v>
      </c>
      <c r="L537" s="11">
        <f t="shared" ref="L537:L539" si="377">F537+K537</f>
        <v>75</v>
      </c>
      <c r="M537" s="69">
        <v>45336</v>
      </c>
      <c r="N537" s="59" t="s">
        <v>16</v>
      </c>
      <c r="O537" s="48"/>
      <c r="P537" s="49"/>
      <c r="Q537" s="50"/>
      <c r="R537" s="51"/>
      <c r="S537" s="85">
        <f>SUM(O537:R537)</f>
        <v>0</v>
      </c>
      <c r="T537" s="48"/>
      <c r="U537" s="49"/>
      <c r="V537" s="50"/>
      <c r="W537" s="51"/>
      <c r="X537" s="74">
        <f>SUM(T537:W537)</f>
        <v>0</v>
      </c>
      <c r="Y537" s="11">
        <f t="shared" si="376"/>
        <v>0</v>
      </c>
    </row>
    <row r="538" spans="1:27" x14ac:dyDescent="0.15">
      <c r="A538" s="13" t="s">
        <v>5</v>
      </c>
      <c r="B538" s="6"/>
      <c r="C538" s="22">
        <v>10</v>
      </c>
      <c r="D538" s="7">
        <v>5</v>
      </c>
      <c r="E538" s="8">
        <v>5</v>
      </c>
      <c r="F538" s="9">
        <f>SUM(B538:E538)</f>
        <v>20</v>
      </c>
      <c r="G538" s="22"/>
      <c r="H538" s="22"/>
      <c r="I538" s="7"/>
      <c r="J538" s="8">
        <v>5</v>
      </c>
      <c r="K538" s="9">
        <f>SUM(G538:J538)</f>
        <v>5</v>
      </c>
      <c r="L538" s="11">
        <f t="shared" si="377"/>
        <v>25</v>
      </c>
      <c r="M538" s="69">
        <v>45339</v>
      </c>
      <c r="N538" s="59" t="s">
        <v>4</v>
      </c>
      <c r="O538" s="48"/>
      <c r="P538" s="49"/>
      <c r="Q538" s="50"/>
      <c r="R538" s="51"/>
      <c r="S538" s="85">
        <f t="shared" ref="S538:S539" si="378">SUM(O538:R538)</f>
        <v>0</v>
      </c>
      <c r="T538" s="48"/>
      <c r="U538" s="49"/>
      <c r="V538" s="50"/>
      <c r="W538" s="51"/>
      <c r="X538" s="74">
        <f t="shared" ref="X538:X539" si="379">SUM(T538:W538)</f>
        <v>0</v>
      </c>
      <c r="Y538" s="11">
        <f t="shared" si="376"/>
        <v>0</v>
      </c>
    </row>
    <row r="539" spans="1:27" x14ac:dyDescent="0.15">
      <c r="A539" s="59" t="s">
        <v>369</v>
      </c>
      <c r="B539" s="20">
        <v>1</v>
      </c>
      <c r="C539" s="35"/>
      <c r="D539" s="21"/>
      <c r="E539" s="24"/>
      <c r="F539" s="25">
        <f t="shared" ref="F539" si="380">SUM(B539:E539)</f>
        <v>1</v>
      </c>
      <c r="G539" s="20">
        <v>1</v>
      </c>
      <c r="H539" s="35"/>
      <c r="I539" s="21"/>
      <c r="J539" s="24"/>
      <c r="K539" s="25">
        <f t="shared" ref="K539" si="381">SUM(G539:J539)</f>
        <v>1</v>
      </c>
      <c r="L539" s="11">
        <f t="shared" si="377"/>
        <v>2</v>
      </c>
      <c r="M539" s="71">
        <v>45339</v>
      </c>
      <c r="N539" s="59" t="s">
        <v>5</v>
      </c>
      <c r="O539" s="48"/>
      <c r="P539" s="49"/>
      <c r="Q539" s="50"/>
      <c r="R539" s="51"/>
      <c r="S539" s="85">
        <f t="shared" si="378"/>
        <v>0</v>
      </c>
      <c r="T539" s="48"/>
      <c r="U539" s="49"/>
      <c r="V539" s="50"/>
      <c r="W539" s="51"/>
      <c r="X539" s="74">
        <f t="shared" si="379"/>
        <v>0</v>
      </c>
      <c r="Y539" s="11">
        <f t="shared" si="376"/>
        <v>0</v>
      </c>
    </row>
    <row r="540" spans="1:27" ht="14.25" thickBot="1" x14ac:dyDescent="0.2">
      <c r="A540" s="13" t="s">
        <v>7</v>
      </c>
      <c r="B540" s="20"/>
      <c r="C540" s="35">
        <v>10</v>
      </c>
      <c r="D540" s="21">
        <v>10</v>
      </c>
      <c r="E540" s="24"/>
      <c r="F540" s="25">
        <f t="shared" ref="F540" si="382">SUM(B540:E540)</f>
        <v>20</v>
      </c>
      <c r="G540" s="20"/>
      <c r="H540" s="35">
        <v>10</v>
      </c>
      <c r="I540" s="21">
        <v>10</v>
      </c>
      <c r="J540" s="24"/>
      <c r="K540" s="25">
        <f t="shared" ref="K540" si="383">SUM(G540:J540)</f>
        <v>20</v>
      </c>
      <c r="L540" s="11">
        <f t="shared" ref="L540:L568" si="384">F540+K540</f>
        <v>40</v>
      </c>
      <c r="M540" s="69">
        <v>45344</v>
      </c>
      <c r="N540" s="13" t="s">
        <v>6</v>
      </c>
      <c r="O540" s="43"/>
      <c r="P540" s="44"/>
      <c r="Q540" s="45"/>
      <c r="R540" s="46"/>
      <c r="S540" s="58">
        <f>SUM(O540:R540)</f>
        <v>0</v>
      </c>
      <c r="T540" s="35"/>
      <c r="U540" s="35"/>
      <c r="V540" s="21"/>
      <c r="W540" s="38"/>
      <c r="X540" s="10">
        <f>SUM(T540:W540)</f>
        <v>0</v>
      </c>
      <c r="Y540" s="14">
        <f t="shared" si="376"/>
        <v>0</v>
      </c>
    </row>
    <row r="541" spans="1:27" ht="14.25" thickBot="1" x14ac:dyDescent="0.2">
      <c r="A541" s="18" t="s">
        <v>8</v>
      </c>
      <c r="B541" s="76">
        <f t="shared" ref="B541:K541" si="385">SUM(B536:B540)</f>
        <v>47</v>
      </c>
      <c r="C541" s="77">
        <f t="shared" si="385"/>
        <v>65</v>
      </c>
      <c r="D541" s="78">
        <f t="shared" si="385"/>
        <v>50</v>
      </c>
      <c r="E541" s="79">
        <f t="shared" si="385"/>
        <v>37</v>
      </c>
      <c r="F541" s="80">
        <f t="shared" si="385"/>
        <v>199</v>
      </c>
      <c r="G541" s="76">
        <f t="shared" si="385"/>
        <v>47</v>
      </c>
      <c r="H541" s="77">
        <f t="shared" si="385"/>
        <v>48</v>
      </c>
      <c r="I541" s="78">
        <f t="shared" si="385"/>
        <v>43</v>
      </c>
      <c r="J541" s="79">
        <f t="shared" si="385"/>
        <v>36</v>
      </c>
      <c r="K541" s="80">
        <f t="shared" si="385"/>
        <v>174</v>
      </c>
      <c r="L541" s="17">
        <f t="shared" si="384"/>
        <v>373</v>
      </c>
      <c r="N541" s="16" t="s">
        <v>8</v>
      </c>
      <c r="O541" s="31">
        <f t="shared" ref="O541:X541" si="386">SUM(O536:O540)</f>
        <v>639</v>
      </c>
      <c r="P541" s="37">
        <f t="shared" si="386"/>
        <v>673</v>
      </c>
      <c r="Q541" s="32">
        <f t="shared" si="386"/>
        <v>571</v>
      </c>
      <c r="R541" s="82">
        <f t="shared" si="386"/>
        <v>472</v>
      </c>
      <c r="S541" s="83">
        <f t="shared" si="386"/>
        <v>2355</v>
      </c>
      <c r="T541" s="31">
        <f t="shared" si="386"/>
        <v>620</v>
      </c>
      <c r="U541" s="37">
        <f t="shared" si="386"/>
        <v>652</v>
      </c>
      <c r="V541" s="32">
        <f t="shared" si="386"/>
        <v>496</v>
      </c>
      <c r="W541" s="82">
        <f t="shared" si="386"/>
        <v>438</v>
      </c>
      <c r="X541" s="83">
        <f t="shared" si="386"/>
        <v>2206</v>
      </c>
      <c r="Y541" s="39">
        <f t="shared" si="376"/>
        <v>4561</v>
      </c>
    </row>
    <row r="542" spans="1:27" x14ac:dyDescent="0.15">
      <c r="A542" s="163" t="s">
        <v>363</v>
      </c>
      <c r="B542" s="20">
        <v>10</v>
      </c>
      <c r="C542" s="35">
        <v>15</v>
      </c>
      <c r="D542" s="21">
        <v>5</v>
      </c>
      <c r="E542" s="24"/>
      <c r="F542" s="25">
        <f t="shared" ref="F542:F566" si="387">SUM(B542:E542)</f>
        <v>30</v>
      </c>
      <c r="G542" s="20">
        <v>10</v>
      </c>
      <c r="H542" s="35"/>
      <c r="I542" s="21"/>
      <c r="J542" s="24"/>
      <c r="K542" s="25">
        <f t="shared" ref="K542:K566" si="388">SUM(G542:J542)</f>
        <v>10</v>
      </c>
      <c r="L542" s="11">
        <f t="shared" si="384"/>
        <v>40</v>
      </c>
      <c r="M542" s="69">
        <v>45332</v>
      </c>
      <c r="N542" s="40" t="s">
        <v>26</v>
      </c>
      <c r="O542" s="20">
        <v>20</v>
      </c>
      <c r="P542" s="35">
        <v>15</v>
      </c>
      <c r="Q542" s="21">
        <v>5</v>
      </c>
      <c r="R542" s="38">
        <v>5</v>
      </c>
      <c r="S542" s="9">
        <f>SUM(O542:R542)</f>
        <v>45</v>
      </c>
      <c r="T542" s="20">
        <v>15</v>
      </c>
      <c r="U542" s="35">
        <v>10</v>
      </c>
      <c r="V542" s="21"/>
      <c r="W542" s="38">
        <v>5</v>
      </c>
      <c r="X542" s="9">
        <f>SUM(T542:W542)</f>
        <v>30</v>
      </c>
      <c r="Y542" s="11">
        <f t="shared" si="376"/>
        <v>75</v>
      </c>
      <c r="Z542" s="69">
        <v>45336</v>
      </c>
    </row>
    <row r="543" spans="1:27" x14ac:dyDescent="0.15">
      <c r="A543" s="59" t="s">
        <v>27</v>
      </c>
      <c r="B543" s="20"/>
      <c r="C543" s="35">
        <v>3</v>
      </c>
      <c r="D543" s="21">
        <v>2</v>
      </c>
      <c r="E543" s="24">
        <v>1</v>
      </c>
      <c r="F543" s="25">
        <f t="shared" si="387"/>
        <v>6</v>
      </c>
      <c r="G543" s="20"/>
      <c r="H543" s="35">
        <v>3</v>
      </c>
      <c r="I543" s="21"/>
      <c r="J543" s="24">
        <v>1</v>
      </c>
      <c r="K543" s="25">
        <f t="shared" si="388"/>
        <v>4</v>
      </c>
      <c r="L543" s="11">
        <f t="shared" si="384"/>
        <v>10</v>
      </c>
      <c r="M543" s="71">
        <v>45330</v>
      </c>
      <c r="N543" s="40" t="s">
        <v>358</v>
      </c>
      <c r="O543" s="20">
        <v>6</v>
      </c>
      <c r="P543" s="35"/>
      <c r="Q543" s="21">
        <v>6</v>
      </c>
      <c r="R543" s="38"/>
      <c r="S543" s="9">
        <f t="shared" ref="S543" si="389">SUM(O543:R543)</f>
        <v>12</v>
      </c>
      <c r="T543" s="20">
        <v>6</v>
      </c>
      <c r="U543" s="35"/>
      <c r="V543" s="21">
        <v>6</v>
      </c>
      <c r="W543" s="38"/>
      <c r="X543" s="9">
        <f t="shared" ref="X543" si="390">SUM(T543:W543)</f>
        <v>12</v>
      </c>
      <c r="Y543" s="11">
        <f t="shared" si="376"/>
        <v>24</v>
      </c>
      <c r="Z543" s="69">
        <v>45341</v>
      </c>
      <c r="AA543" s="41"/>
    </row>
    <row r="544" spans="1:27" x14ac:dyDescent="0.15">
      <c r="A544" s="59" t="s">
        <v>27</v>
      </c>
      <c r="B544" s="20">
        <v>1</v>
      </c>
      <c r="C544" s="35">
        <v>1</v>
      </c>
      <c r="D544" s="21"/>
      <c r="E544" s="24">
        <v>1</v>
      </c>
      <c r="F544" s="25">
        <f t="shared" si="387"/>
        <v>3</v>
      </c>
      <c r="G544" s="20">
        <v>1</v>
      </c>
      <c r="H544" s="35">
        <v>1</v>
      </c>
      <c r="I544" s="21"/>
      <c r="J544" s="24">
        <v>1</v>
      </c>
      <c r="K544" s="25">
        <f t="shared" si="388"/>
        <v>3</v>
      </c>
      <c r="L544" s="11">
        <f t="shared" si="384"/>
        <v>6</v>
      </c>
      <c r="M544" s="71">
        <v>45331</v>
      </c>
      <c r="N544" s="40" t="s">
        <v>26</v>
      </c>
      <c r="O544" s="20"/>
      <c r="P544" s="35">
        <v>10</v>
      </c>
      <c r="Q544" s="21">
        <v>5</v>
      </c>
      <c r="R544" s="38">
        <v>5</v>
      </c>
      <c r="S544" s="9">
        <f>SUM(O544:R544)</f>
        <v>20</v>
      </c>
      <c r="T544" s="20"/>
      <c r="U544" s="35"/>
      <c r="V544" s="21"/>
      <c r="W544" s="24">
        <v>5</v>
      </c>
      <c r="X544" s="25">
        <f>SUM(T544:W544)</f>
        <v>5</v>
      </c>
      <c r="Y544" s="11">
        <f t="shared" si="376"/>
        <v>25</v>
      </c>
      <c r="Z544" s="69">
        <v>45339</v>
      </c>
    </row>
    <row r="545" spans="1:27" x14ac:dyDescent="0.15">
      <c r="A545" s="59" t="s">
        <v>72</v>
      </c>
      <c r="B545" s="64"/>
      <c r="C545" s="49">
        <v>-1</v>
      </c>
      <c r="D545" s="66"/>
      <c r="E545" s="67"/>
      <c r="F545" s="74">
        <f>SUM(B545:E545)</f>
        <v>-1</v>
      </c>
      <c r="G545" s="65"/>
      <c r="H545" s="49">
        <v>-1</v>
      </c>
      <c r="I545" s="66"/>
      <c r="J545" s="67"/>
      <c r="K545" s="74">
        <f>SUM(G545:J545)</f>
        <v>-1</v>
      </c>
      <c r="L545" s="11">
        <f t="shared" ref="L545" si="391">F545+K545</f>
        <v>-2</v>
      </c>
      <c r="M545" s="71">
        <v>45331</v>
      </c>
      <c r="N545" s="40" t="s">
        <v>371</v>
      </c>
      <c r="O545" s="20">
        <v>5</v>
      </c>
      <c r="P545" s="35"/>
      <c r="Q545" s="21"/>
      <c r="R545" s="38"/>
      <c r="S545" s="9">
        <f t="shared" ref="S545:S554" si="392">SUM(O545:R545)</f>
        <v>5</v>
      </c>
      <c r="T545" s="20">
        <v>5</v>
      </c>
      <c r="U545" s="35"/>
      <c r="V545" s="21"/>
      <c r="W545" s="24"/>
      <c r="X545" s="25">
        <f t="shared" ref="X545:X554" si="393">SUM(T545:W545)</f>
        <v>5</v>
      </c>
      <c r="Y545" s="11">
        <f t="shared" si="376"/>
        <v>10</v>
      </c>
      <c r="Z545" s="69">
        <v>45348</v>
      </c>
    </row>
    <row r="546" spans="1:27" x14ac:dyDescent="0.15">
      <c r="A546" s="59" t="s">
        <v>50</v>
      </c>
      <c r="B546" s="20"/>
      <c r="C546" s="35"/>
      <c r="D546" s="21"/>
      <c r="E546" s="24">
        <v>1</v>
      </c>
      <c r="F546" s="25">
        <f t="shared" ref="F546:F561" si="394">SUM(B546:E546)</f>
        <v>1</v>
      </c>
      <c r="G546" s="20"/>
      <c r="H546" s="35"/>
      <c r="I546" s="21"/>
      <c r="J546" s="24">
        <v>1</v>
      </c>
      <c r="K546" s="25">
        <f t="shared" ref="K546:K561" si="395">SUM(G546:J546)</f>
        <v>1</v>
      </c>
      <c r="L546" s="11">
        <f t="shared" ref="L546:L561" si="396">F546+K546</f>
        <v>2</v>
      </c>
      <c r="M546" s="69">
        <v>45335</v>
      </c>
      <c r="N546" s="12" t="s">
        <v>453</v>
      </c>
      <c r="O546" s="20"/>
      <c r="P546" s="35"/>
      <c r="Q546" s="21"/>
      <c r="R546" s="38">
        <v>5</v>
      </c>
      <c r="S546" s="9">
        <f t="shared" si="392"/>
        <v>5</v>
      </c>
      <c r="T546" s="20"/>
      <c r="U546" s="35"/>
      <c r="V546" s="21"/>
      <c r="W546" s="24">
        <v>5</v>
      </c>
      <c r="X546" s="25">
        <f t="shared" si="393"/>
        <v>5</v>
      </c>
      <c r="Y546" s="11">
        <f t="shared" si="376"/>
        <v>10</v>
      </c>
      <c r="Z546" s="69">
        <v>45356</v>
      </c>
    </row>
    <row r="547" spans="1:27" x14ac:dyDescent="0.15">
      <c r="A547" s="40" t="s">
        <v>364</v>
      </c>
      <c r="B547" s="20"/>
      <c r="C547" s="35">
        <v>1</v>
      </c>
      <c r="D547" s="21"/>
      <c r="E547" s="24"/>
      <c r="F547" s="25">
        <f t="shared" si="394"/>
        <v>1</v>
      </c>
      <c r="G547" s="20"/>
      <c r="H547" s="35">
        <v>1</v>
      </c>
      <c r="I547" s="21"/>
      <c r="J547" s="24"/>
      <c r="K547" s="25">
        <f t="shared" si="395"/>
        <v>1</v>
      </c>
      <c r="L547" s="11">
        <f t="shared" si="396"/>
        <v>2</v>
      </c>
      <c r="M547" s="69">
        <v>45337</v>
      </c>
      <c r="N547" s="40" t="s">
        <v>26</v>
      </c>
      <c r="O547" s="20"/>
      <c r="P547" s="35">
        <v>10</v>
      </c>
      <c r="Q547" s="21">
        <v>10</v>
      </c>
      <c r="R547" s="38"/>
      <c r="S547" s="9">
        <f t="shared" si="392"/>
        <v>20</v>
      </c>
      <c r="T547" s="20"/>
      <c r="U547" s="35">
        <v>10</v>
      </c>
      <c r="V547" s="21">
        <v>10</v>
      </c>
      <c r="W547" s="24"/>
      <c r="X547" s="25">
        <f t="shared" si="393"/>
        <v>20</v>
      </c>
      <c r="Y547" s="11">
        <f t="shared" si="376"/>
        <v>40</v>
      </c>
      <c r="Z547" s="69">
        <v>45344</v>
      </c>
    </row>
    <row r="548" spans="1:27" x14ac:dyDescent="0.15">
      <c r="A548" s="59" t="s">
        <v>27</v>
      </c>
      <c r="B548" s="20">
        <v>2</v>
      </c>
      <c r="C548" s="35">
        <v>2</v>
      </c>
      <c r="D548" s="21">
        <v>1</v>
      </c>
      <c r="E548" s="24">
        <v>1</v>
      </c>
      <c r="F548" s="25">
        <f t="shared" si="394"/>
        <v>6</v>
      </c>
      <c r="G548" s="20">
        <v>1</v>
      </c>
      <c r="H548" s="35">
        <v>1</v>
      </c>
      <c r="I548" s="21">
        <v>1</v>
      </c>
      <c r="J548" s="24">
        <v>2</v>
      </c>
      <c r="K548" s="25">
        <f t="shared" si="395"/>
        <v>5</v>
      </c>
      <c r="L548" s="11">
        <f t="shared" si="396"/>
        <v>11</v>
      </c>
      <c r="M548" s="69">
        <v>45335</v>
      </c>
      <c r="N548" s="12" t="s">
        <v>454</v>
      </c>
      <c r="O548" s="20"/>
      <c r="P548" s="35"/>
      <c r="Q548" s="21"/>
      <c r="R548" s="38"/>
      <c r="S548" s="9">
        <f t="shared" si="392"/>
        <v>0</v>
      </c>
      <c r="T548" s="20">
        <v>5</v>
      </c>
      <c r="U548" s="35">
        <v>5</v>
      </c>
      <c r="V548" s="21">
        <v>5</v>
      </c>
      <c r="W548" s="24">
        <v>5</v>
      </c>
      <c r="X548" s="25">
        <f t="shared" si="393"/>
        <v>20</v>
      </c>
      <c r="Y548" s="11">
        <f t="shared" si="376"/>
        <v>20</v>
      </c>
      <c r="Z548" s="69">
        <v>45356</v>
      </c>
      <c r="AA548" s="41"/>
    </row>
    <row r="549" spans="1:27" x14ac:dyDescent="0.15">
      <c r="A549" s="40" t="s">
        <v>365</v>
      </c>
      <c r="B549" s="20">
        <v>1</v>
      </c>
      <c r="C549" s="35"/>
      <c r="D549" s="21">
        <v>1</v>
      </c>
      <c r="E549" s="24"/>
      <c r="F549" s="25">
        <f t="shared" si="394"/>
        <v>2</v>
      </c>
      <c r="G549" s="20">
        <v>1</v>
      </c>
      <c r="H549" s="35"/>
      <c r="I549" s="21">
        <v>1</v>
      </c>
      <c r="J549" s="24"/>
      <c r="K549" s="25">
        <f t="shared" si="395"/>
        <v>2</v>
      </c>
      <c r="L549" s="11">
        <f t="shared" si="396"/>
        <v>4</v>
      </c>
      <c r="M549" s="69">
        <v>45338</v>
      </c>
      <c r="N549" s="40"/>
      <c r="O549" s="20"/>
      <c r="P549" s="35"/>
      <c r="Q549" s="21"/>
      <c r="R549" s="38"/>
      <c r="S549" s="9">
        <f t="shared" ref="S549" si="397">SUM(O549:R549)</f>
        <v>0</v>
      </c>
      <c r="T549" s="20"/>
      <c r="U549" s="35"/>
      <c r="V549" s="21"/>
      <c r="W549" s="24"/>
      <c r="X549" s="25">
        <f t="shared" ref="X549" si="398">SUM(T549:W549)</f>
        <v>0</v>
      </c>
      <c r="Y549" s="11">
        <f t="shared" ref="Y549" si="399">S549+X549</f>
        <v>0</v>
      </c>
    </row>
    <row r="550" spans="1:27" x14ac:dyDescent="0.15">
      <c r="A550" s="59" t="s">
        <v>27</v>
      </c>
      <c r="B550" s="20"/>
      <c r="C550" s="35">
        <v>1</v>
      </c>
      <c r="D550" s="21"/>
      <c r="E550" s="24"/>
      <c r="F550" s="25">
        <f t="shared" si="394"/>
        <v>1</v>
      </c>
      <c r="G550" s="20"/>
      <c r="H550" s="35">
        <v>1</v>
      </c>
      <c r="I550" s="21"/>
      <c r="J550" s="24"/>
      <c r="K550" s="25">
        <f t="shared" si="395"/>
        <v>1</v>
      </c>
      <c r="L550" s="11">
        <f t="shared" si="396"/>
        <v>2</v>
      </c>
      <c r="M550" s="71">
        <v>45336</v>
      </c>
      <c r="N550" s="40"/>
      <c r="O550" s="20"/>
      <c r="P550" s="35"/>
      <c r="Q550" s="21"/>
      <c r="R550" s="38"/>
      <c r="S550" s="9">
        <f t="shared" si="392"/>
        <v>0</v>
      </c>
      <c r="T550" s="20"/>
      <c r="U550" s="35"/>
      <c r="V550" s="21"/>
      <c r="W550" s="24"/>
      <c r="X550" s="25">
        <f t="shared" si="393"/>
        <v>0</v>
      </c>
      <c r="Y550" s="11">
        <f t="shared" si="376"/>
        <v>0</v>
      </c>
    </row>
    <row r="551" spans="1:27" x14ac:dyDescent="0.15">
      <c r="A551" s="59" t="s">
        <v>27</v>
      </c>
      <c r="B551" s="20">
        <v>1</v>
      </c>
      <c r="C551" s="35"/>
      <c r="D551" s="21">
        <v>2</v>
      </c>
      <c r="E551" s="24"/>
      <c r="F551" s="25">
        <f t="shared" si="394"/>
        <v>3</v>
      </c>
      <c r="G551" s="20">
        <v>1</v>
      </c>
      <c r="H551" s="35"/>
      <c r="I551" s="21">
        <v>2</v>
      </c>
      <c r="J551" s="24"/>
      <c r="K551" s="25">
        <f t="shared" si="395"/>
        <v>3</v>
      </c>
      <c r="L551" s="11">
        <f t="shared" si="396"/>
        <v>6</v>
      </c>
      <c r="M551" s="71">
        <v>45337</v>
      </c>
      <c r="N551" s="40"/>
      <c r="O551" s="20"/>
      <c r="P551" s="35"/>
      <c r="Q551" s="21"/>
      <c r="R551" s="38"/>
      <c r="S551" s="9">
        <f t="shared" si="392"/>
        <v>0</v>
      </c>
      <c r="T551" s="20"/>
      <c r="U551" s="35"/>
      <c r="V551" s="21"/>
      <c r="W551" s="24"/>
      <c r="X551" s="25">
        <f t="shared" si="393"/>
        <v>0</v>
      </c>
      <c r="Y551" s="11">
        <f t="shared" si="376"/>
        <v>0</v>
      </c>
    </row>
    <row r="552" spans="1:27" x14ac:dyDescent="0.15">
      <c r="A552" s="40" t="s">
        <v>367</v>
      </c>
      <c r="B552" s="20"/>
      <c r="C552" s="35">
        <v>1</v>
      </c>
      <c r="D552" s="21"/>
      <c r="E552" s="24"/>
      <c r="F552" s="25">
        <f t="shared" si="394"/>
        <v>1</v>
      </c>
      <c r="G552" s="20"/>
      <c r="H552" s="35">
        <v>1</v>
      </c>
      <c r="I552" s="21"/>
      <c r="J552" s="24"/>
      <c r="K552" s="25">
        <f t="shared" si="395"/>
        <v>1</v>
      </c>
      <c r="L552" s="11">
        <f t="shared" si="396"/>
        <v>2</v>
      </c>
      <c r="M552" s="69">
        <v>45341</v>
      </c>
      <c r="N552" s="40"/>
      <c r="O552" s="20"/>
      <c r="P552" s="35"/>
      <c r="Q552" s="21"/>
      <c r="R552" s="38"/>
      <c r="S552" s="9">
        <f t="shared" si="392"/>
        <v>0</v>
      </c>
      <c r="T552" s="20"/>
      <c r="U552" s="35"/>
      <c r="V552" s="21"/>
      <c r="W552" s="24"/>
      <c r="X552" s="25">
        <f t="shared" si="393"/>
        <v>0</v>
      </c>
      <c r="Y552" s="11">
        <f t="shared" si="376"/>
        <v>0</v>
      </c>
    </row>
    <row r="553" spans="1:27" x14ac:dyDescent="0.15">
      <c r="A553" s="59" t="s">
        <v>27</v>
      </c>
      <c r="B553" s="20">
        <v>1</v>
      </c>
      <c r="C553" s="35"/>
      <c r="D553" s="21"/>
      <c r="E553" s="24"/>
      <c r="F553" s="25">
        <f t="shared" si="394"/>
        <v>1</v>
      </c>
      <c r="G553" s="20">
        <v>1</v>
      </c>
      <c r="H553" s="35"/>
      <c r="I553" s="21"/>
      <c r="J553" s="24"/>
      <c r="K553" s="25">
        <f t="shared" si="395"/>
        <v>1</v>
      </c>
      <c r="L553" s="11">
        <f t="shared" si="396"/>
        <v>2</v>
      </c>
      <c r="M553" s="69">
        <v>45338</v>
      </c>
      <c r="N553" s="40"/>
      <c r="O553" s="20"/>
      <c r="P553" s="35"/>
      <c r="Q553" s="21"/>
      <c r="R553" s="38"/>
      <c r="S553" s="9">
        <f t="shared" si="392"/>
        <v>0</v>
      </c>
      <c r="T553" s="20"/>
      <c r="U553" s="35"/>
      <c r="V553" s="21"/>
      <c r="W553" s="24"/>
      <c r="X553" s="25">
        <f t="shared" si="393"/>
        <v>0</v>
      </c>
      <c r="Y553" s="11">
        <f t="shared" si="376"/>
        <v>0</v>
      </c>
    </row>
    <row r="554" spans="1:27" x14ac:dyDescent="0.15">
      <c r="A554" s="12" t="s">
        <v>368</v>
      </c>
      <c r="B554" s="20"/>
      <c r="C554" s="35">
        <v>5</v>
      </c>
      <c r="D554" s="21"/>
      <c r="E554" s="24"/>
      <c r="F554" s="25">
        <f t="shared" si="394"/>
        <v>5</v>
      </c>
      <c r="G554" s="20"/>
      <c r="H554" s="35">
        <v>5</v>
      </c>
      <c r="I554" s="21"/>
      <c r="J554" s="24"/>
      <c r="K554" s="25">
        <f t="shared" si="395"/>
        <v>5</v>
      </c>
      <c r="L554" s="11">
        <f t="shared" si="396"/>
        <v>10</v>
      </c>
      <c r="M554" s="69">
        <v>45343</v>
      </c>
      <c r="N554" s="40"/>
      <c r="O554" s="20"/>
      <c r="P554" s="35"/>
      <c r="Q554" s="21"/>
      <c r="R554" s="38"/>
      <c r="S554" s="9">
        <f t="shared" si="392"/>
        <v>0</v>
      </c>
      <c r="T554" s="20"/>
      <c r="U554" s="35"/>
      <c r="V554" s="21"/>
      <c r="W554" s="24"/>
      <c r="X554" s="25">
        <f t="shared" si="393"/>
        <v>0</v>
      </c>
      <c r="Y554" s="11">
        <f t="shared" si="376"/>
        <v>0</v>
      </c>
    </row>
    <row r="555" spans="1:27" x14ac:dyDescent="0.15">
      <c r="A555" s="40" t="s">
        <v>370</v>
      </c>
      <c r="B555" s="20"/>
      <c r="C555" s="35">
        <v>1</v>
      </c>
      <c r="D555" s="21"/>
      <c r="E555" s="24"/>
      <c r="F555" s="25">
        <f t="shared" si="394"/>
        <v>1</v>
      </c>
      <c r="G555" s="20"/>
      <c r="H555" s="35">
        <v>1</v>
      </c>
      <c r="I555" s="21"/>
      <c r="J555" s="24"/>
      <c r="K555" s="25">
        <f t="shared" si="395"/>
        <v>1</v>
      </c>
      <c r="L555" s="11">
        <f t="shared" si="396"/>
        <v>2</v>
      </c>
      <c r="M555" s="69">
        <v>45343</v>
      </c>
      <c r="N555" s="12"/>
      <c r="O555" s="20"/>
      <c r="P555" s="35"/>
      <c r="Q555" s="21"/>
      <c r="R555" s="38"/>
      <c r="S555" s="9">
        <f>SUM(O555:R555)</f>
        <v>0</v>
      </c>
      <c r="T555" s="20"/>
      <c r="U555" s="35"/>
      <c r="V555" s="21"/>
      <c r="W555" s="24"/>
      <c r="X555" s="25">
        <f>SUM(T555:W555)</f>
        <v>0</v>
      </c>
      <c r="Y555" s="11">
        <f t="shared" si="376"/>
        <v>0</v>
      </c>
    </row>
    <row r="556" spans="1:27" x14ac:dyDescent="0.15">
      <c r="A556" s="59" t="s">
        <v>27</v>
      </c>
      <c r="B556" s="20">
        <v>1</v>
      </c>
      <c r="C556" s="35">
        <v>1</v>
      </c>
      <c r="D556" s="21">
        <v>1</v>
      </c>
      <c r="E556" s="24"/>
      <c r="F556" s="25">
        <f t="shared" si="394"/>
        <v>3</v>
      </c>
      <c r="G556" s="20">
        <v>1</v>
      </c>
      <c r="H556" s="35">
        <v>1</v>
      </c>
      <c r="I556" s="21">
        <v>1</v>
      </c>
      <c r="J556" s="24"/>
      <c r="K556" s="25">
        <f t="shared" si="395"/>
        <v>3</v>
      </c>
      <c r="L556" s="11">
        <f t="shared" si="396"/>
        <v>6</v>
      </c>
      <c r="M556" s="71">
        <v>45341</v>
      </c>
      <c r="N556" s="40"/>
      <c r="O556" s="20"/>
      <c r="P556" s="35"/>
      <c r="Q556" s="21"/>
      <c r="R556" s="38"/>
      <c r="S556" s="9">
        <f t="shared" ref="S556:S563" si="400">SUM(O556:R556)</f>
        <v>0</v>
      </c>
      <c r="T556" s="20"/>
      <c r="U556" s="35"/>
      <c r="V556" s="21"/>
      <c r="W556" s="24"/>
      <c r="X556" s="25">
        <f t="shared" ref="X556:X563" si="401">SUM(T556:W556)</f>
        <v>0</v>
      </c>
      <c r="Y556" s="11">
        <f t="shared" si="376"/>
        <v>0</v>
      </c>
    </row>
    <row r="557" spans="1:27" x14ac:dyDescent="0.15">
      <c r="A557" s="40" t="s">
        <v>372</v>
      </c>
      <c r="B557" s="20">
        <v>1</v>
      </c>
      <c r="C557" s="35"/>
      <c r="D557" s="21"/>
      <c r="E557" s="24"/>
      <c r="F557" s="25">
        <f t="shared" si="394"/>
        <v>1</v>
      </c>
      <c r="G557" s="20">
        <v>1</v>
      </c>
      <c r="H557" s="35"/>
      <c r="I557" s="21"/>
      <c r="J557" s="24"/>
      <c r="K557" s="25">
        <f t="shared" si="395"/>
        <v>1</v>
      </c>
      <c r="L557" s="11">
        <f t="shared" si="396"/>
        <v>2</v>
      </c>
      <c r="M557" s="69">
        <v>45344</v>
      </c>
      <c r="N557" s="15"/>
      <c r="O557" s="20"/>
      <c r="P557" s="35"/>
      <c r="Q557" s="21"/>
      <c r="R557" s="38"/>
      <c r="S557" s="9">
        <f t="shared" si="400"/>
        <v>0</v>
      </c>
      <c r="T557" s="20"/>
      <c r="U557" s="35"/>
      <c r="V557" s="21"/>
      <c r="W557" s="24"/>
      <c r="X557" s="25">
        <f t="shared" si="401"/>
        <v>0</v>
      </c>
      <c r="Y557" s="11">
        <f t="shared" si="376"/>
        <v>0</v>
      </c>
    </row>
    <row r="558" spans="1:27" x14ac:dyDescent="0.15">
      <c r="A558" s="12" t="s">
        <v>373</v>
      </c>
      <c r="B558" s="20"/>
      <c r="C558" s="35"/>
      <c r="D558" s="21">
        <v>5</v>
      </c>
      <c r="E558" s="24"/>
      <c r="F558" s="25">
        <f t="shared" si="394"/>
        <v>5</v>
      </c>
      <c r="G558" s="20"/>
      <c r="H558" s="35"/>
      <c r="I558" s="21">
        <v>5</v>
      </c>
      <c r="J558" s="24"/>
      <c r="K558" s="25">
        <f t="shared" si="395"/>
        <v>5</v>
      </c>
      <c r="L558" s="11">
        <f t="shared" si="396"/>
        <v>10</v>
      </c>
      <c r="M558" s="69">
        <v>45343</v>
      </c>
      <c r="N558" s="40"/>
      <c r="O558" s="20"/>
      <c r="P558" s="35"/>
      <c r="Q558" s="21"/>
      <c r="R558" s="38"/>
      <c r="S558" s="9">
        <f t="shared" si="400"/>
        <v>0</v>
      </c>
      <c r="T558" s="20"/>
      <c r="U558" s="35"/>
      <c r="V558" s="21"/>
      <c r="W558" s="24"/>
      <c r="X558" s="25">
        <f t="shared" si="401"/>
        <v>0</v>
      </c>
      <c r="Y558" s="11">
        <f t="shared" si="376"/>
        <v>0</v>
      </c>
    </row>
    <row r="559" spans="1:27" x14ac:dyDescent="0.15">
      <c r="A559" s="59" t="s">
        <v>27</v>
      </c>
      <c r="B559" s="20">
        <v>1</v>
      </c>
      <c r="C559" s="35">
        <v>1</v>
      </c>
      <c r="D559" s="21">
        <v>3</v>
      </c>
      <c r="E559" s="24">
        <v>7</v>
      </c>
      <c r="F559" s="25">
        <f t="shared" si="394"/>
        <v>12</v>
      </c>
      <c r="G559" s="20">
        <v>3</v>
      </c>
      <c r="H559" s="35">
        <v>3</v>
      </c>
      <c r="I559" s="21">
        <v>4</v>
      </c>
      <c r="J559" s="24">
        <v>7</v>
      </c>
      <c r="K559" s="25">
        <f t="shared" si="395"/>
        <v>17</v>
      </c>
      <c r="L559" s="11">
        <f t="shared" si="396"/>
        <v>29</v>
      </c>
      <c r="M559" s="71">
        <v>45342</v>
      </c>
      <c r="N559" s="40"/>
      <c r="O559" s="48"/>
      <c r="P559" s="49"/>
      <c r="Q559" s="50"/>
      <c r="R559" s="72"/>
      <c r="S559" s="74">
        <f t="shared" si="400"/>
        <v>0</v>
      </c>
      <c r="T559" s="48"/>
      <c r="U559" s="49"/>
      <c r="V559" s="50"/>
      <c r="W559" s="51"/>
      <c r="X559" s="52">
        <f t="shared" si="401"/>
        <v>0</v>
      </c>
      <c r="Y559" s="11">
        <f t="shared" si="376"/>
        <v>0</v>
      </c>
    </row>
    <row r="560" spans="1:27" x14ac:dyDescent="0.15">
      <c r="A560" s="40" t="s">
        <v>374</v>
      </c>
      <c r="B560" s="20">
        <v>1</v>
      </c>
      <c r="C560" s="35"/>
      <c r="D560" s="21"/>
      <c r="E560" s="24">
        <v>1</v>
      </c>
      <c r="F560" s="25">
        <f t="shared" si="394"/>
        <v>2</v>
      </c>
      <c r="G560" s="20">
        <v>1</v>
      </c>
      <c r="H560" s="35"/>
      <c r="I560" s="21"/>
      <c r="J560" s="24">
        <v>1</v>
      </c>
      <c r="K560" s="25">
        <f t="shared" si="395"/>
        <v>2</v>
      </c>
      <c r="L560" s="11">
        <f t="shared" si="396"/>
        <v>4</v>
      </c>
      <c r="M560" s="69">
        <v>45344</v>
      </c>
      <c r="N560" s="12"/>
      <c r="O560" s="20"/>
      <c r="P560" s="35"/>
      <c r="Q560" s="21"/>
      <c r="R560" s="38"/>
      <c r="S560" s="9">
        <f t="shared" si="400"/>
        <v>0</v>
      </c>
      <c r="T560" s="20"/>
      <c r="U560" s="35"/>
      <c r="V560" s="21"/>
      <c r="W560" s="24"/>
      <c r="X560" s="25">
        <f t="shared" si="401"/>
        <v>0</v>
      </c>
      <c r="Y560" s="47">
        <f t="shared" si="376"/>
        <v>0</v>
      </c>
    </row>
    <row r="561" spans="1:26" x14ac:dyDescent="0.15">
      <c r="A561" s="59" t="s">
        <v>27</v>
      </c>
      <c r="B561" s="20"/>
      <c r="C561" s="35">
        <v>6</v>
      </c>
      <c r="D561" s="21">
        <v>4</v>
      </c>
      <c r="E561" s="24">
        <v>2</v>
      </c>
      <c r="F561" s="25">
        <f t="shared" si="394"/>
        <v>12</v>
      </c>
      <c r="G561" s="20"/>
      <c r="H561" s="35">
        <v>2</v>
      </c>
      <c r="I561" s="21">
        <v>4</v>
      </c>
      <c r="J561" s="24">
        <v>1</v>
      </c>
      <c r="K561" s="25">
        <f t="shared" si="395"/>
        <v>7</v>
      </c>
      <c r="L561" s="11">
        <f t="shared" si="396"/>
        <v>19</v>
      </c>
      <c r="M561" s="71">
        <v>45343</v>
      </c>
      <c r="N561" s="12"/>
      <c r="O561" s="20"/>
      <c r="P561" s="35"/>
      <c r="Q561" s="21"/>
      <c r="R561" s="38"/>
      <c r="S561" s="9">
        <f t="shared" si="400"/>
        <v>0</v>
      </c>
      <c r="T561" s="20"/>
      <c r="U561" s="35"/>
      <c r="V561" s="21"/>
      <c r="W561" s="24"/>
      <c r="X561" s="25">
        <f t="shared" si="401"/>
        <v>0</v>
      </c>
      <c r="Y561" s="47">
        <f t="shared" si="376"/>
        <v>0</v>
      </c>
    </row>
    <row r="562" spans="1:26" x14ac:dyDescent="0.15">
      <c r="A562" s="59" t="s">
        <v>27</v>
      </c>
      <c r="B562" s="20"/>
      <c r="C562" s="35">
        <v>1</v>
      </c>
      <c r="D562" s="21">
        <v>1</v>
      </c>
      <c r="E562" s="24"/>
      <c r="F562" s="25">
        <f t="shared" si="387"/>
        <v>2</v>
      </c>
      <c r="G562" s="20"/>
      <c r="H562" s="35">
        <f>1+1</f>
        <v>2</v>
      </c>
      <c r="I562" s="21">
        <v>2</v>
      </c>
      <c r="J562" s="24"/>
      <c r="K562" s="25">
        <f t="shared" si="388"/>
        <v>4</v>
      </c>
      <c r="L562" s="11">
        <f t="shared" si="384"/>
        <v>6</v>
      </c>
      <c r="M562" s="71">
        <v>45344</v>
      </c>
      <c r="N562" s="12"/>
      <c r="O562" s="20"/>
      <c r="P562" s="35"/>
      <c r="Q562" s="21"/>
      <c r="R562" s="38"/>
      <c r="S562" s="9">
        <f t="shared" si="400"/>
        <v>0</v>
      </c>
      <c r="T562" s="20"/>
      <c r="U562" s="35"/>
      <c r="V562" s="21"/>
      <c r="W562" s="24"/>
      <c r="X562" s="25">
        <f t="shared" si="401"/>
        <v>0</v>
      </c>
      <c r="Y562" s="47">
        <f t="shared" si="376"/>
        <v>0</v>
      </c>
    </row>
    <row r="563" spans="1:26" x14ac:dyDescent="0.15">
      <c r="A563" s="40" t="s">
        <v>375</v>
      </c>
      <c r="B563" s="20"/>
      <c r="C563" s="35"/>
      <c r="D563" s="21">
        <v>1</v>
      </c>
      <c r="E563" s="24"/>
      <c r="F563" s="25">
        <f t="shared" si="387"/>
        <v>1</v>
      </c>
      <c r="G563" s="20"/>
      <c r="H563" s="35"/>
      <c r="I563" s="21">
        <v>1</v>
      </c>
      <c r="J563" s="24"/>
      <c r="K563" s="25">
        <f t="shared" si="388"/>
        <v>1</v>
      </c>
      <c r="L563" s="11">
        <f t="shared" si="384"/>
        <v>2</v>
      </c>
      <c r="M563" s="69">
        <v>45350</v>
      </c>
      <c r="N563" s="12"/>
      <c r="O563" s="20"/>
      <c r="P563" s="35"/>
      <c r="Q563" s="21"/>
      <c r="R563" s="38"/>
      <c r="S563" s="9">
        <f t="shared" si="400"/>
        <v>0</v>
      </c>
      <c r="T563" s="20"/>
      <c r="U563" s="35"/>
      <c r="V563" s="21"/>
      <c r="W563" s="24"/>
      <c r="X563" s="25">
        <f t="shared" si="401"/>
        <v>0</v>
      </c>
      <c r="Y563" s="47">
        <f t="shared" si="376"/>
        <v>0</v>
      </c>
    </row>
    <row r="564" spans="1:26" x14ac:dyDescent="0.15">
      <c r="A564" s="59" t="s">
        <v>27</v>
      </c>
      <c r="B564" s="20">
        <v>1</v>
      </c>
      <c r="C564" s="35">
        <v>1</v>
      </c>
      <c r="D564" s="21"/>
      <c r="E564" s="24"/>
      <c r="F564" s="25">
        <f t="shared" si="387"/>
        <v>2</v>
      </c>
      <c r="G564" s="20">
        <v>1</v>
      </c>
      <c r="H564" s="35">
        <v>5</v>
      </c>
      <c r="I564" s="21">
        <v>1</v>
      </c>
      <c r="J564" s="24"/>
      <c r="K564" s="25">
        <f t="shared" si="388"/>
        <v>7</v>
      </c>
      <c r="L564" s="11">
        <f t="shared" si="384"/>
        <v>9</v>
      </c>
      <c r="M564" s="69">
        <v>45348</v>
      </c>
      <c r="N564" s="12"/>
      <c r="O564" s="20"/>
      <c r="P564" s="35"/>
      <c r="Q564" s="21"/>
      <c r="R564" s="38"/>
      <c r="S564" s="9">
        <f t="shared" ref="S564:S566" si="402">SUM(O564:R564)</f>
        <v>0</v>
      </c>
      <c r="T564" s="20"/>
      <c r="U564" s="35"/>
      <c r="V564" s="21"/>
      <c r="W564" s="24"/>
      <c r="X564" s="25">
        <f t="shared" ref="X564:X566" si="403">SUM(T564:W564)</f>
        <v>0</v>
      </c>
      <c r="Y564" s="47">
        <f t="shared" ref="Y564:Y566" si="404">S564+X564</f>
        <v>0</v>
      </c>
    </row>
    <row r="565" spans="1:26" x14ac:dyDescent="0.15">
      <c r="A565" s="40" t="s">
        <v>376</v>
      </c>
      <c r="B565" s="20">
        <v>1</v>
      </c>
      <c r="C565" s="35">
        <v>1</v>
      </c>
      <c r="D565" s="21">
        <v>1</v>
      </c>
      <c r="E565" s="24"/>
      <c r="F565" s="25">
        <f t="shared" si="387"/>
        <v>3</v>
      </c>
      <c r="G565" s="20">
        <v>1</v>
      </c>
      <c r="H565" s="35">
        <v>1</v>
      </c>
      <c r="I565" s="21">
        <v>1</v>
      </c>
      <c r="J565" s="24"/>
      <c r="K565" s="25">
        <f t="shared" si="388"/>
        <v>3</v>
      </c>
      <c r="L565" s="11">
        <f t="shared" si="384"/>
        <v>6</v>
      </c>
      <c r="M565" s="69">
        <v>45351</v>
      </c>
      <c r="N565" s="12"/>
      <c r="O565" s="20"/>
      <c r="P565" s="35"/>
      <c r="Q565" s="21"/>
      <c r="R565" s="38"/>
      <c r="S565" s="9">
        <f t="shared" si="402"/>
        <v>0</v>
      </c>
      <c r="T565" s="20"/>
      <c r="U565" s="35"/>
      <c r="V565" s="21"/>
      <c r="W565" s="24"/>
      <c r="X565" s="25">
        <f t="shared" si="403"/>
        <v>0</v>
      </c>
      <c r="Y565" s="47">
        <f t="shared" si="404"/>
        <v>0</v>
      </c>
    </row>
    <row r="566" spans="1:26" ht="14.25" thickBot="1" x14ac:dyDescent="0.2">
      <c r="A566" s="15" t="s">
        <v>275</v>
      </c>
      <c r="B566" s="43">
        <v>-2</v>
      </c>
      <c r="C566" s="44"/>
      <c r="D566" s="45"/>
      <c r="E566" s="46"/>
      <c r="F566" s="25">
        <f t="shared" si="387"/>
        <v>-2</v>
      </c>
      <c r="G566" s="43">
        <v>-2</v>
      </c>
      <c r="H566" s="44"/>
      <c r="I566" s="45"/>
      <c r="J566" s="46"/>
      <c r="K566" s="25">
        <f t="shared" si="388"/>
        <v>-2</v>
      </c>
      <c r="L566" s="14">
        <f t="shared" si="384"/>
        <v>-4</v>
      </c>
      <c r="M566" s="71">
        <v>45349</v>
      </c>
      <c r="N566" s="99"/>
      <c r="O566" s="43"/>
      <c r="P566" s="44"/>
      <c r="Q566" s="45"/>
      <c r="R566" s="100"/>
      <c r="S566" s="10">
        <f t="shared" si="402"/>
        <v>0</v>
      </c>
      <c r="T566" s="43"/>
      <c r="U566" s="44"/>
      <c r="V566" s="45"/>
      <c r="W566" s="46"/>
      <c r="X566" s="106">
        <f t="shared" si="403"/>
        <v>0</v>
      </c>
      <c r="Y566" s="75">
        <f t="shared" si="404"/>
        <v>0</v>
      </c>
    </row>
    <row r="567" spans="1:26" ht="14.25" thickBot="1" x14ac:dyDescent="0.2">
      <c r="A567" s="16" t="s">
        <v>9</v>
      </c>
      <c r="B567" s="28">
        <f>SUM(B542:B566)</f>
        <v>20</v>
      </c>
      <c r="C567" s="36">
        <f>SUM(C542:C566)</f>
        <v>40</v>
      </c>
      <c r="D567" s="29">
        <f>SUM(D542:D566)</f>
        <v>27</v>
      </c>
      <c r="E567" s="30">
        <f>SUM(E542:E566)</f>
        <v>14</v>
      </c>
      <c r="F567" s="26">
        <f>SUM(B567:E567)</f>
        <v>101</v>
      </c>
      <c r="G567" s="28">
        <f>SUM(G542:G566)</f>
        <v>21</v>
      </c>
      <c r="H567" s="36">
        <f>SUM(H542:H566)</f>
        <v>27</v>
      </c>
      <c r="I567" s="29">
        <f>SUM(I542:I566)</f>
        <v>23</v>
      </c>
      <c r="J567" s="30">
        <f>SUM(J542:J566)</f>
        <v>14</v>
      </c>
      <c r="K567" s="26">
        <f>SUM(G567:J567)</f>
        <v>85</v>
      </c>
      <c r="L567" s="27">
        <f t="shared" si="384"/>
        <v>186</v>
      </c>
      <c r="N567" s="61" t="s">
        <v>9</v>
      </c>
      <c r="O567" s="28">
        <f>SUM(O542:O566)</f>
        <v>31</v>
      </c>
      <c r="P567" s="36">
        <f>SUM(P542:P566)</f>
        <v>35</v>
      </c>
      <c r="Q567" s="29">
        <f>SUM(Q542:Q566)</f>
        <v>26</v>
      </c>
      <c r="R567" s="30">
        <f>SUM(R542:R566)</f>
        <v>15</v>
      </c>
      <c r="S567" s="60">
        <f t="shared" ref="S567" si="405">SUM(O567:R567)</f>
        <v>107</v>
      </c>
      <c r="T567" s="28">
        <f>SUM(T542:T566)</f>
        <v>31</v>
      </c>
      <c r="U567" s="36">
        <f>SUM(U542:U566)</f>
        <v>25</v>
      </c>
      <c r="V567" s="29">
        <f>SUM(V542:V566)</f>
        <v>21</v>
      </c>
      <c r="W567" s="30">
        <f>SUM(W542:W566)</f>
        <v>20</v>
      </c>
      <c r="X567" s="60">
        <f t="shared" ref="X567" si="406">SUM(T567:W567)</f>
        <v>97</v>
      </c>
      <c r="Y567" s="63">
        <f t="shared" ref="Y567:Y568" si="407">S567+X567</f>
        <v>204</v>
      </c>
    </row>
    <row r="568" spans="1:26" ht="14.25" thickBot="1" x14ac:dyDescent="0.2">
      <c r="A568" s="18" t="s">
        <v>10</v>
      </c>
      <c r="B568" s="31">
        <f t="shared" ref="B568:K568" si="408">B541-B567</f>
        <v>27</v>
      </c>
      <c r="C568" s="37">
        <f t="shared" si="408"/>
        <v>25</v>
      </c>
      <c r="D568" s="32">
        <f t="shared" si="408"/>
        <v>23</v>
      </c>
      <c r="E568" s="33">
        <f t="shared" si="408"/>
        <v>23</v>
      </c>
      <c r="F568" s="42">
        <f t="shared" si="408"/>
        <v>98</v>
      </c>
      <c r="G568" s="31">
        <f t="shared" si="408"/>
        <v>26</v>
      </c>
      <c r="H568" s="37">
        <f t="shared" si="408"/>
        <v>21</v>
      </c>
      <c r="I568" s="32">
        <f t="shared" si="408"/>
        <v>20</v>
      </c>
      <c r="J568" s="33">
        <f t="shared" si="408"/>
        <v>22</v>
      </c>
      <c r="K568" s="42">
        <f t="shared" si="408"/>
        <v>89</v>
      </c>
      <c r="L568" s="17">
        <f t="shared" si="384"/>
        <v>187</v>
      </c>
      <c r="N568" s="16" t="s">
        <v>10</v>
      </c>
      <c r="O568" s="31">
        <f t="shared" ref="O568:X568" si="409">O541-O567</f>
        <v>608</v>
      </c>
      <c r="P568" s="37">
        <f t="shared" si="409"/>
        <v>638</v>
      </c>
      <c r="Q568" s="32">
        <f t="shared" si="409"/>
        <v>545</v>
      </c>
      <c r="R568" s="33">
        <f t="shared" si="409"/>
        <v>457</v>
      </c>
      <c r="S568" s="42">
        <f t="shared" si="409"/>
        <v>2248</v>
      </c>
      <c r="T568" s="31">
        <f t="shared" si="409"/>
        <v>589</v>
      </c>
      <c r="U568" s="37">
        <f t="shared" si="409"/>
        <v>627</v>
      </c>
      <c r="V568" s="32">
        <f t="shared" si="409"/>
        <v>475</v>
      </c>
      <c r="W568" s="33">
        <f t="shared" si="409"/>
        <v>418</v>
      </c>
      <c r="X568" s="42">
        <f t="shared" si="409"/>
        <v>2109</v>
      </c>
      <c r="Y568" s="17">
        <f t="shared" si="407"/>
        <v>4357</v>
      </c>
    </row>
    <row r="571" spans="1:26" ht="19.5" thickBot="1" x14ac:dyDescent="0.25">
      <c r="A571" s="2" t="s">
        <v>17</v>
      </c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N571" s="2" t="s">
        <v>18</v>
      </c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1"/>
    </row>
    <row r="572" spans="1:26" ht="14.25" thickBot="1" x14ac:dyDescent="0.2">
      <c r="A572" s="5" t="s">
        <v>0</v>
      </c>
      <c r="B572" s="244" t="s">
        <v>19</v>
      </c>
      <c r="C572" s="245"/>
      <c r="D572" s="245"/>
      <c r="E572" s="245"/>
      <c r="F572" s="246"/>
      <c r="G572" s="247" t="s">
        <v>20</v>
      </c>
      <c r="H572" s="248"/>
      <c r="I572" s="248"/>
      <c r="J572" s="248"/>
      <c r="K572" s="249"/>
      <c r="L572" s="250" t="s">
        <v>1</v>
      </c>
      <c r="N572" s="5" t="s">
        <v>0</v>
      </c>
      <c r="O572" s="244" t="s">
        <v>19</v>
      </c>
      <c r="P572" s="245"/>
      <c r="Q572" s="245"/>
      <c r="R572" s="245"/>
      <c r="S572" s="246"/>
      <c r="T572" s="247" t="s">
        <v>20</v>
      </c>
      <c r="U572" s="248"/>
      <c r="V572" s="248"/>
      <c r="W572" s="248"/>
      <c r="X572" s="249"/>
      <c r="Y572" s="250" t="s">
        <v>1</v>
      </c>
    </row>
    <row r="573" spans="1:26" ht="14.25" thickBot="1" x14ac:dyDescent="0.2">
      <c r="A573" s="5" t="s">
        <v>2</v>
      </c>
      <c r="B573" s="3" t="s">
        <v>11</v>
      </c>
      <c r="C573" s="34" t="s">
        <v>12</v>
      </c>
      <c r="D573" s="4" t="s">
        <v>13</v>
      </c>
      <c r="E573" s="19" t="s">
        <v>14</v>
      </c>
      <c r="F573" s="23" t="s">
        <v>3</v>
      </c>
      <c r="G573" s="3" t="s">
        <v>11</v>
      </c>
      <c r="H573" s="34" t="s">
        <v>12</v>
      </c>
      <c r="I573" s="4" t="s">
        <v>13</v>
      </c>
      <c r="J573" s="19" t="s">
        <v>14</v>
      </c>
      <c r="K573" s="23" t="s">
        <v>3</v>
      </c>
      <c r="L573" s="251"/>
      <c r="N573" s="5" t="s">
        <v>2</v>
      </c>
      <c r="O573" s="53" t="s">
        <v>11</v>
      </c>
      <c r="P573" s="54" t="s">
        <v>12</v>
      </c>
      <c r="Q573" s="55" t="s">
        <v>13</v>
      </c>
      <c r="R573" s="56" t="s">
        <v>14</v>
      </c>
      <c r="S573" s="23" t="s">
        <v>3</v>
      </c>
      <c r="T573" s="3" t="s">
        <v>11</v>
      </c>
      <c r="U573" s="34" t="s">
        <v>12</v>
      </c>
      <c r="V573" s="4" t="s">
        <v>13</v>
      </c>
      <c r="W573" s="19" t="s">
        <v>14</v>
      </c>
      <c r="X573" s="23" t="s">
        <v>3</v>
      </c>
      <c r="Y573" s="251"/>
    </row>
    <row r="574" spans="1:26" ht="14.25" thickBot="1" x14ac:dyDescent="0.2">
      <c r="A574" s="18" t="s">
        <v>15</v>
      </c>
      <c r="B574" s="31">
        <f>B568</f>
        <v>27</v>
      </c>
      <c r="C574" s="32">
        <f>C568</f>
        <v>25</v>
      </c>
      <c r="D574" s="32">
        <f>D568</f>
        <v>23</v>
      </c>
      <c r="E574" s="33">
        <f>E568</f>
        <v>23</v>
      </c>
      <c r="F574" s="86">
        <f>SUM(B574:E574)</f>
        <v>98</v>
      </c>
      <c r="G574" s="31">
        <f>G568</f>
        <v>26</v>
      </c>
      <c r="H574" s="32">
        <f>H568</f>
        <v>21</v>
      </c>
      <c r="I574" s="32">
        <f>I568</f>
        <v>20</v>
      </c>
      <c r="J574" s="33">
        <f>J568</f>
        <v>22</v>
      </c>
      <c r="K574" s="80">
        <f>SUM(G574:J574)</f>
        <v>89</v>
      </c>
      <c r="L574" s="17">
        <f>F574+K574</f>
        <v>187</v>
      </c>
      <c r="N574" s="18" t="s">
        <v>15</v>
      </c>
      <c r="O574" s="31">
        <f>O568</f>
        <v>608</v>
      </c>
      <c r="P574" s="32">
        <f>P568</f>
        <v>638</v>
      </c>
      <c r="Q574" s="32">
        <f>Q568</f>
        <v>545</v>
      </c>
      <c r="R574" s="33">
        <f>R568</f>
        <v>457</v>
      </c>
      <c r="S574" s="86">
        <f>SUM(O574:R574)</f>
        <v>2248</v>
      </c>
      <c r="T574" s="31">
        <f>T568</f>
        <v>589</v>
      </c>
      <c r="U574" s="32">
        <f>U568</f>
        <v>627</v>
      </c>
      <c r="V574" s="32">
        <f>V568</f>
        <v>475</v>
      </c>
      <c r="W574" s="33">
        <f>W568</f>
        <v>418</v>
      </c>
      <c r="X574" s="80">
        <f>SUM(T574:W574)</f>
        <v>2109</v>
      </c>
      <c r="Y574" s="17">
        <f t="shared" ref="Y574:Y603" si="410">S574+X574</f>
        <v>4357</v>
      </c>
    </row>
    <row r="575" spans="1:26" x14ac:dyDescent="0.15">
      <c r="A575" s="59" t="s">
        <v>4</v>
      </c>
      <c r="B575" s="64"/>
      <c r="C575" s="65">
        <v>5</v>
      </c>
      <c r="D575" s="66">
        <v>5</v>
      </c>
      <c r="E575" s="67"/>
      <c r="F575" s="74">
        <f>SUM(B575:E575)</f>
        <v>10</v>
      </c>
      <c r="G575" s="65">
        <v>5</v>
      </c>
      <c r="H575" s="65">
        <v>5</v>
      </c>
      <c r="I575" s="66">
        <v>10</v>
      </c>
      <c r="J575" s="67"/>
      <c r="K575" s="74">
        <f>SUM(G575:J575)</f>
        <v>20</v>
      </c>
      <c r="L575" s="11">
        <f t="shared" ref="L575:L606" si="411">F575+K575</f>
        <v>30</v>
      </c>
      <c r="M575" s="69">
        <v>45352</v>
      </c>
      <c r="N575" s="59" t="s">
        <v>296</v>
      </c>
      <c r="O575" s="48">
        <v>14</v>
      </c>
      <c r="P575" s="49">
        <v>2</v>
      </c>
      <c r="Q575" s="50">
        <v>19</v>
      </c>
      <c r="R575" s="51">
        <v>22</v>
      </c>
      <c r="S575" s="85">
        <f>SUM(O575:R575)</f>
        <v>57</v>
      </c>
      <c r="T575" s="48">
        <v>1</v>
      </c>
      <c r="U575" s="49">
        <v>12</v>
      </c>
      <c r="V575" s="50">
        <v>2</v>
      </c>
      <c r="W575" s="51">
        <v>11</v>
      </c>
      <c r="X575" s="74">
        <f>SUM(T575:W575)</f>
        <v>26</v>
      </c>
      <c r="Y575" s="11">
        <f t="shared" si="410"/>
        <v>83</v>
      </c>
      <c r="Z575" s="69">
        <v>45366</v>
      </c>
    </row>
    <row r="576" spans="1:26" x14ac:dyDescent="0.15">
      <c r="A576" s="13" t="s">
        <v>5</v>
      </c>
      <c r="B576" s="6">
        <v>10</v>
      </c>
      <c r="C576" s="22">
        <v>10</v>
      </c>
      <c r="D576" s="7">
        <v>10</v>
      </c>
      <c r="E576" s="8">
        <v>10</v>
      </c>
      <c r="F576" s="9">
        <f>SUM(B576:E576)</f>
        <v>40</v>
      </c>
      <c r="G576" s="22">
        <v>10</v>
      </c>
      <c r="H576" s="22">
        <v>10</v>
      </c>
      <c r="I576" s="7">
        <v>10</v>
      </c>
      <c r="J576" s="8">
        <v>10</v>
      </c>
      <c r="K576" s="9">
        <f>SUM(G576:J576)</f>
        <v>40</v>
      </c>
      <c r="L576" s="11">
        <f t="shared" si="411"/>
        <v>80</v>
      </c>
      <c r="M576" s="69">
        <v>45353</v>
      </c>
      <c r="N576" s="59" t="s">
        <v>140</v>
      </c>
      <c r="O576" s="48"/>
      <c r="P576" s="49">
        <v>-3</v>
      </c>
      <c r="Q576" s="50"/>
      <c r="R576" s="51"/>
      <c r="S576" s="85">
        <f t="shared" ref="S576:S577" si="412">SUM(O576:R576)</f>
        <v>-3</v>
      </c>
      <c r="T576" s="48"/>
      <c r="U576" s="49"/>
      <c r="V576" s="50"/>
      <c r="W576" s="51"/>
      <c r="X576" s="74">
        <f t="shared" ref="X576:X577" si="413">SUM(T576:W576)</f>
        <v>0</v>
      </c>
      <c r="Y576" s="11">
        <f t="shared" si="410"/>
        <v>-3</v>
      </c>
      <c r="Z576" s="71">
        <v>45353</v>
      </c>
    </row>
    <row r="577" spans="1:28" x14ac:dyDescent="0.15">
      <c r="A577" s="59" t="s">
        <v>385</v>
      </c>
      <c r="B577" s="20">
        <v>1</v>
      </c>
      <c r="C577" s="35"/>
      <c r="D577" s="21"/>
      <c r="E577" s="24"/>
      <c r="F577" s="25">
        <f t="shared" ref="F577:F578" si="414">SUM(B577:E577)</f>
        <v>1</v>
      </c>
      <c r="G577" s="20">
        <v>1</v>
      </c>
      <c r="H577" s="35"/>
      <c r="I577" s="21"/>
      <c r="J577" s="24"/>
      <c r="K577" s="25">
        <f t="shared" ref="K577:K578" si="415">SUM(G577:J577)</f>
        <v>1</v>
      </c>
      <c r="L577" s="11">
        <f t="shared" si="411"/>
        <v>2</v>
      </c>
      <c r="M577" s="71">
        <v>45353</v>
      </c>
      <c r="N577" s="59" t="s">
        <v>5</v>
      </c>
      <c r="O577" s="48"/>
      <c r="P577" s="49"/>
      <c r="Q577" s="50"/>
      <c r="R577" s="51"/>
      <c r="S577" s="85">
        <f t="shared" si="412"/>
        <v>0</v>
      </c>
      <c r="T577" s="48"/>
      <c r="U577" s="49"/>
      <c r="V577" s="50"/>
      <c r="W577" s="51"/>
      <c r="X577" s="74">
        <f t="shared" si="413"/>
        <v>0</v>
      </c>
      <c r="Y577" s="11">
        <f t="shared" si="410"/>
        <v>0</v>
      </c>
    </row>
    <row r="578" spans="1:28" ht="14.25" thickBot="1" x14ac:dyDescent="0.2">
      <c r="A578" s="59" t="s">
        <v>386</v>
      </c>
      <c r="B578" s="48"/>
      <c r="C578" s="49"/>
      <c r="D578" s="50">
        <v>1</v>
      </c>
      <c r="E578" s="51">
        <v>1</v>
      </c>
      <c r="F578" s="52">
        <f t="shared" si="414"/>
        <v>2</v>
      </c>
      <c r="G578" s="48">
        <v>1</v>
      </c>
      <c r="H578" s="49">
        <v>1</v>
      </c>
      <c r="I578" s="50"/>
      <c r="J578" s="51"/>
      <c r="K578" s="52">
        <f t="shared" si="415"/>
        <v>2</v>
      </c>
      <c r="L578" s="11">
        <f t="shared" si="411"/>
        <v>4</v>
      </c>
      <c r="M578" s="71">
        <v>45353</v>
      </c>
      <c r="N578" s="13" t="s">
        <v>6</v>
      </c>
      <c r="O578" s="43"/>
      <c r="P578" s="44"/>
      <c r="Q578" s="45"/>
      <c r="R578" s="46"/>
      <c r="S578" s="58">
        <f>SUM(O578:R578)</f>
        <v>0</v>
      </c>
      <c r="T578" s="35"/>
      <c r="U578" s="35"/>
      <c r="V578" s="21"/>
      <c r="W578" s="38"/>
      <c r="X578" s="10">
        <f>SUM(T578:W578)</f>
        <v>0</v>
      </c>
      <c r="Y578" s="14">
        <f t="shared" si="410"/>
        <v>0</v>
      </c>
    </row>
    <row r="579" spans="1:28" ht="14.25" thickBot="1" x14ac:dyDescent="0.2">
      <c r="A579" s="18" t="s">
        <v>8</v>
      </c>
      <c r="B579" s="76">
        <f t="shared" ref="B579:K579" si="416">SUM(B574:B578)</f>
        <v>38</v>
      </c>
      <c r="C579" s="77">
        <f t="shared" si="416"/>
        <v>40</v>
      </c>
      <c r="D579" s="78">
        <f t="shared" si="416"/>
        <v>39</v>
      </c>
      <c r="E579" s="79">
        <f t="shared" si="416"/>
        <v>34</v>
      </c>
      <c r="F579" s="80">
        <f t="shared" si="416"/>
        <v>151</v>
      </c>
      <c r="G579" s="76">
        <f t="shared" si="416"/>
        <v>43</v>
      </c>
      <c r="H579" s="77">
        <f t="shared" si="416"/>
        <v>37</v>
      </c>
      <c r="I579" s="78">
        <f t="shared" si="416"/>
        <v>40</v>
      </c>
      <c r="J579" s="79">
        <f t="shared" si="416"/>
        <v>32</v>
      </c>
      <c r="K579" s="80">
        <f t="shared" si="416"/>
        <v>152</v>
      </c>
      <c r="L579" s="17">
        <f t="shared" si="411"/>
        <v>303</v>
      </c>
      <c r="N579" s="16" t="s">
        <v>8</v>
      </c>
      <c r="O579" s="31">
        <f t="shared" ref="O579:X579" si="417">SUM(O574:O578)</f>
        <v>622</v>
      </c>
      <c r="P579" s="37">
        <f t="shared" si="417"/>
        <v>637</v>
      </c>
      <c r="Q579" s="32">
        <f t="shared" si="417"/>
        <v>564</v>
      </c>
      <c r="R579" s="82">
        <f t="shared" si="417"/>
        <v>479</v>
      </c>
      <c r="S579" s="83">
        <f t="shared" si="417"/>
        <v>2302</v>
      </c>
      <c r="T579" s="31">
        <f t="shared" si="417"/>
        <v>590</v>
      </c>
      <c r="U579" s="37">
        <f t="shared" si="417"/>
        <v>639</v>
      </c>
      <c r="V579" s="32">
        <f t="shared" si="417"/>
        <v>477</v>
      </c>
      <c r="W579" s="82">
        <f t="shared" si="417"/>
        <v>429</v>
      </c>
      <c r="X579" s="83">
        <f t="shared" si="417"/>
        <v>2135</v>
      </c>
      <c r="Y579" s="39">
        <f t="shared" si="410"/>
        <v>4437</v>
      </c>
    </row>
    <row r="580" spans="1:28" x14ac:dyDescent="0.15">
      <c r="A580" s="59" t="s">
        <v>377</v>
      </c>
      <c r="B580" s="20"/>
      <c r="C580" s="35">
        <v>1</v>
      </c>
      <c r="D580" s="21">
        <v>1</v>
      </c>
      <c r="E580" s="24">
        <v>1</v>
      </c>
      <c r="F580" s="25">
        <f t="shared" ref="F580:F604" si="418">SUM(B580:E580)</f>
        <v>3</v>
      </c>
      <c r="G580" s="20">
        <v>2</v>
      </c>
      <c r="H580" s="35">
        <v>1</v>
      </c>
      <c r="I580" s="21">
        <v>2</v>
      </c>
      <c r="J580" s="24">
        <v>1</v>
      </c>
      <c r="K580" s="25">
        <f t="shared" ref="K580:K604" si="419">SUM(G580:J580)</f>
        <v>6</v>
      </c>
      <c r="L580" s="11">
        <f t="shared" si="411"/>
        <v>9</v>
      </c>
      <c r="M580" s="69">
        <v>45350</v>
      </c>
      <c r="N580" s="40" t="s">
        <v>382</v>
      </c>
      <c r="O580" s="20"/>
      <c r="P580" s="35">
        <v>5</v>
      </c>
      <c r="Q580" s="21">
        <v>5</v>
      </c>
      <c r="R580" s="38"/>
      <c r="S580" s="9">
        <f t="shared" ref="S580:S592" si="420">SUM(O580:R580)</f>
        <v>10</v>
      </c>
      <c r="T580" s="20">
        <v>5</v>
      </c>
      <c r="U580" s="35">
        <v>5</v>
      </c>
      <c r="V580" s="21">
        <v>10</v>
      </c>
      <c r="W580" s="24"/>
      <c r="X580" s="25">
        <f t="shared" ref="X580:X592" si="421">SUM(T580:W580)</f>
        <v>20</v>
      </c>
      <c r="Y580" s="135">
        <f t="shared" si="410"/>
        <v>30</v>
      </c>
      <c r="Z580" s="69">
        <v>45352</v>
      </c>
    </row>
    <row r="581" spans="1:28" x14ac:dyDescent="0.15">
      <c r="A581" s="40" t="s">
        <v>378</v>
      </c>
      <c r="B581" s="20">
        <v>1</v>
      </c>
      <c r="C581" s="35"/>
      <c r="D581" s="21"/>
      <c r="E581" s="24"/>
      <c r="F581" s="25">
        <f t="shared" si="418"/>
        <v>1</v>
      </c>
      <c r="G581" s="20">
        <v>1</v>
      </c>
      <c r="H581" s="35"/>
      <c r="I581" s="21"/>
      <c r="J581" s="24"/>
      <c r="K581" s="25">
        <f t="shared" si="419"/>
        <v>1</v>
      </c>
      <c r="L581" s="11">
        <f t="shared" si="411"/>
        <v>2</v>
      </c>
      <c r="M581" s="69">
        <v>45352</v>
      </c>
      <c r="N581" s="40" t="s">
        <v>26</v>
      </c>
      <c r="O581" s="20">
        <v>10</v>
      </c>
      <c r="P581" s="35">
        <v>10</v>
      </c>
      <c r="Q581" s="21">
        <v>10</v>
      </c>
      <c r="R581" s="38">
        <v>10</v>
      </c>
      <c r="S581" s="9">
        <f>SUM(O581:R581)</f>
        <v>40</v>
      </c>
      <c r="T581" s="20">
        <v>10</v>
      </c>
      <c r="U581" s="35">
        <v>10</v>
      </c>
      <c r="V581" s="21">
        <v>10</v>
      </c>
      <c r="W581" s="24">
        <v>10</v>
      </c>
      <c r="X581" s="25">
        <f>SUM(T581:W581)</f>
        <v>40</v>
      </c>
      <c r="Y581" s="11">
        <f t="shared" si="410"/>
        <v>80</v>
      </c>
      <c r="Z581" s="69">
        <v>45353</v>
      </c>
    </row>
    <row r="582" spans="1:28" x14ac:dyDescent="0.15">
      <c r="A582" s="40" t="s">
        <v>380</v>
      </c>
      <c r="B582" s="20"/>
      <c r="C582" s="35">
        <v>3</v>
      </c>
      <c r="D582" s="21"/>
      <c r="E582" s="24"/>
      <c r="F582" s="25">
        <f t="shared" si="418"/>
        <v>3</v>
      </c>
      <c r="G582" s="20"/>
      <c r="H582" s="35">
        <v>3</v>
      </c>
      <c r="I582" s="21"/>
      <c r="J582" s="24"/>
      <c r="K582" s="25">
        <f t="shared" si="419"/>
        <v>3</v>
      </c>
      <c r="L582" s="11">
        <f t="shared" si="411"/>
        <v>6</v>
      </c>
      <c r="M582" s="69">
        <v>45352</v>
      </c>
      <c r="N582" s="40" t="s">
        <v>379</v>
      </c>
      <c r="O582" s="20">
        <v>5</v>
      </c>
      <c r="P582" s="35"/>
      <c r="Q582" s="21"/>
      <c r="R582" s="38"/>
      <c r="S582" s="9">
        <f t="shared" ref="S582" si="422">SUM(O582:R582)</f>
        <v>5</v>
      </c>
      <c r="T582" s="20">
        <v>5</v>
      </c>
      <c r="U582" s="35"/>
      <c r="V582" s="21"/>
      <c r="W582" s="24"/>
      <c r="X582" s="25">
        <f t="shared" ref="X582" si="423">SUM(T582:W582)</f>
        <v>5</v>
      </c>
      <c r="Y582" s="11">
        <f t="shared" si="410"/>
        <v>10</v>
      </c>
      <c r="Z582" s="69">
        <v>45355</v>
      </c>
    </row>
    <row r="583" spans="1:28" x14ac:dyDescent="0.15">
      <c r="A583" s="59" t="s">
        <v>27</v>
      </c>
      <c r="B583" s="20"/>
      <c r="C583" s="35"/>
      <c r="D583" s="21"/>
      <c r="E583" s="24"/>
      <c r="F583" s="25">
        <f t="shared" si="418"/>
        <v>0</v>
      </c>
      <c r="G583" s="20">
        <v>1</v>
      </c>
      <c r="H583" s="35"/>
      <c r="I583" s="21"/>
      <c r="J583" s="24"/>
      <c r="K583" s="25">
        <f t="shared" si="419"/>
        <v>1</v>
      </c>
      <c r="L583" s="11">
        <f t="shared" si="411"/>
        <v>1</v>
      </c>
      <c r="M583" s="71">
        <v>45351</v>
      </c>
      <c r="N583" s="40" t="s">
        <v>388</v>
      </c>
      <c r="O583" s="20"/>
      <c r="P583" s="35">
        <v>5</v>
      </c>
      <c r="Q583" s="21"/>
      <c r="R583" s="38"/>
      <c r="S583" s="9">
        <f t="shared" ref="S583:S585" si="424">SUM(O583:R583)</f>
        <v>5</v>
      </c>
      <c r="T583" s="20"/>
      <c r="U583" s="35">
        <v>5</v>
      </c>
      <c r="V583" s="21"/>
      <c r="W583" s="24"/>
      <c r="X583" s="25">
        <f t="shared" ref="X583:X585" si="425">SUM(T583:W583)</f>
        <v>5</v>
      </c>
      <c r="Y583" s="11">
        <f t="shared" ref="Y583:Y585" si="426">S583+X583</f>
        <v>10</v>
      </c>
      <c r="Z583" s="69">
        <v>45358</v>
      </c>
    </row>
    <row r="584" spans="1:28" x14ac:dyDescent="0.15">
      <c r="A584" s="12" t="s">
        <v>381</v>
      </c>
      <c r="B584" s="20"/>
      <c r="C584" s="35"/>
      <c r="D584" s="21">
        <v>5</v>
      </c>
      <c r="E584" s="24"/>
      <c r="F584" s="25">
        <f t="shared" si="418"/>
        <v>5</v>
      </c>
      <c r="G584" s="20"/>
      <c r="H584" s="35"/>
      <c r="I584" s="21">
        <v>5</v>
      </c>
      <c r="J584" s="24"/>
      <c r="K584" s="25">
        <f t="shared" si="419"/>
        <v>5</v>
      </c>
      <c r="L584" s="11">
        <f t="shared" si="411"/>
        <v>10</v>
      </c>
      <c r="M584" s="69">
        <v>45356</v>
      </c>
      <c r="N584" s="40" t="s">
        <v>389</v>
      </c>
      <c r="O584" s="20"/>
      <c r="P584" s="35">
        <v>15</v>
      </c>
      <c r="Q584" s="21"/>
      <c r="R584" s="38"/>
      <c r="S584" s="9">
        <f t="shared" si="424"/>
        <v>15</v>
      </c>
      <c r="T584" s="20"/>
      <c r="U584" s="35">
        <v>15</v>
      </c>
      <c r="V584" s="21"/>
      <c r="W584" s="24"/>
      <c r="X584" s="25">
        <f t="shared" si="425"/>
        <v>15</v>
      </c>
      <c r="Y584" s="11">
        <f t="shared" si="426"/>
        <v>30</v>
      </c>
      <c r="Z584" s="69">
        <v>45358</v>
      </c>
    </row>
    <row r="585" spans="1:28" x14ac:dyDescent="0.15">
      <c r="A585" s="40" t="s">
        <v>383</v>
      </c>
      <c r="B585" s="20">
        <v>3</v>
      </c>
      <c r="C585" s="35">
        <v>1</v>
      </c>
      <c r="D585" s="21"/>
      <c r="E585" s="24">
        <v>1</v>
      </c>
      <c r="F585" s="25">
        <f t="shared" si="418"/>
        <v>5</v>
      </c>
      <c r="G585" s="20">
        <v>3</v>
      </c>
      <c r="H585" s="35">
        <v>1</v>
      </c>
      <c r="I585" s="21"/>
      <c r="J585" s="24">
        <v>1</v>
      </c>
      <c r="K585" s="25">
        <f t="shared" si="419"/>
        <v>5</v>
      </c>
      <c r="L585" s="11">
        <f t="shared" si="411"/>
        <v>10</v>
      </c>
      <c r="M585" s="69">
        <v>45355</v>
      </c>
      <c r="N585" s="40" t="s">
        <v>26</v>
      </c>
      <c r="O585" s="20"/>
      <c r="P585" s="35">
        <v>15</v>
      </c>
      <c r="Q585" s="21"/>
      <c r="R585" s="38"/>
      <c r="S585" s="9">
        <f t="shared" si="424"/>
        <v>15</v>
      </c>
      <c r="T585" s="20"/>
      <c r="U585" s="35">
        <v>25</v>
      </c>
      <c r="V585" s="21"/>
      <c r="W585" s="24">
        <v>5</v>
      </c>
      <c r="X585" s="25">
        <f t="shared" si="425"/>
        <v>30</v>
      </c>
      <c r="Y585" s="11">
        <f t="shared" si="426"/>
        <v>45</v>
      </c>
      <c r="Z585" s="69">
        <v>45357</v>
      </c>
    </row>
    <row r="586" spans="1:28" x14ac:dyDescent="0.15">
      <c r="A586" s="59" t="s">
        <v>384</v>
      </c>
      <c r="B586" s="20">
        <v>1</v>
      </c>
      <c r="C586" s="35"/>
      <c r="D586" s="21"/>
      <c r="E586" s="24"/>
      <c r="F586" s="25">
        <f t="shared" si="418"/>
        <v>1</v>
      </c>
      <c r="G586" s="20"/>
      <c r="H586" s="35"/>
      <c r="I586" s="21"/>
      <c r="J586" s="24"/>
      <c r="K586" s="25">
        <f t="shared" si="419"/>
        <v>0</v>
      </c>
      <c r="L586" s="11">
        <f t="shared" si="411"/>
        <v>1</v>
      </c>
      <c r="M586" s="71">
        <v>45355</v>
      </c>
      <c r="N586" s="40" t="s">
        <v>392</v>
      </c>
      <c r="O586" s="20">
        <v>10</v>
      </c>
      <c r="P586" s="35">
        <v>10</v>
      </c>
      <c r="Q586" s="21"/>
      <c r="R586" s="38"/>
      <c r="S586" s="9">
        <f t="shared" si="420"/>
        <v>20</v>
      </c>
      <c r="T586" s="20">
        <v>10</v>
      </c>
      <c r="U586" s="35">
        <v>10</v>
      </c>
      <c r="V586" s="21"/>
      <c r="W586" s="24"/>
      <c r="X586" s="25">
        <f t="shared" si="421"/>
        <v>20</v>
      </c>
      <c r="Y586" s="11">
        <f t="shared" si="410"/>
        <v>40</v>
      </c>
      <c r="Z586" s="69">
        <v>45365</v>
      </c>
    </row>
    <row r="587" spans="1:28" x14ac:dyDescent="0.15">
      <c r="A587" s="59" t="s">
        <v>27</v>
      </c>
      <c r="B587" s="20"/>
      <c r="C587" s="35">
        <v>1</v>
      </c>
      <c r="D587" s="21"/>
      <c r="E587" s="24"/>
      <c r="F587" s="25">
        <f t="shared" si="418"/>
        <v>1</v>
      </c>
      <c r="G587" s="20"/>
      <c r="H587" s="35">
        <v>1</v>
      </c>
      <c r="I587" s="21"/>
      <c r="J587" s="24"/>
      <c r="K587" s="25">
        <f t="shared" si="419"/>
        <v>1</v>
      </c>
      <c r="L587" s="11">
        <f t="shared" si="411"/>
        <v>2</v>
      </c>
      <c r="M587" s="71">
        <v>45352</v>
      </c>
      <c r="N587" s="12" t="s">
        <v>455</v>
      </c>
      <c r="O587" s="20"/>
      <c r="P587" s="35">
        <v>5</v>
      </c>
      <c r="Q587" s="21"/>
      <c r="R587" s="38"/>
      <c r="S587" s="9">
        <f t="shared" si="420"/>
        <v>5</v>
      </c>
      <c r="T587" s="20"/>
      <c r="U587" s="35"/>
      <c r="V587" s="21"/>
      <c r="W587" s="24"/>
      <c r="X587" s="25">
        <f t="shared" si="421"/>
        <v>0</v>
      </c>
      <c r="Y587" s="11">
        <f t="shared" si="410"/>
        <v>5</v>
      </c>
      <c r="Z587" s="69">
        <v>45364</v>
      </c>
    </row>
    <row r="588" spans="1:28" x14ac:dyDescent="0.15">
      <c r="A588" s="59" t="s">
        <v>27</v>
      </c>
      <c r="B588" s="20"/>
      <c r="C588" s="35">
        <v>1</v>
      </c>
      <c r="D588" s="21"/>
      <c r="E588" s="24"/>
      <c r="F588" s="25">
        <f t="shared" si="418"/>
        <v>1</v>
      </c>
      <c r="G588" s="20"/>
      <c r="H588" s="35">
        <v>1</v>
      </c>
      <c r="I588" s="21"/>
      <c r="J588" s="24"/>
      <c r="K588" s="25">
        <f t="shared" si="419"/>
        <v>1</v>
      </c>
      <c r="L588" s="11">
        <f t="shared" si="411"/>
        <v>2</v>
      </c>
      <c r="M588" s="71">
        <v>45353</v>
      </c>
      <c r="N588" s="40" t="s">
        <v>396</v>
      </c>
      <c r="O588" s="20">
        <v>8</v>
      </c>
      <c r="P588" s="35"/>
      <c r="Q588" s="21"/>
      <c r="R588" s="38"/>
      <c r="S588" s="9">
        <f t="shared" si="420"/>
        <v>8</v>
      </c>
      <c r="T588" s="20">
        <v>8</v>
      </c>
      <c r="U588" s="35"/>
      <c r="V588" s="21"/>
      <c r="W588" s="24"/>
      <c r="X588" s="25">
        <f t="shared" si="421"/>
        <v>8</v>
      </c>
      <c r="Y588" s="11">
        <f t="shared" si="410"/>
        <v>16</v>
      </c>
      <c r="Z588" s="69">
        <v>45369</v>
      </c>
    </row>
    <row r="589" spans="1:28" x14ac:dyDescent="0.15">
      <c r="A589" s="40" t="s">
        <v>383</v>
      </c>
      <c r="B589" s="20">
        <v>2</v>
      </c>
      <c r="C589" s="35">
        <v>1</v>
      </c>
      <c r="D589" s="21"/>
      <c r="E589" s="24"/>
      <c r="F589" s="25">
        <f t="shared" si="418"/>
        <v>3</v>
      </c>
      <c r="G589" s="20">
        <v>2</v>
      </c>
      <c r="H589" s="35">
        <v>1</v>
      </c>
      <c r="I589" s="21"/>
      <c r="J589" s="24"/>
      <c r="K589" s="25">
        <f t="shared" si="419"/>
        <v>3</v>
      </c>
      <c r="L589" s="11">
        <f t="shared" si="411"/>
        <v>6</v>
      </c>
      <c r="M589" s="69">
        <v>45357</v>
      </c>
      <c r="N589" s="40" t="s">
        <v>26</v>
      </c>
      <c r="O589" s="20">
        <v>10</v>
      </c>
      <c r="P589" s="35">
        <v>15</v>
      </c>
      <c r="Q589" s="21">
        <v>5</v>
      </c>
      <c r="R589" s="38"/>
      <c r="S589" s="9">
        <f t="shared" si="420"/>
        <v>30</v>
      </c>
      <c r="T589" s="20">
        <v>10</v>
      </c>
      <c r="U589" s="35">
        <v>10</v>
      </c>
      <c r="V589" s="21">
        <v>10</v>
      </c>
      <c r="W589" s="24"/>
      <c r="X589" s="25">
        <f t="shared" si="421"/>
        <v>30</v>
      </c>
      <c r="Y589" s="11">
        <f t="shared" si="410"/>
        <v>60</v>
      </c>
      <c r="Z589" s="69">
        <v>45362</v>
      </c>
      <c r="AA589" s="41"/>
      <c r="AB589" s="41"/>
    </row>
    <row r="590" spans="1:28" x14ac:dyDescent="0.15">
      <c r="A590" s="12" t="s">
        <v>387</v>
      </c>
      <c r="B590" s="20"/>
      <c r="C590" s="35">
        <v>5</v>
      </c>
      <c r="D590" s="21"/>
      <c r="E590" s="24"/>
      <c r="F590" s="25">
        <f t="shared" si="418"/>
        <v>5</v>
      </c>
      <c r="G590" s="20"/>
      <c r="H590" s="35">
        <v>5</v>
      </c>
      <c r="I590" s="21"/>
      <c r="J590" s="24"/>
      <c r="K590" s="25">
        <f t="shared" si="419"/>
        <v>5</v>
      </c>
      <c r="L590" s="11">
        <f t="shared" si="411"/>
        <v>10</v>
      </c>
      <c r="M590" s="69">
        <v>45356</v>
      </c>
      <c r="N590" s="40" t="s">
        <v>398</v>
      </c>
      <c r="O590" s="20">
        <v>6</v>
      </c>
      <c r="P590" s="35"/>
      <c r="Q590" s="21"/>
      <c r="R590" s="38"/>
      <c r="S590" s="9">
        <f t="shared" si="420"/>
        <v>6</v>
      </c>
      <c r="T590" s="20">
        <v>6</v>
      </c>
      <c r="U590" s="35"/>
      <c r="V590" s="21"/>
      <c r="W590" s="24"/>
      <c r="X590" s="25">
        <f t="shared" si="421"/>
        <v>6</v>
      </c>
      <c r="Y590" s="11">
        <f t="shared" si="410"/>
        <v>12</v>
      </c>
      <c r="Z590" s="69">
        <v>45364</v>
      </c>
    </row>
    <row r="591" spans="1:28" x14ac:dyDescent="0.15">
      <c r="A591" s="59" t="s">
        <v>27</v>
      </c>
      <c r="B591" s="20">
        <f>1+1</f>
        <v>2</v>
      </c>
      <c r="C591" s="35">
        <f>1+2</f>
        <v>3</v>
      </c>
      <c r="D591" s="21">
        <v>1</v>
      </c>
      <c r="E591" s="24"/>
      <c r="F591" s="25">
        <f t="shared" si="418"/>
        <v>6</v>
      </c>
      <c r="G591" s="20">
        <f>1+1</f>
        <v>2</v>
      </c>
      <c r="H591" s="35">
        <f>3+2</f>
        <v>5</v>
      </c>
      <c r="I591" s="21">
        <v>1</v>
      </c>
      <c r="J591" s="24">
        <v>1</v>
      </c>
      <c r="K591" s="25">
        <f t="shared" si="419"/>
        <v>9</v>
      </c>
      <c r="L591" s="11">
        <f t="shared" si="411"/>
        <v>15</v>
      </c>
      <c r="M591" s="71">
        <v>45355</v>
      </c>
      <c r="N591" s="12" t="s">
        <v>400</v>
      </c>
      <c r="O591" s="20">
        <v>20</v>
      </c>
      <c r="P591" s="35"/>
      <c r="Q591" s="21"/>
      <c r="R591" s="38"/>
      <c r="S591" s="9">
        <f t="shared" si="420"/>
        <v>20</v>
      </c>
      <c r="T591" s="20">
        <v>20</v>
      </c>
      <c r="U591" s="35"/>
      <c r="V591" s="21"/>
      <c r="W591" s="24"/>
      <c r="X591" s="25">
        <f t="shared" si="421"/>
        <v>20</v>
      </c>
      <c r="Y591" s="11">
        <f t="shared" si="410"/>
        <v>40</v>
      </c>
      <c r="Z591" s="69">
        <v>45364</v>
      </c>
    </row>
    <row r="592" spans="1:28" x14ac:dyDescent="0.15">
      <c r="A592" s="59" t="s">
        <v>210</v>
      </c>
      <c r="B592" s="20">
        <v>1</v>
      </c>
      <c r="C592" s="35">
        <v>6</v>
      </c>
      <c r="D592" s="21"/>
      <c r="E592" s="24">
        <v>1</v>
      </c>
      <c r="F592" s="25">
        <f t="shared" si="418"/>
        <v>8</v>
      </c>
      <c r="G592" s="20">
        <v>3</v>
      </c>
      <c r="H592" s="35">
        <v>4</v>
      </c>
      <c r="I592" s="21">
        <v>1</v>
      </c>
      <c r="J592" s="24">
        <v>3</v>
      </c>
      <c r="K592" s="25">
        <f t="shared" si="419"/>
        <v>11</v>
      </c>
      <c r="L592" s="11">
        <f t="shared" si="411"/>
        <v>19</v>
      </c>
      <c r="M592" s="69">
        <v>45356</v>
      </c>
      <c r="N592" s="12" t="s">
        <v>401</v>
      </c>
      <c r="O592" s="20">
        <v>5</v>
      </c>
      <c r="P592" s="35">
        <v>60</v>
      </c>
      <c r="Q592" s="21">
        <v>25</v>
      </c>
      <c r="R592" s="38"/>
      <c r="S592" s="9">
        <f t="shared" si="420"/>
        <v>90</v>
      </c>
      <c r="T592" s="20">
        <v>5</v>
      </c>
      <c r="U592" s="35">
        <v>60</v>
      </c>
      <c r="V592" s="21">
        <v>25</v>
      </c>
      <c r="W592" s="24"/>
      <c r="X592" s="25">
        <f t="shared" si="421"/>
        <v>90</v>
      </c>
      <c r="Y592" s="11">
        <f t="shared" si="410"/>
        <v>180</v>
      </c>
      <c r="Z592" s="69">
        <v>45365</v>
      </c>
      <c r="AA592" s="41"/>
    </row>
    <row r="593" spans="1:27" x14ac:dyDescent="0.15">
      <c r="A593" s="40" t="s">
        <v>390</v>
      </c>
      <c r="B593" s="20"/>
      <c r="C593" s="35">
        <v>4</v>
      </c>
      <c r="D593" s="21"/>
      <c r="E593" s="24"/>
      <c r="F593" s="25">
        <f t="shared" si="418"/>
        <v>4</v>
      </c>
      <c r="G593" s="20"/>
      <c r="H593" s="35">
        <v>4</v>
      </c>
      <c r="I593" s="21"/>
      <c r="J593" s="24"/>
      <c r="K593" s="25">
        <f t="shared" si="419"/>
        <v>4</v>
      </c>
      <c r="L593" s="11">
        <f t="shared" si="411"/>
        <v>8</v>
      </c>
      <c r="M593" s="69">
        <v>45358</v>
      </c>
      <c r="N593" s="40" t="s">
        <v>26</v>
      </c>
      <c r="O593" s="20"/>
      <c r="P593" s="35">
        <v>5</v>
      </c>
      <c r="Q593" s="21"/>
      <c r="R593" s="38"/>
      <c r="S593" s="9">
        <f>SUM(O593:R593)</f>
        <v>5</v>
      </c>
      <c r="T593" s="20"/>
      <c r="U593" s="35"/>
      <c r="V593" s="21"/>
      <c r="W593" s="24"/>
      <c r="X593" s="25">
        <f>SUM(T593:W593)</f>
        <v>0</v>
      </c>
      <c r="Y593" s="11">
        <f t="shared" si="410"/>
        <v>5</v>
      </c>
      <c r="Z593" s="69">
        <v>45363</v>
      </c>
      <c r="AA593" s="41"/>
    </row>
    <row r="594" spans="1:27" x14ac:dyDescent="0.15">
      <c r="A594" s="59" t="s">
        <v>32</v>
      </c>
      <c r="B594" s="20">
        <v>1</v>
      </c>
      <c r="C594" s="35"/>
      <c r="D594" s="21"/>
      <c r="E594" s="24"/>
      <c r="F594" s="25">
        <f t="shared" si="418"/>
        <v>1</v>
      </c>
      <c r="G594" s="20"/>
      <c r="H594" s="35"/>
      <c r="I594" s="21"/>
      <c r="J594" s="24"/>
      <c r="K594" s="25">
        <f t="shared" si="419"/>
        <v>0</v>
      </c>
      <c r="L594" s="11">
        <f t="shared" si="411"/>
        <v>1</v>
      </c>
      <c r="M594" s="69">
        <v>45357</v>
      </c>
      <c r="N594" s="12" t="s">
        <v>402</v>
      </c>
      <c r="O594" s="20">
        <v>20</v>
      </c>
      <c r="P594" s="35">
        <v>40</v>
      </c>
      <c r="Q594" s="21">
        <v>15</v>
      </c>
      <c r="R594" s="38">
        <v>5</v>
      </c>
      <c r="S594" s="9">
        <f t="shared" ref="S594:S603" si="427">SUM(O594:R594)</f>
        <v>80</v>
      </c>
      <c r="T594" s="20">
        <v>20</v>
      </c>
      <c r="U594" s="35">
        <v>40</v>
      </c>
      <c r="V594" s="21">
        <v>15</v>
      </c>
      <c r="W594" s="24">
        <v>5</v>
      </c>
      <c r="X594" s="25">
        <f t="shared" ref="X594:X603" si="428">SUM(T594:W594)</f>
        <v>80</v>
      </c>
      <c r="Y594" s="11">
        <f t="shared" si="410"/>
        <v>160</v>
      </c>
      <c r="Z594" s="69">
        <v>45366</v>
      </c>
      <c r="AA594" s="41"/>
    </row>
    <row r="595" spans="1:27" x14ac:dyDescent="0.15">
      <c r="A595" s="59" t="s">
        <v>27</v>
      </c>
      <c r="B595" s="20">
        <v>2</v>
      </c>
      <c r="C595" s="35">
        <f>1+2</f>
        <v>3</v>
      </c>
      <c r="D595" s="21">
        <v>1</v>
      </c>
      <c r="E595" s="24"/>
      <c r="F595" s="25">
        <f t="shared" si="418"/>
        <v>6</v>
      </c>
      <c r="G595" s="20">
        <v>2</v>
      </c>
      <c r="H595" s="35">
        <f>1+3</f>
        <v>4</v>
      </c>
      <c r="I595" s="21">
        <f>2+2</f>
        <v>4</v>
      </c>
      <c r="J595" s="24"/>
      <c r="K595" s="25">
        <f t="shared" si="419"/>
        <v>10</v>
      </c>
      <c r="L595" s="11">
        <f t="shared" si="411"/>
        <v>16</v>
      </c>
      <c r="M595" s="69">
        <v>45356</v>
      </c>
      <c r="N595" s="12" t="s">
        <v>406</v>
      </c>
      <c r="O595" s="20">
        <v>15</v>
      </c>
      <c r="P595" s="35">
        <v>20</v>
      </c>
      <c r="Q595" s="21"/>
      <c r="R595" s="38"/>
      <c r="S595" s="9">
        <f t="shared" si="427"/>
        <v>35</v>
      </c>
      <c r="T595" s="20">
        <v>15</v>
      </c>
      <c r="U595" s="35">
        <v>20</v>
      </c>
      <c r="V595" s="21"/>
      <c r="W595" s="24"/>
      <c r="X595" s="25">
        <f t="shared" si="428"/>
        <v>35</v>
      </c>
      <c r="Y595" s="11">
        <f t="shared" si="410"/>
        <v>70</v>
      </c>
      <c r="Z595" s="69">
        <v>45367</v>
      </c>
      <c r="AA595" s="41"/>
    </row>
    <row r="596" spans="1:27" x14ac:dyDescent="0.15">
      <c r="A596" s="59" t="s">
        <v>391</v>
      </c>
      <c r="B596" s="20"/>
      <c r="C596" s="35">
        <v>-15</v>
      </c>
      <c r="D596" s="21"/>
      <c r="E596" s="24"/>
      <c r="F596" s="25">
        <f t="shared" si="418"/>
        <v>-15</v>
      </c>
      <c r="G596" s="20"/>
      <c r="H596" s="35">
        <v>-25</v>
      </c>
      <c r="I596" s="21"/>
      <c r="J596" s="24">
        <v>-5</v>
      </c>
      <c r="K596" s="25">
        <f t="shared" si="419"/>
        <v>-30</v>
      </c>
      <c r="L596" s="11">
        <f t="shared" si="411"/>
        <v>-45</v>
      </c>
      <c r="M596" s="69">
        <v>45357</v>
      </c>
      <c r="N596" s="40"/>
      <c r="O596" s="48"/>
      <c r="P596" s="49"/>
      <c r="Q596" s="50"/>
      <c r="R596" s="72"/>
      <c r="S596" s="74">
        <f t="shared" ref="S596" si="429">SUM(O596:R596)</f>
        <v>0</v>
      </c>
      <c r="T596" s="48"/>
      <c r="U596" s="49"/>
      <c r="V596" s="50"/>
      <c r="W596" s="51"/>
      <c r="X596" s="52">
        <f t="shared" ref="X596" si="430">SUM(T596:W596)</f>
        <v>0</v>
      </c>
      <c r="Y596" s="11">
        <f t="shared" ref="Y596" si="431">S596+X596</f>
        <v>0</v>
      </c>
      <c r="Z596" s="162"/>
      <c r="AA596" s="41"/>
    </row>
    <row r="597" spans="1:27" x14ac:dyDescent="0.15">
      <c r="A597" s="40" t="s">
        <v>393</v>
      </c>
      <c r="B597" s="20"/>
      <c r="C597" s="35">
        <v>3</v>
      </c>
      <c r="D597" s="21"/>
      <c r="E597" s="24"/>
      <c r="F597" s="25">
        <f t="shared" si="418"/>
        <v>3</v>
      </c>
      <c r="G597" s="20"/>
      <c r="H597" s="35">
        <v>3</v>
      </c>
      <c r="I597" s="21"/>
      <c r="J597" s="24"/>
      <c r="K597" s="25">
        <f t="shared" si="419"/>
        <v>3</v>
      </c>
      <c r="L597" s="11">
        <f t="shared" si="411"/>
        <v>6</v>
      </c>
      <c r="M597" s="69">
        <v>45359</v>
      </c>
      <c r="N597" s="40"/>
      <c r="O597" s="48"/>
      <c r="P597" s="49"/>
      <c r="Q597" s="50"/>
      <c r="R597" s="72"/>
      <c r="S597" s="74">
        <f t="shared" si="427"/>
        <v>0</v>
      </c>
      <c r="T597" s="48"/>
      <c r="U597" s="49"/>
      <c r="V597" s="50"/>
      <c r="W597" s="51"/>
      <c r="X597" s="52">
        <f t="shared" si="428"/>
        <v>0</v>
      </c>
      <c r="Y597" s="11">
        <f t="shared" si="410"/>
        <v>0</v>
      </c>
      <c r="Z597" s="162"/>
      <c r="AA597" s="41"/>
    </row>
    <row r="598" spans="1:27" x14ac:dyDescent="0.15">
      <c r="A598" s="59" t="s">
        <v>27</v>
      </c>
      <c r="B598" s="20">
        <v>4</v>
      </c>
      <c r="C598" s="35">
        <f>1+1</f>
        <v>2</v>
      </c>
      <c r="D598" s="21">
        <f>1+2</f>
        <v>3</v>
      </c>
      <c r="E598" s="24">
        <v>2</v>
      </c>
      <c r="F598" s="25">
        <f t="shared" si="418"/>
        <v>11</v>
      </c>
      <c r="G598" s="20">
        <v>3</v>
      </c>
      <c r="H598" s="35">
        <f>1+1</f>
        <v>2</v>
      </c>
      <c r="I598" s="21">
        <f>1+2</f>
        <v>3</v>
      </c>
      <c r="J598" s="24">
        <v>2</v>
      </c>
      <c r="K598" s="25">
        <f t="shared" si="419"/>
        <v>10</v>
      </c>
      <c r="L598" s="11">
        <f t="shared" si="411"/>
        <v>21</v>
      </c>
      <c r="M598" s="71">
        <v>45357</v>
      </c>
      <c r="N598" s="12"/>
      <c r="O598" s="20"/>
      <c r="P598" s="35"/>
      <c r="Q598" s="21"/>
      <c r="R598" s="38"/>
      <c r="S598" s="9">
        <f t="shared" si="427"/>
        <v>0</v>
      </c>
      <c r="T598" s="20"/>
      <c r="U598" s="35"/>
      <c r="V598" s="21"/>
      <c r="W598" s="24"/>
      <c r="X598" s="25">
        <f t="shared" si="428"/>
        <v>0</v>
      </c>
      <c r="Y598" s="47">
        <f t="shared" si="410"/>
        <v>0</v>
      </c>
    </row>
    <row r="599" spans="1:27" x14ac:dyDescent="0.15">
      <c r="A599" s="40" t="s">
        <v>394</v>
      </c>
      <c r="B599" s="20"/>
      <c r="C599" s="35">
        <v>1</v>
      </c>
      <c r="D599" s="21"/>
      <c r="E599" s="24"/>
      <c r="F599" s="25">
        <f t="shared" si="418"/>
        <v>1</v>
      </c>
      <c r="G599" s="20"/>
      <c r="H599" s="35">
        <v>1</v>
      </c>
      <c r="I599" s="21"/>
      <c r="J599" s="24"/>
      <c r="K599" s="25">
        <f t="shared" si="419"/>
        <v>1</v>
      </c>
      <c r="L599" s="11">
        <f t="shared" si="411"/>
        <v>2</v>
      </c>
      <c r="M599" s="69">
        <v>45359</v>
      </c>
      <c r="N599" s="12"/>
      <c r="O599" s="20"/>
      <c r="P599" s="35"/>
      <c r="Q599" s="21"/>
      <c r="R599" s="38"/>
      <c r="S599" s="9">
        <f t="shared" si="427"/>
        <v>0</v>
      </c>
      <c r="T599" s="20"/>
      <c r="U599" s="35"/>
      <c r="V599" s="21"/>
      <c r="W599" s="24"/>
      <c r="X599" s="25">
        <f t="shared" si="428"/>
        <v>0</v>
      </c>
      <c r="Y599" s="47">
        <f t="shared" si="410"/>
        <v>0</v>
      </c>
    </row>
    <row r="600" spans="1:27" x14ac:dyDescent="0.15">
      <c r="A600" s="40" t="s">
        <v>395</v>
      </c>
      <c r="B600" s="20"/>
      <c r="C600" s="35">
        <v>1</v>
      </c>
      <c r="D600" s="21">
        <v>2</v>
      </c>
      <c r="E600" s="24"/>
      <c r="F600" s="25">
        <f t="shared" si="418"/>
        <v>3</v>
      </c>
      <c r="G600" s="20"/>
      <c r="H600" s="35">
        <v>1</v>
      </c>
      <c r="I600" s="21">
        <v>2</v>
      </c>
      <c r="J600" s="24"/>
      <c r="K600" s="25">
        <f t="shared" si="419"/>
        <v>3</v>
      </c>
      <c r="L600" s="11">
        <f t="shared" si="411"/>
        <v>6</v>
      </c>
      <c r="M600" s="69">
        <v>45362</v>
      </c>
      <c r="N600" s="12"/>
      <c r="O600" s="20"/>
      <c r="P600" s="35"/>
      <c r="Q600" s="21"/>
      <c r="R600" s="38"/>
      <c r="S600" s="9">
        <f t="shared" si="427"/>
        <v>0</v>
      </c>
      <c r="T600" s="20"/>
      <c r="U600" s="35"/>
      <c r="V600" s="21"/>
      <c r="W600" s="24"/>
      <c r="X600" s="25">
        <f t="shared" si="428"/>
        <v>0</v>
      </c>
      <c r="Y600" s="47">
        <f t="shared" si="410"/>
        <v>0</v>
      </c>
    </row>
    <row r="601" spans="1:27" x14ac:dyDescent="0.15">
      <c r="A601" s="59" t="s">
        <v>27</v>
      </c>
      <c r="B601" s="20"/>
      <c r="C601" s="35">
        <v>3</v>
      </c>
      <c r="D601" s="21">
        <v>2</v>
      </c>
      <c r="E601" s="24"/>
      <c r="F601" s="25">
        <f t="shared" si="418"/>
        <v>5</v>
      </c>
      <c r="G601" s="20">
        <v>2</v>
      </c>
      <c r="H601" s="35">
        <v>2</v>
      </c>
      <c r="I601" s="21">
        <v>2</v>
      </c>
      <c r="J601" s="24"/>
      <c r="K601" s="25">
        <f t="shared" si="419"/>
        <v>6</v>
      </c>
      <c r="L601" s="11">
        <f t="shared" si="411"/>
        <v>11</v>
      </c>
      <c r="M601" s="69">
        <v>45359</v>
      </c>
      <c r="N601" s="12"/>
      <c r="O601" s="20"/>
      <c r="P601" s="35"/>
      <c r="Q601" s="21"/>
      <c r="R601" s="38"/>
      <c r="S601" s="9">
        <f t="shared" si="427"/>
        <v>0</v>
      </c>
      <c r="T601" s="20"/>
      <c r="U601" s="35"/>
      <c r="V601" s="21"/>
      <c r="W601" s="24"/>
      <c r="X601" s="25">
        <f t="shared" si="428"/>
        <v>0</v>
      </c>
      <c r="Y601" s="47">
        <f t="shared" si="410"/>
        <v>0</v>
      </c>
    </row>
    <row r="602" spans="1:27" x14ac:dyDescent="0.15">
      <c r="A602" s="59" t="s">
        <v>397</v>
      </c>
      <c r="B602" s="20">
        <v>-10</v>
      </c>
      <c r="C602" s="35">
        <v>-15</v>
      </c>
      <c r="D602" s="21">
        <v>-5</v>
      </c>
      <c r="E602" s="24"/>
      <c r="F602" s="25">
        <f t="shared" si="418"/>
        <v>-30</v>
      </c>
      <c r="G602" s="20">
        <v>-10</v>
      </c>
      <c r="H602" s="35">
        <v>-10</v>
      </c>
      <c r="I602" s="21">
        <v>-10</v>
      </c>
      <c r="J602" s="24"/>
      <c r="K602" s="25">
        <f t="shared" si="419"/>
        <v>-30</v>
      </c>
      <c r="L602" s="11">
        <f t="shared" si="411"/>
        <v>-60</v>
      </c>
      <c r="M602" s="69">
        <v>45362</v>
      </c>
      <c r="N602" s="12" t="s">
        <v>360</v>
      </c>
      <c r="O602" s="20"/>
      <c r="P602" s="35"/>
      <c r="Q602" s="21"/>
      <c r="R602" s="38"/>
      <c r="S602" s="9">
        <f t="shared" si="427"/>
        <v>0</v>
      </c>
      <c r="T602" s="20"/>
      <c r="U602" s="35"/>
      <c r="V602" s="21"/>
      <c r="W602" s="24"/>
      <c r="X602" s="25">
        <f t="shared" si="428"/>
        <v>0</v>
      </c>
      <c r="Y602" s="47">
        <f t="shared" si="410"/>
        <v>0</v>
      </c>
      <c r="Z602" s="162" t="s">
        <v>304</v>
      </c>
    </row>
    <row r="603" spans="1:27" x14ac:dyDescent="0.15">
      <c r="A603" s="59" t="s">
        <v>399</v>
      </c>
      <c r="B603" s="20"/>
      <c r="C603" s="35"/>
      <c r="D603" s="21"/>
      <c r="E603" s="24"/>
      <c r="F603" s="25">
        <f t="shared" si="418"/>
        <v>0</v>
      </c>
      <c r="G603" s="20">
        <v>1</v>
      </c>
      <c r="H603" s="35"/>
      <c r="I603" s="21"/>
      <c r="J603" s="24"/>
      <c r="K603" s="25">
        <f t="shared" si="419"/>
        <v>1</v>
      </c>
      <c r="L603" s="11">
        <f t="shared" si="411"/>
        <v>1</v>
      </c>
      <c r="M603" s="71">
        <v>45362</v>
      </c>
      <c r="N603" s="137" t="s">
        <v>301</v>
      </c>
      <c r="O603" s="138"/>
      <c r="P603" s="139"/>
      <c r="Q603" s="140"/>
      <c r="R603" s="141"/>
      <c r="S603" s="142">
        <f t="shared" si="427"/>
        <v>0</v>
      </c>
      <c r="T603" s="138"/>
      <c r="U603" s="139"/>
      <c r="V603" s="140"/>
      <c r="W603" s="143"/>
      <c r="X603" s="144">
        <f t="shared" si="428"/>
        <v>0</v>
      </c>
      <c r="Y603" s="145">
        <f t="shared" si="410"/>
        <v>0</v>
      </c>
      <c r="Z603" s="162"/>
      <c r="AA603" s="41"/>
    </row>
    <row r="604" spans="1:27" ht="14.25" thickBot="1" x14ac:dyDescent="0.2">
      <c r="A604" s="59" t="s">
        <v>27</v>
      </c>
      <c r="B604" s="43">
        <v>3</v>
      </c>
      <c r="C604" s="44">
        <f>1+1</f>
        <v>2</v>
      </c>
      <c r="D604" s="45">
        <v>2</v>
      </c>
      <c r="E604" s="46"/>
      <c r="F604" s="25">
        <f t="shared" si="418"/>
        <v>7</v>
      </c>
      <c r="G604" s="43">
        <v>3</v>
      </c>
      <c r="H604" s="44">
        <f>1+1</f>
        <v>2</v>
      </c>
      <c r="I604" s="45">
        <f>4+2</f>
        <v>6</v>
      </c>
      <c r="J604" s="46">
        <v>1</v>
      </c>
      <c r="K604" s="25">
        <f t="shared" si="419"/>
        <v>12</v>
      </c>
      <c r="L604" s="14">
        <f t="shared" si="411"/>
        <v>19</v>
      </c>
      <c r="M604" s="71">
        <v>45362</v>
      </c>
      <c r="N604" s="99" t="s">
        <v>300</v>
      </c>
      <c r="O604" s="43"/>
      <c r="P604" s="44"/>
      <c r="Q604" s="45"/>
      <c r="R604" s="100"/>
      <c r="S604" s="10">
        <f>SUM(O604:R604)</f>
        <v>0</v>
      </c>
      <c r="T604" s="43"/>
      <c r="U604" s="44"/>
      <c r="V604" s="45"/>
      <c r="W604" s="100"/>
      <c r="X604" s="10">
        <f>SUM(T604:W604)</f>
        <v>0</v>
      </c>
      <c r="Y604" s="75">
        <f>S604+X604</f>
        <v>0</v>
      </c>
      <c r="Z604" s="162" t="s">
        <v>302</v>
      </c>
      <c r="AA604" s="41"/>
    </row>
    <row r="605" spans="1:27" ht="14.25" thickBot="1" x14ac:dyDescent="0.2">
      <c r="A605" s="16" t="s">
        <v>9</v>
      </c>
      <c r="B605" s="28">
        <f>SUM(B580:B604)</f>
        <v>10</v>
      </c>
      <c r="C605" s="36">
        <f>SUM(C580:C604)</f>
        <v>11</v>
      </c>
      <c r="D605" s="29">
        <f>SUM(D580:D604)</f>
        <v>12</v>
      </c>
      <c r="E605" s="30">
        <f>SUM(E580:E604)</f>
        <v>5</v>
      </c>
      <c r="F605" s="26">
        <f>SUM(B605:E605)</f>
        <v>38</v>
      </c>
      <c r="G605" s="28">
        <f>SUM(G580:G604)</f>
        <v>15</v>
      </c>
      <c r="H605" s="36">
        <f>SUM(H580:H604)</f>
        <v>6</v>
      </c>
      <c r="I605" s="29">
        <f>SUM(I580:I604)</f>
        <v>16</v>
      </c>
      <c r="J605" s="30">
        <f>SUM(J580:J604)</f>
        <v>4</v>
      </c>
      <c r="K605" s="26">
        <f>SUM(G605:J605)</f>
        <v>41</v>
      </c>
      <c r="L605" s="27">
        <f t="shared" si="411"/>
        <v>79</v>
      </c>
      <c r="N605" s="61" t="s">
        <v>9</v>
      </c>
      <c r="O605" s="28">
        <f>SUM(O580:O604)</f>
        <v>109</v>
      </c>
      <c r="P605" s="36">
        <f>SUM(P580:P604)</f>
        <v>205</v>
      </c>
      <c r="Q605" s="29">
        <f>SUM(Q580:Q604)</f>
        <v>60</v>
      </c>
      <c r="R605" s="30">
        <f>SUM(R580:R604)</f>
        <v>15</v>
      </c>
      <c r="S605" s="60">
        <f t="shared" ref="S605" si="432">SUM(O605:R605)</f>
        <v>389</v>
      </c>
      <c r="T605" s="28">
        <f>SUM(T580:T604)</f>
        <v>114</v>
      </c>
      <c r="U605" s="36">
        <f>SUM(U580:U604)</f>
        <v>200</v>
      </c>
      <c r="V605" s="29">
        <f>SUM(V580:V604)</f>
        <v>70</v>
      </c>
      <c r="W605" s="30">
        <f>SUM(W580:W604)</f>
        <v>20</v>
      </c>
      <c r="X605" s="60">
        <f t="shared" ref="X605" si="433">SUM(T605:W605)</f>
        <v>404</v>
      </c>
      <c r="Y605" s="63">
        <f t="shared" ref="Y605:Y606" si="434">S605+X605</f>
        <v>793</v>
      </c>
    </row>
    <row r="606" spans="1:27" ht="14.25" thickBot="1" x14ac:dyDescent="0.2">
      <c r="A606" s="18" t="s">
        <v>10</v>
      </c>
      <c r="B606" s="31">
        <f t="shared" ref="B606:K606" si="435">B579-B605</f>
        <v>28</v>
      </c>
      <c r="C606" s="37">
        <f t="shared" si="435"/>
        <v>29</v>
      </c>
      <c r="D606" s="32">
        <f t="shared" si="435"/>
        <v>27</v>
      </c>
      <c r="E606" s="33">
        <f t="shared" si="435"/>
        <v>29</v>
      </c>
      <c r="F606" s="42">
        <f t="shared" si="435"/>
        <v>113</v>
      </c>
      <c r="G606" s="31">
        <f t="shared" si="435"/>
        <v>28</v>
      </c>
      <c r="H606" s="37">
        <f t="shared" si="435"/>
        <v>31</v>
      </c>
      <c r="I606" s="32">
        <f t="shared" si="435"/>
        <v>24</v>
      </c>
      <c r="J606" s="33">
        <f t="shared" si="435"/>
        <v>28</v>
      </c>
      <c r="K606" s="42">
        <f t="shared" si="435"/>
        <v>111</v>
      </c>
      <c r="L606" s="17">
        <f t="shared" si="411"/>
        <v>224</v>
      </c>
      <c r="N606" s="16" t="s">
        <v>10</v>
      </c>
      <c r="O606" s="31">
        <f t="shared" ref="O606:X606" si="436">O579-O605</f>
        <v>513</v>
      </c>
      <c r="P606" s="37">
        <f t="shared" si="436"/>
        <v>432</v>
      </c>
      <c r="Q606" s="32">
        <f t="shared" si="436"/>
        <v>504</v>
      </c>
      <c r="R606" s="33">
        <f t="shared" si="436"/>
        <v>464</v>
      </c>
      <c r="S606" s="42">
        <f t="shared" si="436"/>
        <v>1913</v>
      </c>
      <c r="T606" s="31">
        <f t="shared" si="436"/>
        <v>476</v>
      </c>
      <c r="U606" s="37">
        <f t="shared" si="436"/>
        <v>439</v>
      </c>
      <c r="V606" s="32">
        <f t="shared" si="436"/>
        <v>407</v>
      </c>
      <c r="W606" s="33">
        <f t="shared" si="436"/>
        <v>409</v>
      </c>
      <c r="X606" s="42">
        <f t="shared" si="436"/>
        <v>1731</v>
      </c>
      <c r="Y606" s="17">
        <f t="shared" si="434"/>
        <v>3644</v>
      </c>
    </row>
    <row r="609" spans="1:27" ht="19.5" thickBot="1" x14ac:dyDescent="0.25">
      <c r="A609" s="2" t="s">
        <v>17</v>
      </c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N609" s="2" t="s">
        <v>18</v>
      </c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1"/>
    </row>
    <row r="610" spans="1:27" ht="14.25" thickBot="1" x14ac:dyDescent="0.2">
      <c r="A610" s="5" t="s">
        <v>0</v>
      </c>
      <c r="B610" s="244" t="s">
        <v>19</v>
      </c>
      <c r="C610" s="245"/>
      <c r="D610" s="245"/>
      <c r="E610" s="245"/>
      <c r="F610" s="246"/>
      <c r="G610" s="247" t="s">
        <v>20</v>
      </c>
      <c r="H610" s="248"/>
      <c r="I610" s="248"/>
      <c r="J610" s="248"/>
      <c r="K610" s="249"/>
      <c r="L610" s="250" t="s">
        <v>1</v>
      </c>
      <c r="N610" s="5" t="s">
        <v>0</v>
      </c>
      <c r="O610" s="244" t="s">
        <v>19</v>
      </c>
      <c r="P610" s="245"/>
      <c r="Q610" s="245"/>
      <c r="R610" s="245"/>
      <c r="S610" s="246"/>
      <c r="T610" s="247" t="s">
        <v>20</v>
      </c>
      <c r="U610" s="248"/>
      <c r="V610" s="248"/>
      <c r="W610" s="248"/>
      <c r="X610" s="249"/>
      <c r="Y610" s="250" t="s">
        <v>1</v>
      </c>
    </row>
    <row r="611" spans="1:27" ht="14.25" thickBot="1" x14ac:dyDescent="0.2">
      <c r="A611" s="5" t="s">
        <v>2</v>
      </c>
      <c r="B611" s="3" t="s">
        <v>11</v>
      </c>
      <c r="C611" s="34" t="s">
        <v>12</v>
      </c>
      <c r="D611" s="4" t="s">
        <v>13</v>
      </c>
      <c r="E611" s="19" t="s">
        <v>14</v>
      </c>
      <c r="F611" s="23" t="s">
        <v>3</v>
      </c>
      <c r="G611" s="3" t="s">
        <v>11</v>
      </c>
      <c r="H611" s="34" t="s">
        <v>12</v>
      </c>
      <c r="I611" s="4" t="s">
        <v>13</v>
      </c>
      <c r="J611" s="19" t="s">
        <v>14</v>
      </c>
      <c r="K611" s="23" t="s">
        <v>3</v>
      </c>
      <c r="L611" s="251"/>
      <c r="N611" s="5" t="s">
        <v>2</v>
      </c>
      <c r="O611" s="53" t="s">
        <v>11</v>
      </c>
      <c r="P611" s="54" t="s">
        <v>12</v>
      </c>
      <c r="Q611" s="55" t="s">
        <v>13</v>
      </c>
      <c r="R611" s="56" t="s">
        <v>14</v>
      </c>
      <c r="S611" s="23" t="s">
        <v>3</v>
      </c>
      <c r="T611" s="3" t="s">
        <v>11</v>
      </c>
      <c r="U611" s="34" t="s">
        <v>12</v>
      </c>
      <c r="V611" s="4" t="s">
        <v>13</v>
      </c>
      <c r="W611" s="19" t="s">
        <v>14</v>
      </c>
      <c r="X611" s="23" t="s">
        <v>3</v>
      </c>
      <c r="Y611" s="251"/>
    </row>
    <row r="612" spans="1:27" ht="14.25" thickBot="1" x14ac:dyDescent="0.2">
      <c r="A612" s="18" t="s">
        <v>15</v>
      </c>
      <c r="B612" s="31">
        <f>B606</f>
        <v>28</v>
      </c>
      <c r="C612" s="32">
        <f>C606</f>
        <v>29</v>
      </c>
      <c r="D612" s="32">
        <f>D606</f>
        <v>27</v>
      </c>
      <c r="E612" s="33">
        <f>E606</f>
        <v>29</v>
      </c>
      <c r="F612" s="86">
        <f>SUM(B612:E612)</f>
        <v>113</v>
      </c>
      <c r="G612" s="31">
        <f>G606</f>
        <v>28</v>
      </c>
      <c r="H612" s="32">
        <f>H606</f>
        <v>31</v>
      </c>
      <c r="I612" s="32">
        <f>I606</f>
        <v>24</v>
      </c>
      <c r="J612" s="33">
        <f>J606</f>
        <v>28</v>
      </c>
      <c r="K612" s="80">
        <f>SUM(G612:J612)</f>
        <v>111</v>
      </c>
      <c r="L612" s="17">
        <f>F612+K612</f>
        <v>224</v>
      </c>
      <c r="N612" s="18" t="s">
        <v>15</v>
      </c>
      <c r="O612" s="31">
        <f>O606</f>
        <v>513</v>
      </c>
      <c r="P612" s="32">
        <f>P606</f>
        <v>432</v>
      </c>
      <c r="Q612" s="32">
        <f>Q606</f>
        <v>504</v>
      </c>
      <c r="R612" s="33">
        <f>R606</f>
        <v>464</v>
      </c>
      <c r="S612" s="86">
        <f>SUM(O612:R612)</f>
        <v>1913</v>
      </c>
      <c r="T612" s="31">
        <f>T606</f>
        <v>476</v>
      </c>
      <c r="U612" s="32">
        <f>U606</f>
        <v>439</v>
      </c>
      <c r="V612" s="32">
        <f>V606</f>
        <v>407</v>
      </c>
      <c r="W612" s="33">
        <f>W606</f>
        <v>409</v>
      </c>
      <c r="X612" s="80">
        <f>SUM(T612:W612)</f>
        <v>1731</v>
      </c>
      <c r="Y612" s="17">
        <f t="shared" ref="Y612:Y641" si="437">S612+X612</f>
        <v>3644</v>
      </c>
    </row>
    <row r="613" spans="1:27" x14ac:dyDescent="0.15">
      <c r="A613" s="59" t="s">
        <v>4</v>
      </c>
      <c r="B613" s="64"/>
      <c r="C613" s="65">
        <v>5</v>
      </c>
      <c r="D613" s="66"/>
      <c r="E613" s="67"/>
      <c r="F613" s="74">
        <f>SUM(B613:E613)</f>
        <v>5</v>
      </c>
      <c r="G613" s="65">
        <v>1</v>
      </c>
      <c r="H613" s="65"/>
      <c r="I613" s="66"/>
      <c r="J613" s="67"/>
      <c r="K613" s="74">
        <f>SUM(G613:J613)</f>
        <v>1</v>
      </c>
      <c r="L613" s="11">
        <f t="shared" ref="L613:L644" si="438">F613+K613</f>
        <v>6</v>
      </c>
      <c r="M613" s="69">
        <v>45363</v>
      </c>
      <c r="N613" s="59" t="s">
        <v>16</v>
      </c>
      <c r="O613" s="48"/>
      <c r="P613" s="49"/>
      <c r="Q613" s="50"/>
      <c r="R613" s="51"/>
      <c r="S613" s="85">
        <f>SUM(O613:R613)</f>
        <v>0</v>
      </c>
      <c r="T613" s="48"/>
      <c r="U613" s="49"/>
      <c r="V613" s="50"/>
      <c r="W613" s="51"/>
      <c r="X613" s="74">
        <f>SUM(T613:W613)</f>
        <v>0</v>
      </c>
      <c r="Y613" s="11">
        <f t="shared" si="437"/>
        <v>0</v>
      </c>
    </row>
    <row r="614" spans="1:27" x14ac:dyDescent="0.15">
      <c r="A614" s="13" t="s">
        <v>5</v>
      </c>
      <c r="B614" s="6">
        <v>20</v>
      </c>
      <c r="C614" s="22">
        <v>10</v>
      </c>
      <c r="D614" s="7">
        <v>15</v>
      </c>
      <c r="E614" s="8">
        <v>5</v>
      </c>
      <c r="F614" s="9">
        <f>SUM(B614:E614)</f>
        <v>50</v>
      </c>
      <c r="G614" s="22">
        <v>20</v>
      </c>
      <c r="H614" s="22">
        <v>15</v>
      </c>
      <c r="I614" s="7">
        <v>20</v>
      </c>
      <c r="J614" s="8">
        <v>5</v>
      </c>
      <c r="K614" s="9">
        <f>SUM(G614:J614)</f>
        <v>60</v>
      </c>
      <c r="L614" s="11">
        <f t="shared" si="438"/>
        <v>110</v>
      </c>
      <c r="M614" s="69">
        <v>45367</v>
      </c>
      <c r="N614" s="59" t="s">
        <v>4</v>
      </c>
      <c r="O614" s="48"/>
      <c r="P614" s="49"/>
      <c r="Q614" s="50"/>
      <c r="R614" s="51"/>
      <c r="S614" s="85">
        <f t="shared" ref="S614:S615" si="439">SUM(O614:R614)</f>
        <v>0</v>
      </c>
      <c r="T614" s="48"/>
      <c r="U614" s="49"/>
      <c r="V614" s="50"/>
      <c r="W614" s="51"/>
      <c r="X614" s="74">
        <f t="shared" ref="X614:X615" si="440">SUM(T614:W614)</f>
        <v>0</v>
      </c>
      <c r="Y614" s="11">
        <f t="shared" si="437"/>
        <v>0</v>
      </c>
    </row>
    <row r="615" spans="1:27" x14ac:dyDescent="0.15">
      <c r="A615" s="13" t="s">
        <v>6</v>
      </c>
      <c r="B615" s="20"/>
      <c r="C615" s="35"/>
      <c r="D615" s="21"/>
      <c r="E615" s="24"/>
      <c r="F615" s="25">
        <f t="shared" ref="F615:F616" si="441">SUM(B615:E615)</f>
        <v>0</v>
      </c>
      <c r="G615" s="20"/>
      <c r="H615" s="35"/>
      <c r="I615" s="21"/>
      <c r="J615" s="24"/>
      <c r="K615" s="25">
        <f t="shared" ref="K615:K616" si="442">SUM(G615:J615)</f>
        <v>0</v>
      </c>
      <c r="L615" s="11">
        <f t="shared" si="438"/>
        <v>0</v>
      </c>
      <c r="M615" s="71"/>
      <c r="N615" s="59" t="s">
        <v>5</v>
      </c>
      <c r="O615" s="48"/>
      <c r="P615" s="49"/>
      <c r="Q615" s="50"/>
      <c r="R615" s="51"/>
      <c r="S615" s="85">
        <f t="shared" si="439"/>
        <v>0</v>
      </c>
      <c r="T615" s="48"/>
      <c r="U615" s="49"/>
      <c r="V615" s="50"/>
      <c r="W615" s="51"/>
      <c r="X615" s="74">
        <f t="shared" si="440"/>
        <v>0</v>
      </c>
      <c r="Y615" s="11">
        <f t="shared" si="437"/>
        <v>0</v>
      </c>
    </row>
    <row r="616" spans="1:27" ht="14.25" thickBot="1" x14ac:dyDescent="0.2">
      <c r="A616" s="13" t="s">
        <v>140</v>
      </c>
      <c r="B616" s="48"/>
      <c r="C616" s="49">
        <v>9</v>
      </c>
      <c r="D616" s="50"/>
      <c r="E616" s="51"/>
      <c r="F616" s="52">
        <f t="shared" si="441"/>
        <v>9</v>
      </c>
      <c r="G616" s="48"/>
      <c r="H616" s="49"/>
      <c r="I616" s="50"/>
      <c r="J616" s="51"/>
      <c r="K616" s="52">
        <f t="shared" si="442"/>
        <v>0</v>
      </c>
      <c r="L616" s="11">
        <f t="shared" si="438"/>
        <v>9</v>
      </c>
      <c r="M616" s="71"/>
      <c r="N616" s="13" t="s">
        <v>6</v>
      </c>
      <c r="O616" s="43"/>
      <c r="P616" s="44"/>
      <c r="Q616" s="45"/>
      <c r="R616" s="46"/>
      <c r="S616" s="58">
        <f>SUM(O616:R616)</f>
        <v>0</v>
      </c>
      <c r="T616" s="35"/>
      <c r="U616" s="35"/>
      <c r="V616" s="21"/>
      <c r="W616" s="38"/>
      <c r="X616" s="10">
        <f>SUM(T616:W616)</f>
        <v>0</v>
      </c>
      <c r="Y616" s="14">
        <f t="shared" si="437"/>
        <v>0</v>
      </c>
    </row>
    <row r="617" spans="1:27" ht="14.25" thickBot="1" x14ac:dyDescent="0.2">
      <c r="A617" s="18" t="s">
        <v>8</v>
      </c>
      <c r="B617" s="76">
        <f t="shared" ref="B617:K617" si="443">SUM(B612:B616)</f>
        <v>48</v>
      </c>
      <c r="C617" s="77">
        <f t="shared" si="443"/>
        <v>53</v>
      </c>
      <c r="D617" s="78">
        <f t="shared" si="443"/>
        <v>42</v>
      </c>
      <c r="E617" s="79">
        <f t="shared" si="443"/>
        <v>34</v>
      </c>
      <c r="F617" s="80">
        <f t="shared" si="443"/>
        <v>177</v>
      </c>
      <c r="G617" s="76">
        <f t="shared" si="443"/>
        <v>49</v>
      </c>
      <c r="H617" s="77">
        <f t="shared" si="443"/>
        <v>46</v>
      </c>
      <c r="I617" s="78">
        <f t="shared" si="443"/>
        <v>44</v>
      </c>
      <c r="J617" s="79">
        <f t="shared" si="443"/>
        <v>33</v>
      </c>
      <c r="K617" s="80">
        <f t="shared" si="443"/>
        <v>172</v>
      </c>
      <c r="L617" s="17">
        <f t="shared" si="438"/>
        <v>349</v>
      </c>
      <c r="N617" s="16" t="s">
        <v>8</v>
      </c>
      <c r="O617" s="31">
        <f t="shared" ref="O617:X617" si="444">SUM(O612:O616)</f>
        <v>513</v>
      </c>
      <c r="P617" s="37">
        <f t="shared" si="444"/>
        <v>432</v>
      </c>
      <c r="Q617" s="32">
        <f t="shared" si="444"/>
        <v>504</v>
      </c>
      <c r="R617" s="82">
        <f t="shared" si="444"/>
        <v>464</v>
      </c>
      <c r="S617" s="83">
        <f t="shared" si="444"/>
        <v>1913</v>
      </c>
      <c r="T617" s="31">
        <f t="shared" si="444"/>
        <v>476</v>
      </c>
      <c r="U617" s="37">
        <f t="shared" si="444"/>
        <v>439</v>
      </c>
      <c r="V617" s="32">
        <f t="shared" si="444"/>
        <v>407</v>
      </c>
      <c r="W617" s="82">
        <f t="shared" si="444"/>
        <v>409</v>
      </c>
      <c r="X617" s="83">
        <f t="shared" si="444"/>
        <v>1731</v>
      </c>
      <c r="Y617" s="39">
        <f t="shared" si="437"/>
        <v>3644</v>
      </c>
    </row>
    <row r="618" spans="1:27" x14ac:dyDescent="0.15">
      <c r="A618" s="59" t="s">
        <v>27</v>
      </c>
      <c r="B618" s="20"/>
      <c r="C618" s="35"/>
      <c r="D618" s="21"/>
      <c r="E618" s="24">
        <v>1</v>
      </c>
      <c r="F618" s="25">
        <f t="shared" ref="F618:F630" si="445">SUM(B618:E618)</f>
        <v>1</v>
      </c>
      <c r="G618" s="20"/>
      <c r="H618" s="35"/>
      <c r="I618" s="21"/>
      <c r="J618" s="24"/>
      <c r="K618" s="25">
        <f t="shared" ref="K618:K630" si="446">SUM(G618:J618)</f>
        <v>0</v>
      </c>
      <c r="L618" s="11">
        <f t="shared" ref="L618:L630" si="447">F618+K618</f>
        <v>1</v>
      </c>
      <c r="M618" s="69">
        <v>45363</v>
      </c>
      <c r="N618" s="40" t="s">
        <v>26</v>
      </c>
      <c r="O618" s="20">
        <v>20</v>
      </c>
      <c r="P618" s="35">
        <v>10</v>
      </c>
      <c r="Q618" s="21">
        <v>15</v>
      </c>
      <c r="R618" s="38">
        <v>5</v>
      </c>
      <c r="S618" s="9">
        <f>SUM(O618:R618)</f>
        <v>50</v>
      </c>
      <c r="T618" s="20">
        <v>20</v>
      </c>
      <c r="U618" s="35">
        <v>15</v>
      </c>
      <c r="V618" s="21">
        <v>20</v>
      </c>
      <c r="W618" s="38">
        <v>5</v>
      </c>
      <c r="X618" s="98">
        <f>SUM(T618:W618)</f>
        <v>60</v>
      </c>
      <c r="Y618" s="11">
        <f t="shared" si="437"/>
        <v>110</v>
      </c>
      <c r="Z618" s="69">
        <v>45367</v>
      </c>
      <c r="AA618" s="41"/>
    </row>
    <row r="619" spans="1:27" x14ac:dyDescent="0.15">
      <c r="A619" s="40" t="s">
        <v>403</v>
      </c>
      <c r="B619" s="20">
        <v>1</v>
      </c>
      <c r="C619" s="35"/>
      <c r="D619" s="21"/>
      <c r="E619" s="24"/>
      <c r="F619" s="25">
        <f t="shared" si="445"/>
        <v>1</v>
      </c>
      <c r="G619" s="20">
        <v>1</v>
      </c>
      <c r="H619" s="35"/>
      <c r="I619" s="21"/>
      <c r="J619" s="24"/>
      <c r="K619" s="25">
        <f t="shared" si="446"/>
        <v>1</v>
      </c>
      <c r="L619" s="11">
        <f t="shared" si="447"/>
        <v>2</v>
      </c>
      <c r="M619" s="69">
        <v>45366</v>
      </c>
      <c r="N619" s="40" t="s">
        <v>414</v>
      </c>
      <c r="O619" s="20">
        <v>12</v>
      </c>
      <c r="P619" s="35">
        <v>17</v>
      </c>
      <c r="Q619" s="21">
        <v>11</v>
      </c>
      <c r="R619" s="38"/>
      <c r="S619" s="9">
        <f t="shared" ref="S619:S622" si="448">SUM(O619:R619)</f>
        <v>40</v>
      </c>
      <c r="T619" s="20">
        <v>7</v>
      </c>
      <c r="U619" s="35">
        <v>11</v>
      </c>
      <c r="V619" s="21">
        <v>11</v>
      </c>
      <c r="W619" s="38"/>
      <c r="X619" s="9">
        <f t="shared" ref="X619:X622" si="449">SUM(T619:W619)</f>
        <v>29</v>
      </c>
      <c r="Y619" s="11">
        <f t="shared" ref="Y619:Y622" si="450">S619+X619</f>
        <v>69</v>
      </c>
      <c r="Z619" s="69">
        <v>45370</v>
      </c>
      <c r="AA619" s="41"/>
    </row>
    <row r="620" spans="1:27" x14ac:dyDescent="0.15">
      <c r="A620" s="12" t="s">
        <v>404</v>
      </c>
      <c r="B620" s="20">
        <v>15</v>
      </c>
      <c r="C620" s="35">
        <v>10</v>
      </c>
      <c r="D620" s="21">
        <v>10</v>
      </c>
      <c r="E620" s="24">
        <v>5</v>
      </c>
      <c r="F620" s="25">
        <f t="shared" si="445"/>
        <v>40</v>
      </c>
      <c r="G620" s="20">
        <v>15</v>
      </c>
      <c r="H620" s="35">
        <v>10</v>
      </c>
      <c r="I620" s="21">
        <v>10</v>
      </c>
      <c r="J620" s="24">
        <v>5</v>
      </c>
      <c r="K620" s="25">
        <f t="shared" si="446"/>
        <v>40</v>
      </c>
      <c r="L620" s="11">
        <f t="shared" si="447"/>
        <v>80</v>
      </c>
      <c r="M620" s="69">
        <v>45366</v>
      </c>
      <c r="N620" s="12" t="s">
        <v>456</v>
      </c>
      <c r="O620" s="20"/>
      <c r="P620" s="35">
        <v>10</v>
      </c>
      <c r="Q620" s="21">
        <v>5</v>
      </c>
      <c r="R620" s="38"/>
      <c r="S620" s="9">
        <f t="shared" si="448"/>
        <v>15</v>
      </c>
      <c r="T620" s="20"/>
      <c r="U620" s="35"/>
      <c r="V620" s="21"/>
      <c r="W620" s="38"/>
      <c r="X620" s="9">
        <f t="shared" si="449"/>
        <v>0</v>
      </c>
      <c r="Y620" s="11">
        <f t="shared" si="450"/>
        <v>15</v>
      </c>
      <c r="Z620" s="69">
        <v>45377</v>
      </c>
      <c r="AA620" s="41"/>
    </row>
    <row r="621" spans="1:27" x14ac:dyDescent="0.15">
      <c r="A621" s="59" t="s">
        <v>27</v>
      </c>
      <c r="B621" s="20"/>
      <c r="C621" s="35"/>
      <c r="D621" s="21"/>
      <c r="E621" s="24"/>
      <c r="F621" s="25">
        <f t="shared" si="445"/>
        <v>0</v>
      </c>
      <c r="G621" s="20"/>
      <c r="H621" s="35">
        <v>2</v>
      </c>
      <c r="I621" s="21"/>
      <c r="J621" s="24"/>
      <c r="K621" s="25">
        <f t="shared" si="446"/>
        <v>2</v>
      </c>
      <c r="L621" s="11">
        <f t="shared" si="447"/>
        <v>2</v>
      </c>
      <c r="M621" s="71">
        <v>45365</v>
      </c>
      <c r="N621" s="40" t="s">
        <v>415</v>
      </c>
      <c r="O621" s="20"/>
      <c r="P621" s="35">
        <v>1</v>
      </c>
      <c r="Q621" s="21"/>
      <c r="R621" s="38"/>
      <c r="S621" s="9">
        <f t="shared" si="448"/>
        <v>1</v>
      </c>
      <c r="T621" s="20"/>
      <c r="U621" s="35">
        <v>3</v>
      </c>
      <c r="V621" s="21">
        <v>1</v>
      </c>
      <c r="W621" s="38"/>
      <c r="X621" s="9">
        <f t="shared" si="449"/>
        <v>4</v>
      </c>
      <c r="Y621" s="11">
        <f t="shared" si="450"/>
        <v>5</v>
      </c>
      <c r="Z621" s="69">
        <v>45377</v>
      </c>
      <c r="AA621" s="41"/>
    </row>
    <row r="622" spans="1:27" x14ac:dyDescent="0.15">
      <c r="A622" s="40" t="s">
        <v>405</v>
      </c>
      <c r="B622" s="20"/>
      <c r="C622" s="35"/>
      <c r="D622" s="21">
        <v>1</v>
      </c>
      <c r="E622" s="24"/>
      <c r="F622" s="25">
        <f t="shared" si="445"/>
        <v>1</v>
      </c>
      <c r="G622" s="20"/>
      <c r="H622" s="35"/>
      <c r="I622" s="21">
        <v>1</v>
      </c>
      <c r="J622" s="24"/>
      <c r="K622" s="25">
        <f t="shared" si="446"/>
        <v>1</v>
      </c>
      <c r="L622" s="11">
        <f t="shared" si="447"/>
        <v>2</v>
      </c>
      <c r="M622" s="69">
        <v>45369</v>
      </c>
      <c r="N622" s="40" t="s">
        <v>26</v>
      </c>
      <c r="O622" s="20">
        <v>25</v>
      </c>
      <c r="P622" s="35">
        <v>10</v>
      </c>
      <c r="Q622" s="21">
        <v>15</v>
      </c>
      <c r="R622" s="38">
        <v>10</v>
      </c>
      <c r="S622" s="9">
        <f t="shared" si="448"/>
        <v>60</v>
      </c>
      <c r="T622" s="20">
        <v>30</v>
      </c>
      <c r="U622" s="35">
        <v>15</v>
      </c>
      <c r="V622" s="21">
        <v>25</v>
      </c>
      <c r="W622" s="38">
        <v>15</v>
      </c>
      <c r="X622" s="9">
        <f t="shared" si="449"/>
        <v>85</v>
      </c>
      <c r="Y622" s="11">
        <f t="shared" si="450"/>
        <v>145</v>
      </c>
      <c r="Z622" s="69">
        <v>45379</v>
      </c>
    </row>
    <row r="623" spans="1:27" x14ac:dyDescent="0.15">
      <c r="A623" s="59" t="s">
        <v>27</v>
      </c>
      <c r="B623" s="20"/>
      <c r="C623" s="35"/>
      <c r="D623" s="21"/>
      <c r="E623" s="24"/>
      <c r="F623" s="25">
        <f t="shared" si="445"/>
        <v>0</v>
      </c>
      <c r="G623" s="20"/>
      <c r="H623" s="35">
        <v>1</v>
      </c>
      <c r="I623" s="21"/>
      <c r="J623" s="24"/>
      <c r="K623" s="25">
        <f t="shared" si="446"/>
        <v>1</v>
      </c>
      <c r="L623" s="11">
        <f t="shared" si="447"/>
        <v>1</v>
      </c>
      <c r="M623" s="69">
        <v>45366</v>
      </c>
      <c r="N623" s="12" t="s">
        <v>423</v>
      </c>
      <c r="O623" s="20">
        <v>20</v>
      </c>
      <c r="P623" s="35">
        <v>30</v>
      </c>
      <c r="Q623" s="21">
        <v>20</v>
      </c>
      <c r="R623" s="38">
        <v>20</v>
      </c>
      <c r="S623" s="9">
        <f t="shared" ref="S623:S631" si="451">SUM(O623:R623)</f>
        <v>90</v>
      </c>
      <c r="T623" s="20">
        <v>20</v>
      </c>
      <c r="U623" s="35">
        <v>20</v>
      </c>
      <c r="V623" s="21">
        <v>20</v>
      </c>
      <c r="W623" s="38">
        <v>20</v>
      </c>
      <c r="X623" s="9">
        <f t="shared" ref="X623:X631" si="452">SUM(T623:W623)</f>
        <v>80</v>
      </c>
      <c r="Y623" s="11">
        <f t="shared" si="437"/>
        <v>170</v>
      </c>
      <c r="Z623" s="69">
        <v>45383</v>
      </c>
    </row>
    <row r="624" spans="1:27" x14ac:dyDescent="0.15">
      <c r="A624" s="59" t="s">
        <v>407</v>
      </c>
      <c r="B624" s="20"/>
      <c r="C624" s="35"/>
      <c r="D624" s="21"/>
      <c r="E624" s="24"/>
      <c r="F624" s="25">
        <f t="shared" si="445"/>
        <v>0</v>
      </c>
      <c r="G624" s="20">
        <v>2</v>
      </c>
      <c r="H624" s="35"/>
      <c r="I624" s="21"/>
      <c r="J624" s="24"/>
      <c r="K624" s="25">
        <f t="shared" si="446"/>
        <v>2</v>
      </c>
      <c r="L624" s="11">
        <f t="shared" si="447"/>
        <v>2</v>
      </c>
      <c r="M624" s="69">
        <v>45370</v>
      </c>
      <c r="N624" s="12" t="s">
        <v>426</v>
      </c>
      <c r="O624" s="20">
        <v>20</v>
      </c>
      <c r="P624" s="35"/>
      <c r="Q624" s="21"/>
      <c r="R624" s="38">
        <v>20</v>
      </c>
      <c r="S624" s="9">
        <f t="shared" si="451"/>
        <v>40</v>
      </c>
      <c r="T624" s="20"/>
      <c r="U624" s="35">
        <v>20</v>
      </c>
      <c r="V624" s="21"/>
      <c r="W624" s="38">
        <v>30</v>
      </c>
      <c r="X624" s="9">
        <f t="shared" si="452"/>
        <v>50</v>
      </c>
      <c r="Y624" s="11">
        <f t="shared" si="437"/>
        <v>90</v>
      </c>
      <c r="Z624" s="69">
        <v>45384</v>
      </c>
    </row>
    <row r="625" spans="1:27" x14ac:dyDescent="0.15">
      <c r="A625" s="59" t="s">
        <v>27</v>
      </c>
      <c r="B625" s="20"/>
      <c r="C625" s="35"/>
      <c r="D625" s="21"/>
      <c r="E625" s="24"/>
      <c r="F625" s="25">
        <f t="shared" si="445"/>
        <v>0</v>
      </c>
      <c r="G625" s="20"/>
      <c r="H625" s="35">
        <v>1</v>
      </c>
      <c r="I625" s="21"/>
      <c r="J625" s="24"/>
      <c r="K625" s="25">
        <f t="shared" si="446"/>
        <v>1</v>
      </c>
      <c r="L625" s="11">
        <f t="shared" si="447"/>
        <v>1</v>
      </c>
      <c r="M625" s="69">
        <v>45367</v>
      </c>
      <c r="N625" s="12" t="s">
        <v>430</v>
      </c>
      <c r="O625" s="20"/>
      <c r="P625" s="35">
        <v>45</v>
      </c>
      <c r="Q625" s="21">
        <v>20</v>
      </c>
      <c r="R625" s="38">
        <v>10</v>
      </c>
      <c r="S625" s="9">
        <f t="shared" si="451"/>
        <v>75</v>
      </c>
      <c r="T625" s="20">
        <v>40</v>
      </c>
      <c r="U625" s="35">
        <v>55</v>
      </c>
      <c r="V625" s="21">
        <v>30</v>
      </c>
      <c r="W625" s="38"/>
      <c r="X625" s="9">
        <f t="shared" si="452"/>
        <v>125</v>
      </c>
      <c r="Y625" s="11">
        <f t="shared" si="437"/>
        <v>200</v>
      </c>
      <c r="Z625" s="69">
        <v>45386</v>
      </c>
      <c r="AA625" s="41"/>
    </row>
    <row r="626" spans="1:27" x14ac:dyDescent="0.15">
      <c r="A626" s="40" t="s">
        <v>408</v>
      </c>
      <c r="B626" s="20"/>
      <c r="C626" s="35">
        <v>1</v>
      </c>
      <c r="D626" s="21"/>
      <c r="E626" s="24">
        <v>3</v>
      </c>
      <c r="F626" s="25">
        <f t="shared" si="445"/>
        <v>4</v>
      </c>
      <c r="G626" s="20">
        <v>1</v>
      </c>
      <c r="H626" s="35"/>
      <c r="I626" s="21">
        <v>3</v>
      </c>
      <c r="J626" s="24"/>
      <c r="K626" s="25">
        <f t="shared" si="446"/>
        <v>4</v>
      </c>
      <c r="L626" s="11">
        <f t="shared" si="447"/>
        <v>8</v>
      </c>
      <c r="M626" s="69">
        <v>45370</v>
      </c>
      <c r="N626" s="12" t="s">
        <v>457</v>
      </c>
      <c r="O626" s="20"/>
      <c r="P626" s="35"/>
      <c r="Q626" s="21"/>
      <c r="R626" s="38">
        <v>5</v>
      </c>
      <c r="S626" s="9">
        <f t="shared" si="451"/>
        <v>5</v>
      </c>
      <c r="T626" s="20"/>
      <c r="U626" s="35"/>
      <c r="V626" s="21"/>
      <c r="W626" s="38"/>
      <c r="X626" s="9">
        <f t="shared" si="452"/>
        <v>0</v>
      </c>
      <c r="Y626" s="11">
        <f t="shared" si="437"/>
        <v>5</v>
      </c>
      <c r="Z626" s="69">
        <v>45393</v>
      </c>
      <c r="AA626" s="41"/>
    </row>
    <row r="627" spans="1:27" x14ac:dyDescent="0.15">
      <c r="A627" s="59" t="s">
        <v>27</v>
      </c>
      <c r="B627" s="20">
        <v>3</v>
      </c>
      <c r="C627" s="35">
        <v>2</v>
      </c>
      <c r="D627" s="21"/>
      <c r="E627" s="24"/>
      <c r="F627" s="25">
        <f t="shared" si="445"/>
        <v>5</v>
      </c>
      <c r="G627" s="20">
        <f>1+2</f>
        <v>3</v>
      </c>
      <c r="H627" s="35"/>
      <c r="I627" s="21">
        <v>2</v>
      </c>
      <c r="J627" s="24"/>
      <c r="K627" s="25">
        <f t="shared" si="446"/>
        <v>5</v>
      </c>
      <c r="L627" s="11">
        <f t="shared" si="447"/>
        <v>10</v>
      </c>
      <c r="M627" s="69">
        <v>45369</v>
      </c>
      <c r="N627" s="12" t="s">
        <v>434</v>
      </c>
      <c r="O627" s="20">
        <v>25</v>
      </c>
      <c r="P627" s="35">
        <v>20</v>
      </c>
      <c r="Q627" s="21">
        <v>20</v>
      </c>
      <c r="R627" s="38"/>
      <c r="S627" s="9">
        <f t="shared" si="451"/>
        <v>65</v>
      </c>
      <c r="T627" s="20">
        <v>10</v>
      </c>
      <c r="U627" s="35">
        <v>10</v>
      </c>
      <c r="V627" s="21"/>
      <c r="W627" s="38"/>
      <c r="X627" s="9">
        <f t="shared" si="452"/>
        <v>20</v>
      </c>
      <c r="Y627" s="11">
        <f t="shared" si="437"/>
        <v>85</v>
      </c>
      <c r="Z627" s="69">
        <v>45387</v>
      </c>
    </row>
    <row r="628" spans="1:27" x14ac:dyDescent="0.15">
      <c r="A628" s="12" t="s">
        <v>409</v>
      </c>
      <c r="B628" s="20"/>
      <c r="C628" s="35"/>
      <c r="D628" s="21">
        <v>5</v>
      </c>
      <c r="E628" s="24"/>
      <c r="F628" s="25">
        <f t="shared" si="445"/>
        <v>5</v>
      </c>
      <c r="G628" s="20"/>
      <c r="H628" s="35"/>
      <c r="I628" s="21">
        <v>5</v>
      </c>
      <c r="J628" s="24"/>
      <c r="K628" s="25">
        <f t="shared" si="446"/>
        <v>5</v>
      </c>
      <c r="L628" s="11">
        <f t="shared" si="447"/>
        <v>10</v>
      </c>
      <c r="M628" s="69">
        <v>45372</v>
      </c>
      <c r="N628" s="12" t="s">
        <v>437</v>
      </c>
      <c r="O628" s="20"/>
      <c r="P628" s="35"/>
      <c r="Q628" s="21"/>
      <c r="R628" s="38"/>
      <c r="S628" s="9">
        <f t="shared" si="451"/>
        <v>0</v>
      </c>
      <c r="T628" s="20"/>
      <c r="U628" s="35">
        <v>10</v>
      </c>
      <c r="V628" s="21">
        <v>10</v>
      </c>
      <c r="W628" s="38"/>
      <c r="X628" s="9">
        <f t="shared" si="452"/>
        <v>20</v>
      </c>
      <c r="Y628" s="11">
        <f t="shared" si="437"/>
        <v>20</v>
      </c>
      <c r="Z628" s="69">
        <v>45388</v>
      </c>
    </row>
    <row r="629" spans="1:27" x14ac:dyDescent="0.15">
      <c r="A629" s="40" t="s">
        <v>410</v>
      </c>
      <c r="B629" s="20"/>
      <c r="C629" s="35">
        <v>1</v>
      </c>
      <c r="D629" s="21"/>
      <c r="E629" s="24"/>
      <c r="F629" s="25">
        <f t="shared" si="445"/>
        <v>1</v>
      </c>
      <c r="G629" s="20"/>
      <c r="H629" s="35">
        <v>1</v>
      </c>
      <c r="I629" s="21"/>
      <c r="J629" s="24"/>
      <c r="K629" s="25">
        <f t="shared" si="446"/>
        <v>1</v>
      </c>
      <c r="L629" s="11">
        <f t="shared" si="447"/>
        <v>2</v>
      </c>
      <c r="M629" s="69">
        <v>45372</v>
      </c>
      <c r="N629" s="40" t="s">
        <v>26</v>
      </c>
      <c r="O629" s="20">
        <v>10</v>
      </c>
      <c r="P629" s="35">
        <v>15</v>
      </c>
      <c r="Q629" s="21">
        <v>10</v>
      </c>
      <c r="R629" s="38">
        <v>10</v>
      </c>
      <c r="S629" s="9">
        <f t="shared" si="451"/>
        <v>45</v>
      </c>
      <c r="T629" s="20">
        <v>10</v>
      </c>
      <c r="U629" s="35">
        <v>15</v>
      </c>
      <c r="V629" s="21">
        <v>10</v>
      </c>
      <c r="W629" s="38">
        <v>5</v>
      </c>
      <c r="X629" s="9">
        <f t="shared" si="452"/>
        <v>40</v>
      </c>
      <c r="Y629" s="11">
        <f t="shared" si="437"/>
        <v>85</v>
      </c>
      <c r="Z629" s="69">
        <v>45388</v>
      </c>
    </row>
    <row r="630" spans="1:27" x14ac:dyDescent="0.15">
      <c r="A630" s="59" t="s">
        <v>27</v>
      </c>
      <c r="B630" s="20"/>
      <c r="C630" s="35">
        <v>1</v>
      </c>
      <c r="D630" s="21"/>
      <c r="E630" s="24"/>
      <c r="F630" s="25">
        <f t="shared" si="445"/>
        <v>1</v>
      </c>
      <c r="G630" s="20"/>
      <c r="H630" s="35">
        <v>1</v>
      </c>
      <c r="I630" s="21"/>
      <c r="J630" s="24"/>
      <c r="K630" s="25">
        <f t="shared" si="446"/>
        <v>1</v>
      </c>
      <c r="L630" s="11">
        <f t="shared" si="447"/>
        <v>2</v>
      </c>
      <c r="M630" s="69">
        <v>45370</v>
      </c>
      <c r="N630" s="12" t="s">
        <v>440</v>
      </c>
      <c r="O630" s="20">
        <v>18</v>
      </c>
      <c r="P630" s="35">
        <v>30</v>
      </c>
      <c r="Q630" s="21">
        <v>5</v>
      </c>
      <c r="R630" s="38"/>
      <c r="S630" s="9">
        <f t="shared" si="451"/>
        <v>53</v>
      </c>
      <c r="T630" s="20">
        <v>23</v>
      </c>
      <c r="U630" s="35">
        <v>25</v>
      </c>
      <c r="V630" s="21">
        <v>21</v>
      </c>
      <c r="W630" s="38"/>
      <c r="X630" s="9">
        <f t="shared" si="452"/>
        <v>69</v>
      </c>
      <c r="Y630" s="11">
        <f t="shared" si="437"/>
        <v>122</v>
      </c>
      <c r="Z630" s="69">
        <v>45391</v>
      </c>
    </row>
    <row r="631" spans="1:27" x14ac:dyDescent="0.15">
      <c r="A631" s="40" t="s">
        <v>411</v>
      </c>
      <c r="B631" s="20">
        <v>2</v>
      </c>
      <c r="C631" s="35"/>
      <c r="D631" s="21">
        <v>2</v>
      </c>
      <c r="E631" s="24">
        <v>1</v>
      </c>
      <c r="F631" s="25">
        <f t="shared" ref="F631:F642" si="453">SUM(B631:E631)</f>
        <v>5</v>
      </c>
      <c r="G631" s="20">
        <v>2</v>
      </c>
      <c r="H631" s="35"/>
      <c r="I631" s="21">
        <v>2</v>
      </c>
      <c r="J631" s="24">
        <v>1</v>
      </c>
      <c r="K631" s="25">
        <f t="shared" ref="K631:K642" si="454">SUM(G631:J631)</f>
        <v>5</v>
      </c>
      <c r="L631" s="11">
        <f t="shared" si="438"/>
        <v>10</v>
      </c>
      <c r="M631" s="69">
        <v>45373</v>
      </c>
      <c r="N631" s="40" t="s">
        <v>26</v>
      </c>
      <c r="O631" s="20">
        <v>30</v>
      </c>
      <c r="P631" s="35">
        <v>10</v>
      </c>
      <c r="Q631" s="21">
        <v>5</v>
      </c>
      <c r="R631" s="38">
        <v>5</v>
      </c>
      <c r="S631" s="9">
        <f t="shared" si="451"/>
        <v>50</v>
      </c>
      <c r="T631" s="20">
        <v>20</v>
      </c>
      <c r="U631" s="35">
        <v>5</v>
      </c>
      <c r="V631" s="21">
        <v>5</v>
      </c>
      <c r="W631" s="38">
        <v>10</v>
      </c>
      <c r="X631" s="9">
        <f t="shared" si="452"/>
        <v>40</v>
      </c>
      <c r="Y631" s="11">
        <f t="shared" si="437"/>
        <v>90</v>
      </c>
      <c r="Z631" s="69">
        <v>45398</v>
      </c>
    </row>
    <row r="632" spans="1:27" x14ac:dyDescent="0.15">
      <c r="A632" s="40" t="s">
        <v>412</v>
      </c>
      <c r="B632" s="20">
        <v>1</v>
      </c>
      <c r="C632" s="35">
        <v>1</v>
      </c>
      <c r="D632" s="21"/>
      <c r="E632" s="24"/>
      <c r="F632" s="25">
        <f t="shared" si="453"/>
        <v>2</v>
      </c>
      <c r="G632" s="20">
        <v>1</v>
      </c>
      <c r="H632" s="35">
        <v>1</v>
      </c>
      <c r="I632" s="21"/>
      <c r="J632" s="24"/>
      <c r="K632" s="25">
        <f t="shared" si="454"/>
        <v>2</v>
      </c>
      <c r="L632" s="11">
        <f t="shared" si="438"/>
        <v>4</v>
      </c>
      <c r="M632" s="69">
        <v>45376</v>
      </c>
      <c r="N632" s="40"/>
      <c r="O632" s="20"/>
      <c r="P632" s="35"/>
      <c r="Q632" s="21"/>
      <c r="R632" s="38"/>
      <c r="S632" s="9">
        <f t="shared" ref="S632:S641" si="455">SUM(O632:R632)</f>
        <v>0</v>
      </c>
      <c r="T632" s="20"/>
      <c r="U632" s="35"/>
      <c r="V632" s="21"/>
      <c r="W632" s="38"/>
      <c r="X632" s="9">
        <f t="shared" ref="X632:X641" si="456">SUM(T632:W632)</f>
        <v>0</v>
      </c>
      <c r="Y632" s="11">
        <f t="shared" si="437"/>
        <v>0</v>
      </c>
    </row>
    <row r="633" spans="1:27" x14ac:dyDescent="0.15">
      <c r="A633" s="59" t="s">
        <v>27</v>
      </c>
      <c r="B633" s="20"/>
      <c r="C633" s="35"/>
      <c r="D633" s="21">
        <v>1</v>
      </c>
      <c r="E633" s="24"/>
      <c r="F633" s="25">
        <f t="shared" si="453"/>
        <v>1</v>
      </c>
      <c r="G633" s="20">
        <v>1</v>
      </c>
      <c r="H633" s="35">
        <v>1</v>
      </c>
      <c r="I633" s="21">
        <v>2</v>
      </c>
      <c r="J633" s="24">
        <v>2</v>
      </c>
      <c r="K633" s="25">
        <f t="shared" si="454"/>
        <v>6</v>
      </c>
      <c r="L633" s="11">
        <f t="shared" si="438"/>
        <v>7</v>
      </c>
      <c r="M633" s="69">
        <v>45373</v>
      </c>
      <c r="N633" s="15"/>
      <c r="O633" s="20"/>
      <c r="P633" s="35"/>
      <c r="Q633" s="21"/>
      <c r="R633" s="38"/>
      <c r="S633" s="9">
        <f t="shared" si="455"/>
        <v>0</v>
      </c>
      <c r="T633" s="20"/>
      <c r="U633" s="35"/>
      <c r="V633" s="21"/>
      <c r="W633" s="38"/>
      <c r="X633" s="9">
        <f t="shared" si="456"/>
        <v>0</v>
      </c>
      <c r="Y633" s="11">
        <f t="shared" si="437"/>
        <v>0</v>
      </c>
    </row>
    <row r="634" spans="1:27" x14ac:dyDescent="0.15">
      <c r="A634" s="59" t="s">
        <v>413</v>
      </c>
      <c r="B634" s="20"/>
      <c r="C634" s="35"/>
      <c r="D634" s="21"/>
      <c r="E634" s="24"/>
      <c r="F634" s="25">
        <f t="shared" si="453"/>
        <v>0</v>
      </c>
      <c r="G634" s="20"/>
      <c r="H634" s="35">
        <v>2</v>
      </c>
      <c r="I634" s="21">
        <v>2</v>
      </c>
      <c r="J634" s="24">
        <v>2</v>
      </c>
      <c r="K634" s="25">
        <f t="shared" si="454"/>
        <v>6</v>
      </c>
      <c r="L634" s="11">
        <f t="shared" si="438"/>
        <v>6</v>
      </c>
      <c r="M634" s="69">
        <v>45376</v>
      </c>
      <c r="N634" s="40"/>
      <c r="O634" s="20"/>
      <c r="P634" s="35"/>
      <c r="Q634" s="21"/>
      <c r="R634" s="38"/>
      <c r="S634" s="9">
        <f t="shared" si="455"/>
        <v>0</v>
      </c>
      <c r="T634" s="20"/>
      <c r="U634" s="35"/>
      <c r="V634" s="21"/>
      <c r="W634" s="38"/>
      <c r="X634" s="9">
        <f t="shared" si="456"/>
        <v>0</v>
      </c>
      <c r="Y634" s="11">
        <f t="shared" si="437"/>
        <v>0</v>
      </c>
    </row>
    <row r="635" spans="1:27" x14ac:dyDescent="0.15">
      <c r="A635" s="40" t="s">
        <v>416</v>
      </c>
      <c r="B635" s="20"/>
      <c r="C635" s="35">
        <v>1</v>
      </c>
      <c r="D635" s="21"/>
      <c r="E635" s="24"/>
      <c r="F635" s="25">
        <f t="shared" si="453"/>
        <v>1</v>
      </c>
      <c r="G635" s="20"/>
      <c r="H635" s="35">
        <v>1</v>
      </c>
      <c r="I635" s="21"/>
      <c r="J635" s="24"/>
      <c r="K635" s="25">
        <f t="shared" si="454"/>
        <v>1</v>
      </c>
      <c r="L635" s="11">
        <f t="shared" si="438"/>
        <v>2</v>
      </c>
      <c r="M635" s="69">
        <v>45378</v>
      </c>
      <c r="N635" s="40"/>
      <c r="O635" s="48"/>
      <c r="P635" s="49"/>
      <c r="Q635" s="50"/>
      <c r="R635" s="72"/>
      <c r="S635" s="74">
        <f t="shared" si="455"/>
        <v>0</v>
      </c>
      <c r="T635" s="48"/>
      <c r="U635" s="49"/>
      <c r="V635" s="50"/>
      <c r="W635" s="72"/>
      <c r="X635" s="74">
        <f t="shared" si="456"/>
        <v>0</v>
      </c>
      <c r="Y635" s="11">
        <f t="shared" si="437"/>
        <v>0</v>
      </c>
    </row>
    <row r="636" spans="1:27" x14ac:dyDescent="0.15">
      <c r="A636" s="59" t="s">
        <v>27</v>
      </c>
      <c r="B636" s="20">
        <v>3</v>
      </c>
      <c r="C636" s="35">
        <v>2</v>
      </c>
      <c r="D636" s="21">
        <v>4</v>
      </c>
      <c r="E636" s="24">
        <v>1</v>
      </c>
      <c r="F636" s="25">
        <f t="shared" si="453"/>
        <v>10</v>
      </c>
      <c r="G636" s="20">
        <f>1+4</f>
        <v>5</v>
      </c>
      <c r="H636" s="35">
        <f>1+3</f>
        <v>4</v>
      </c>
      <c r="I636" s="21">
        <v>2</v>
      </c>
      <c r="J636" s="24">
        <v>2</v>
      </c>
      <c r="K636" s="25">
        <f t="shared" si="454"/>
        <v>13</v>
      </c>
      <c r="L636" s="11">
        <f t="shared" si="438"/>
        <v>23</v>
      </c>
      <c r="M636" s="69">
        <v>45376</v>
      </c>
      <c r="N636" s="12"/>
      <c r="O636" s="20"/>
      <c r="P636" s="35"/>
      <c r="Q636" s="21"/>
      <c r="R636" s="38"/>
      <c r="S636" s="9">
        <f t="shared" si="455"/>
        <v>0</v>
      </c>
      <c r="T636" s="20"/>
      <c r="U636" s="35"/>
      <c r="V636" s="21"/>
      <c r="W636" s="38"/>
      <c r="X636" s="9">
        <f t="shared" si="456"/>
        <v>0</v>
      </c>
      <c r="Y636" s="47">
        <f t="shared" si="437"/>
        <v>0</v>
      </c>
    </row>
    <row r="637" spans="1:27" x14ac:dyDescent="0.15">
      <c r="A637" s="12" t="s">
        <v>417</v>
      </c>
      <c r="B637" s="20">
        <v>5</v>
      </c>
      <c r="C637" s="35"/>
      <c r="D637" s="21"/>
      <c r="E637" s="24"/>
      <c r="F637" s="25">
        <f t="shared" si="453"/>
        <v>5</v>
      </c>
      <c r="G637" s="20">
        <v>5</v>
      </c>
      <c r="H637" s="35"/>
      <c r="I637" s="21"/>
      <c r="J637" s="24"/>
      <c r="K637" s="25">
        <f t="shared" si="454"/>
        <v>5</v>
      </c>
      <c r="L637" s="11">
        <f t="shared" si="438"/>
        <v>10</v>
      </c>
      <c r="M637" s="69">
        <v>45378</v>
      </c>
      <c r="N637" s="12"/>
      <c r="O637" s="20"/>
      <c r="P637" s="35"/>
      <c r="Q637" s="21"/>
      <c r="R637" s="38"/>
      <c r="S637" s="9">
        <f t="shared" si="455"/>
        <v>0</v>
      </c>
      <c r="T637" s="20"/>
      <c r="U637" s="35"/>
      <c r="V637" s="21"/>
      <c r="W637" s="38"/>
      <c r="X637" s="9">
        <f t="shared" si="456"/>
        <v>0</v>
      </c>
      <c r="Y637" s="47">
        <f t="shared" si="437"/>
        <v>0</v>
      </c>
    </row>
    <row r="638" spans="1:27" x14ac:dyDescent="0.15">
      <c r="A638" s="40" t="s">
        <v>419</v>
      </c>
      <c r="B638" s="20"/>
      <c r="C638" s="35"/>
      <c r="D638" s="21">
        <v>1</v>
      </c>
      <c r="E638" s="24"/>
      <c r="F638" s="25">
        <f t="shared" si="453"/>
        <v>1</v>
      </c>
      <c r="G638" s="20"/>
      <c r="H638" s="35"/>
      <c r="I638" s="21">
        <v>1</v>
      </c>
      <c r="J638" s="24"/>
      <c r="K638" s="25">
        <f t="shared" si="454"/>
        <v>1</v>
      </c>
      <c r="L638" s="11">
        <f t="shared" si="438"/>
        <v>2</v>
      </c>
      <c r="M638" s="69">
        <v>45379</v>
      </c>
      <c r="N638" s="12"/>
      <c r="O638" s="20"/>
      <c r="P638" s="35"/>
      <c r="Q638" s="21"/>
      <c r="R638" s="38"/>
      <c r="S638" s="9">
        <f t="shared" si="455"/>
        <v>0</v>
      </c>
      <c r="T638" s="20"/>
      <c r="U638" s="35"/>
      <c r="V638" s="21"/>
      <c r="W638" s="38"/>
      <c r="X638" s="9">
        <f t="shared" si="456"/>
        <v>0</v>
      </c>
      <c r="Y638" s="47">
        <f t="shared" si="437"/>
        <v>0</v>
      </c>
    </row>
    <row r="639" spans="1:27" x14ac:dyDescent="0.15">
      <c r="A639" s="59" t="s">
        <v>421</v>
      </c>
      <c r="B639" s="20"/>
      <c r="C639" s="35">
        <v>1</v>
      </c>
      <c r="D639" s="21"/>
      <c r="E639" s="24"/>
      <c r="F639" s="25">
        <f t="shared" si="453"/>
        <v>1</v>
      </c>
      <c r="G639" s="20"/>
      <c r="H639" s="35"/>
      <c r="I639" s="21"/>
      <c r="J639" s="24"/>
      <c r="K639" s="25">
        <f t="shared" si="454"/>
        <v>0</v>
      </c>
      <c r="L639" s="11">
        <f t="shared" si="438"/>
        <v>1</v>
      </c>
      <c r="M639" s="69">
        <v>45378</v>
      </c>
      <c r="N639" s="12"/>
      <c r="O639" s="20"/>
      <c r="P639" s="35"/>
      <c r="Q639" s="21"/>
      <c r="R639" s="38"/>
      <c r="S639" s="9">
        <f t="shared" si="455"/>
        <v>0</v>
      </c>
      <c r="T639" s="20"/>
      <c r="U639" s="35"/>
      <c r="V639" s="21"/>
      <c r="W639" s="38"/>
      <c r="X639" s="9">
        <f t="shared" si="456"/>
        <v>0</v>
      </c>
      <c r="Y639" s="47">
        <f t="shared" si="437"/>
        <v>0</v>
      </c>
    </row>
    <row r="640" spans="1:27" x14ac:dyDescent="0.15">
      <c r="A640" s="59" t="s">
        <v>27</v>
      </c>
      <c r="B640" s="20">
        <v>6</v>
      </c>
      <c r="C640" s="35">
        <f>1+3</f>
        <v>4</v>
      </c>
      <c r="D640" s="21">
        <v>1</v>
      </c>
      <c r="E640" s="24">
        <v>2</v>
      </c>
      <c r="F640" s="25">
        <f t="shared" si="453"/>
        <v>13</v>
      </c>
      <c r="G640" s="20">
        <v>4</v>
      </c>
      <c r="H640" s="35">
        <f>1+2</f>
        <v>3</v>
      </c>
      <c r="I640" s="21">
        <v>1</v>
      </c>
      <c r="J640" s="24">
        <v>4</v>
      </c>
      <c r="K640" s="25">
        <f t="shared" si="454"/>
        <v>12</v>
      </c>
      <c r="L640" s="11">
        <f t="shared" si="438"/>
        <v>25</v>
      </c>
      <c r="M640" s="69">
        <v>45377</v>
      </c>
      <c r="N640" s="12" t="s">
        <v>439</v>
      </c>
      <c r="O640" s="20"/>
      <c r="P640" s="35"/>
      <c r="Q640" s="21"/>
      <c r="R640" s="38"/>
      <c r="S640" s="9">
        <f t="shared" ref="S640" si="457">SUM(O640:R640)</f>
        <v>0</v>
      </c>
      <c r="T640" s="20"/>
      <c r="U640" s="35"/>
      <c r="V640" s="21"/>
      <c r="W640" s="38"/>
      <c r="X640" s="9">
        <f t="shared" ref="X640" si="458">SUM(T640:W640)</f>
        <v>0</v>
      </c>
      <c r="Y640" s="47">
        <f t="shared" ref="Y640" si="459">S640+X640</f>
        <v>0</v>
      </c>
      <c r="Z640" s="69">
        <v>45390</v>
      </c>
      <c r="AA640" s="41"/>
    </row>
    <row r="641" spans="1:26" x14ac:dyDescent="0.15">
      <c r="A641" s="59" t="s">
        <v>210</v>
      </c>
      <c r="B641" s="20">
        <v>3</v>
      </c>
      <c r="C641" s="35">
        <v>1</v>
      </c>
      <c r="D641" s="21">
        <v>2</v>
      </c>
      <c r="E641" s="24"/>
      <c r="F641" s="25">
        <f t="shared" si="453"/>
        <v>6</v>
      </c>
      <c r="G641" s="20">
        <v>6</v>
      </c>
      <c r="H641" s="35">
        <v>4</v>
      </c>
      <c r="I641" s="21">
        <v>5</v>
      </c>
      <c r="J641" s="24">
        <v>1</v>
      </c>
      <c r="K641" s="25">
        <f t="shared" si="454"/>
        <v>16</v>
      </c>
      <c r="L641" s="11">
        <f t="shared" si="438"/>
        <v>22</v>
      </c>
      <c r="M641" s="69">
        <v>45378</v>
      </c>
      <c r="N641" s="104" t="s">
        <v>420</v>
      </c>
      <c r="O641" s="154"/>
      <c r="P641" s="156"/>
      <c r="Q641" s="155"/>
      <c r="R641" s="159"/>
      <c r="S641" s="158">
        <f t="shared" si="455"/>
        <v>0</v>
      </c>
      <c r="T641" s="154"/>
      <c r="U641" s="156"/>
      <c r="V641" s="155"/>
      <c r="W641" s="159"/>
      <c r="X641" s="158">
        <f t="shared" si="456"/>
        <v>0</v>
      </c>
      <c r="Y641" s="160">
        <f t="shared" si="437"/>
        <v>0</v>
      </c>
      <c r="Z641" s="168"/>
    </row>
    <row r="642" spans="1:26" ht="14.25" thickBot="1" x14ac:dyDescent="0.2">
      <c r="A642" s="40" t="s">
        <v>422</v>
      </c>
      <c r="B642" s="43">
        <v>1</v>
      </c>
      <c r="C642" s="44"/>
      <c r="D642" s="45"/>
      <c r="E642" s="46"/>
      <c r="F642" s="25">
        <f t="shared" si="453"/>
        <v>1</v>
      </c>
      <c r="G642" s="43">
        <v>1</v>
      </c>
      <c r="H642" s="44"/>
      <c r="I642" s="45"/>
      <c r="J642" s="46"/>
      <c r="K642" s="25">
        <f t="shared" si="454"/>
        <v>1</v>
      </c>
      <c r="L642" s="14">
        <f t="shared" si="438"/>
        <v>2</v>
      </c>
      <c r="M642" s="69">
        <v>45380</v>
      </c>
      <c r="N642" s="105" t="s">
        <v>445</v>
      </c>
      <c r="O642" s="43"/>
      <c r="P642" s="44"/>
      <c r="Q642" s="45"/>
      <c r="R642" s="100"/>
      <c r="S642" s="10">
        <f>SUM(O642:R642)</f>
        <v>0</v>
      </c>
      <c r="T642" s="43"/>
      <c r="U642" s="44"/>
      <c r="V642" s="45"/>
      <c r="W642" s="100"/>
      <c r="X642" s="10">
        <f>SUM(T642:W642)</f>
        <v>0</v>
      </c>
      <c r="Y642" s="75">
        <f>S642+X642</f>
        <v>0</v>
      </c>
      <c r="Z642" s="162" t="s">
        <v>321</v>
      </c>
    </row>
    <row r="643" spans="1:26" ht="14.25" thickBot="1" x14ac:dyDescent="0.2">
      <c r="A643" s="16" t="s">
        <v>9</v>
      </c>
      <c r="B643" s="28">
        <f>SUM(B618:B642)</f>
        <v>40</v>
      </c>
      <c r="C643" s="36">
        <f>SUM(C618:C642)</f>
        <v>25</v>
      </c>
      <c r="D643" s="29">
        <f>SUM(D618:D642)</f>
        <v>27</v>
      </c>
      <c r="E643" s="30">
        <f>SUM(E618:E642)</f>
        <v>13</v>
      </c>
      <c r="F643" s="26">
        <f>SUM(B643:E643)</f>
        <v>105</v>
      </c>
      <c r="G643" s="28">
        <f>SUM(G618:G642)</f>
        <v>47</v>
      </c>
      <c r="H643" s="36">
        <f>SUM(H618:H642)</f>
        <v>32</v>
      </c>
      <c r="I643" s="29">
        <f>SUM(I618:I642)</f>
        <v>36</v>
      </c>
      <c r="J643" s="30">
        <f>SUM(J618:J642)</f>
        <v>17</v>
      </c>
      <c r="K643" s="26">
        <f>SUM(G643:J643)</f>
        <v>132</v>
      </c>
      <c r="L643" s="27">
        <f t="shared" si="438"/>
        <v>237</v>
      </c>
      <c r="N643" s="61" t="s">
        <v>9</v>
      </c>
      <c r="O643" s="28">
        <f>SUM(O618:O642)</f>
        <v>180</v>
      </c>
      <c r="P643" s="36">
        <f>SUM(P618:P642)</f>
        <v>198</v>
      </c>
      <c r="Q643" s="29">
        <f>SUM(Q618:Q642)</f>
        <v>126</v>
      </c>
      <c r="R643" s="30">
        <f>SUM(R618:R642)</f>
        <v>85</v>
      </c>
      <c r="S643" s="60">
        <f t="shared" ref="S643" si="460">SUM(O643:R643)</f>
        <v>589</v>
      </c>
      <c r="T643" s="28">
        <f>SUM(T618:T642)</f>
        <v>180</v>
      </c>
      <c r="U643" s="36">
        <f>SUM(U618:U642)</f>
        <v>204</v>
      </c>
      <c r="V643" s="29">
        <f>SUM(V618:V642)</f>
        <v>153</v>
      </c>
      <c r="W643" s="30">
        <f>SUM(W618:W642)</f>
        <v>85</v>
      </c>
      <c r="X643" s="60">
        <f t="shared" ref="X643" si="461">SUM(T643:W643)</f>
        <v>622</v>
      </c>
      <c r="Y643" s="63">
        <f t="shared" ref="Y643:Y644" si="462">S643+X643</f>
        <v>1211</v>
      </c>
    </row>
    <row r="644" spans="1:26" ht="14.25" thickBot="1" x14ac:dyDescent="0.2">
      <c r="A644" s="18" t="s">
        <v>10</v>
      </c>
      <c r="B644" s="31">
        <f t="shared" ref="B644:K644" si="463">B617-B643</f>
        <v>8</v>
      </c>
      <c r="C644" s="37">
        <f t="shared" si="463"/>
        <v>28</v>
      </c>
      <c r="D644" s="32">
        <f t="shared" si="463"/>
        <v>15</v>
      </c>
      <c r="E644" s="33">
        <f t="shared" si="463"/>
        <v>21</v>
      </c>
      <c r="F644" s="42">
        <f t="shared" si="463"/>
        <v>72</v>
      </c>
      <c r="G644" s="31">
        <f t="shared" si="463"/>
        <v>2</v>
      </c>
      <c r="H644" s="37">
        <f t="shared" si="463"/>
        <v>14</v>
      </c>
      <c r="I644" s="32">
        <f t="shared" si="463"/>
        <v>8</v>
      </c>
      <c r="J644" s="33">
        <f t="shared" si="463"/>
        <v>16</v>
      </c>
      <c r="K644" s="42">
        <f t="shared" si="463"/>
        <v>40</v>
      </c>
      <c r="L644" s="17">
        <f t="shared" si="438"/>
        <v>112</v>
      </c>
      <c r="N644" s="16" t="s">
        <v>10</v>
      </c>
      <c r="O644" s="31">
        <f t="shared" ref="O644:X644" si="464">O617-O643</f>
        <v>333</v>
      </c>
      <c r="P644" s="37">
        <f t="shared" si="464"/>
        <v>234</v>
      </c>
      <c r="Q644" s="32">
        <f t="shared" si="464"/>
        <v>378</v>
      </c>
      <c r="R644" s="33">
        <f t="shared" si="464"/>
        <v>379</v>
      </c>
      <c r="S644" s="42">
        <f t="shared" si="464"/>
        <v>1324</v>
      </c>
      <c r="T644" s="31">
        <f t="shared" si="464"/>
        <v>296</v>
      </c>
      <c r="U644" s="37">
        <f t="shared" si="464"/>
        <v>235</v>
      </c>
      <c r="V644" s="32">
        <f t="shared" si="464"/>
        <v>254</v>
      </c>
      <c r="W644" s="33">
        <f t="shared" si="464"/>
        <v>324</v>
      </c>
      <c r="X644" s="42">
        <f t="shared" si="464"/>
        <v>1109</v>
      </c>
      <c r="Y644" s="17">
        <f t="shared" si="462"/>
        <v>2433</v>
      </c>
    </row>
    <row r="645" spans="1:26" x14ac:dyDescent="0.15">
      <c r="O645" s="62">
        <f>O643+O605+O567+O529+O491+O453+O415+O377+O339+O301+O265</f>
        <v>1355</v>
      </c>
      <c r="P645" s="62">
        <f t="shared" ref="P645:Y645" si="465">P643+P605+P567+P529+P491+P453+P415+P377+P339+P301+P265</f>
        <v>1847</v>
      </c>
      <c r="Q645" s="62">
        <f t="shared" si="465"/>
        <v>1062</v>
      </c>
      <c r="R645" s="62">
        <f t="shared" si="465"/>
        <v>758</v>
      </c>
      <c r="S645" s="62">
        <f t="shared" si="465"/>
        <v>5022</v>
      </c>
      <c r="T645" s="62">
        <f t="shared" si="465"/>
        <v>1365</v>
      </c>
      <c r="U645" s="62">
        <f t="shared" si="465"/>
        <v>1877</v>
      </c>
      <c r="V645" s="62">
        <f t="shared" si="465"/>
        <v>1129</v>
      </c>
      <c r="W645" s="62">
        <f t="shared" si="465"/>
        <v>787</v>
      </c>
      <c r="X645" s="62">
        <f t="shared" si="465"/>
        <v>5158</v>
      </c>
      <c r="Y645" s="62">
        <f t="shared" si="465"/>
        <v>10180</v>
      </c>
    </row>
    <row r="646" spans="1:26" x14ac:dyDescent="0.15">
      <c r="O646" s="101">
        <f>O645/$S$645*100</f>
        <v>26.981282357626448</v>
      </c>
      <c r="P646" s="101">
        <f t="shared" ref="P646:S646" si="466">P645/$S$645*100</f>
        <v>36.778176025487852</v>
      </c>
      <c r="Q646" s="101">
        <f t="shared" si="466"/>
        <v>21.146953405017921</v>
      </c>
      <c r="R646" s="101">
        <f t="shared" si="466"/>
        <v>15.093588211867781</v>
      </c>
      <c r="S646" s="101">
        <f t="shared" si="466"/>
        <v>100</v>
      </c>
      <c r="T646" s="101">
        <f>T645/$X$645*100</f>
        <v>26.463745637844127</v>
      </c>
      <c r="U646" s="101">
        <f t="shared" ref="U646:X646" si="467">U645/$X$645*100</f>
        <v>36.390073671965879</v>
      </c>
      <c r="V646" s="101">
        <f t="shared" si="467"/>
        <v>21.88832880961613</v>
      </c>
      <c r="W646" s="101">
        <f t="shared" si="467"/>
        <v>15.257851880573867</v>
      </c>
      <c r="X646" s="101">
        <f t="shared" si="467"/>
        <v>100</v>
      </c>
    </row>
    <row r="647" spans="1:26" ht="19.5" thickBot="1" x14ac:dyDescent="0.25">
      <c r="A647" s="2" t="s">
        <v>17</v>
      </c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N647" s="2" t="s">
        <v>18</v>
      </c>
      <c r="O647" s="87"/>
      <c r="P647" s="87"/>
      <c r="Q647" s="87"/>
      <c r="R647" s="87"/>
      <c r="S647" s="87">
        <v>49.2</v>
      </c>
      <c r="T647" s="87"/>
      <c r="U647" s="87"/>
      <c r="V647" s="87"/>
      <c r="W647" s="87"/>
      <c r="X647" s="87">
        <v>50.8</v>
      </c>
      <c r="Y647" s="1"/>
    </row>
    <row r="648" spans="1:26" ht="14.25" thickBot="1" x14ac:dyDescent="0.2">
      <c r="A648" s="5" t="s">
        <v>0</v>
      </c>
      <c r="B648" s="244" t="s">
        <v>19</v>
      </c>
      <c r="C648" s="245"/>
      <c r="D648" s="245"/>
      <c r="E648" s="245"/>
      <c r="F648" s="246"/>
      <c r="G648" s="247" t="s">
        <v>20</v>
      </c>
      <c r="H648" s="248"/>
      <c r="I648" s="248"/>
      <c r="J648" s="248"/>
      <c r="K648" s="249"/>
      <c r="L648" s="250" t="s">
        <v>1</v>
      </c>
      <c r="N648" s="5" t="s">
        <v>0</v>
      </c>
      <c r="O648" s="244" t="s">
        <v>19</v>
      </c>
      <c r="P648" s="245"/>
      <c r="Q648" s="245"/>
      <c r="R648" s="245"/>
      <c r="S648" s="246"/>
      <c r="T648" s="247" t="s">
        <v>20</v>
      </c>
      <c r="U648" s="248"/>
      <c r="V648" s="248"/>
      <c r="W648" s="248"/>
      <c r="X648" s="249"/>
      <c r="Y648" s="250" t="s">
        <v>1</v>
      </c>
    </row>
    <row r="649" spans="1:26" ht="14.25" thickBot="1" x14ac:dyDescent="0.2">
      <c r="A649" s="5" t="s">
        <v>2</v>
      </c>
      <c r="B649" s="3" t="s">
        <v>11</v>
      </c>
      <c r="C649" s="34" t="s">
        <v>12</v>
      </c>
      <c r="D649" s="4" t="s">
        <v>13</v>
      </c>
      <c r="E649" s="19" t="s">
        <v>14</v>
      </c>
      <c r="F649" s="23" t="s">
        <v>3</v>
      </c>
      <c r="G649" s="3" t="s">
        <v>11</v>
      </c>
      <c r="H649" s="34" t="s">
        <v>12</v>
      </c>
      <c r="I649" s="4" t="s">
        <v>13</v>
      </c>
      <c r="J649" s="19" t="s">
        <v>14</v>
      </c>
      <c r="K649" s="23" t="s">
        <v>3</v>
      </c>
      <c r="L649" s="251"/>
      <c r="N649" s="5" t="s">
        <v>2</v>
      </c>
      <c r="O649" s="53" t="s">
        <v>11</v>
      </c>
      <c r="P649" s="54" t="s">
        <v>12</v>
      </c>
      <c r="Q649" s="55" t="s">
        <v>13</v>
      </c>
      <c r="R649" s="56" t="s">
        <v>14</v>
      </c>
      <c r="S649" s="23" t="s">
        <v>3</v>
      </c>
      <c r="T649" s="3" t="s">
        <v>11</v>
      </c>
      <c r="U649" s="34" t="s">
        <v>12</v>
      </c>
      <c r="V649" s="4" t="s">
        <v>13</v>
      </c>
      <c r="W649" s="19" t="s">
        <v>14</v>
      </c>
      <c r="X649" s="23" t="s">
        <v>3</v>
      </c>
      <c r="Y649" s="251"/>
    </row>
    <row r="650" spans="1:26" ht="14.25" thickBot="1" x14ac:dyDescent="0.2">
      <c r="A650" s="18" t="s">
        <v>15</v>
      </c>
      <c r="B650" s="31">
        <f>B644</f>
        <v>8</v>
      </c>
      <c r="C650" s="32">
        <f>C644</f>
        <v>28</v>
      </c>
      <c r="D650" s="32">
        <f>D644</f>
        <v>15</v>
      </c>
      <c r="E650" s="33">
        <f>E644</f>
        <v>21</v>
      </c>
      <c r="F650" s="86">
        <f>SUM(B650:E650)</f>
        <v>72</v>
      </c>
      <c r="G650" s="31">
        <f>G644</f>
        <v>2</v>
      </c>
      <c r="H650" s="32">
        <f>H644</f>
        <v>14</v>
      </c>
      <c r="I650" s="32">
        <f>I644</f>
        <v>8</v>
      </c>
      <c r="J650" s="33">
        <f>J644</f>
        <v>16</v>
      </c>
      <c r="K650" s="80">
        <f>SUM(G650:J650)</f>
        <v>40</v>
      </c>
      <c r="L650" s="17">
        <f>F650+K650</f>
        <v>112</v>
      </c>
      <c r="N650" s="18" t="s">
        <v>15</v>
      </c>
      <c r="O650" s="31">
        <f>O644</f>
        <v>333</v>
      </c>
      <c r="P650" s="32">
        <f>P644</f>
        <v>234</v>
      </c>
      <c r="Q650" s="32">
        <f>Q644</f>
        <v>378</v>
      </c>
      <c r="R650" s="33">
        <f>R644</f>
        <v>379</v>
      </c>
      <c r="S650" s="86">
        <f>SUM(O650:R650)</f>
        <v>1324</v>
      </c>
      <c r="T650" s="31">
        <f>T644</f>
        <v>296</v>
      </c>
      <c r="U650" s="32">
        <f>U644</f>
        <v>235</v>
      </c>
      <c r="V650" s="32">
        <f>V644</f>
        <v>254</v>
      </c>
      <c r="W650" s="33">
        <f>W644</f>
        <v>324</v>
      </c>
      <c r="X650" s="80">
        <f>SUM(T650:W650)</f>
        <v>1109</v>
      </c>
      <c r="Y650" s="17">
        <f t="shared" ref="Y650:Y677" si="468">S650+X650</f>
        <v>2433</v>
      </c>
    </row>
    <row r="651" spans="1:26" x14ac:dyDescent="0.15">
      <c r="A651" s="13" t="s">
        <v>4</v>
      </c>
      <c r="B651" s="20">
        <v>25</v>
      </c>
      <c r="C651" s="35">
        <v>10</v>
      </c>
      <c r="D651" s="21">
        <v>15</v>
      </c>
      <c r="E651" s="24">
        <v>10</v>
      </c>
      <c r="F651" s="25">
        <f t="shared" ref="F651:F653" si="469">SUM(B651:E651)</f>
        <v>60</v>
      </c>
      <c r="G651" s="20">
        <v>30</v>
      </c>
      <c r="H651" s="35">
        <v>15</v>
      </c>
      <c r="I651" s="21">
        <v>25</v>
      </c>
      <c r="J651" s="24">
        <v>15</v>
      </c>
      <c r="K651" s="25">
        <f t="shared" ref="K651:K653" si="470">SUM(G651:J651)</f>
        <v>85</v>
      </c>
      <c r="L651" s="11">
        <f t="shared" ref="L651:L653" si="471">F651+K651</f>
        <v>145</v>
      </c>
      <c r="M651" s="69">
        <v>45379</v>
      </c>
      <c r="N651" s="59" t="s">
        <v>296</v>
      </c>
      <c r="O651" s="48">
        <v>25</v>
      </c>
      <c r="P651" s="49">
        <v>31</v>
      </c>
      <c r="Q651" s="50">
        <v>19</v>
      </c>
      <c r="R651" s="51">
        <v>12</v>
      </c>
      <c r="S651" s="85">
        <f>SUM(O651:R651)</f>
        <v>87</v>
      </c>
      <c r="T651" s="48">
        <v>25</v>
      </c>
      <c r="U651" s="49">
        <v>31</v>
      </c>
      <c r="V651" s="50">
        <v>19</v>
      </c>
      <c r="W651" s="51">
        <v>12</v>
      </c>
      <c r="X651" s="74">
        <f>SUM(T651:W651)</f>
        <v>87</v>
      </c>
      <c r="Y651" s="11">
        <f t="shared" si="468"/>
        <v>174</v>
      </c>
      <c r="Z651" s="69">
        <v>45401</v>
      </c>
    </row>
    <row r="652" spans="1:26" x14ac:dyDescent="0.15">
      <c r="A652" s="13" t="s">
        <v>5</v>
      </c>
      <c r="B652" s="20">
        <v>10</v>
      </c>
      <c r="C652" s="35">
        <v>15</v>
      </c>
      <c r="D652" s="21">
        <v>10</v>
      </c>
      <c r="E652" s="24">
        <v>10</v>
      </c>
      <c r="F652" s="25">
        <f t="shared" si="469"/>
        <v>45</v>
      </c>
      <c r="G652" s="20">
        <v>10</v>
      </c>
      <c r="H652" s="35">
        <v>15</v>
      </c>
      <c r="I652" s="21">
        <v>10</v>
      </c>
      <c r="J652" s="24">
        <v>5</v>
      </c>
      <c r="K652" s="25">
        <f t="shared" si="470"/>
        <v>40</v>
      </c>
      <c r="L652" s="11">
        <f t="shared" si="471"/>
        <v>85</v>
      </c>
      <c r="M652" s="69">
        <v>45388</v>
      </c>
      <c r="N652" s="59" t="s">
        <v>4</v>
      </c>
      <c r="O652" s="48"/>
      <c r="P652" s="49"/>
      <c r="Q652" s="50"/>
      <c r="R652" s="51"/>
      <c r="S652" s="85">
        <f t="shared" ref="S652:S653" si="472">SUM(O652:R652)</f>
        <v>0</v>
      </c>
      <c r="T652" s="48"/>
      <c r="U652" s="49"/>
      <c r="V652" s="50"/>
      <c r="W652" s="51"/>
      <c r="X652" s="74">
        <f t="shared" ref="X652:X653" si="473">SUM(T652:W652)</f>
        <v>0</v>
      </c>
      <c r="Y652" s="11">
        <f t="shared" si="468"/>
        <v>0</v>
      </c>
      <c r="Z652" s="162"/>
    </row>
    <row r="653" spans="1:26" x14ac:dyDescent="0.15">
      <c r="A653" s="12" t="s">
        <v>438</v>
      </c>
      <c r="B653" s="20">
        <v>1</v>
      </c>
      <c r="C653" s="35"/>
      <c r="D653" s="21"/>
      <c r="E653" s="24"/>
      <c r="F653" s="25">
        <f t="shared" si="469"/>
        <v>1</v>
      </c>
      <c r="G653" s="20">
        <v>1</v>
      </c>
      <c r="H653" s="35"/>
      <c r="I653" s="21"/>
      <c r="J653" s="24"/>
      <c r="K653" s="25">
        <f t="shared" si="470"/>
        <v>1</v>
      </c>
      <c r="L653" s="47">
        <f t="shared" si="471"/>
        <v>2</v>
      </c>
      <c r="M653" s="71">
        <v>45388</v>
      </c>
      <c r="N653" s="59" t="s">
        <v>5</v>
      </c>
      <c r="O653" s="48"/>
      <c r="P653" s="49"/>
      <c r="Q653" s="50"/>
      <c r="R653" s="51"/>
      <c r="S653" s="85">
        <f t="shared" si="472"/>
        <v>0</v>
      </c>
      <c r="T653" s="48"/>
      <c r="U653" s="49"/>
      <c r="V653" s="50"/>
      <c r="W653" s="51"/>
      <c r="X653" s="74">
        <f t="shared" si="473"/>
        <v>0</v>
      </c>
      <c r="Y653" s="11">
        <f t="shared" si="468"/>
        <v>0</v>
      </c>
    </row>
    <row r="654" spans="1:26" ht="14.25" thickBot="1" x14ac:dyDescent="0.2">
      <c r="A654" s="13" t="s">
        <v>72</v>
      </c>
      <c r="B654" s="114"/>
      <c r="C654" s="115">
        <v>1</v>
      </c>
      <c r="D654" s="116"/>
      <c r="E654" s="118"/>
      <c r="F654" s="119">
        <f t="shared" ref="F654" si="474">SUM(B654:E654)</f>
        <v>1</v>
      </c>
      <c r="G654" s="114"/>
      <c r="H654" s="115">
        <v>1</v>
      </c>
      <c r="I654" s="116"/>
      <c r="J654" s="118"/>
      <c r="K654" s="119">
        <f t="shared" ref="K654" si="475">SUM(G654:J654)</f>
        <v>1</v>
      </c>
      <c r="L654" s="63">
        <f t="shared" ref="L654:L682" si="476">F654+K654</f>
        <v>2</v>
      </c>
      <c r="M654" s="71">
        <v>45391</v>
      </c>
      <c r="N654" s="13" t="s">
        <v>6</v>
      </c>
      <c r="O654" s="43"/>
      <c r="P654" s="44"/>
      <c r="Q654" s="45"/>
      <c r="R654" s="46"/>
      <c r="S654" s="58">
        <f>SUM(O654:R654)</f>
        <v>0</v>
      </c>
      <c r="T654" s="35"/>
      <c r="U654" s="35"/>
      <c r="V654" s="21"/>
      <c r="W654" s="38"/>
      <c r="X654" s="10">
        <f>SUM(T654:W654)</f>
        <v>0</v>
      </c>
      <c r="Y654" s="14">
        <f t="shared" si="468"/>
        <v>0</v>
      </c>
    </row>
    <row r="655" spans="1:26" ht="14.25" thickBot="1" x14ac:dyDescent="0.2">
      <c r="A655" s="18" t="s">
        <v>8</v>
      </c>
      <c r="B655" s="76">
        <f t="shared" ref="B655:K655" si="477">SUM(B650:B654)</f>
        <v>44</v>
      </c>
      <c r="C655" s="77">
        <f t="shared" si="477"/>
        <v>54</v>
      </c>
      <c r="D655" s="78">
        <f t="shared" si="477"/>
        <v>40</v>
      </c>
      <c r="E655" s="79">
        <f t="shared" si="477"/>
        <v>41</v>
      </c>
      <c r="F655" s="80">
        <f t="shared" si="477"/>
        <v>179</v>
      </c>
      <c r="G655" s="76">
        <f t="shared" si="477"/>
        <v>43</v>
      </c>
      <c r="H655" s="77">
        <f t="shared" si="477"/>
        <v>45</v>
      </c>
      <c r="I655" s="78">
        <f t="shared" si="477"/>
        <v>43</v>
      </c>
      <c r="J655" s="79">
        <f t="shared" si="477"/>
        <v>36</v>
      </c>
      <c r="K655" s="80">
        <f t="shared" si="477"/>
        <v>167</v>
      </c>
      <c r="L655" s="17">
        <f t="shared" si="476"/>
        <v>346</v>
      </c>
      <c r="N655" s="16" t="s">
        <v>8</v>
      </c>
      <c r="O655" s="31">
        <f t="shared" ref="O655:X655" si="478">SUM(O650:O654)</f>
        <v>358</v>
      </c>
      <c r="P655" s="37">
        <f t="shared" si="478"/>
        <v>265</v>
      </c>
      <c r="Q655" s="32">
        <f t="shared" si="478"/>
        <v>397</v>
      </c>
      <c r="R655" s="82">
        <f t="shared" si="478"/>
        <v>391</v>
      </c>
      <c r="S655" s="83">
        <f t="shared" si="478"/>
        <v>1411</v>
      </c>
      <c r="T655" s="31">
        <f t="shared" si="478"/>
        <v>321</v>
      </c>
      <c r="U655" s="37">
        <f t="shared" si="478"/>
        <v>266</v>
      </c>
      <c r="V655" s="32">
        <f t="shared" si="478"/>
        <v>273</v>
      </c>
      <c r="W655" s="82">
        <f t="shared" si="478"/>
        <v>336</v>
      </c>
      <c r="X655" s="83">
        <f t="shared" si="478"/>
        <v>1196</v>
      </c>
      <c r="Y655" s="39">
        <f t="shared" si="468"/>
        <v>2607</v>
      </c>
    </row>
    <row r="656" spans="1:26" x14ac:dyDescent="0.15">
      <c r="A656" s="59" t="s">
        <v>27</v>
      </c>
      <c r="B656" s="20">
        <v>1</v>
      </c>
      <c r="C656" s="35"/>
      <c r="D656" s="21">
        <v>1</v>
      </c>
      <c r="E656" s="24">
        <v>1</v>
      </c>
      <c r="F656" s="25">
        <f t="shared" ref="F656:F675" si="479">SUM(B656:E656)</f>
        <v>3</v>
      </c>
      <c r="G656" s="20">
        <v>1</v>
      </c>
      <c r="H656" s="35"/>
      <c r="I656" s="21">
        <v>1</v>
      </c>
      <c r="J656" s="24">
        <v>1</v>
      </c>
      <c r="K656" s="25">
        <f t="shared" ref="K656:K675" si="480">SUM(G656:J656)</f>
        <v>3</v>
      </c>
      <c r="L656" s="11">
        <f t="shared" ref="L656:L675" si="481">F656+K656</f>
        <v>6</v>
      </c>
      <c r="M656" s="71">
        <v>45378</v>
      </c>
      <c r="N656" s="12" t="s">
        <v>458</v>
      </c>
      <c r="O656" s="20"/>
      <c r="P656" s="35"/>
      <c r="Q656" s="21">
        <v>5</v>
      </c>
      <c r="R656" s="38"/>
      <c r="S656" s="9">
        <f t="shared" ref="S656:S659" si="482">SUM(O656:R656)</f>
        <v>5</v>
      </c>
      <c r="T656" s="20"/>
      <c r="U656" s="35"/>
      <c r="V656" s="21">
        <v>5</v>
      </c>
      <c r="W656" s="24"/>
      <c r="X656" s="25">
        <f t="shared" ref="X656:X659" si="483">SUM(T656:W656)</f>
        <v>5</v>
      </c>
      <c r="Y656" s="11">
        <f t="shared" ref="Y656:Y659" si="484">S656+X656</f>
        <v>10</v>
      </c>
      <c r="Z656" s="69">
        <v>45407</v>
      </c>
    </row>
    <row r="657" spans="1:26" x14ac:dyDescent="0.15">
      <c r="A657" s="59" t="s">
        <v>27</v>
      </c>
      <c r="B657" s="20"/>
      <c r="C657" s="35"/>
      <c r="D657" s="21"/>
      <c r="E657" s="24"/>
      <c r="F657" s="25">
        <f t="shared" si="479"/>
        <v>0</v>
      </c>
      <c r="G657" s="20"/>
      <c r="H657" s="35"/>
      <c r="I657" s="21">
        <v>2</v>
      </c>
      <c r="J657" s="24"/>
      <c r="K657" s="25">
        <f t="shared" si="480"/>
        <v>2</v>
      </c>
      <c r="L657" s="11">
        <f t="shared" si="481"/>
        <v>2</v>
      </c>
      <c r="M657" s="71">
        <v>45379</v>
      </c>
      <c r="N657" s="40" t="s">
        <v>447</v>
      </c>
      <c r="O657" s="20"/>
      <c r="P657" s="35"/>
      <c r="Q657" s="21"/>
      <c r="R657" s="38">
        <v>2</v>
      </c>
      <c r="S657" s="9">
        <f t="shared" si="482"/>
        <v>2</v>
      </c>
      <c r="T657" s="20"/>
      <c r="U657" s="35"/>
      <c r="V657" s="21"/>
      <c r="W657" s="24">
        <v>2</v>
      </c>
      <c r="X657" s="25">
        <f t="shared" si="483"/>
        <v>2</v>
      </c>
      <c r="Y657" s="11">
        <f t="shared" si="484"/>
        <v>4</v>
      </c>
      <c r="Z657" s="69">
        <v>45419</v>
      </c>
    </row>
    <row r="658" spans="1:26" x14ac:dyDescent="0.15">
      <c r="A658" s="59" t="s">
        <v>27</v>
      </c>
      <c r="B658" s="20"/>
      <c r="C658" s="35">
        <v>1</v>
      </c>
      <c r="D658" s="21"/>
      <c r="E658" s="24"/>
      <c r="F658" s="25">
        <f t="shared" si="479"/>
        <v>1</v>
      </c>
      <c r="G658" s="20"/>
      <c r="H658" s="35">
        <v>1</v>
      </c>
      <c r="I658" s="21"/>
      <c r="J658" s="24"/>
      <c r="K658" s="25">
        <f t="shared" si="480"/>
        <v>1</v>
      </c>
      <c r="L658" s="11">
        <f t="shared" si="481"/>
        <v>2</v>
      </c>
      <c r="M658" s="71">
        <v>45380</v>
      </c>
      <c r="N658" s="40"/>
      <c r="O658" s="20"/>
      <c r="P658" s="35"/>
      <c r="Q658" s="21"/>
      <c r="R658" s="38"/>
      <c r="S658" s="9">
        <f t="shared" si="482"/>
        <v>0</v>
      </c>
      <c r="T658" s="20"/>
      <c r="U658" s="35"/>
      <c r="V658" s="21"/>
      <c r="W658" s="24"/>
      <c r="X658" s="25">
        <f t="shared" si="483"/>
        <v>0</v>
      </c>
      <c r="Y658" s="11">
        <f t="shared" si="484"/>
        <v>0</v>
      </c>
      <c r="Z658" s="162"/>
    </row>
    <row r="659" spans="1:26" x14ac:dyDescent="0.15">
      <c r="A659" s="40" t="s">
        <v>424</v>
      </c>
      <c r="B659" s="20"/>
      <c r="C659" s="35">
        <v>1</v>
      </c>
      <c r="D659" s="21">
        <v>1</v>
      </c>
      <c r="E659" s="24">
        <v>1</v>
      </c>
      <c r="F659" s="25">
        <f t="shared" si="479"/>
        <v>3</v>
      </c>
      <c r="G659" s="20"/>
      <c r="H659" s="35">
        <v>1</v>
      </c>
      <c r="I659" s="21">
        <v>1</v>
      </c>
      <c r="J659" s="24">
        <v>1</v>
      </c>
      <c r="K659" s="25">
        <f t="shared" si="480"/>
        <v>3</v>
      </c>
      <c r="L659" s="11">
        <f t="shared" si="481"/>
        <v>6</v>
      </c>
      <c r="M659" s="69">
        <v>45385</v>
      </c>
      <c r="N659" s="40"/>
      <c r="O659" s="20"/>
      <c r="P659" s="35"/>
      <c r="Q659" s="21"/>
      <c r="R659" s="38"/>
      <c r="S659" s="9">
        <f t="shared" si="482"/>
        <v>0</v>
      </c>
      <c r="T659" s="20"/>
      <c r="U659" s="35"/>
      <c r="V659" s="21"/>
      <c r="W659" s="24"/>
      <c r="X659" s="25">
        <f t="shared" si="483"/>
        <v>0</v>
      </c>
      <c r="Y659" s="11">
        <f t="shared" si="484"/>
        <v>0</v>
      </c>
    </row>
    <row r="660" spans="1:26" x14ac:dyDescent="0.15">
      <c r="A660" s="59" t="s">
        <v>425</v>
      </c>
      <c r="B660" s="20">
        <v>1</v>
      </c>
      <c r="C660" s="35"/>
      <c r="D660" s="21"/>
      <c r="E660" s="24"/>
      <c r="F660" s="25">
        <f t="shared" si="479"/>
        <v>1</v>
      </c>
      <c r="G660" s="20">
        <v>1</v>
      </c>
      <c r="H660" s="35"/>
      <c r="I660" s="21"/>
      <c r="J660" s="24"/>
      <c r="K660" s="25">
        <f t="shared" si="480"/>
        <v>1</v>
      </c>
      <c r="L660" s="11">
        <f t="shared" si="481"/>
        <v>2</v>
      </c>
      <c r="M660" s="69">
        <v>45383</v>
      </c>
      <c r="N660" s="40"/>
      <c r="O660" s="20"/>
      <c r="P660" s="35"/>
      <c r="Q660" s="21"/>
      <c r="R660" s="38"/>
      <c r="S660" s="9">
        <f t="shared" ref="S660:S668" si="485">SUM(O660:R660)</f>
        <v>0</v>
      </c>
      <c r="T660" s="20"/>
      <c r="U660" s="35"/>
      <c r="V660" s="21"/>
      <c r="W660" s="24"/>
      <c r="X660" s="25">
        <f t="shared" ref="X660:X668" si="486">SUM(T660:W660)</f>
        <v>0</v>
      </c>
      <c r="Y660" s="11">
        <f t="shared" si="468"/>
        <v>0</v>
      </c>
    </row>
    <row r="661" spans="1:26" x14ac:dyDescent="0.15">
      <c r="A661" s="59" t="s">
        <v>27</v>
      </c>
      <c r="B661" s="20">
        <v>1</v>
      </c>
      <c r="C661" s="35">
        <v>1</v>
      </c>
      <c r="D661" s="21"/>
      <c r="E661" s="24">
        <v>2</v>
      </c>
      <c r="F661" s="25">
        <f t="shared" si="479"/>
        <v>4</v>
      </c>
      <c r="G661" s="20">
        <v>1</v>
      </c>
      <c r="H661" s="35"/>
      <c r="I661" s="21"/>
      <c r="J661" s="24">
        <v>1</v>
      </c>
      <c r="K661" s="25">
        <f t="shared" si="480"/>
        <v>2</v>
      </c>
      <c r="L661" s="11">
        <f t="shared" si="481"/>
        <v>6</v>
      </c>
      <c r="M661" s="69">
        <v>45383</v>
      </c>
      <c r="N661" s="40"/>
      <c r="O661" s="20"/>
      <c r="P661" s="35"/>
      <c r="Q661" s="21"/>
      <c r="R661" s="38"/>
      <c r="S661" s="9">
        <f t="shared" si="485"/>
        <v>0</v>
      </c>
      <c r="T661" s="20"/>
      <c r="U661" s="35"/>
      <c r="V661" s="21"/>
      <c r="W661" s="24"/>
      <c r="X661" s="25">
        <f t="shared" si="486"/>
        <v>0</v>
      </c>
      <c r="Y661" s="11">
        <f t="shared" si="468"/>
        <v>0</v>
      </c>
    </row>
    <row r="662" spans="1:26" x14ac:dyDescent="0.15">
      <c r="A662" s="12" t="s">
        <v>427</v>
      </c>
      <c r="B662" s="20"/>
      <c r="C662" s="35">
        <v>5</v>
      </c>
      <c r="D662" s="21"/>
      <c r="E662" s="24"/>
      <c r="F662" s="25">
        <f t="shared" si="479"/>
        <v>5</v>
      </c>
      <c r="G662" s="20"/>
      <c r="H662" s="35">
        <v>5</v>
      </c>
      <c r="I662" s="21"/>
      <c r="J662" s="24"/>
      <c r="K662" s="25">
        <f t="shared" si="480"/>
        <v>5</v>
      </c>
      <c r="L662" s="11">
        <f t="shared" si="481"/>
        <v>10</v>
      </c>
      <c r="M662" s="69">
        <v>45386</v>
      </c>
      <c r="N662" s="40"/>
      <c r="O662" s="20"/>
      <c r="P662" s="35"/>
      <c r="Q662" s="21"/>
      <c r="R662" s="38"/>
      <c r="S662" s="9">
        <f t="shared" si="485"/>
        <v>0</v>
      </c>
      <c r="T662" s="20"/>
      <c r="U662" s="35"/>
      <c r="V662" s="21"/>
      <c r="W662" s="24"/>
      <c r="X662" s="25">
        <f t="shared" si="486"/>
        <v>0</v>
      </c>
      <c r="Y662" s="11">
        <f t="shared" si="468"/>
        <v>0</v>
      </c>
    </row>
    <row r="663" spans="1:26" x14ac:dyDescent="0.15">
      <c r="A663" s="59" t="s">
        <v>27</v>
      </c>
      <c r="B663" s="20">
        <v>1</v>
      </c>
      <c r="C663" s="35"/>
      <c r="D663" s="21"/>
      <c r="E663" s="24"/>
      <c r="F663" s="25">
        <f t="shared" si="479"/>
        <v>1</v>
      </c>
      <c r="G663" s="20">
        <v>1</v>
      </c>
      <c r="H663" s="35">
        <v>4</v>
      </c>
      <c r="I663" s="21"/>
      <c r="J663" s="24"/>
      <c r="K663" s="25">
        <f t="shared" si="480"/>
        <v>5</v>
      </c>
      <c r="L663" s="11">
        <f t="shared" si="481"/>
        <v>6</v>
      </c>
      <c r="M663" s="71">
        <v>45384</v>
      </c>
      <c r="N663" s="40"/>
      <c r="O663" s="20"/>
      <c r="P663" s="35"/>
      <c r="Q663" s="21"/>
      <c r="R663" s="38"/>
      <c r="S663" s="9">
        <f t="shared" si="485"/>
        <v>0</v>
      </c>
      <c r="T663" s="20"/>
      <c r="U663" s="35"/>
      <c r="V663" s="21"/>
      <c r="W663" s="24"/>
      <c r="X663" s="25">
        <f t="shared" si="486"/>
        <v>0</v>
      </c>
      <c r="Y663" s="11">
        <f t="shared" si="468"/>
        <v>0</v>
      </c>
    </row>
    <row r="664" spans="1:26" x14ac:dyDescent="0.15">
      <c r="A664" s="40" t="s">
        <v>429</v>
      </c>
      <c r="B664" s="20"/>
      <c r="C664" s="35"/>
      <c r="D664" s="21">
        <v>1</v>
      </c>
      <c r="E664" s="24"/>
      <c r="F664" s="25">
        <f t="shared" si="479"/>
        <v>1</v>
      </c>
      <c r="G664" s="20"/>
      <c r="H664" s="35"/>
      <c r="I664" s="21">
        <v>1</v>
      </c>
      <c r="J664" s="24"/>
      <c r="K664" s="25">
        <f t="shared" si="480"/>
        <v>1</v>
      </c>
      <c r="L664" s="11">
        <f t="shared" si="481"/>
        <v>2</v>
      </c>
      <c r="M664" s="69">
        <v>45387</v>
      </c>
      <c r="N664" s="40"/>
      <c r="O664" s="20"/>
      <c r="P664" s="35"/>
      <c r="Q664" s="21"/>
      <c r="R664" s="38"/>
      <c r="S664" s="9">
        <f t="shared" si="485"/>
        <v>0</v>
      </c>
      <c r="T664" s="20"/>
      <c r="U664" s="35"/>
      <c r="V664" s="21"/>
      <c r="W664" s="24"/>
      <c r="X664" s="25">
        <f t="shared" si="486"/>
        <v>0</v>
      </c>
      <c r="Y664" s="11">
        <f t="shared" si="468"/>
        <v>0</v>
      </c>
    </row>
    <row r="665" spans="1:26" x14ac:dyDescent="0.15">
      <c r="A665" s="59" t="s">
        <v>27</v>
      </c>
      <c r="B665" s="20"/>
      <c r="C665" s="35"/>
      <c r="D665" s="21"/>
      <c r="E665" s="24">
        <v>1</v>
      </c>
      <c r="F665" s="25">
        <f t="shared" si="479"/>
        <v>1</v>
      </c>
      <c r="G665" s="20"/>
      <c r="H665" s="35"/>
      <c r="I665" s="21"/>
      <c r="J665" s="24">
        <v>1</v>
      </c>
      <c r="K665" s="25">
        <f t="shared" si="480"/>
        <v>1</v>
      </c>
      <c r="L665" s="11">
        <f t="shared" si="481"/>
        <v>2</v>
      </c>
      <c r="M665" s="69">
        <v>45385</v>
      </c>
      <c r="N665" s="40"/>
      <c r="O665" s="20"/>
      <c r="P665" s="35"/>
      <c r="Q665" s="21"/>
      <c r="R665" s="38"/>
      <c r="S665" s="9">
        <f t="shared" si="485"/>
        <v>0</v>
      </c>
      <c r="T665" s="20"/>
      <c r="U665" s="35"/>
      <c r="V665" s="21"/>
      <c r="W665" s="24"/>
      <c r="X665" s="25">
        <f t="shared" si="486"/>
        <v>0</v>
      </c>
      <c r="Y665" s="11">
        <f t="shared" si="468"/>
        <v>0</v>
      </c>
    </row>
    <row r="666" spans="1:26" x14ac:dyDescent="0.15">
      <c r="A666" s="59" t="s">
        <v>210</v>
      </c>
      <c r="B666" s="20">
        <v>5</v>
      </c>
      <c r="C666" s="35">
        <v>2</v>
      </c>
      <c r="D666" s="21"/>
      <c r="E666" s="24">
        <v>5</v>
      </c>
      <c r="F666" s="25">
        <f t="shared" si="479"/>
        <v>12</v>
      </c>
      <c r="G666" s="20">
        <v>5</v>
      </c>
      <c r="H666" s="35"/>
      <c r="I666" s="21"/>
      <c r="J666" s="24">
        <v>2</v>
      </c>
      <c r="K666" s="25">
        <f t="shared" si="480"/>
        <v>7</v>
      </c>
      <c r="L666" s="11">
        <f t="shared" si="481"/>
        <v>19</v>
      </c>
      <c r="M666" s="69">
        <v>45385</v>
      </c>
      <c r="N666" s="40"/>
      <c r="O666" s="20"/>
      <c r="P666" s="35"/>
      <c r="Q666" s="21"/>
      <c r="R666" s="38"/>
      <c r="S666" s="9">
        <f t="shared" si="485"/>
        <v>0</v>
      </c>
      <c r="T666" s="20"/>
      <c r="U666" s="35"/>
      <c r="V666" s="21"/>
      <c r="W666" s="24"/>
      <c r="X666" s="25">
        <f t="shared" si="486"/>
        <v>0</v>
      </c>
      <c r="Y666" s="11">
        <f t="shared" si="468"/>
        <v>0</v>
      </c>
    </row>
    <row r="667" spans="1:26" x14ac:dyDescent="0.15">
      <c r="A667" s="59" t="s">
        <v>27</v>
      </c>
      <c r="B667" s="20">
        <v>1</v>
      </c>
      <c r="C667" s="35">
        <v>1</v>
      </c>
      <c r="D667" s="21"/>
      <c r="E667" s="24"/>
      <c r="F667" s="25">
        <f t="shared" si="479"/>
        <v>2</v>
      </c>
      <c r="G667" s="20">
        <v>1</v>
      </c>
      <c r="H667" s="35"/>
      <c r="I667" s="21"/>
      <c r="J667" s="24"/>
      <c r="K667" s="25">
        <f t="shared" si="480"/>
        <v>1</v>
      </c>
      <c r="L667" s="11">
        <f t="shared" si="481"/>
        <v>3</v>
      </c>
      <c r="M667" s="71">
        <v>45386</v>
      </c>
      <c r="N667" s="40"/>
      <c r="O667" s="20"/>
      <c r="P667" s="35"/>
      <c r="Q667" s="21"/>
      <c r="R667" s="38"/>
      <c r="S667" s="9">
        <f t="shared" si="485"/>
        <v>0</v>
      </c>
      <c r="T667" s="20"/>
      <c r="U667" s="35"/>
      <c r="V667" s="21"/>
      <c r="W667" s="24"/>
      <c r="X667" s="25">
        <f t="shared" si="486"/>
        <v>0</v>
      </c>
      <c r="Y667" s="11">
        <f t="shared" si="468"/>
        <v>0</v>
      </c>
    </row>
    <row r="668" spans="1:26" x14ac:dyDescent="0.15">
      <c r="A668" s="12" t="s">
        <v>433</v>
      </c>
      <c r="B668" s="20"/>
      <c r="C668" s="35"/>
      <c r="D668" s="21">
        <v>5</v>
      </c>
      <c r="E668" s="24"/>
      <c r="F668" s="25">
        <f t="shared" si="479"/>
        <v>5</v>
      </c>
      <c r="G668" s="20"/>
      <c r="H668" s="35"/>
      <c r="I668" s="21">
        <v>5</v>
      </c>
      <c r="J668" s="24"/>
      <c r="K668" s="25">
        <f t="shared" si="480"/>
        <v>5</v>
      </c>
      <c r="L668" s="11">
        <f t="shared" si="481"/>
        <v>10</v>
      </c>
      <c r="M668" s="69">
        <v>45390</v>
      </c>
      <c r="N668" s="40"/>
      <c r="O668" s="20"/>
      <c r="P668" s="35"/>
      <c r="Q668" s="21"/>
      <c r="R668" s="38"/>
      <c r="S668" s="9">
        <f t="shared" si="485"/>
        <v>0</v>
      </c>
      <c r="T668" s="20"/>
      <c r="U668" s="35"/>
      <c r="V668" s="21"/>
      <c r="W668" s="24"/>
      <c r="X668" s="25">
        <f t="shared" si="486"/>
        <v>0</v>
      </c>
      <c r="Y668" s="11">
        <f t="shared" si="468"/>
        <v>0</v>
      </c>
    </row>
    <row r="669" spans="1:26" x14ac:dyDescent="0.15">
      <c r="A669" s="59" t="s">
        <v>27</v>
      </c>
      <c r="B669" s="20">
        <f>1+2</f>
        <v>3</v>
      </c>
      <c r="C669" s="35">
        <v>3</v>
      </c>
      <c r="D669" s="21">
        <f>1+2</f>
        <v>3</v>
      </c>
      <c r="E669" s="24">
        <v>1</v>
      </c>
      <c r="F669" s="25">
        <f t="shared" si="479"/>
        <v>10</v>
      </c>
      <c r="G669" s="20">
        <f>1+2</f>
        <v>3</v>
      </c>
      <c r="H669" s="35">
        <v>2</v>
      </c>
      <c r="I669" s="21">
        <v>2</v>
      </c>
      <c r="J669" s="24"/>
      <c r="K669" s="25">
        <f t="shared" si="480"/>
        <v>7</v>
      </c>
      <c r="L669" s="11">
        <f t="shared" si="481"/>
        <v>17</v>
      </c>
      <c r="M669" s="71">
        <v>45387</v>
      </c>
      <c r="N669" s="12"/>
      <c r="O669" s="20"/>
      <c r="P669" s="35"/>
      <c r="Q669" s="21"/>
      <c r="R669" s="38"/>
      <c r="S669" s="9">
        <f>SUM(O669:R669)</f>
        <v>0</v>
      </c>
      <c r="T669" s="20"/>
      <c r="U669" s="35"/>
      <c r="V669" s="21"/>
      <c r="W669" s="24"/>
      <c r="X669" s="25">
        <f>SUM(T669:W669)</f>
        <v>0</v>
      </c>
      <c r="Y669" s="11">
        <f t="shared" si="468"/>
        <v>0</v>
      </c>
    </row>
    <row r="670" spans="1:26" x14ac:dyDescent="0.15">
      <c r="A670" s="59" t="s">
        <v>436</v>
      </c>
      <c r="B670" s="20"/>
      <c r="C670" s="35">
        <v>1</v>
      </c>
      <c r="D670" s="21"/>
      <c r="E670" s="24"/>
      <c r="F670" s="25">
        <f t="shared" si="479"/>
        <v>1</v>
      </c>
      <c r="G670" s="20"/>
      <c r="H670" s="35"/>
      <c r="I670" s="21"/>
      <c r="J670" s="24"/>
      <c r="K670" s="25">
        <f t="shared" si="480"/>
        <v>0</v>
      </c>
      <c r="L670" s="11">
        <f t="shared" si="481"/>
        <v>1</v>
      </c>
      <c r="M670" s="69">
        <v>45391</v>
      </c>
      <c r="N670" s="40"/>
      <c r="O670" s="20"/>
      <c r="P670" s="35"/>
      <c r="Q670" s="21"/>
      <c r="R670" s="38"/>
      <c r="S670" s="9">
        <f t="shared" ref="S670:S677" si="487">SUM(O670:R670)</f>
        <v>0</v>
      </c>
      <c r="T670" s="20"/>
      <c r="U670" s="35"/>
      <c r="V670" s="21"/>
      <c r="W670" s="24"/>
      <c r="X670" s="25">
        <f t="shared" ref="X670:X677" si="488">SUM(T670:W670)</f>
        <v>0</v>
      </c>
      <c r="Y670" s="11">
        <f t="shared" si="468"/>
        <v>0</v>
      </c>
    </row>
    <row r="671" spans="1:26" x14ac:dyDescent="0.15">
      <c r="A671" s="59" t="s">
        <v>27</v>
      </c>
      <c r="B671" s="20">
        <v>5</v>
      </c>
      <c r="C671" s="35"/>
      <c r="D671" s="21"/>
      <c r="E671" s="24"/>
      <c r="F671" s="25">
        <f t="shared" si="479"/>
        <v>5</v>
      </c>
      <c r="G671" s="20">
        <v>5</v>
      </c>
      <c r="H671" s="35"/>
      <c r="I671" s="21">
        <v>1</v>
      </c>
      <c r="J671" s="24">
        <v>2</v>
      </c>
      <c r="K671" s="25">
        <f t="shared" si="480"/>
        <v>8</v>
      </c>
      <c r="L671" s="11">
        <f t="shared" si="481"/>
        <v>13</v>
      </c>
      <c r="M671" s="69">
        <v>45388</v>
      </c>
      <c r="N671" s="15"/>
      <c r="O671" s="20"/>
      <c r="P671" s="35"/>
      <c r="Q671" s="21"/>
      <c r="R671" s="38"/>
      <c r="S671" s="9">
        <f t="shared" si="487"/>
        <v>0</v>
      </c>
      <c r="T671" s="20"/>
      <c r="U671" s="35"/>
      <c r="V671" s="21"/>
      <c r="W671" s="24"/>
      <c r="X671" s="25">
        <f t="shared" si="488"/>
        <v>0</v>
      </c>
      <c r="Y671" s="11">
        <f t="shared" si="468"/>
        <v>0</v>
      </c>
    </row>
    <row r="672" spans="1:26" x14ac:dyDescent="0.15">
      <c r="A672" s="59" t="s">
        <v>27</v>
      </c>
      <c r="B672" s="20">
        <v>2</v>
      </c>
      <c r="C672" s="35">
        <v>2</v>
      </c>
      <c r="D672" s="21">
        <v>2</v>
      </c>
      <c r="E672" s="24">
        <v>2</v>
      </c>
      <c r="F672" s="25">
        <f t="shared" si="479"/>
        <v>8</v>
      </c>
      <c r="G672" s="20">
        <v>3</v>
      </c>
      <c r="H672" s="35">
        <v>3</v>
      </c>
      <c r="I672" s="21">
        <v>2</v>
      </c>
      <c r="J672" s="24">
        <v>2</v>
      </c>
      <c r="K672" s="25">
        <f t="shared" si="480"/>
        <v>10</v>
      </c>
      <c r="L672" s="11">
        <f t="shared" si="481"/>
        <v>18</v>
      </c>
      <c r="M672" s="71">
        <v>45390</v>
      </c>
      <c r="N672" s="40"/>
      <c r="O672" s="20"/>
      <c r="P672" s="35"/>
      <c r="Q672" s="21"/>
      <c r="R672" s="38"/>
      <c r="S672" s="9">
        <f t="shared" si="487"/>
        <v>0</v>
      </c>
      <c r="T672" s="20"/>
      <c r="U672" s="35"/>
      <c r="V672" s="21"/>
      <c r="W672" s="24"/>
      <c r="X672" s="25">
        <f t="shared" si="488"/>
        <v>0</v>
      </c>
      <c r="Y672" s="11">
        <f t="shared" si="468"/>
        <v>0</v>
      </c>
    </row>
    <row r="673" spans="1:26" x14ac:dyDescent="0.15">
      <c r="A673" s="59" t="s">
        <v>27</v>
      </c>
      <c r="B673" s="20">
        <v>2</v>
      </c>
      <c r="C673" s="35"/>
      <c r="D673" s="21">
        <v>1</v>
      </c>
      <c r="E673" s="24"/>
      <c r="F673" s="25">
        <f t="shared" si="479"/>
        <v>3</v>
      </c>
      <c r="G673" s="20"/>
      <c r="H673" s="35"/>
      <c r="I673" s="21">
        <v>1</v>
      </c>
      <c r="J673" s="24">
        <v>2</v>
      </c>
      <c r="K673" s="25">
        <f t="shared" si="480"/>
        <v>3</v>
      </c>
      <c r="L673" s="11">
        <f t="shared" si="481"/>
        <v>6</v>
      </c>
      <c r="M673" s="71">
        <v>45391</v>
      </c>
      <c r="N673" s="40"/>
      <c r="O673" s="48"/>
      <c r="P673" s="49"/>
      <c r="Q673" s="50"/>
      <c r="R673" s="72"/>
      <c r="S673" s="74">
        <f t="shared" si="487"/>
        <v>0</v>
      </c>
      <c r="T673" s="48"/>
      <c r="U673" s="49"/>
      <c r="V673" s="50"/>
      <c r="W673" s="51"/>
      <c r="X673" s="52">
        <f t="shared" si="488"/>
        <v>0</v>
      </c>
      <c r="Y673" s="11">
        <f t="shared" si="468"/>
        <v>0</v>
      </c>
    </row>
    <row r="674" spans="1:26" x14ac:dyDescent="0.15">
      <c r="A674" s="59" t="s">
        <v>27</v>
      </c>
      <c r="B674" s="20">
        <f>2+1</f>
        <v>3</v>
      </c>
      <c r="C674" s="35">
        <v>1</v>
      </c>
      <c r="D674" s="21"/>
      <c r="E674" s="24"/>
      <c r="F674" s="25">
        <f t="shared" si="479"/>
        <v>4</v>
      </c>
      <c r="G674" s="20">
        <v>1</v>
      </c>
      <c r="H674" s="35">
        <v>2</v>
      </c>
      <c r="I674" s="21"/>
      <c r="J674" s="24">
        <v>2</v>
      </c>
      <c r="K674" s="25">
        <f t="shared" si="480"/>
        <v>5</v>
      </c>
      <c r="L674" s="11">
        <f t="shared" si="481"/>
        <v>9</v>
      </c>
      <c r="M674" s="71">
        <v>45392</v>
      </c>
      <c r="N674" s="12"/>
      <c r="O674" s="20"/>
      <c r="P674" s="35"/>
      <c r="Q674" s="21"/>
      <c r="R674" s="38"/>
      <c r="S674" s="9">
        <f t="shared" si="487"/>
        <v>0</v>
      </c>
      <c r="T674" s="20"/>
      <c r="U674" s="35"/>
      <c r="V674" s="21"/>
      <c r="W674" s="24"/>
      <c r="X674" s="25">
        <f t="shared" si="488"/>
        <v>0</v>
      </c>
      <c r="Y674" s="47">
        <f t="shared" si="468"/>
        <v>0</v>
      </c>
    </row>
    <row r="675" spans="1:26" x14ac:dyDescent="0.15">
      <c r="A675" s="59" t="s">
        <v>421</v>
      </c>
      <c r="B675" s="20">
        <v>1</v>
      </c>
      <c r="C675" s="35"/>
      <c r="D675" s="21"/>
      <c r="E675" s="24"/>
      <c r="F675" s="25">
        <f t="shared" si="479"/>
        <v>1</v>
      </c>
      <c r="G675" s="20"/>
      <c r="H675" s="35"/>
      <c r="I675" s="21"/>
      <c r="J675" s="24"/>
      <c r="K675" s="25">
        <f t="shared" si="480"/>
        <v>0</v>
      </c>
      <c r="L675" s="11">
        <f t="shared" si="481"/>
        <v>1</v>
      </c>
      <c r="M675" s="69">
        <v>45393</v>
      </c>
      <c r="N675" s="12"/>
      <c r="O675" s="20"/>
      <c r="P675" s="35"/>
      <c r="Q675" s="21"/>
      <c r="R675" s="38"/>
      <c r="S675" s="9">
        <f t="shared" si="487"/>
        <v>0</v>
      </c>
      <c r="T675" s="20"/>
      <c r="U675" s="35"/>
      <c r="V675" s="21"/>
      <c r="W675" s="24"/>
      <c r="X675" s="25">
        <f t="shared" si="488"/>
        <v>0</v>
      </c>
      <c r="Y675" s="47">
        <f t="shared" si="468"/>
        <v>0</v>
      </c>
    </row>
    <row r="676" spans="1:26" x14ac:dyDescent="0.15">
      <c r="A676" s="59" t="s">
        <v>210</v>
      </c>
      <c r="B676" s="20">
        <v>2</v>
      </c>
      <c r="C676" s="35"/>
      <c r="D676" s="21"/>
      <c r="E676" s="24">
        <v>1</v>
      </c>
      <c r="F676" s="25">
        <f t="shared" ref="F676:F680" si="489">SUM(B676:E676)</f>
        <v>3</v>
      </c>
      <c r="G676" s="20"/>
      <c r="H676" s="35"/>
      <c r="I676" s="21"/>
      <c r="J676" s="24"/>
      <c r="K676" s="25">
        <f t="shared" ref="K676:K680" si="490">SUM(G676:J676)</f>
        <v>0</v>
      </c>
      <c r="L676" s="11">
        <f t="shared" si="476"/>
        <v>3</v>
      </c>
      <c r="M676" s="69">
        <v>45394</v>
      </c>
      <c r="N676" s="12"/>
      <c r="O676" s="20"/>
      <c r="P676" s="35"/>
      <c r="Q676" s="21"/>
      <c r="R676" s="38"/>
      <c r="S676" s="9">
        <f t="shared" si="487"/>
        <v>0</v>
      </c>
      <c r="T676" s="20"/>
      <c r="U676" s="35"/>
      <c r="V676" s="21"/>
      <c r="W676" s="24"/>
      <c r="X676" s="25">
        <f t="shared" si="488"/>
        <v>0</v>
      </c>
      <c r="Y676" s="47">
        <f t="shared" si="468"/>
        <v>0</v>
      </c>
    </row>
    <row r="677" spans="1:26" x14ac:dyDescent="0.15">
      <c r="A677" s="59" t="s">
        <v>27</v>
      </c>
      <c r="B677" s="20"/>
      <c r="C677" s="35"/>
      <c r="D677" s="21"/>
      <c r="E677" s="24">
        <v>2</v>
      </c>
      <c r="F677" s="25">
        <f t="shared" si="489"/>
        <v>2</v>
      </c>
      <c r="G677" s="20"/>
      <c r="H677" s="35"/>
      <c r="I677" s="21"/>
      <c r="J677" s="24"/>
      <c r="K677" s="25">
        <f t="shared" si="490"/>
        <v>0</v>
      </c>
      <c r="L677" s="11">
        <f t="shared" si="476"/>
        <v>2</v>
      </c>
      <c r="M677" s="71">
        <v>45393</v>
      </c>
      <c r="N677" s="12"/>
      <c r="O677" s="20"/>
      <c r="P677" s="35"/>
      <c r="Q677" s="21"/>
      <c r="R677" s="38"/>
      <c r="S677" s="9">
        <f t="shared" si="487"/>
        <v>0</v>
      </c>
      <c r="T677" s="20"/>
      <c r="U677" s="35"/>
      <c r="V677" s="21"/>
      <c r="W677" s="24"/>
      <c r="X677" s="25">
        <f t="shared" si="488"/>
        <v>0</v>
      </c>
      <c r="Y677" s="47">
        <f t="shared" si="468"/>
        <v>0</v>
      </c>
    </row>
    <row r="678" spans="1:26" x14ac:dyDescent="0.15">
      <c r="A678" s="59" t="s">
        <v>27</v>
      </c>
      <c r="B678" s="20">
        <v>10</v>
      </c>
      <c r="C678" s="35">
        <v>3</v>
      </c>
      <c r="D678" s="21">
        <v>1</v>
      </c>
      <c r="E678" s="24">
        <v>4</v>
      </c>
      <c r="F678" s="25">
        <f t="shared" si="489"/>
        <v>18</v>
      </c>
      <c r="G678" s="20">
        <v>6</v>
      </c>
      <c r="H678" s="35">
        <v>2</v>
      </c>
      <c r="I678" s="21">
        <v>1</v>
      </c>
      <c r="J678" s="24">
        <v>2</v>
      </c>
      <c r="K678" s="25">
        <f t="shared" si="490"/>
        <v>11</v>
      </c>
      <c r="L678" s="11">
        <f t="shared" si="476"/>
        <v>29</v>
      </c>
      <c r="M678" s="69">
        <v>45394</v>
      </c>
      <c r="N678" s="12"/>
      <c r="O678" s="20"/>
      <c r="P678" s="35"/>
      <c r="Q678" s="21"/>
      <c r="R678" s="38"/>
      <c r="S678" s="9">
        <f t="shared" ref="S678:S680" si="491">SUM(O678:R678)</f>
        <v>0</v>
      </c>
      <c r="T678" s="20"/>
      <c r="U678" s="35"/>
      <c r="V678" s="21"/>
      <c r="W678" s="24"/>
      <c r="X678" s="25">
        <f t="shared" ref="X678:X680" si="492">SUM(T678:W678)</f>
        <v>0</v>
      </c>
      <c r="Y678" s="47">
        <f t="shared" ref="Y678:Y680" si="493">S678+X678</f>
        <v>0</v>
      </c>
    </row>
    <row r="679" spans="1:26" x14ac:dyDescent="0.15">
      <c r="A679" s="59" t="s">
        <v>421</v>
      </c>
      <c r="B679" s="20">
        <v>3</v>
      </c>
      <c r="C679" s="35">
        <v>2</v>
      </c>
      <c r="D679" s="21">
        <v>2</v>
      </c>
      <c r="E679" s="24">
        <v>2</v>
      </c>
      <c r="F679" s="25">
        <f t="shared" si="489"/>
        <v>9</v>
      </c>
      <c r="G679" s="20">
        <v>3</v>
      </c>
      <c r="H679" s="35">
        <v>2</v>
      </c>
      <c r="I679" s="21">
        <v>2</v>
      </c>
      <c r="J679" s="24">
        <v>2</v>
      </c>
      <c r="K679" s="25">
        <f t="shared" si="490"/>
        <v>9</v>
      </c>
      <c r="L679" s="11">
        <f t="shared" si="476"/>
        <v>18</v>
      </c>
      <c r="M679" s="69">
        <v>45398</v>
      </c>
      <c r="N679" s="12"/>
      <c r="O679" s="20"/>
      <c r="P679" s="35"/>
      <c r="Q679" s="21"/>
      <c r="R679" s="38"/>
      <c r="S679" s="9">
        <f t="shared" si="491"/>
        <v>0</v>
      </c>
      <c r="T679" s="20"/>
      <c r="U679" s="35"/>
      <c r="V679" s="21"/>
      <c r="W679" s="24"/>
      <c r="X679" s="25">
        <f t="shared" si="492"/>
        <v>0</v>
      </c>
      <c r="Y679" s="47">
        <f t="shared" si="493"/>
        <v>0</v>
      </c>
    </row>
    <row r="680" spans="1:26" ht="14.25" thickBot="1" x14ac:dyDescent="0.2">
      <c r="A680" s="59" t="s">
        <v>240</v>
      </c>
      <c r="B680" s="43"/>
      <c r="C680" s="44">
        <v>4</v>
      </c>
      <c r="D680" s="45">
        <v>2</v>
      </c>
      <c r="E680" s="46">
        <v>2</v>
      </c>
      <c r="F680" s="25">
        <f t="shared" si="489"/>
        <v>8</v>
      </c>
      <c r="G680" s="43">
        <v>-1</v>
      </c>
      <c r="H680" s="44">
        <v>1</v>
      </c>
      <c r="I680" s="45">
        <v>-2</v>
      </c>
      <c r="J680" s="46">
        <v>4</v>
      </c>
      <c r="K680" s="25">
        <f t="shared" si="490"/>
        <v>2</v>
      </c>
      <c r="L680" s="14">
        <f t="shared" si="476"/>
        <v>10</v>
      </c>
      <c r="M680" s="71"/>
      <c r="N680" s="99" t="s">
        <v>431</v>
      </c>
      <c r="O680" s="43"/>
      <c r="P680" s="44"/>
      <c r="Q680" s="45"/>
      <c r="R680" s="100"/>
      <c r="S680" s="10">
        <f t="shared" si="491"/>
        <v>0</v>
      </c>
      <c r="T680" s="43"/>
      <c r="U680" s="44"/>
      <c r="V680" s="45"/>
      <c r="W680" s="100"/>
      <c r="X680" s="10">
        <f t="shared" si="492"/>
        <v>0</v>
      </c>
      <c r="Y680" s="75">
        <f t="shared" si="493"/>
        <v>0</v>
      </c>
      <c r="Z680" s="162" t="s">
        <v>432</v>
      </c>
    </row>
    <row r="681" spans="1:26" ht="14.25" thickBot="1" x14ac:dyDescent="0.2">
      <c r="A681" s="16" t="s">
        <v>9</v>
      </c>
      <c r="B681" s="28">
        <f>SUM(B656:B680)</f>
        <v>41</v>
      </c>
      <c r="C681" s="36">
        <f>SUM(C656:C680)</f>
        <v>27</v>
      </c>
      <c r="D681" s="29">
        <f>SUM(D656:D680)</f>
        <v>19</v>
      </c>
      <c r="E681" s="30">
        <f>SUM(E656:E680)</f>
        <v>24</v>
      </c>
      <c r="F681" s="26">
        <f>SUM(B681:E681)</f>
        <v>111</v>
      </c>
      <c r="G681" s="28">
        <f>SUM(G656:G680)</f>
        <v>30</v>
      </c>
      <c r="H681" s="36">
        <f>SUM(H656:H680)</f>
        <v>23</v>
      </c>
      <c r="I681" s="29">
        <f>SUM(I656:I680)</f>
        <v>17</v>
      </c>
      <c r="J681" s="30">
        <f>SUM(J656:J680)</f>
        <v>22</v>
      </c>
      <c r="K681" s="26">
        <f>SUM(G681:J681)</f>
        <v>92</v>
      </c>
      <c r="L681" s="27">
        <f t="shared" si="476"/>
        <v>203</v>
      </c>
      <c r="N681" s="61" t="s">
        <v>9</v>
      </c>
      <c r="O681" s="28">
        <f>SUM(O656:O680)</f>
        <v>0</v>
      </c>
      <c r="P681" s="36">
        <f>SUM(P656:P680)</f>
        <v>0</v>
      </c>
      <c r="Q681" s="29">
        <f>SUM(Q656:Q680)</f>
        <v>5</v>
      </c>
      <c r="R681" s="30">
        <f>SUM(R656:R680)</f>
        <v>2</v>
      </c>
      <c r="S681" s="60">
        <f t="shared" ref="S681" si="494">SUM(O681:R681)</f>
        <v>7</v>
      </c>
      <c r="T681" s="28">
        <f>SUM(T656:T680)</f>
        <v>0</v>
      </c>
      <c r="U681" s="36">
        <f>SUM(U656:U680)</f>
        <v>0</v>
      </c>
      <c r="V681" s="29">
        <f>SUM(V656:V680)</f>
        <v>5</v>
      </c>
      <c r="W681" s="30">
        <f>SUM(W656:W680)</f>
        <v>2</v>
      </c>
      <c r="X681" s="60">
        <f t="shared" ref="X681" si="495">SUM(T681:W681)</f>
        <v>7</v>
      </c>
      <c r="Y681" s="63">
        <f t="shared" ref="Y681:Y682" si="496">S681+X681</f>
        <v>14</v>
      </c>
    </row>
    <row r="682" spans="1:26" ht="14.25" thickBot="1" x14ac:dyDescent="0.2">
      <c r="A682" s="18" t="s">
        <v>10</v>
      </c>
      <c r="B682" s="31">
        <f t="shared" ref="B682:K682" si="497">B655-B681</f>
        <v>3</v>
      </c>
      <c r="C682" s="37">
        <f t="shared" si="497"/>
        <v>27</v>
      </c>
      <c r="D682" s="32">
        <f t="shared" si="497"/>
        <v>21</v>
      </c>
      <c r="E682" s="33">
        <f t="shared" si="497"/>
        <v>17</v>
      </c>
      <c r="F682" s="42">
        <f t="shared" si="497"/>
        <v>68</v>
      </c>
      <c r="G682" s="31">
        <f t="shared" si="497"/>
        <v>13</v>
      </c>
      <c r="H682" s="37">
        <f t="shared" si="497"/>
        <v>22</v>
      </c>
      <c r="I682" s="32">
        <f t="shared" si="497"/>
        <v>26</v>
      </c>
      <c r="J682" s="33">
        <f t="shared" si="497"/>
        <v>14</v>
      </c>
      <c r="K682" s="42">
        <f t="shared" si="497"/>
        <v>75</v>
      </c>
      <c r="L682" s="17">
        <f t="shared" si="476"/>
        <v>143</v>
      </c>
      <c r="N682" s="16" t="s">
        <v>10</v>
      </c>
      <c r="O682" s="31">
        <f t="shared" ref="O682:X682" si="498">O655-O681</f>
        <v>358</v>
      </c>
      <c r="P682" s="37">
        <f t="shared" si="498"/>
        <v>265</v>
      </c>
      <c r="Q682" s="32">
        <f t="shared" si="498"/>
        <v>392</v>
      </c>
      <c r="R682" s="33">
        <f t="shared" si="498"/>
        <v>389</v>
      </c>
      <c r="S682" s="42">
        <f t="shared" si="498"/>
        <v>1404</v>
      </c>
      <c r="T682" s="31">
        <f t="shared" si="498"/>
        <v>321</v>
      </c>
      <c r="U682" s="37">
        <f t="shared" si="498"/>
        <v>266</v>
      </c>
      <c r="V682" s="32">
        <f t="shared" si="498"/>
        <v>268</v>
      </c>
      <c r="W682" s="33">
        <f t="shared" si="498"/>
        <v>334</v>
      </c>
      <c r="X682" s="42">
        <f t="shared" si="498"/>
        <v>1189</v>
      </c>
      <c r="Y682" s="17">
        <f t="shared" si="496"/>
        <v>2593</v>
      </c>
    </row>
    <row r="685" spans="1:26" ht="19.5" thickBot="1" x14ac:dyDescent="0.25">
      <c r="A685" s="2" t="s">
        <v>17</v>
      </c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N685" s="2" t="s">
        <v>18</v>
      </c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1"/>
    </row>
    <row r="686" spans="1:26" ht="14.25" thickBot="1" x14ac:dyDescent="0.2">
      <c r="A686" s="5" t="s">
        <v>0</v>
      </c>
      <c r="B686" s="244" t="s">
        <v>19</v>
      </c>
      <c r="C686" s="245"/>
      <c r="D686" s="245"/>
      <c r="E686" s="245"/>
      <c r="F686" s="246"/>
      <c r="G686" s="247" t="s">
        <v>20</v>
      </c>
      <c r="H686" s="248"/>
      <c r="I686" s="248"/>
      <c r="J686" s="248"/>
      <c r="K686" s="249"/>
      <c r="L686" s="250" t="s">
        <v>1</v>
      </c>
      <c r="N686" s="5" t="s">
        <v>0</v>
      </c>
      <c r="O686" s="244" t="s">
        <v>19</v>
      </c>
      <c r="P686" s="245"/>
      <c r="Q686" s="245"/>
      <c r="R686" s="245"/>
      <c r="S686" s="246"/>
      <c r="T686" s="247" t="s">
        <v>20</v>
      </c>
      <c r="U686" s="248"/>
      <c r="V686" s="248"/>
      <c r="W686" s="248"/>
      <c r="X686" s="249"/>
      <c r="Y686" s="250" t="s">
        <v>1</v>
      </c>
    </row>
    <row r="687" spans="1:26" ht="14.25" thickBot="1" x14ac:dyDescent="0.2">
      <c r="A687" s="5" t="s">
        <v>2</v>
      </c>
      <c r="B687" s="3" t="s">
        <v>11</v>
      </c>
      <c r="C687" s="34" t="s">
        <v>12</v>
      </c>
      <c r="D687" s="4" t="s">
        <v>13</v>
      </c>
      <c r="E687" s="19" t="s">
        <v>14</v>
      </c>
      <c r="F687" s="23" t="s">
        <v>3</v>
      </c>
      <c r="G687" s="3" t="s">
        <v>11</v>
      </c>
      <c r="H687" s="34" t="s">
        <v>12</v>
      </c>
      <c r="I687" s="4" t="s">
        <v>13</v>
      </c>
      <c r="J687" s="19" t="s">
        <v>14</v>
      </c>
      <c r="K687" s="23" t="s">
        <v>3</v>
      </c>
      <c r="L687" s="251"/>
      <c r="N687" s="5" t="s">
        <v>2</v>
      </c>
      <c r="O687" s="53" t="s">
        <v>11</v>
      </c>
      <c r="P687" s="54" t="s">
        <v>12</v>
      </c>
      <c r="Q687" s="55" t="s">
        <v>13</v>
      </c>
      <c r="R687" s="56" t="s">
        <v>14</v>
      </c>
      <c r="S687" s="23" t="s">
        <v>3</v>
      </c>
      <c r="T687" s="3" t="s">
        <v>11</v>
      </c>
      <c r="U687" s="34" t="s">
        <v>12</v>
      </c>
      <c r="V687" s="4" t="s">
        <v>13</v>
      </c>
      <c r="W687" s="19" t="s">
        <v>14</v>
      </c>
      <c r="X687" s="23" t="s">
        <v>3</v>
      </c>
      <c r="Y687" s="251"/>
    </row>
    <row r="688" spans="1:26" ht="14.25" thickBot="1" x14ac:dyDescent="0.2">
      <c r="A688" s="18" t="s">
        <v>15</v>
      </c>
      <c r="B688" s="31">
        <f>B682</f>
        <v>3</v>
      </c>
      <c r="C688" s="32">
        <f>C682</f>
        <v>27</v>
      </c>
      <c r="D688" s="32">
        <f>D682</f>
        <v>21</v>
      </c>
      <c r="E688" s="33">
        <f>E682</f>
        <v>17</v>
      </c>
      <c r="F688" s="86">
        <f>SUM(B688:E688)</f>
        <v>68</v>
      </c>
      <c r="G688" s="31">
        <f>G682</f>
        <v>13</v>
      </c>
      <c r="H688" s="32">
        <f>H682</f>
        <v>22</v>
      </c>
      <c r="I688" s="32">
        <f>I682</f>
        <v>26</v>
      </c>
      <c r="J688" s="33">
        <f>J682</f>
        <v>14</v>
      </c>
      <c r="K688" s="80">
        <f>SUM(G688:J688)</f>
        <v>75</v>
      </c>
      <c r="L688" s="17">
        <f>F688+K688</f>
        <v>143</v>
      </c>
      <c r="N688" s="18" t="s">
        <v>15</v>
      </c>
      <c r="O688" s="31">
        <f>O682</f>
        <v>358</v>
      </c>
      <c r="P688" s="32">
        <f>P682</f>
        <v>265</v>
      </c>
      <c r="Q688" s="32">
        <f>Q682</f>
        <v>392</v>
      </c>
      <c r="R688" s="33">
        <f>R682</f>
        <v>389</v>
      </c>
      <c r="S688" s="86">
        <f>SUM(O688:R688)</f>
        <v>1404</v>
      </c>
      <c r="T688" s="31">
        <f>T682</f>
        <v>321</v>
      </c>
      <c r="U688" s="32">
        <f>U682</f>
        <v>266</v>
      </c>
      <c r="V688" s="32">
        <f>V682</f>
        <v>268</v>
      </c>
      <c r="W688" s="33">
        <f>W682</f>
        <v>334</v>
      </c>
      <c r="X688" s="80">
        <f>SUM(T688:W688)</f>
        <v>1189</v>
      </c>
      <c r="Y688" s="17">
        <f t="shared" ref="Y688:Y720" si="499">S688+X688</f>
        <v>2593</v>
      </c>
    </row>
    <row r="689" spans="1:27" x14ac:dyDescent="0.15">
      <c r="A689" s="13" t="s">
        <v>441</v>
      </c>
      <c r="B689" s="20">
        <v>1</v>
      </c>
      <c r="C689" s="35">
        <v>1</v>
      </c>
      <c r="D689" s="21">
        <f>2+1</f>
        <v>3</v>
      </c>
      <c r="E689" s="24">
        <f>4+1-1</f>
        <v>4</v>
      </c>
      <c r="F689" s="25">
        <f t="shared" ref="F689" si="500">SUM(B689:E689)</f>
        <v>9</v>
      </c>
      <c r="G689" s="20">
        <v>1</v>
      </c>
      <c r="H689" s="35">
        <f>1+1</f>
        <v>2</v>
      </c>
      <c r="I689" s="21">
        <f>1+1</f>
        <v>2</v>
      </c>
      <c r="J689" s="24">
        <f>1+1</f>
        <v>2</v>
      </c>
      <c r="K689" s="25">
        <f t="shared" ref="K689" si="501">SUM(G689:J689)</f>
        <v>7</v>
      </c>
      <c r="L689" s="11">
        <f t="shared" ref="L689" si="502">F689+K689</f>
        <v>16</v>
      </c>
      <c r="M689" s="69">
        <v>45400</v>
      </c>
      <c r="N689" s="59" t="s">
        <v>16</v>
      </c>
      <c r="O689" s="48"/>
      <c r="P689" s="49"/>
      <c r="Q689" s="50"/>
      <c r="R689" s="51"/>
      <c r="S689" s="85">
        <f>SUM(O689:R689)</f>
        <v>0</v>
      </c>
      <c r="T689" s="48"/>
      <c r="U689" s="49"/>
      <c r="V689" s="50"/>
      <c r="W689" s="51"/>
      <c r="X689" s="74">
        <f>SUM(T689:W689)</f>
        <v>0</v>
      </c>
      <c r="Y689" s="11">
        <f t="shared" si="499"/>
        <v>0</v>
      </c>
    </row>
    <row r="690" spans="1:27" x14ac:dyDescent="0.15">
      <c r="A690" s="13" t="s">
        <v>5</v>
      </c>
      <c r="B690" s="20">
        <v>30</v>
      </c>
      <c r="C690" s="35">
        <v>10</v>
      </c>
      <c r="D690" s="21">
        <v>5</v>
      </c>
      <c r="E690" s="24">
        <v>5</v>
      </c>
      <c r="F690" s="25">
        <f t="shared" ref="F690:F692" si="503">SUM(B690:E690)</f>
        <v>50</v>
      </c>
      <c r="G690" s="20">
        <v>20</v>
      </c>
      <c r="H690" s="35">
        <v>5</v>
      </c>
      <c r="I690" s="21">
        <v>5</v>
      </c>
      <c r="J690" s="24">
        <v>10</v>
      </c>
      <c r="K690" s="25">
        <f t="shared" ref="K690:K692" si="504">SUM(G690:J690)</f>
        <v>40</v>
      </c>
      <c r="L690" s="11">
        <f t="shared" ref="L690:L720" si="505">F690+K690</f>
        <v>90</v>
      </c>
      <c r="M690" s="69">
        <v>45398</v>
      </c>
      <c r="N690" s="59" t="s">
        <v>4</v>
      </c>
      <c r="O690" s="48"/>
      <c r="P690" s="49"/>
      <c r="Q690" s="50"/>
      <c r="R690" s="51"/>
      <c r="S690" s="85">
        <f t="shared" ref="S690:S691" si="506">SUM(O690:R690)</f>
        <v>0</v>
      </c>
      <c r="T690" s="48"/>
      <c r="U690" s="49"/>
      <c r="V690" s="50"/>
      <c r="W690" s="51"/>
      <c r="X690" s="74">
        <f t="shared" ref="X690:X691" si="507">SUM(T690:W690)</f>
        <v>0</v>
      </c>
      <c r="Y690" s="11">
        <f t="shared" si="499"/>
        <v>0</v>
      </c>
    </row>
    <row r="691" spans="1:27" x14ac:dyDescent="0.15">
      <c r="A691" s="13" t="s">
        <v>305</v>
      </c>
      <c r="B691" s="20"/>
      <c r="C691" s="35">
        <v>1</v>
      </c>
      <c r="D691" s="21"/>
      <c r="E691" s="24"/>
      <c r="F691" s="25">
        <f t="shared" si="503"/>
        <v>1</v>
      </c>
      <c r="G691" s="20"/>
      <c r="H691" s="35">
        <v>1</v>
      </c>
      <c r="I691" s="21"/>
      <c r="J691" s="24"/>
      <c r="K691" s="25">
        <f t="shared" si="504"/>
        <v>1</v>
      </c>
      <c r="L691" s="11">
        <f t="shared" si="505"/>
        <v>2</v>
      </c>
      <c r="M691" s="69">
        <v>45401</v>
      </c>
      <c r="N691" s="59" t="s">
        <v>5</v>
      </c>
      <c r="O691" s="48"/>
      <c r="P691" s="49"/>
      <c r="Q691" s="50"/>
      <c r="R691" s="51"/>
      <c r="S691" s="85">
        <f t="shared" si="506"/>
        <v>0</v>
      </c>
      <c r="T691" s="48"/>
      <c r="U691" s="49"/>
      <c r="V691" s="50"/>
      <c r="W691" s="51"/>
      <c r="X691" s="74">
        <f t="shared" si="507"/>
        <v>0</v>
      </c>
      <c r="Y691" s="11">
        <f t="shared" si="499"/>
        <v>0</v>
      </c>
    </row>
    <row r="692" spans="1:27" ht="14.25" thickBot="1" x14ac:dyDescent="0.2">
      <c r="A692" s="13" t="s">
        <v>7</v>
      </c>
      <c r="B692" s="48"/>
      <c r="C692" s="49"/>
      <c r="D692" s="50"/>
      <c r="E692" s="51"/>
      <c r="F692" s="52">
        <f t="shared" si="503"/>
        <v>0</v>
      </c>
      <c r="G692" s="48"/>
      <c r="H692" s="49">
        <v>10</v>
      </c>
      <c r="I692" s="50"/>
      <c r="J692" s="51"/>
      <c r="K692" s="52">
        <f t="shared" si="504"/>
        <v>10</v>
      </c>
      <c r="L692" s="11">
        <f t="shared" si="505"/>
        <v>10</v>
      </c>
      <c r="M692" s="69">
        <v>45420</v>
      </c>
      <c r="N692" s="13" t="s">
        <v>6</v>
      </c>
      <c r="O692" s="43"/>
      <c r="P692" s="44"/>
      <c r="Q692" s="45"/>
      <c r="R692" s="46"/>
      <c r="S692" s="58">
        <f>SUM(O692:R692)</f>
        <v>0</v>
      </c>
      <c r="T692" s="35"/>
      <c r="U692" s="35"/>
      <c r="V692" s="21"/>
      <c r="W692" s="38"/>
      <c r="X692" s="10">
        <f>SUM(T692:W692)</f>
        <v>0</v>
      </c>
      <c r="Y692" s="14">
        <f t="shared" si="499"/>
        <v>0</v>
      </c>
    </row>
    <row r="693" spans="1:27" ht="14.25" thickBot="1" x14ac:dyDescent="0.2">
      <c r="A693" s="18" t="s">
        <v>8</v>
      </c>
      <c r="B693" s="76">
        <f t="shared" ref="B693:K693" si="508">SUM(B688:B692)</f>
        <v>34</v>
      </c>
      <c r="C693" s="77">
        <f t="shared" si="508"/>
        <v>39</v>
      </c>
      <c r="D693" s="78">
        <f t="shared" si="508"/>
        <v>29</v>
      </c>
      <c r="E693" s="79">
        <f t="shared" si="508"/>
        <v>26</v>
      </c>
      <c r="F693" s="80">
        <f t="shared" si="508"/>
        <v>128</v>
      </c>
      <c r="G693" s="76">
        <f t="shared" si="508"/>
        <v>34</v>
      </c>
      <c r="H693" s="77">
        <f t="shared" si="508"/>
        <v>40</v>
      </c>
      <c r="I693" s="78">
        <f t="shared" si="508"/>
        <v>33</v>
      </c>
      <c r="J693" s="79">
        <f t="shared" si="508"/>
        <v>26</v>
      </c>
      <c r="K693" s="80">
        <f t="shared" si="508"/>
        <v>133</v>
      </c>
      <c r="L693" s="17">
        <f t="shared" si="505"/>
        <v>261</v>
      </c>
      <c r="N693" s="16" t="s">
        <v>8</v>
      </c>
      <c r="O693" s="31">
        <f t="shared" ref="O693:X693" si="509">SUM(O688:O692)</f>
        <v>358</v>
      </c>
      <c r="P693" s="37">
        <f t="shared" si="509"/>
        <v>265</v>
      </c>
      <c r="Q693" s="32">
        <f t="shared" si="509"/>
        <v>392</v>
      </c>
      <c r="R693" s="82">
        <f t="shared" si="509"/>
        <v>389</v>
      </c>
      <c r="S693" s="83">
        <f t="shared" si="509"/>
        <v>1404</v>
      </c>
      <c r="T693" s="31">
        <f t="shared" si="509"/>
        <v>321</v>
      </c>
      <c r="U693" s="37">
        <f t="shared" si="509"/>
        <v>266</v>
      </c>
      <c r="V693" s="32">
        <f t="shared" si="509"/>
        <v>268</v>
      </c>
      <c r="W693" s="82">
        <f t="shared" si="509"/>
        <v>334</v>
      </c>
      <c r="X693" s="83">
        <f t="shared" si="509"/>
        <v>1189</v>
      </c>
      <c r="Y693" s="39">
        <f t="shared" si="499"/>
        <v>2593</v>
      </c>
    </row>
    <row r="694" spans="1:27" x14ac:dyDescent="0.15">
      <c r="A694" s="59" t="s">
        <v>27</v>
      </c>
      <c r="B694" s="20"/>
      <c r="C694" s="35">
        <v>2</v>
      </c>
      <c r="D694" s="21">
        <v>2</v>
      </c>
      <c r="E694" s="24"/>
      <c r="F694" s="25">
        <f t="shared" ref="F694:F705" si="510">SUM(B694:E694)</f>
        <v>4</v>
      </c>
      <c r="G694" s="20"/>
      <c r="H694" s="35">
        <v>3</v>
      </c>
      <c r="I694" s="21">
        <v>3</v>
      </c>
      <c r="J694" s="24"/>
      <c r="K694" s="25">
        <f t="shared" ref="K694:K705" si="511">SUM(G694:J694)</f>
        <v>6</v>
      </c>
      <c r="L694" s="11">
        <f t="shared" ref="L694:L705" si="512">F694+K694</f>
        <v>10</v>
      </c>
      <c r="M694" s="71">
        <v>45398</v>
      </c>
      <c r="N694" s="40" t="s">
        <v>448</v>
      </c>
      <c r="O694" s="20"/>
      <c r="P694" s="35">
        <v>2</v>
      </c>
      <c r="Q694" s="21"/>
      <c r="R694" s="38">
        <v>1</v>
      </c>
      <c r="S694" s="9">
        <f t="shared" ref="S694:S706" si="513">SUM(O694:R694)</f>
        <v>3</v>
      </c>
      <c r="T694" s="20">
        <v>2</v>
      </c>
      <c r="U694" s="35"/>
      <c r="V694" s="21">
        <v>1</v>
      </c>
      <c r="W694" s="24">
        <v>1</v>
      </c>
      <c r="X694" s="25">
        <f t="shared" ref="X694:X706" si="514">SUM(T694:W694)</f>
        <v>4</v>
      </c>
      <c r="Y694" s="11">
        <f t="shared" si="499"/>
        <v>7</v>
      </c>
      <c r="Z694" s="69">
        <v>45415</v>
      </c>
    </row>
    <row r="695" spans="1:27" x14ac:dyDescent="0.15">
      <c r="A695" s="59" t="s">
        <v>27</v>
      </c>
      <c r="B695" s="20">
        <v>1</v>
      </c>
      <c r="C695" s="35"/>
      <c r="D695" s="21"/>
      <c r="E695" s="24"/>
      <c r="F695" s="25">
        <f t="shared" si="510"/>
        <v>1</v>
      </c>
      <c r="G695" s="20">
        <v>1</v>
      </c>
      <c r="H695" s="35">
        <v>1</v>
      </c>
      <c r="I695" s="21"/>
      <c r="J695" s="24"/>
      <c r="K695" s="25">
        <f t="shared" si="511"/>
        <v>2</v>
      </c>
      <c r="L695" s="11">
        <f t="shared" si="512"/>
        <v>3</v>
      </c>
      <c r="M695" s="71">
        <v>45399</v>
      </c>
      <c r="N695" s="40" t="s">
        <v>26</v>
      </c>
      <c r="O695" s="20"/>
      <c r="P695" s="35"/>
      <c r="Q695" s="21"/>
      <c r="R695" s="38"/>
      <c r="S695" s="9">
        <f t="shared" si="513"/>
        <v>0</v>
      </c>
      <c r="T695" s="20"/>
      <c r="U695" s="35">
        <v>10</v>
      </c>
      <c r="V695" s="21"/>
      <c r="W695" s="24"/>
      <c r="X695" s="25">
        <f t="shared" si="514"/>
        <v>10</v>
      </c>
      <c r="Y695" s="11">
        <f t="shared" si="499"/>
        <v>10</v>
      </c>
      <c r="Z695" s="69">
        <v>45420</v>
      </c>
      <c r="AA695" s="41"/>
    </row>
    <row r="696" spans="1:27" x14ac:dyDescent="0.15">
      <c r="A696" s="59" t="s">
        <v>210</v>
      </c>
      <c r="B696" s="20"/>
      <c r="C696" s="35"/>
      <c r="D696" s="21"/>
      <c r="E696" s="24">
        <v>2</v>
      </c>
      <c r="F696" s="25">
        <f t="shared" si="510"/>
        <v>2</v>
      </c>
      <c r="G696" s="20"/>
      <c r="H696" s="35"/>
      <c r="I696" s="21"/>
      <c r="J696" s="24">
        <v>2</v>
      </c>
      <c r="K696" s="25">
        <f t="shared" si="511"/>
        <v>2</v>
      </c>
      <c r="L696" s="11">
        <f t="shared" si="512"/>
        <v>4</v>
      </c>
      <c r="M696" s="69">
        <v>45402</v>
      </c>
      <c r="N696" s="12" t="s">
        <v>459</v>
      </c>
      <c r="O696" s="20"/>
      <c r="P696" s="35"/>
      <c r="Q696" s="21"/>
      <c r="R696" s="38"/>
      <c r="S696" s="9">
        <f t="shared" si="513"/>
        <v>0</v>
      </c>
      <c r="T696" s="20"/>
      <c r="U696" s="35"/>
      <c r="V696" s="21">
        <v>5</v>
      </c>
      <c r="W696" s="24"/>
      <c r="X696" s="25">
        <f t="shared" si="514"/>
        <v>5</v>
      </c>
      <c r="Y696" s="11">
        <f t="shared" si="499"/>
        <v>5</v>
      </c>
      <c r="Z696" s="69">
        <v>45427</v>
      </c>
    </row>
    <row r="697" spans="1:27" x14ac:dyDescent="0.15">
      <c r="A697" s="59" t="s">
        <v>27</v>
      </c>
      <c r="B697" s="20">
        <v>2</v>
      </c>
      <c r="C697" s="35"/>
      <c r="D697" s="21"/>
      <c r="E697" s="24"/>
      <c r="F697" s="25">
        <f t="shared" si="510"/>
        <v>2</v>
      </c>
      <c r="G697" s="20">
        <v>2</v>
      </c>
      <c r="H697" s="35"/>
      <c r="I697" s="21"/>
      <c r="J697" s="24"/>
      <c r="K697" s="25">
        <f t="shared" si="511"/>
        <v>2</v>
      </c>
      <c r="L697" s="11">
        <f t="shared" si="512"/>
        <v>4</v>
      </c>
      <c r="M697" s="71">
        <v>45402</v>
      </c>
      <c r="N697" s="40" t="s">
        <v>26</v>
      </c>
      <c r="O697" s="20"/>
      <c r="P697" s="35"/>
      <c r="Q697" s="21"/>
      <c r="R697" s="38"/>
      <c r="S697" s="9">
        <f t="shared" si="513"/>
        <v>0</v>
      </c>
      <c r="T697" s="20"/>
      <c r="U697" s="35"/>
      <c r="V697" s="21"/>
      <c r="W697" s="24">
        <v>10</v>
      </c>
      <c r="X697" s="25">
        <f t="shared" si="514"/>
        <v>10</v>
      </c>
      <c r="Y697" s="11">
        <f t="shared" si="499"/>
        <v>10</v>
      </c>
      <c r="Z697" s="69">
        <v>45422</v>
      </c>
    </row>
    <row r="698" spans="1:27" x14ac:dyDescent="0.15">
      <c r="A698" s="59" t="s">
        <v>446</v>
      </c>
      <c r="B698" s="20"/>
      <c r="C698" s="35"/>
      <c r="D698" s="21"/>
      <c r="E698" s="24"/>
      <c r="F698" s="25">
        <f t="shared" si="510"/>
        <v>0</v>
      </c>
      <c r="G698" s="20"/>
      <c r="H698" s="35"/>
      <c r="I698" s="21"/>
      <c r="J698" s="24">
        <v>5</v>
      </c>
      <c r="K698" s="25">
        <f t="shared" si="511"/>
        <v>5</v>
      </c>
      <c r="L698" s="11">
        <f t="shared" si="512"/>
        <v>5</v>
      </c>
      <c r="M698" s="71">
        <v>45404</v>
      </c>
      <c r="N698" s="40" t="s">
        <v>26</v>
      </c>
      <c r="O698" s="20">
        <v>15</v>
      </c>
      <c r="P698" s="35">
        <v>20</v>
      </c>
      <c r="Q698" s="21">
        <v>15</v>
      </c>
      <c r="R698" s="38">
        <v>15</v>
      </c>
      <c r="S698" s="9">
        <f t="shared" si="513"/>
        <v>65</v>
      </c>
      <c r="T698" s="20">
        <v>20</v>
      </c>
      <c r="U698" s="35">
        <v>20</v>
      </c>
      <c r="V698" s="21">
        <v>20</v>
      </c>
      <c r="W698" s="24">
        <v>15</v>
      </c>
      <c r="X698" s="25">
        <f t="shared" si="514"/>
        <v>75</v>
      </c>
      <c r="Y698" s="11">
        <f t="shared" si="499"/>
        <v>140</v>
      </c>
      <c r="Z698" s="69">
        <v>45423</v>
      </c>
      <c r="AA698" s="41"/>
    </row>
    <row r="699" spans="1:27" x14ac:dyDescent="0.15">
      <c r="A699" s="59" t="s">
        <v>210</v>
      </c>
      <c r="B699" s="20">
        <v>2</v>
      </c>
      <c r="C699" s="35">
        <v>2</v>
      </c>
      <c r="D699" s="21">
        <v>2</v>
      </c>
      <c r="E699" s="24">
        <v>2</v>
      </c>
      <c r="F699" s="25">
        <f t="shared" si="510"/>
        <v>8</v>
      </c>
      <c r="G699" s="20">
        <v>2</v>
      </c>
      <c r="H699" s="35">
        <v>2</v>
      </c>
      <c r="I699" s="21">
        <v>2</v>
      </c>
      <c r="J699" s="24">
        <v>2</v>
      </c>
      <c r="K699" s="25">
        <f t="shared" si="511"/>
        <v>8</v>
      </c>
      <c r="L699" s="11">
        <f t="shared" si="512"/>
        <v>16</v>
      </c>
      <c r="M699" s="69">
        <v>45405</v>
      </c>
      <c r="N699" s="12" t="s">
        <v>460</v>
      </c>
      <c r="O699" s="20"/>
      <c r="P699" s="35"/>
      <c r="Q699" s="21"/>
      <c r="R699" s="38"/>
      <c r="S699" s="9">
        <f t="shared" si="513"/>
        <v>0</v>
      </c>
      <c r="T699" s="20"/>
      <c r="U699" s="35">
        <v>10</v>
      </c>
      <c r="V699" s="21"/>
      <c r="W699" s="24">
        <v>5</v>
      </c>
      <c r="X699" s="25">
        <f t="shared" si="514"/>
        <v>15</v>
      </c>
      <c r="Y699" s="11">
        <f t="shared" si="499"/>
        <v>15</v>
      </c>
      <c r="Z699" s="69">
        <v>45433</v>
      </c>
      <c r="AA699" s="41"/>
    </row>
    <row r="700" spans="1:27" x14ac:dyDescent="0.15">
      <c r="A700" s="59" t="s">
        <v>27</v>
      </c>
      <c r="B700" s="20">
        <v>1</v>
      </c>
      <c r="C700" s="35">
        <v>2</v>
      </c>
      <c r="D700" s="21"/>
      <c r="E700" s="24"/>
      <c r="F700" s="25">
        <f t="shared" si="510"/>
        <v>3</v>
      </c>
      <c r="G700" s="20">
        <v>1</v>
      </c>
      <c r="H700" s="35"/>
      <c r="I700" s="21"/>
      <c r="J700" s="24">
        <v>2</v>
      </c>
      <c r="K700" s="25">
        <f t="shared" si="511"/>
        <v>3</v>
      </c>
      <c r="L700" s="11">
        <f t="shared" si="512"/>
        <v>6</v>
      </c>
      <c r="M700" s="69">
        <v>45404</v>
      </c>
      <c r="N700" s="12" t="s">
        <v>463</v>
      </c>
      <c r="O700" s="20">
        <v>5</v>
      </c>
      <c r="P700" s="35">
        <v>13</v>
      </c>
      <c r="Q700" s="21">
        <v>2</v>
      </c>
      <c r="R700" s="38">
        <v>2</v>
      </c>
      <c r="S700" s="9">
        <f t="shared" si="513"/>
        <v>22</v>
      </c>
      <c r="T700" s="20">
        <v>5</v>
      </c>
      <c r="U700" s="35">
        <v>13</v>
      </c>
      <c r="V700" s="21">
        <v>2</v>
      </c>
      <c r="W700" s="24">
        <v>2</v>
      </c>
      <c r="X700" s="25">
        <f t="shared" si="514"/>
        <v>22</v>
      </c>
      <c r="Y700" s="11">
        <f t="shared" si="499"/>
        <v>44</v>
      </c>
      <c r="Z700" s="69">
        <v>45432</v>
      </c>
    </row>
    <row r="701" spans="1:27" x14ac:dyDescent="0.15">
      <c r="A701" s="59" t="s">
        <v>133</v>
      </c>
      <c r="B701" s="20"/>
      <c r="C701" s="35"/>
      <c r="D701" s="21"/>
      <c r="E701" s="24"/>
      <c r="F701" s="25">
        <f t="shared" si="510"/>
        <v>0</v>
      </c>
      <c r="G701" s="20"/>
      <c r="H701" s="35">
        <v>2</v>
      </c>
      <c r="I701" s="21"/>
      <c r="J701" s="24"/>
      <c r="K701" s="25">
        <f t="shared" si="511"/>
        <v>2</v>
      </c>
      <c r="L701" s="11">
        <f t="shared" si="512"/>
        <v>2</v>
      </c>
      <c r="M701" s="69">
        <v>45404</v>
      </c>
      <c r="N701" s="40" t="s">
        <v>26</v>
      </c>
      <c r="O701" s="20">
        <v>5</v>
      </c>
      <c r="P701" s="35">
        <v>15</v>
      </c>
      <c r="Q701" s="21">
        <v>10</v>
      </c>
      <c r="R701" s="38">
        <v>5</v>
      </c>
      <c r="S701" s="9">
        <f t="shared" si="513"/>
        <v>35</v>
      </c>
      <c r="T701" s="20">
        <v>5</v>
      </c>
      <c r="U701" s="35">
        <v>10</v>
      </c>
      <c r="V701" s="21">
        <v>5</v>
      </c>
      <c r="W701" s="24">
        <v>10</v>
      </c>
      <c r="X701" s="25">
        <f t="shared" si="514"/>
        <v>30</v>
      </c>
      <c r="Y701" s="11">
        <f t="shared" si="499"/>
        <v>65</v>
      </c>
      <c r="Z701" s="69">
        <v>45437</v>
      </c>
    </row>
    <row r="702" spans="1:27" x14ac:dyDescent="0.15">
      <c r="A702" s="59" t="s">
        <v>345</v>
      </c>
      <c r="B702" s="20">
        <v>1</v>
      </c>
      <c r="C702" s="35"/>
      <c r="D702" s="21"/>
      <c r="E702" s="24"/>
      <c r="F702" s="25">
        <f t="shared" si="510"/>
        <v>1</v>
      </c>
      <c r="G702" s="20"/>
      <c r="H702" s="35"/>
      <c r="I702" s="21"/>
      <c r="J702" s="24"/>
      <c r="K702" s="25">
        <f t="shared" si="511"/>
        <v>0</v>
      </c>
      <c r="L702" s="11">
        <f t="shared" si="512"/>
        <v>1</v>
      </c>
      <c r="M702" s="69">
        <v>45405</v>
      </c>
      <c r="N702" s="40"/>
      <c r="O702" s="20"/>
      <c r="P702" s="35"/>
      <c r="Q702" s="21"/>
      <c r="R702" s="38"/>
      <c r="S702" s="9">
        <f t="shared" ref="S702:S704" si="515">SUM(O702:R702)</f>
        <v>0</v>
      </c>
      <c r="T702" s="20"/>
      <c r="U702" s="35"/>
      <c r="V702" s="21"/>
      <c r="W702" s="24"/>
      <c r="X702" s="25">
        <f t="shared" ref="X702:X704" si="516">SUM(T702:W702)</f>
        <v>0</v>
      </c>
      <c r="Y702" s="11">
        <f t="shared" ref="Y702:Y704" si="517">S702+X702</f>
        <v>0</v>
      </c>
      <c r="AA702" s="41"/>
    </row>
    <row r="703" spans="1:27" x14ac:dyDescent="0.15">
      <c r="A703" s="59" t="s">
        <v>210</v>
      </c>
      <c r="B703" s="20"/>
      <c r="C703" s="35">
        <v>3</v>
      </c>
      <c r="D703" s="21"/>
      <c r="E703" s="24"/>
      <c r="F703" s="25">
        <f t="shared" si="510"/>
        <v>3</v>
      </c>
      <c r="G703" s="20"/>
      <c r="H703" s="35"/>
      <c r="I703" s="21"/>
      <c r="J703" s="24"/>
      <c r="K703" s="25">
        <f t="shared" si="511"/>
        <v>0</v>
      </c>
      <c r="L703" s="11">
        <f t="shared" si="512"/>
        <v>3</v>
      </c>
      <c r="M703" s="69">
        <v>45409</v>
      </c>
      <c r="N703" s="40"/>
      <c r="O703" s="20"/>
      <c r="P703" s="35"/>
      <c r="Q703" s="21"/>
      <c r="R703" s="38"/>
      <c r="S703" s="9">
        <f t="shared" si="515"/>
        <v>0</v>
      </c>
      <c r="T703" s="20"/>
      <c r="U703" s="35"/>
      <c r="V703" s="21"/>
      <c r="W703" s="24"/>
      <c r="X703" s="25">
        <f t="shared" si="516"/>
        <v>0</v>
      </c>
      <c r="Y703" s="11">
        <f t="shared" si="517"/>
        <v>0</v>
      </c>
      <c r="AA703" s="41"/>
    </row>
    <row r="704" spans="1:27" x14ac:dyDescent="0.15">
      <c r="A704" s="59" t="s">
        <v>27</v>
      </c>
      <c r="B704" s="20">
        <v>5</v>
      </c>
      <c r="C704" s="35">
        <v>1</v>
      </c>
      <c r="D704" s="21">
        <v>3</v>
      </c>
      <c r="E704" s="24">
        <v>1</v>
      </c>
      <c r="F704" s="25">
        <f t="shared" si="510"/>
        <v>10</v>
      </c>
      <c r="G704" s="20">
        <v>7</v>
      </c>
      <c r="H704" s="35">
        <v>4</v>
      </c>
      <c r="I704" s="21">
        <v>3</v>
      </c>
      <c r="J704" s="24">
        <v>1</v>
      </c>
      <c r="K704" s="25">
        <f t="shared" si="511"/>
        <v>15</v>
      </c>
      <c r="L704" s="11">
        <f t="shared" si="512"/>
        <v>25</v>
      </c>
      <c r="M704" s="71">
        <v>45407</v>
      </c>
      <c r="N704" s="40"/>
      <c r="O704" s="20"/>
      <c r="P704" s="35"/>
      <c r="Q704" s="21"/>
      <c r="R704" s="38"/>
      <c r="S704" s="9">
        <f t="shared" si="515"/>
        <v>0</v>
      </c>
      <c r="T704" s="20"/>
      <c r="U704" s="35"/>
      <c r="V704" s="21"/>
      <c r="W704" s="24"/>
      <c r="X704" s="25">
        <f t="shared" si="516"/>
        <v>0</v>
      </c>
      <c r="Y704" s="11">
        <f t="shared" si="517"/>
        <v>0</v>
      </c>
    </row>
    <row r="705" spans="1:25" x14ac:dyDescent="0.15">
      <c r="A705" s="59" t="s">
        <v>27</v>
      </c>
      <c r="B705" s="20">
        <v>1</v>
      </c>
      <c r="C705" s="35">
        <v>2</v>
      </c>
      <c r="D705" s="21">
        <v>2</v>
      </c>
      <c r="E705" s="24"/>
      <c r="F705" s="25">
        <f t="shared" si="510"/>
        <v>5</v>
      </c>
      <c r="G705" s="20"/>
      <c r="H705" s="35">
        <v>2</v>
      </c>
      <c r="I705" s="21">
        <v>2</v>
      </c>
      <c r="J705" s="24"/>
      <c r="K705" s="25">
        <f t="shared" si="511"/>
        <v>4</v>
      </c>
      <c r="L705" s="11">
        <f t="shared" si="512"/>
        <v>9</v>
      </c>
      <c r="M705" s="71">
        <v>45408</v>
      </c>
      <c r="N705" s="40"/>
      <c r="O705" s="20"/>
      <c r="P705" s="35"/>
      <c r="Q705" s="21"/>
      <c r="R705" s="38"/>
      <c r="S705" s="9">
        <f t="shared" si="513"/>
        <v>0</v>
      </c>
      <c r="T705" s="20"/>
      <c r="U705" s="35"/>
      <c r="V705" s="21"/>
      <c r="W705" s="24"/>
      <c r="X705" s="25">
        <f t="shared" si="514"/>
        <v>0</v>
      </c>
      <c r="Y705" s="11">
        <f t="shared" si="499"/>
        <v>0</v>
      </c>
    </row>
    <row r="706" spans="1:25" x14ac:dyDescent="0.15">
      <c r="A706" s="59" t="s">
        <v>421</v>
      </c>
      <c r="B706" s="20"/>
      <c r="C706" s="35"/>
      <c r="D706" s="21"/>
      <c r="E706" s="24"/>
      <c r="F706" s="25">
        <f t="shared" ref="F706:F718" si="518">SUM(B706:E706)</f>
        <v>0</v>
      </c>
      <c r="G706" s="20"/>
      <c r="H706" s="35"/>
      <c r="I706" s="21"/>
      <c r="J706" s="24">
        <v>1</v>
      </c>
      <c r="K706" s="25">
        <f t="shared" ref="K706:K718" si="519">SUM(G706:J706)</f>
        <v>1</v>
      </c>
      <c r="L706" s="11">
        <f t="shared" si="505"/>
        <v>1</v>
      </c>
      <c r="M706" s="69">
        <v>45413</v>
      </c>
      <c r="N706" s="40"/>
      <c r="O706" s="20"/>
      <c r="P706" s="35"/>
      <c r="Q706" s="21"/>
      <c r="R706" s="38"/>
      <c r="S706" s="9">
        <f t="shared" si="513"/>
        <v>0</v>
      </c>
      <c r="T706" s="20"/>
      <c r="U706" s="35"/>
      <c r="V706" s="21"/>
      <c r="W706" s="24"/>
      <c r="X706" s="25">
        <f t="shared" si="514"/>
        <v>0</v>
      </c>
      <c r="Y706" s="11">
        <f t="shared" si="499"/>
        <v>0</v>
      </c>
    </row>
    <row r="707" spans="1:25" x14ac:dyDescent="0.15">
      <c r="A707" s="59" t="s">
        <v>210</v>
      </c>
      <c r="B707" s="20"/>
      <c r="C707" s="35"/>
      <c r="D707" s="21"/>
      <c r="E707" s="24">
        <v>3</v>
      </c>
      <c r="F707" s="25">
        <f t="shared" si="518"/>
        <v>3</v>
      </c>
      <c r="G707" s="20"/>
      <c r="H707" s="35"/>
      <c r="I707" s="21"/>
      <c r="J707" s="24">
        <v>3</v>
      </c>
      <c r="K707" s="25">
        <f t="shared" si="519"/>
        <v>3</v>
      </c>
      <c r="L707" s="11">
        <f t="shared" si="505"/>
        <v>6</v>
      </c>
      <c r="M707" s="69">
        <v>45413</v>
      </c>
      <c r="N707" s="12"/>
      <c r="O707" s="20"/>
      <c r="P707" s="35"/>
      <c r="Q707" s="21"/>
      <c r="R707" s="38"/>
      <c r="S707" s="9">
        <f>SUM(O707:R707)</f>
        <v>0</v>
      </c>
      <c r="T707" s="20"/>
      <c r="U707" s="35"/>
      <c r="V707" s="21"/>
      <c r="W707" s="24"/>
      <c r="X707" s="25">
        <f>SUM(T707:W707)</f>
        <v>0</v>
      </c>
      <c r="Y707" s="11">
        <f t="shared" si="499"/>
        <v>0</v>
      </c>
    </row>
    <row r="708" spans="1:25" x14ac:dyDescent="0.15">
      <c r="A708" s="59" t="s">
        <v>27</v>
      </c>
      <c r="B708" s="20">
        <v>3</v>
      </c>
      <c r="C708" s="35">
        <v>3</v>
      </c>
      <c r="D708" s="21"/>
      <c r="E708" s="24">
        <v>1</v>
      </c>
      <c r="F708" s="25">
        <f t="shared" si="518"/>
        <v>7</v>
      </c>
      <c r="G708" s="20">
        <v>3</v>
      </c>
      <c r="H708" s="35">
        <f>1+2</f>
        <v>3</v>
      </c>
      <c r="I708" s="21">
        <v>2</v>
      </c>
      <c r="J708" s="24">
        <v>1</v>
      </c>
      <c r="K708" s="25">
        <f t="shared" si="519"/>
        <v>9</v>
      </c>
      <c r="L708" s="11">
        <f t="shared" si="505"/>
        <v>16</v>
      </c>
      <c r="M708" s="71">
        <v>45412</v>
      </c>
      <c r="N708" s="40"/>
      <c r="O708" s="20"/>
      <c r="P708" s="35"/>
      <c r="Q708" s="21"/>
      <c r="R708" s="38"/>
      <c r="S708" s="9">
        <f t="shared" ref="S708:S719" si="520">SUM(O708:R708)</f>
        <v>0</v>
      </c>
      <c r="T708" s="20"/>
      <c r="U708" s="35"/>
      <c r="V708" s="21"/>
      <c r="W708" s="24"/>
      <c r="X708" s="25">
        <f t="shared" ref="X708:X719" si="521">SUM(T708:W708)</f>
        <v>0</v>
      </c>
      <c r="Y708" s="11">
        <f t="shared" si="499"/>
        <v>0</v>
      </c>
    </row>
    <row r="709" spans="1:25" x14ac:dyDescent="0.15">
      <c r="A709" s="59" t="s">
        <v>27</v>
      </c>
      <c r="B709" s="20"/>
      <c r="C709" s="35">
        <v>1</v>
      </c>
      <c r="D709" s="21">
        <v>1</v>
      </c>
      <c r="E709" s="24"/>
      <c r="F709" s="25">
        <f t="shared" si="518"/>
        <v>2</v>
      </c>
      <c r="G709" s="20"/>
      <c r="H709" s="35">
        <v>1</v>
      </c>
      <c r="I709" s="21">
        <v>1</v>
      </c>
      <c r="J709" s="24">
        <v>3</v>
      </c>
      <c r="K709" s="25">
        <f t="shared" si="519"/>
        <v>5</v>
      </c>
      <c r="L709" s="11">
        <f t="shared" si="505"/>
        <v>7</v>
      </c>
      <c r="M709" s="69">
        <v>45413</v>
      </c>
      <c r="N709" s="15"/>
      <c r="O709" s="20"/>
      <c r="P709" s="35"/>
      <c r="Q709" s="21"/>
      <c r="R709" s="38"/>
      <c r="S709" s="9">
        <f t="shared" si="520"/>
        <v>0</v>
      </c>
      <c r="T709" s="20"/>
      <c r="U709" s="35"/>
      <c r="V709" s="21"/>
      <c r="W709" s="24"/>
      <c r="X709" s="25">
        <f t="shared" si="521"/>
        <v>0</v>
      </c>
      <c r="Y709" s="11">
        <f t="shared" si="499"/>
        <v>0</v>
      </c>
    </row>
    <row r="710" spans="1:25" x14ac:dyDescent="0.15">
      <c r="A710" s="59" t="s">
        <v>27</v>
      </c>
      <c r="B710" s="20"/>
      <c r="C710" s="35"/>
      <c r="D710" s="21"/>
      <c r="E710" s="24"/>
      <c r="F710" s="25">
        <f t="shared" si="518"/>
        <v>0</v>
      </c>
      <c r="G710" s="20">
        <v>2</v>
      </c>
      <c r="H710" s="35"/>
      <c r="I710" s="21"/>
      <c r="J710" s="24"/>
      <c r="K710" s="25">
        <f t="shared" si="519"/>
        <v>2</v>
      </c>
      <c r="L710" s="11">
        <f t="shared" si="505"/>
        <v>2</v>
      </c>
      <c r="M710" s="69">
        <v>45414</v>
      </c>
      <c r="N710" s="40"/>
      <c r="O710" s="20"/>
      <c r="P710" s="35"/>
      <c r="Q710" s="21"/>
      <c r="R710" s="38"/>
      <c r="S710" s="9">
        <f t="shared" si="520"/>
        <v>0</v>
      </c>
      <c r="T710" s="20"/>
      <c r="U710" s="35"/>
      <c r="V710" s="21"/>
      <c r="W710" s="24"/>
      <c r="X710" s="25">
        <f t="shared" si="521"/>
        <v>0</v>
      </c>
      <c r="Y710" s="11">
        <f t="shared" si="499"/>
        <v>0</v>
      </c>
    </row>
    <row r="711" spans="1:25" x14ac:dyDescent="0.15">
      <c r="A711" s="40" t="s">
        <v>449</v>
      </c>
      <c r="B711" s="20"/>
      <c r="C711" s="35"/>
      <c r="D711" s="21">
        <v>1</v>
      </c>
      <c r="E711" s="24"/>
      <c r="F711" s="25">
        <f t="shared" si="518"/>
        <v>1</v>
      </c>
      <c r="G711" s="20"/>
      <c r="H711" s="35"/>
      <c r="I711" s="21">
        <v>1</v>
      </c>
      <c r="J711" s="24"/>
      <c r="K711" s="25">
        <f t="shared" si="519"/>
        <v>1</v>
      </c>
      <c r="L711" s="11">
        <f t="shared" si="505"/>
        <v>2</v>
      </c>
      <c r="M711" s="69">
        <v>45421</v>
      </c>
      <c r="N711" s="40"/>
      <c r="O711" s="48"/>
      <c r="P711" s="49"/>
      <c r="Q711" s="50"/>
      <c r="R711" s="72"/>
      <c r="S711" s="74">
        <f t="shared" si="520"/>
        <v>0</v>
      </c>
      <c r="T711" s="48"/>
      <c r="U711" s="49"/>
      <c r="V711" s="50"/>
      <c r="W711" s="51"/>
      <c r="X711" s="52">
        <f t="shared" si="521"/>
        <v>0</v>
      </c>
      <c r="Y711" s="11">
        <f t="shared" si="499"/>
        <v>0</v>
      </c>
    </row>
    <row r="712" spans="1:25" x14ac:dyDescent="0.15">
      <c r="A712" s="59" t="s">
        <v>27</v>
      </c>
      <c r="B712" s="20">
        <v>1</v>
      </c>
      <c r="C712" s="35">
        <v>1</v>
      </c>
      <c r="D712" s="21">
        <v>2</v>
      </c>
      <c r="E712" s="24">
        <v>1</v>
      </c>
      <c r="F712" s="25">
        <f t="shared" si="518"/>
        <v>5</v>
      </c>
      <c r="G712" s="20">
        <v>3</v>
      </c>
      <c r="H712" s="35">
        <f>2+5</f>
        <v>7</v>
      </c>
      <c r="I712" s="21">
        <v>4</v>
      </c>
      <c r="J712" s="24"/>
      <c r="K712" s="25">
        <f t="shared" si="519"/>
        <v>14</v>
      </c>
      <c r="L712" s="11">
        <f t="shared" si="505"/>
        <v>19</v>
      </c>
      <c r="M712" s="71">
        <v>45419</v>
      </c>
      <c r="N712" s="12"/>
      <c r="O712" s="20"/>
      <c r="P712" s="35"/>
      <c r="Q712" s="21"/>
      <c r="R712" s="38"/>
      <c r="S712" s="9">
        <f t="shared" si="520"/>
        <v>0</v>
      </c>
      <c r="T712" s="20"/>
      <c r="U712" s="35"/>
      <c r="V712" s="21"/>
      <c r="W712" s="24"/>
      <c r="X712" s="25">
        <f t="shared" si="521"/>
        <v>0</v>
      </c>
      <c r="Y712" s="47">
        <f t="shared" si="499"/>
        <v>0</v>
      </c>
    </row>
    <row r="713" spans="1:25" x14ac:dyDescent="0.15">
      <c r="A713" s="59" t="s">
        <v>27</v>
      </c>
      <c r="B713" s="20"/>
      <c r="C713" s="35">
        <v>1</v>
      </c>
      <c r="D713" s="21">
        <v>1</v>
      </c>
      <c r="E713" s="24">
        <v>1</v>
      </c>
      <c r="F713" s="25">
        <f t="shared" si="518"/>
        <v>3</v>
      </c>
      <c r="G713" s="20"/>
      <c r="H713" s="35">
        <v>1</v>
      </c>
      <c r="I713" s="21">
        <v>1</v>
      </c>
      <c r="J713" s="24">
        <v>1</v>
      </c>
      <c r="K713" s="25">
        <f t="shared" si="519"/>
        <v>3</v>
      </c>
      <c r="L713" s="11">
        <f t="shared" si="505"/>
        <v>6</v>
      </c>
      <c r="M713" s="71">
        <v>45420</v>
      </c>
      <c r="N713" s="12"/>
      <c r="O713" s="20"/>
      <c r="P713" s="35"/>
      <c r="Q713" s="21"/>
      <c r="R713" s="38"/>
      <c r="S713" s="9">
        <f t="shared" si="520"/>
        <v>0</v>
      </c>
      <c r="T713" s="20"/>
      <c r="U713" s="35"/>
      <c r="V713" s="21"/>
      <c r="W713" s="24"/>
      <c r="X713" s="25">
        <f t="shared" si="521"/>
        <v>0</v>
      </c>
      <c r="Y713" s="47">
        <f t="shared" si="499"/>
        <v>0</v>
      </c>
    </row>
    <row r="714" spans="1:25" x14ac:dyDescent="0.15">
      <c r="A714" s="59" t="s">
        <v>450</v>
      </c>
      <c r="B714" s="20"/>
      <c r="C714" s="35"/>
      <c r="D714" s="21"/>
      <c r="E714" s="24">
        <v>-1</v>
      </c>
      <c r="F714" s="25">
        <f t="shared" si="518"/>
        <v>-1</v>
      </c>
      <c r="G714" s="20"/>
      <c r="H714" s="35"/>
      <c r="I714" s="21"/>
      <c r="J714" s="24">
        <v>-1</v>
      </c>
      <c r="K714" s="25">
        <f t="shared" si="519"/>
        <v>-1</v>
      </c>
      <c r="L714" s="11">
        <f t="shared" si="505"/>
        <v>-2</v>
      </c>
      <c r="M714" s="71">
        <v>45420</v>
      </c>
      <c r="N714" s="12"/>
      <c r="O714" s="20"/>
      <c r="P714" s="35"/>
      <c r="Q714" s="21"/>
      <c r="R714" s="38"/>
      <c r="S714" s="9">
        <f t="shared" ref="S714:S718" si="522">SUM(O714:R714)</f>
        <v>0</v>
      </c>
      <c r="T714" s="20"/>
      <c r="U714" s="35"/>
      <c r="V714" s="21"/>
      <c r="W714" s="24"/>
      <c r="X714" s="25">
        <f t="shared" ref="X714:X718" si="523">SUM(T714:W714)</f>
        <v>0</v>
      </c>
      <c r="Y714" s="47">
        <f t="shared" ref="Y714:Y718" si="524">S714+X714</f>
        <v>0</v>
      </c>
    </row>
    <row r="715" spans="1:25" x14ac:dyDescent="0.15">
      <c r="A715" s="59" t="s">
        <v>451</v>
      </c>
      <c r="B715" s="20">
        <v>-1</v>
      </c>
      <c r="C715" s="35"/>
      <c r="D715" s="21">
        <v>-2</v>
      </c>
      <c r="E715" s="24">
        <v>-1</v>
      </c>
      <c r="F715" s="25">
        <f t="shared" si="518"/>
        <v>-4</v>
      </c>
      <c r="G715" s="20">
        <v>-1</v>
      </c>
      <c r="H715" s="35"/>
      <c r="I715" s="21">
        <v>-2</v>
      </c>
      <c r="J715" s="24">
        <v>-1</v>
      </c>
      <c r="K715" s="25">
        <f t="shared" si="519"/>
        <v>-4</v>
      </c>
      <c r="L715" s="11">
        <f t="shared" si="505"/>
        <v>-8</v>
      </c>
      <c r="M715" s="71">
        <v>45420</v>
      </c>
      <c r="N715" s="12"/>
      <c r="O715" s="20"/>
      <c r="P715" s="35"/>
      <c r="Q715" s="21"/>
      <c r="R715" s="38"/>
      <c r="S715" s="9">
        <f t="shared" si="522"/>
        <v>0</v>
      </c>
      <c r="T715" s="20"/>
      <c r="U715" s="35"/>
      <c r="V715" s="21"/>
      <c r="W715" s="24"/>
      <c r="X715" s="25">
        <f t="shared" si="523"/>
        <v>0</v>
      </c>
      <c r="Y715" s="47">
        <f t="shared" si="524"/>
        <v>0</v>
      </c>
    </row>
    <row r="716" spans="1:25" x14ac:dyDescent="0.15">
      <c r="A716" s="59" t="s">
        <v>210</v>
      </c>
      <c r="B716" s="20"/>
      <c r="C716" s="35">
        <v>1</v>
      </c>
      <c r="D716" s="21"/>
      <c r="E716" s="24">
        <v>2</v>
      </c>
      <c r="F716" s="25">
        <f t="shared" si="518"/>
        <v>3</v>
      </c>
      <c r="G716" s="20"/>
      <c r="H716" s="35"/>
      <c r="I716" s="21"/>
      <c r="J716" s="24">
        <v>2</v>
      </c>
      <c r="K716" s="25">
        <f t="shared" si="519"/>
        <v>2</v>
      </c>
      <c r="L716" s="11">
        <f t="shared" si="505"/>
        <v>5</v>
      </c>
      <c r="M716" s="69">
        <v>45421</v>
      </c>
      <c r="N716" s="12"/>
      <c r="O716" s="20"/>
      <c r="P716" s="35"/>
      <c r="Q716" s="21"/>
      <c r="R716" s="38"/>
      <c r="S716" s="9">
        <f t="shared" si="522"/>
        <v>0</v>
      </c>
      <c r="T716" s="20"/>
      <c r="U716" s="35"/>
      <c r="V716" s="21"/>
      <c r="W716" s="24"/>
      <c r="X716" s="25">
        <f t="shared" si="523"/>
        <v>0</v>
      </c>
      <c r="Y716" s="47">
        <f t="shared" si="524"/>
        <v>0</v>
      </c>
    </row>
    <row r="717" spans="1:25" x14ac:dyDescent="0.15">
      <c r="A717" s="59" t="s">
        <v>452</v>
      </c>
      <c r="B717" s="20"/>
      <c r="C717" s="35"/>
      <c r="D717" s="21"/>
      <c r="E717" s="24"/>
      <c r="F717" s="25">
        <f t="shared" si="518"/>
        <v>0</v>
      </c>
      <c r="G717" s="20"/>
      <c r="H717" s="35"/>
      <c r="I717" s="21"/>
      <c r="J717" s="24">
        <v>-10</v>
      </c>
      <c r="K717" s="25">
        <f t="shared" si="519"/>
        <v>-10</v>
      </c>
      <c r="L717" s="11">
        <f t="shared" si="505"/>
        <v>-10</v>
      </c>
      <c r="M717" s="69">
        <v>45422</v>
      </c>
      <c r="N717" s="12"/>
      <c r="O717" s="20"/>
      <c r="P717" s="35"/>
      <c r="Q717" s="21"/>
      <c r="R717" s="38"/>
      <c r="S717" s="9">
        <f t="shared" si="522"/>
        <v>0</v>
      </c>
      <c r="T717" s="20"/>
      <c r="U717" s="35"/>
      <c r="V717" s="21"/>
      <c r="W717" s="24"/>
      <c r="X717" s="25">
        <f t="shared" si="523"/>
        <v>0</v>
      </c>
      <c r="Y717" s="47">
        <f t="shared" si="524"/>
        <v>0</v>
      </c>
    </row>
    <row r="718" spans="1:25" ht="14.25" thickBot="1" x14ac:dyDescent="0.2">
      <c r="A718" s="59" t="s">
        <v>27</v>
      </c>
      <c r="B718" s="43"/>
      <c r="C718" s="44">
        <v>1</v>
      </c>
      <c r="D718" s="45">
        <v>2</v>
      </c>
      <c r="E718" s="46"/>
      <c r="F718" s="25">
        <f t="shared" si="518"/>
        <v>3</v>
      </c>
      <c r="G718" s="43">
        <v>2</v>
      </c>
      <c r="H718" s="44">
        <v>1</v>
      </c>
      <c r="I718" s="45">
        <v>2</v>
      </c>
      <c r="J718" s="46">
        <v>2</v>
      </c>
      <c r="K718" s="25">
        <f t="shared" si="519"/>
        <v>7</v>
      </c>
      <c r="L718" s="14">
        <f t="shared" si="505"/>
        <v>10</v>
      </c>
      <c r="M718" s="71">
        <v>45422</v>
      </c>
      <c r="N718" s="99"/>
      <c r="O718" s="43"/>
      <c r="P718" s="44"/>
      <c r="Q718" s="45"/>
      <c r="R718" s="100"/>
      <c r="S718" s="10">
        <f t="shared" si="522"/>
        <v>0</v>
      </c>
      <c r="T718" s="43"/>
      <c r="U718" s="44"/>
      <c r="V718" s="45"/>
      <c r="W718" s="46"/>
      <c r="X718" s="106">
        <f t="shared" si="523"/>
        <v>0</v>
      </c>
      <c r="Y718" s="75">
        <f t="shared" si="524"/>
        <v>0</v>
      </c>
    </row>
    <row r="719" spans="1:25" ht="14.25" thickBot="1" x14ac:dyDescent="0.2">
      <c r="A719" s="16" t="s">
        <v>9</v>
      </c>
      <c r="B719" s="28">
        <f>SUM(B694:B718)</f>
        <v>16</v>
      </c>
      <c r="C719" s="36">
        <f>SUM(C694:C718)</f>
        <v>20</v>
      </c>
      <c r="D719" s="29">
        <f>SUM(D694:D718)</f>
        <v>14</v>
      </c>
      <c r="E719" s="30">
        <f>SUM(E694:E718)</f>
        <v>11</v>
      </c>
      <c r="F719" s="26">
        <f>SUM(B719:E719)</f>
        <v>61</v>
      </c>
      <c r="G719" s="28">
        <f>SUM(G694:G718)</f>
        <v>22</v>
      </c>
      <c r="H719" s="36">
        <f>SUM(H694:H718)</f>
        <v>27</v>
      </c>
      <c r="I719" s="29">
        <f>SUM(I694:I718)</f>
        <v>19</v>
      </c>
      <c r="J719" s="30">
        <f>SUM(J694:J718)</f>
        <v>13</v>
      </c>
      <c r="K719" s="26">
        <f>SUM(G719:J719)</f>
        <v>81</v>
      </c>
      <c r="L719" s="27">
        <f t="shared" si="505"/>
        <v>142</v>
      </c>
      <c r="N719" s="61" t="s">
        <v>9</v>
      </c>
      <c r="O719" s="28">
        <f>SUM(O694:O718)</f>
        <v>25</v>
      </c>
      <c r="P719" s="36">
        <f>SUM(P694:P718)</f>
        <v>50</v>
      </c>
      <c r="Q719" s="29">
        <f>SUM(Q694:Q718)</f>
        <v>27</v>
      </c>
      <c r="R719" s="30">
        <f>SUM(R694:R718)</f>
        <v>23</v>
      </c>
      <c r="S719" s="60">
        <f t="shared" si="520"/>
        <v>125</v>
      </c>
      <c r="T719" s="28">
        <f>SUM(T694:T718)</f>
        <v>32</v>
      </c>
      <c r="U719" s="36">
        <f>SUM(U694:U718)</f>
        <v>63</v>
      </c>
      <c r="V719" s="29">
        <f>SUM(V694:V718)</f>
        <v>33</v>
      </c>
      <c r="W719" s="30">
        <f>SUM(W694:W718)</f>
        <v>43</v>
      </c>
      <c r="X719" s="60">
        <f t="shared" si="521"/>
        <v>171</v>
      </c>
      <c r="Y719" s="63">
        <f t="shared" si="499"/>
        <v>296</v>
      </c>
    </row>
    <row r="720" spans="1:25" ht="14.25" thickBot="1" x14ac:dyDescent="0.2">
      <c r="A720" s="18" t="s">
        <v>10</v>
      </c>
      <c r="B720" s="31">
        <f t="shared" ref="B720:K720" si="525">B693-B719</f>
        <v>18</v>
      </c>
      <c r="C720" s="37">
        <f t="shared" si="525"/>
        <v>19</v>
      </c>
      <c r="D720" s="32">
        <f t="shared" si="525"/>
        <v>15</v>
      </c>
      <c r="E720" s="33">
        <f t="shared" si="525"/>
        <v>15</v>
      </c>
      <c r="F720" s="42">
        <f t="shared" si="525"/>
        <v>67</v>
      </c>
      <c r="G720" s="31">
        <f t="shared" si="525"/>
        <v>12</v>
      </c>
      <c r="H720" s="37">
        <f t="shared" si="525"/>
        <v>13</v>
      </c>
      <c r="I720" s="32">
        <f t="shared" si="525"/>
        <v>14</v>
      </c>
      <c r="J720" s="33">
        <f t="shared" si="525"/>
        <v>13</v>
      </c>
      <c r="K720" s="42">
        <f t="shared" si="525"/>
        <v>52</v>
      </c>
      <c r="L720" s="17">
        <f t="shared" si="505"/>
        <v>119</v>
      </c>
      <c r="N720" s="16" t="s">
        <v>10</v>
      </c>
      <c r="O720" s="31">
        <f t="shared" ref="O720:X720" si="526">O693-O719</f>
        <v>333</v>
      </c>
      <c r="P720" s="37">
        <f t="shared" si="526"/>
        <v>215</v>
      </c>
      <c r="Q720" s="32">
        <f t="shared" si="526"/>
        <v>365</v>
      </c>
      <c r="R720" s="33">
        <f t="shared" si="526"/>
        <v>366</v>
      </c>
      <c r="S720" s="42">
        <f t="shared" si="526"/>
        <v>1279</v>
      </c>
      <c r="T720" s="31">
        <f t="shared" si="526"/>
        <v>289</v>
      </c>
      <c r="U720" s="37">
        <f t="shared" si="526"/>
        <v>203</v>
      </c>
      <c r="V720" s="32">
        <f t="shared" si="526"/>
        <v>235</v>
      </c>
      <c r="W720" s="33">
        <f t="shared" si="526"/>
        <v>291</v>
      </c>
      <c r="X720" s="42">
        <f t="shared" si="526"/>
        <v>1018</v>
      </c>
      <c r="Y720" s="17">
        <f t="shared" si="499"/>
        <v>2297</v>
      </c>
    </row>
    <row r="723" spans="1:27" ht="19.5" thickBot="1" x14ac:dyDescent="0.25">
      <c r="A723" s="2" t="s">
        <v>17</v>
      </c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N723" s="2" t="s">
        <v>18</v>
      </c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1"/>
    </row>
    <row r="724" spans="1:27" ht="14.25" thickBot="1" x14ac:dyDescent="0.2">
      <c r="A724" s="5" t="s">
        <v>0</v>
      </c>
      <c r="B724" s="244" t="s">
        <v>19</v>
      </c>
      <c r="C724" s="245"/>
      <c r="D724" s="245"/>
      <c r="E724" s="245"/>
      <c r="F724" s="246"/>
      <c r="G724" s="247" t="s">
        <v>20</v>
      </c>
      <c r="H724" s="248"/>
      <c r="I724" s="248"/>
      <c r="J724" s="248"/>
      <c r="K724" s="249"/>
      <c r="L724" s="250" t="s">
        <v>1</v>
      </c>
      <c r="N724" s="5" t="s">
        <v>0</v>
      </c>
      <c r="O724" s="244" t="s">
        <v>19</v>
      </c>
      <c r="P724" s="245"/>
      <c r="Q724" s="245"/>
      <c r="R724" s="245"/>
      <c r="S724" s="246"/>
      <c r="T724" s="247" t="s">
        <v>20</v>
      </c>
      <c r="U724" s="248"/>
      <c r="V724" s="248"/>
      <c r="W724" s="248"/>
      <c r="X724" s="249"/>
      <c r="Y724" s="250" t="s">
        <v>1</v>
      </c>
    </row>
    <row r="725" spans="1:27" ht="14.25" thickBot="1" x14ac:dyDescent="0.2">
      <c r="A725" s="5" t="s">
        <v>2</v>
      </c>
      <c r="B725" s="3" t="s">
        <v>11</v>
      </c>
      <c r="C725" s="34" t="s">
        <v>12</v>
      </c>
      <c r="D725" s="4" t="s">
        <v>13</v>
      </c>
      <c r="E725" s="19" t="s">
        <v>14</v>
      </c>
      <c r="F725" s="23" t="s">
        <v>3</v>
      </c>
      <c r="G725" s="3" t="s">
        <v>11</v>
      </c>
      <c r="H725" s="34" t="s">
        <v>12</v>
      </c>
      <c r="I725" s="4" t="s">
        <v>13</v>
      </c>
      <c r="J725" s="19" t="s">
        <v>14</v>
      </c>
      <c r="K725" s="23" t="s">
        <v>3</v>
      </c>
      <c r="L725" s="251"/>
      <c r="N725" s="5" t="s">
        <v>2</v>
      </c>
      <c r="O725" s="53" t="s">
        <v>11</v>
      </c>
      <c r="P725" s="54" t="s">
        <v>12</v>
      </c>
      <c r="Q725" s="55" t="s">
        <v>13</v>
      </c>
      <c r="R725" s="56" t="s">
        <v>14</v>
      </c>
      <c r="S725" s="23" t="s">
        <v>3</v>
      </c>
      <c r="T725" s="3" t="s">
        <v>11</v>
      </c>
      <c r="U725" s="34" t="s">
        <v>12</v>
      </c>
      <c r="V725" s="4" t="s">
        <v>13</v>
      </c>
      <c r="W725" s="19" t="s">
        <v>14</v>
      </c>
      <c r="X725" s="23" t="s">
        <v>3</v>
      </c>
      <c r="Y725" s="251"/>
    </row>
    <row r="726" spans="1:27" ht="14.25" thickBot="1" x14ac:dyDescent="0.2">
      <c r="A726" s="18" t="s">
        <v>15</v>
      </c>
      <c r="B726" s="31">
        <f>B720</f>
        <v>18</v>
      </c>
      <c r="C726" s="32">
        <f>C720</f>
        <v>19</v>
      </c>
      <c r="D726" s="32">
        <f>D720</f>
        <v>15</v>
      </c>
      <c r="E726" s="33">
        <f>E720</f>
        <v>15</v>
      </c>
      <c r="F726" s="86">
        <f>SUM(B726:E726)</f>
        <v>67</v>
      </c>
      <c r="G726" s="31">
        <f>G720</f>
        <v>12</v>
      </c>
      <c r="H726" s="32">
        <f>H720</f>
        <v>13</v>
      </c>
      <c r="I726" s="32">
        <f>I720</f>
        <v>14</v>
      </c>
      <c r="J726" s="33">
        <f>J720</f>
        <v>13</v>
      </c>
      <c r="K726" s="80">
        <f>SUM(G726:J726)</f>
        <v>52</v>
      </c>
      <c r="L726" s="17">
        <f>F726+K726</f>
        <v>119</v>
      </c>
      <c r="N726" s="18" t="s">
        <v>15</v>
      </c>
      <c r="O726" s="31">
        <f>O720</f>
        <v>333</v>
      </c>
      <c r="P726" s="32">
        <f>P720</f>
        <v>215</v>
      </c>
      <c r="Q726" s="32">
        <f>Q720</f>
        <v>365</v>
      </c>
      <c r="R726" s="33">
        <f>R720</f>
        <v>366</v>
      </c>
      <c r="S726" s="86">
        <f>SUM(O726:R726)</f>
        <v>1279</v>
      </c>
      <c r="T726" s="31">
        <f>T720</f>
        <v>289</v>
      </c>
      <c r="U726" s="32">
        <f>U720</f>
        <v>203</v>
      </c>
      <c r="V726" s="32">
        <f>V720</f>
        <v>235</v>
      </c>
      <c r="W726" s="33">
        <f>W720</f>
        <v>291</v>
      </c>
      <c r="X726" s="80">
        <f>SUM(T726:W726)</f>
        <v>1018</v>
      </c>
      <c r="Y726" s="17">
        <f t="shared" ref="Y726:Y758" si="527">S726+X726</f>
        <v>2297</v>
      </c>
    </row>
    <row r="727" spans="1:27" x14ac:dyDescent="0.15">
      <c r="A727" s="13" t="s">
        <v>4</v>
      </c>
      <c r="B727" s="20">
        <v>15</v>
      </c>
      <c r="C727" s="35">
        <v>20</v>
      </c>
      <c r="D727" s="21">
        <v>15</v>
      </c>
      <c r="E727" s="24">
        <v>15</v>
      </c>
      <c r="F727" s="25">
        <f t="shared" ref="F727:F728" si="528">SUM(B727:E727)</f>
        <v>65</v>
      </c>
      <c r="G727" s="20">
        <v>20</v>
      </c>
      <c r="H727" s="35">
        <v>20</v>
      </c>
      <c r="I727" s="21">
        <v>20</v>
      </c>
      <c r="J727" s="24">
        <v>15</v>
      </c>
      <c r="K727" s="25">
        <f t="shared" ref="K727:K728" si="529">SUM(G727:J727)</f>
        <v>75</v>
      </c>
      <c r="L727" s="11">
        <f t="shared" ref="L727:L728" si="530">F727+K727</f>
        <v>140</v>
      </c>
      <c r="M727" s="69">
        <v>45423</v>
      </c>
      <c r="N727" s="59" t="s">
        <v>16</v>
      </c>
      <c r="O727" s="48"/>
      <c r="P727" s="49"/>
      <c r="Q727" s="50"/>
      <c r="R727" s="51"/>
      <c r="S727" s="85">
        <f>SUM(O727:R727)</f>
        <v>0</v>
      </c>
      <c r="T727" s="48"/>
      <c r="U727" s="49"/>
      <c r="V727" s="50"/>
      <c r="W727" s="51"/>
      <c r="X727" s="74">
        <f>SUM(T727:W727)</f>
        <v>0</v>
      </c>
      <c r="Y727" s="11">
        <f t="shared" si="527"/>
        <v>0</v>
      </c>
    </row>
    <row r="728" spans="1:27" x14ac:dyDescent="0.15">
      <c r="A728" s="13" t="s">
        <v>192</v>
      </c>
      <c r="B728" s="20"/>
      <c r="C728" s="35">
        <v>1</v>
      </c>
      <c r="D728" s="21">
        <v>2</v>
      </c>
      <c r="E728" s="24"/>
      <c r="F728" s="25">
        <f t="shared" si="528"/>
        <v>3</v>
      </c>
      <c r="G728" s="20"/>
      <c r="H728" s="35">
        <v>1</v>
      </c>
      <c r="I728" s="21">
        <v>2</v>
      </c>
      <c r="J728" s="24"/>
      <c r="K728" s="25">
        <f t="shared" si="529"/>
        <v>3</v>
      </c>
      <c r="L728" s="11">
        <f t="shared" si="530"/>
        <v>6</v>
      </c>
      <c r="M728" s="69">
        <v>45429</v>
      </c>
      <c r="N728" s="59" t="s">
        <v>4</v>
      </c>
      <c r="O728" s="48"/>
      <c r="P728" s="49"/>
      <c r="Q728" s="50"/>
      <c r="R728" s="51"/>
      <c r="S728" s="85">
        <f t="shared" ref="S728" si="531">SUM(O728:R728)</f>
        <v>0</v>
      </c>
      <c r="T728" s="48"/>
      <c r="U728" s="49"/>
      <c r="V728" s="50"/>
      <c r="W728" s="51"/>
      <c r="X728" s="74">
        <f t="shared" ref="X728" si="532">SUM(T728:W728)</f>
        <v>0</v>
      </c>
      <c r="Y728" s="11">
        <f t="shared" ref="Y728" si="533">S728+X728</f>
        <v>0</v>
      </c>
    </row>
    <row r="729" spans="1:27" x14ac:dyDescent="0.15">
      <c r="A729" s="13" t="s">
        <v>6</v>
      </c>
      <c r="B729" s="20">
        <v>5</v>
      </c>
      <c r="C729" s="35">
        <v>15</v>
      </c>
      <c r="D729" s="21">
        <v>10</v>
      </c>
      <c r="E729" s="24">
        <v>5</v>
      </c>
      <c r="F729" s="25">
        <f t="shared" ref="F729:F730" si="534">SUM(B729:E729)</f>
        <v>35</v>
      </c>
      <c r="G729" s="20">
        <v>5</v>
      </c>
      <c r="H729" s="35">
        <v>10</v>
      </c>
      <c r="I729" s="21">
        <v>5</v>
      </c>
      <c r="J729" s="24">
        <v>10</v>
      </c>
      <c r="K729" s="25">
        <f t="shared" ref="K729:K730" si="535">SUM(G729:J729)</f>
        <v>30</v>
      </c>
      <c r="L729" s="11">
        <f t="shared" ref="L729:L758" si="536">F729+K729</f>
        <v>65</v>
      </c>
      <c r="M729" s="69">
        <v>45437</v>
      </c>
      <c r="N729" s="59" t="s">
        <v>5</v>
      </c>
      <c r="O729" s="48"/>
      <c r="P729" s="49"/>
      <c r="Q729" s="50"/>
      <c r="R729" s="51"/>
      <c r="S729" s="85">
        <f t="shared" ref="S729" si="537">SUM(O729:R729)</f>
        <v>0</v>
      </c>
      <c r="T729" s="48"/>
      <c r="U729" s="49"/>
      <c r="V729" s="50"/>
      <c r="W729" s="51"/>
      <c r="X729" s="74">
        <f t="shared" ref="X729" si="538">SUM(T729:W729)</f>
        <v>0</v>
      </c>
      <c r="Y729" s="11">
        <f t="shared" si="527"/>
        <v>0</v>
      </c>
    </row>
    <row r="730" spans="1:27" ht="14.25" thickBot="1" x14ac:dyDescent="0.2">
      <c r="A730" s="13" t="s">
        <v>7</v>
      </c>
      <c r="B730" s="48">
        <v>5</v>
      </c>
      <c r="C730" s="49">
        <v>15</v>
      </c>
      <c r="D730" s="50">
        <v>5</v>
      </c>
      <c r="E730" s="51">
        <v>10</v>
      </c>
      <c r="F730" s="52">
        <f t="shared" si="534"/>
        <v>35</v>
      </c>
      <c r="G730" s="48">
        <v>5</v>
      </c>
      <c r="H730" s="49">
        <v>20</v>
      </c>
      <c r="I730" s="50">
        <v>15</v>
      </c>
      <c r="J730" s="51">
        <v>5</v>
      </c>
      <c r="K730" s="52">
        <f t="shared" si="535"/>
        <v>45</v>
      </c>
      <c r="L730" s="11">
        <f t="shared" si="536"/>
        <v>80</v>
      </c>
      <c r="M730" s="69">
        <v>45450</v>
      </c>
      <c r="N730" s="13" t="s">
        <v>6</v>
      </c>
      <c r="O730" s="43"/>
      <c r="P730" s="44"/>
      <c r="Q730" s="45"/>
      <c r="R730" s="46"/>
      <c r="S730" s="58">
        <f>SUM(O730:R730)</f>
        <v>0</v>
      </c>
      <c r="T730" s="35"/>
      <c r="U730" s="35"/>
      <c r="V730" s="21"/>
      <c r="W730" s="38"/>
      <c r="X730" s="10">
        <f>SUM(T730:W730)</f>
        <v>0</v>
      </c>
      <c r="Y730" s="14">
        <f t="shared" si="527"/>
        <v>0</v>
      </c>
    </row>
    <row r="731" spans="1:27" ht="14.25" thickBot="1" x14ac:dyDescent="0.2">
      <c r="A731" s="18" t="s">
        <v>8</v>
      </c>
      <c r="B731" s="76">
        <f t="shared" ref="B731:K731" si="539">SUM(B726:B730)</f>
        <v>43</v>
      </c>
      <c r="C731" s="77">
        <f t="shared" si="539"/>
        <v>70</v>
      </c>
      <c r="D731" s="78">
        <f t="shared" si="539"/>
        <v>47</v>
      </c>
      <c r="E731" s="79">
        <f t="shared" si="539"/>
        <v>45</v>
      </c>
      <c r="F731" s="80">
        <f t="shared" si="539"/>
        <v>205</v>
      </c>
      <c r="G731" s="76">
        <f t="shared" si="539"/>
        <v>42</v>
      </c>
      <c r="H731" s="77">
        <f t="shared" si="539"/>
        <v>64</v>
      </c>
      <c r="I731" s="78">
        <f t="shared" si="539"/>
        <v>56</v>
      </c>
      <c r="J731" s="79">
        <f t="shared" si="539"/>
        <v>43</v>
      </c>
      <c r="K731" s="80">
        <f t="shared" si="539"/>
        <v>205</v>
      </c>
      <c r="L731" s="17">
        <f t="shared" si="536"/>
        <v>410</v>
      </c>
      <c r="N731" s="16" t="s">
        <v>8</v>
      </c>
      <c r="O731" s="31">
        <f t="shared" ref="O731:X731" si="540">SUM(O726:O730)</f>
        <v>333</v>
      </c>
      <c r="P731" s="37">
        <f t="shared" si="540"/>
        <v>215</v>
      </c>
      <c r="Q731" s="32">
        <f t="shared" si="540"/>
        <v>365</v>
      </c>
      <c r="R731" s="82">
        <f t="shared" si="540"/>
        <v>366</v>
      </c>
      <c r="S731" s="83">
        <f t="shared" si="540"/>
        <v>1279</v>
      </c>
      <c r="T731" s="31">
        <f t="shared" si="540"/>
        <v>289</v>
      </c>
      <c r="U731" s="37">
        <f t="shared" si="540"/>
        <v>203</v>
      </c>
      <c r="V731" s="32">
        <f t="shared" si="540"/>
        <v>235</v>
      </c>
      <c r="W731" s="82">
        <f t="shared" si="540"/>
        <v>291</v>
      </c>
      <c r="X731" s="83">
        <f t="shared" si="540"/>
        <v>1018</v>
      </c>
      <c r="Y731" s="39">
        <f t="shared" si="527"/>
        <v>2297</v>
      </c>
    </row>
    <row r="732" spans="1:27" x14ac:dyDescent="0.15">
      <c r="A732" s="59" t="s">
        <v>27</v>
      </c>
      <c r="B732" s="20">
        <v>2</v>
      </c>
      <c r="C732" s="35"/>
      <c r="D732" s="21">
        <v>2</v>
      </c>
      <c r="E732" s="24">
        <v>1</v>
      </c>
      <c r="F732" s="25">
        <f t="shared" ref="F732:F756" si="541">SUM(B732:E732)</f>
        <v>5</v>
      </c>
      <c r="G732" s="20">
        <v>2</v>
      </c>
      <c r="H732" s="35"/>
      <c r="I732" s="21">
        <v>2</v>
      </c>
      <c r="J732" s="24">
        <v>1</v>
      </c>
      <c r="K732" s="25">
        <f t="shared" ref="K732:K756" si="542">SUM(G732:J732)</f>
        <v>5</v>
      </c>
      <c r="L732" s="11">
        <f t="shared" si="536"/>
        <v>10</v>
      </c>
      <c r="M732" s="71">
        <v>45423</v>
      </c>
      <c r="N732" s="12" t="s">
        <v>467</v>
      </c>
      <c r="O732" s="20"/>
      <c r="P732" s="35"/>
      <c r="Q732" s="21">
        <v>2</v>
      </c>
      <c r="R732" s="38"/>
      <c r="S732" s="9">
        <f t="shared" ref="S732:S734" si="543">SUM(O732:R732)</f>
        <v>2</v>
      </c>
      <c r="T732" s="20"/>
      <c r="U732" s="35"/>
      <c r="V732" s="21">
        <v>2</v>
      </c>
      <c r="W732" s="38"/>
      <c r="X732" s="98">
        <f t="shared" ref="X732:X734" si="544">SUM(T732:W732)</f>
        <v>2</v>
      </c>
      <c r="Y732" s="11">
        <f t="shared" si="527"/>
        <v>4</v>
      </c>
      <c r="Z732" s="69">
        <v>45448</v>
      </c>
    </row>
    <row r="733" spans="1:27" x14ac:dyDescent="0.15">
      <c r="A733" s="59" t="s">
        <v>210</v>
      </c>
      <c r="B733" s="20"/>
      <c r="C733" s="35">
        <v>4</v>
      </c>
      <c r="D733" s="21"/>
      <c r="E733" s="24">
        <v>2</v>
      </c>
      <c r="F733" s="25">
        <f t="shared" si="541"/>
        <v>6</v>
      </c>
      <c r="G733" s="20"/>
      <c r="H733" s="35">
        <v>3</v>
      </c>
      <c r="I733" s="21"/>
      <c r="J733" s="24">
        <v>2</v>
      </c>
      <c r="K733" s="25">
        <f t="shared" si="542"/>
        <v>5</v>
      </c>
      <c r="L733" s="11">
        <f t="shared" si="536"/>
        <v>11</v>
      </c>
      <c r="M733" s="69">
        <v>45426</v>
      </c>
      <c r="N733" s="12" t="s">
        <v>468</v>
      </c>
      <c r="O733" s="20">
        <v>7</v>
      </c>
      <c r="P733" s="35">
        <v>10</v>
      </c>
      <c r="Q733" s="21">
        <v>7</v>
      </c>
      <c r="R733" s="38"/>
      <c r="S733" s="9">
        <f t="shared" si="543"/>
        <v>24</v>
      </c>
      <c r="T733" s="20">
        <v>14</v>
      </c>
      <c r="U733" s="35">
        <v>14</v>
      </c>
      <c r="V733" s="21">
        <v>8</v>
      </c>
      <c r="W733" s="38"/>
      <c r="X733" s="9">
        <f t="shared" si="544"/>
        <v>36</v>
      </c>
      <c r="Y733" s="11">
        <f t="shared" si="527"/>
        <v>60</v>
      </c>
      <c r="Z733" s="69">
        <v>45447</v>
      </c>
    </row>
    <row r="734" spans="1:27" x14ac:dyDescent="0.15">
      <c r="A734" s="59" t="s">
        <v>27</v>
      </c>
      <c r="B734" s="20"/>
      <c r="C734" s="35">
        <v>1</v>
      </c>
      <c r="D734" s="21"/>
      <c r="E734" s="24"/>
      <c r="F734" s="25">
        <f t="shared" si="541"/>
        <v>1</v>
      </c>
      <c r="G734" s="20"/>
      <c r="H734" s="35">
        <v>1</v>
      </c>
      <c r="I734" s="21"/>
      <c r="J734" s="24">
        <v>1</v>
      </c>
      <c r="K734" s="25">
        <f t="shared" si="542"/>
        <v>2</v>
      </c>
      <c r="L734" s="11">
        <f t="shared" si="536"/>
        <v>3</v>
      </c>
      <c r="M734" s="69">
        <v>45425</v>
      </c>
      <c r="N734" s="40" t="s">
        <v>26</v>
      </c>
      <c r="O734" s="20">
        <v>5</v>
      </c>
      <c r="P734" s="35">
        <v>15</v>
      </c>
      <c r="Q734" s="21">
        <v>5</v>
      </c>
      <c r="R734" s="38">
        <v>10</v>
      </c>
      <c r="S734" s="9">
        <f t="shared" si="543"/>
        <v>35</v>
      </c>
      <c r="T734" s="20">
        <v>5</v>
      </c>
      <c r="U734" s="35">
        <v>20</v>
      </c>
      <c r="V734" s="21">
        <v>15</v>
      </c>
      <c r="W734" s="38">
        <v>5</v>
      </c>
      <c r="X734" s="9">
        <f t="shared" si="544"/>
        <v>45</v>
      </c>
      <c r="Y734" s="11">
        <f t="shared" si="527"/>
        <v>80</v>
      </c>
      <c r="Z734" s="69">
        <v>45450</v>
      </c>
    </row>
    <row r="735" spans="1:27" x14ac:dyDescent="0.15">
      <c r="A735" s="59" t="s">
        <v>27</v>
      </c>
      <c r="B735" s="20"/>
      <c r="C735" s="35"/>
      <c r="D735" s="21">
        <v>2</v>
      </c>
      <c r="E735" s="24"/>
      <c r="F735" s="25">
        <f t="shared" si="541"/>
        <v>2</v>
      </c>
      <c r="G735" s="20"/>
      <c r="H735" s="35"/>
      <c r="I735" s="21"/>
      <c r="J735" s="24">
        <v>1</v>
      </c>
      <c r="K735" s="25">
        <f t="shared" si="542"/>
        <v>1</v>
      </c>
      <c r="L735" s="11">
        <f t="shared" si="536"/>
        <v>3</v>
      </c>
      <c r="M735" s="69">
        <v>45426</v>
      </c>
      <c r="N735" s="12" t="s">
        <v>476</v>
      </c>
      <c r="O735" s="20">
        <v>14</v>
      </c>
      <c r="P735" s="35">
        <v>9</v>
      </c>
      <c r="Q735" s="21">
        <v>6</v>
      </c>
      <c r="R735" s="38"/>
      <c r="S735" s="9">
        <f t="shared" ref="S735:S744" si="545">SUM(O735:R735)</f>
        <v>29</v>
      </c>
      <c r="T735" s="20">
        <v>13</v>
      </c>
      <c r="U735" s="35">
        <v>21</v>
      </c>
      <c r="V735" s="21">
        <v>12</v>
      </c>
      <c r="W735" s="38"/>
      <c r="X735" s="9">
        <f t="shared" ref="X735:X744" si="546">SUM(T735:W735)</f>
        <v>46</v>
      </c>
      <c r="Y735" s="11">
        <f t="shared" si="527"/>
        <v>75</v>
      </c>
      <c r="Z735" s="69">
        <v>45454</v>
      </c>
      <c r="AA735" s="41"/>
    </row>
    <row r="736" spans="1:27" x14ac:dyDescent="0.15">
      <c r="A736" s="59" t="s">
        <v>421</v>
      </c>
      <c r="B736" s="20"/>
      <c r="C736" s="35"/>
      <c r="D736" s="21"/>
      <c r="E736" s="24">
        <v>1</v>
      </c>
      <c r="F736" s="25">
        <f t="shared" si="541"/>
        <v>1</v>
      </c>
      <c r="G736" s="20"/>
      <c r="H736" s="35"/>
      <c r="I736" s="21"/>
      <c r="J736" s="24">
        <v>1</v>
      </c>
      <c r="K736" s="25">
        <f t="shared" si="542"/>
        <v>1</v>
      </c>
      <c r="L736" s="11">
        <f t="shared" si="536"/>
        <v>2</v>
      </c>
      <c r="M736" s="69">
        <v>45428</v>
      </c>
      <c r="N736" s="12" t="s">
        <v>475</v>
      </c>
      <c r="O736" s="20">
        <v>10</v>
      </c>
      <c r="P736" s="35">
        <v>15</v>
      </c>
      <c r="Q736" s="21">
        <v>10</v>
      </c>
      <c r="R736" s="38"/>
      <c r="S736" s="9">
        <f t="shared" si="545"/>
        <v>35</v>
      </c>
      <c r="T736" s="20">
        <v>10</v>
      </c>
      <c r="U736" s="35">
        <v>15</v>
      </c>
      <c r="V736" s="21">
        <v>10</v>
      </c>
      <c r="W736" s="38"/>
      <c r="X736" s="9">
        <f t="shared" si="546"/>
        <v>35</v>
      </c>
      <c r="Y736" s="11">
        <f t="shared" si="527"/>
        <v>70</v>
      </c>
      <c r="Z736" s="69">
        <v>45454</v>
      </c>
      <c r="AA736" s="41"/>
    </row>
    <row r="737" spans="1:29" x14ac:dyDescent="0.15">
      <c r="A737" s="59" t="s">
        <v>27</v>
      </c>
      <c r="B737" s="20"/>
      <c r="C737" s="35">
        <v>1</v>
      </c>
      <c r="D737" s="21"/>
      <c r="E737" s="24"/>
      <c r="F737" s="25">
        <f t="shared" si="541"/>
        <v>1</v>
      </c>
      <c r="G737" s="20">
        <v>1</v>
      </c>
      <c r="H737" s="35">
        <v>1</v>
      </c>
      <c r="I737" s="21"/>
      <c r="J737" s="24"/>
      <c r="K737" s="25">
        <f t="shared" si="542"/>
        <v>2</v>
      </c>
      <c r="L737" s="11">
        <f t="shared" si="536"/>
        <v>3</v>
      </c>
      <c r="M737" s="71">
        <v>45427</v>
      </c>
      <c r="N737" s="40" t="s">
        <v>26</v>
      </c>
      <c r="O737" s="20">
        <v>10</v>
      </c>
      <c r="P737" s="35">
        <v>10</v>
      </c>
      <c r="Q737" s="21">
        <v>5</v>
      </c>
      <c r="R737" s="38">
        <v>20</v>
      </c>
      <c r="S737" s="9">
        <f t="shared" si="545"/>
        <v>45</v>
      </c>
      <c r="T737" s="20">
        <v>10</v>
      </c>
      <c r="U737" s="35">
        <v>10</v>
      </c>
      <c r="V737" s="21">
        <v>5</v>
      </c>
      <c r="W737" s="38">
        <v>5</v>
      </c>
      <c r="X737" s="9">
        <f t="shared" si="546"/>
        <v>30</v>
      </c>
      <c r="Y737" s="11">
        <f t="shared" si="527"/>
        <v>75</v>
      </c>
      <c r="Z737" s="69">
        <v>45455</v>
      </c>
    </row>
    <row r="738" spans="1:29" x14ac:dyDescent="0.15">
      <c r="A738" s="59" t="s">
        <v>27</v>
      </c>
      <c r="B738" s="20">
        <v>1</v>
      </c>
      <c r="C738" s="35">
        <v>1</v>
      </c>
      <c r="D738" s="21">
        <v>2</v>
      </c>
      <c r="E738" s="24"/>
      <c r="F738" s="25">
        <f t="shared" si="541"/>
        <v>4</v>
      </c>
      <c r="G738" s="20">
        <v>1</v>
      </c>
      <c r="H738" s="35">
        <v>1</v>
      </c>
      <c r="I738" s="21"/>
      <c r="J738" s="24"/>
      <c r="K738" s="25">
        <f t="shared" si="542"/>
        <v>2</v>
      </c>
      <c r="L738" s="11">
        <f t="shared" si="536"/>
        <v>6</v>
      </c>
      <c r="M738" s="71">
        <v>45428</v>
      </c>
      <c r="N738" s="12" t="s">
        <v>477</v>
      </c>
      <c r="O738" s="20"/>
      <c r="P738" s="35"/>
      <c r="Q738" s="21"/>
      <c r="R738" s="38">
        <v>5</v>
      </c>
      <c r="S738" s="9">
        <f t="shared" si="545"/>
        <v>5</v>
      </c>
      <c r="T738" s="20"/>
      <c r="U738" s="35"/>
      <c r="V738" s="21"/>
      <c r="W738" s="38"/>
      <c r="X738" s="9">
        <f t="shared" si="546"/>
        <v>0</v>
      </c>
      <c r="Y738" s="11">
        <f t="shared" si="527"/>
        <v>5</v>
      </c>
      <c r="Z738" s="69">
        <v>45461</v>
      </c>
    </row>
    <row r="739" spans="1:29" x14ac:dyDescent="0.15">
      <c r="A739" s="59" t="s">
        <v>27</v>
      </c>
      <c r="B739" s="20">
        <v>1</v>
      </c>
      <c r="C739" s="35"/>
      <c r="D739" s="21"/>
      <c r="E739" s="24"/>
      <c r="F739" s="25">
        <f t="shared" si="541"/>
        <v>1</v>
      </c>
      <c r="G739" s="20">
        <v>1</v>
      </c>
      <c r="H739" s="35"/>
      <c r="I739" s="21"/>
      <c r="J739" s="24"/>
      <c r="K739" s="25">
        <f t="shared" si="542"/>
        <v>1</v>
      </c>
      <c r="L739" s="11">
        <f t="shared" si="536"/>
        <v>2</v>
      </c>
      <c r="M739" s="71">
        <v>45430</v>
      </c>
      <c r="N739" s="40" t="s">
        <v>26</v>
      </c>
      <c r="O739" s="20">
        <v>5</v>
      </c>
      <c r="P739" s="35">
        <v>10</v>
      </c>
      <c r="Q739" s="21">
        <v>10</v>
      </c>
      <c r="R739" s="38"/>
      <c r="S739" s="9">
        <f t="shared" si="545"/>
        <v>25</v>
      </c>
      <c r="T739" s="20">
        <v>10</v>
      </c>
      <c r="U739" s="35">
        <v>15</v>
      </c>
      <c r="V739" s="21">
        <v>5</v>
      </c>
      <c r="W739" s="38">
        <v>5</v>
      </c>
      <c r="X739" s="9">
        <f t="shared" si="546"/>
        <v>35</v>
      </c>
      <c r="Y739" s="11">
        <f t="shared" si="527"/>
        <v>60</v>
      </c>
      <c r="Z739" s="69">
        <v>45467</v>
      </c>
    </row>
    <row r="740" spans="1:29" x14ac:dyDescent="0.15">
      <c r="A740" s="59" t="s">
        <v>27</v>
      </c>
      <c r="B740" s="20">
        <v>2</v>
      </c>
      <c r="C740" s="35">
        <v>3</v>
      </c>
      <c r="D740" s="21">
        <v>2</v>
      </c>
      <c r="E740" s="24">
        <v>1</v>
      </c>
      <c r="F740" s="25">
        <f t="shared" si="541"/>
        <v>8</v>
      </c>
      <c r="G740" s="20"/>
      <c r="H740" s="35">
        <v>3</v>
      </c>
      <c r="I740" s="21">
        <v>3</v>
      </c>
      <c r="J740" s="24">
        <v>1</v>
      </c>
      <c r="K740" s="25">
        <f t="shared" si="542"/>
        <v>7</v>
      </c>
      <c r="L740" s="11">
        <f t="shared" si="536"/>
        <v>15</v>
      </c>
      <c r="M740" s="71">
        <v>45432</v>
      </c>
      <c r="N740" s="40"/>
      <c r="O740" s="20"/>
      <c r="P740" s="35"/>
      <c r="Q740" s="21"/>
      <c r="R740" s="38"/>
      <c r="S740" s="9">
        <f t="shared" si="545"/>
        <v>0</v>
      </c>
      <c r="T740" s="20"/>
      <c r="U740" s="35"/>
      <c r="V740" s="21"/>
      <c r="W740" s="38"/>
      <c r="X740" s="9">
        <f t="shared" si="546"/>
        <v>0</v>
      </c>
      <c r="Y740" s="11">
        <f t="shared" si="527"/>
        <v>0</v>
      </c>
      <c r="Z740" s="162"/>
    </row>
    <row r="741" spans="1:29" x14ac:dyDescent="0.15">
      <c r="A741" s="59" t="s">
        <v>27</v>
      </c>
      <c r="B741" s="20"/>
      <c r="C741" s="35">
        <v>1</v>
      </c>
      <c r="D741" s="21"/>
      <c r="E741" s="24"/>
      <c r="F741" s="25">
        <f t="shared" si="541"/>
        <v>1</v>
      </c>
      <c r="G741" s="20"/>
      <c r="H741" s="35">
        <v>1</v>
      </c>
      <c r="I741" s="21"/>
      <c r="J741" s="24"/>
      <c r="K741" s="25">
        <f t="shared" si="542"/>
        <v>1</v>
      </c>
      <c r="L741" s="11">
        <f t="shared" si="536"/>
        <v>2</v>
      </c>
      <c r="M741" s="71">
        <v>45433</v>
      </c>
      <c r="N741" s="40"/>
      <c r="O741" s="20"/>
      <c r="P741" s="35"/>
      <c r="Q741" s="21"/>
      <c r="R741" s="38"/>
      <c r="S741" s="9">
        <f t="shared" si="545"/>
        <v>0</v>
      </c>
      <c r="T741" s="20"/>
      <c r="U741" s="35"/>
      <c r="V741" s="21"/>
      <c r="W741" s="38"/>
      <c r="X741" s="9">
        <f t="shared" si="546"/>
        <v>0</v>
      </c>
      <c r="Y741" s="11">
        <f t="shared" si="527"/>
        <v>0</v>
      </c>
      <c r="Z741" s="162"/>
    </row>
    <row r="742" spans="1:29" x14ac:dyDescent="0.15">
      <c r="A742" s="59" t="s">
        <v>47</v>
      </c>
      <c r="B742" s="20"/>
      <c r="C742" s="35">
        <v>-2</v>
      </c>
      <c r="D742" s="21">
        <v>2</v>
      </c>
      <c r="E742" s="24"/>
      <c r="F742" s="25">
        <f t="shared" si="541"/>
        <v>0</v>
      </c>
      <c r="G742" s="20"/>
      <c r="H742" s="35">
        <v>-2</v>
      </c>
      <c r="I742" s="21">
        <v>2</v>
      </c>
      <c r="J742" s="24"/>
      <c r="K742" s="25">
        <f t="shared" si="542"/>
        <v>0</v>
      </c>
      <c r="L742" s="11">
        <f t="shared" si="536"/>
        <v>0</v>
      </c>
      <c r="M742" s="71">
        <v>45435</v>
      </c>
      <c r="N742" s="40"/>
      <c r="O742" s="20"/>
      <c r="P742" s="35"/>
      <c r="Q742" s="21"/>
      <c r="R742" s="38"/>
      <c r="S742" s="9">
        <f t="shared" si="545"/>
        <v>0</v>
      </c>
      <c r="T742" s="20"/>
      <c r="U742" s="35"/>
      <c r="V742" s="21"/>
      <c r="W742" s="38"/>
      <c r="X742" s="9">
        <f t="shared" si="546"/>
        <v>0</v>
      </c>
      <c r="Y742" s="11">
        <f t="shared" si="527"/>
        <v>0</v>
      </c>
    </row>
    <row r="743" spans="1:29" x14ac:dyDescent="0.15">
      <c r="A743" s="59" t="s">
        <v>27</v>
      </c>
      <c r="B743" s="20">
        <v>1</v>
      </c>
      <c r="C743" s="35"/>
      <c r="D743" s="21"/>
      <c r="E743" s="24"/>
      <c r="F743" s="25">
        <f t="shared" si="541"/>
        <v>1</v>
      </c>
      <c r="G743" s="20">
        <v>1</v>
      </c>
      <c r="H743" s="35"/>
      <c r="I743" s="21"/>
      <c r="J743" s="24"/>
      <c r="K743" s="25">
        <f t="shared" si="542"/>
        <v>1</v>
      </c>
      <c r="L743" s="11">
        <f t="shared" si="536"/>
        <v>2</v>
      </c>
      <c r="M743" s="71">
        <v>45435</v>
      </c>
      <c r="N743" s="40"/>
      <c r="O743" s="20"/>
      <c r="P743" s="35"/>
      <c r="Q743" s="21"/>
      <c r="R743" s="38"/>
      <c r="S743" s="9">
        <f t="shared" si="545"/>
        <v>0</v>
      </c>
      <c r="T743" s="20"/>
      <c r="U743" s="35"/>
      <c r="V743" s="21"/>
      <c r="W743" s="38"/>
      <c r="X743" s="9">
        <f t="shared" si="546"/>
        <v>0</v>
      </c>
      <c r="Y743" s="11">
        <f t="shared" si="527"/>
        <v>0</v>
      </c>
    </row>
    <row r="744" spans="1:29" x14ac:dyDescent="0.15">
      <c r="A744" s="40" t="s">
        <v>464</v>
      </c>
      <c r="B744" s="20"/>
      <c r="C744" s="35">
        <v>1</v>
      </c>
      <c r="D744" s="21"/>
      <c r="E744" s="24"/>
      <c r="F744" s="25">
        <f t="shared" si="541"/>
        <v>1</v>
      </c>
      <c r="G744" s="20"/>
      <c r="H744" s="35">
        <v>1</v>
      </c>
      <c r="I744" s="21"/>
      <c r="J744" s="24"/>
      <c r="K744" s="25">
        <f t="shared" si="542"/>
        <v>1</v>
      </c>
      <c r="L744" s="11">
        <f t="shared" si="536"/>
        <v>2</v>
      </c>
      <c r="M744" s="69">
        <v>45439</v>
      </c>
      <c r="N744" s="40"/>
      <c r="O744" s="20"/>
      <c r="P744" s="35"/>
      <c r="Q744" s="21"/>
      <c r="R744" s="38"/>
      <c r="S744" s="9">
        <f t="shared" si="545"/>
        <v>0</v>
      </c>
      <c r="T744" s="20"/>
      <c r="U744" s="35"/>
      <c r="V744" s="21"/>
      <c r="W744" s="38"/>
      <c r="X744" s="9">
        <f t="shared" si="546"/>
        <v>0</v>
      </c>
      <c r="Y744" s="11">
        <f t="shared" si="527"/>
        <v>0</v>
      </c>
    </row>
    <row r="745" spans="1:29" x14ac:dyDescent="0.15">
      <c r="A745" s="59" t="s">
        <v>27</v>
      </c>
      <c r="B745" s="20"/>
      <c r="C745" s="35">
        <v>3</v>
      </c>
      <c r="D745" s="21">
        <v>1</v>
      </c>
      <c r="E745" s="24">
        <v>1</v>
      </c>
      <c r="F745" s="25">
        <f t="shared" si="541"/>
        <v>5</v>
      </c>
      <c r="G745" s="20"/>
      <c r="H745" s="35">
        <v>2</v>
      </c>
      <c r="I745" s="21">
        <v>1</v>
      </c>
      <c r="J745" s="24"/>
      <c r="K745" s="25">
        <f t="shared" si="542"/>
        <v>3</v>
      </c>
      <c r="L745" s="11">
        <f t="shared" si="536"/>
        <v>8</v>
      </c>
      <c r="M745" s="69">
        <v>45436</v>
      </c>
      <c r="N745" s="12"/>
      <c r="O745" s="20"/>
      <c r="P745" s="35"/>
      <c r="Q745" s="21"/>
      <c r="R745" s="38"/>
      <c r="S745" s="9">
        <f>SUM(O745:R745)</f>
        <v>0</v>
      </c>
      <c r="T745" s="20"/>
      <c r="U745" s="35"/>
      <c r="V745" s="21"/>
      <c r="W745" s="38"/>
      <c r="X745" s="9">
        <f>SUM(T745:W745)</f>
        <v>0</v>
      </c>
      <c r="Y745" s="11">
        <f t="shared" si="527"/>
        <v>0</v>
      </c>
    </row>
    <row r="746" spans="1:29" x14ac:dyDescent="0.15">
      <c r="A746" s="59" t="s">
        <v>210</v>
      </c>
      <c r="B746" s="20"/>
      <c r="C746" s="35"/>
      <c r="D746" s="21">
        <v>2</v>
      </c>
      <c r="E746" s="24"/>
      <c r="F746" s="25">
        <f t="shared" si="541"/>
        <v>2</v>
      </c>
      <c r="G746" s="20"/>
      <c r="H746" s="35">
        <v>1</v>
      </c>
      <c r="I746" s="21">
        <v>2</v>
      </c>
      <c r="J746" s="24">
        <v>2</v>
      </c>
      <c r="K746" s="25">
        <f t="shared" si="542"/>
        <v>5</v>
      </c>
      <c r="L746" s="11">
        <f t="shared" si="536"/>
        <v>7</v>
      </c>
      <c r="M746" s="69">
        <v>45440</v>
      </c>
      <c r="N746" s="40"/>
      <c r="O746" s="20"/>
      <c r="P746" s="35"/>
      <c r="Q746" s="21"/>
      <c r="R746" s="38"/>
      <c r="S746" s="9">
        <f t="shared" ref="S746:S757" si="547">SUM(O746:R746)</f>
        <v>0</v>
      </c>
      <c r="T746" s="20"/>
      <c r="U746" s="35"/>
      <c r="V746" s="21"/>
      <c r="W746" s="38"/>
      <c r="X746" s="9">
        <f t="shared" ref="X746:X757" si="548">SUM(T746:W746)</f>
        <v>0</v>
      </c>
      <c r="Y746" s="11">
        <f t="shared" si="527"/>
        <v>0</v>
      </c>
    </row>
    <row r="747" spans="1:29" x14ac:dyDescent="0.15">
      <c r="A747" s="59" t="s">
        <v>27</v>
      </c>
      <c r="B747" s="20">
        <v>1</v>
      </c>
      <c r="C747" s="35">
        <f>4+1+1</f>
        <v>6</v>
      </c>
      <c r="D747" s="21">
        <v>1</v>
      </c>
      <c r="E747" s="24">
        <v>2</v>
      </c>
      <c r="F747" s="25">
        <f t="shared" si="541"/>
        <v>10</v>
      </c>
      <c r="G747" s="20">
        <f>1+2</f>
        <v>3</v>
      </c>
      <c r="H747" s="35">
        <f>3+1+1</f>
        <v>5</v>
      </c>
      <c r="I747" s="21">
        <f>1+1</f>
        <v>2</v>
      </c>
      <c r="J747" s="24"/>
      <c r="K747" s="25">
        <f t="shared" si="542"/>
        <v>10</v>
      </c>
      <c r="L747" s="11">
        <f t="shared" si="536"/>
        <v>20</v>
      </c>
      <c r="M747" s="69">
        <v>45439</v>
      </c>
      <c r="N747" s="15"/>
      <c r="O747" s="20"/>
      <c r="P747" s="35"/>
      <c r="Q747" s="21"/>
      <c r="R747" s="38"/>
      <c r="S747" s="9">
        <f t="shared" si="547"/>
        <v>0</v>
      </c>
      <c r="T747" s="20"/>
      <c r="U747" s="35"/>
      <c r="V747" s="21"/>
      <c r="W747" s="38"/>
      <c r="X747" s="9">
        <f t="shared" si="548"/>
        <v>0</v>
      </c>
      <c r="Y747" s="11">
        <f t="shared" si="527"/>
        <v>0</v>
      </c>
    </row>
    <row r="748" spans="1:29" x14ac:dyDescent="0.15">
      <c r="A748" s="59" t="s">
        <v>27</v>
      </c>
      <c r="B748" s="20"/>
      <c r="C748" s="35"/>
      <c r="D748" s="21">
        <v>1</v>
      </c>
      <c r="E748" s="24">
        <v>1</v>
      </c>
      <c r="F748" s="25">
        <f t="shared" si="541"/>
        <v>2</v>
      </c>
      <c r="G748" s="20"/>
      <c r="H748" s="35"/>
      <c r="I748" s="21">
        <v>1</v>
      </c>
      <c r="J748" s="24">
        <v>1</v>
      </c>
      <c r="K748" s="25">
        <f t="shared" si="542"/>
        <v>2</v>
      </c>
      <c r="L748" s="11">
        <f t="shared" si="536"/>
        <v>4</v>
      </c>
      <c r="M748" s="69">
        <v>45440</v>
      </c>
      <c r="N748" s="40"/>
      <c r="O748" s="20"/>
      <c r="P748" s="35"/>
      <c r="Q748" s="21"/>
      <c r="R748" s="38"/>
      <c r="S748" s="9">
        <f t="shared" si="547"/>
        <v>0</v>
      </c>
      <c r="T748" s="20"/>
      <c r="U748" s="35"/>
      <c r="V748" s="21"/>
      <c r="W748" s="38"/>
      <c r="X748" s="9">
        <f t="shared" si="548"/>
        <v>0</v>
      </c>
      <c r="Y748" s="11">
        <f t="shared" si="527"/>
        <v>0</v>
      </c>
    </row>
    <row r="749" spans="1:29" x14ac:dyDescent="0.15">
      <c r="A749" s="59" t="s">
        <v>27</v>
      </c>
      <c r="B749" s="20"/>
      <c r="C749" s="35">
        <v>2</v>
      </c>
      <c r="D749" s="21">
        <v>1</v>
      </c>
      <c r="E749" s="24"/>
      <c r="F749" s="25">
        <f t="shared" si="541"/>
        <v>3</v>
      </c>
      <c r="G749" s="20"/>
      <c r="H749" s="35"/>
      <c r="I749" s="21">
        <v>1</v>
      </c>
      <c r="J749" s="24"/>
      <c r="K749" s="25">
        <f t="shared" si="542"/>
        <v>1</v>
      </c>
      <c r="L749" s="11">
        <f t="shared" si="536"/>
        <v>4</v>
      </c>
      <c r="M749" s="71">
        <v>45441</v>
      </c>
      <c r="N749" s="40"/>
      <c r="O749" s="48"/>
      <c r="P749" s="49"/>
      <c r="Q749" s="50"/>
      <c r="R749" s="72"/>
      <c r="S749" s="74">
        <f t="shared" si="547"/>
        <v>0</v>
      </c>
      <c r="T749" s="48"/>
      <c r="U749" s="49"/>
      <c r="V749" s="50"/>
      <c r="W749" s="72"/>
      <c r="X749" s="74">
        <f t="shared" si="548"/>
        <v>0</v>
      </c>
      <c r="Y749" s="11">
        <f t="shared" si="527"/>
        <v>0</v>
      </c>
    </row>
    <row r="750" spans="1:29" x14ac:dyDescent="0.15">
      <c r="A750" s="59" t="s">
        <v>27</v>
      </c>
      <c r="B750" s="20"/>
      <c r="C750" s="35"/>
      <c r="D750" s="21"/>
      <c r="E750" s="24">
        <v>2</v>
      </c>
      <c r="F750" s="25">
        <f t="shared" si="541"/>
        <v>2</v>
      </c>
      <c r="G750" s="20"/>
      <c r="H750" s="35"/>
      <c r="I750" s="21"/>
      <c r="J750" s="24"/>
      <c r="K750" s="25">
        <f t="shared" si="542"/>
        <v>0</v>
      </c>
      <c r="L750" s="11">
        <f t="shared" si="536"/>
        <v>2</v>
      </c>
      <c r="M750" s="71">
        <v>45443</v>
      </c>
      <c r="N750" s="12"/>
      <c r="O750" s="20"/>
      <c r="P750" s="35"/>
      <c r="Q750" s="21"/>
      <c r="R750" s="38"/>
      <c r="S750" s="9">
        <f t="shared" si="547"/>
        <v>0</v>
      </c>
      <c r="T750" s="20"/>
      <c r="U750" s="35"/>
      <c r="V750" s="21"/>
      <c r="W750" s="38"/>
      <c r="X750" s="9">
        <f t="shared" si="548"/>
        <v>0</v>
      </c>
      <c r="Y750" s="47">
        <f t="shared" si="527"/>
        <v>0</v>
      </c>
    </row>
    <row r="751" spans="1:29" x14ac:dyDescent="0.15">
      <c r="A751" s="59" t="s">
        <v>27</v>
      </c>
      <c r="B751" s="20"/>
      <c r="C751" s="35"/>
      <c r="D751" s="21">
        <v>1</v>
      </c>
      <c r="E751" s="24">
        <v>1</v>
      </c>
      <c r="F751" s="25">
        <f t="shared" si="541"/>
        <v>2</v>
      </c>
      <c r="G751" s="20"/>
      <c r="H751" s="35"/>
      <c r="I751" s="21">
        <v>1</v>
      </c>
      <c r="J751" s="24">
        <v>1</v>
      </c>
      <c r="K751" s="25">
        <f t="shared" si="542"/>
        <v>2</v>
      </c>
      <c r="L751" s="11">
        <f t="shared" si="536"/>
        <v>4</v>
      </c>
      <c r="M751" s="71">
        <v>45446</v>
      </c>
      <c r="N751" s="12"/>
      <c r="O751" s="20"/>
      <c r="P751" s="35"/>
      <c r="Q751" s="21"/>
      <c r="R751" s="38"/>
      <c r="S751" s="9">
        <f t="shared" si="547"/>
        <v>0</v>
      </c>
      <c r="T751" s="20"/>
      <c r="U751" s="35"/>
      <c r="V751" s="21"/>
      <c r="W751" s="38"/>
      <c r="X751" s="9">
        <f t="shared" si="548"/>
        <v>0</v>
      </c>
      <c r="Y751" s="47">
        <f t="shared" si="527"/>
        <v>0</v>
      </c>
      <c r="Z751" s="162"/>
      <c r="AA751" s="41"/>
      <c r="AB751" s="41"/>
      <c r="AC751" s="41"/>
    </row>
    <row r="752" spans="1:29" x14ac:dyDescent="0.15">
      <c r="A752" s="12" t="s">
        <v>469</v>
      </c>
      <c r="B752" s="20">
        <v>5</v>
      </c>
      <c r="C752" s="35">
        <v>5</v>
      </c>
      <c r="D752" s="21"/>
      <c r="E752" s="24"/>
      <c r="F752" s="25">
        <f t="shared" si="541"/>
        <v>10</v>
      </c>
      <c r="G752" s="20"/>
      <c r="H752" s="35">
        <v>15</v>
      </c>
      <c r="I752" s="21">
        <v>5</v>
      </c>
      <c r="J752" s="24"/>
      <c r="K752" s="25">
        <f t="shared" si="542"/>
        <v>20</v>
      </c>
      <c r="L752" s="11">
        <f t="shared" si="536"/>
        <v>30</v>
      </c>
      <c r="M752" s="69">
        <v>45449</v>
      </c>
      <c r="N752" s="104" t="s">
        <v>465</v>
      </c>
      <c r="O752" s="154"/>
      <c r="P752" s="156"/>
      <c r="Q752" s="155"/>
      <c r="R752" s="159"/>
      <c r="S752" s="158">
        <f t="shared" si="547"/>
        <v>0</v>
      </c>
      <c r="T752" s="154"/>
      <c r="U752" s="156"/>
      <c r="V752" s="155"/>
      <c r="W752" s="159"/>
      <c r="X752" s="158">
        <f t="shared" si="548"/>
        <v>0</v>
      </c>
      <c r="Y752" s="160">
        <f t="shared" si="527"/>
        <v>0</v>
      </c>
      <c r="Z752" s="167"/>
      <c r="AA752" s="41"/>
      <c r="AB752" s="41"/>
      <c r="AC752" s="41"/>
    </row>
    <row r="753" spans="1:29" x14ac:dyDescent="0.15">
      <c r="A753" s="59" t="s">
        <v>27</v>
      </c>
      <c r="B753" s="20">
        <v>1</v>
      </c>
      <c r="C753" s="35">
        <v>3</v>
      </c>
      <c r="D753" s="21"/>
      <c r="E753" s="24">
        <v>1</v>
      </c>
      <c r="F753" s="25">
        <f t="shared" si="541"/>
        <v>5</v>
      </c>
      <c r="G753" s="20">
        <v>1</v>
      </c>
      <c r="H753" s="35"/>
      <c r="I753" s="21">
        <v>5</v>
      </c>
      <c r="J753" s="24"/>
      <c r="K753" s="25">
        <f t="shared" si="542"/>
        <v>6</v>
      </c>
      <c r="L753" s="11">
        <f t="shared" si="536"/>
        <v>11</v>
      </c>
      <c r="M753" s="71">
        <v>45448</v>
      </c>
      <c r="N753" s="12" t="s">
        <v>479</v>
      </c>
      <c r="O753" s="20"/>
      <c r="P753" s="35"/>
      <c r="Q753" s="21"/>
      <c r="R753" s="38"/>
      <c r="S753" s="9">
        <f t="shared" si="547"/>
        <v>0</v>
      </c>
      <c r="T753" s="20"/>
      <c r="U753" s="35"/>
      <c r="V753" s="21"/>
      <c r="W753" s="38"/>
      <c r="X753" s="9">
        <f t="shared" si="548"/>
        <v>0</v>
      </c>
      <c r="Y753" s="47">
        <f t="shared" si="527"/>
        <v>0</v>
      </c>
      <c r="Z753" s="69">
        <v>45454</v>
      </c>
      <c r="AA753" s="41"/>
      <c r="AB753" s="41"/>
      <c r="AC753" s="41"/>
    </row>
    <row r="754" spans="1:29" x14ac:dyDescent="0.15">
      <c r="A754" s="12" t="s">
        <v>471</v>
      </c>
      <c r="B754" s="20"/>
      <c r="C754" s="35"/>
      <c r="D754" s="21"/>
      <c r="E754" s="24">
        <v>15</v>
      </c>
      <c r="F754" s="25">
        <f t="shared" si="541"/>
        <v>15</v>
      </c>
      <c r="G754" s="20">
        <v>5</v>
      </c>
      <c r="H754" s="35"/>
      <c r="I754" s="21"/>
      <c r="J754" s="24"/>
      <c r="K754" s="25">
        <f t="shared" si="542"/>
        <v>5</v>
      </c>
      <c r="L754" s="11">
        <f t="shared" si="536"/>
        <v>20</v>
      </c>
      <c r="M754" s="69">
        <v>45450</v>
      </c>
      <c r="N754" s="12" t="s">
        <v>480</v>
      </c>
      <c r="O754" s="20"/>
      <c r="P754" s="35"/>
      <c r="Q754" s="21"/>
      <c r="R754" s="38"/>
      <c r="S754" s="9">
        <f t="shared" si="547"/>
        <v>0</v>
      </c>
      <c r="T754" s="20"/>
      <c r="U754" s="35"/>
      <c r="V754" s="21"/>
      <c r="W754" s="38"/>
      <c r="X754" s="9">
        <f t="shared" si="548"/>
        <v>0</v>
      </c>
      <c r="Y754" s="47">
        <f t="shared" si="527"/>
        <v>0</v>
      </c>
      <c r="Z754" s="69">
        <v>45453</v>
      </c>
      <c r="AA754" s="41"/>
      <c r="AB754" s="41"/>
      <c r="AC754" s="41"/>
    </row>
    <row r="755" spans="1:29" x14ac:dyDescent="0.15">
      <c r="A755" s="59" t="s">
        <v>421</v>
      </c>
      <c r="B755" s="20"/>
      <c r="C755" s="35"/>
      <c r="D755" s="21">
        <v>1</v>
      </c>
      <c r="E755" s="24"/>
      <c r="F755" s="25">
        <f t="shared" si="541"/>
        <v>1</v>
      </c>
      <c r="G755" s="20"/>
      <c r="H755" s="35"/>
      <c r="I755" s="21">
        <v>1</v>
      </c>
      <c r="J755" s="24"/>
      <c r="K755" s="25">
        <f t="shared" si="542"/>
        <v>1</v>
      </c>
      <c r="L755" s="11">
        <f t="shared" si="536"/>
        <v>2</v>
      </c>
      <c r="M755" s="69">
        <v>45450</v>
      </c>
      <c r="N755" s="12" t="s">
        <v>481</v>
      </c>
      <c r="O755" s="20"/>
      <c r="P755" s="35"/>
      <c r="Q755" s="21"/>
      <c r="R755" s="38"/>
      <c r="S755" s="9">
        <f t="shared" si="547"/>
        <v>0</v>
      </c>
      <c r="T755" s="20"/>
      <c r="U755" s="35"/>
      <c r="V755" s="21"/>
      <c r="W755" s="38"/>
      <c r="X755" s="9">
        <f t="shared" si="548"/>
        <v>0</v>
      </c>
      <c r="Y755" s="11">
        <f t="shared" si="527"/>
        <v>0</v>
      </c>
      <c r="Z755" s="162" t="s">
        <v>435</v>
      </c>
      <c r="AA755" s="41"/>
      <c r="AB755" s="41"/>
      <c r="AC755" s="41"/>
    </row>
    <row r="756" spans="1:29" ht="14.25" thickBot="1" x14ac:dyDescent="0.2">
      <c r="A756" s="59" t="s">
        <v>27</v>
      </c>
      <c r="B756" s="43">
        <v>1</v>
      </c>
      <c r="C756" s="44">
        <v>2</v>
      </c>
      <c r="D756" s="45"/>
      <c r="E756" s="46">
        <v>3</v>
      </c>
      <c r="F756" s="25">
        <f t="shared" si="541"/>
        <v>6</v>
      </c>
      <c r="G756" s="43">
        <v>2</v>
      </c>
      <c r="H756" s="44"/>
      <c r="I756" s="45"/>
      <c r="J756" s="46"/>
      <c r="K756" s="25">
        <f t="shared" si="542"/>
        <v>2</v>
      </c>
      <c r="L756" s="14">
        <f t="shared" si="536"/>
        <v>8</v>
      </c>
      <c r="M756" s="69">
        <v>45449</v>
      </c>
      <c r="N756" s="99" t="s">
        <v>482</v>
      </c>
      <c r="O756" s="43"/>
      <c r="P756" s="44"/>
      <c r="Q756" s="45"/>
      <c r="R756" s="100"/>
      <c r="S756" s="10">
        <f t="shared" si="547"/>
        <v>0</v>
      </c>
      <c r="T756" s="43"/>
      <c r="U756" s="44"/>
      <c r="V756" s="45"/>
      <c r="W756" s="100"/>
      <c r="X756" s="10">
        <f t="shared" si="548"/>
        <v>0</v>
      </c>
      <c r="Y756" s="75">
        <f t="shared" si="527"/>
        <v>0</v>
      </c>
      <c r="Z756" s="162" t="s">
        <v>428</v>
      </c>
      <c r="AA756" s="41"/>
      <c r="AB756" s="41"/>
      <c r="AC756" s="41"/>
    </row>
    <row r="757" spans="1:29" ht="14.25" thickBot="1" x14ac:dyDescent="0.2">
      <c r="A757" s="16" t="s">
        <v>9</v>
      </c>
      <c r="B757" s="28">
        <f>SUM(B732:B756)</f>
        <v>15</v>
      </c>
      <c r="C757" s="36">
        <f>SUM(C732:C756)</f>
        <v>31</v>
      </c>
      <c r="D757" s="29">
        <f>SUM(D732:D756)</f>
        <v>18</v>
      </c>
      <c r="E757" s="30">
        <f>SUM(E732:E756)</f>
        <v>31</v>
      </c>
      <c r="F757" s="26">
        <f>SUM(B757:E757)</f>
        <v>95</v>
      </c>
      <c r="G757" s="28">
        <f>SUM(G732:G756)</f>
        <v>17</v>
      </c>
      <c r="H757" s="36">
        <f>SUM(H732:H756)</f>
        <v>32</v>
      </c>
      <c r="I757" s="29">
        <f>SUM(I732:I756)</f>
        <v>26</v>
      </c>
      <c r="J757" s="30">
        <f>SUM(J732:J756)</f>
        <v>11</v>
      </c>
      <c r="K757" s="26">
        <f>SUM(G757:J757)</f>
        <v>86</v>
      </c>
      <c r="L757" s="27">
        <f t="shared" si="536"/>
        <v>181</v>
      </c>
      <c r="N757" s="61" t="s">
        <v>9</v>
      </c>
      <c r="O757" s="28">
        <f>SUM(O732:O756)</f>
        <v>51</v>
      </c>
      <c r="P757" s="36">
        <f>SUM(P732:P756)</f>
        <v>69</v>
      </c>
      <c r="Q757" s="29">
        <f>SUM(Q732:Q756)</f>
        <v>45</v>
      </c>
      <c r="R757" s="30">
        <f>SUM(R732:R756)</f>
        <v>35</v>
      </c>
      <c r="S757" s="60">
        <f t="shared" si="547"/>
        <v>200</v>
      </c>
      <c r="T757" s="28">
        <f>SUM(T732:T756)</f>
        <v>62</v>
      </c>
      <c r="U757" s="36">
        <f>SUM(U732:U756)</f>
        <v>95</v>
      </c>
      <c r="V757" s="29">
        <f>SUM(V732:V756)</f>
        <v>57</v>
      </c>
      <c r="W757" s="30">
        <f>SUM(W732:W756)</f>
        <v>15</v>
      </c>
      <c r="X757" s="60">
        <f t="shared" si="548"/>
        <v>229</v>
      </c>
      <c r="Y757" s="63">
        <f t="shared" si="527"/>
        <v>429</v>
      </c>
    </row>
    <row r="758" spans="1:29" ht="14.25" thickBot="1" x14ac:dyDescent="0.2">
      <c r="A758" s="18" t="s">
        <v>10</v>
      </c>
      <c r="B758" s="31">
        <f t="shared" ref="B758:K758" si="549">B731-B757</f>
        <v>28</v>
      </c>
      <c r="C758" s="37">
        <f t="shared" si="549"/>
        <v>39</v>
      </c>
      <c r="D758" s="32">
        <f t="shared" si="549"/>
        <v>29</v>
      </c>
      <c r="E758" s="33">
        <f t="shared" si="549"/>
        <v>14</v>
      </c>
      <c r="F758" s="42">
        <f t="shared" si="549"/>
        <v>110</v>
      </c>
      <c r="G758" s="31">
        <f t="shared" si="549"/>
        <v>25</v>
      </c>
      <c r="H758" s="37">
        <f t="shared" si="549"/>
        <v>32</v>
      </c>
      <c r="I758" s="32">
        <f t="shared" si="549"/>
        <v>30</v>
      </c>
      <c r="J758" s="33">
        <f t="shared" si="549"/>
        <v>32</v>
      </c>
      <c r="K758" s="42">
        <f t="shared" si="549"/>
        <v>119</v>
      </c>
      <c r="L758" s="17">
        <f t="shared" si="536"/>
        <v>229</v>
      </c>
      <c r="N758" s="16" t="s">
        <v>10</v>
      </c>
      <c r="O758" s="31">
        <f t="shared" ref="O758:X758" si="550">O731-O757</f>
        <v>282</v>
      </c>
      <c r="P758" s="37">
        <f t="shared" si="550"/>
        <v>146</v>
      </c>
      <c r="Q758" s="32">
        <f t="shared" si="550"/>
        <v>320</v>
      </c>
      <c r="R758" s="33">
        <f t="shared" si="550"/>
        <v>331</v>
      </c>
      <c r="S758" s="42">
        <f t="shared" si="550"/>
        <v>1079</v>
      </c>
      <c r="T758" s="31">
        <f t="shared" si="550"/>
        <v>227</v>
      </c>
      <c r="U758" s="37">
        <f t="shared" si="550"/>
        <v>108</v>
      </c>
      <c r="V758" s="32">
        <f t="shared" si="550"/>
        <v>178</v>
      </c>
      <c r="W758" s="33">
        <f t="shared" si="550"/>
        <v>276</v>
      </c>
      <c r="X758" s="42">
        <f t="shared" si="550"/>
        <v>789</v>
      </c>
      <c r="Y758" s="17">
        <f t="shared" si="527"/>
        <v>1868</v>
      </c>
    </row>
    <row r="761" spans="1:29" ht="19.5" thickBot="1" x14ac:dyDescent="0.25">
      <c r="A761" s="2" t="s">
        <v>17</v>
      </c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N761" s="2" t="s">
        <v>18</v>
      </c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1"/>
    </row>
    <row r="762" spans="1:29" ht="14.25" thickBot="1" x14ac:dyDescent="0.2">
      <c r="A762" s="5" t="s">
        <v>0</v>
      </c>
      <c r="B762" s="244" t="s">
        <v>19</v>
      </c>
      <c r="C762" s="245"/>
      <c r="D762" s="245"/>
      <c r="E762" s="245"/>
      <c r="F762" s="246"/>
      <c r="G762" s="247" t="s">
        <v>20</v>
      </c>
      <c r="H762" s="248"/>
      <c r="I762" s="248"/>
      <c r="J762" s="248"/>
      <c r="K762" s="249"/>
      <c r="L762" s="250" t="s">
        <v>1</v>
      </c>
      <c r="N762" s="5" t="s">
        <v>0</v>
      </c>
      <c r="O762" s="244" t="s">
        <v>19</v>
      </c>
      <c r="P762" s="245"/>
      <c r="Q762" s="245"/>
      <c r="R762" s="245"/>
      <c r="S762" s="246"/>
      <c r="T762" s="247" t="s">
        <v>20</v>
      </c>
      <c r="U762" s="248"/>
      <c r="V762" s="248"/>
      <c r="W762" s="248"/>
      <c r="X762" s="249"/>
      <c r="Y762" s="250" t="s">
        <v>1</v>
      </c>
    </row>
    <row r="763" spans="1:29" ht="14.25" thickBot="1" x14ac:dyDescent="0.2">
      <c r="A763" s="5" t="s">
        <v>2</v>
      </c>
      <c r="B763" s="3" t="s">
        <v>11</v>
      </c>
      <c r="C763" s="34" t="s">
        <v>12</v>
      </c>
      <c r="D763" s="4" t="s">
        <v>13</v>
      </c>
      <c r="E763" s="19" t="s">
        <v>14</v>
      </c>
      <c r="F763" s="23" t="s">
        <v>3</v>
      </c>
      <c r="G763" s="3" t="s">
        <v>11</v>
      </c>
      <c r="H763" s="34" t="s">
        <v>12</v>
      </c>
      <c r="I763" s="4" t="s">
        <v>13</v>
      </c>
      <c r="J763" s="19" t="s">
        <v>14</v>
      </c>
      <c r="K763" s="23" t="s">
        <v>3</v>
      </c>
      <c r="L763" s="251"/>
      <c r="N763" s="5" t="s">
        <v>2</v>
      </c>
      <c r="O763" s="53" t="s">
        <v>11</v>
      </c>
      <c r="P763" s="54" t="s">
        <v>12</v>
      </c>
      <c r="Q763" s="55" t="s">
        <v>13</v>
      </c>
      <c r="R763" s="56" t="s">
        <v>14</v>
      </c>
      <c r="S763" s="23" t="s">
        <v>3</v>
      </c>
      <c r="T763" s="3" t="s">
        <v>11</v>
      </c>
      <c r="U763" s="34" t="s">
        <v>12</v>
      </c>
      <c r="V763" s="4" t="s">
        <v>13</v>
      </c>
      <c r="W763" s="19" t="s">
        <v>14</v>
      </c>
      <c r="X763" s="23" t="s">
        <v>3</v>
      </c>
      <c r="Y763" s="251"/>
    </row>
    <row r="764" spans="1:29" ht="14.25" thickBot="1" x14ac:dyDescent="0.2">
      <c r="A764" s="18" t="s">
        <v>15</v>
      </c>
      <c r="B764" s="31">
        <f>B758</f>
        <v>28</v>
      </c>
      <c r="C764" s="32">
        <f>C758</f>
        <v>39</v>
      </c>
      <c r="D764" s="32">
        <f>D758</f>
        <v>29</v>
      </c>
      <c r="E764" s="33">
        <f>E758</f>
        <v>14</v>
      </c>
      <c r="F764" s="86">
        <f>SUM(B764:E764)</f>
        <v>110</v>
      </c>
      <c r="G764" s="31">
        <f>G758</f>
        <v>25</v>
      </c>
      <c r="H764" s="32">
        <f>H758</f>
        <v>32</v>
      </c>
      <c r="I764" s="32">
        <f>I758</f>
        <v>30</v>
      </c>
      <c r="J764" s="33">
        <f>J758</f>
        <v>32</v>
      </c>
      <c r="K764" s="80">
        <f>SUM(G764:J764)</f>
        <v>119</v>
      </c>
      <c r="L764" s="17">
        <f>F764+K764</f>
        <v>229</v>
      </c>
      <c r="N764" s="18" t="s">
        <v>15</v>
      </c>
      <c r="O764" s="31">
        <f>O758</f>
        <v>282</v>
      </c>
      <c r="P764" s="32">
        <f>P758</f>
        <v>146</v>
      </c>
      <c r="Q764" s="32">
        <f>Q758</f>
        <v>320</v>
      </c>
      <c r="R764" s="33">
        <f>R758</f>
        <v>331</v>
      </c>
      <c r="S764" s="86">
        <f>SUM(O764:R764)</f>
        <v>1079</v>
      </c>
      <c r="T764" s="31">
        <f>T758</f>
        <v>227</v>
      </c>
      <c r="U764" s="32">
        <f>U758</f>
        <v>108</v>
      </c>
      <c r="V764" s="32">
        <f>V758</f>
        <v>178</v>
      </c>
      <c r="W764" s="33">
        <f>W758</f>
        <v>276</v>
      </c>
      <c r="X764" s="80">
        <f>SUM(T764:W764)</f>
        <v>789</v>
      </c>
      <c r="Y764" s="17">
        <f t="shared" ref="Y764:Y796" si="551">S764+X764</f>
        <v>1868</v>
      </c>
    </row>
    <row r="765" spans="1:29" x14ac:dyDescent="0.15">
      <c r="A765" s="13" t="s">
        <v>4</v>
      </c>
      <c r="B765" s="20">
        <v>10</v>
      </c>
      <c r="C765" s="35">
        <v>10</v>
      </c>
      <c r="D765" s="21">
        <v>5</v>
      </c>
      <c r="E765" s="24">
        <v>20</v>
      </c>
      <c r="F765" s="25">
        <f t="shared" ref="F765:F768" si="552">SUM(B765:E765)</f>
        <v>45</v>
      </c>
      <c r="G765" s="20">
        <v>10</v>
      </c>
      <c r="H765" s="35">
        <v>10</v>
      </c>
      <c r="I765" s="21">
        <v>5</v>
      </c>
      <c r="J765" s="24">
        <v>5</v>
      </c>
      <c r="K765" s="25">
        <f t="shared" ref="K765:K768" si="553">SUM(G765:J765)</f>
        <v>30</v>
      </c>
      <c r="L765" s="11">
        <f t="shared" ref="L765:L796" si="554">F765+K765</f>
        <v>75</v>
      </c>
      <c r="M765" s="69">
        <v>45455</v>
      </c>
      <c r="N765" s="59" t="s">
        <v>140</v>
      </c>
      <c r="O765" s="48"/>
      <c r="P765" s="49"/>
      <c r="Q765" s="50"/>
      <c r="R765" s="51"/>
      <c r="S765" s="85">
        <f t="shared" ref="S765:S766" si="555">SUM(O765:R765)</f>
        <v>0</v>
      </c>
      <c r="T765" s="48"/>
      <c r="U765" s="49">
        <v>-2</v>
      </c>
      <c r="V765" s="50"/>
      <c r="W765" s="51"/>
      <c r="X765" s="74">
        <f t="shared" ref="X765:X766" si="556">SUM(T765:W765)</f>
        <v>-2</v>
      </c>
      <c r="Y765" s="11">
        <f t="shared" ref="Y765:Y766" si="557">S765+X765</f>
        <v>-2</v>
      </c>
      <c r="Z765" s="71">
        <v>45477</v>
      </c>
    </row>
    <row r="766" spans="1:29" x14ac:dyDescent="0.15">
      <c r="A766" s="13" t="s">
        <v>305</v>
      </c>
      <c r="B766" s="20"/>
      <c r="C766" s="35"/>
      <c r="D766" s="21">
        <v>1</v>
      </c>
      <c r="E766" s="24"/>
      <c r="F766" s="25">
        <f t="shared" si="552"/>
        <v>1</v>
      </c>
      <c r="G766" s="20"/>
      <c r="H766" s="35"/>
      <c r="I766" s="21">
        <v>1</v>
      </c>
      <c r="J766" s="24"/>
      <c r="K766" s="25">
        <f t="shared" si="553"/>
        <v>1</v>
      </c>
      <c r="L766" s="11">
        <f t="shared" si="554"/>
        <v>2</v>
      </c>
      <c r="M766" s="69">
        <v>45455</v>
      </c>
      <c r="N766" s="59" t="s">
        <v>466</v>
      </c>
      <c r="O766" s="48"/>
      <c r="P766" s="49"/>
      <c r="Q766" s="50"/>
      <c r="R766" s="51"/>
      <c r="S766" s="85">
        <f t="shared" si="555"/>
        <v>0</v>
      </c>
      <c r="T766" s="48"/>
      <c r="U766" s="49">
        <v>150</v>
      </c>
      <c r="V766" s="50"/>
      <c r="W766" s="51"/>
      <c r="X766" s="74">
        <f t="shared" si="556"/>
        <v>150</v>
      </c>
      <c r="Y766" s="11">
        <f t="shared" si="557"/>
        <v>150</v>
      </c>
      <c r="Z766" s="69" t="s">
        <v>510</v>
      </c>
    </row>
    <row r="767" spans="1:29" x14ac:dyDescent="0.15">
      <c r="A767" s="13" t="s">
        <v>192</v>
      </c>
      <c r="B767" s="20">
        <v>1</v>
      </c>
      <c r="C767" s="35"/>
      <c r="D767" s="21"/>
      <c r="E767" s="24">
        <v>2</v>
      </c>
      <c r="F767" s="25">
        <f t="shared" si="552"/>
        <v>3</v>
      </c>
      <c r="G767" s="20"/>
      <c r="H767" s="35"/>
      <c r="I767" s="21"/>
      <c r="J767" s="24"/>
      <c r="K767" s="25">
        <f t="shared" si="553"/>
        <v>0</v>
      </c>
      <c r="L767" s="11">
        <f t="shared" si="554"/>
        <v>3</v>
      </c>
      <c r="M767" s="69">
        <v>45462</v>
      </c>
      <c r="N767" s="59" t="s">
        <v>509</v>
      </c>
      <c r="O767" s="48"/>
      <c r="P767" s="49">
        <v>10</v>
      </c>
      <c r="Q767" s="50"/>
      <c r="R767" s="51"/>
      <c r="S767" s="85">
        <f t="shared" ref="S767" si="558">SUM(O767:R767)</f>
        <v>10</v>
      </c>
      <c r="T767" s="48"/>
      <c r="U767" s="49"/>
      <c r="V767" s="50"/>
      <c r="W767" s="51"/>
      <c r="X767" s="74">
        <f t="shared" ref="X767" si="559">SUM(T767:W767)</f>
        <v>0</v>
      </c>
      <c r="Y767" s="11">
        <f t="shared" si="551"/>
        <v>10</v>
      </c>
      <c r="Z767" s="69">
        <v>45493</v>
      </c>
      <c r="AA767" s="41"/>
    </row>
    <row r="768" spans="1:29" ht="14.25" thickBot="1" x14ac:dyDescent="0.2">
      <c r="A768" s="13" t="s">
        <v>7</v>
      </c>
      <c r="B768" s="48">
        <v>5</v>
      </c>
      <c r="C768" s="49">
        <v>10</v>
      </c>
      <c r="D768" s="50">
        <v>10</v>
      </c>
      <c r="E768" s="51"/>
      <c r="F768" s="52">
        <f t="shared" si="552"/>
        <v>25</v>
      </c>
      <c r="G768" s="48">
        <v>10</v>
      </c>
      <c r="H768" s="49">
        <v>15</v>
      </c>
      <c r="I768" s="50">
        <v>5</v>
      </c>
      <c r="J768" s="51">
        <v>5</v>
      </c>
      <c r="K768" s="52">
        <f t="shared" si="553"/>
        <v>35</v>
      </c>
      <c r="L768" s="11">
        <f t="shared" si="554"/>
        <v>60</v>
      </c>
      <c r="M768" s="69">
        <v>45467</v>
      </c>
      <c r="N768" s="13" t="s">
        <v>6</v>
      </c>
      <c r="O768" s="43">
        <v>-13</v>
      </c>
      <c r="P768" s="44">
        <v>18</v>
      </c>
      <c r="Q768" s="45">
        <v>-21</v>
      </c>
      <c r="R768" s="46">
        <v>-4</v>
      </c>
      <c r="S768" s="58">
        <f>SUM(O768:R768)</f>
        <v>-20</v>
      </c>
      <c r="T768" s="35">
        <v>-4</v>
      </c>
      <c r="U768" s="35">
        <v>-7</v>
      </c>
      <c r="V768" s="21">
        <v>-24</v>
      </c>
      <c r="W768" s="38">
        <v>1</v>
      </c>
      <c r="X768" s="10">
        <f>SUM(T768:W768)</f>
        <v>-34</v>
      </c>
      <c r="Y768" s="14">
        <f t="shared" si="551"/>
        <v>-54</v>
      </c>
    </row>
    <row r="769" spans="1:28" ht="14.25" thickBot="1" x14ac:dyDescent="0.2">
      <c r="A769" s="18" t="s">
        <v>8</v>
      </c>
      <c r="B769" s="76">
        <f t="shared" ref="B769:K769" si="560">SUM(B764:B768)</f>
        <v>44</v>
      </c>
      <c r="C769" s="77">
        <f t="shared" si="560"/>
        <v>59</v>
      </c>
      <c r="D769" s="78">
        <f t="shared" si="560"/>
        <v>45</v>
      </c>
      <c r="E769" s="79">
        <f t="shared" si="560"/>
        <v>36</v>
      </c>
      <c r="F769" s="80">
        <f t="shared" si="560"/>
        <v>184</v>
      </c>
      <c r="G769" s="76">
        <f t="shared" si="560"/>
        <v>45</v>
      </c>
      <c r="H769" s="77">
        <f t="shared" si="560"/>
        <v>57</v>
      </c>
      <c r="I769" s="78">
        <f t="shared" si="560"/>
        <v>41</v>
      </c>
      <c r="J769" s="79">
        <f t="shared" si="560"/>
        <v>42</v>
      </c>
      <c r="K769" s="80">
        <f t="shared" si="560"/>
        <v>185</v>
      </c>
      <c r="L769" s="17">
        <f t="shared" si="554"/>
        <v>369</v>
      </c>
      <c r="N769" s="16" t="s">
        <v>8</v>
      </c>
      <c r="O769" s="31">
        <f t="shared" ref="O769:X769" si="561">SUM(O764:O768)</f>
        <v>269</v>
      </c>
      <c r="P769" s="37">
        <f t="shared" si="561"/>
        <v>174</v>
      </c>
      <c r="Q769" s="32">
        <f t="shared" si="561"/>
        <v>299</v>
      </c>
      <c r="R769" s="82">
        <f t="shared" si="561"/>
        <v>327</v>
      </c>
      <c r="S769" s="83">
        <f t="shared" si="561"/>
        <v>1069</v>
      </c>
      <c r="T769" s="31">
        <f t="shared" si="561"/>
        <v>223</v>
      </c>
      <c r="U769" s="37">
        <f t="shared" si="561"/>
        <v>249</v>
      </c>
      <c r="V769" s="32">
        <f t="shared" si="561"/>
        <v>154</v>
      </c>
      <c r="W769" s="82">
        <f t="shared" si="561"/>
        <v>277</v>
      </c>
      <c r="X769" s="83">
        <f t="shared" si="561"/>
        <v>903</v>
      </c>
      <c r="Y769" s="39">
        <f t="shared" si="551"/>
        <v>1972</v>
      </c>
    </row>
    <row r="770" spans="1:28" x14ac:dyDescent="0.15">
      <c r="A770" s="59" t="s">
        <v>470</v>
      </c>
      <c r="B770" s="20"/>
      <c r="C770" s="35">
        <v>5</v>
      </c>
      <c r="D770" s="21">
        <v>2</v>
      </c>
      <c r="E770" s="24"/>
      <c r="F770" s="25">
        <f t="shared" ref="F770:F794" si="562">SUM(B770:E770)</f>
        <v>7</v>
      </c>
      <c r="G770" s="20">
        <v>2</v>
      </c>
      <c r="H770" s="35">
        <v>8</v>
      </c>
      <c r="I770" s="21">
        <v>2</v>
      </c>
      <c r="J770" s="24"/>
      <c r="K770" s="25">
        <f t="shared" ref="K770:K794" si="563">SUM(G770:J770)</f>
        <v>12</v>
      </c>
      <c r="L770" s="11">
        <f t="shared" si="554"/>
        <v>19</v>
      </c>
      <c r="M770" s="69">
        <v>45450</v>
      </c>
      <c r="N770" s="12" t="s">
        <v>492</v>
      </c>
      <c r="O770" s="20"/>
      <c r="P770" s="35"/>
      <c r="Q770" s="21"/>
      <c r="R770" s="38">
        <v>5</v>
      </c>
      <c r="S770" s="9">
        <f t="shared" ref="S770:S782" si="564">SUM(O770:R770)</f>
        <v>5</v>
      </c>
      <c r="T770" s="20"/>
      <c r="U770" s="35"/>
      <c r="V770" s="21"/>
      <c r="W770" s="38"/>
      <c r="X770" s="98">
        <f t="shared" ref="X770:X782" si="565">SUM(T770:W770)</f>
        <v>0</v>
      </c>
      <c r="Y770" s="11">
        <f t="shared" si="551"/>
        <v>5</v>
      </c>
      <c r="Z770" s="69">
        <v>45475</v>
      </c>
      <c r="AA770" s="41"/>
      <c r="AB770" s="41"/>
    </row>
    <row r="771" spans="1:28" x14ac:dyDescent="0.15">
      <c r="A771" s="12" t="s">
        <v>473</v>
      </c>
      <c r="B771" s="20"/>
      <c r="C771" s="35"/>
      <c r="D771" s="21"/>
      <c r="E771" s="24"/>
      <c r="F771" s="25">
        <f t="shared" si="562"/>
        <v>0</v>
      </c>
      <c r="G771" s="20">
        <v>3</v>
      </c>
      <c r="H771" s="35"/>
      <c r="I771" s="21"/>
      <c r="J771" s="24">
        <v>5</v>
      </c>
      <c r="K771" s="25">
        <f t="shared" si="563"/>
        <v>8</v>
      </c>
      <c r="L771" s="11">
        <f t="shared" si="554"/>
        <v>8</v>
      </c>
      <c r="M771" s="69">
        <v>45451</v>
      </c>
      <c r="N771" s="12" t="s">
        <v>495</v>
      </c>
      <c r="O771" s="20">
        <v>10</v>
      </c>
      <c r="P771" s="35">
        <v>10</v>
      </c>
      <c r="Q771" s="21">
        <v>10</v>
      </c>
      <c r="R771" s="38">
        <v>10</v>
      </c>
      <c r="S771" s="9">
        <f t="shared" si="564"/>
        <v>40</v>
      </c>
      <c r="T771" s="20">
        <v>10</v>
      </c>
      <c r="U771" s="35">
        <v>10</v>
      </c>
      <c r="V771" s="21">
        <v>10</v>
      </c>
      <c r="W771" s="38">
        <v>10</v>
      </c>
      <c r="X771" s="9">
        <f t="shared" si="565"/>
        <v>40</v>
      </c>
      <c r="Y771" s="11">
        <f t="shared" si="551"/>
        <v>80</v>
      </c>
      <c r="Z771" s="69">
        <v>45477</v>
      </c>
    </row>
    <row r="772" spans="1:28" x14ac:dyDescent="0.15">
      <c r="A772" s="59" t="s">
        <v>472</v>
      </c>
      <c r="B772" s="20">
        <v>1</v>
      </c>
      <c r="C772" s="35"/>
      <c r="D772" s="21"/>
      <c r="E772" s="24"/>
      <c r="F772" s="25">
        <f t="shared" si="562"/>
        <v>1</v>
      </c>
      <c r="G772" s="20"/>
      <c r="H772" s="35"/>
      <c r="I772" s="21"/>
      <c r="J772" s="24"/>
      <c r="K772" s="25">
        <f t="shared" si="563"/>
        <v>0</v>
      </c>
      <c r="L772" s="11">
        <f t="shared" si="554"/>
        <v>1</v>
      </c>
      <c r="M772" s="69">
        <v>45451</v>
      </c>
      <c r="N772" s="40" t="s">
        <v>26</v>
      </c>
      <c r="O772" s="20">
        <v>10</v>
      </c>
      <c r="P772" s="35">
        <v>10</v>
      </c>
      <c r="Q772" s="21"/>
      <c r="R772" s="38">
        <v>5</v>
      </c>
      <c r="S772" s="9">
        <f t="shared" si="564"/>
        <v>25</v>
      </c>
      <c r="T772" s="20">
        <v>5</v>
      </c>
      <c r="U772" s="35">
        <v>10</v>
      </c>
      <c r="V772" s="21"/>
      <c r="W772" s="38"/>
      <c r="X772" s="9">
        <f t="shared" si="565"/>
        <v>15</v>
      </c>
      <c r="Y772" s="11">
        <f t="shared" si="551"/>
        <v>40</v>
      </c>
      <c r="Z772" s="69">
        <v>45479</v>
      </c>
    </row>
    <row r="773" spans="1:28" x14ac:dyDescent="0.15">
      <c r="A773" s="59" t="s">
        <v>27</v>
      </c>
      <c r="B773" s="20">
        <v>2</v>
      </c>
      <c r="C773" s="35">
        <v>1</v>
      </c>
      <c r="D773" s="21">
        <v>1</v>
      </c>
      <c r="E773" s="24"/>
      <c r="F773" s="25">
        <f t="shared" si="562"/>
        <v>4</v>
      </c>
      <c r="G773" s="20"/>
      <c r="H773" s="35">
        <v>1</v>
      </c>
      <c r="I773" s="21">
        <v>1</v>
      </c>
      <c r="J773" s="24"/>
      <c r="K773" s="25">
        <f t="shared" si="563"/>
        <v>2</v>
      </c>
      <c r="L773" s="11">
        <f t="shared" si="554"/>
        <v>6</v>
      </c>
      <c r="M773" s="69">
        <v>45450</v>
      </c>
      <c r="N773" s="12" t="s">
        <v>501</v>
      </c>
      <c r="O773" s="20">
        <v>11</v>
      </c>
      <c r="P773" s="35">
        <v>14</v>
      </c>
      <c r="Q773" s="21">
        <v>10</v>
      </c>
      <c r="R773" s="38">
        <v>5</v>
      </c>
      <c r="S773" s="9">
        <f t="shared" si="564"/>
        <v>40</v>
      </c>
      <c r="T773" s="20">
        <v>11</v>
      </c>
      <c r="U773" s="35">
        <v>14</v>
      </c>
      <c r="V773" s="21">
        <v>10</v>
      </c>
      <c r="W773" s="38">
        <v>5</v>
      </c>
      <c r="X773" s="9">
        <f t="shared" si="565"/>
        <v>40</v>
      </c>
      <c r="Y773" s="11">
        <f t="shared" si="551"/>
        <v>80</v>
      </c>
      <c r="Z773" s="69">
        <v>45482</v>
      </c>
      <c r="AA773" s="41"/>
    </row>
    <row r="774" spans="1:28" x14ac:dyDescent="0.15">
      <c r="A774" s="59" t="s">
        <v>474</v>
      </c>
      <c r="B774" s="20"/>
      <c r="C774" s="35">
        <v>-1</v>
      </c>
      <c r="D774" s="21">
        <v>1</v>
      </c>
      <c r="E774" s="24"/>
      <c r="F774" s="25">
        <f t="shared" si="562"/>
        <v>0</v>
      </c>
      <c r="G774" s="20"/>
      <c r="H774" s="35">
        <v>-1</v>
      </c>
      <c r="I774" s="21">
        <v>1</v>
      </c>
      <c r="J774" s="24"/>
      <c r="K774" s="25">
        <f t="shared" si="563"/>
        <v>0</v>
      </c>
      <c r="L774" s="11">
        <f t="shared" si="554"/>
        <v>0</v>
      </c>
      <c r="M774" s="71">
        <v>45453</v>
      </c>
      <c r="N774" s="40" t="s">
        <v>26</v>
      </c>
      <c r="O774" s="20"/>
      <c r="P774" s="35"/>
      <c r="Q774" s="21"/>
      <c r="R774" s="38">
        <v>5</v>
      </c>
      <c r="S774" s="9">
        <f t="shared" si="564"/>
        <v>5</v>
      </c>
      <c r="T774" s="20"/>
      <c r="U774" s="35"/>
      <c r="V774" s="21">
        <v>10</v>
      </c>
      <c r="W774" s="38">
        <v>5</v>
      </c>
      <c r="X774" s="9">
        <f t="shared" si="565"/>
        <v>15</v>
      </c>
      <c r="Y774" s="11">
        <f t="shared" si="551"/>
        <v>20</v>
      </c>
      <c r="Z774" s="69">
        <v>45489</v>
      </c>
      <c r="AA774" s="41"/>
    </row>
    <row r="775" spans="1:28" x14ac:dyDescent="0.15">
      <c r="A775" s="59" t="s">
        <v>27</v>
      </c>
      <c r="B775" s="20">
        <v>2</v>
      </c>
      <c r="C775" s="35">
        <v>3</v>
      </c>
      <c r="D775" s="21">
        <v>1</v>
      </c>
      <c r="E775" s="24">
        <v>1</v>
      </c>
      <c r="F775" s="25">
        <f t="shared" si="562"/>
        <v>7</v>
      </c>
      <c r="G775" s="20"/>
      <c r="H775" s="35">
        <v>3</v>
      </c>
      <c r="I775" s="21"/>
      <c r="J775" s="24">
        <v>1</v>
      </c>
      <c r="K775" s="25">
        <f t="shared" si="563"/>
        <v>4</v>
      </c>
      <c r="L775" s="11">
        <f t="shared" si="554"/>
        <v>11</v>
      </c>
      <c r="M775" s="71">
        <v>45453</v>
      </c>
      <c r="N775" s="12" t="s">
        <v>502</v>
      </c>
      <c r="O775" s="20"/>
      <c r="P775" s="35"/>
      <c r="Q775" s="21"/>
      <c r="R775" s="38"/>
      <c r="S775" s="9">
        <f t="shared" si="564"/>
        <v>0</v>
      </c>
      <c r="T775" s="20"/>
      <c r="U775" s="35"/>
      <c r="V775" s="21"/>
      <c r="W775" s="38">
        <v>5</v>
      </c>
      <c r="X775" s="9">
        <f t="shared" si="565"/>
        <v>5</v>
      </c>
      <c r="Y775" s="11">
        <f t="shared" si="551"/>
        <v>5</v>
      </c>
      <c r="Z775" s="69">
        <v>45490</v>
      </c>
    </row>
    <row r="776" spans="1:28" x14ac:dyDescent="0.15">
      <c r="A776" s="59" t="s">
        <v>27</v>
      </c>
      <c r="B776" s="20">
        <v>1</v>
      </c>
      <c r="C776" s="35">
        <v>1</v>
      </c>
      <c r="D776" s="21">
        <f>2+2</f>
        <v>4</v>
      </c>
      <c r="E776" s="24"/>
      <c r="F776" s="25">
        <f t="shared" si="562"/>
        <v>6</v>
      </c>
      <c r="G776" s="20"/>
      <c r="H776" s="35">
        <v>2</v>
      </c>
      <c r="I776" s="21">
        <v>2</v>
      </c>
      <c r="J776" s="24"/>
      <c r="K776" s="25">
        <f t="shared" si="563"/>
        <v>4</v>
      </c>
      <c r="L776" s="11">
        <f t="shared" si="554"/>
        <v>10</v>
      </c>
      <c r="M776" s="71">
        <v>45454</v>
      </c>
      <c r="N776" s="12" t="s">
        <v>503</v>
      </c>
      <c r="O776" s="20">
        <v>40</v>
      </c>
      <c r="P776" s="35">
        <v>70</v>
      </c>
      <c r="Q776" s="21">
        <v>30</v>
      </c>
      <c r="R776" s="38">
        <v>20</v>
      </c>
      <c r="S776" s="9">
        <f t="shared" si="564"/>
        <v>160</v>
      </c>
      <c r="T776" s="20">
        <v>40</v>
      </c>
      <c r="U776" s="35">
        <v>70</v>
      </c>
      <c r="V776" s="21">
        <v>30</v>
      </c>
      <c r="W776" s="38">
        <v>20</v>
      </c>
      <c r="X776" s="9">
        <f t="shared" si="565"/>
        <v>160</v>
      </c>
      <c r="Y776" s="11">
        <f t="shared" si="551"/>
        <v>320</v>
      </c>
      <c r="Z776" s="69">
        <v>45490</v>
      </c>
      <c r="AA776" s="41"/>
      <c r="AB776" s="41"/>
    </row>
    <row r="777" spans="1:28" x14ac:dyDescent="0.15">
      <c r="A777" s="12" t="s">
        <v>478</v>
      </c>
      <c r="B777" s="20">
        <v>5</v>
      </c>
      <c r="C777" s="35">
        <v>5</v>
      </c>
      <c r="D777" s="21">
        <v>5</v>
      </c>
      <c r="E777" s="24"/>
      <c r="F777" s="25">
        <f t="shared" si="562"/>
        <v>15</v>
      </c>
      <c r="G777" s="20">
        <v>5</v>
      </c>
      <c r="H777" s="35"/>
      <c r="I777" s="21"/>
      <c r="J777" s="24"/>
      <c r="K777" s="25">
        <f t="shared" si="563"/>
        <v>5</v>
      </c>
      <c r="L777" s="11">
        <f t="shared" si="554"/>
        <v>20</v>
      </c>
      <c r="M777" s="69">
        <v>45457</v>
      </c>
      <c r="N777" s="12" t="s">
        <v>504</v>
      </c>
      <c r="O777" s="20">
        <v>25</v>
      </c>
      <c r="P777" s="35"/>
      <c r="Q777" s="21">
        <v>25</v>
      </c>
      <c r="R777" s="38">
        <v>45</v>
      </c>
      <c r="S777" s="9">
        <f t="shared" si="564"/>
        <v>95</v>
      </c>
      <c r="T777" s="20">
        <v>25</v>
      </c>
      <c r="U777" s="35"/>
      <c r="V777" s="21">
        <v>25</v>
      </c>
      <c r="W777" s="38">
        <v>45</v>
      </c>
      <c r="X777" s="9">
        <f t="shared" si="565"/>
        <v>95</v>
      </c>
      <c r="Y777" s="11">
        <f t="shared" si="551"/>
        <v>190</v>
      </c>
      <c r="Z777" s="69">
        <v>45490</v>
      </c>
    </row>
    <row r="778" spans="1:28" x14ac:dyDescent="0.15">
      <c r="A778" s="59" t="s">
        <v>27</v>
      </c>
      <c r="B778" s="20">
        <v>1</v>
      </c>
      <c r="C778" s="35">
        <v>1</v>
      </c>
      <c r="D778" s="21"/>
      <c r="E778" s="24">
        <v>2</v>
      </c>
      <c r="F778" s="25">
        <f t="shared" si="562"/>
        <v>4</v>
      </c>
      <c r="G778" s="20">
        <v>2</v>
      </c>
      <c r="H778" s="35">
        <v>1</v>
      </c>
      <c r="I778" s="21">
        <v>2</v>
      </c>
      <c r="J778" s="24"/>
      <c r="K778" s="25">
        <f t="shared" si="563"/>
        <v>5</v>
      </c>
      <c r="L778" s="11">
        <f t="shared" si="554"/>
        <v>9</v>
      </c>
      <c r="M778" s="71">
        <v>45456</v>
      </c>
      <c r="N778" s="12" t="s">
        <v>505</v>
      </c>
      <c r="O778" s="20">
        <v>55</v>
      </c>
      <c r="P778" s="35"/>
      <c r="Q778" s="21">
        <v>30</v>
      </c>
      <c r="R778" s="38">
        <v>5</v>
      </c>
      <c r="S778" s="9">
        <f t="shared" si="564"/>
        <v>90</v>
      </c>
      <c r="T778" s="20">
        <v>55</v>
      </c>
      <c r="U778" s="35"/>
      <c r="V778" s="21">
        <v>30</v>
      </c>
      <c r="W778" s="38">
        <v>5</v>
      </c>
      <c r="X778" s="9">
        <f t="shared" si="565"/>
        <v>90</v>
      </c>
      <c r="Y778" s="11">
        <f t="shared" si="551"/>
        <v>180</v>
      </c>
      <c r="Z778" s="69">
        <v>45493</v>
      </c>
    </row>
    <row r="779" spans="1:28" x14ac:dyDescent="0.15">
      <c r="A779" s="59" t="s">
        <v>47</v>
      </c>
      <c r="B779" s="20">
        <v>-1</v>
      </c>
      <c r="C779" s="35"/>
      <c r="D779" s="21">
        <v>1</v>
      </c>
      <c r="E779" s="24"/>
      <c r="F779" s="25">
        <f t="shared" si="562"/>
        <v>0</v>
      </c>
      <c r="G779" s="20">
        <v>-1</v>
      </c>
      <c r="H779" s="35"/>
      <c r="I779" s="21">
        <v>1</v>
      </c>
      <c r="J779" s="24"/>
      <c r="K779" s="25">
        <f t="shared" si="563"/>
        <v>0</v>
      </c>
      <c r="L779" s="11">
        <f t="shared" si="554"/>
        <v>0</v>
      </c>
      <c r="M779" s="71">
        <v>45456</v>
      </c>
      <c r="N779" s="12" t="s">
        <v>506</v>
      </c>
      <c r="O779" s="20"/>
      <c r="P779" s="35">
        <v>35</v>
      </c>
      <c r="Q779" s="21"/>
      <c r="R779" s="38"/>
      <c r="S779" s="9">
        <f t="shared" si="564"/>
        <v>35</v>
      </c>
      <c r="T779" s="20"/>
      <c r="U779" s="35">
        <v>35</v>
      </c>
      <c r="V779" s="21"/>
      <c r="W779" s="38"/>
      <c r="X779" s="9">
        <f t="shared" si="565"/>
        <v>35</v>
      </c>
      <c r="Y779" s="11">
        <f t="shared" si="551"/>
        <v>70</v>
      </c>
      <c r="Z779" s="69">
        <v>45495</v>
      </c>
    </row>
    <row r="780" spans="1:28" x14ac:dyDescent="0.15">
      <c r="A780" s="59" t="s">
        <v>27</v>
      </c>
      <c r="B780" s="20"/>
      <c r="C780" s="35"/>
      <c r="D780" s="21">
        <v>1</v>
      </c>
      <c r="E780" s="24">
        <f>1+1</f>
        <v>2</v>
      </c>
      <c r="F780" s="25">
        <f t="shared" si="562"/>
        <v>3</v>
      </c>
      <c r="G780" s="20"/>
      <c r="H780" s="35">
        <v>2</v>
      </c>
      <c r="I780" s="21">
        <v>1</v>
      </c>
      <c r="J780" s="24">
        <v>1</v>
      </c>
      <c r="K780" s="25">
        <f t="shared" si="563"/>
        <v>4</v>
      </c>
      <c r="L780" s="11">
        <f t="shared" si="554"/>
        <v>7</v>
      </c>
      <c r="M780" s="71">
        <v>45457</v>
      </c>
      <c r="N780" s="40" t="s">
        <v>507</v>
      </c>
      <c r="O780" s="20">
        <v>2</v>
      </c>
      <c r="P780" s="35">
        <v>5</v>
      </c>
      <c r="Q780" s="21">
        <v>3</v>
      </c>
      <c r="R780" s="38">
        <v>1</v>
      </c>
      <c r="S780" s="9">
        <f t="shared" si="564"/>
        <v>11</v>
      </c>
      <c r="T780" s="20">
        <v>2</v>
      </c>
      <c r="U780" s="35">
        <v>5</v>
      </c>
      <c r="V780" s="21">
        <v>3</v>
      </c>
      <c r="W780" s="38">
        <v>1</v>
      </c>
      <c r="X780" s="9">
        <f t="shared" si="565"/>
        <v>11</v>
      </c>
      <c r="Y780" s="11">
        <f t="shared" si="551"/>
        <v>22</v>
      </c>
      <c r="Z780" s="69">
        <v>45495</v>
      </c>
    </row>
    <row r="781" spans="1:28" x14ac:dyDescent="0.15">
      <c r="A781" s="12" t="s">
        <v>483</v>
      </c>
      <c r="B781" s="20"/>
      <c r="C781" s="35"/>
      <c r="D781" s="21"/>
      <c r="E781" s="24"/>
      <c r="F781" s="25">
        <f t="shared" si="562"/>
        <v>0</v>
      </c>
      <c r="G781" s="20"/>
      <c r="H781" s="35">
        <v>3</v>
      </c>
      <c r="I781" s="21"/>
      <c r="J781" s="24"/>
      <c r="K781" s="25">
        <f t="shared" si="563"/>
        <v>3</v>
      </c>
      <c r="L781" s="11">
        <f t="shared" si="554"/>
        <v>3</v>
      </c>
      <c r="M781" s="69">
        <v>45461</v>
      </c>
      <c r="N781" s="40" t="s">
        <v>26</v>
      </c>
      <c r="O781" s="20"/>
      <c r="P781" s="35"/>
      <c r="Q781" s="21"/>
      <c r="R781" s="38"/>
      <c r="S781" s="9">
        <f t="shared" si="564"/>
        <v>0</v>
      </c>
      <c r="T781" s="20"/>
      <c r="U781" s="35">
        <v>20</v>
      </c>
      <c r="V781" s="21"/>
      <c r="W781" s="38"/>
      <c r="X781" s="9">
        <f t="shared" si="565"/>
        <v>20</v>
      </c>
      <c r="Y781" s="11">
        <f t="shared" si="551"/>
        <v>20</v>
      </c>
      <c r="Z781" s="69">
        <v>45493</v>
      </c>
    </row>
    <row r="782" spans="1:28" x14ac:dyDescent="0.15">
      <c r="A782" s="59" t="s">
        <v>27</v>
      </c>
      <c r="B782" s="20"/>
      <c r="C782" s="35">
        <v>1</v>
      </c>
      <c r="D782" s="21"/>
      <c r="E782" s="24"/>
      <c r="F782" s="25">
        <f t="shared" si="562"/>
        <v>1</v>
      </c>
      <c r="G782" s="20">
        <v>1</v>
      </c>
      <c r="H782" s="35">
        <v>1</v>
      </c>
      <c r="I782" s="21"/>
      <c r="J782" s="24"/>
      <c r="K782" s="25">
        <f t="shared" si="563"/>
        <v>2</v>
      </c>
      <c r="L782" s="11">
        <f t="shared" si="554"/>
        <v>3</v>
      </c>
      <c r="M782" s="69">
        <v>45460</v>
      </c>
      <c r="N782" s="40"/>
      <c r="O782" s="20"/>
      <c r="P782" s="35"/>
      <c r="Q782" s="21"/>
      <c r="R782" s="38"/>
      <c r="S782" s="9">
        <f t="shared" si="564"/>
        <v>0</v>
      </c>
      <c r="T782" s="20"/>
      <c r="U782" s="35"/>
      <c r="V782" s="21"/>
      <c r="W782" s="38"/>
      <c r="X782" s="9">
        <f t="shared" si="565"/>
        <v>0</v>
      </c>
      <c r="Y782" s="11">
        <f t="shared" si="551"/>
        <v>0</v>
      </c>
      <c r="Z782" s="162"/>
    </row>
    <row r="783" spans="1:28" x14ac:dyDescent="0.15">
      <c r="A783" s="59" t="s">
        <v>27</v>
      </c>
      <c r="B783" s="20">
        <v>1</v>
      </c>
      <c r="C783" s="35"/>
      <c r="D783" s="21"/>
      <c r="E783" s="24"/>
      <c r="F783" s="25">
        <f t="shared" si="562"/>
        <v>1</v>
      </c>
      <c r="G783" s="20">
        <v>1</v>
      </c>
      <c r="H783" s="35">
        <v>2</v>
      </c>
      <c r="I783" s="21"/>
      <c r="J783" s="24"/>
      <c r="K783" s="25">
        <f t="shared" si="563"/>
        <v>3</v>
      </c>
      <c r="L783" s="11">
        <f t="shared" si="554"/>
        <v>4</v>
      </c>
      <c r="M783" s="71">
        <v>45461</v>
      </c>
      <c r="N783" s="12"/>
      <c r="O783" s="20"/>
      <c r="P783" s="35"/>
      <c r="Q783" s="21"/>
      <c r="R783" s="38"/>
      <c r="S783" s="9">
        <f>SUM(O783:R783)</f>
        <v>0</v>
      </c>
      <c r="T783" s="20"/>
      <c r="U783" s="35"/>
      <c r="V783" s="21"/>
      <c r="W783" s="38"/>
      <c r="X783" s="9">
        <f>SUM(T783:W783)</f>
        <v>0</v>
      </c>
      <c r="Y783" s="11">
        <f t="shared" si="551"/>
        <v>0</v>
      </c>
    </row>
    <row r="784" spans="1:28" x14ac:dyDescent="0.15">
      <c r="A784" s="59" t="s">
        <v>486</v>
      </c>
      <c r="B784" s="20">
        <v>1</v>
      </c>
      <c r="C784" s="35"/>
      <c r="D784" s="21"/>
      <c r="E784" s="24"/>
      <c r="F784" s="25">
        <f t="shared" si="562"/>
        <v>1</v>
      </c>
      <c r="G784" s="20">
        <v>1</v>
      </c>
      <c r="H784" s="35"/>
      <c r="I784" s="21"/>
      <c r="J784" s="24">
        <v>1</v>
      </c>
      <c r="K784" s="25">
        <f t="shared" si="563"/>
        <v>2</v>
      </c>
      <c r="L784" s="11">
        <f t="shared" si="554"/>
        <v>3</v>
      </c>
      <c r="M784" s="69">
        <v>45462</v>
      </c>
      <c r="N784" s="40"/>
      <c r="O784" s="20"/>
      <c r="P784" s="35"/>
      <c r="Q784" s="21"/>
      <c r="R784" s="38"/>
      <c r="S784" s="9">
        <f t="shared" ref="S784:S795" si="566">SUM(O784:R784)</f>
        <v>0</v>
      </c>
      <c r="T784" s="20"/>
      <c r="U784" s="35"/>
      <c r="V784" s="21"/>
      <c r="W784" s="38"/>
      <c r="X784" s="9">
        <f t="shared" ref="X784:X795" si="567">SUM(T784:W784)</f>
        <v>0</v>
      </c>
      <c r="Y784" s="11">
        <f t="shared" si="551"/>
        <v>0</v>
      </c>
    </row>
    <row r="785" spans="1:26" x14ac:dyDescent="0.15">
      <c r="A785" s="59" t="s">
        <v>487</v>
      </c>
      <c r="B785" s="20">
        <v>1</v>
      </c>
      <c r="C785" s="35"/>
      <c r="D785" s="21"/>
      <c r="E785" s="24"/>
      <c r="F785" s="25">
        <f t="shared" si="562"/>
        <v>1</v>
      </c>
      <c r="G785" s="20">
        <v>1</v>
      </c>
      <c r="H785" s="35"/>
      <c r="I785" s="21"/>
      <c r="J785" s="24"/>
      <c r="K785" s="25">
        <f t="shared" si="563"/>
        <v>1</v>
      </c>
      <c r="L785" s="11">
        <f t="shared" si="554"/>
        <v>2</v>
      </c>
      <c r="M785" s="71">
        <v>45462</v>
      </c>
      <c r="N785" s="15"/>
      <c r="O785" s="20"/>
      <c r="P785" s="35"/>
      <c r="Q785" s="21"/>
      <c r="R785" s="38"/>
      <c r="S785" s="9">
        <f t="shared" si="566"/>
        <v>0</v>
      </c>
      <c r="T785" s="20"/>
      <c r="U785" s="35"/>
      <c r="V785" s="21"/>
      <c r="W785" s="38"/>
      <c r="X785" s="9">
        <f t="shared" si="567"/>
        <v>0</v>
      </c>
      <c r="Y785" s="11">
        <f t="shared" si="551"/>
        <v>0</v>
      </c>
    </row>
    <row r="786" spans="1:26" x14ac:dyDescent="0.15">
      <c r="A786" s="59" t="s">
        <v>27</v>
      </c>
      <c r="B786" s="20"/>
      <c r="C786" s="35">
        <v>1</v>
      </c>
      <c r="D786" s="21"/>
      <c r="E786" s="24"/>
      <c r="F786" s="25">
        <f t="shared" si="562"/>
        <v>1</v>
      </c>
      <c r="G786" s="20"/>
      <c r="H786" s="35">
        <v>1</v>
      </c>
      <c r="I786" s="21"/>
      <c r="J786" s="24"/>
      <c r="K786" s="25">
        <f t="shared" si="563"/>
        <v>1</v>
      </c>
      <c r="L786" s="11">
        <f t="shared" si="554"/>
        <v>2</v>
      </c>
      <c r="M786" s="71">
        <v>45463</v>
      </c>
      <c r="N786" s="40"/>
      <c r="O786" s="20"/>
      <c r="P786" s="35"/>
      <c r="Q786" s="21"/>
      <c r="R786" s="38"/>
      <c r="S786" s="9">
        <f t="shared" si="566"/>
        <v>0</v>
      </c>
      <c r="T786" s="20"/>
      <c r="U786" s="35"/>
      <c r="V786" s="21"/>
      <c r="W786" s="38"/>
      <c r="X786" s="9">
        <f t="shared" si="567"/>
        <v>0</v>
      </c>
      <c r="Y786" s="11">
        <f t="shared" si="551"/>
        <v>0</v>
      </c>
    </row>
    <row r="787" spans="1:26" x14ac:dyDescent="0.15">
      <c r="A787" s="59" t="s">
        <v>27</v>
      </c>
      <c r="B787" s="20"/>
      <c r="C787" s="35"/>
      <c r="D787" s="21">
        <v>1</v>
      </c>
      <c r="E787" s="24"/>
      <c r="F787" s="25">
        <f t="shared" si="562"/>
        <v>1</v>
      </c>
      <c r="G787" s="20"/>
      <c r="H787" s="35"/>
      <c r="I787" s="21">
        <v>1</v>
      </c>
      <c r="J787" s="24"/>
      <c r="K787" s="25">
        <f t="shared" si="563"/>
        <v>1</v>
      </c>
      <c r="L787" s="11">
        <f t="shared" si="554"/>
        <v>2</v>
      </c>
      <c r="M787" s="71">
        <v>45463</v>
      </c>
      <c r="N787" s="40"/>
      <c r="O787" s="48"/>
      <c r="P787" s="49"/>
      <c r="Q787" s="50"/>
      <c r="R787" s="72"/>
      <c r="S787" s="74">
        <f t="shared" si="566"/>
        <v>0</v>
      </c>
      <c r="T787" s="48"/>
      <c r="U787" s="49"/>
      <c r="V787" s="50"/>
      <c r="W787" s="72"/>
      <c r="X787" s="74">
        <f t="shared" si="567"/>
        <v>0</v>
      </c>
      <c r="Y787" s="11">
        <f t="shared" si="551"/>
        <v>0</v>
      </c>
    </row>
    <row r="788" spans="1:26" x14ac:dyDescent="0.15">
      <c r="A788" s="59" t="s">
        <v>27</v>
      </c>
      <c r="B788" s="20"/>
      <c r="C788" s="35"/>
      <c r="D788" s="21"/>
      <c r="E788" s="24">
        <v>1</v>
      </c>
      <c r="F788" s="25">
        <f t="shared" si="562"/>
        <v>1</v>
      </c>
      <c r="G788" s="20"/>
      <c r="H788" s="35">
        <v>1</v>
      </c>
      <c r="I788" s="21"/>
      <c r="J788" s="24">
        <v>1</v>
      </c>
      <c r="K788" s="25">
        <f t="shared" si="563"/>
        <v>2</v>
      </c>
      <c r="L788" s="11">
        <f t="shared" si="554"/>
        <v>3</v>
      </c>
      <c r="M788" s="69">
        <v>45464</v>
      </c>
      <c r="N788" s="12"/>
      <c r="O788" s="20"/>
      <c r="P788" s="35"/>
      <c r="Q788" s="21"/>
      <c r="R788" s="38"/>
      <c r="S788" s="9">
        <f t="shared" si="566"/>
        <v>0</v>
      </c>
      <c r="T788" s="20"/>
      <c r="U788" s="35"/>
      <c r="V788" s="21"/>
      <c r="W788" s="38"/>
      <c r="X788" s="9">
        <f t="shared" si="567"/>
        <v>0</v>
      </c>
      <c r="Y788" s="47">
        <f t="shared" si="551"/>
        <v>0</v>
      </c>
    </row>
    <row r="789" spans="1:26" x14ac:dyDescent="0.15">
      <c r="A789" s="59" t="s">
        <v>488</v>
      </c>
      <c r="B789" s="20">
        <v>1</v>
      </c>
      <c r="C789" s="35"/>
      <c r="D789" s="21">
        <v>1</v>
      </c>
      <c r="E789" s="24"/>
      <c r="F789" s="25">
        <f t="shared" si="562"/>
        <v>2</v>
      </c>
      <c r="G789" s="20">
        <v>1</v>
      </c>
      <c r="H789" s="35"/>
      <c r="I789" s="21">
        <v>1</v>
      </c>
      <c r="J789" s="24"/>
      <c r="K789" s="25">
        <f t="shared" si="563"/>
        <v>2</v>
      </c>
      <c r="L789" s="11">
        <f t="shared" si="554"/>
        <v>4</v>
      </c>
      <c r="M789" s="69">
        <v>45468</v>
      </c>
      <c r="N789" s="12"/>
      <c r="O789" s="20"/>
      <c r="P789" s="35"/>
      <c r="Q789" s="21"/>
      <c r="R789" s="38"/>
      <c r="S789" s="9">
        <f t="shared" si="566"/>
        <v>0</v>
      </c>
      <c r="T789" s="20"/>
      <c r="U789" s="35"/>
      <c r="V789" s="21"/>
      <c r="W789" s="38"/>
      <c r="X789" s="9">
        <f t="shared" si="567"/>
        <v>0</v>
      </c>
      <c r="Y789" s="47">
        <f t="shared" si="551"/>
        <v>0</v>
      </c>
    </row>
    <row r="790" spans="1:26" x14ac:dyDescent="0.15">
      <c r="A790" s="59" t="s">
        <v>27</v>
      </c>
      <c r="B790" s="20">
        <v>1</v>
      </c>
      <c r="C790" s="35">
        <v>1</v>
      </c>
      <c r="D790" s="21"/>
      <c r="E790" s="24">
        <v>2</v>
      </c>
      <c r="F790" s="25">
        <f t="shared" si="562"/>
        <v>4</v>
      </c>
      <c r="G790" s="20">
        <v>1</v>
      </c>
      <c r="H790" s="35">
        <f>3+1</f>
        <v>4</v>
      </c>
      <c r="I790" s="21">
        <v>1</v>
      </c>
      <c r="J790" s="24">
        <v>1</v>
      </c>
      <c r="K790" s="25">
        <f t="shared" si="563"/>
        <v>7</v>
      </c>
      <c r="L790" s="11">
        <f t="shared" si="554"/>
        <v>11</v>
      </c>
      <c r="M790" s="69">
        <v>45467</v>
      </c>
      <c r="N790" s="12"/>
      <c r="O790" s="20"/>
      <c r="P790" s="35"/>
      <c r="Q790" s="21"/>
      <c r="R790" s="38"/>
      <c r="S790" s="9">
        <f t="shared" si="566"/>
        <v>0</v>
      </c>
      <c r="T790" s="20"/>
      <c r="U790" s="35"/>
      <c r="V790" s="21"/>
      <c r="W790" s="38"/>
      <c r="X790" s="9">
        <f t="shared" si="567"/>
        <v>0</v>
      </c>
      <c r="Y790" s="47">
        <f t="shared" si="551"/>
        <v>0</v>
      </c>
    </row>
    <row r="791" spans="1:26" x14ac:dyDescent="0.15">
      <c r="A791" s="59" t="s">
        <v>32</v>
      </c>
      <c r="B791" s="20">
        <v>2</v>
      </c>
      <c r="C791" s="35"/>
      <c r="D791" s="21"/>
      <c r="E791" s="24"/>
      <c r="F791" s="25">
        <f t="shared" si="562"/>
        <v>2</v>
      </c>
      <c r="G791" s="20"/>
      <c r="H791" s="35"/>
      <c r="I791" s="21"/>
      <c r="J791" s="24"/>
      <c r="K791" s="25">
        <f t="shared" si="563"/>
        <v>0</v>
      </c>
      <c r="L791" s="11">
        <f t="shared" si="554"/>
        <v>2</v>
      </c>
      <c r="M791" s="69">
        <v>45468</v>
      </c>
      <c r="N791" s="12"/>
      <c r="O791" s="20"/>
      <c r="P791" s="35"/>
      <c r="Q791" s="21"/>
      <c r="R791" s="38"/>
      <c r="S791" s="9">
        <f t="shared" ref="S791" si="568">SUM(O791:R791)</f>
        <v>0</v>
      </c>
      <c r="T791" s="20"/>
      <c r="U791" s="35"/>
      <c r="V791" s="21"/>
      <c r="W791" s="38"/>
      <c r="X791" s="9">
        <f t="shared" ref="X791" si="569">SUM(T791:W791)</f>
        <v>0</v>
      </c>
      <c r="Y791" s="47">
        <f t="shared" ref="Y791" si="570">S791+X791</f>
        <v>0</v>
      </c>
    </row>
    <row r="792" spans="1:26" x14ac:dyDescent="0.15">
      <c r="A792" s="59" t="s">
        <v>491</v>
      </c>
      <c r="B792" s="20"/>
      <c r="C792" s="35"/>
      <c r="D792" s="21"/>
      <c r="E792" s="24"/>
      <c r="F792" s="25">
        <f t="shared" si="562"/>
        <v>0</v>
      </c>
      <c r="G792" s="20"/>
      <c r="H792" s="35">
        <v>1</v>
      </c>
      <c r="I792" s="21"/>
      <c r="J792" s="24"/>
      <c r="K792" s="25">
        <f t="shared" si="563"/>
        <v>1</v>
      </c>
      <c r="L792" s="11">
        <f t="shared" si="554"/>
        <v>1</v>
      </c>
      <c r="M792" s="69">
        <v>45469</v>
      </c>
      <c r="N792" s="12" t="s">
        <v>500</v>
      </c>
      <c r="O792" s="20"/>
      <c r="P792" s="35"/>
      <c r="Q792" s="21"/>
      <c r="R792" s="38"/>
      <c r="S792" s="9">
        <f t="shared" ref="S792:S794" si="571">SUM(O792:R792)</f>
        <v>0</v>
      </c>
      <c r="T792" s="20"/>
      <c r="U792" s="35"/>
      <c r="V792" s="21"/>
      <c r="W792" s="38"/>
      <c r="X792" s="9">
        <f t="shared" ref="X792:X794" si="572">SUM(T792:W792)</f>
        <v>0</v>
      </c>
      <c r="Y792" s="47">
        <f t="shared" ref="Y792:Y794" si="573">S792+X792</f>
        <v>0</v>
      </c>
      <c r="Z792" s="69">
        <v>45481</v>
      </c>
    </row>
    <row r="793" spans="1:26" x14ac:dyDescent="0.15">
      <c r="A793" s="59" t="s">
        <v>27</v>
      </c>
      <c r="B793" s="20">
        <v>5</v>
      </c>
      <c r="C793" s="35"/>
      <c r="D793" s="21"/>
      <c r="E793" s="24"/>
      <c r="F793" s="25">
        <f t="shared" si="562"/>
        <v>5</v>
      </c>
      <c r="G793" s="20"/>
      <c r="H793" s="35"/>
      <c r="I793" s="21">
        <v>2</v>
      </c>
      <c r="J793" s="24"/>
      <c r="K793" s="25">
        <f t="shared" si="563"/>
        <v>2</v>
      </c>
      <c r="L793" s="11">
        <f t="shared" si="554"/>
        <v>7</v>
      </c>
      <c r="M793" s="71">
        <v>45468</v>
      </c>
      <c r="N793" s="137" t="s">
        <v>443</v>
      </c>
      <c r="O793" s="154"/>
      <c r="P793" s="156"/>
      <c r="Q793" s="155"/>
      <c r="R793" s="159"/>
      <c r="S793" s="158">
        <f t="shared" si="571"/>
        <v>0</v>
      </c>
      <c r="T793" s="154"/>
      <c r="U793" s="156"/>
      <c r="V793" s="155"/>
      <c r="W793" s="159"/>
      <c r="X793" s="158">
        <f t="shared" si="572"/>
        <v>0</v>
      </c>
      <c r="Y793" s="160">
        <f t="shared" si="573"/>
        <v>0</v>
      </c>
      <c r="Z793" s="162"/>
    </row>
    <row r="794" spans="1:26" ht="14.25" thickBot="1" x14ac:dyDescent="0.2">
      <c r="A794" s="15" t="s">
        <v>210</v>
      </c>
      <c r="B794" s="43"/>
      <c r="C794" s="44"/>
      <c r="D794" s="45"/>
      <c r="E794" s="46"/>
      <c r="F794" s="25">
        <f t="shared" si="562"/>
        <v>0</v>
      </c>
      <c r="G794" s="43"/>
      <c r="H794" s="44"/>
      <c r="I794" s="45"/>
      <c r="J794" s="46">
        <v>1</v>
      </c>
      <c r="K794" s="25">
        <f t="shared" si="563"/>
        <v>1</v>
      </c>
      <c r="L794" s="14">
        <f t="shared" si="554"/>
        <v>1</v>
      </c>
      <c r="M794" s="69">
        <v>45469</v>
      </c>
      <c r="N794" s="99" t="s">
        <v>442</v>
      </c>
      <c r="O794" s="43"/>
      <c r="P794" s="44"/>
      <c r="Q794" s="45"/>
      <c r="R794" s="100"/>
      <c r="S794" s="10">
        <f t="shared" si="571"/>
        <v>0</v>
      </c>
      <c r="T794" s="43"/>
      <c r="U794" s="44"/>
      <c r="V794" s="45"/>
      <c r="W794" s="100"/>
      <c r="X794" s="10">
        <f t="shared" si="572"/>
        <v>0</v>
      </c>
      <c r="Y794" s="75">
        <f t="shared" si="573"/>
        <v>0</v>
      </c>
      <c r="Z794" s="162" t="s">
        <v>444</v>
      </c>
    </row>
    <row r="795" spans="1:26" ht="14.25" thickBot="1" x14ac:dyDescent="0.2">
      <c r="A795" s="16" t="s">
        <v>9</v>
      </c>
      <c r="B795" s="28">
        <f>SUM(B770:B794)</f>
        <v>23</v>
      </c>
      <c r="C795" s="36">
        <f>SUM(C770:C794)</f>
        <v>18</v>
      </c>
      <c r="D795" s="29">
        <f>SUM(D770:D794)</f>
        <v>18</v>
      </c>
      <c r="E795" s="30">
        <f>SUM(E770:E794)</f>
        <v>8</v>
      </c>
      <c r="F795" s="26">
        <f>SUM(B795:E795)</f>
        <v>67</v>
      </c>
      <c r="G795" s="28">
        <f>SUM(G770:G794)</f>
        <v>17</v>
      </c>
      <c r="H795" s="36">
        <f>SUM(H770:H794)</f>
        <v>29</v>
      </c>
      <c r="I795" s="29">
        <f>SUM(I770:I794)</f>
        <v>15</v>
      </c>
      <c r="J795" s="30">
        <f>SUM(J770:J794)</f>
        <v>11</v>
      </c>
      <c r="K795" s="26">
        <f>SUM(G795:J795)</f>
        <v>72</v>
      </c>
      <c r="L795" s="27">
        <f t="shared" si="554"/>
        <v>139</v>
      </c>
      <c r="N795" s="61" t="s">
        <v>9</v>
      </c>
      <c r="O795" s="28">
        <f>SUM(O770:O794)</f>
        <v>153</v>
      </c>
      <c r="P795" s="36">
        <f>SUM(P770:P794)</f>
        <v>144</v>
      </c>
      <c r="Q795" s="29">
        <f>SUM(Q770:Q794)</f>
        <v>108</v>
      </c>
      <c r="R795" s="30">
        <f>SUM(R770:R794)</f>
        <v>101</v>
      </c>
      <c r="S795" s="60">
        <f t="shared" si="566"/>
        <v>506</v>
      </c>
      <c r="T795" s="28">
        <f>SUM(T770:T794)</f>
        <v>148</v>
      </c>
      <c r="U795" s="36">
        <f>SUM(U770:U794)</f>
        <v>164</v>
      </c>
      <c r="V795" s="29">
        <f>SUM(V770:V794)</f>
        <v>118</v>
      </c>
      <c r="W795" s="30">
        <f>SUM(W770:W794)</f>
        <v>96</v>
      </c>
      <c r="X795" s="60">
        <f t="shared" si="567"/>
        <v>526</v>
      </c>
      <c r="Y795" s="63">
        <f t="shared" si="551"/>
        <v>1032</v>
      </c>
    </row>
    <row r="796" spans="1:26" ht="14.25" thickBot="1" x14ac:dyDescent="0.2">
      <c r="A796" s="18" t="s">
        <v>10</v>
      </c>
      <c r="B796" s="31">
        <f t="shared" ref="B796:K796" si="574">B769-B795</f>
        <v>21</v>
      </c>
      <c r="C796" s="37">
        <f t="shared" si="574"/>
        <v>41</v>
      </c>
      <c r="D796" s="32">
        <f t="shared" si="574"/>
        <v>27</v>
      </c>
      <c r="E796" s="33">
        <f t="shared" si="574"/>
        <v>28</v>
      </c>
      <c r="F796" s="42">
        <f t="shared" si="574"/>
        <v>117</v>
      </c>
      <c r="G796" s="31">
        <f t="shared" si="574"/>
        <v>28</v>
      </c>
      <c r="H796" s="37">
        <f t="shared" si="574"/>
        <v>28</v>
      </c>
      <c r="I796" s="32">
        <f t="shared" si="574"/>
        <v>26</v>
      </c>
      <c r="J796" s="33">
        <f t="shared" si="574"/>
        <v>31</v>
      </c>
      <c r="K796" s="42">
        <f t="shared" si="574"/>
        <v>113</v>
      </c>
      <c r="L796" s="17">
        <f t="shared" si="554"/>
        <v>230</v>
      </c>
      <c r="N796" s="16" t="s">
        <v>10</v>
      </c>
      <c r="O796" s="31">
        <f t="shared" ref="O796:X796" si="575">O769-O795</f>
        <v>116</v>
      </c>
      <c r="P796" s="37">
        <f t="shared" si="575"/>
        <v>30</v>
      </c>
      <c r="Q796" s="32">
        <f t="shared" si="575"/>
        <v>191</v>
      </c>
      <c r="R796" s="33">
        <f t="shared" si="575"/>
        <v>226</v>
      </c>
      <c r="S796" s="42">
        <f t="shared" si="575"/>
        <v>563</v>
      </c>
      <c r="T796" s="31">
        <f t="shared" si="575"/>
        <v>75</v>
      </c>
      <c r="U796" s="37">
        <f t="shared" si="575"/>
        <v>85</v>
      </c>
      <c r="V796" s="32">
        <f t="shared" si="575"/>
        <v>36</v>
      </c>
      <c r="W796" s="33">
        <f t="shared" si="575"/>
        <v>181</v>
      </c>
      <c r="X796" s="42">
        <f t="shared" si="575"/>
        <v>377</v>
      </c>
      <c r="Y796" s="17">
        <f t="shared" si="551"/>
        <v>940</v>
      </c>
    </row>
    <row r="797" spans="1:26" x14ac:dyDescent="0.15">
      <c r="O797" s="87">
        <f>O796/$S$796*100</f>
        <v>20.603907637655418</v>
      </c>
      <c r="P797" s="87">
        <f t="shared" ref="P797:S797" si="576">P796/$S$796*100</f>
        <v>5.3285968028419184</v>
      </c>
      <c r="Q797" s="87">
        <f t="shared" si="576"/>
        <v>33.925399644760212</v>
      </c>
      <c r="R797" s="87">
        <f t="shared" si="576"/>
        <v>40.142095914742455</v>
      </c>
      <c r="S797" s="87">
        <f t="shared" si="576"/>
        <v>100</v>
      </c>
      <c r="T797" s="87">
        <f>T796/$X$796*100</f>
        <v>19.893899204244033</v>
      </c>
      <c r="U797" s="87">
        <f t="shared" ref="U797:X797" si="577">U796/$X$796*100</f>
        <v>22.546419098143236</v>
      </c>
      <c r="V797" s="87">
        <f t="shared" si="577"/>
        <v>9.549071618037134</v>
      </c>
      <c r="W797" s="87">
        <f t="shared" si="577"/>
        <v>48.010610079575592</v>
      </c>
      <c r="X797" s="87">
        <f t="shared" si="577"/>
        <v>100</v>
      </c>
    </row>
    <row r="798" spans="1:26" x14ac:dyDescent="0.15">
      <c r="O798" s="81">
        <v>26.8</v>
      </c>
      <c r="P798" s="81">
        <v>36.700000000000003</v>
      </c>
      <c r="Q798" s="81">
        <v>21.3</v>
      </c>
      <c r="R798" s="81">
        <v>15.2</v>
      </c>
      <c r="S798" s="101">
        <f>SUM(O798:R798)</f>
        <v>100</v>
      </c>
      <c r="T798" s="62">
        <v>26.3</v>
      </c>
      <c r="U798" s="62">
        <v>36.6</v>
      </c>
      <c r="V798" s="87">
        <v>21.9</v>
      </c>
      <c r="W798" s="62">
        <v>15.2</v>
      </c>
      <c r="X798" s="87">
        <f>SUM(T798:W798)</f>
        <v>100.00000000000001</v>
      </c>
    </row>
    <row r="799" spans="1:26" ht="19.5" thickBot="1" x14ac:dyDescent="0.25">
      <c r="A799" s="2" t="s">
        <v>17</v>
      </c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N799" s="2" t="s">
        <v>18</v>
      </c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1"/>
    </row>
    <row r="800" spans="1:26" ht="14.25" thickBot="1" x14ac:dyDescent="0.2">
      <c r="A800" s="5" t="s">
        <v>0</v>
      </c>
      <c r="B800" s="244" t="s">
        <v>19</v>
      </c>
      <c r="C800" s="245"/>
      <c r="D800" s="245"/>
      <c r="E800" s="245"/>
      <c r="F800" s="246"/>
      <c r="G800" s="247" t="s">
        <v>20</v>
      </c>
      <c r="H800" s="248"/>
      <c r="I800" s="248"/>
      <c r="J800" s="248"/>
      <c r="K800" s="249"/>
      <c r="L800" s="250" t="s">
        <v>1</v>
      </c>
      <c r="N800" s="5" t="s">
        <v>0</v>
      </c>
      <c r="O800" s="244" t="s">
        <v>19</v>
      </c>
      <c r="P800" s="245"/>
      <c r="Q800" s="245"/>
      <c r="R800" s="245"/>
      <c r="S800" s="246"/>
      <c r="T800" s="247" t="s">
        <v>20</v>
      </c>
      <c r="U800" s="248"/>
      <c r="V800" s="248"/>
      <c r="W800" s="248"/>
      <c r="X800" s="249"/>
      <c r="Y800" s="250" t="s">
        <v>1</v>
      </c>
    </row>
    <row r="801" spans="1:26" ht="14.25" thickBot="1" x14ac:dyDescent="0.2">
      <c r="A801" s="5" t="s">
        <v>2</v>
      </c>
      <c r="B801" s="3" t="s">
        <v>11</v>
      </c>
      <c r="C801" s="34" t="s">
        <v>12</v>
      </c>
      <c r="D801" s="4" t="s">
        <v>13</v>
      </c>
      <c r="E801" s="19" t="s">
        <v>14</v>
      </c>
      <c r="F801" s="23" t="s">
        <v>3</v>
      </c>
      <c r="G801" s="3" t="s">
        <v>11</v>
      </c>
      <c r="H801" s="34" t="s">
        <v>12</v>
      </c>
      <c r="I801" s="4" t="s">
        <v>13</v>
      </c>
      <c r="J801" s="19" t="s">
        <v>14</v>
      </c>
      <c r="K801" s="23" t="s">
        <v>3</v>
      </c>
      <c r="L801" s="251"/>
      <c r="N801" s="5" t="s">
        <v>2</v>
      </c>
      <c r="O801" s="53" t="s">
        <v>11</v>
      </c>
      <c r="P801" s="54" t="s">
        <v>12</v>
      </c>
      <c r="Q801" s="55" t="s">
        <v>13</v>
      </c>
      <c r="R801" s="56" t="s">
        <v>14</v>
      </c>
      <c r="S801" s="23" t="s">
        <v>3</v>
      </c>
      <c r="T801" s="3" t="s">
        <v>11</v>
      </c>
      <c r="U801" s="34" t="s">
        <v>12</v>
      </c>
      <c r="V801" s="4" t="s">
        <v>13</v>
      </c>
      <c r="W801" s="19" t="s">
        <v>14</v>
      </c>
      <c r="X801" s="23" t="s">
        <v>3</v>
      </c>
      <c r="Y801" s="251"/>
    </row>
    <row r="802" spans="1:26" ht="14.25" thickBot="1" x14ac:dyDescent="0.2">
      <c r="A802" s="18" t="s">
        <v>15</v>
      </c>
      <c r="B802" s="31">
        <f>B796</f>
        <v>21</v>
      </c>
      <c r="C802" s="32">
        <f>C796</f>
        <v>41</v>
      </c>
      <c r="D802" s="32">
        <f>D796</f>
        <v>27</v>
      </c>
      <c r="E802" s="33">
        <f>E796</f>
        <v>28</v>
      </c>
      <c r="F802" s="86">
        <f>SUM(B802:E802)</f>
        <v>117</v>
      </c>
      <c r="G802" s="31">
        <f>G796</f>
        <v>28</v>
      </c>
      <c r="H802" s="32">
        <f>H796</f>
        <v>28</v>
      </c>
      <c r="I802" s="32">
        <f>I796</f>
        <v>26</v>
      </c>
      <c r="J802" s="33">
        <f>J796</f>
        <v>31</v>
      </c>
      <c r="K802" s="80">
        <f>SUM(G802:J802)</f>
        <v>113</v>
      </c>
      <c r="L802" s="17">
        <f>F802+K802</f>
        <v>230</v>
      </c>
      <c r="N802" s="18" t="s">
        <v>15</v>
      </c>
      <c r="O802" s="31">
        <f>O796</f>
        <v>116</v>
      </c>
      <c r="P802" s="32">
        <f>P796</f>
        <v>30</v>
      </c>
      <c r="Q802" s="32">
        <f>Q796</f>
        <v>191</v>
      </c>
      <c r="R802" s="33">
        <f>R796</f>
        <v>226</v>
      </c>
      <c r="S802" s="86">
        <f>SUM(O802:R802)</f>
        <v>563</v>
      </c>
      <c r="T802" s="31">
        <f>T796</f>
        <v>75</v>
      </c>
      <c r="U802" s="32">
        <f>U796</f>
        <v>85</v>
      </c>
      <c r="V802" s="32">
        <f>V796</f>
        <v>36</v>
      </c>
      <c r="W802" s="33">
        <f>W796</f>
        <v>181</v>
      </c>
      <c r="X802" s="80">
        <f>SUM(T802:W802)</f>
        <v>377</v>
      </c>
      <c r="Y802" s="17">
        <f t="shared" ref="Y802:Y834" si="578">S802+X802</f>
        <v>940</v>
      </c>
    </row>
    <row r="803" spans="1:26" x14ac:dyDescent="0.15">
      <c r="A803" s="13" t="s">
        <v>494</v>
      </c>
      <c r="B803" s="20">
        <v>7</v>
      </c>
      <c r="C803" s="35"/>
      <c r="D803" s="21">
        <v>6</v>
      </c>
      <c r="E803" s="24"/>
      <c r="F803" s="25">
        <f t="shared" ref="F803:F806" si="579">SUM(B803:E803)</f>
        <v>13</v>
      </c>
      <c r="G803" s="20">
        <v>5</v>
      </c>
      <c r="H803" s="35">
        <v>1</v>
      </c>
      <c r="I803" s="21">
        <v>3</v>
      </c>
      <c r="J803" s="24"/>
      <c r="K803" s="25">
        <f t="shared" ref="K803:K806" si="580">SUM(G803:J803)</f>
        <v>9</v>
      </c>
      <c r="L803" s="11">
        <f t="shared" ref="L803:L834" si="581">F803+K803</f>
        <v>22</v>
      </c>
      <c r="M803" s="71">
        <v>45469</v>
      </c>
      <c r="N803" s="59" t="s">
        <v>16</v>
      </c>
      <c r="O803" s="48"/>
      <c r="P803" s="49"/>
      <c r="Q803" s="50"/>
      <c r="R803" s="51"/>
      <c r="S803" s="85">
        <f t="shared" ref="S803:S804" si="582">SUM(O803:R803)</f>
        <v>0</v>
      </c>
      <c r="T803" s="48"/>
      <c r="U803" s="49"/>
      <c r="V803" s="50"/>
      <c r="W803" s="51"/>
      <c r="X803" s="74">
        <f t="shared" ref="X803:X804" si="583">SUM(T803:W803)</f>
        <v>0</v>
      </c>
      <c r="Y803" s="11">
        <f t="shared" ref="Y803:Y804" si="584">S803+X803</f>
        <v>0</v>
      </c>
    </row>
    <row r="804" spans="1:26" x14ac:dyDescent="0.15">
      <c r="A804" s="13" t="s">
        <v>5</v>
      </c>
      <c r="B804" s="20">
        <v>10</v>
      </c>
      <c r="C804" s="35">
        <v>10</v>
      </c>
      <c r="D804" s="21"/>
      <c r="E804" s="24">
        <v>5</v>
      </c>
      <c r="F804" s="25">
        <f t="shared" si="579"/>
        <v>25</v>
      </c>
      <c r="G804" s="20">
        <v>5</v>
      </c>
      <c r="H804" s="35">
        <v>10</v>
      </c>
      <c r="I804" s="21"/>
      <c r="J804" s="24"/>
      <c r="K804" s="25">
        <f t="shared" si="580"/>
        <v>15</v>
      </c>
      <c r="L804" s="11">
        <f t="shared" si="581"/>
        <v>40</v>
      </c>
      <c r="M804" s="69">
        <v>45479</v>
      </c>
      <c r="N804" s="59" t="s">
        <v>4</v>
      </c>
      <c r="O804" s="48"/>
      <c r="P804" s="49">
        <v>150</v>
      </c>
      <c r="Q804" s="50"/>
      <c r="R804" s="51"/>
      <c r="S804" s="85">
        <f t="shared" si="582"/>
        <v>150</v>
      </c>
      <c r="T804" s="48"/>
      <c r="U804" s="49"/>
      <c r="V804" s="50"/>
      <c r="W804" s="51"/>
      <c r="X804" s="74">
        <f t="shared" si="583"/>
        <v>0</v>
      </c>
      <c r="Y804" s="11">
        <f t="shared" si="584"/>
        <v>150</v>
      </c>
      <c r="Z804" s="69" t="s">
        <v>513</v>
      </c>
    </row>
    <row r="805" spans="1:26" x14ac:dyDescent="0.15">
      <c r="A805" s="13" t="s">
        <v>6</v>
      </c>
      <c r="B805" s="20"/>
      <c r="C805" s="35"/>
      <c r="D805" s="21"/>
      <c r="E805" s="24">
        <v>5</v>
      </c>
      <c r="F805" s="25">
        <f t="shared" si="579"/>
        <v>5</v>
      </c>
      <c r="G805" s="20"/>
      <c r="H805" s="35"/>
      <c r="I805" s="21">
        <v>10</v>
      </c>
      <c r="J805" s="24">
        <v>5</v>
      </c>
      <c r="K805" s="25">
        <f t="shared" si="580"/>
        <v>15</v>
      </c>
      <c r="L805" s="11">
        <f t="shared" si="581"/>
        <v>20</v>
      </c>
      <c r="M805" s="69">
        <v>45489</v>
      </c>
      <c r="N805" s="59" t="s">
        <v>5</v>
      </c>
      <c r="O805" s="48"/>
      <c r="P805" s="49"/>
      <c r="Q805" s="50"/>
      <c r="R805" s="51"/>
      <c r="S805" s="85">
        <f t="shared" ref="S805" si="585">SUM(O805:R805)</f>
        <v>0</v>
      </c>
      <c r="T805" s="48"/>
      <c r="U805" s="49"/>
      <c r="V805" s="50"/>
      <c r="W805" s="51"/>
      <c r="X805" s="74">
        <f t="shared" ref="X805" si="586">SUM(T805:W805)</f>
        <v>0</v>
      </c>
      <c r="Y805" s="11">
        <f t="shared" si="578"/>
        <v>0</v>
      </c>
      <c r="Z805" s="162" t="s">
        <v>511</v>
      </c>
    </row>
    <row r="806" spans="1:26" ht="14.25" thickBot="1" x14ac:dyDescent="0.2">
      <c r="A806" s="13" t="s">
        <v>192</v>
      </c>
      <c r="B806" s="48"/>
      <c r="C806" s="49"/>
      <c r="D806" s="50">
        <v>2</v>
      </c>
      <c r="E806" s="51">
        <v>1</v>
      </c>
      <c r="F806" s="52">
        <f t="shared" si="579"/>
        <v>3</v>
      </c>
      <c r="G806" s="48"/>
      <c r="H806" s="49"/>
      <c r="I806" s="50">
        <v>1</v>
      </c>
      <c r="J806" s="51"/>
      <c r="K806" s="52">
        <f t="shared" si="580"/>
        <v>1</v>
      </c>
      <c r="L806" s="11">
        <f t="shared" si="581"/>
        <v>4</v>
      </c>
      <c r="M806" s="71">
        <v>45491</v>
      </c>
      <c r="N806" s="13" t="s">
        <v>6</v>
      </c>
      <c r="O806" s="43"/>
      <c r="P806" s="44"/>
      <c r="Q806" s="45"/>
      <c r="R806" s="46"/>
      <c r="S806" s="58">
        <f>SUM(O806:R806)</f>
        <v>0</v>
      </c>
      <c r="T806" s="35"/>
      <c r="U806" s="35"/>
      <c r="V806" s="21"/>
      <c r="W806" s="38"/>
      <c r="X806" s="10">
        <f>SUM(T806:W806)</f>
        <v>0</v>
      </c>
      <c r="Y806" s="14">
        <f t="shared" si="578"/>
        <v>0</v>
      </c>
    </row>
    <row r="807" spans="1:26" ht="14.25" thickBot="1" x14ac:dyDescent="0.2">
      <c r="A807" s="18" t="s">
        <v>8</v>
      </c>
      <c r="B807" s="76">
        <f t="shared" ref="B807:K807" si="587">SUM(B802:B806)</f>
        <v>38</v>
      </c>
      <c r="C807" s="77">
        <f t="shared" si="587"/>
        <v>51</v>
      </c>
      <c r="D807" s="78">
        <f t="shared" si="587"/>
        <v>35</v>
      </c>
      <c r="E807" s="79">
        <f t="shared" si="587"/>
        <v>39</v>
      </c>
      <c r="F807" s="80">
        <f t="shared" si="587"/>
        <v>163</v>
      </c>
      <c r="G807" s="76">
        <f t="shared" si="587"/>
        <v>38</v>
      </c>
      <c r="H807" s="77">
        <f t="shared" si="587"/>
        <v>39</v>
      </c>
      <c r="I807" s="78">
        <f t="shared" si="587"/>
        <v>40</v>
      </c>
      <c r="J807" s="79">
        <f t="shared" si="587"/>
        <v>36</v>
      </c>
      <c r="K807" s="80">
        <f t="shared" si="587"/>
        <v>153</v>
      </c>
      <c r="L807" s="17">
        <f t="shared" si="581"/>
        <v>316</v>
      </c>
      <c r="N807" s="16" t="s">
        <v>8</v>
      </c>
      <c r="O807" s="31">
        <f t="shared" ref="O807:X807" si="588">SUM(O802:O806)</f>
        <v>116</v>
      </c>
      <c r="P807" s="37">
        <f t="shared" si="588"/>
        <v>180</v>
      </c>
      <c r="Q807" s="32">
        <f t="shared" si="588"/>
        <v>191</v>
      </c>
      <c r="R807" s="82">
        <f t="shared" si="588"/>
        <v>226</v>
      </c>
      <c r="S807" s="83">
        <f t="shared" si="588"/>
        <v>713</v>
      </c>
      <c r="T807" s="31">
        <f t="shared" si="588"/>
        <v>75</v>
      </c>
      <c r="U807" s="37">
        <f t="shared" si="588"/>
        <v>85</v>
      </c>
      <c r="V807" s="32">
        <f t="shared" si="588"/>
        <v>36</v>
      </c>
      <c r="W807" s="82">
        <f t="shared" si="588"/>
        <v>181</v>
      </c>
      <c r="X807" s="83">
        <f t="shared" si="588"/>
        <v>377</v>
      </c>
      <c r="Y807" s="39">
        <f t="shared" si="578"/>
        <v>1090</v>
      </c>
    </row>
    <row r="808" spans="1:26" x14ac:dyDescent="0.15">
      <c r="A808" s="59" t="s">
        <v>493</v>
      </c>
      <c r="B808" s="20"/>
      <c r="C808" s="35"/>
      <c r="D808" s="21"/>
      <c r="E808" s="24">
        <v>1</v>
      </c>
      <c r="F808" s="25">
        <f t="shared" ref="F808:F832" si="589">SUM(B808:E808)</f>
        <v>1</v>
      </c>
      <c r="G808" s="20"/>
      <c r="H808" s="35"/>
      <c r="I808" s="21"/>
      <c r="J808" s="24">
        <v>1</v>
      </c>
      <c r="K808" s="25">
        <f t="shared" ref="K808:K832" si="590">SUM(G808:J808)</f>
        <v>1</v>
      </c>
      <c r="L808" s="11">
        <f t="shared" si="581"/>
        <v>2</v>
      </c>
      <c r="M808" s="69">
        <v>45470</v>
      </c>
      <c r="N808" s="12" t="s">
        <v>512</v>
      </c>
      <c r="O808" s="20"/>
      <c r="P808" s="35">
        <v>5</v>
      </c>
      <c r="Q808" s="21"/>
      <c r="R808" s="38"/>
      <c r="S808" s="9">
        <f t="shared" ref="S808:S820" si="591">SUM(O808:R808)</f>
        <v>5</v>
      </c>
      <c r="T808" s="20"/>
      <c r="U808" s="35"/>
      <c r="V808" s="21"/>
      <c r="W808" s="24">
        <v>10</v>
      </c>
      <c r="X808" s="25">
        <f t="shared" ref="X808:X820" si="592">SUM(T808:W808)</f>
        <v>10</v>
      </c>
      <c r="Y808" s="11">
        <f t="shared" si="578"/>
        <v>15</v>
      </c>
      <c r="Z808" s="69">
        <v>45505</v>
      </c>
    </row>
    <row r="809" spans="1:26" x14ac:dyDescent="0.15">
      <c r="A809" s="59" t="s">
        <v>27</v>
      </c>
      <c r="B809" s="20">
        <v>1</v>
      </c>
      <c r="C809" s="35">
        <v>3</v>
      </c>
      <c r="D809" s="21">
        <v>1</v>
      </c>
      <c r="E809" s="24">
        <v>2</v>
      </c>
      <c r="F809" s="25">
        <f t="shared" si="589"/>
        <v>7</v>
      </c>
      <c r="G809" s="20">
        <v>1</v>
      </c>
      <c r="H809" s="35">
        <f>1+3</f>
        <v>4</v>
      </c>
      <c r="I809" s="21">
        <v>3</v>
      </c>
      <c r="J809" s="24"/>
      <c r="K809" s="25">
        <f t="shared" si="590"/>
        <v>8</v>
      </c>
      <c r="L809" s="11">
        <f t="shared" si="581"/>
        <v>15</v>
      </c>
      <c r="M809" s="69">
        <v>45469</v>
      </c>
      <c r="N809" s="40" t="s">
        <v>26</v>
      </c>
      <c r="O809" s="20">
        <v>15</v>
      </c>
      <c r="P809" s="35">
        <v>20</v>
      </c>
      <c r="Q809" s="21">
        <v>10</v>
      </c>
      <c r="R809" s="38"/>
      <c r="S809" s="9">
        <f t="shared" si="591"/>
        <v>45</v>
      </c>
      <c r="T809" s="20">
        <v>10</v>
      </c>
      <c r="U809" s="35">
        <v>20</v>
      </c>
      <c r="V809" s="21"/>
      <c r="W809" s="24"/>
      <c r="X809" s="25">
        <f t="shared" si="592"/>
        <v>30</v>
      </c>
      <c r="Y809" s="11">
        <f t="shared" si="578"/>
        <v>75</v>
      </c>
      <c r="Z809" s="69">
        <v>45506</v>
      </c>
    </row>
    <row r="810" spans="1:26" x14ac:dyDescent="0.15">
      <c r="A810" s="59" t="s">
        <v>27</v>
      </c>
      <c r="B810" s="20">
        <v>1</v>
      </c>
      <c r="C810" s="35">
        <v>1</v>
      </c>
      <c r="D810" s="21"/>
      <c r="E810" s="24"/>
      <c r="F810" s="25">
        <f t="shared" si="589"/>
        <v>2</v>
      </c>
      <c r="G810" s="20">
        <v>1</v>
      </c>
      <c r="H810" s="35"/>
      <c r="I810" s="21"/>
      <c r="J810" s="24"/>
      <c r="K810" s="25">
        <f t="shared" si="590"/>
        <v>1</v>
      </c>
      <c r="L810" s="11">
        <f t="shared" si="581"/>
        <v>3</v>
      </c>
      <c r="M810" s="71">
        <v>45470</v>
      </c>
      <c r="N810" s="12" t="s">
        <v>517</v>
      </c>
      <c r="O810" s="20">
        <v>10</v>
      </c>
      <c r="P810" s="35">
        <v>12</v>
      </c>
      <c r="Q810" s="21">
        <v>12</v>
      </c>
      <c r="R810" s="38"/>
      <c r="S810" s="9">
        <f t="shared" si="591"/>
        <v>34</v>
      </c>
      <c r="T810" s="20">
        <v>10</v>
      </c>
      <c r="U810" s="35">
        <v>20</v>
      </c>
      <c r="V810" s="21">
        <v>10</v>
      </c>
      <c r="W810" s="24"/>
      <c r="X810" s="25">
        <f t="shared" si="592"/>
        <v>40</v>
      </c>
      <c r="Y810" s="11">
        <f t="shared" si="578"/>
        <v>74</v>
      </c>
      <c r="Z810" s="69">
        <v>45511</v>
      </c>
    </row>
    <row r="811" spans="1:26" x14ac:dyDescent="0.15">
      <c r="A811" s="59" t="s">
        <v>27</v>
      </c>
      <c r="B811" s="20">
        <v>1</v>
      </c>
      <c r="C811" s="35"/>
      <c r="D811" s="21"/>
      <c r="E811" s="24">
        <v>1</v>
      </c>
      <c r="F811" s="25">
        <f t="shared" si="589"/>
        <v>2</v>
      </c>
      <c r="G811" s="20">
        <v>1</v>
      </c>
      <c r="H811" s="35">
        <v>2</v>
      </c>
      <c r="I811" s="21"/>
      <c r="J811" s="24">
        <v>1</v>
      </c>
      <c r="K811" s="25">
        <f t="shared" si="590"/>
        <v>4</v>
      </c>
      <c r="L811" s="11">
        <f t="shared" si="581"/>
        <v>6</v>
      </c>
      <c r="M811" s="71">
        <v>45474</v>
      </c>
      <c r="N811" s="12" t="s">
        <v>519</v>
      </c>
      <c r="O811" s="20">
        <v>3</v>
      </c>
      <c r="P811" s="35">
        <v>5</v>
      </c>
      <c r="Q811" s="21">
        <v>5</v>
      </c>
      <c r="R811" s="38"/>
      <c r="S811" s="9">
        <f t="shared" si="591"/>
        <v>13</v>
      </c>
      <c r="T811" s="20">
        <v>3</v>
      </c>
      <c r="U811" s="35">
        <v>5</v>
      </c>
      <c r="V811" s="21">
        <v>3</v>
      </c>
      <c r="W811" s="24"/>
      <c r="X811" s="25">
        <f t="shared" si="592"/>
        <v>11</v>
      </c>
      <c r="Y811" s="11">
        <f t="shared" si="578"/>
        <v>24</v>
      </c>
      <c r="Z811" s="69">
        <v>45513</v>
      </c>
    </row>
    <row r="812" spans="1:26" x14ac:dyDescent="0.15">
      <c r="A812" s="59" t="s">
        <v>496</v>
      </c>
      <c r="B812" s="20"/>
      <c r="C812" s="35"/>
      <c r="D812" s="21"/>
      <c r="E812" s="24"/>
      <c r="F812" s="25">
        <f t="shared" si="589"/>
        <v>0</v>
      </c>
      <c r="G812" s="20"/>
      <c r="H812" s="35"/>
      <c r="I812" s="21">
        <v>-1</v>
      </c>
      <c r="J812" s="24"/>
      <c r="K812" s="25">
        <f t="shared" si="590"/>
        <v>-1</v>
      </c>
      <c r="L812" s="11">
        <f t="shared" si="581"/>
        <v>-1</v>
      </c>
      <c r="M812" s="71">
        <v>45475</v>
      </c>
      <c r="N812" s="12" t="s">
        <v>520</v>
      </c>
      <c r="O812" s="20">
        <v>5</v>
      </c>
      <c r="P812" s="35"/>
      <c r="Q812" s="21"/>
      <c r="R812" s="38"/>
      <c r="S812" s="9">
        <f t="shared" si="591"/>
        <v>5</v>
      </c>
      <c r="T812" s="20"/>
      <c r="U812" s="35"/>
      <c r="V812" s="21"/>
      <c r="W812" s="24"/>
      <c r="X812" s="25">
        <f t="shared" si="592"/>
        <v>0</v>
      </c>
      <c r="Y812" s="11">
        <f t="shared" si="578"/>
        <v>5</v>
      </c>
      <c r="Z812" s="69">
        <v>45523</v>
      </c>
    </row>
    <row r="813" spans="1:26" x14ac:dyDescent="0.15">
      <c r="A813" s="59" t="s">
        <v>497</v>
      </c>
      <c r="B813" s="20"/>
      <c r="C813" s="35"/>
      <c r="D813" s="21"/>
      <c r="E813" s="24"/>
      <c r="F813" s="25">
        <f t="shared" si="589"/>
        <v>0</v>
      </c>
      <c r="G813" s="20">
        <v>1</v>
      </c>
      <c r="H813" s="35">
        <v>1</v>
      </c>
      <c r="I813" s="21"/>
      <c r="J813" s="24"/>
      <c r="K813" s="25">
        <f t="shared" si="590"/>
        <v>2</v>
      </c>
      <c r="L813" s="11">
        <f t="shared" si="581"/>
        <v>2</v>
      </c>
      <c r="M813" s="71">
        <v>45476</v>
      </c>
      <c r="N813" s="40"/>
      <c r="O813" s="20"/>
      <c r="P813" s="35"/>
      <c r="Q813" s="21"/>
      <c r="R813" s="38"/>
      <c r="S813" s="9">
        <f t="shared" si="591"/>
        <v>0</v>
      </c>
      <c r="T813" s="20"/>
      <c r="U813" s="35"/>
      <c r="V813" s="21"/>
      <c r="W813" s="24"/>
      <c r="X813" s="25">
        <f t="shared" si="592"/>
        <v>0</v>
      </c>
      <c r="Y813" s="11">
        <f t="shared" si="578"/>
        <v>0</v>
      </c>
      <c r="Z813" s="162"/>
    </row>
    <row r="814" spans="1:26" x14ac:dyDescent="0.15">
      <c r="A814" s="59" t="s">
        <v>27</v>
      </c>
      <c r="B814" s="20"/>
      <c r="C814" s="35"/>
      <c r="D814" s="21"/>
      <c r="E814" s="24"/>
      <c r="F814" s="25">
        <f t="shared" si="589"/>
        <v>0</v>
      </c>
      <c r="G814" s="20">
        <v>1</v>
      </c>
      <c r="H814" s="35"/>
      <c r="I814" s="21"/>
      <c r="J814" s="24"/>
      <c r="K814" s="25">
        <f t="shared" si="590"/>
        <v>1</v>
      </c>
      <c r="L814" s="11">
        <f t="shared" si="581"/>
        <v>1</v>
      </c>
      <c r="M814" s="71">
        <v>45477</v>
      </c>
      <c r="N814" s="40"/>
      <c r="O814" s="20"/>
      <c r="P814" s="35"/>
      <c r="Q814" s="21"/>
      <c r="R814" s="38"/>
      <c r="S814" s="9">
        <f t="shared" si="591"/>
        <v>0</v>
      </c>
      <c r="T814" s="20"/>
      <c r="U814" s="35"/>
      <c r="V814" s="21"/>
      <c r="W814" s="24"/>
      <c r="X814" s="25">
        <f t="shared" si="592"/>
        <v>0</v>
      </c>
      <c r="Y814" s="11">
        <f t="shared" si="578"/>
        <v>0</v>
      </c>
      <c r="Z814" s="162"/>
    </row>
    <row r="815" spans="1:26" x14ac:dyDescent="0.15">
      <c r="A815" s="59" t="s">
        <v>499</v>
      </c>
      <c r="B815" s="20"/>
      <c r="C815" s="35"/>
      <c r="D815" s="21"/>
      <c r="E815" s="24"/>
      <c r="F815" s="25">
        <f t="shared" si="589"/>
        <v>0</v>
      </c>
      <c r="G815" s="20"/>
      <c r="H815" s="35">
        <v>1</v>
      </c>
      <c r="I815" s="21"/>
      <c r="J815" s="24"/>
      <c r="K815" s="25">
        <f t="shared" si="590"/>
        <v>1</v>
      </c>
      <c r="L815" s="11">
        <f t="shared" si="581"/>
        <v>1</v>
      </c>
      <c r="M815" s="71">
        <v>45477</v>
      </c>
      <c r="N815" s="40"/>
      <c r="O815" s="20"/>
      <c r="P815" s="35"/>
      <c r="Q815" s="21"/>
      <c r="R815" s="38"/>
      <c r="S815" s="9">
        <f t="shared" si="591"/>
        <v>0</v>
      </c>
      <c r="T815" s="20"/>
      <c r="U815" s="35"/>
      <c r="V815" s="21"/>
      <c r="W815" s="24"/>
      <c r="X815" s="25">
        <f t="shared" si="592"/>
        <v>0</v>
      </c>
      <c r="Y815" s="11">
        <f t="shared" si="578"/>
        <v>0</v>
      </c>
    </row>
    <row r="816" spans="1:26" x14ac:dyDescent="0.15">
      <c r="A816" s="59" t="s">
        <v>27</v>
      </c>
      <c r="B816" s="20">
        <v>2</v>
      </c>
      <c r="C816" s="35">
        <v>6</v>
      </c>
      <c r="D816" s="21"/>
      <c r="E816" s="24"/>
      <c r="F816" s="25">
        <f t="shared" si="589"/>
        <v>8</v>
      </c>
      <c r="G816" s="20">
        <v>2</v>
      </c>
      <c r="H816" s="35">
        <v>2</v>
      </c>
      <c r="I816" s="21"/>
      <c r="J816" s="24"/>
      <c r="K816" s="25">
        <f t="shared" si="590"/>
        <v>4</v>
      </c>
      <c r="L816" s="11">
        <f t="shared" si="581"/>
        <v>12</v>
      </c>
      <c r="M816" s="71">
        <v>45478</v>
      </c>
      <c r="N816" s="40"/>
      <c r="O816" s="20"/>
      <c r="P816" s="35"/>
      <c r="Q816" s="21"/>
      <c r="R816" s="38"/>
      <c r="S816" s="9">
        <f t="shared" si="591"/>
        <v>0</v>
      </c>
      <c r="T816" s="20"/>
      <c r="U816" s="35"/>
      <c r="V816" s="21"/>
      <c r="W816" s="24"/>
      <c r="X816" s="25">
        <f t="shared" si="592"/>
        <v>0</v>
      </c>
      <c r="Y816" s="11">
        <f t="shared" si="578"/>
        <v>0</v>
      </c>
    </row>
    <row r="817" spans="1:26" x14ac:dyDescent="0.15">
      <c r="A817" s="59" t="s">
        <v>27</v>
      </c>
      <c r="B817" s="20"/>
      <c r="C817" s="35"/>
      <c r="D817" s="21"/>
      <c r="E817" s="24"/>
      <c r="F817" s="25">
        <f t="shared" si="589"/>
        <v>0</v>
      </c>
      <c r="G817" s="20"/>
      <c r="H817" s="35">
        <v>2</v>
      </c>
      <c r="I817" s="21"/>
      <c r="J817" s="24"/>
      <c r="K817" s="25">
        <f t="shared" si="590"/>
        <v>2</v>
      </c>
      <c r="L817" s="11">
        <f t="shared" si="581"/>
        <v>2</v>
      </c>
      <c r="M817" s="69">
        <v>45479</v>
      </c>
      <c r="N817" s="40"/>
      <c r="O817" s="20"/>
      <c r="P817" s="35"/>
      <c r="Q817" s="21"/>
      <c r="R817" s="38"/>
      <c r="S817" s="9">
        <f t="shared" si="591"/>
        <v>0</v>
      </c>
      <c r="T817" s="20"/>
      <c r="U817" s="35"/>
      <c r="V817" s="21"/>
      <c r="W817" s="24"/>
      <c r="X817" s="25">
        <f t="shared" si="592"/>
        <v>0</v>
      </c>
      <c r="Y817" s="11">
        <f t="shared" si="578"/>
        <v>0</v>
      </c>
    </row>
    <row r="818" spans="1:26" x14ac:dyDescent="0.15">
      <c r="A818" s="59" t="s">
        <v>210</v>
      </c>
      <c r="B818" s="20"/>
      <c r="C818" s="35"/>
      <c r="D818" s="21"/>
      <c r="E818" s="24"/>
      <c r="F818" s="25">
        <f t="shared" si="589"/>
        <v>0</v>
      </c>
      <c r="G818" s="20"/>
      <c r="H818" s="35">
        <v>1</v>
      </c>
      <c r="I818" s="21"/>
      <c r="J818" s="24"/>
      <c r="K818" s="25">
        <f t="shared" si="590"/>
        <v>1</v>
      </c>
      <c r="L818" s="11">
        <f t="shared" si="581"/>
        <v>1</v>
      </c>
      <c r="M818" s="69">
        <v>45482</v>
      </c>
      <c r="N818" s="40"/>
      <c r="O818" s="20"/>
      <c r="P818" s="35"/>
      <c r="Q818" s="21"/>
      <c r="R818" s="38"/>
      <c r="S818" s="9">
        <f t="shared" si="591"/>
        <v>0</v>
      </c>
      <c r="T818" s="20"/>
      <c r="U818" s="35"/>
      <c r="V818" s="21"/>
      <c r="W818" s="24"/>
      <c r="X818" s="25">
        <f t="shared" si="592"/>
        <v>0</v>
      </c>
      <c r="Y818" s="11">
        <f t="shared" si="578"/>
        <v>0</v>
      </c>
    </row>
    <row r="819" spans="1:26" x14ac:dyDescent="0.15">
      <c r="A819" s="59" t="s">
        <v>421</v>
      </c>
      <c r="B819" s="20"/>
      <c r="C819" s="35"/>
      <c r="D819" s="21"/>
      <c r="E819" s="24">
        <v>1</v>
      </c>
      <c r="F819" s="25">
        <f t="shared" si="589"/>
        <v>1</v>
      </c>
      <c r="G819" s="20"/>
      <c r="H819" s="35"/>
      <c r="I819" s="21"/>
      <c r="J819" s="24"/>
      <c r="K819" s="25">
        <f t="shared" si="590"/>
        <v>0</v>
      </c>
      <c r="L819" s="11">
        <f t="shared" si="581"/>
        <v>1</v>
      </c>
      <c r="M819" s="69">
        <v>45482</v>
      </c>
      <c r="N819" s="40"/>
      <c r="O819" s="20"/>
      <c r="P819" s="35"/>
      <c r="Q819" s="21"/>
      <c r="R819" s="38"/>
      <c r="S819" s="9">
        <f t="shared" si="591"/>
        <v>0</v>
      </c>
      <c r="T819" s="20"/>
      <c r="U819" s="35"/>
      <c r="V819" s="21"/>
      <c r="W819" s="24"/>
      <c r="X819" s="25">
        <f t="shared" si="592"/>
        <v>0</v>
      </c>
      <c r="Y819" s="11">
        <f t="shared" si="578"/>
        <v>0</v>
      </c>
    </row>
    <row r="820" spans="1:26" x14ac:dyDescent="0.15">
      <c r="A820" s="59" t="s">
        <v>27</v>
      </c>
      <c r="B820" s="20"/>
      <c r="C820" s="35">
        <f>2+1</f>
        <v>3</v>
      </c>
      <c r="D820" s="21">
        <v>1</v>
      </c>
      <c r="E820" s="24">
        <v>1</v>
      </c>
      <c r="F820" s="25">
        <f t="shared" si="589"/>
        <v>5</v>
      </c>
      <c r="G820" s="20">
        <v>1</v>
      </c>
      <c r="H820" s="35">
        <v>1</v>
      </c>
      <c r="I820" s="21">
        <v>3</v>
      </c>
      <c r="J820" s="24">
        <v>1</v>
      </c>
      <c r="K820" s="25">
        <f t="shared" si="590"/>
        <v>6</v>
      </c>
      <c r="L820" s="11">
        <f t="shared" si="581"/>
        <v>11</v>
      </c>
      <c r="M820" s="71">
        <v>45481</v>
      </c>
      <c r="N820" s="40"/>
      <c r="O820" s="20"/>
      <c r="P820" s="35"/>
      <c r="Q820" s="21"/>
      <c r="R820" s="38"/>
      <c r="S820" s="9">
        <f t="shared" si="591"/>
        <v>0</v>
      </c>
      <c r="T820" s="20"/>
      <c r="U820" s="35"/>
      <c r="V820" s="21"/>
      <c r="W820" s="24"/>
      <c r="X820" s="25">
        <f t="shared" si="592"/>
        <v>0</v>
      </c>
      <c r="Y820" s="11">
        <f t="shared" si="578"/>
        <v>0</v>
      </c>
    </row>
    <row r="821" spans="1:26" x14ac:dyDescent="0.15">
      <c r="A821" s="59" t="s">
        <v>27</v>
      </c>
      <c r="B821" s="20"/>
      <c r="C821" s="35">
        <v>1</v>
      </c>
      <c r="D821" s="21"/>
      <c r="E821" s="24"/>
      <c r="F821" s="25">
        <f t="shared" si="589"/>
        <v>1</v>
      </c>
      <c r="G821" s="20"/>
      <c r="H821" s="35">
        <v>3</v>
      </c>
      <c r="I821" s="21"/>
      <c r="J821" s="24"/>
      <c r="K821" s="25">
        <f t="shared" si="590"/>
        <v>3</v>
      </c>
      <c r="L821" s="11">
        <f t="shared" si="581"/>
        <v>4</v>
      </c>
      <c r="M821" s="71">
        <v>45482</v>
      </c>
      <c r="N821" s="12"/>
      <c r="O821" s="20"/>
      <c r="P821" s="35"/>
      <c r="Q821" s="21"/>
      <c r="R821" s="38"/>
      <c r="S821" s="9">
        <f>SUM(O821:R821)</f>
        <v>0</v>
      </c>
      <c r="T821" s="20"/>
      <c r="U821" s="35"/>
      <c r="V821" s="21"/>
      <c r="W821" s="24"/>
      <c r="X821" s="25">
        <f>SUM(T821:W821)</f>
        <v>0</v>
      </c>
      <c r="Y821" s="11">
        <f t="shared" si="578"/>
        <v>0</v>
      </c>
    </row>
    <row r="822" spans="1:26" x14ac:dyDescent="0.15">
      <c r="A822" s="59" t="s">
        <v>27</v>
      </c>
      <c r="B822" s="20">
        <f>1+1</f>
        <v>2</v>
      </c>
      <c r="C822" s="35">
        <f>1+2</f>
        <v>3</v>
      </c>
      <c r="D822" s="21"/>
      <c r="E822" s="24"/>
      <c r="F822" s="25">
        <f t="shared" si="589"/>
        <v>5</v>
      </c>
      <c r="G822" s="20">
        <v>1</v>
      </c>
      <c r="H822" s="35">
        <f>1+2</f>
        <v>3</v>
      </c>
      <c r="I822" s="21"/>
      <c r="J822" s="24"/>
      <c r="K822" s="25">
        <f t="shared" si="590"/>
        <v>4</v>
      </c>
      <c r="L822" s="11">
        <f t="shared" si="581"/>
        <v>9</v>
      </c>
      <c r="M822" s="71">
        <v>45483</v>
      </c>
      <c r="N822" s="40"/>
      <c r="O822" s="20"/>
      <c r="P822" s="35"/>
      <c r="Q822" s="21"/>
      <c r="R822" s="38"/>
      <c r="S822" s="9">
        <f t="shared" ref="S822:S833" si="593">SUM(O822:R822)</f>
        <v>0</v>
      </c>
      <c r="T822" s="20"/>
      <c r="U822" s="35"/>
      <c r="V822" s="21"/>
      <c r="W822" s="24"/>
      <c r="X822" s="25">
        <f t="shared" ref="X822:X833" si="594">SUM(T822:W822)</f>
        <v>0</v>
      </c>
      <c r="Y822" s="11">
        <f t="shared" si="578"/>
        <v>0</v>
      </c>
    </row>
    <row r="823" spans="1:26" x14ac:dyDescent="0.15">
      <c r="A823" s="59" t="s">
        <v>27</v>
      </c>
      <c r="B823" s="20"/>
      <c r="C823" s="35">
        <v>1</v>
      </c>
      <c r="D823" s="21"/>
      <c r="E823" s="24"/>
      <c r="F823" s="25">
        <f t="shared" si="589"/>
        <v>1</v>
      </c>
      <c r="G823" s="20"/>
      <c r="H823" s="35">
        <v>5</v>
      </c>
      <c r="I823" s="21"/>
      <c r="J823" s="24">
        <v>1</v>
      </c>
      <c r="K823" s="25">
        <f t="shared" si="590"/>
        <v>6</v>
      </c>
      <c r="L823" s="11">
        <f t="shared" si="581"/>
        <v>7</v>
      </c>
      <c r="M823" s="71">
        <v>45484</v>
      </c>
      <c r="N823" s="15"/>
      <c r="O823" s="20"/>
      <c r="P823" s="35"/>
      <c r="Q823" s="21"/>
      <c r="R823" s="38"/>
      <c r="S823" s="9">
        <f t="shared" si="593"/>
        <v>0</v>
      </c>
      <c r="T823" s="20"/>
      <c r="U823" s="35"/>
      <c r="V823" s="21"/>
      <c r="W823" s="24"/>
      <c r="X823" s="25">
        <f t="shared" si="594"/>
        <v>0</v>
      </c>
      <c r="Y823" s="11">
        <f t="shared" si="578"/>
        <v>0</v>
      </c>
    </row>
    <row r="824" spans="1:26" x14ac:dyDescent="0.15">
      <c r="A824" s="59" t="s">
        <v>27</v>
      </c>
      <c r="B824" s="20"/>
      <c r="C824" s="35">
        <f>1+1</f>
        <v>2</v>
      </c>
      <c r="D824" s="21"/>
      <c r="E824" s="24"/>
      <c r="F824" s="25">
        <f t="shared" si="589"/>
        <v>2</v>
      </c>
      <c r="G824" s="20"/>
      <c r="H824" s="35">
        <f>1+1</f>
        <v>2</v>
      </c>
      <c r="I824" s="21"/>
      <c r="J824" s="24"/>
      <c r="K824" s="25">
        <f t="shared" si="590"/>
        <v>2</v>
      </c>
      <c r="L824" s="11">
        <f t="shared" si="581"/>
        <v>4</v>
      </c>
      <c r="M824" s="71">
        <v>45489</v>
      </c>
      <c r="N824" s="40"/>
      <c r="O824" s="20"/>
      <c r="P824" s="35"/>
      <c r="Q824" s="21"/>
      <c r="R824" s="38"/>
      <c r="S824" s="9">
        <f t="shared" si="593"/>
        <v>0</v>
      </c>
      <c r="T824" s="20"/>
      <c r="U824" s="35"/>
      <c r="V824" s="21"/>
      <c r="W824" s="24"/>
      <c r="X824" s="25">
        <f t="shared" si="594"/>
        <v>0</v>
      </c>
      <c r="Y824" s="11">
        <f t="shared" si="578"/>
        <v>0</v>
      </c>
    </row>
    <row r="825" spans="1:26" x14ac:dyDescent="0.15">
      <c r="A825" s="59" t="s">
        <v>27</v>
      </c>
      <c r="B825" s="20"/>
      <c r="C825" s="35"/>
      <c r="D825" s="21"/>
      <c r="E825" s="24"/>
      <c r="F825" s="25">
        <f t="shared" si="589"/>
        <v>0</v>
      </c>
      <c r="G825" s="20">
        <v>2</v>
      </c>
      <c r="H825" s="35"/>
      <c r="I825" s="21"/>
      <c r="J825" s="24"/>
      <c r="K825" s="25">
        <f t="shared" si="590"/>
        <v>2</v>
      </c>
      <c r="L825" s="11">
        <f t="shared" si="581"/>
        <v>2</v>
      </c>
      <c r="M825" s="71">
        <v>45490</v>
      </c>
      <c r="N825" s="40"/>
      <c r="O825" s="48"/>
      <c r="P825" s="49"/>
      <c r="Q825" s="50"/>
      <c r="R825" s="72"/>
      <c r="S825" s="74">
        <f t="shared" si="593"/>
        <v>0</v>
      </c>
      <c r="T825" s="48"/>
      <c r="U825" s="49"/>
      <c r="V825" s="50"/>
      <c r="W825" s="51"/>
      <c r="X825" s="52">
        <f t="shared" si="594"/>
        <v>0</v>
      </c>
      <c r="Y825" s="11">
        <f t="shared" si="578"/>
        <v>0</v>
      </c>
    </row>
    <row r="826" spans="1:26" x14ac:dyDescent="0.15">
      <c r="A826" s="12" t="s">
        <v>505</v>
      </c>
      <c r="B826" s="20"/>
      <c r="C826" s="35">
        <v>10</v>
      </c>
      <c r="D826" s="21"/>
      <c r="E826" s="24"/>
      <c r="F826" s="25">
        <f t="shared" si="589"/>
        <v>10</v>
      </c>
      <c r="G826" s="20"/>
      <c r="H826" s="35">
        <v>10</v>
      </c>
      <c r="I826" s="21"/>
      <c r="J826" s="24"/>
      <c r="K826" s="25">
        <f t="shared" si="590"/>
        <v>10</v>
      </c>
      <c r="L826" s="11">
        <f t="shared" si="581"/>
        <v>20</v>
      </c>
      <c r="M826" s="69">
        <v>45493</v>
      </c>
      <c r="N826" s="12"/>
      <c r="O826" s="20"/>
      <c r="P826" s="35"/>
      <c r="Q826" s="21"/>
      <c r="R826" s="38"/>
      <c r="S826" s="9">
        <f t="shared" si="593"/>
        <v>0</v>
      </c>
      <c r="T826" s="20"/>
      <c r="U826" s="35"/>
      <c r="V826" s="21"/>
      <c r="W826" s="24"/>
      <c r="X826" s="25">
        <f t="shared" si="594"/>
        <v>0</v>
      </c>
      <c r="Y826" s="47">
        <f t="shared" si="578"/>
        <v>0</v>
      </c>
    </row>
    <row r="827" spans="1:26" x14ac:dyDescent="0.15">
      <c r="A827" s="59" t="s">
        <v>27</v>
      </c>
      <c r="B827" s="20">
        <v>1</v>
      </c>
      <c r="C827" s="35"/>
      <c r="D827" s="21"/>
      <c r="E827" s="24"/>
      <c r="F827" s="25">
        <f t="shared" si="589"/>
        <v>1</v>
      </c>
      <c r="G827" s="20">
        <v>1</v>
      </c>
      <c r="H827" s="35"/>
      <c r="I827" s="21"/>
      <c r="J827" s="24"/>
      <c r="K827" s="25">
        <f t="shared" si="590"/>
        <v>1</v>
      </c>
      <c r="L827" s="11">
        <f t="shared" si="581"/>
        <v>2</v>
      </c>
      <c r="M827" s="69">
        <v>45491</v>
      </c>
      <c r="N827" s="12"/>
      <c r="O827" s="20"/>
      <c r="P827" s="35"/>
      <c r="Q827" s="21"/>
      <c r="R827" s="38"/>
      <c r="S827" s="9">
        <f t="shared" si="593"/>
        <v>0</v>
      </c>
      <c r="T827" s="20"/>
      <c r="U827" s="35"/>
      <c r="V827" s="21"/>
      <c r="W827" s="24"/>
      <c r="X827" s="25">
        <f t="shared" si="594"/>
        <v>0</v>
      </c>
      <c r="Y827" s="47">
        <f t="shared" si="578"/>
        <v>0</v>
      </c>
    </row>
    <row r="828" spans="1:26" x14ac:dyDescent="0.15">
      <c r="A828" s="59" t="s">
        <v>210</v>
      </c>
      <c r="B828" s="20"/>
      <c r="C828" s="35"/>
      <c r="D828" s="21">
        <v>3</v>
      </c>
      <c r="E828" s="24"/>
      <c r="F828" s="25">
        <f t="shared" si="589"/>
        <v>3</v>
      </c>
      <c r="G828" s="20"/>
      <c r="H828" s="35"/>
      <c r="I828" s="21">
        <v>3</v>
      </c>
      <c r="J828" s="24"/>
      <c r="K828" s="25">
        <f t="shared" si="590"/>
        <v>3</v>
      </c>
      <c r="L828" s="11">
        <f t="shared" si="581"/>
        <v>6</v>
      </c>
      <c r="M828" s="69">
        <v>45492</v>
      </c>
      <c r="N828" s="12"/>
      <c r="O828" s="20"/>
      <c r="P828" s="35"/>
      <c r="Q828" s="21"/>
      <c r="R828" s="38"/>
      <c r="S828" s="9">
        <f t="shared" si="593"/>
        <v>0</v>
      </c>
      <c r="T828" s="20"/>
      <c r="U828" s="35"/>
      <c r="V828" s="21"/>
      <c r="W828" s="24"/>
      <c r="X828" s="25">
        <f t="shared" si="594"/>
        <v>0</v>
      </c>
      <c r="Y828" s="47">
        <f t="shared" si="578"/>
        <v>0</v>
      </c>
    </row>
    <row r="829" spans="1:26" x14ac:dyDescent="0.15">
      <c r="A829" s="59" t="s">
        <v>508</v>
      </c>
      <c r="B829" s="20"/>
      <c r="C829" s="35">
        <v>10</v>
      </c>
      <c r="D829" s="21"/>
      <c r="E829" s="24"/>
      <c r="F829" s="25">
        <f t="shared" si="589"/>
        <v>10</v>
      </c>
      <c r="G829" s="20"/>
      <c r="H829" s="35"/>
      <c r="I829" s="21"/>
      <c r="J829" s="24"/>
      <c r="K829" s="25">
        <f t="shared" si="590"/>
        <v>0</v>
      </c>
      <c r="L829" s="11">
        <f t="shared" si="581"/>
        <v>10</v>
      </c>
      <c r="M829" s="69">
        <v>45493</v>
      </c>
      <c r="N829" s="12"/>
      <c r="O829" s="20"/>
      <c r="P829" s="35"/>
      <c r="Q829" s="21"/>
      <c r="R829" s="38"/>
      <c r="S829" s="9">
        <f t="shared" ref="S829" si="595">SUM(O829:R829)</f>
        <v>0</v>
      </c>
      <c r="T829" s="20"/>
      <c r="U829" s="35"/>
      <c r="V829" s="21"/>
      <c r="W829" s="24"/>
      <c r="X829" s="25">
        <f t="shared" ref="X829" si="596">SUM(T829:W829)</f>
        <v>0</v>
      </c>
      <c r="Y829" s="47">
        <f t="shared" ref="Y829" si="597">S829+X829</f>
        <v>0</v>
      </c>
    </row>
    <row r="830" spans="1:26" x14ac:dyDescent="0.15">
      <c r="A830" s="59" t="s">
        <v>27</v>
      </c>
      <c r="B830" s="20"/>
      <c r="C830" s="35"/>
      <c r="D830" s="21"/>
      <c r="E830" s="24"/>
      <c r="F830" s="25">
        <f t="shared" si="589"/>
        <v>0</v>
      </c>
      <c r="G830" s="20"/>
      <c r="H830" s="35"/>
      <c r="I830" s="21">
        <v>2</v>
      </c>
      <c r="J830" s="24"/>
      <c r="K830" s="25">
        <f t="shared" si="590"/>
        <v>2</v>
      </c>
      <c r="L830" s="11">
        <f t="shared" si="581"/>
        <v>2</v>
      </c>
      <c r="M830" s="69">
        <v>45492</v>
      </c>
      <c r="N830" s="12"/>
      <c r="O830" s="20"/>
      <c r="P830" s="35"/>
      <c r="Q830" s="21"/>
      <c r="R830" s="38"/>
      <c r="S830" s="9">
        <f t="shared" ref="S830:S831" si="598">SUM(O830:R830)</f>
        <v>0</v>
      </c>
      <c r="T830" s="20"/>
      <c r="U830" s="35"/>
      <c r="V830" s="21"/>
      <c r="W830" s="24"/>
      <c r="X830" s="25">
        <f t="shared" ref="X830:X831" si="599">SUM(T830:W830)</f>
        <v>0</v>
      </c>
      <c r="Y830" s="47">
        <f t="shared" ref="Y830:Y831" si="600">S830+X830</f>
        <v>0</v>
      </c>
    </row>
    <row r="831" spans="1:26" x14ac:dyDescent="0.15">
      <c r="A831" s="59" t="s">
        <v>27</v>
      </c>
      <c r="B831" s="20">
        <f>6+1</f>
        <v>7</v>
      </c>
      <c r="C831" s="35">
        <v>3</v>
      </c>
      <c r="D831" s="21"/>
      <c r="E831" s="24"/>
      <c r="F831" s="25">
        <f t="shared" si="589"/>
        <v>10</v>
      </c>
      <c r="G831" s="20">
        <v>1</v>
      </c>
      <c r="H831" s="35">
        <v>1</v>
      </c>
      <c r="I831" s="21"/>
      <c r="J831" s="24"/>
      <c r="K831" s="25">
        <f t="shared" si="590"/>
        <v>2</v>
      </c>
      <c r="L831" s="11">
        <f t="shared" si="581"/>
        <v>12</v>
      </c>
      <c r="M831" s="71">
        <v>45493</v>
      </c>
      <c r="N831" s="12"/>
      <c r="O831" s="20"/>
      <c r="P831" s="35"/>
      <c r="Q831" s="21"/>
      <c r="R831" s="38"/>
      <c r="S831" s="9">
        <f t="shared" si="598"/>
        <v>0</v>
      </c>
      <c r="T831" s="20"/>
      <c r="U831" s="35"/>
      <c r="V831" s="21"/>
      <c r="W831" s="24"/>
      <c r="X831" s="25">
        <f t="shared" si="599"/>
        <v>0</v>
      </c>
      <c r="Y831" s="47">
        <f t="shared" si="600"/>
        <v>0</v>
      </c>
    </row>
    <row r="832" spans="1:26" ht="14.25" thickBot="1" x14ac:dyDescent="0.2">
      <c r="A832" s="59" t="s">
        <v>27</v>
      </c>
      <c r="B832" s="43">
        <f>2+2</f>
        <v>4</v>
      </c>
      <c r="C832" s="44">
        <v>1</v>
      </c>
      <c r="D832" s="45">
        <v>6</v>
      </c>
      <c r="E832" s="46"/>
      <c r="F832" s="25">
        <f t="shared" si="589"/>
        <v>11</v>
      </c>
      <c r="G832" s="43">
        <v>2</v>
      </c>
      <c r="H832" s="44">
        <v>1</v>
      </c>
      <c r="I832" s="45">
        <v>2</v>
      </c>
      <c r="J832" s="46"/>
      <c r="K832" s="25">
        <f t="shared" si="590"/>
        <v>5</v>
      </c>
      <c r="L832" s="14">
        <f t="shared" si="581"/>
        <v>16</v>
      </c>
      <c r="M832" s="71">
        <v>45495</v>
      </c>
      <c r="N832" s="99" t="s">
        <v>529</v>
      </c>
      <c r="O832" s="43"/>
      <c r="P832" s="44"/>
      <c r="Q832" s="45"/>
      <c r="R832" s="100"/>
      <c r="S832" s="10">
        <f t="shared" ref="S832" si="601">SUM(O832:R832)</f>
        <v>0</v>
      </c>
      <c r="T832" s="43"/>
      <c r="U832" s="44"/>
      <c r="V832" s="45"/>
      <c r="W832" s="46"/>
      <c r="X832" s="106">
        <f t="shared" ref="X832" si="602">SUM(T832:W832)</f>
        <v>0</v>
      </c>
      <c r="Y832" s="75">
        <f t="shared" ref="Y832" si="603">S832+X832</f>
        <v>0</v>
      </c>
      <c r="Z832" s="69">
        <v>45510</v>
      </c>
    </row>
    <row r="833" spans="1:26" ht="14.25" thickBot="1" x14ac:dyDescent="0.2">
      <c r="A833" s="16" t="s">
        <v>9</v>
      </c>
      <c r="B833" s="28">
        <f>SUM(B808:B832)</f>
        <v>19</v>
      </c>
      <c r="C833" s="36">
        <f>SUM(C808:C832)</f>
        <v>44</v>
      </c>
      <c r="D833" s="29">
        <f>SUM(D808:D832)</f>
        <v>11</v>
      </c>
      <c r="E833" s="30">
        <f>SUM(E808:E832)</f>
        <v>6</v>
      </c>
      <c r="F833" s="26">
        <f>SUM(B833:E833)</f>
        <v>80</v>
      </c>
      <c r="G833" s="28">
        <f>SUM(G808:G832)</f>
        <v>15</v>
      </c>
      <c r="H833" s="36">
        <f>SUM(H808:H832)</f>
        <v>39</v>
      </c>
      <c r="I833" s="29">
        <f>SUM(I808:I832)</f>
        <v>12</v>
      </c>
      <c r="J833" s="30">
        <f>SUM(J808:J832)</f>
        <v>4</v>
      </c>
      <c r="K833" s="26">
        <f>SUM(G833:J833)</f>
        <v>70</v>
      </c>
      <c r="L833" s="27">
        <f t="shared" si="581"/>
        <v>150</v>
      </c>
      <c r="N833" s="61" t="s">
        <v>9</v>
      </c>
      <c r="O833" s="28">
        <f>SUM(O808:O832)</f>
        <v>33</v>
      </c>
      <c r="P833" s="36">
        <f>SUM(P808:P832)</f>
        <v>42</v>
      </c>
      <c r="Q833" s="29">
        <f>SUM(Q808:Q832)</f>
        <v>27</v>
      </c>
      <c r="R833" s="30">
        <f>SUM(R808:R832)</f>
        <v>0</v>
      </c>
      <c r="S833" s="60">
        <f t="shared" si="593"/>
        <v>102</v>
      </c>
      <c r="T833" s="28">
        <f>SUM(T808:T832)</f>
        <v>23</v>
      </c>
      <c r="U833" s="36">
        <f>SUM(U808:U832)</f>
        <v>45</v>
      </c>
      <c r="V833" s="29">
        <f>SUM(V808:V832)</f>
        <v>13</v>
      </c>
      <c r="W833" s="30">
        <f>SUM(W808:W832)</f>
        <v>10</v>
      </c>
      <c r="X833" s="60">
        <f t="shared" si="594"/>
        <v>91</v>
      </c>
      <c r="Y833" s="63">
        <f t="shared" si="578"/>
        <v>193</v>
      </c>
    </row>
    <row r="834" spans="1:26" ht="14.25" thickBot="1" x14ac:dyDescent="0.2">
      <c r="A834" s="18" t="s">
        <v>10</v>
      </c>
      <c r="B834" s="31">
        <f t="shared" ref="B834:K834" si="604">B807-B833</f>
        <v>19</v>
      </c>
      <c r="C834" s="37">
        <f t="shared" si="604"/>
        <v>7</v>
      </c>
      <c r="D834" s="32">
        <f t="shared" si="604"/>
        <v>24</v>
      </c>
      <c r="E834" s="33">
        <f t="shared" si="604"/>
        <v>33</v>
      </c>
      <c r="F834" s="42">
        <f t="shared" si="604"/>
        <v>83</v>
      </c>
      <c r="G834" s="31">
        <f t="shared" si="604"/>
        <v>23</v>
      </c>
      <c r="H834" s="37">
        <f t="shared" si="604"/>
        <v>0</v>
      </c>
      <c r="I834" s="32">
        <f t="shared" si="604"/>
        <v>28</v>
      </c>
      <c r="J834" s="33">
        <f t="shared" si="604"/>
        <v>32</v>
      </c>
      <c r="K834" s="42">
        <f t="shared" si="604"/>
        <v>83</v>
      </c>
      <c r="L834" s="17">
        <f t="shared" si="581"/>
        <v>166</v>
      </c>
      <c r="N834" s="16" t="s">
        <v>10</v>
      </c>
      <c r="O834" s="31">
        <f t="shared" ref="O834:X834" si="605">O807-O833</f>
        <v>83</v>
      </c>
      <c r="P834" s="37">
        <f t="shared" si="605"/>
        <v>138</v>
      </c>
      <c r="Q834" s="32">
        <f t="shared" si="605"/>
        <v>164</v>
      </c>
      <c r="R834" s="33">
        <f t="shared" si="605"/>
        <v>226</v>
      </c>
      <c r="S834" s="42">
        <f t="shared" si="605"/>
        <v>611</v>
      </c>
      <c r="T834" s="31">
        <f t="shared" si="605"/>
        <v>52</v>
      </c>
      <c r="U834" s="37">
        <f t="shared" si="605"/>
        <v>40</v>
      </c>
      <c r="V834" s="32">
        <f t="shared" si="605"/>
        <v>23</v>
      </c>
      <c r="W834" s="33">
        <f t="shared" si="605"/>
        <v>171</v>
      </c>
      <c r="X834" s="42">
        <f t="shared" si="605"/>
        <v>286</v>
      </c>
      <c r="Y834" s="17">
        <f t="shared" si="578"/>
        <v>897</v>
      </c>
    </row>
    <row r="837" spans="1:26" ht="19.5" thickBot="1" x14ac:dyDescent="0.25">
      <c r="A837" s="2" t="s">
        <v>17</v>
      </c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N837" s="2" t="s">
        <v>18</v>
      </c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1"/>
    </row>
    <row r="838" spans="1:26" ht="14.25" thickBot="1" x14ac:dyDescent="0.2">
      <c r="A838" s="5" t="s">
        <v>0</v>
      </c>
      <c r="B838" s="244" t="s">
        <v>19</v>
      </c>
      <c r="C838" s="245"/>
      <c r="D838" s="245"/>
      <c r="E838" s="245"/>
      <c r="F838" s="246"/>
      <c r="G838" s="247" t="s">
        <v>20</v>
      </c>
      <c r="H838" s="248"/>
      <c r="I838" s="248"/>
      <c r="J838" s="248"/>
      <c r="K838" s="249"/>
      <c r="L838" s="250" t="s">
        <v>1</v>
      </c>
      <c r="N838" s="5" t="s">
        <v>0</v>
      </c>
      <c r="O838" s="244" t="s">
        <v>19</v>
      </c>
      <c r="P838" s="245"/>
      <c r="Q838" s="245"/>
      <c r="R838" s="245"/>
      <c r="S838" s="246"/>
      <c r="T838" s="247" t="s">
        <v>20</v>
      </c>
      <c r="U838" s="248"/>
      <c r="V838" s="248"/>
      <c r="W838" s="248"/>
      <c r="X838" s="249"/>
      <c r="Y838" s="250" t="s">
        <v>1</v>
      </c>
    </row>
    <row r="839" spans="1:26" ht="14.25" thickBot="1" x14ac:dyDescent="0.2">
      <c r="A839" s="5" t="s">
        <v>2</v>
      </c>
      <c r="B839" s="3" t="s">
        <v>11</v>
      </c>
      <c r="C839" s="34" t="s">
        <v>12</v>
      </c>
      <c r="D839" s="4" t="s">
        <v>13</v>
      </c>
      <c r="E839" s="19" t="s">
        <v>14</v>
      </c>
      <c r="F839" s="23" t="s">
        <v>3</v>
      </c>
      <c r="G839" s="3" t="s">
        <v>11</v>
      </c>
      <c r="H839" s="34" t="s">
        <v>12</v>
      </c>
      <c r="I839" s="4" t="s">
        <v>13</v>
      </c>
      <c r="J839" s="19" t="s">
        <v>14</v>
      </c>
      <c r="K839" s="23" t="s">
        <v>3</v>
      </c>
      <c r="L839" s="251"/>
      <c r="N839" s="5" t="s">
        <v>2</v>
      </c>
      <c r="O839" s="53" t="s">
        <v>11</v>
      </c>
      <c r="P839" s="54" t="s">
        <v>12</v>
      </c>
      <c r="Q839" s="55" t="s">
        <v>13</v>
      </c>
      <c r="R839" s="56" t="s">
        <v>14</v>
      </c>
      <c r="S839" s="23" t="s">
        <v>3</v>
      </c>
      <c r="T839" s="3" t="s">
        <v>11</v>
      </c>
      <c r="U839" s="34" t="s">
        <v>12</v>
      </c>
      <c r="V839" s="4" t="s">
        <v>13</v>
      </c>
      <c r="W839" s="19" t="s">
        <v>14</v>
      </c>
      <c r="X839" s="23" t="s">
        <v>3</v>
      </c>
      <c r="Y839" s="251"/>
    </row>
    <row r="840" spans="1:26" ht="14.25" thickBot="1" x14ac:dyDescent="0.2">
      <c r="A840" s="18" t="s">
        <v>15</v>
      </c>
      <c r="B840" s="31">
        <f>B834</f>
        <v>19</v>
      </c>
      <c r="C840" s="32">
        <f>C834</f>
        <v>7</v>
      </c>
      <c r="D840" s="32">
        <f>D834</f>
        <v>24</v>
      </c>
      <c r="E840" s="33">
        <f>E834</f>
        <v>33</v>
      </c>
      <c r="F840" s="86">
        <f>SUM(B840:E840)</f>
        <v>83</v>
      </c>
      <c r="G840" s="31">
        <f>G834</f>
        <v>23</v>
      </c>
      <c r="H840" s="32">
        <f>H834</f>
        <v>0</v>
      </c>
      <c r="I840" s="32">
        <f>I834</f>
        <v>28</v>
      </c>
      <c r="J840" s="33">
        <f>J834</f>
        <v>32</v>
      </c>
      <c r="K840" s="80">
        <f>SUM(G840:J840)</f>
        <v>83</v>
      </c>
      <c r="L840" s="17">
        <f>F840+K840</f>
        <v>166</v>
      </c>
      <c r="N840" s="18" t="s">
        <v>15</v>
      </c>
      <c r="O840" s="31">
        <f>O834</f>
        <v>83</v>
      </c>
      <c r="P840" s="32">
        <f>P834</f>
        <v>138</v>
      </c>
      <c r="Q840" s="32">
        <f>Q834</f>
        <v>164</v>
      </c>
      <c r="R840" s="33">
        <f>R834</f>
        <v>226</v>
      </c>
      <c r="S840" s="86">
        <f>SUM(O840:R840)</f>
        <v>611</v>
      </c>
      <c r="T840" s="31">
        <f>T834</f>
        <v>52</v>
      </c>
      <c r="U840" s="32">
        <f>U834</f>
        <v>40</v>
      </c>
      <c r="V840" s="32">
        <f>V834</f>
        <v>23</v>
      </c>
      <c r="W840" s="33">
        <f>W834</f>
        <v>171</v>
      </c>
      <c r="X840" s="80">
        <f>SUM(T840:W840)</f>
        <v>286</v>
      </c>
      <c r="Y840" s="17">
        <f t="shared" ref="Y840:Y866" si="606">S840+X840</f>
        <v>897</v>
      </c>
    </row>
    <row r="841" spans="1:26" x14ac:dyDescent="0.15">
      <c r="A841" s="13" t="s">
        <v>4</v>
      </c>
      <c r="B841" s="20"/>
      <c r="C841" s="35"/>
      <c r="D841" s="21"/>
      <c r="E841" s="24"/>
      <c r="F841" s="25">
        <f t="shared" ref="F841" si="607">SUM(B841:E841)</f>
        <v>0</v>
      </c>
      <c r="G841" s="20"/>
      <c r="H841" s="35">
        <v>20</v>
      </c>
      <c r="I841" s="21"/>
      <c r="J841" s="24"/>
      <c r="K841" s="25">
        <f t="shared" ref="K841" si="608">SUM(G841:J841)</f>
        <v>20</v>
      </c>
      <c r="L841" s="11">
        <f t="shared" ref="L841" si="609">F841+K841</f>
        <v>20</v>
      </c>
      <c r="M841" s="69">
        <v>45493</v>
      </c>
      <c r="N841" s="59" t="s">
        <v>16</v>
      </c>
      <c r="O841" s="48"/>
      <c r="P841" s="49"/>
      <c r="Q841" s="50"/>
      <c r="R841" s="51"/>
      <c r="S841" s="85">
        <f t="shared" ref="S841:S842" si="610">SUM(O841:R841)</f>
        <v>0</v>
      </c>
      <c r="T841" s="48"/>
      <c r="U841" s="49"/>
      <c r="V841" s="50"/>
      <c r="W841" s="51"/>
      <c r="X841" s="74">
        <f t="shared" ref="X841:X842" si="611">SUM(T841:W841)</f>
        <v>0</v>
      </c>
      <c r="Y841" s="11">
        <f t="shared" ref="Y841:Y842" si="612">S841+X841</f>
        <v>0</v>
      </c>
    </row>
    <row r="842" spans="1:26" x14ac:dyDescent="0.15">
      <c r="A842" s="13" t="s">
        <v>5</v>
      </c>
      <c r="B842" s="20">
        <v>15</v>
      </c>
      <c r="C842" s="35">
        <v>20</v>
      </c>
      <c r="D842" s="21">
        <v>10</v>
      </c>
      <c r="E842" s="24"/>
      <c r="F842" s="25">
        <f t="shared" ref="F842:F844" si="613">SUM(B842:E842)</f>
        <v>45</v>
      </c>
      <c r="G842" s="20">
        <v>10</v>
      </c>
      <c r="H842" s="35">
        <v>20</v>
      </c>
      <c r="I842" s="21"/>
      <c r="J842" s="24"/>
      <c r="K842" s="25">
        <f t="shared" ref="K842:K844" si="614">SUM(G842:J842)</f>
        <v>30</v>
      </c>
      <c r="L842" s="11">
        <f t="shared" ref="L842:L872" si="615">F842+K842</f>
        <v>75</v>
      </c>
      <c r="M842" s="69">
        <v>45506</v>
      </c>
      <c r="N842" s="59" t="s">
        <v>4</v>
      </c>
      <c r="O842" s="48"/>
      <c r="P842" s="49"/>
      <c r="Q842" s="50"/>
      <c r="R842" s="51"/>
      <c r="S842" s="85">
        <f t="shared" si="610"/>
        <v>0</v>
      </c>
      <c r="T842" s="48"/>
      <c r="U842" s="49"/>
      <c r="V842" s="50"/>
      <c r="W842" s="51"/>
      <c r="X842" s="74">
        <f t="shared" si="611"/>
        <v>0</v>
      </c>
      <c r="Y842" s="11">
        <f t="shared" si="612"/>
        <v>0</v>
      </c>
    </row>
    <row r="843" spans="1:26" x14ac:dyDescent="0.15">
      <c r="A843" s="13" t="s">
        <v>192</v>
      </c>
      <c r="B843" s="20"/>
      <c r="C843" s="35"/>
      <c r="D843" s="21"/>
      <c r="E843" s="24"/>
      <c r="F843" s="25">
        <f t="shared" si="613"/>
        <v>0</v>
      </c>
      <c r="G843" s="20"/>
      <c r="H843" s="35"/>
      <c r="I843" s="21"/>
      <c r="J843" s="24">
        <v>1</v>
      </c>
      <c r="K843" s="25">
        <f t="shared" si="614"/>
        <v>1</v>
      </c>
      <c r="L843" s="11">
        <f t="shared" si="615"/>
        <v>1</v>
      </c>
      <c r="M843" s="69">
        <v>45513</v>
      </c>
      <c r="N843" s="59" t="s">
        <v>5</v>
      </c>
      <c r="O843" s="48"/>
      <c r="P843" s="49"/>
      <c r="Q843" s="50"/>
      <c r="R843" s="51"/>
      <c r="S843" s="85">
        <f t="shared" ref="S843" si="616">SUM(O843:R843)</f>
        <v>0</v>
      </c>
      <c r="T843" s="48"/>
      <c r="U843" s="49"/>
      <c r="V843" s="50"/>
      <c r="W843" s="51"/>
      <c r="X843" s="74">
        <f t="shared" ref="X843" si="617">SUM(T843:W843)</f>
        <v>0</v>
      </c>
      <c r="Y843" s="11">
        <f t="shared" si="606"/>
        <v>0</v>
      </c>
    </row>
    <row r="844" spans="1:26" ht="14.25" thickBot="1" x14ac:dyDescent="0.2">
      <c r="A844" s="13" t="s">
        <v>530</v>
      </c>
      <c r="B844" s="48"/>
      <c r="C844" s="49"/>
      <c r="D844" s="50"/>
      <c r="E844" s="51">
        <v>1</v>
      </c>
      <c r="F844" s="52">
        <f t="shared" si="613"/>
        <v>1</v>
      </c>
      <c r="G844" s="48"/>
      <c r="H844" s="49"/>
      <c r="I844" s="50"/>
      <c r="J844" s="51">
        <v>2</v>
      </c>
      <c r="K844" s="52">
        <f t="shared" si="614"/>
        <v>2</v>
      </c>
      <c r="L844" s="11">
        <f t="shared" si="615"/>
        <v>3</v>
      </c>
      <c r="M844" s="71">
        <v>45527</v>
      </c>
      <c r="N844" s="13" t="s">
        <v>6</v>
      </c>
      <c r="O844" s="43"/>
      <c r="P844" s="44"/>
      <c r="Q844" s="45"/>
      <c r="R844" s="46"/>
      <c r="S844" s="58">
        <f>SUM(O844:R844)</f>
        <v>0</v>
      </c>
      <c r="T844" s="35"/>
      <c r="U844" s="35"/>
      <c r="V844" s="21"/>
      <c r="W844" s="38"/>
      <c r="X844" s="10">
        <f>SUM(T844:W844)</f>
        <v>0</v>
      </c>
      <c r="Y844" s="14">
        <f t="shared" si="606"/>
        <v>0</v>
      </c>
    </row>
    <row r="845" spans="1:26" ht="14.25" thickBot="1" x14ac:dyDescent="0.2">
      <c r="A845" s="18" t="s">
        <v>8</v>
      </c>
      <c r="B845" s="76">
        <f t="shared" ref="B845:K845" si="618">SUM(B840:B844)</f>
        <v>34</v>
      </c>
      <c r="C845" s="77">
        <f t="shared" si="618"/>
        <v>27</v>
      </c>
      <c r="D845" s="78">
        <f t="shared" si="618"/>
        <v>34</v>
      </c>
      <c r="E845" s="79">
        <f t="shared" si="618"/>
        <v>34</v>
      </c>
      <c r="F845" s="80">
        <f t="shared" si="618"/>
        <v>129</v>
      </c>
      <c r="G845" s="76">
        <f t="shared" si="618"/>
        <v>33</v>
      </c>
      <c r="H845" s="77">
        <f t="shared" si="618"/>
        <v>40</v>
      </c>
      <c r="I845" s="78">
        <f t="shared" si="618"/>
        <v>28</v>
      </c>
      <c r="J845" s="79">
        <f t="shared" si="618"/>
        <v>35</v>
      </c>
      <c r="K845" s="80">
        <f t="shared" si="618"/>
        <v>136</v>
      </c>
      <c r="L845" s="17">
        <f t="shared" si="615"/>
        <v>265</v>
      </c>
      <c r="N845" s="16" t="s">
        <v>8</v>
      </c>
      <c r="O845" s="31">
        <f t="shared" ref="O845:X845" si="619">SUM(O840:O844)</f>
        <v>83</v>
      </c>
      <c r="P845" s="37">
        <f t="shared" si="619"/>
        <v>138</v>
      </c>
      <c r="Q845" s="32">
        <f t="shared" si="619"/>
        <v>164</v>
      </c>
      <c r="R845" s="82">
        <f t="shared" si="619"/>
        <v>226</v>
      </c>
      <c r="S845" s="83">
        <f t="shared" si="619"/>
        <v>611</v>
      </c>
      <c r="T845" s="31">
        <f t="shared" si="619"/>
        <v>52</v>
      </c>
      <c r="U845" s="37">
        <f t="shared" si="619"/>
        <v>40</v>
      </c>
      <c r="V845" s="32">
        <f t="shared" si="619"/>
        <v>23</v>
      </c>
      <c r="W845" s="82">
        <f t="shared" si="619"/>
        <v>171</v>
      </c>
      <c r="X845" s="83">
        <f t="shared" si="619"/>
        <v>286</v>
      </c>
      <c r="Y845" s="39">
        <f t="shared" si="606"/>
        <v>897</v>
      </c>
    </row>
    <row r="846" spans="1:26" x14ac:dyDescent="0.15">
      <c r="A846" s="59" t="s">
        <v>27</v>
      </c>
      <c r="B846" s="20">
        <v>1</v>
      </c>
      <c r="C846" s="35"/>
      <c r="D846" s="21">
        <v>2</v>
      </c>
      <c r="E846" s="24"/>
      <c r="F846" s="25">
        <f t="shared" ref="F846" si="620">SUM(B846:E846)</f>
        <v>3</v>
      </c>
      <c r="G846" s="20">
        <v>2</v>
      </c>
      <c r="H846" s="35"/>
      <c r="I846" s="21"/>
      <c r="J846" s="24"/>
      <c r="K846" s="25">
        <f t="shared" ref="K846" si="621">SUM(G846:J846)</f>
        <v>2</v>
      </c>
      <c r="L846" s="11">
        <f t="shared" ref="L846" si="622">F846+K846</f>
        <v>5</v>
      </c>
      <c r="M846" s="71">
        <v>45496</v>
      </c>
      <c r="N846" s="12" t="s">
        <v>521</v>
      </c>
      <c r="O846" s="20">
        <v>8</v>
      </c>
      <c r="P846" s="35">
        <v>9</v>
      </c>
      <c r="Q846" s="21">
        <v>8</v>
      </c>
      <c r="R846" s="38">
        <v>2</v>
      </c>
      <c r="S846" s="9">
        <f t="shared" ref="S846:S858" si="623">SUM(O846:R846)</f>
        <v>27</v>
      </c>
      <c r="T846" s="20">
        <v>8</v>
      </c>
      <c r="U846" s="35">
        <v>9</v>
      </c>
      <c r="V846" s="21">
        <v>8</v>
      </c>
      <c r="W846" s="38">
        <v>2</v>
      </c>
      <c r="X846" s="98">
        <f t="shared" ref="X846:X858" si="624">SUM(T846:W846)</f>
        <v>27</v>
      </c>
      <c r="Y846" s="11">
        <f t="shared" si="606"/>
        <v>54</v>
      </c>
      <c r="Z846" s="69">
        <v>45524</v>
      </c>
    </row>
    <row r="847" spans="1:26" x14ac:dyDescent="0.15">
      <c r="A847" s="59" t="s">
        <v>27</v>
      </c>
      <c r="B847" s="20"/>
      <c r="C847" s="35">
        <v>1</v>
      </c>
      <c r="D847" s="21"/>
      <c r="E847" s="24"/>
      <c r="F847" s="25">
        <f t="shared" ref="F847:F870" si="625">SUM(B847:E847)</f>
        <v>1</v>
      </c>
      <c r="G847" s="20"/>
      <c r="H847" s="35">
        <v>1</v>
      </c>
      <c r="I847" s="21"/>
      <c r="J847" s="24"/>
      <c r="K847" s="25">
        <f t="shared" ref="K847:K870" si="626">SUM(G847:J847)</f>
        <v>1</v>
      </c>
      <c r="L847" s="11">
        <f t="shared" si="615"/>
        <v>2</v>
      </c>
      <c r="M847" s="71">
        <v>45497</v>
      </c>
      <c r="N847" s="12" t="s">
        <v>531</v>
      </c>
      <c r="O847" s="20"/>
      <c r="P847" s="35"/>
      <c r="Q847" s="21"/>
      <c r="R847" s="38">
        <v>2</v>
      </c>
      <c r="S847" s="9">
        <f t="shared" si="623"/>
        <v>2</v>
      </c>
      <c r="T847" s="20"/>
      <c r="U847" s="35"/>
      <c r="V847" s="21"/>
      <c r="W847" s="38">
        <v>2</v>
      </c>
      <c r="X847" s="9">
        <f t="shared" si="624"/>
        <v>2</v>
      </c>
      <c r="Y847" s="11">
        <f t="shared" si="606"/>
        <v>4</v>
      </c>
      <c r="Z847" s="69">
        <v>45531</v>
      </c>
    </row>
    <row r="848" spans="1:26" x14ac:dyDescent="0.15">
      <c r="A848" s="59" t="s">
        <v>210</v>
      </c>
      <c r="B848" s="20"/>
      <c r="C848" s="35"/>
      <c r="D848" s="21"/>
      <c r="E848" s="24"/>
      <c r="F848" s="25">
        <f t="shared" si="625"/>
        <v>0</v>
      </c>
      <c r="G848" s="20"/>
      <c r="H848" s="35">
        <v>1</v>
      </c>
      <c r="I848" s="21"/>
      <c r="J848" s="24"/>
      <c r="K848" s="25">
        <f t="shared" si="626"/>
        <v>1</v>
      </c>
      <c r="L848" s="11">
        <f t="shared" si="615"/>
        <v>1</v>
      </c>
      <c r="M848" s="69">
        <v>45498</v>
      </c>
      <c r="N848" s="40" t="s">
        <v>26</v>
      </c>
      <c r="O848" s="20"/>
      <c r="P848" s="35">
        <v>10</v>
      </c>
      <c r="Q848" s="21"/>
      <c r="R848" s="38"/>
      <c r="S848" s="9">
        <f t="shared" si="623"/>
        <v>10</v>
      </c>
      <c r="T848" s="20"/>
      <c r="U848" s="35">
        <v>10</v>
      </c>
      <c r="V848" s="21">
        <v>10</v>
      </c>
      <c r="W848" s="38"/>
      <c r="X848" s="9">
        <f t="shared" si="624"/>
        <v>20</v>
      </c>
      <c r="Y848" s="11">
        <f t="shared" si="606"/>
        <v>30</v>
      </c>
      <c r="Z848" s="69">
        <v>45532</v>
      </c>
    </row>
    <row r="849" spans="1:26" x14ac:dyDescent="0.15">
      <c r="A849" s="59" t="s">
        <v>27</v>
      </c>
      <c r="B849" s="20">
        <v>2</v>
      </c>
      <c r="C849" s="35">
        <v>1</v>
      </c>
      <c r="D849" s="21"/>
      <c r="E849" s="24"/>
      <c r="F849" s="25">
        <f t="shared" si="625"/>
        <v>3</v>
      </c>
      <c r="G849" s="20"/>
      <c r="H849" s="35">
        <v>1</v>
      </c>
      <c r="I849" s="21">
        <v>1</v>
      </c>
      <c r="J849" s="24"/>
      <c r="K849" s="25">
        <f t="shared" si="626"/>
        <v>2</v>
      </c>
      <c r="L849" s="11">
        <f t="shared" si="615"/>
        <v>5</v>
      </c>
      <c r="M849" s="69">
        <v>45498</v>
      </c>
      <c r="N849" s="40"/>
      <c r="O849" s="20"/>
      <c r="P849" s="35"/>
      <c r="Q849" s="21"/>
      <c r="R849" s="38"/>
      <c r="S849" s="9">
        <f t="shared" si="623"/>
        <v>0</v>
      </c>
      <c r="T849" s="20"/>
      <c r="U849" s="35"/>
      <c r="V849" s="21"/>
      <c r="W849" s="38"/>
      <c r="X849" s="9">
        <f t="shared" si="624"/>
        <v>0</v>
      </c>
      <c r="Y849" s="11">
        <f t="shared" si="606"/>
        <v>0</v>
      </c>
      <c r="Z849" s="162"/>
    </row>
    <row r="850" spans="1:26" x14ac:dyDescent="0.15">
      <c r="A850" s="59" t="s">
        <v>27</v>
      </c>
      <c r="B850" s="20">
        <v>1</v>
      </c>
      <c r="C850" s="35"/>
      <c r="D850" s="21">
        <v>1</v>
      </c>
      <c r="E850" s="24">
        <v>2</v>
      </c>
      <c r="F850" s="25">
        <f t="shared" si="625"/>
        <v>4</v>
      </c>
      <c r="G850" s="20">
        <v>1</v>
      </c>
      <c r="H850" s="35"/>
      <c r="I850" s="21"/>
      <c r="J850" s="24"/>
      <c r="K850" s="25">
        <f t="shared" si="626"/>
        <v>1</v>
      </c>
      <c r="L850" s="11">
        <f t="shared" si="615"/>
        <v>5</v>
      </c>
      <c r="M850" s="71">
        <v>45499</v>
      </c>
      <c r="N850" s="40"/>
      <c r="O850" s="20"/>
      <c r="P850" s="35"/>
      <c r="Q850" s="21"/>
      <c r="R850" s="38"/>
      <c r="S850" s="9">
        <f t="shared" si="623"/>
        <v>0</v>
      </c>
      <c r="T850" s="20"/>
      <c r="U850" s="35"/>
      <c r="V850" s="21"/>
      <c r="W850" s="38"/>
      <c r="X850" s="9">
        <f t="shared" si="624"/>
        <v>0</v>
      </c>
      <c r="Y850" s="11">
        <f t="shared" si="606"/>
        <v>0</v>
      </c>
      <c r="Z850" s="162"/>
    </row>
    <row r="851" spans="1:26" x14ac:dyDescent="0.15">
      <c r="A851" s="59" t="s">
        <v>27</v>
      </c>
      <c r="B851" s="20"/>
      <c r="C851" s="35">
        <v>1</v>
      </c>
      <c r="D851" s="21"/>
      <c r="E851" s="24"/>
      <c r="F851" s="25">
        <f t="shared" si="625"/>
        <v>1</v>
      </c>
      <c r="G851" s="20"/>
      <c r="H851" s="35">
        <f>2+1</f>
        <v>3</v>
      </c>
      <c r="I851" s="21"/>
      <c r="J851" s="24">
        <v>2</v>
      </c>
      <c r="K851" s="25">
        <f t="shared" si="626"/>
        <v>5</v>
      </c>
      <c r="L851" s="11">
        <f t="shared" si="615"/>
        <v>6</v>
      </c>
      <c r="M851" s="71">
        <v>45502</v>
      </c>
      <c r="N851" s="40"/>
      <c r="O851" s="20"/>
      <c r="P851" s="35"/>
      <c r="Q851" s="21"/>
      <c r="R851" s="38"/>
      <c r="S851" s="9">
        <f t="shared" si="623"/>
        <v>0</v>
      </c>
      <c r="T851" s="20"/>
      <c r="U851" s="35"/>
      <c r="V851" s="21"/>
      <c r="W851" s="38"/>
      <c r="X851" s="9">
        <f t="shared" si="624"/>
        <v>0</v>
      </c>
      <c r="Y851" s="11">
        <f t="shared" si="606"/>
        <v>0</v>
      </c>
    </row>
    <row r="852" spans="1:26" x14ac:dyDescent="0.15">
      <c r="A852" s="59" t="s">
        <v>27</v>
      </c>
      <c r="B852" s="20">
        <v>1</v>
      </c>
      <c r="C852" s="35"/>
      <c r="D852" s="21"/>
      <c r="E852" s="24"/>
      <c r="F852" s="25">
        <f t="shared" si="625"/>
        <v>1</v>
      </c>
      <c r="G852" s="20">
        <v>1</v>
      </c>
      <c r="H852" s="35">
        <v>2</v>
      </c>
      <c r="I852" s="21"/>
      <c r="J852" s="24"/>
      <c r="K852" s="25">
        <f t="shared" si="626"/>
        <v>3</v>
      </c>
      <c r="L852" s="11">
        <f t="shared" si="615"/>
        <v>4</v>
      </c>
      <c r="M852" s="69">
        <v>45503</v>
      </c>
      <c r="N852" s="40"/>
      <c r="O852" s="20"/>
      <c r="P852" s="35"/>
      <c r="Q852" s="21"/>
      <c r="R852" s="38"/>
      <c r="S852" s="9">
        <f t="shared" si="623"/>
        <v>0</v>
      </c>
      <c r="T852" s="20"/>
      <c r="U852" s="35"/>
      <c r="V852" s="21"/>
      <c r="W852" s="38"/>
      <c r="X852" s="9">
        <f t="shared" si="624"/>
        <v>0</v>
      </c>
      <c r="Y852" s="11">
        <f t="shared" si="606"/>
        <v>0</v>
      </c>
    </row>
    <row r="853" spans="1:26" x14ac:dyDescent="0.15">
      <c r="A853" s="59" t="s">
        <v>210</v>
      </c>
      <c r="B853" s="20"/>
      <c r="C853" s="35"/>
      <c r="D853" s="21"/>
      <c r="E853" s="24"/>
      <c r="F853" s="25">
        <f t="shared" si="625"/>
        <v>0</v>
      </c>
      <c r="G853" s="20"/>
      <c r="H853" s="35"/>
      <c r="I853" s="21"/>
      <c r="J853" s="24">
        <v>1</v>
      </c>
      <c r="K853" s="25">
        <f t="shared" si="626"/>
        <v>1</v>
      </c>
      <c r="L853" s="11">
        <f t="shared" si="615"/>
        <v>1</v>
      </c>
      <c r="M853" s="69">
        <v>45504</v>
      </c>
      <c r="N853" s="40"/>
      <c r="O853" s="20"/>
      <c r="P853" s="35"/>
      <c r="Q853" s="21"/>
      <c r="R853" s="38"/>
      <c r="S853" s="9">
        <f t="shared" si="623"/>
        <v>0</v>
      </c>
      <c r="T853" s="20"/>
      <c r="U853" s="35"/>
      <c r="V853" s="21"/>
      <c r="W853" s="38"/>
      <c r="X853" s="9">
        <f t="shared" si="624"/>
        <v>0</v>
      </c>
      <c r="Y853" s="11">
        <f t="shared" si="606"/>
        <v>0</v>
      </c>
    </row>
    <row r="854" spans="1:26" x14ac:dyDescent="0.15">
      <c r="A854" s="59" t="s">
        <v>27</v>
      </c>
      <c r="B854" s="20"/>
      <c r="C854" s="35"/>
      <c r="D854" s="21"/>
      <c r="E854" s="24">
        <v>1</v>
      </c>
      <c r="F854" s="25">
        <f t="shared" si="625"/>
        <v>1</v>
      </c>
      <c r="G854" s="20"/>
      <c r="H854" s="35">
        <v>2</v>
      </c>
      <c r="I854" s="21"/>
      <c r="J854" s="24"/>
      <c r="K854" s="25">
        <f t="shared" si="626"/>
        <v>2</v>
      </c>
      <c r="L854" s="11">
        <f t="shared" si="615"/>
        <v>3</v>
      </c>
      <c r="M854" s="69">
        <v>45504</v>
      </c>
      <c r="N854" s="40"/>
      <c r="O854" s="20"/>
      <c r="P854" s="35"/>
      <c r="Q854" s="21"/>
      <c r="R854" s="38"/>
      <c r="S854" s="9">
        <f t="shared" si="623"/>
        <v>0</v>
      </c>
      <c r="T854" s="20"/>
      <c r="U854" s="35"/>
      <c r="V854" s="21"/>
      <c r="W854" s="38"/>
      <c r="X854" s="9">
        <f t="shared" si="624"/>
        <v>0</v>
      </c>
      <c r="Y854" s="11">
        <f t="shared" si="606"/>
        <v>0</v>
      </c>
    </row>
    <row r="855" spans="1:26" x14ac:dyDescent="0.15">
      <c r="A855" s="59" t="s">
        <v>27</v>
      </c>
      <c r="B855" s="20"/>
      <c r="C855" s="35">
        <v>1</v>
      </c>
      <c r="D855" s="21"/>
      <c r="E855" s="24"/>
      <c r="F855" s="25">
        <f t="shared" si="625"/>
        <v>1</v>
      </c>
      <c r="G855" s="20"/>
      <c r="H855" s="35">
        <v>1</v>
      </c>
      <c r="I855" s="21"/>
      <c r="J855" s="24"/>
      <c r="K855" s="25">
        <f t="shared" si="626"/>
        <v>1</v>
      </c>
      <c r="L855" s="11">
        <f t="shared" si="615"/>
        <v>2</v>
      </c>
      <c r="M855" s="69">
        <v>45505</v>
      </c>
      <c r="N855" s="40"/>
      <c r="O855" s="20"/>
      <c r="P855" s="35"/>
      <c r="Q855" s="21"/>
      <c r="R855" s="38"/>
      <c r="S855" s="9">
        <f t="shared" si="623"/>
        <v>0</v>
      </c>
      <c r="T855" s="20"/>
      <c r="U855" s="35"/>
      <c r="V855" s="21"/>
      <c r="W855" s="38"/>
      <c r="X855" s="9">
        <f t="shared" si="624"/>
        <v>0</v>
      </c>
      <c r="Y855" s="11">
        <f t="shared" si="606"/>
        <v>0</v>
      </c>
    </row>
    <row r="856" spans="1:26" x14ac:dyDescent="0.15">
      <c r="A856" s="59" t="s">
        <v>210</v>
      </c>
      <c r="B856" s="20"/>
      <c r="C856" s="35"/>
      <c r="D856" s="21">
        <v>2</v>
      </c>
      <c r="E856" s="24"/>
      <c r="F856" s="25">
        <f t="shared" si="625"/>
        <v>2</v>
      </c>
      <c r="G856" s="20"/>
      <c r="H856" s="35">
        <v>1</v>
      </c>
      <c r="I856" s="21">
        <v>4</v>
      </c>
      <c r="J856" s="24"/>
      <c r="K856" s="25">
        <f t="shared" si="626"/>
        <v>5</v>
      </c>
      <c r="L856" s="11">
        <f t="shared" si="615"/>
        <v>7</v>
      </c>
      <c r="M856" s="69">
        <v>45510</v>
      </c>
      <c r="N856" s="40"/>
      <c r="O856" s="20"/>
      <c r="P856" s="35"/>
      <c r="Q856" s="21"/>
      <c r="R856" s="38"/>
      <c r="S856" s="9">
        <f t="shared" si="623"/>
        <v>0</v>
      </c>
      <c r="T856" s="20"/>
      <c r="U856" s="35"/>
      <c r="V856" s="21"/>
      <c r="W856" s="38"/>
      <c r="X856" s="9">
        <f t="shared" si="624"/>
        <v>0</v>
      </c>
      <c r="Y856" s="11">
        <f t="shared" si="606"/>
        <v>0</v>
      </c>
    </row>
    <row r="857" spans="1:26" x14ac:dyDescent="0.15">
      <c r="A857" s="59" t="s">
        <v>27</v>
      </c>
      <c r="B857" s="20">
        <v>1</v>
      </c>
      <c r="C857" s="35">
        <v>1</v>
      </c>
      <c r="D857" s="21">
        <v>1</v>
      </c>
      <c r="E857" s="24">
        <v>2</v>
      </c>
      <c r="F857" s="25">
        <f t="shared" si="625"/>
        <v>5</v>
      </c>
      <c r="G857" s="20">
        <f>1+1+1</f>
        <v>3</v>
      </c>
      <c r="H857" s="35">
        <v>4</v>
      </c>
      <c r="I857" s="21">
        <v>1</v>
      </c>
      <c r="J857" s="24"/>
      <c r="K857" s="25">
        <f t="shared" si="626"/>
        <v>8</v>
      </c>
      <c r="L857" s="11">
        <f t="shared" si="615"/>
        <v>13</v>
      </c>
      <c r="M857" s="69">
        <v>45509</v>
      </c>
      <c r="N857" s="40"/>
      <c r="O857" s="20"/>
      <c r="P857" s="35"/>
      <c r="Q857" s="21"/>
      <c r="R857" s="38"/>
      <c r="S857" s="9">
        <f t="shared" si="623"/>
        <v>0</v>
      </c>
      <c r="T857" s="20"/>
      <c r="U857" s="35"/>
      <c r="V857" s="21"/>
      <c r="W857" s="38"/>
      <c r="X857" s="9">
        <f t="shared" si="624"/>
        <v>0</v>
      </c>
      <c r="Y857" s="11">
        <f t="shared" si="606"/>
        <v>0</v>
      </c>
    </row>
    <row r="858" spans="1:26" x14ac:dyDescent="0.15">
      <c r="A858" s="59" t="s">
        <v>421</v>
      </c>
      <c r="B858" s="20">
        <v>1</v>
      </c>
      <c r="C858" s="35"/>
      <c r="D858" s="21">
        <v>1</v>
      </c>
      <c r="E858" s="24"/>
      <c r="F858" s="25">
        <f t="shared" si="625"/>
        <v>2</v>
      </c>
      <c r="G858" s="20"/>
      <c r="H858" s="35"/>
      <c r="I858" s="21">
        <v>1</v>
      </c>
      <c r="J858" s="24">
        <v>1</v>
      </c>
      <c r="K858" s="25">
        <f t="shared" si="626"/>
        <v>2</v>
      </c>
      <c r="L858" s="11">
        <f t="shared" si="615"/>
        <v>4</v>
      </c>
      <c r="M858" s="69">
        <v>45511</v>
      </c>
      <c r="N858" s="40"/>
      <c r="O858" s="20"/>
      <c r="P858" s="35"/>
      <c r="Q858" s="21"/>
      <c r="R858" s="38"/>
      <c r="S858" s="9">
        <f t="shared" si="623"/>
        <v>0</v>
      </c>
      <c r="T858" s="20"/>
      <c r="U858" s="35"/>
      <c r="V858" s="21"/>
      <c r="W858" s="38"/>
      <c r="X858" s="9">
        <f t="shared" si="624"/>
        <v>0</v>
      </c>
      <c r="Y858" s="11">
        <f t="shared" si="606"/>
        <v>0</v>
      </c>
    </row>
    <row r="859" spans="1:26" x14ac:dyDescent="0.15">
      <c r="A859" s="59" t="s">
        <v>27</v>
      </c>
      <c r="B859" s="20"/>
      <c r="C859" s="35">
        <v>1</v>
      </c>
      <c r="D859" s="21">
        <v>1</v>
      </c>
      <c r="E859" s="24">
        <v>1</v>
      </c>
      <c r="F859" s="25">
        <f t="shared" si="625"/>
        <v>3</v>
      </c>
      <c r="G859" s="20"/>
      <c r="H859" s="35">
        <v>1</v>
      </c>
      <c r="I859" s="21">
        <v>2</v>
      </c>
      <c r="J859" s="24"/>
      <c r="K859" s="25">
        <f t="shared" si="626"/>
        <v>3</v>
      </c>
      <c r="L859" s="11">
        <f t="shared" si="615"/>
        <v>6</v>
      </c>
      <c r="M859" s="69">
        <v>45510</v>
      </c>
      <c r="N859" s="12"/>
      <c r="O859" s="20"/>
      <c r="P859" s="35"/>
      <c r="Q859" s="21"/>
      <c r="R859" s="38"/>
      <c r="S859" s="9">
        <f>SUM(O859:R859)</f>
        <v>0</v>
      </c>
      <c r="T859" s="20"/>
      <c r="U859" s="35"/>
      <c r="V859" s="21"/>
      <c r="W859" s="38"/>
      <c r="X859" s="9">
        <f>SUM(T859:W859)</f>
        <v>0</v>
      </c>
      <c r="Y859" s="11">
        <f t="shared" si="606"/>
        <v>0</v>
      </c>
    </row>
    <row r="860" spans="1:26" x14ac:dyDescent="0.15">
      <c r="A860" s="59" t="s">
        <v>518</v>
      </c>
      <c r="B860" s="20"/>
      <c r="C860" s="35">
        <v>2</v>
      </c>
      <c r="D860" s="21">
        <v>2</v>
      </c>
      <c r="E860" s="24"/>
      <c r="F860" s="25">
        <f t="shared" si="625"/>
        <v>4</v>
      </c>
      <c r="G860" s="20"/>
      <c r="H860" s="35"/>
      <c r="I860" s="21"/>
      <c r="J860" s="24"/>
      <c r="K860" s="25">
        <f t="shared" si="626"/>
        <v>0</v>
      </c>
      <c r="L860" s="11">
        <f t="shared" si="615"/>
        <v>4</v>
      </c>
      <c r="M860" s="69">
        <v>45512</v>
      </c>
      <c r="N860" s="40"/>
      <c r="O860" s="20"/>
      <c r="P860" s="35"/>
      <c r="Q860" s="21"/>
      <c r="R860" s="38"/>
      <c r="S860" s="9">
        <f t="shared" ref="S860:S866" si="627">SUM(O860:R860)</f>
        <v>0</v>
      </c>
      <c r="T860" s="20"/>
      <c r="U860" s="35"/>
      <c r="V860" s="21"/>
      <c r="W860" s="38"/>
      <c r="X860" s="9">
        <f t="shared" ref="X860:X866" si="628">SUM(T860:W860)</f>
        <v>0</v>
      </c>
      <c r="Y860" s="11">
        <f t="shared" si="606"/>
        <v>0</v>
      </c>
    </row>
    <row r="861" spans="1:26" x14ac:dyDescent="0.15">
      <c r="A861" s="59" t="s">
        <v>27</v>
      </c>
      <c r="B861" s="20">
        <v>1</v>
      </c>
      <c r="C861" s="35">
        <v>1</v>
      </c>
      <c r="D861" s="21"/>
      <c r="E861" s="24"/>
      <c r="F861" s="25">
        <f t="shared" si="625"/>
        <v>2</v>
      </c>
      <c r="G861" s="20">
        <v>1</v>
      </c>
      <c r="H861" s="35">
        <v>1</v>
      </c>
      <c r="I861" s="21">
        <v>2</v>
      </c>
      <c r="J861" s="24">
        <v>1</v>
      </c>
      <c r="K861" s="25">
        <f t="shared" si="626"/>
        <v>5</v>
      </c>
      <c r="L861" s="11">
        <f t="shared" si="615"/>
        <v>7</v>
      </c>
      <c r="M861" s="69">
        <v>45511</v>
      </c>
      <c r="N861" s="15"/>
      <c r="O861" s="20"/>
      <c r="P861" s="35"/>
      <c r="Q861" s="21"/>
      <c r="R861" s="38"/>
      <c r="S861" s="9">
        <f t="shared" si="627"/>
        <v>0</v>
      </c>
      <c r="T861" s="20"/>
      <c r="U861" s="35"/>
      <c r="V861" s="21"/>
      <c r="W861" s="38"/>
      <c r="X861" s="9">
        <f t="shared" si="628"/>
        <v>0</v>
      </c>
      <c r="Y861" s="11">
        <f t="shared" si="606"/>
        <v>0</v>
      </c>
    </row>
    <row r="862" spans="1:26" x14ac:dyDescent="0.15">
      <c r="A862" s="59" t="s">
        <v>27</v>
      </c>
      <c r="B862" s="20">
        <v>2</v>
      </c>
      <c r="C862" s="35"/>
      <c r="D862" s="21"/>
      <c r="E862" s="24"/>
      <c r="F862" s="25">
        <f t="shared" si="625"/>
        <v>2</v>
      </c>
      <c r="G862" s="20">
        <v>1</v>
      </c>
      <c r="H862" s="35"/>
      <c r="I862" s="21"/>
      <c r="J862" s="24"/>
      <c r="K862" s="25">
        <f t="shared" si="626"/>
        <v>1</v>
      </c>
      <c r="L862" s="11">
        <f t="shared" si="615"/>
        <v>3</v>
      </c>
      <c r="M862" s="69">
        <v>45512</v>
      </c>
      <c r="N862" s="40"/>
      <c r="O862" s="20"/>
      <c r="P862" s="35"/>
      <c r="Q862" s="21"/>
      <c r="R862" s="38"/>
      <c r="S862" s="9">
        <f t="shared" si="627"/>
        <v>0</v>
      </c>
      <c r="T862" s="20"/>
      <c r="U862" s="35"/>
      <c r="V862" s="21"/>
      <c r="W862" s="38"/>
      <c r="X862" s="9">
        <f t="shared" si="628"/>
        <v>0</v>
      </c>
      <c r="Y862" s="11">
        <f t="shared" si="606"/>
        <v>0</v>
      </c>
    </row>
    <row r="863" spans="1:26" x14ac:dyDescent="0.15">
      <c r="A863" s="59" t="s">
        <v>27</v>
      </c>
      <c r="B863" s="20"/>
      <c r="C863" s="35"/>
      <c r="D863" s="21">
        <v>1</v>
      </c>
      <c r="E863" s="24"/>
      <c r="F863" s="25">
        <f t="shared" si="625"/>
        <v>1</v>
      </c>
      <c r="G863" s="20"/>
      <c r="H863" s="35"/>
      <c r="I863" s="21">
        <v>1</v>
      </c>
      <c r="J863" s="24"/>
      <c r="K863" s="25">
        <f t="shared" si="626"/>
        <v>1</v>
      </c>
      <c r="L863" s="11">
        <f t="shared" si="615"/>
        <v>2</v>
      </c>
      <c r="M863" s="69">
        <v>45513</v>
      </c>
      <c r="N863" s="40"/>
      <c r="O863" s="48"/>
      <c r="P863" s="49"/>
      <c r="Q863" s="50"/>
      <c r="R863" s="72"/>
      <c r="S863" s="74">
        <f t="shared" si="627"/>
        <v>0</v>
      </c>
      <c r="T863" s="48"/>
      <c r="U863" s="49"/>
      <c r="V863" s="50"/>
      <c r="W863" s="72"/>
      <c r="X863" s="74">
        <f t="shared" si="628"/>
        <v>0</v>
      </c>
      <c r="Y863" s="11">
        <f t="shared" si="606"/>
        <v>0</v>
      </c>
    </row>
    <row r="864" spans="1:26" x14ac:dyDescent="0.15">
      <c r="A864" s="59" t="s">
        <v>27</v>
      </c>
      <c r="B864" s="20">
        <v>2</v>
      </c>
      <c r="C864" s="35">
        <v>2</v>
      </c>
      <c r="D864" s="21">
        <v>2</v>
      </c>
      <c r="E864" s="24">
        <v>2</v>
      </c>
      <c r="F864" s="25">
        <f t="shared" si="625"/>
        <v>8</v>
      </c>
      <c r="G864" s="20"/>
      <c r="H864" s="35">
        <v>1</v>
      </c>
      <c r="I864" s="21">
        <v>1</v>
      </c>
      <c r="J864" s="24"/>
      <c r="K864" s="25">
        <f t="shared" si="626"/>
        <v>2</v>
      </c>
      <c r="L864" s="11">
        <f t="shared" si="615"/>
        <v>10</v>
      </c>
      <c r="M864" s="71">
        <v>45515</v>
      </c>
      <c r="N864" s="12"/>
      <c r="O864" s="20"/>
      <c r="P864" s="35"/>
      <c r="Q864" s="21"/>
      <c r="R864" s="38"/>
      <c r="S864" s="9">
        <f t="shared" si="627"/>
        <v>0</v>
      </c>
      <c r="T864" s="20"/>
      <c r="U864" s="35"/>
      <c r="V864" s="21"/>
      <c r="W864" s="38"/>
      <c r="X864" s="9">
        <f t="shared" si="628"/>
        <v>0</v>
      </c>
      <c r="Y864" s="47">
        <f t="shared" si="606"/>
        <v>0</v>
      </c>
    </row>
    <row r="865" spans="1:26" x14ac:dyDescent="0.15">
      <c r="A865" s="59" t="s">
        <v>421</v>
      </c>
      <c r="B865" s="20"/>
      <c r="C865" s="35">
        <v>1</v>
      </c>
      <c r="D865" s="21"/>
      <c r="E865" s="24"/>
      <c r="F865" s="25">
        <f t="shared" si="625"/>
        <v>1</v>
      </c>
      <c r="G865" s="20"/>
      <c r="H865" s="35">
        <v>1</v>
      </c>
      <c r="I865" s="21"/>
      <c r="J865" s="24"/>
      <c r="K865" s="25">
        <f t="shared" si="626"/>
        <v>1</v>
      </c>
      <c r="L865" s="11">
        <f t="shared" si="615"/>
        <v>2</v>
      </c>
      <c r="M865" s="69">
        <v>45521</v>
      </c>
      <c r="N865" s="12"/>
      <c r="O865" s="20"/>
      <c r="P865" s="35"/>
      <c r="Q865" s="21"/>
      <c r="R865" s="38"/>
      <c r="S865" s="9">
        <f t="shared" si="627"/>
        <v>0</v>
      </c>
      <c r="T865" s="20"/>
      <c r="U865" s="35"/>
      <c r="V865" s="21"/>
      <c r="W865" s="38"/>
      <c r="X865" s="9">
        <f t="shared" si="628"/>
        <v>0</v>
      </c>
      <c r="Y865" s="47">
        <f t="shared" si="606"/>
        <v>0</v>
      </c>
    </row>
    <row r="866" spans="1:26" x14ac:dyDescent="0.15">
      <c r="A866" s="59" t="s">
        <v>27</v>
      </c>
      <c r="B866" s="20">
        <f>2+1</f>
        <v>3</v>
      </c>
      <c r="C866" s="35"/>
      <c r="D866" s="21"/>
      <c r="E866" s="24"/>
      <c r="F866" s="25">
        <f t="shared" si="625"/>
        <v>3</v>
      </c>
      <c r="G866" s="20">
        <v>1</v>
      </c>
      <c r="H866" s="35">
        <v>2</v>
      </c>
      <c r="I866" s="21">
        <f>1+2</f>
        <v>3</v>
      </c>
      <c r="J866" s="24">
        <v>2</v>
      </c>
      <c r="K866" s="25">
        <f t="shared" si="626"/>
        <v>8</v>
      </c>
      <c r="L866" s="11">
        <f t="shared" si="615"/>
        <v>11</v>
      </c>
      <c r="M866" s="69">
        <v>45520</v>
      </c>
      <c r="N866" s="12"/>
      <c r="O866" s="20"/>
      <c r="P866" s="35"/>
      <c r="Q866" s="21"/>
      <c r="R866" s="38"/>
      <c r="S866" s="9">
        <f t="shared" si="627"/>
        <v>0</v>
      </c>
      <c r="T866" s="20"/>
      <c r="U866" s="35"/>
      <c r="V866" s="21"/>
      <c r="W866" s="38"/>
      <c r="X866" s="9">
        <f t="shared" si="628"/>
        <v>0</v>
      </c>
      <c r="Y866" s="47">
        <f t="shared" si="606"/>
        <v>0</v>
      </c>
    </row>
    <row r="867" spans="1:26" x14ac:dyDescent="0.15">
      <c r="A867" s="59" t="s">
        <v>27</v>
      </c>
      <c r="B867" s="20"/>
      <c r="C867" s="35">
        <v>1</v>
      </c>
      <c r="D867" s="21"/>
      <c r="E867" s="24"/>
      <c r="F867" s="25">
        <f t="shared" si="625"/>
        <v>1</v>
      </c>
      <c r="G867" s="20"/>
      <c r="H867" s="35">
        <f>1+2</f>
        <v>3</v>
      </c>
      <c r="I867" s="21">
        <v>1</v>
      </c>
      <c r="J867" s="24"/>
      <c r="K867" s="25">
        <f t="shared" si="626"/>
        <v>4</v>
      </c>
      <c r="L867" s="11">
        <f t="shared" si="615"/>
        <v>5</v>
      </c>
      <c r="M867" s="71">
        <v>45523</v>
      </c>
      <c r="N867" s="12"/>
      <c r="O867" s="20"/>
      <c r="P867" s="35"/>
      <c r="Q867" s="21"/>
      <c r="R867" s="38"/>
      <c r="S867" s="9">
        <f t="shared" ref="S867" si="629">SUM(O867:R867)</f>
        <v>0</v>
      </c>
      <c r="T867" s="20"/>
      <c r="U867" s="35"/>
      <c r="V867" s="21"/>
      <c r="W867" s="38"/>
      <c r="X867" s="9">
        <f t="shared" ref="X867" si="630">SUM(T867:W867)</f>
        <v>0</v>
      </c>
      <c r="Y867" s="47">
        <f t="shared" ref="Y867" si="631">S867+X867</f>
        <v>0</v>
      </c>
    </row>
    <row r="868" spans="1:26" x14ac:dyDescent="0.15">
      <c r="A868" s="59" t="s">
        <v>210</v>
      </c>
      <c r="B868" s="20"/>
      <c r="C868" s="35"/>
      <c r="D868" s="21"/>
      <c r="E868" s="24"/>
      <c r="F868" s="25">
        <f t="shared" si="625"/>
        <v>0</v>
      </c>
      <c r="G868" s="20">
        <v>1</v>
      </c>
      <c r="H868" s="35"/>
      <c r="I868" s="21"/>
      <c r="J868" s="24"/>
      <c r="K868" s="25">
        <f t="shared" si="626"/>
        <v>1</v>
      </c>
      <c r="L868" s="11">
        <f t="shared" si="615"/>
        <v>1</v>
      </c>
      <c r="M868" s="71">
        <v>45524</v>
      </c>
      <c r="N868" s="12"/>
      <c r="O868" s="20"/>
      <c r="P868" s="35"/>
      <c r="Q868" s="21"/>
      <c r="R868" s="38"/>
      <c r="S868" s="9">
        <f t="shared" ref="S868:S870" si="632">SUM(O868:R868)</f>
        <v>0</v>
      </c>
      <c r="T868" s="20"/>
      <c r="U868" s="35"/>
      <c r="V868" s="21"/>
      <c r="W868" s="38"/>
      <c r="X868" s="9">
        <f t="shared" ref="X868:X870" si="633">SUM(T868:W868)</f>
        <v>0</v>
      </c>
      <c r="Y868" s="47">
        <f t="shared" ref="Y868:Y870" si="634">S868+X868</f>
        <v>0</v>
      </c>
    </row>
    <row r="869" spans="1:26" x14ac:dyDescent="0.15">
      <c r="A869" s="59" t="s">
        <v>27</v>
      </c>
      <c r="B869" s="20">
        <v>2</v>
      </c>
      <c r="C869" s="35">
        <v>1</v>
      </c>
      <c r="D869" s="21"/>
      <c r="E869" s="24"/>
      <c r="F869" s="25">
        <f t="shared" si="625"/>
        <v>3</v>
      </c>
      <c r="G869" s="20">
        <v>2</v>
      </c>
      <c r="H869" s="35">
        <v>1</v>
      </c>
      <c r="I869" s="21"/>
      <c r="J869" s="24"/>
      <c r="K869" s="25">
        <f t="shared" si="626"/>
        <v>3</v>
      </c>
      <c r="L869" s="11">
        <f t="shared" si="615"/>
        <v>6</v>
      </c>
      <c r="M869" s="69">
        <v>45525</v>
      </c>
      <c r="N869" s="12" t="s">
        <v>532</v>
      </c>
      <c r="O869" s="20"/>
      <c r="P869" s="35"/>
      <c r="Q869" s="21"/>
      <c r="R869" s="38"/>
      <c r="S869" s="9">
        <f t="shared" si="632"/>
        <v>0</v>
      </c>
      <c r="T869" s="20"/>
      <c r="U869" s="35"/>
      <c r="V869" s="21"/>
      <c r="W869" s="38"/>
      <c r="X869" s="9">
        <f t="shared" si="633"/>
        <v>0</v>
      </c>
      <c r="Y869" s="47">
        <f t="shared" si="634"/>
        <v>0</v>
      </c>
      <c r="Z869" s="162" t="s">
        <v>485</v>
      </c>
    </row>
    <row r="870" spans="1:26" ht="14.25" thickBot="1" x14ac:dyDescent="0.2">
      <c r="A870" s="15" t="s">
        <v>523</v>
      </c>
      <c r="B870" s="43">
        <v>2</v>
      </c>
      <c r="C870" s="44">
        <v>1</v>
      </c>
      <c r="D870" s="45"/>
      <c r="E870" s="46"/>
      <c r="F870" s="25">
        <f t="shared" si="625"/>
        <v>3</v>
      </c>
      <c r="G870" s="43"/>
      <c r="H870" s="44"/>
      <c r="I870" s="45">
        <v>1</v>
      </c>
      <c r="J870" s="46">
        <v>2</v>
      </c>
      <c r="K870" s="25">
        <f t="shared" si="626"/>
        <v>3</v>
      </c>
      <c r="L870" s="14">
        <f t="shared" si="615"/>
        <v>6</v>
      </c>
      <c r="M870" s="69">
        <v>45526</v>
      </c>
      <c r="N870" s="99" t="s">
        <v>418</v>
      </c>
      <c r="O870" s="43"/>
      <c r="P870" s="44"/>
      <c r="Q870" s="45"/>
      <c r="R870" s="100"/>
      <c r="S870" s="10">
        <f t="shared" si="632"/>
        <v>0</v>
      </c>
      <c r="T870" s="43"/>
      <c r="U870" s="44"/>
      <c r="V870" s="45"/>
      <c r="W870" s="100"/>
      <c r="X870" s="10">
        <f t="shared" si="633"/>
        <v>0</v>
      </c>
      <c r="Y870" s="75">
        <f t="shared" si="634"/>
        <v>0</v>
      </c>
      <c r="Z870" s="162" t="s">
        <v>484</v>
      </c>
    </row>
    <row r="871" spans="1:26" ht="14.25" thickBot="1" x14ac:dyDescent="0.2">
      <c r="A871" s="16" t="s">
        <v>9</v>
      </c>
      <c r="B871" s="28">
        <f>SUM(B846:B870)</f>
        <v>19</v>
      </c>
      <c r="C871" s="36">
        <f>SUM(C846:C870)</f>
        <v>15</v>
      </c>
      <c r="D871" s="29">
        <f>SUM(D846:D870)</f>
        <v>13</v>
      </c>
      <c r="E871" s="30">
        <f>SUM(E846:E870)</f>
        <v>8</v>
      </c>
      <c r="F871" s="26">
        <f>SUM(B871:E871)</f>
        <v>55</v>
      </c>
      <c r="G871" s="28">
        <f>SUM(G846:G870)</f>
        <v>13</v>
      </c>
      <c r="H871" s="36">
        <f>SUM(H846:H870)</f>
        <v>26</v>
      </c>
      <c r="I871" s="29">
        <f>SUM(I846:I870)</f>
        <v>18</v>
      </c>
      <c r="J871" s="30">
        <f>SUM(J846:J870)</f>
        <v>9</v>
      </c>
      <c r="K871" s="26">
        <f>SUM(G871:J871)</f>
        <v>66</v>
      </c>
      <c r="L871" s="27">
        <f t="shared" si="615"/>
        <v>121</v>
      </c>
      <c r="N871" s="61" t="s">
        <v>9</v>
      </c>
      <c r="O871" s="28">
        <f>SUM(O846:O870)</f>
        <v>8</v>
      </c>
      <c r="P871" s="36">
        <f t="shared" ref="P871" si="635">SUM(P846:P870)</f>
        <v>19</v>
      </c>
      <c r="Q871" s="29">
        <f t="shared" ref="Q871" si="636">SUM(Q846:Q870)</f>
        <v>8</v>
      </c>
      <c r="R871" s="30">
        <f t="shared" ref="R871" si="637">SUM(R846:R870)</f>
        <v>4</v>
      </c>
      <c r="S871" s="60">
        <f>SUM(O871:R871)</f>
        <v>39</v>
      </c>
      <c r="T871" s="28">
        <f>SUM(T846:T870)</f>
        <v>8</v>
      </c>
      <c r="U871" s="36">
        <f t="shared" ref="U871" si="638">SUM(U846:U870)</f>
        <v>19</v>
      </c>
      <c r="V871" s="29">
        <f t="shared" ref="V871" si="639">SUM(V846:V870)</f>
        <v>18</v>
      </c>
      <c r="W871" s="30">
        <f t="shared" ref="W871" si="640">SUM(W846:W870)</f>
        <v>4</v>
      </c>
      <c r="X871" s="60">
        <f>SUM(T871:W871)</f>
        <v>49</v>
      </c>
      <c r="Y871" s="63">
        <f>S871+X871</f>
        <v>88</v>
      </c>
    </row>
    <row r="872" spans="1:26" ht="14.25" thickBot="1" x14ac:dyDescent="0.2">
      <c r="A872" s="18" t="s">
        <v>10</v>
      </c>
      <c r="B872" s="31">
        <f t="shared" ref="B872:K872" si="641">B845-B871</f>
        <v>15</v>
      </c>
      <c r="C872" s="37">
        <f t="shared" si="641"/>
        <v>12</v>
      </c>
      <c r="D872" s="32">
        <f t="shared" si="641"/>
        <v>21</v>
      </c>
      <c r="E872" s="33">
        <f t="shared" si="641"/>
        <v>26</v>
      </c>
      <c r="F872" s="42">
        <f t="shared" si="641"/>
        <v>74</v>
      </c>
      <c r="G872" s="31">
        <f t="shared" si="641"/>
        <v>20</v>
      </c>
      <c r="H872" s="37">
        <f t="shared" si="641"/>
        <v>14</v>
      </c>
      <c r="I872" s="32">
        <f t="shared" si="641"/>
        <v>10</v>
      </c>
      <c r="J872" s="33">
        <f t="shared" si="641"/>
        <v>26</v>
      </c>
      <c r="K872" s="42">
        <f t="shared" si="641"/>
        <v>70</v>
      </c>
      <c r="L872" s="17">
        <f t="shared" si="615"/>
        <v>144</v>
      </c>
      <c r="N872" s="16" t="s">
        <v>10</v>
      </c>
      <c r="O872" s="31">
        <f>O845-O871</f>
        <v>75</v>
      </c>
      <c r="P872" s="37">
        <f t="shared" ref="P872" si="642">P845-P871</f>
        <v>119</v>
      </c>
      <c r="Q872" s="32">
        <f t="shared" ref="Q872" si="643">Q845-Q871</f>
        <v>156</v>
      </c>
      <c r="R872" s="33">
        <f t="shared" ref="R872" si="644">R845-R871</f>
        <v>222</v>
      </c>
      <c r="S872" s="42">
        <f>S845-S871</f>
        <v>572</v>
      </c>
      <c r="T872" s="31">
        <f>T845-T871</f>
        <v>44</v>
      </c>
      <c r="U872" s="37">
        <f t="shared" ref="U872" si="645">U845-U871</f>
        <v>21</v>
      </c>
      <c r="V872" s="32">
        <f t="shared" ref="V872" si="646">V845-V871</f>
        <v>5</v>
      </c>
      <c r="W872" s="33">
        <f t="shared" ref="W872" si="647">W845-W871</f>
        <v>167</v>
      </c>
      <c r="X872" s="42">
        <f>X845-X871</f>
        <v>237</v>
      </c>
      <c r="Y872" s="17">
        <f>S872+X872</f>
        <v>809</v>
      </c>
    </row>
    <row r="875" spans="1:26" ht="19.5" thickBot="1" x14ac:dyDescent="0.25">
      <c r="A875" s="2" t="s">
        <v>17</v>
      </c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N875" s="2" t="s">
        <v>18</v>
      </c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1"/>
    </row>
    <row r="876" spans="1:26" ht="14.25" thickBot="1" x14ac:dyDescent="0.2">
      <c r="A876" s="5" t="s">
        <v>0</v>
      </c>
      <c r="B876" s="244" t="s">
        <v>19</v>
      </c>
      <c r="C876" s="245"/>
      <c r="D876" s="245"/>
      <c r="E876" s="245"/>
      <c r="F876" s="246"/>
      <c r="G876" s="247" t="s">
        <v>20</v>
      </c>
      <c r="H876" s="248"/>
      <c r="I876" s="248"/>
      <c r="J876" s="248"/>
      <c r="K876" s="249"/>
      <c r="L876" s="250" t="s">
        <v>1</v>
      </c>
      <c r="N876" s="5" t="s">
        <v>0</v>
      </c>
      <c r="O876" s="244" t="s">
        <v>19</v>
      </c>
      <c r="P876" s="245"/>
      <c r="Q876" s="245"/>
      <c r="R876" s="245"/>
      <c r="S876" s="246"/>
      <c r="T876" s="247" t="s">
        <v>20</v>
      </c>
      <c r="U876" s="248"/>
      <c r="V876" s="248"/>
      <c r="W876" s="248"/>
      <c r="X876" s="249"/>
      <c r="Y876" s="250" t="s">
        <v>1</v>
      </c>
    </row>
    <row r="877" spans="1:26" ht="14.25" thickBot="1" x14ac:dyDescent="0.2">
      <c r="A877" s="5" t="s">
        <v>2</v>
      </c>
      <c r="B877" s="3" t="s">
        <v>11</v>
      </c>
      <c r="C877" s="34" t="s">
        <v>12</v>
      </c>
      <c r="D877" s="4" t="s">
        <v>13</v>
      </c>
      <c r="E877" s="19" t="s">
        <v>14</v>
      </c>
      <c r="F877" s="23" t="s">
        <v>3</v>
      </c>
      <c r="G877" s="3" t="s">
        <v>11</v>
      </c>
      <c r="H877" s="34" t="s">
        <v>12</v>
      </c>
      <c r="I877" s="4" t="s">
        <v>13</v>
      </c>
      <c r="J877" s="19" t="s">
        <v>14</v>
      </c>
      <c r="K877" s="23" t="s">
        <v>3</v>
      </c>
      <c r="L877" s="251"/>
      <c r="N877" s="5" t="s">
        <v>2</v>
      </c>
      <c r="O877" s="53" t="s">
        <v>11</v>
      </c>
      <c r="P877" s="54" t="s">
        <v>12</v>
      </c>
      <c r="Q877" s="55" t="s">
        <v>13</v>
      </c>
      <c r="R877" s="56" t="s">
        <v>14</v>
      </c>
      <c r="S877" s="23" t="s">
        <v>3</v>
      </c>
      <c r="T877" s="3" t="s">
        <v>11</v>
      </c>
      <c r="U877" s="34" t="s">
        <v>12</v>
      </c>
      <c r="V877" s="4" t="s">
        <v>13</v>
      </c>
      <c r="W877" s="19" t="s">
        <v>14</v>
      </c>
      <c r="X877" s="23" t="s">
        <v>3</v>
      </c>
      <c r="Y877" s="251"/>
    </row>
    <row r="878" spans="1:26" ht="14.25" thickBot="1" x14ac:dyDescent="0.2">
      <c r="A878" s="18" t="s">
        <v>15</v>
      </c>
      <c r="B878" s="31">
        <f>B872</f>
        <v>15</v>
      </c>
      <c r="C878" s="32">
        <f>C872</f>
        <v>12</v>
      </c>
      <c r="D878" s="32">
        <f>D872</f>
        <v>21</v>
      </c>
      <c r="E878" s="33">
        <f>E872</f>
        <v>26</v>
      </c>
      <c r="F878" s="86">
        <f>SUM(B878:E878)</f>
        <v>74</v>
      </c>
      <c r="G878" s="31">
        <f>G872</f>
        <v>20</v>
      </c>
      <c r="H878" s="32">
        <f>H872</f>
        <v>14</v>
      </c>
      <c r="I878" s="32">
        <f>I872</f>
        <v>10</v>
      </c>
      <c r="J878" s="33">
        <f>J872</f>
        <v>26</v>
      </c>
      <c r="K878" s="80">
        <f>SUM(G878:J878)</f>
        <v>70</v>
      </c>
      <c r="L878" s="17">
        <f>F878+K878</f>
        <v>144</v>
      </c>
      <c r="N878" s="18" t="s">
        <v>15</v>
      </c>
      <c r="O878" s="31">
        <f>O872</f>
        <v>75</v>
      </c>
      <c r="P878" s="32">
        <f t="shared" ref="P878:Y878" si="648">P872</f>
        <v>119</v>
      </c>
      <c r="Q878" s="32">
        <f t="shared" si="648"/>
        <v>156</v>
      </c>
      <c r="R878" s="33">
        <f t="shared" si="648"/>
        <v>222</v>
      </c>
      <c r="S878" s="86">
        <f t="shared" si="648"/>
        <v>572</v>
      </c>
      <c r="T878" s="31">
        <f t="shared" si="648"/>
        <v>44</v>
      </c>
      <c r="U878" s="32">
        <f t="shared" si="648"/>
        <v>21</v>
      </c>
      <c r="V878" s="32">
        <f t="shared" si="648"/>
        <v>5</v>
      </c>
      <c r="W878" s="33">
        <f t="shared" si="648"/>
        <v>167</v>
      </c>
      <c r="X878" s="80">
        <f t="shared" si="648"/>
        <v>237</v>
      </c>
      <c r="Y878" s="17">
        <f t="shared" si="648"/>
        <v>809</v>
      </c>
    </row>
    <row r="879" spans="1:26" x14ac:dyDescent="0.15">
      <c r="A879" s="13" t="s">
        <v>4</v>
      </c>
      <c r="B879" s="20"/>
      <c r="C879" s="35">
        <v>10</v>
      </c>
      <c r="D879" s="21"/>
      <c r="E879" s="24"/>
      <c r="F879" s="25">
        <f t="shared" ref="F879:F882" si="649">SUM(B879:E879)</f>
        <v>10</v>
      </c>
      <c r="G879" s="20"/>
      <c r="H879" s="35">
        <v>10</v>
      </c>
      <c r="I879" s="21">
        <v>10</v>
      </c>
      <c r="J879" s="24"/>
      <c r="K879" s="25">
        <f t="shared" ref="K879:K882" si="650">SUM(G879:J879)</f>
        <v>20</v>
      </c>
      <c r="L879" s="11">
        <f t="shared" ref="L879:L910" si="651">F879+K879</f>
        <v>30</v>
      </c>
      <c r="M879" s="69">
        <v>45532</v>
      </c>
      <c r="N879" s="59" t="s">
        <v>16</v>
      </c>
      <c r="O879" s="48"/>
      <c r="P879" s="49">
        <v>-150</v>
      </c>
      <c r="Q879" s="50"/>
      <c r="R879" s="51"/>
      <c r="S879" s="85">
        <f>SUM(O879:R879)</f>
        <v>-150</v>
      </c>
      <c r="T879" s="48"/>
      <c r="U879" s="49">
        <v>-150</v>
      </c>
      <c r="V879" s="50"/>
      <c r="W879" s="51"/>
      <c r="X879" s="74">
        <f>SUM(T879:W879)</f>
        <v>-150</v>
      </c>
      <c r="Y879" s="11">
        <f t="shared" ref="Y879:Y908" si="652">S879+X879</f>
        <v>-300</v>
      </c>
      <c r="Z879" s="162"/>
    </row>
    <row r="880" spans="1:26" x14ac:dyDescent="0.15">
      <c r="A880" s="13" t="s">
        <v>140</v>
      </c>
      <c r="B880" s="20">
        <v>1</v>
      </c>
      <c r="C880" s="35">
        <v>0</v>
      </c>
      <c r="D880" s="21">
        <v>-1</v>
      </c>
      <c r="E880" s="24">
        <v>0</v>
      </c>
      <c r="F880" s="25">
        <f t="shared" si="649"/>
        <v>0</v>
      </c>
      <c r="G880" s="20">
        <v>0</v>
      </c>
      <c r="H880" s="35">
        <v>0</v>
      </c>
      <c r="I880" s="21">
        <v>-2</v>
      </c>
      <c r="J880" s="24">
        <v>0</v>
      </c>
      <c r="K880" s="25">
        <f t="shared" si="650"/>
        <v>-2</v>
      </c>
      <c r="L880" s="11">
        <f t="shared" si="651"/>
        <v>-2</v>
      </c>
      <c r="M880" s="71">
        <v>45530</v>
      </c>
      <c r="N880" s="59" t="s">
        <v>4</v>
      </c>
      <c r="O880" s="48">
        <v>470</v>
      </c>
      <c r="P880" s="49">
        <v>800</v>
      </c>
      <c r="Q880" s="50">
        <v>280</v>
      </c>
      <c r="R880" s="51">
        <v>150</v>
      </c>
      <c r="S880" s="85">
        <f t="shared" ref="S880" si="653">SUM(O880:R880)</f>
        <v>1700</v>
      </c>
      <c r="T880" s="48">
        <v>400</v>
      </c>
      <c r="U880" s="49">
        <v>800</v>
      </c>
      <c r="V880" s="50">
        <v>350</v>
      </c>
      <c r="W880" s="51">
        <v>150</v>
      </c>
      <c r="X880" s="74">
        <f t="shared" ref="X880" si="654">SUM(T880:W880)</f>
        <v>1700</v>
      </c>
      <c r="Y880" s="11">
        <f t="shared" si="652"/>
        <v>3400</v>
      </c>
      <c r="Z880" s="69" t="s">
        <v>544</v>
      </c>
    </row>
    <row r="881" spans="1:27" x14ac:dyDescent="0.15">
      <c r="A881" s="13" t="s">
        <v>6</v>
      </c>
      <c r="B881" s="20"/>
      <c r="C881" s="35"/>
      <c r="D881" s="21"/>
      <c r="E881" s="24"/>
      <c r="F881" s="25">
        <f t="shared" si="649"/>
        <v>0</v>
      </c>
      <c r="G881" s="20"/>
      <c r="H881" s="35"/>
      <c r="I881" s="21"/>
      <c r="J881" s="24"/>
      <c r="K881" s="25">
        <f t="shared" si="650"/>
        <v>0</v>
      </c>
      <c r="L881" s="11">
        <f t="shared" si="651"/>
        <v>0</v>
      </c>
      <c r="N881" s="59" t="s">
        <v>5</v>
      </c>
      <c r="O881" s="48"/>
      <c r="P881" s="49"/>
      <c r="Q881" s="50"/>
      <c r="R881" s="51"/>
      <c r="S881" s="85">
        <f t="shared" ref="S881" si="655">SUM(O881:R881)</f>
        <v>0</v>
      </c>
      <c r="T881" s="48"/>
      <c r="U881" s="49"/>
      <c r="V881" s="50"/>
      <c r="W881" s="51"/>
      <c r="X881" s="74">
        <f t="shared" ref="X881" si="656">SUM(T881:W881)</f>
        <v>0</v>
      </c>
      <c r="Y881" s="11">
        <f t="shared" si="652"/>
        <v>0</v>
      </c>
      <c r="Z881" s="162"/>
    </row>
    <row r="882" spans="1:27" ht="14.25" thickBot="1" x14ac:dyDescent="0.2">
      <c r="A882" s="13" t="s">
        <v>7</v>
      </c>
      <c r="B882" s="48">
        <v>15</v>
      </c>
      <c r="C882" s="49">
        <v>10</v>
      </c>
      <c r="D882" s="50">
        <v>15</v>
      </c>
      <c r="E882" s="51"/>
      <c r="F882" s="52">
        <f t="shared" si="649"/>
        <v>40</v>
      </c>
      <c r="G882" s="48">
        <v>15</v>
      </c>
      <c r="H882" s="49">
        <v>20</v>
      </c>
      <c r="I882" s="50">
        <v>25</v>
      </c>
      <c r="J882" s="51">
        <v>10</v>
      </c>
      <c r="K882" s="52">
        <f t="shared" si="650"/>
        <v>70</v>
      </c>
      <c r="L882" s="11">
        <f t="shared" si="651"/>
        <v>110</v>
      </c>
      <c r="M882" s="69">
        <v>45542</v>
      </c>
      <c r="N882" s="13" t="s">
        <v>6</v>
      </c>
      <c r="O882" s="43"/>
      <c r="P882" s="44"/>
      <c r="Q882" s="45"/>
      <c r="R882" s="46"/>
      <c r="S882" s="58">
        <f>SUM(O882:R882)</f>
        <v>0</v>
      </c>
      <c r="T882" s="35"/>
      <c r="U882" s="35"/>
      <c r="V882" s="21"/>
      <c r="W882" s="38"/>
      <c r="X882" s="10">
        <f>SUM(T882:W882)</f>
        <v>0</v>
      </c>
      <c r="Y882" s="14">
        <f t="shared" si="652"/>
        <v>0</v>
      </c>
    </row>
    <row r="883" spans="1:27" ht="14.25" thickBot="1" x14ac:dyDescent="0.2">
      <c r="A883" s="18" t="s">
        <v>8</v>
      </c>
      <c r="B883" s="76">
        <f t="shared" ref="B883:K883" si="657">SUM(B878:B882)</f>
        <v>31</v>
      </c>
      <c r="C883" s="77">
        <f t="shared" si="657"/>
        <v>32</v>
      </c>
      <c r="D883" s="78">
        <f t="shared" si="657"/>
        <v>35</v>
      </c>
      <c r="E883" s="79">
        <f t="shared" si="657"/>
        <v>26</v>
      </c>
      <c r="F883" s="80">
        <f t="shared" si="657"/>
        <v>124</v>
      </c>
      <c r="G883" s="76">
        <f t="shared" si="657"/>
        <v>35</v>
      </c>
      <c r="H883" s="77">
        <f t="shared" si="657"/>
        <v>44</v>
      </c>
      <c r="I883" s="78">
        <f t="shared" si="657"/>
        <v>43</v>
      </c>
      <c r="J883" s="79">
        <f t="shared" si="657"/>
        <v>36</v>
      </c>
      <c r="K883" s="80">
        <f t="shared" si="657"/>
        <v>158</v>
      </c>
      <c r="L883" s="17">
        <f t="shared" si="651"/>
        <v>282</v>
      </c>
      <c r="N883" s="16" t="s">
        <v>8</v>
      </c>
      <c r="O883" s="31">
        <f>SUM(O878:O882)</f>
        <v>545</v>
      </c>
      <c r="P883" s="37">
        <f t="shared" ref="P883" si="658">SUM(P878:P882)</f>
        <v>769</v>
      </c>
      <c r="Q883" s="32">
        <f t="shared" ref="Q883" si="659">SUM(Q878:Q882)</f>
        <v>436</v>
      </c>
      <c r="R883" s="82">
        <f t="shared" ref="R883" si="660">SUM(R878:R882)</f>
        <v>372</v>
      </c>
      <c r="S883" s="83">
        <f>SUM(S878:S882)</f>
        <v>2122</v>
      </c>
      <c r="T883" s="31">
        <f>SUM(T878:T882)</f>
        <v>444</v>
      </c>
      <c r="U883" s="37">
        <f t="shared" ref="U883" si="661">SUM(U878:U882)</f>
        <v>671</v>
      </c>
      <c r="V883" s="32">
        <f t="shared" ref="V883" si="662">SUM(V878:V882)</f>
        <v>355</v>
      </c>
      <c r="W883" s="82">
        <f t="shared" ref="W883" si="663">SUM(W878:W882)</f>
        <v>317</v>
      </c>
      <c r="X883" s="83">
        <f>SUM(X878:X882)</f>
        <v>1787</v>
      </c>
      <c r="Y883" s="39">
        <f>S883+X883</f>
        <v>3909</v>
      </c>
    </row>
    <row r="884" spans="1:27" x14ac:dyDescent="0.15">
      <c r="A884" s="59" t="s">
        <v>421</v>
      </c>
      <c r="B884" s="20">
        <v>1</v>
      </c>
      <c r="C884" s="35"/>
      <c r="D884" s="21"/>
      <c r="E884" s="24"/>
      <c r="F884" s="25">
        <f t="shared" ref="F884:F908" si="664">SUM(B884:E884)</f>
        <v>1</v>
      </c>
      <c r="G884" s="20">
        <v>1</v>
      </c>
      <c r="H884" s="35"/>
      <c r="I884" s="21"/>
      <c r="J884" s="24"/>
      <c r="K884" s="25">
        <f t="shared" ref="K884:K908" si="665">SUM(G884:J884)</f>
        <v>1</v>
      </c>
      <c r="L884" s="11">
        <f t="shared" si="651"/>
        <v>2</v>
      </c>
      <c r="M884" s="69">
        <v>45531</v>
      </c>
      <c r="N884" s="40" t="s">
        <v>26</v>
      </c>
      <c r="O884" s="20">
        <v>15</v>
      </c>
      <c r="P884" s="35">
        <v>10</v>
      </c>
      <c r="Q884" s="21">
        <v>15</v>
      </c>
      <c r="R884" s="38"/>
      <c r="S884" s="9">
        <f t="shared" ref="S884:S885" si="666">SUM(O884:R884)</f>
        <v>40</v>
      </c>
      <c r="T884" s="20">
        <v>15</v>
      </c>
      <c r="U884" s="35">
        <v>20</v>
      </c>
      <c r="V884" s="21">
        <v>25</v>
      </c>
      <c r="W884" s="38">
        <v>10</v>
      </c>
      <c r="X884" s="98">
        <f t="shared" ref="X884:X885" si="667">SUM(T884:W884)</f>
        <v>70</v>
      </c>
      <c r="Y884" s="11">
        <f t="shared" si="652"/>
        <v>110</v>
      </c>
      <c r="Z884" s="69">
        <v>45542</v>
      </c>
    </row>
    <row r="885" spans="1:27" x14ac:dyDescent="0.15">
      <c r="A885" s="59" t="s">
        <v>210</v>
      </c>
      <c r="B885" s="20"/>
      <c r="C885" s="35">
        <v>1</v>
      </c>
      <c r="D885" s="21"/>
      <c r="E885" s="24"/>
      <c r="F885" s="25">
        <f t="shared" si="664"/>
        <v>1</v>
      </c>
      <c r="G885" s="20">
        <v>1</v>
      </c>
      <c r="H885" s="35"/>
      <c r="I885" s="21"/>
      <c r="J885" s="24"/>
      <c r="K885" s="25">
        <f t="shared" si="665"/>
        <v>1</v>
      </c>
      <c r="L885" s="11">
        <f t="shared" si="651"/>
        <v>2</v>
      </c>
      <c r="M885" s="69">
        <v>45531</v>
      </c>
      <c r="N885" s="40" t="s">
        <v>26</v>
      </c>
      <c r="O885" s="20">
        <v>10</v>
      </c>
      <c r="P885" s="35">
        <v>10</v>
      </c>
      <c r="Q885" s="21">
        <v>5</v>
      </c>
      <c r="R885" s="38">
        <v>5</v>
      </c>
      <c r="S885" s="9">
        <f t="shared" si="666"/>
        <v>30</v>
      </c>
      <c r="T885" s="20">
        <v>20</v>
      </c>
      <c r="U885" s="35">
        <v>10</v>
      </c>
      <c r="V885" s="21"/>
      <c r="W885" s="38"/>
      <c r="X885" s="9">
        <f t="shared" si="667"/>
        <v>30</v>
      </c>
      <c r="Y885" s="11">
        <f t="shared" si="652"/>
        <v>60</v>
      </c>
      <c r="Z885" s="69">
        <v>45547</v>
      </c>
    </row>
    <row r="886" spans="1:27" x14ac:dyDescent="0.15">
      <c r="A886" s="59" t="s">
        <v>27</v>
      </c>
      <c r="B886" s="20">
        <v>2</v>
      </c>
      <c r="C886" s="35">
        <v>3</v>
      </c>
      <c r="D886" s="21">
        <f>3+3</f>
        <v>6</v>
      </c>
      <c r="E886" s="24">
        <v>1</v>
      </c>
      <c r="F886" s="25">
        <f t="shared" si="664"/>
        <v>12</v>
      </c>
      <c r="G886" s="20">
        <v>2</v>
      </c>
      <c r="H886" s="35">
        <f>2+2+2</f>
        <v>6</v>
      </c>
      <c r="I886" s="21">
        <f>2+1</f>
        <v>3</v>
      </c>
      <c r="J886" s="24">
        <v>1</v>
      </c>
      <c r="K886" s="25">
        <f t="shared" si="665"/>
        <v>12</v>
      </c>
      <c r="L886" s="11">
        <f t="shared" si="651"/>
        <v>24</v>
      </c>
      <c r="M886" s="69">
        <v>45530</v>
      </c>
      <c r="N886" s="12" t="s">
        <v>536</v>
      </c>
      <c r="O886" s="20">
        <v>5</v>
      </c>
      <c r="P886" s="35"/>
      <c r="Q886" s="21"/>
      <c r="R886" s="38"/>
      <c r="S886" s="9">
        <f t="shared" ref="S886:S896" si="668">SUM(O886:R886)</f>
        <v>5</v>
      </c>
      <c r="T886" s="20">
        <v>5</v>
      </c>
      <c r="U886" s="35"/>
      <c r="V886" s="21"/>
      <c r="W886" s="38"/>
      <c r="X886" s="9">
        <f t="shared" ref="X886:X896" si="669">SUM(T886:W886)</f>
        <v>5</v>
      </c>
      <c r="Y886" s="11">
        <f t="shared" si="652"/>
        <v>10</v>
      </c>
      <c r="Z886" s="69">
        <v>45567</v>
      </c>
    </row>
    <row r="887" spans="1:27" x14ac:dyDescent="0.15">
      <c r="A887" s="59" t="s">
        <v>27</v>
      </c>
      <c r="B887" s="20"/>
      <c r="C887" s="35"/>
      <c r="D887" s="21">
        <v>1</v>
      </c>
      <c r="E887" s="24"/>
      <c r="F887" s="25">
        <f t="shared" si="664"/>
        <v>1</v>
      </c>
      <c r="G887" s="20">
        <v>2</v>
      </c>
      <c r="H887" s="35">
        <v>5</v>
      </c>
      <c r="I887" s="21">
        <v>1</v>
      </c>
      <c r="J887" s="24"/>
      <c r="K887" s="25">
        <f t="shared" si="665"/>
        <v>8</v>
      </c>
      <c r="L887" s="11">
        <f t="shared" si="651"/>
        <v>9</v>
      </c>
      <c r="M887" s="71">
        <v>45531</v>
      </c>
      <c r="N887" s="12" t="s">
        <v>537</v>
      </c>
      <c r="O887" s="20">
        <v>55</v>
      </c>
      <c r="P887" s="35">
        <v>75</v>
      </c>
      <c r="Q887" s="21">
        <v>60</v>
      </c>
      <c r="R887" s="38">
        <v>10</v>
      </c>
      <c r="S887" s="9">
        <f t="shared" si="668"/>
        <v>200</v>
      </c>
      <c r="T887" s="20">
        <v>55</v>
      </c>
      <c r="U887" s="35">
        <v>75</v>
      </c>
      <c r="V887" s="21">
        <v>60</v>
      </c>
      <c r="W887" s="38">
        <v>10</v>
      </c>
      <c r="X887" s="9">
        <f t="shared" si="669"/>
        <v>200</v>
      </c>
      <c r="Y887" s="11">
        <f t="shared" si="652"/>
        <v>400</v>
      </c>
      <c r="Z887" s="69">
        <v>45560</v>
      </c>
    </row>
    <row r="888" spans="1:27" x14ac:dyDescent="0.15">
      <c r="A888" s="59" t="s">
        <v>27</v>
      </c>
      <c r="B888" s="20"/>
      <c r="C888" s="35"/>
      <c r="D888" s="21"/>
      <c r="E888" s="24"/>
      <c r="F888" s="25">
        <f t="shared" si="664"/>
        <v>0</v>
      </c>
      <c r="G888" s="20"/>
      <c r="H888" s="35">
        <v>2</v>
      </c>
      <c r="I888" s="21"/>
      <c r="J888" s="24"/>
      <c r="K888" s="25">
        <f t="shared" si="665"/>
        <v>2</v>
      </c>
      <c r="L888" s="11">
        <f t="shared" si="651"/>
        <v>2</v>
      </c>
      <c r="M888" s="71">
        <v>45532</v>
      </c>
      <c r="N888" s="12" t="s">
        <v>539</v>
      </c>
      <c r="O888" s="20"/>
      <c r="P888" s="35"/>
      <c r="Q888" s="21"/>
      <c r="R888" s="38">
        <v>15</v>
      </c>
      <c r="S888" s="9">
        <f t="shared" si="668"/>
        <v>15</v>
      </c>
      <c r="T888" s="20"/>
      <c r="U888" s="35"/>
      <c r="V888" s="21"/>
      <c r="W888" s="38">
        <v>15</v>
      </c>
      <c r="X888" s="9">
        <f t="shared" si="669"/>
        <v>15</v>
      </c>
      <c r="Y888" s="11">
        <f t="shared" si="652"/>
        <v>30</v>
      </c>
      <c r="Z888" s="69">
        <v>45561</v>
      </c>
    </row>
    <row r="889" spans="1:27" x14ac:dyDescent="0.15">
      <c r="A889" s="59" t="s">
        <v>27</v>
      </c>
      <c r="B889" s="20"/>
      <c r="C889" s="35"/>
      <c r="D889" s="21"/>
      <c r="E889" s="24"/>
      <c r="F889" s="25">
        <f t="shared" si="664"/>
        <v>0</v>
      </c>
      <c r="G889" s="20"/>
      <c r="H889" s="35"/>
      <c r="I889" s="21">
        <v>2</v>
      </c>
      <c r="J889" s="24"/>
      <c r="K889" s="25">
        <f t="shared" si="665"/>
        <v>2</v>
      </c>
      <c r="L889" s="11">
        <f t="shared" si="651"/>
        <v>2</v>
      </c>
      <c r="M889" s="69">
        <v>45533</v>
      </c>
      <c r="N889" s="12" t="s">
        <v>540</v>
      </c>
      <c r="O889" s="20"/>
      <c r="P889" s="35">
        <v>50</v>
      </c>
      <c r="Q889" s="21"/>
      <c r="R889" s="38">
        <v>5</v>
      </c>
      <c r="S889" s="9">
        <f t="shared" si="668"/>
        <v>55</v>
      </c>
      <c r="T889" s="20"/>
      <c r="U889" s="35">
        <v>50</v>
      </c>
      <c r="V889" s="21"/>
      <c r="W889" s="38">
        <v>5</v>
      </c>
      <c r="X889" s="9">
        <f t="shared" si="669"/>
        <v>55</v>
      </c>
      <c r="Y889" s="11">
        <f t="shared" si="652"/>
        <v>110</v>
      </c>
      <c r="Z889" s="69">
        <v>45562</v>
      </c>
      <c r="AA889" s="41"/>
    </row>
    <row r="890" spans="1:27" x14ac:dyDescent="0.15">
      <c r="A890" s="59" t="s">
        <v>27</v>
      </c>
      <c r="B890" s="20"/>
      <c r="C890" s="35"/>
      <c r="D890" s="21"/>
      <c r="E890" s="24"/>
      <c r="F890" s="25">
        <f t="shared" si="664"/>
        <v>0</v>
      </c>
      <c r="G890" s="20"/>
      <c r="H890" s="35"/>
      <c r="I890" s="21"/>
      <c r="J890" s="24">
        <f>3+2</f>
        <v>5</v>
      </c>
      <c r="K890" s="25">
        <f t="shared" si="665"/>
        <v>5</v>
      </c>
      <c r="L890" s="11">
        <f t="shared" si="651"/>
        <v>5</v>
      </c>
      <c r="M890" s="69">
        <v>45534</v>
      </c>
      <c r="N890" s="40"/>
      <c r="O890" s="20"/>
      <c r="P890" s="35"/>
      <c r="Q890" s="21"/>
      <c r="R890" s="38"/>
      <c r="S890" s="9">
        <f t="shared" si="668"/>
        <v>0</v>
      </c>
      <c r="T890" s="20"/>
      <c r="U890" s="35"/>
      <c r="V890" s="21"/>
      <c r="W890" s="38"/>
      <c r="X890" s="9">
        <f t="shared" si="669"/>
        <v>0</v>
      </c>
      <c r="Y890" s="11">
        <f t="shared" si="652"/>
        <v>0</v>
      </c>
      <c r="Z890" s="162"/>
      <c r="AA890" s="41"/>
    </row>
    <row r="891" spans="1:27" x14ac:dyDescent="0.15">
      <c r="A891" s="59" t="s">
        <v>27</v>
      </c>
      <c r="B891" s="20">
        <v>1</v>
      </c>
      <c r="C891" s="35"/>
      <c r="D891" s="21">
        <f>1+3</f>
        <v>4</v>
      </c>
      <c r="E891" s="24"/>
      <c r="F891" s="25">
        <f t="shared" si="664"/>
        <v>5</v>
      </c>
      <c r="G891" s="20">
        <v>3</v>
      </c>
      <c r="H891" s="35">
        <v>1</v>
      </c>
      <c r="I891" s="21">
        <f>1+5</f>
        <v>6</v>
      </c>
      <c r="J891" s="24"/>
      <c r="K891" s="25">
        <f t="shared" si="665"/>
        <v>10</v>
      </c>
      <c r="L891" s="11">
        <f t="shared" si="651"/>
        <v>15</v>
      </c>
      <c r="M891" s="69">
        <v>45537</v>
      </c>
      <c r="N891" s="40"/>
      <c r="O891" s="20"/>
      <c r="P891" s="35"/>
      <c r="Q891" s="21"/>
      <c r="R891" s="38"/>
      <c r="S891" s="9">
        <f t="shared" si="668"/>
        <v>0</v>
      </c>
      <c r="T891" s="20"/>
      <c r="U891" s="35"/>
      <c r="V891" s="21"/>
      <c r="W891" s="38"/>
      <c r="X891" s="9">
        <f t="shared" si="669"/>
        <v>0</v>
      </c>
      <c r="Y891" s="11">
        <f t="shared" si="652"/>
        <v>0</v>
      </c>
      <c r="Z891" s="162"/>
      <c r="AA891" s="41"/>
    </row>
    <row r="892" spans="1:27" x14ac:dyDescent="0.15">
      <c r="A892" s="59" t="s">
        <v>421</v>
      </c>
      <c r="B892" s="20"/>
      <c r="C892" s="35"/>
      <c r="D892" s="21"/>
      <c r="E892" s="24"/>
      <c r="F892" s="25">
        <f t="shared" si="664"/>
        <v>0</v>
      </c>
      <c r="G892" s="20"/>
      <c r="H892" s="35"/>
      <c r="I892" s="21">
        <v>1</v>
      </c>
      <c r="J892" s="24">
        <v>1</v>
      </c>
      <c r="K892" s="25">
        <f t="shared" si="665"/>
        <v>2</v>
      </c>
      <c r="L892" s="11">
        <f t="shared" si="651"/>
        <v>2</v>
      </c>
      <c r="M892" s="69">
        <v>45540</v>
      </c>
      <c r="N892" s="40"/>
      <c r="O892" s="20"/>
      <c r="P892" s="35"/>
      <c r="Q892" s="21"/>
      <c r="R892" s="38"/>
      <c r="S892" s="9">
        <f t="shared" si="668"/>
        <v>0</v>
      </c>
      <c r="T892" s="20"/>
      <c r="U892" s="35"/>
      <c r="V892" s="21"/>
      <c r="W892" s="38"/>
      <c r="X892" s="9">
        <f t="shared" si="669"/>
        <v>0</v>
      </c>
      <c r="Y892" s="11">
        <f t="shared" si="652"/>
        <v>0</v>
      </c>
    </row>
    <row r="893" spans="1:27" x14ac:dyDescent="0.15">
      <c r="A893" s="59" t="s">
        <v>27</v>
      </c>
      <c r="B893" s="20"/>
      <c r="C893" s="35">
        <v>1</v>
      </c>
      <c r="D893" s="21"/>
      <c r="E893" s="24"/>
      <c r="F893" s="25">
        <f t="shared" si="664"/>
        <v>1</v>
      </c>
      <c r="G893" s="20"/>
      <c r="H893" s="35">
        <v>1</v>
      </c>
      <c r="I893" s="21"/>
      <c r="J893" s="24"/>
      <c r="K893" s="25">
        <f t="shared" si="665"/>
        <v>1</v>
      </c>
      <c r="L893" s="11">
        <f t="shared" si="651"/>
        <v>2</v>
      </c>
      <c r="M893" s="69">
        <v>45539</v>
      </c>
      <c r="N893" s="40"/>
      <c r="O893" s="20"/>
      <c r="P893" s="35"/>
      <c r="Q893" s="21"/>
      <c r="R893" s="38"/>
      <c r="S893" s="9">
        <f t="shared" si="668"/>
        <v>0</v>
      </c>
      <c r="T893" s="20"/>
      <c r="U893" s="35"/>
      <c r="V893" s="21"/>
      <c r="W893" s="38"/>
      <c r="X893" s="9">
        <f t="shared" si="669"/>
        <v>0</v>
      </c>
      <c r="Y893" s="11">
        <f t="shared" si="652"/>
        <v>0</v>
      </c>
    </row>
    <row r="894" spans="1:27" x14ac:dyDescent="0.15">
      <c r="A894" s="59" t="s">
        <v>210</v>
      </c>
      <c r="B894" s="20"/>
      <c r="C894" s="35"/>
      <c r="D894" s="21">
        <v>1</v>
      </c>
      <c r="E894" s="24"/>
      <c r="F894" s="25">
        <f t="shared" si="664"/>
        <v>1</v>
      </c>
      <c r="G894" s="20"/>
      <c r="H894" s="35"/>
      <c r="I894" s="21"/>
      <c r="J894" s="24">
        <v>1</v>
      </c>
      <c r="K894" s="25">
        <f t="shared" si="665"/>
        <v>1</v>
      </c>
      <c r="L894" s="11">
        <f t="shared" si="651"/>
        <v>2</v>
      </c>
      <c r="M894" s="69">
        <v>45540</v>
      </c>
      <c r="N894" s="40"/>
      <c r="O894" s="20"/>
      <c r="P894" s="35"/>
      <c r="Q894" s="21"/>
      <c r="R894" s="38"/>
      <c r="S894" s="9">
        <f t="shared" si="668"/>
        <v>0</v>
      </c>
      <c r="T894" s="20"/>
      <c r="U894" s="35"/>
      <c r="V894" s="21"/>
      <c r="W894" s="38"/>
      <c r="X894" s="9">
        <f t="shared" si="669"/>
        <v>0</v>
      </c>
      <c r="Y894" s="11">
        <f t="shared" si="652"/>
        <v>0</v>
      </c>
    </row>
    <row r="895" spans="1:27" x14ac:dyDescent="0.15">
      <c r="A895" s="59" t="s">
        <v>27</v>
      </c>
      <c r="B895" s="20">
        <v>4</v>
      </c>
      <c r="C895" s="35">
        <v>1</v>
      </c>
      <c r="D895" s="21"/>
      <c r="E895" s="24"/>
      <c r="F895" s="25">
        <f t="shared" si="664"/>
        <v>5</v>
      </c>
      <c r="G895" s="20">
        <v>3</v>
      </c>
      <c r="H895" s="35"/>
      <c r="I895" s="21"/>
      <c r="J895" s="24"/>
      <c r="K895" s="25">
        <f t="shared" si="665"/>
        <v>3</v>
      </c>
      <c r="L895" s="11">
        <f t="shared" si="651"/>
        <v>8</v>
      </c>
      <c r="M895" s="69">
        <v>45540</v>
      </c>
      <c r="N895" s="40"/>
      <c r="O895" s="20"/>
      <c r="P895" s="35"/>
      <c r="Q895" s="21"/>
      <c r="R895" s="38"/>
      <c r="S895" s="9">
        <f t="shared" si="668"/>
        <v>0</v>
      </c>
      <c r="T895" s="20"/>
      <c r="U895" s="35"/>
      <c r="V895" s="21"/>
      <c r="W895" s="38"/>
      <c r="X895" s="9">
        <f t="shared" si="669"/>
        <v>0</v>
      </c>
      <c r="Y895" s="11">
        <f t="shared" si="652"/>
        <v>0</v>
      </c>
    </row>
    <row r="896" spans="1:27" x14ac:dyDescent="0.15">
      <c r="A896" s="59" t="s">
        <v>27</v>
      </c>
      <c r="B896" s="20"/>
      <c r="C896" s="35">
        <v>1</v>
      </c>
      <c r="D896" s="21"/>
      <c r="E896" s="24"/>
      <c r="F896" s="25">
        <f t="shared" si="664"/>
        <v>1</v>
      </c>
      <c r="G896" s="20">
        <v>2</v>
      </c>
      <c r="H896" s="35">
        <v>3</v>
      </c>
      <c r="I896" s="21">
        <v>3</v>
      </c>
      <c r="J896" s="24"/>
      <c r="K896" s="25">
        <f t="shared" si="665"/>
        <v>8</v>
      </c>
      <c r="L896" s="11">
        <f t="shared" si="651"/>
        <v>9</v>
      </c>
      <c r="M896" s="69">
        <v>45541</v>
      </c>
      <c r="N896" s="40"/>
      <c r="O896" s="20"/>
      <c r="P896" s="35"/>
      <c r="Q896" s="21"/>
      <c r="R896" s="38"/>
      <c r="S896" s="9">
        <f t="shared" si="668"/>
        <v>0</v>
      </c>
      <c r="T896" s="20"/>
      <c r="U896" s="35"/>
      <c r="V896" s="21"/>
      <c r="W896" s="38"/>
      <c r="X896" s="9">
        <f t="shared" si="669"/>
        <v>0</v>
      </c>
      <c r="Y896" s="11">
        <f t="shared" si="652"/>
        <v>0</v>
      </c>
    </row>
    <row r="897" spans="1:26" x14ac:dyDescent="0.15">
      <c r="A897" s="59" t="s">
        <v>27</v>
      </c>
      <c r="B897" s="20">
        <v>1</v>
      </c>
      <c r="C897" s="35"/>
      <c r="D897" s="21"/>
      <c r="E897" s="24"/>
      <c r="F897" s="25">
        <f t="shared" si="664"/>
        <v>1</v>
      </c>
      <c r="G897" s="20"/>
      <c r="H897" s="35">
        <v>4</v>
      </c>
      <c r="I897" s="21"/>
      <c r="J897" s="24"/>
      <c r="K897" s="25">
        <f t="shared" si="665"/>
        <v>4</v>
      </c>
      <c r="L897" s="11">
        <f t="shared" si="651"/>
        <v>5</v>
      </c>
      <c r="M897" s="69">
        <v>45544</v>
      </c>
      <c r="N897" s="12"/>
      <c r="O897" s="20"/>
      <c r="P897" s="35"/>
      <c r="Q897" s="21"/>
      <c r="R897" s="38"/>
      <c r="S897" s="9">
        <f>SUM(O897:R897)</f>
        <v>0</v>
      </c>
      <c r="T897" s="20"/>
      <c r="U897" s="35"/>
      <c r="V897" s="21"/>
      <c r="W897" s="38"/>
      <c r="X897" s="9">
        <f>SUM(T897:W897)</f>
        <v>0</v>
      </c>
      <c r="Y897" s="11">
        <f t="shared" si="652"/>
        <v>0</v>
      </c>
    </row>
    <row r="898" spans="1:26" x14ac:dyDescent="0.15">
      <c r="A898" s="12" t="s">
        <v>534</v>
      </c>
      <c r="B898" s="20"/>
      <c r="C898" s="35">
        <v>3</v>
      </c>
      <c r="D898" s="21"/>
      <c r="E898" s="24"/>
      <c r="F898" s="25">
        <f t="shared" si="664"/>
        <v>3</v>
      </c>
      <c r="G898" s="20">
        <v>5</v>
      </c>
      <c r="H898" s="35"/>
      <c r="I898" s="21"/>
      <c r="J898" s="24"/>
      <c r="K898" s="25">
        <f t="shared" si="665"/>
        <v>5</v>
      </c>
      <c r="L898" s="11">
        <f t="shared" si="651"/>
        <v>8</v>
      </c>
      <c r="M898" s="69">
        <v>45546</v>
      </c>
      <c r="N898" s="40"/>
      <c r="O898" s="20"/>
      <c r="P898" s="35"/>
      <c r="Q898" s="21"/>
      <c r="R898" s="38"/>
      <c r="S898" s="9">
        <f t="shared" ref="S898:S908" si="670">SUM(O898:R898)</f>
        <v>0</v>
      </c>
      <c r="T898" s="20"/>
      <c r="U898" s="35"/>
      <c r="V898" s="21"/>
      <c r="W898" s="38"/>
      <c r="X898" s="9">
        <f t="shared" ref="X898:X908" si="671">SUM(T898:W898)</f>
        <v>0</v>
      </c>
      <c r="Y898" s="11">
        <f t="shared" si="652"/>
        <v>0</v>
      </c>
    </row>
    <row r="899" spans="1:26" x14ac:dyDescent="0.15">
      <c r="A899" s="59" t="s">
        <v>27</v>
      </c>
      <c r="B899" s="20"/>
      <c r="C899" s="35">
        <v>1</v>
      </c>
      <c r="D899" s="21"/>
      <c r="E899" s="24"/>
      <c r="F899" s="25">
        <f t="shared" si="664"/>
        <v>1</v>
      </c>
      <c r="G899" s="20">
        <v>1</v>
      </c>
      <c r="H899" s="35"/>
      <c r="I899" s="21"/>
      <c r="J899" s="24"/>
      <c r="K899" s="25">
        <f t="shared" si="665"/>
        <v>1</v>
      </c>
      <c r="L899" s="11">
        <f t="shared" si="651"/>
        <v>2</v>
      </c>
      <c r="M899" s="69">
        <v>45545</v>
      </c>
      <c r="N899" s="15"/>
      <c r="O899" s="20"/>
      <c r="P899" s="35"/>
      <c r="Q899" s="21"/>
      <c r="R899" s="38"/>
      <c r="S899" s="9">
        <f t="shared" si="670"/>
        <v>0</v>
      </c>
      <c r="T899" s="20"/>
      <c r="U899" s="35"/>
      <c r="V899" s="21"/>
      <c r="W899" s="38"/>
      <c r="X899" s="9">
        <f t="shared" si="671"/>
        <v>0</v>
      </c>
      <c r="Y899" s="11">
        <f t="shared" si="652"/>
        <v>0</v>
      </c>
    </row>
    <row r="900" spans="1:26" x14ac:dyDescent="0.15">
      <c r="A900" s="59" t="s">
        <v>27</v>
      </c>
      <c r="B900" s="20"/>
      <c r="C900" s="35"/>
      <c r="D900" s="21"/>
      <c r="E900" s="24">
        <v>1</v>
      </c>
      <c r="F900" s="25">
        <f t="shared" si="664"/>
        <v>1</v>
      </c>
      <c r="G900" s="20">
        <v>2</v>
      </c>
      <c r="H900" s="35">
        <v>1</v>
      </c>
      <c r="I900" s="21"/>
      <c r="J900" s="24">
        <v>1</v>
      </c>
      <c r="K900" s="25">
        <f t="shared" si="665"/>
        <v>4</v>
      </c>
      <c r="L900" s="11">
        <f t="shared" si="651"/>
        <v>5</v>
      </c>
      <c r="M900" s="69">
        <v>45546</v>
      </c>
      <c r="N900" s="40"/>
      <c r="O900" s="20"/>
      <c r="P900" s="35"/>
      <c r="Q900" s="21"/>
      <c r="R900" s="38"/>
      <c r="S900" s="9">
        <f t="shared" si="670"/>
        <v>0</v>
      </c>
      <c r="T900" s="20"/>
      <c r="U900" s="35"/>
      <c r="V900" s="21"/>
      <c r="W900" s="38"/>
      <c r="X900" s="9">
        <f t="shared" si="671"/>
        <v>0</v>
      </c>
      <c r="Y900" s="11">
        <f t="shared" si="652"/>
        <v>0</v>
      </c>
    </row>
    <row r="901" spans="1:26" x14ac:dyDescent="0.15">
      <c r="A901" s="59" t="s">
        <v>421</v>
      </c>
      <c r="B901" s="20">
        <v>1</v>
      </c>
      <c r="C901" s="35"/>
      <c r="D901" s="21"/>
      <c r="E901" s="24"/>
      <c r="F901" s="25">
        <f t="shared" si="664"/>
        <v>1</v>
      </c>
      <c r="G901" s="20">
        <v>1</v>
      </c>
      <c r="H901" s="35"/>
      <c r="I901" s="21"/>
      <c r="J901" s="24"/>
      <c r="K901" s="25">
        <f t="shared" si="665"/>
        <v>1</v>
      </c>
      <c r="L901" s="11">
        <f t="shared" si="651"/>
        <v>2</v>
      </c>
      <c r="M901" s="69">
        <v>45548</v>
      </c>
      <c r="N901" s="40"/>
      <c r="O901" s="48"/>
      <c r="P901" s="49"/>
      <c r="Q901" s="50"/>
      <c r="R901" s="72"/>
      <c r="S901" s="74">
        <f t="shared" si="670"/>
        <v>0</v>
      </c>
      <c r="T901" s="48"/>
      <c r="U901" s="49"/>
      <c r="V901" s="50"/>
      <c r="W901" s="72"/>
      <c r="X901" s="74">
        <f t="shared" si="671"/>
        <v>0</v>
      </c>
      <c r="Y901" s="11">
        <f t="shared" si="652"/>
        <v>0</v>
      </c>
    </row>
    <row r="902" spans="1:26" x14ac:dyDescent="0.15">
      <c r="A902" s="59" t="s">
        <v>27</v>
      </c>
      <c r="B902" s="20"/>
      <c r="C902" s="35"/>
      <c r="D902" s="21"/>
      <c r="E902" s="24"/>
      <c r="F902" s="25">
        <f t="shared" si="664"/>
        <v>0</v>
      </c>
      <c r="G902" s="20"/>
      <c r="H902" s="35"/>
      <c r="I902" s="21"/>
      <c r="J902" s="24">
        <v>1</v>
      </c>
      <c r="K902" s="25">
        <f t="shared" si="665"/>
        <v>1</v>
      </c>
      <c r="L902" s="11">
        <f t="shared" si="651"/>
        <v>1</v>
      </c>
      <c r="M902" s="69">
        <v>45547</v>
      </c>
      <c r="N902" s="12"/>
      <c r="O902" s="20"/>
      <c r="P902" s="35"/>
      <c r="Q902" s="21"/>
      <c r="R902" s="38"/>
      <c r="S902" s="9">
        <f t="shared" si="670"/>
        <v>0</v>
      </c>
      <c r="T902" s="20"/>
      <c r="U902" s="35"/>
      <c r="V902" s="21"/>
      <c r="W902" s="38"/>
      <c r="X902" s="9">
        <f t="shared" si="671"/>
        <v>0</v>
      </c>
      <c r="Y902" s="47">
        <f t="shared" si="652"/>
        <v>0</v>
      </c>
    </row>
    <row r="903" spans="1:26" x14ac:dyDescent="0.15">
      <c r="A903" s="59" t="s">
        <v>27</v>
      </c>
      <c r="B903" s="20"/>
      <c r="C903" s="35"/>
      <c r="D903" s="21"/>
      <c r="E903" s="24">
        <v>1</v>
      </c>
      <c r="F903" s="25">
        <f t="shared" si="664"/>
        <v>1</v>
      </c>
      <c r="G903" s="20"/>
      <c r="H903" s="35">
        <v>2</v>
      </c>
      <c r="I903" s="21"/>
      <c r="J903" s="24">
        <v>1</v>
      </c>
      <c r="K903" s="25">
        <f t="shared" si="665"/>
        <v>3</v>
      </c>
      <c r="L903" s="11">
        <f t="shared" si="651"/>
        <v>4</v>
      </c>
      <c r="M903" s="71">
        <v>45548</v>
      </c>
      <c r="N903" s="12"/>
      <c r="O903" s="20"/>
      <c r="P903" s="35"/>
      <c r="Q903" s="21"/>
      <c r="R903" s="38"/>
      <c r="S903" s="9">
        <f t="shared" ref="S903:S905" si="672">SUM(O903:R903)</f>
        <v>0</v>
      </c>
      <c r="T903" s="20"/>
      <c r="U903" s="35"/>
      <c r="V903" s="21"/>
      <c r="W903" s="38"/>
      <c r="X903" s="9">
        <f t="shared" ref="X903:X905" si="673">SUM(T903:W903)</f>
        <v>0</v>
      </c>
      <c r="Y903" s="47">
        <f t="shared" ref="Y903:Y905" si="674">S903+X903</f>
        <v>0</v>
      </c>
    </row>
    <row r="904" spans="1:26" x14ac:dyDescent="0.15">
      <c r="A904" s="59" t="s">
        <v>27</v>
      </c>
      <c r="B904" s="20">
        <v>3</v>
      </c>
      <c r="C904" s="35"/>
      <c r="D904" s="21">
        <v>1</v>
      </c>
      <c r="E904" s="24">
        <v>2</v>
      </c>
      <c r="F904" s="25">
        <f t="shared" si="664"/>
        <v>6</v>
      </c>
      <c r="G904" s="20">
        <v>1</v>
      </c>
      <c r="H904" s="35">
        <v>1</v>
      </c>
      <c r="I904" s="21">
        <v>1</v>
      </c>
      <c r="J904" s="24"/>
      <c r="K904" s="25">
        <f t="shared" si="665"/>
        <v>3</v>
      </c>
      <c r="L904" s="11">
        <f t="shared" si="651"/>
        <v>9</v>
      </c>
      <c r="M904" s="71">
        <v>45552</v>
      </c>
      <c r="N904" s="12"/>
      <c r="O904" s="20"/>
      <c r="P904" s="35"/>
      <c r="Q904" s="21"/>
      <c r="R904" s="38"/>
      <c r="S904" s="9">
        <f t="shared" si="672"/>
        <v>0</v>
      </c>
      <c r="T904" s="20"/>
      <c r="U904" s="35"/>
      <c r="V904" s="21"/>
      <c r="W904" s="38"/>
      <c r="X904" s="9">
        <f t="shared" si="673"/>
        <v>0</v>
      </c>
      <c r="Y904" s="47">
        <f t="shared" si="674"/>
        <v>0</v>
      </c>
    </row>
    <row r="905" spans="1:26" x14ac:dyDescent="0.15">
      <c r="A905" s="59" t="s">
        <v>27</v>
      </c>
      <c r="B905" s="20"/>
      <c r="C905" s="35"/>
      <c r="D905" s="21"/>
      <c r="E905" s="24"/>
      <c r="F905" s="25">
        <f t="shared" si="664"/>
        <v>0</v>
      </c>
      <c r="G905" s="20"/>
      <c r="H905" s="35"/>
      <c r="I905" s="21">
        <v>2</v>
      </c>
      <c r="J905" s="24"/>
      <c r="K905" s="25">
        <f t="shared" si="665"/>
        <v>2</v>
      </c>
      <c r="L905" s="11">
        <f t="shared" si="651"/>
        <v>2</v>
      </c>
      <c r="M905" s="71">
        <v>45554</v>
      </c>
      <c r="N905" s="12"/>
      <c r="O905" s="20"/>
      <c r="P905" s="35"/>
      <c r="Q905" s="21"/>
      <c r="R905" s="38"/>
      <c r="S905" s="9">
        <f t="shared" si="672"/>
        <v>0</v>
      </c>
      <c r="T905" s="20"/>
      <c r="U905" s="35"/>
      <c r="V905" s="21"/>
      <c r="W905" s="38"/>
      <c r="X905" s="9">
        <f t="shared" si="673"/>
        <v>0</v>
      </c>
      <c r="Y905" s="47">
        <f t="shared" si="674"/>
        <v>0</v>
      </c>
    </row>
    <row r="906" spans="1:26" x14ac:dyDescent="0.15">
      <c r="A906" s="59" t="s">
        <v>27</v>
      </c>
      <c r="B906" s="20">
        <v>1</v>
      </c>
      <c r="C906" s="35">
        <v>1</v>
      </c>
      <c r="D906" s="21"/>
      <c r="E906" s="24"/>
      <c r="F906" s="25">
        <f t="shared" si="664"/>
        <v>2</v>
      </c>
      <c r="G906" s="20">
        <v>1</v>
      </c>
      <c r="H906" s="35">
        <v>1</v>
      </c>
      <c r="I906" s="21">
        <v>1</v>
      </c>
      <c r="J906" s="24"/>
      <c r="K906" s="25">
        <f t="shared" si="665"/>
        <v>3</v>
      </c>
      <c r="L906" s="11">
        <f t="shared" si="651"/>
        <v>5</v>
      </c>
      <c r="M906" s="71">
        <v>45555</v>
      </c>
      <c r="N906" s="12" t="s">
        <v>498</v>
      </c>
      <c r="O906" s="20"/>
      <c r="P906" s="35"/>
      <c r="Q906" s="21"/>
      <c r="R906" s="38"/>
      <c r="S906" s="9">
        <f t="shared" si="670"/>
        <v>0</v>
      </c>
      <c r="T906" s="20"/>
      <c r="U906" s="35"/>
      <c r="V906" s="21"/>
      <c r="W906" s="38"/>
      <c r="X906" s="9">
        <f t="shared" si="671"/>
        <v>0</v>
      </c>
      <c r="Y906" s="47">
        <f t="shared" si="652"/>
        <v>0</v>
      </c>
      <c r="Z906" s="69">
        <v>45544</v>
      </c>
    </row>
    <row r="907" spans="1:26" x14ac:dyDescent="0.15">
      <c r="A907" s="59" t="s">
        <v>27</v>
      </c>
      <c r="B907" s="20"/>
      <c r="C907" s="35"/>
      <c r="D907" s="21"/>
      <c r="E907" s="24">
        <v>3</v>
      </c>
      <c r="F907" s="25">
        <f t="shared" si="664"/>
        <v>3</v>
      </c>
      <c r="G907" s="20">
        <v>2</v>
      </c>
      <c r="H907" s="35">
        <v>1</v>
      </c>
      <c r="I907" s="21"/>
      <c r="J907" s="24">
        <v>3</v>
      </c>
      <c r="K907" s="25">
        <f t="shared" si="665"/>
        <v>6</v>
      </c>
      <c r="L907" s="11">
        <f t="shared" si="651"/>
        <v>9</v>
      </c>
      <c r="M907" s="69">
        <v>45556</v>
      </c>
      <c r="N907" s="137" t="s">
        <v>85</v>
      </c>
      <c r="O907" s="138"/>
      <c r="P907" s="139"/>
      <c r="Q907" s="140"/>
      <c r="R907" s="141"/>
      <c r="S907" s="142">
        <f t="shared" si="670"/>
        <v>0</v>
      </c>
      <c r="T907" s="138"/>
      <c r="U907" s="139"/>
      <c r="V907" s="140"/>
      <c r="W907" s="141"/>
      <c r="X907" s="142">
        <f t="shared" si="671"/>
        <v>0</v>
      </c>
      <c r="Y907" s="145">
        <f t="shared" si="652"/>
        <v>0</v>
      </c>
      <c r="Z907" s="162"/>
    </row>
    <row r="908" spans="1:26" ht="14.25" thickBot="1" x14ac:dyDescent="0.2">
      <c r="A908" s="59" t="s">
        <v>421</v>
      </c>
      <c r="B908" s="43"/>
      <c r="C908" s="44">
        <v>1</v>
      </c>
      <c r="D908" s="45"/>
      <c r="E908" s="46">
        <v>1</v>
      </c>
      <c r="F908" s="25">
        <f t="shared" si="664"/>
        <v>2</v>
      </c>
      <c r="G908" s="43"/>
      <c r="H908" s="44">
        <v>1</v>
      </c>
      <c r="I908" s="45"/>
      <c r="J908" s="46"/>
      <c r="K908" s="25">
        <f t="shared" si="665"/>
        <v>1</v>
      </c>
      <c r="L908" s="14">
        <f t="shared" si="651"/>
        <v>3</v>
      </c>
      <c r="M908" s="69">
        <v>45560</v>
      </c>
      <c r="N908" s="99" t="s">
        <v>489</v>
      </c>
      <c r="O908" s="43"/>
      <c r="P908" s="44"/>
      <c r="Q908" s="45"/>
      <c r="R908" s="100"/>
      <c r="S908" s="10">
        <f t="shared" si="670"/>
        <v>0</v>
      </c>
      <c r="T908" s="43"/>
      <c r="U908" s="44"/>
      <c r="V908" s="45"/>
      <c r="W908" s="100"/>
      <c r="X908" s="10">
        <f t="shared" si="671"/>
        <v>0</v>
      </c>
      <c r="Y908" s="75">
        <f t="shared" si="652"/>
        <v>0</v>
      </c>
      <c r="Z908" s="162" t="s">
        <v>490</v>
      </c>
    </row>
    <row r="909" spans="1:26" ht="14.25" thickBot="1" x14ac:dyDescent="0.2">
      <c r="A909" s="16" t="s">
        <v>9</v>
      </c>
      <c r="B909" s="28">
        <f>SUM(B884:B908)</f>
        <v>14</v>
      </c>
      <c r="C909" s="36">
        <f>SUM(C884:C908)</f>
        <v>13</v>
      </c>
      <c r="D909" s="29">
        <f>SUM(D884:D908)</f>
        <v>13</v>
      </c>
      <c r="E909" s="30">
        <f>SUM(E884:E908)</f>
        <v>9</v>
      </c>
      <c r="F909" s="26">
        <f>SUM(B909:E909)</f>
        <v>49</v>
      </c>
      <c r="G909" s="28">
        <f>SUM(G884:G908)</f>
        <v>27</v>
      </c>
      <c r="H909" s="36">
        <f>SUM(H884:H908)</f>
        <v>29</v>
      </c>
      <c r="I909" s="29">
        <f>SUM(I884:I908)</f>
        <v>20</v>
      </c>
      <c r="J909" s="30">
        <f>SUM(J884:J908)</f>
        <v>14</v>
      </c>
      <c r="K909" s="26">
        <f>SUM(G909:J909)</f>
        <v>90</v>
      </c>
      <c r="L909" s="27">
        <f t="shared" si="651"/>
        <v>139</v>
      </c>
      <c r="N909" s="61" t="s">
        <v>9</v>
      </c>
      <c r="O909" s="28">
        <f>SUM(O884:O908)</f>
        <v>85</v>
      </c>
      <c r="P909" s="36">
        <f t="shared" ref="P909" si="675">SUM(P884:P908)</f>
        <v>145</v>
      </c>
      <c r="Q909" s="29">
        <f t="shared" ref="Q909" si="676">SUM(Q884:Q908)</f>
        <v>80</v>
      </c>
      <c r="R909" s="30">
        <f t="shared" ref="R909" si="677">SUM(R884:R908)</f>
        <v>35</v>
      </c>
      <c r="S909" s="60">
        <f>SUM(O909:R909)</f>
        <v>345</v>
      </c>
      <c r="T909" s="28">
        <f>SUM(T884:T908)</f>
        <v>95</v>
      </c>
      <c r="U909" s="36">
        <f t="shared" ref="U909" si="678">SUM(U884:U908)</f>
        <v>155</v>
      </c>
      <c r="V909" s="29">
        <f t="shared" ref="V909" si="679">SUM(V884:V908)</f>
        <v>85</v>
      </c>
      <c r="W909" s="30">
        <f t="shared" ref="W909" si="680">SUM(W884:W908)</f>
        <v>40</v>
      </c>
      <c r="X909" s="60">
        <f>SUM(T909:W909)</f>
        <v>375</v>
      </c>
      <c r="Y909" s="63">
        <f>S909+X909</f>
        <v>720</v>
      </c>
    </row>
    <row r="910" spans="1:26" ht="14.25" thickBot="1" x14ac:dyDescent="0.2">
      <c r="A910" s="18" t="s">
        <v>10</v>
      </c>
      <c r="B910" s="31">
        <f t="shared" ref="B910:K910" si="681">B883-B909</f>
        <v>17</v>
      </c>
      <c r="C910" s="37">
        <f t="shared" si="681"/>
        <v>19</v>
      </c>
      <c r="D910" s="32">
        <f t="shared" si="681"/>
        <v>22</v>
      </c>
      <c r="E910" s="33">
        <f t="shared" si="681"/>
        <v>17</v>
      </c>
      <c r="F910" s="42">
        <f t="shared" si="681"/>
        <v>75</v>
      </c>
      <c r="G910" s="31">
        <f t="shared" si="681"/>
        <v>8</v>
      </c>
      <c r="H910" s="37">
        <f t="shared" si="681"/>
        <v>15</v>
      </c>
      <c r="I910" s="32">
        <f t="shared" si="681"/>
        <v>23</v>
      </c>
      <c r="J910" s="33">
        <f t="shared" si="681"/>
        <v>22</v>
      </c>
      <c r="K910" s="42">
        <f t="shared" si="681"/>
        <v>68</v>
      </c>
      <c r="L910" s="17">
        <f t="shared" si="651"/>
        <v>143</v>
      </c>
      <c r="N910" s="16" t="s">
        <v>10</v>
      </c>
      <c r="O910" s="31">
        <f>O883-O909</f>
        <v>460</v>
      </c>
      <c r="P910" s="37">
        <f t="shared" ref="P910" si="682">P883-P909</f>
        <v>624</v>
      </c>
      <c r="Q910" s="32">
        <f t="shared" ref="Q910" si="683">Q883-Q909</f>
        <v>356</v>
      </c>
      <c r="R910" s="33">
        <f t="shared" ref="R910" si="684">R883-R909</f>
        <v>337</v>
      </c>
      <c r="S910" s="42">
        <f>S883-S909</f>
        <v>1777</v>
      </c>
      <c r="T910" s="31">
        <f>T883-T909</f>
        <v>349</v>
      </c>
      <c r="U910" s="37">
        <f t="shared" ref="U910" si="685">U883-U909</f>
        <v>516</v>
      </c>
      <c r="V910" s="32">
        <f t="shared" ref="V910" si="686">V883-V909</f>
        <v>270</v>
      </c>
      <c r="W910" s="33">
        <f t="shared" ref="W910" si="687">W883-W909</f>
        <v>277</v>
      </c>
      <c r="X910" s="42">
        <f>X883-X909</f>
        <v>1412</v>
      </c>
      <c r="Y910" s="17">
        <f>S910+X910</f>
        <v>3189</v>
      </c>
    </row>
    <row r="913" spans="1:29" ht="19.5" thickBot="1" x14ac:dyDescent="0.25">
      <c r="A913" s="2" t="s">
        <v>17</v>
      </c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N913" s="2" t="s">
        <v>18</v>
      </c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1"/>
    </row>
    <row r="914" spans="1:29" ht="14.25" thickBot="1" x14ac:dyDescent="0.2">
      <c r="A914" s="5" t="s">
        <v>0</v>
      </c>
      <c r="B914" s="244" t="s">
        <v>19</v>
      </c>
      <c r="C914" s="245"/>
      <c r="D914" s="245"/>
      <c r="E914" s="245"/>
      <c r="F914" s="246"/>
      <c r="G914" s="247" t="s">
        <v>20</v>
      </c>
      <c r="H914" s="248"/>
      <c r="I914" s="248"/>
      <c r="J914" s="248"/>
      <c r="K914" s="249"/>
      <c r="L914" s="250" t="s">
        <v>1</v>
      </c>
      <c r="N914" s="5" t="s">
        <v>0</v>
      </c>
      <c r="O914" s="244" t="s">
        <v>19</v>
      </c>
      <c r="P914" s="245"/>
      <c r="Q914" s="245"/>
      <c r="R914" s="245"/>
      <c r="S914" s="246"/>
      <c r="T914" s="247" t="s">
        <v>20</v>
      </c>
      <c r="U914" s="248"/>
      <c r="V914" s="248"/>
      <c r="W914" s="248"/>
      <c r="X914" s="249"/>
      <c r="Y914" s="250" t="s">
        <v>1</v>
      </c>
    </row>
    <row r="915" spans="1:29" ht="14.25" thickBot="1" x14ac:dyDescent="0.2">
      <c r="A915" s="5" t="s">
        <v>2</v>
      </c>
      <c r="B915" s="3" t="s">
        <v>11</v>
      </c>
      <c r="C915" s="34" t="s">
        <v>12</v>
      </c>
      <c r="D915" s="4" t="s">
        <v>13</v>
      </c>
      <c r="E915" s="19" t="s">
        <v>14</v>
      </c>
      <c r="F915" s="23" t="s">
        <v>3</v>
      </c>
      <c r="G915" s="3" t="s">
        <v>11</v>
      </c>
      <c r="H915" s="34" t="s">
        <v>12</v>
      </c>
      <c r="I915" s="4" t="s">
        <v>13</v>
      </c>
      <c r="J915" s="19" t="s">
        <v>14</v>
      </c>
      <c r="K915" s="23" t="s">
        <v>3</v>
      </c>
      <c r="L915" s="251"/>
      <c r="N915" s="5" t="s">
        <v>2</v>
      </c>
      <c r="O915" s="53" t="s">
        <v>11</v>
      </c>
      <c r="P915" s="54" t="s">
        <v>12</v>
      </c>
      <c r="Q915" s="55" t="s">
        <v>13</v>
      </c>
      <c r="R915" s="56" t="s">
        <v>14</v>
      </c>
      <c r="S915" s="23" t="s">
        <v>3</v>
      </c>
      <c r="T915" s="3" t="s">
        <v>11</v>
      </c>
      <c r="U915" s="34" t="s">
        <v>12</v>
      </c>
      <c r="V915" s="4" t="s">
        <v>13</v>
      </c>
      <c r="W915" s="19" t="s">
        <v>14</v>
      </c>
      <c r="X915" s="23" t="s">
        <v>3</v>
      </c>
      <c r="Y915" s="251"/>
    </row>
    <row r="916" spans="1:29" ht="14.25" thickBot="1" x14ac:dyDescent="0.2">
      <c r="A916" s="18" t="s">
        <v>15</v>
      </c>
      <c r="B916" s="31">
        <f>B910</f>
        <v>17</v>
      </c>
      <c r="C916" s="32">
        <f>C910</f>
        <v>19</v>
      </c>
      <c r="D916" s="32">
        <f>D910</f>
        <v>22</v>
      </c>
      <c r="E916" s="33">
        <f>E910</f>
        <v>17</v>
      </c>
      <c r="F916" s="86">
        <f>SUM(B916:E916)</f>
        <v>75</v>
      </c>
      <c r="G916" s="31">
        <f>G910</f>
        <v>8</v>
      </c>
      <c r="H916" s="32">
        <f>H910</f>
        <v>15</v>
      </c>
      <c r="I916" s="32">
        <f>I910</f>
        <v>23</v>
      </c>
      <c r="J916" s="33">
        <f>J910</f>
        <v>22</v>
      </c>
      <c r="K916" s="80">
        <f>SUM(G916:J916)</f>
        <v>68</v>
      </c>
      <c r="L916" s="17">
        <f>F916+K916</f>
        <v>143</v>
      </c>
      <c r="N916" s="18" t="s">
        <v>15</v>
      </c>
      <c r="O916" s="31">
        <f>O910</f>
        <v>460</v>
      </c>
      <c r="P916" s="32">
        <f t="shared" ref="P916:Y916" si="688">P910</f>
        <v>624</v>
      </c>
      <c r="Q916" s="32">
        <f t="shared" si="688"/>
        <v>356</v>
      </c>
      <c r="R916" s="33">
        <f t="shared" si="688"/>
        <v>337</v>
      </c>
      <c r="S916" s="86">
        <f t="shared" si="688"/>
        <v>1777</v>
      </c>
      <c r="T916" s="31">
        <f t="shared" si="688"/>
        <v>349</v>
      </c>
      <c r="U916" s="32">
        <f t="shared" si="688"/>
        <v>516</v>
      </c>
      <c r="V916" s="32">
        <f t="shared" si="688"/>
        <v>270</v>
      </c>
      <c r="W916" s="33">
        <f t="shared" si="688"/>
        <v>277</v>
      </c>
      <c r="X916" s="80">
        <f t="shared" si="688"/>
        <v>1412</v>
      </c>
      <c r="Y916" s="17">
        <f t="shared" si="688"/>
        <v>3189</v>
      </c>
    </row>
    <row r="917" spans="1:29" x14ac:dyDescent="0.15">
      <c r="A917" s="13" t="s">
        <v>4</v>
      </c>
      <c r="B917" s="20">
        <v>10</v>
      </c>
      <c r="C917" s="35">
        <v>10</v>
      </c>
      <c r="D917" s="21">
        <v>5</v>
      </c>
      <c r="E917" s="24">
        <v>5</v>
      </c>
      <c r="F917" s="25">
        <f t="shared" ref="F917:F920" si="689">SUM(B917:E917)</f>
        <v>30</v>
      </c>
      <c r="G917" s="20">
        <v>20</v>
      </c>
      <c r="H917" s="35">
        <v>10</v>
      </c>
      <c r="I917" s="21"/>
      <c r="J917" s="24"/>
      <c r="K917" s="25">
        <f t="shared" ref="K917:K920" si="690">SUM(G917:J917)</f>
        <v>30</v>
      </c>
      <c r="L917" s="11">
        <f t="shared" ref="L917:L948" si="691">F917+K917</f>
        <v>60</v>
      </c>
      <c r="M917" s="69">
        <v>45547</v>
      </c>
      <c r="N917" s="59" t="s">
        <v>16</v>
      </c>
      <c r="O917" s="48"/>
      <c r="P917" s="49"/>
      <c r="Q917" s="50"/>
      <c r="R917" s="51"/>
      <c r="S917" s="85">
        <f t="shared" ref="S917:S919" si="692">SUM(O917:R917)</f>
        <v>0</v>
      </c>
      <c r="T917" s="48"/>
      <c r="U917" s="49"/>
      <c r="V917" s="50"/>
      <c r="W917" s="51"/>
      <c r="X917" s="74">
        <f t="shared" ref="X917:X919" si="693">SUM(T917:W917)</f>
        <v>0</v>
      </c>
      <c r="Y917" s="11">
        <f t="shared" ref="Y917:Y942" si="694">S917+X917</f>
        <v>0</v>
      </c>
    </row>
    <row r="918" spans="1:29" x14ac:dyDescent="0.15">
      <c r="A918" s="13" t="s">
        <v>191</v>
      </c>
      <c r="B918" s="20">
        <v>1</v>
      </c>
      <c r="C918" s="35">
        <v>4</v>
      </c>
      <c r="D918" s="21">
        <v>1</v>
      </c>
      <c r="E918" s="24">
        <v>1</v>
      </c>
      <c r="F918" s="25">
        <f t="shared" si="689"/>
        <v>7</v>
      </c>
      <c r="G918" s="20">
        <v>1</v>
      </c>
      <c r="H918" s="35">
        <v>4</v>
      </c>
      <c r="I918" s="21">
        <v>1</v>
      </c>
      <c r="J918" s="24">
        <v>1</v>
      </c>
      <c r="K918" s="25">
        <f t="shared" si="690"/>
        <v>7</v>
      </c>
      <c r="L918" s="11">
        <f t="shared" si="691"/>
        <v>14</v>
      </c>
      <c r="M918" s="69">
        <v>45553</v>
      </c>
      <c r="N918" s="59" t="s">
        <v>4</v>
      </c>
      <c r="O918" s="48"/>
      <c r="P918" s="49"/>
      <c r="Q918" s="50"/>
      <c r="R918" s="51"/>
      <c r="S918" s="85">
        <f t="shared" si="692"/>
        <v>0</v>
      </c>
      <c r="T918" s="48"/>
      <c r="U918" s="49"/>
      <c r="V918" s="50"/>
      <c r="W918" s="51"/>
      <c r="X918" s="74">
        <f t="shared" si="693"/>
        <v>0</v>
      </c>
      <c r="Y918" s="11">
        <f t="shared" si="694"/>
        <v>0</v>
      </c>
    </row>
    <row r="919" spans="1:29" x14ac:dyDescent="0.15">
      <c r="A919" s="13" t="s">
        <v>6</v>
      </c>
      <c r="B919" s="20">
        <v>10</v>
      </c>
      <c r="C919" s="35">
        <v>10</v>
      </c>
      <c r="D919" s="21">
        <v>10</v>
      </c>
      <c r="E919" s="24">
        <v>10</v>
      </c>
      <c r="F919" s="25">
        <f t="shared" si="689"/>
        <v>40</v>
      </c>
      <c r="G919" s="20">
        <v>10</v>
      </c>
      <c r="H919" s="35">
        <v>15</v>
      </c>
      <c r="I919" s="21">
        <v>20</v>
      </c>
      <c r="J919" s="24">
        <v>10</v>
      </c>
      <c r="K919" s="25">
        <f t="shared" si="690"/>
        <v>55</v>
      </c>
      <c r="L919" s="11">
        <f t="shared" si="691"/>
        <v>95</v>
      </c>
      <c r="M919" s="69">
        <v>45570</v>
      </c>
      <c r="N919" s="59" t="s">
        <v>5</v>
      </c>
      <c r="O919" s="48"/>
      <c r="P919" s="49"/>
      <c r="Q919" s="50"/>
      <c r="R919" s="51"/>
      <c r="S919" s="85">
        <f t="shared" si="692"/>
        <v>0</v>
      </c>
      <c r="T919" s="48"/>
      <c r="U919" s="49"/>
      <c r="V919" s="50"/>
      <c r="W919" s="51"/>
      <c r="X919" s="74">
        <f t="shared" si="693"/>
        <v>0</v>
      </c>
      <c r="Y919" s="11">
        <f t="shared" si="694"/>
        <v>0</v>
      </c>
    </row>
    <row r="920" spans="1:29" ht="14.25" thickBot="1" x14ac:dyDescent="0.2">
      <c r="A920" s="13" t="s">
        <v>7</v>
      </c>
      <c r="B920" s="48"/>
      <c r="C920" s="49">
        <v>10</v>
      </c>
      <c r="D920" s="50">
        <v>10</v>
      </c>
      <c r="E920" s="51">
        <v>5</v>
      </c>
      <c r="F920" s="52">
        <f t="shared" si="689"/>
        <v>25</v>
      </c>
      <c r="G920" s="48">
        <v>10</v>
      </c>
      <c r="H920" s="49">
        <v>20</v>
      </c>
      <c r="I920" s="50">
        <v>10</v>
      </c>
      <c r="J920" s="51"/>
      <c r="K920" s="52">
        <f t="shared" si="690"/>
        <v>40</v>
      </c>
      <c r="L920" s="11">
        <f t="shared" si="691"/>
        <v>65</v>
      </c>
      <c r="M920" s="69">
        <v>45576</v>
      </c>
      <c r="N920" s="13" t="s">
        <v>6</v>
      </c>
      <c r="O920" s="43"/>
      <c r="P920" s="44"/>
      <c r="Q920" s="45"/>
      <c r="R920" s="46"/>
      <c r="S920" s="58">
        <f>SUM(O920:R920)</f>
        <v>0</v>
      </c>
      <c r="T920" s="35"/>
      <c r="U920" s="35"/>
      <c r="V920" s="21"/>
      <c r="W920" s="38"/>
      <c r="X920" s="10">
        <f>SUM(T920:W920)</f>
        <v>0</v>
      </c>
      <c r="Y920" s="14">
        <f t="shared" si="694"/>
        <v>0</v>
      </c>
    </row>
    <row r="921" spans="1:29" ht="14.25" thickBot="1" x14ac:dyDescent="0.2">
      <c r="A921" s="18" t="s">
        <v>8</v>
      </c>
      <c r="B921" s="76">
        <f t="shared" ref="B921:K921" si="695">SUM(B916:B920)</f>
        <v>38</v>
      </c>
      <c r="C921" s="77">
        <f t="shared" si="695"/>
        <v>53</v>
      </c>
      <c r="D921" s="78">
        <f t="shared" si="695"/>
        <v>48</v>
      </c>
      <c r="E921" s="79">
        <f t="shared" si="695"/>
        <v>38</v>
      </c>
      <c r="F921" s="80">
        <f t="shared" si="695"/>
        <v>177</v>
      </c>
      <c r="G921" s="76">
        <f t="shared" si="695"/>
        <v>49</v>
      </c>
      <c r="H921" s="77">
        <f t="shared" si="695"/>
        <v>64</v>
      </c>
      <c r="I921" s="78">
        <f t="shared" si="695"/>
        <v>54</v>
      </c>
      <c r="J921" s="79">
        <f t="shared" si="695"/>
        <v>33</v>
      </c>
      <c r="K921" s="80">
        <f t="shared" si="695"/>
        <v>200</v>
      </c>
      <c r="L921" s="17">
        <f t="shared" si="691"/>
        <v>377</v>
      </c>
      <c r="N921" s="16" t="s">
        <v>8</v>
      </c>
      <c r="O921" s="31">
        <f>SUM(O916:O920)</f>
        <v>460</v>
      </c>
      <c r="P921" s="37">
        <f t="shared" ref="P921" si="696">SUM(P916:P920)</f>
        <v>624</v>
      </c>
      <c r="Q921" s="32">
        <f t="shared" ref="Q921" si="697">SUM(Q916:Q920)</f>
        <v>356</v>
      </c>
      <c r="R921" s="82">
        <f t="shared" ref="R921" si="698">SUM(R916:R920)</f>
        <v>337</v>
      </c>
      <c r="S921" s="83">
        <f>SUM(S916:S920)</f>
        <v>1777</v>
      </c>
      <c r="T921" s="31">
        <f>SUM(T916:T920)</f>
        <v>349</v>
      </c>
      <c r="U921" s="37">
        <f t="shared" ref="U921" si="699">SUM(U916:U920)</f>
        <v>516</v>
      </c>
      <c r="V921" s="32">
        <f t="shared" ref="V921" si="700">SUM(V916:V920)</f>
        <v>270</v>
      </c>
      <c r="W921" s="82">
        <f t="shared" ref="W921" si="701">SUM(W916:W920)</f>
        <v>277</v>
      </c>
      <c r="X921" s="83">
        <f>SUM(X916:X920)</f>
        <v>1412</v>
      </c>
      <c r="Y921" s="39">
        <f>S921+X921</f>
        <v>3189</v>
      </c>
    </row>
    <row r="922" spans="1:29" x14ac:dyDescent="0.15">
      <c r="A922" s="59" t="s">
        <v>27</v>
      </c>
      <c r="B922" s="20">
        <v>1</v>
      </c>
      <c r="C922" s="35">
        <v>3</v>
      </c>
      <c r="D922" s="21">
        <v>2</v>
      </c>
      <c r="E922" s="24"/>
      <c r="F922" s="25">
        <f t="shared" ref="F922:F946" si="702">SUM(B922:E922)</f>
        <v>6</v>
      </c>
      <c r="G922" s="20">
        <f>1+1</f>
        <v>2</v>
      </c>
      <c r="H922" s="35">
        <v>4</v>
      </c>
      <c r="I922" s="21">
        <v>3</v>
      </c>
      <c r="J922" s="24"/>
      <c r="K922" s="25">
        <f t="shared" ref="K922:K946" si="703">SUM(G922:J922)</f>
        <v>9</v>
      </c>
      <c r="L922" s="11">
        <f t="shared" si="691"/>
        <v>15</v>
      </c>
      <c r="M922" s="71">
        <v>45559</v>
      </c>
      <c r="N922" s="12" t="s">
        <v>553</v>
      </c>
      <c r="O922" s="20">
        <v>5</v>
      </c>
      <c r="P922" s="35"/>
      <c r="Q922" s="21"/>
      <c r="R922" s="38"/>
      <c r="S922" s="9">
        <f t="shared" ref="S922:S934" si="704">SUM(O922:R922)</f>
        <v>5</v>
      </c>
      <c r="T922" s="20"/>
      <c r="U922" s="35"/>
      <c r="V922" s="21"/>
      <c r="W922" s="38"/>
      <c r="X922" s="98">
        <f t="shared" ref="X922:X934" si="705">SUM(T922:W922)</f>
        <v>0</v>
      </c>
      <c r="Y922" s="135">
        <f t="shared" si="694"/>
        <v>5</v>
      </c>
      <c r="Z922" s="69">
        <v>45573</v>
      </c>
    </row>
    <row r="923" spans="1:29" x14ac:dyDescent="0.15">
      <c r="A923" s="59" t="s">
        <v>538</v>
      </c>
      <c r="B923" s="20"/>
      <c r="C923" s="35"/>
      <c r="D923" s="21"/>
      <c r="E923" s="24"/>
      <c r="F923" s="25">
        <f t="shared" si="702"/>
        <v>0</v>
      </c>
      <c r="G923" s="20">
        <v>2</v>
      </c>
      <c r="H923" s="35">
        <v>2</v>
      </c>
      <c r="I923" s="21">
        <v>1</v>
      </c>
      <c r="J923" s="24"/>
      <c r="K923" s="25">
        <f t="shared" si="703"/>
        <v>5</v>
      </c>
      <c r="L923" s="11">
        <f t="shared" si="691"/>
        <v>5</v>
      </c>
      <c r="M923" s="69">
        <v>45560</v>
      </c>
      <c r="N923" s="12" t="s">
        <v>554</v>
      </c>
      <c r="O923" s="20">
        <v>3</v>
      </c>
      <c r="P923" s="35">
        <v>5</v>
      </c>
      <c r="Q923" s="21">
        <v>5</v>
      </c>
      <c r="R923" s="38">
        <v>8</v>
      </c>
      <c r="S923" s="9">
        <f t="shared" si="704"/>
        <v>21</v>
      </c>
      <c r="T923" s="20">
        <v>5</v>
      </c>
      <c r="U923" s="35">
        <v>8</v>
      </c>
      <c r="V923" s="21">
        <v>5</v>
      </c>
      <c r="W923" s="38">
        <v>8</v>
      </c>
      <c r="X923" s="9">
        <f t="shared" si="705"/>
        <v>26</v>
      </c>
      <c r="Y923" s="11">
        <f t="shared" si="694"/>
        <v>47</v>
      </c>
      <c r="Z923" s="69">
        <v>45572</v>
      </c>
      <c r="AA923" s="41"/>
    </row>
    <row r="924" spans="1:29" x14ac:dyDescent="0.15">
      <c r="A924" s="59" t="s">
        <v>27</v>
      </c>
      <c r="B924" s="20"/>
      <c r="C924" s="35">
        <v>1</v>
      </c>
      <c r="D924" s="21"/>
      <c r="E924" s="24"/>
      <c r="F924" s="25">
        <f t="shared" si="702"/>
        <v>1</v>
      </c>
      <c r="G924" s="20"/>
      <c r="H924" s="35">
        <v>1</v>
      </c>
      <c r="I924" s="21"/>
      <c r="J924" s="24"/>
      <c r="K924" s="25">
        <f t="shared" si="703"/>
        <v>1</v>
      </c>
      <c r="L924" s="11">
        <f t="shared" si="691"/>
        <v>2</v>
      </c>
      <c r="M924" s="69">
        <v>45560</v>
      </c>
      <c r="N924" s="40" t="s">
        <v>26</v>
      </c>
      <c r="O924" s="20">
        <v>10</v>
      </c>
      <c r="P924" s="35">
        <v>10</v>
      </c>
      <c r="Q924" s="21">
        <v>10</v>
      </c>
      <c r="R924" s="38">
        <v>10</v>
      </c>
      <c r="S924" s="9">
        <f t="shared" si="704"/>
        <v>40</v>
      </c>
      <c r="T924" s="20">
        <v>10</v>
      </c>
      <c r="U924" s="35">
        <v>15</v>
      </c>
      <c r="V924" s="21">
        <v>20</v>
      </c>
      <c r="W924" s="38">
        <v>10</v>
      </c>
      <c r="X924" s="9">
        <f t="shared" si="705"/>
        <v>55</v>
      </c>
      <c r="Y924" s="11">
        <f t="shared" si="694"/>
        <v>95</v>
      </c>
      <c r="Z924" s="69">
        <v>45570</v>
      </c>
    </row>
    <row r="925" spans="1:29" x14ac:dyDescent="0.15">
      <c r="A925" s="59" t="s">
        <v>27</v>
      </c>
      <c r="B925" s="20">
        <v>1</v>
      </c>
      <c r="C925" s="35"/>
      <c r="D925" s="21"/>
      <c r="E925" s="24"/>
      <c r="F925" s="25">
        <f t="shared" si="702"/>
        <v>1</v>
      </c>
      <c r="G925" s="20">
        <v>3</v>
      </c>
      <c r="H925" s="35"/>
      <c r="I925" s="21"/>
      <c r="J925" s="24"/>
      <c r="K925" s="25">
        <f t="shared" si="703"/>
        <v>3</v>
      </c>
      <c r="L925" s="11">
        <f t="shared" si="691"/>
        <v>4</v>
      </c>
      <c r="M925" s="69">
        <v>45561</v>
      </c>
      <c r="N925" s="12" t="s">
        <v>557</v>
      </c>
      <c r="O925" s="20"/>
      <c r="P925" s="35">
        <v>5</v>
      </c>
      <c r="Q925" s="21">
        <v>5</v>
      </c>
      <c r="R925" s="38"/>
      <c r="S925" s="9">
        <f t="shared" si="704"/>
        <v>10</v>
      </c>
      <c r="T925" s="20"/>
      <c r="U925" s="35"/>
      <c r="V925" s="21"/>
      <c r="W925" s="38"/>
      <c r="X925" s="9">
        <f t="shared" si="705"/>
        <v>0</v>
      </c>
      <c r="Y925" s="11">
        <f t="shared" si="694"/>
        <v>10</v>
      </c>
      <c r="Z925" s="69">
        <v>45581</v>
      </c>
    </row>
    <row r="926" spans="1:29" x14ac:dyDescent="0.15">
      <c r="A926" s="59" t="s">
        <v>27</v>
      </c>
      <c r="B926" s="20"/>
      <c r="C926" s="35">
        <v>1</v>
      </c>
      <c r="D926" s="21"/>
      <c r="E926" s="24"/>
      <c r="F926" s="25">
        <f t="shared" si="702"/>
        <v>1</v>
      </c>
      <c r="G926" s="20"/>
      <c r="H926" s="35">
        <v>1</v>
      </c>
      <c r="I926" s="21"/>
      <c r="J926" s="24"/>
      <c r="K926" s="25">
        <f t="shared" si="703"/>
        <v>1</v>
      </c>
      <c r="L926" s="11">
        <f t="shared" si="691"/>
        <v>2</v>
      </c>
      <c r="M926" s="69">
        <v>45565</v>
      </c>
      <c r="N926" s="12" t="s">
        <v>559</v>
      </c>
      <c r="O926" s="20">
        <v>15</v>
      </c>
      <c r="P926" s="35">
        <v>12</v>
      </c>
      <c r="Q926" s="21"/>
      <c r="R926" s="38"/>
      <c r="S926" s="9">
        <f t="shared" si="704"/>
        <v>27</v>
      </c>
      <c r="T926" s="20">
        <v>10</v>
      </c>
      <c r="U926" s="35">
        <v>5</v>
      </c>
      <c r="V926" s="21">
        <v>10</v>
      </c>
      <c r="W926" s="38"/>
      <c r="X926" s="9">
        <f t="shared" si="705"/>
        <v>25</v>
      </c>
      <c r="Y926" s="11">
        <f t="shared" si="694"/>
        <v>52</v>
      </c>
      <c r="Z926" s="69">
        <v>45575</v>
      </c>
    </row>
    <row r="927" spans="1:29" x14ac:dyDescent="0.15">
      <c r="A927" s="59" t="s">
        <v>27</v>
      </c>
      <c r="B927" s="20">
        <v>1</v>
      </c>
      <c r="C927" s="35"/>
      <c r="D927" s="21">
        <f>2+1</f>
        <v>3</v>
      </c>
      <c r="E927" s="24"/>
      <c r="F927" s="25">
        <f t="shared" si="702"/>
        <v>4</v>
      </c>
      <c r="G927" s="20">
        <v>1</v>
      </c>
      <c r="H927" s="35"/>
      <c r="I927" s="21">
        <f>2+1</f>
        <v>3</v>
      </c>
      <c r="J927" s="24"/>
      <c r="K927" s="25">
        <f t="shared" si="703"/>
        <v>4</v>
      </c>
      <c r="L927" s="11">
        <f t="shared" si="691"/>
        <v>8</v>
      </c>
      <c r="M927" s="69">
        <v>45566</v>
      </c>
      <c r="N927" s="40" t="s">
        <v>560</v>
      </c>
      <c r="O927" s="20">
        <v>3</v>
      </c>
      <c r="P927" s="35">
        <v>8</v>
      </c>
      <c r="Q927" s="21">
        <v>5</v>
      </c>
      <c r="R927" s="38">
        <v>5</v>
      </c>
      <c r="S927" s="9">
        <f t="shared" si="704"/>
        <v>21</v>
      </c>
      <c r="T927" s="20">
        <v>3</v>
      </c>
      <c r="U927" s="35">
        <v>8</v>
      </c>
      <c r="V927" s="21">
        <v>5</v>
      </c>
      <c r="W927" s="38">
        <v>5</v>
      </c>
      <c r="X927" s="9">
        <f t="shared" si="705"/>
        <v>21</v>
      </c>
      <c r="Y927" s="11">
        <f t="shared" si="694"/>
        <v>42</v>
      </c>
      <c r="Z927" s="69">
        <v>45576</v>
      </c>
      <c r="AA927" s="41"/>
      <c r="AB927" s="41"/>
    </row>
    <row r="928" spans="1:29" x14ac:dyDescent="0.15">
      <c r="A928" s="59" t="s">
        <v>210</v>
      </c>
      <c r="B928" s="20"/>
      <c r="C928" s="35">
        <v>2</v>
      </c>
      <c r="D928" s="21"/>
      <c r="E928" s="24"/>
      <c r="F928" s="25">
        <f t="shared" si="702"/>
        <v>2</v>
      </c>
      <c r="G928" s="20"/>
      <c r="H928" s="35">
        <v>2</v>
      </c>
      <c r="I928" s="21">
        <v>3</v>
      </c>
      <c r="J928" s="24"/>
      <c r="K928" s="25">
        <f t="shared" si="703"/>
        <v>5</v>
      </c>
      <c r="L928" s="11">
        <f t="shared" si="691"/>
        <v>7</v>
      </c>
      <c r="M928" s="69">
        <v>45568</v>
      </c>
      <c r="N928" s="12" t="s">
        <v>561</v>
      </c>
      <c r="O928" s="20">
        <v>2</v>
      </c>
      <c r="P928" s="35">
        <v>3</v>
      </c>
      <c r="Q928" s="21"/>
      <c r="R928" s="38">
        <v>7</v>
      </c>
      <c r="S928" s="9">
        <f t="shared" si="704"/>
        <v>12</v>
      </c>
      <c r="T928" s="20"/>
      <c r="U928" s="35"/>
      <c r="V928" s="21">
        <v>4</v>
      </c>
      <c r="W928" s="38">
        <v>6</v>
      </c>
      <c r="X928" s="9">
        <f t="shared" si="705"/>
        <v>10</v>
      </c>
      <c r="Y928" s="11">
        <f t="shared" si="694"/>
        <v>22</v>
      </c>
      <c r="Z928" s="69">
        <v>45576</v>
      </c>
      <c r="AA928" s="41"/>
      <c r="AB928" s="41"/>
      <c r="AC928" s="41"/>
    </row>
    <row r="929" spans="1:27" x14ac:dyDescent="0.15">
      <c r="A929" s="59" t="s">
        <v>27</v>
      </c>
      <c r="B929" s="20"/>
      <c r="C929" s="35">
        <v>1</v>
      </c>
      <c r="D929" s="21"/>
      <c r="E929" s="24"/>
      <c r="F929" s="25">
        <f t="shared" si="702"/>
        <v>1</v>
      </c>
      <c r="G929" s="20"/>
      <c r="H929" s="35">
        <v>1</v>
      </c>
      <c r="I929" s="21">
        <v>2</v>
      </c>
      <c r="J929" s="24"/>
      <c r="K929" s="25">
        <f t="shared" si="703"/>
        <v>3</v>
      </c>
      <c r="L929" s="11">
        <f t="shared" si="691"/>
        <v>4</v>
      </c>
      <c r="M929" s="69">
        <v>45567</v>
      </c>
      <c r="N929" s="40" t="s">
        <v>26</v>
      </c>
      <c r="O929" s="48"/>
      <c r="P929" s="49">
        <v>10</v>
      </c>
      <c r="Q929" s="50">
        <v>10</v>
      </c>
      <c r="R929" s="51">
        <v>5</v>
      </c>
      <c r="S929" s="52">
        <f t="shared" si="704"/>
        <v>25</v>
      </c>
      <c r="T929" s="48">
        <v>10</v>
      </c>
      <c r="U929" s="49">
        <v>20</v>
      </c>
      <c r="V929" s="50">
        <v>10</v>
      </c>
      <c r="W929" s="51"/>
      <c r="X929" s="52">
        <f t="shared" si="705"/>
        <v>40</v>
      </c>
      <c r="Y929" s="11">
        <f t="shared" si="694"/>
        <v>65</v>
      </c>
      <c r="Z929" s="69">
        <v>45576</v>
      </c>
      <c r="AA929" s="41"/>
    </row>
    <row r="930" spans="1:27" x14ac:dyDescent="0.15">
      <c r="A930" s="59" t="s">
        <v>555</v>
      </c>
      <c r="B930" s="20"/>
      <c r="C930" s="35"/>
      <c r="D930" s="21">
        <v>1</v>
      </c>
      <c r="E930" s="24"/>
      <c r="F930" s="25">
        <f t="shared" si="702"/>
        <v>1</v>
      </c>
      <c r="G930" s="20"/>
      <c r="H930" s="35"/>
      <c r="I930" s="21">
        <v>1</v>
      </c>
      <c r="J930" s="24"/>
      <c r="K930" s="25">
        <f t="shared" si="703"/>
        <v>1</v>
      </c>
      <c r="L930" s="11">
        <f t="shared" si="691"/>
        <v>2</v>
      </c>
      <c r="M930" s="69">
        <v>45569</v>
      </c>
      <c r="N930" s="40" t="s">
        <v>562</v>
      </c>
      <c r="O930" s="20">
        <v>2</v>
      </c>
      <c r="P930" s="35">
        <v>3</v>
      </c>
      <c r="Q930" s="21">
        <v>5</v>
      </c>
      <c r="R930" s="38">
        <v>2</v>
      </c>
      <c r="S930" s="9">
        <f t="shared" si="704"/>
        <v>12</v>
      </c>
      <c r="T930" s="20">
        <v>2</v>
      </c>
      <c r="U930" s="35">
        <v>3</v>
      </c>
      <c r="V930" s="21">
        <v>5</v>
      </c>
      <c r="W930" s="38">
        <v>2</v>
      </c>
      <c r="X930" s="9">
        <f t="shared" si="705"/>
        <v>12</v>
      </c>
      <c r="Y930" s="11">
        <f t="shared" si="694"/>
        <v>24</v>
      </c>
      <c r="Z930" s="69">
        <v>45580</v>
      </c>
      <c r="AA930" s="41"/>
    </row>
    <row r="931" spans="1:27" x14ac:dyDescent="0.15">
      <c r="A931" s="40" t="s">
        <v>556</v>
      </c>
      <c r="B931" s="20">
        <v>2</v>
      </c>
      <c r="C931" s="35">
        <v>2</v>
      </c>
      <c r="D931" s="21">
        <v>2</v>
      </c>
      <c r="E931" s="24">
        <v>2</v>
      </c>
      <c r="F931" s="25">
        <f t="shared" si="702"/>
        <v>8</v>
      </c>
      <c r="G931" s="20">
        <v>2</v>
      </c>
      <c r="H931" s="35">
        <v>2</v>
      </c>
      <c r="I931" s="21">
        <v>2</v>
      </c>
      <c r="J931" s="24">
        <v>2</v>
      </c>
      <c r="K931" s="25">
        <f t="shared" si="703"/>
        <v>8</v>
      </c>
      <c r="L931" s="11">
        <f t="shared" si="691"/>
        <v>16</v>
      </c>
      <c r="M931" s="69">
        <v>45572</v>
      </c>
      <c r="N931" s="12" t="s">
        <v>563</v>
      </c>
      <c r="O931" s="20">
        <v>8</v>
      </c>
      <c r="P931" s="35"/>
      <c r="Q931" s="21">
        <v>3</v>
      </c>
      <c r="R931" s="38">
        <v>2</v>
      </c>
      <c r="S931" s="9">
        <f t="shared" si="704"/>
        <v>13</v>
      </c>
      <c r="T931" s="20"/>
      <c r="U931" s="35"/>
      <c r="V931" s="21">
        <v>2</v>
      </c>
      <c r="W931" s="38">
        <v>8</v>
      </c>
      <c r="X931" s="9">
        <f t="shared" si="705"/>
        <v>10</v>
      </c>
      <c r="Y931" s="11">
        <f t="shared" si="694"/>
        <v>23</v>
      </c>
      <c r="Z931" s="69">
        <v>45577</v>
      </c>
      <c r="AA931" s="41"/>
    </row>
    <row r="932" spans="1:27" x14ac:dyDescent="0.15">
      <c r="A932" s="59" t="s">
        <v>27</v>
      </c>
      <c r="B932" s="20">
        <v>1</v>
      </c>
      <c r="C932" s="35">
        <v>1</v>
      </c>
      <c r="D932" s="21">
        <v>2</v>
      </c>
      <c r="E932" s="24">
        <v>4</v>
      </c>
      <c r="F932" s="25">
        <f t="shared" si="702"/>
        <v>8</v>
      </c>
      <c r="G932" s="20"/>
      <c r="H932" s="35">
        <v>1</v>
      </c>
      <c r="I932" s="21">
        <v>1</v>
      </c>
      <c r="J932" s="24">
        <v>2</v>
      </c>
      <c r="K932" s="25">
        <f t="shared" si="703"/>
        <v>4</v>
      </c>
      <c r="L932" s="11">
        <f t="shared" si="691"/>
        <v>12</v>
      </c>
      <c r="M932" s="69">
        <v>45570</v>
      </c>
      <c r="N932" s="40" t="s">
        <v>564</v>
      </c>
      <c r="O932" s="20">
        <v>1</v>
      </c>
      <c r="P932" s="35">
        <v>11</v>
      </c>
      <c r="Q932" s="21">
        <v>8</v>
      </c>
      <c r="R932" s="38">
        <v>1</v>
      </c>
      <c r="S932" s="9">
        <f t="shared" si="704"/>
        <v>21</v>
      </c>
      <c r="T932" s="20">
        <v>1</v>
      </c>
      <c r="U932" s="35">
        <v>11</v>
      </c>
      <c r="V932" s="21">
        <v>8</v>
      </c>
      <c r="W932" s="38">
        <v>1</v>
      </c>
      <c r="X932" s="9">
        <f t="shared" si="705"/>
        <v>21</v>
      </c>
      <c r="Y932" s="11">
        <f t="shared" si="694"/>
        <v>42</v>
      </c>
      <c r="Z932" s="69">
        <v>45582</v>
      </c>
      <c r="AA932" s="41"/>
    </row>
    <row r="933" spans="1:27" x14ac:dyDescent="0.15">
      <c r="A933" s="59" t="s">
        <v>27</v>
      </c>
      <c r="B933" s="20">
        <v>4</v>
      </c>
      <c r="C933" s="35">
        <v>3</v>
      </c>
      <c r="D933" s="21"/>
      <c r="E933" s="24"/>
      <c r="F933" s="25">
        <f t="shared" si="702"/>
        <v>7</v>
      </c>
      <c r="G933" s="20">
        <v>6</v>
      </c>
      <c r="H933" s="35">
        <v>6</v>
      </c>
      <c r="I933" s="21"/>
      <c r="J933" s="24"/>
      <c r="K933" s="25">
        <f t="shared" si="703"/>
        <v>12</v>
      </c>
      <c r="L933" s="11">
        <f t="shared" si="691"/>
        <v>19</v>
      </c>
      <c r="M933" s="69">
        <v>45572</v>
      </c>
      <c r="N933" s="40" t="s">
        <v>566</v>
      </c>
      <c r="O933" s="20">
        <v>2</v>
      </c>
      <c r="P933" s="35"/>
      <c r="Q933" s="21"/>
      <c r="R933" s="38"/>
      <c r="S933" s="9">
        <f t="shared" si="704"/>
        <v>2</v>
      </c>
      <c r="T933" s="20">
        <v>2</v>
      </c>
      <c r="U933" s="35"/>
      <c r="V933" s="21"/>
      <c r="W933" s="38"/>
      <c r="X933" s="9">
        <f t="shared" si="705"/>
        <v>2</v>
      </c>
      <c r="Y933" s="11">
        <f t="shared" si="694"/>
        <v>4</v>
      </c>
      <c r="Z933" s="69">
        <v>45583</v>
      </c>
      <c r="AA933" s="41"/>
    </row>
    <row r="934" spans="1:27" x14ac:dyDescent="0.15">
      <c r="A934" s="59" t="s">
        <v>27</v>
      </c>
      <c r="B934" s="20"/>
      <c r="C934" s="35">
        <v>1</v>
      </c>
      <c r="D934" s="21">
        <v>1</v>
      </c>
      <c r="E934" s="24"/>
      <c r="F934" s="25">
        <f t="shared" si="702"/>
        <v>2</v>
      </c>
      <c r="G934" s="20">
        <v>2</v>
      </c>
      <c r="H934" s="35">
        <f>1+1</f>
        <v>2</v>
      </c>
      <c r="I934" s="21">
        <v>1</v>
      </c>
      <c r="J934" s="24"/>
      <c r="K934" s="25">
        <f t="shared" si="703"/>
        <v>5</v>
      </c>
      <c r="L934" s="11">
        <f t="shared" si="691"/>
        <v>7</v>
      </c>
      <c r="M934" s="69">
        <v>45573</v>
      </c>
      <c r="N934" s="40" t="s">
        <v>26</v>
      </c>
      <c r="O934" s="20">
        <v>10</v>
      </c>
      <c r="P934" s="35">
        <v>20</v>
      </c>
      <c r="Q934" s="21">
        <v>10</v>
      </c>
      <c r="R934" s="38">
        <v>5</v>
      </c>
      <c r="S934" s="9">
        <f t="shared" si="704"/>
        <v>45</v>
      </c>
      <c r="T934" s="20">
        <v>10</v>
      </c>
      <c r="U934" s="35">
        <v>15</v>
      </c>
      <c r="V934" s="21">
        <v>10</v>
      </c>
      <c r="W934" s="38">
        <v>10</v>
      </c>
      <c r="X934" s="9">
        <f t="shared" si="705"/>
        <v>45</v>
      </c>
      <c r="Y934" s="11">
        <f t="shared" si="694"/>
        <v>90</v>
      </c>
      <c r="Z934" s="69">
        <v>45584</v>
      </c>
      <c r="AA934" s="41"/>
    </row>
    <row r="935" spans="1:27" x14ac:dyDescent="0.15">
      <c r="A935" s="40" t="s">
        <v>558</v>
      </c>
      <c r="B935" s="20"/>
      <c r="C935" s="35">
        <v>8</v>
      </c>
      <c r="D935" s="21">
        <v>5</v>
      </c>
      <c r="E935" s="24"/>
      <c r="F935" s="25">
        <f t="shared" si="702"/>
        <v>13</v>
      </c>
      <c r="G935" s="20"/>
      <c r="H935" s="35">
        <v>8</v>
      </c>
      <c r="I935" s="21">
        <v>5</v>
      </c>
      <c r="J935" s="24"/>
      <c r="K935" s="25">
        <f t="shared" si="703"/>
        <v>13</v>
      </c>
      <c r="L935" s="11">
        <f t="shared" si="691"/>
        <v>26</v>
      </c>
      <c r="M935" s="69">
        <v>45576</v>
      </c>
      <c r="N935" s="12"/>
      <c r="O935" s="20"/>
      <c r="P935" s="35"/>
      <c r="Q935" s="21"/>
      <c r="R935" s="38"/>
      <c r="S935" s="9">
        <f>SUM(O935:R935)</f>
        <v>0</v>
      </c>
      <c r="T935" s="20"/>
      <c r="U935" s="35"/>
      <c r="V935" s="21"/>
      <c r="W935" s="38"/>
      <c r="X935" s="9">
        <f>SUM(T935:W935)</f>
        <v>0</v>
      </c>
      <c r="Y935" s="11">
        <f t="shared" si="694"/>
        <v>0</v>
      </c>
      <c r="Z935" s="162"/>
      <c r="AA935" s="41"/>
    </row>
    <row r="936" spans="1:27" x14ac:dyDescent="0.15">
      <c r="A936" s="59" t="s">
        <v>27</v>
      </c>
      <c r="B936" s="20"/>
      <c r="C936" s="35"/>
      <c r="D936" s="21"/>
      <c r="E936" s="24"/>
      <c r="F936" s="25">
        <f t="shared" si="702"/>
        <v>0</v>
      </c>
      <c r="G936" s="20"/>
      <c r="H936" s="35">
        <v>1</v>
      </c>
      <c r="I936" s="21">
        <v>1</v>
      </c>
      <c r="J936" s="24"/>
      <c r="K936" s="25">
        <f t="shared" si="703"/>
        <v>2</v>
      </c>
      <c r="L936" s="11">
        <f t="shared" si="691"/>
        <v>2</v>
      </c>
      <c r="M936" s="69">
        <v>45575</v>
      </c>
      <c r="N936" s="40"/>
      <c r="O936" s="20"/>
      <c r="P936" s="35"/>
      <c r="Q936" s="21"/>
      <c r="R936" s="38"/>
      <c r="S936" s="9">
        <f t="shared" ref="S936:S942" si="706">SUM(O936:R936)</f>
        <v>0</v>
      </c>
      <c r="T936" s="20"/>
      <c r="U936" s="35"/>
      <c r="V936" s="21"/>
      <c r="W936" s="38"/>
      <c r="X936" s="9">
        <f t="shared" ref="X936:X942" si="707">SUM(T936:W936)</f>
        <v>0</v>
      </c>
      <c r="Y936" s="11">
        <f t="shared" si="694"/>
        <v>0</v>
      </c>
      <c r="Z936" s="162"/>
      <c r="AA936" s="41"/>
    </row>
    <row r="937" spans="1:27" x14ac:dyDescent="0.15">
      <c r="A937" s="12" t="s">
        <v>431</v>
      </c>
      <c r="B937" s="20"/>
      <c r="C937" s="35">
        <v>1</v>
      </c>
      <c r="D937" s="21"/>
      <c r="E937" s="24"/>
      <c r="F937" s="25">
        <f t="shared" si="702"/>
        <v>1</v>
      </c>
      <c r="G937" s="20"/>
      <c r="H937" s="35">
        <v>1</v>
      </c>
      <c r="I937" s="21"/>
      <c r="J937" s="24"/>
      <c r="K937" s="25">
        <f t="shared" si="703"/>
        <v>1</v>
      </c>
      <c r="L937" s="11">
        <f t="shared" si="691"/>
        <v>2</v>
      </c>
      <c r="M937" s="69">
        <v>45580</v>
      </c>
      <c r="N937" s="15"/>
      <c r="O937" s="20"/>
      <c r="P937" s="35"/>
      <c r="Q937" s="21"/>
      <c r="R937" s="38"/>
      <c r="S937" s="9">
        <f t="shared" si="706"/>
        <v>0</v>
      </c>
      <c r="T937" s="20"/>
      <c r="U937" s="35"/>
      <c r="V937" s="21"/>
      <c r="W937" s="38"/>
      <c r="X937" s="9">
        <f t="shared" si="707"/>
        <v>0</v>
      </c>
      <c r="Y937" s="11">
        <f t="shared" si="694"/>
        <v>0</v>
      </c>
    </row>
    <row r="938" spans="1:27" x14ac:dyDescent="0.15">
      <c r="A938" s="59" t="s">
        <v>27</v>
      </c>
      <c r="B938" s="20"/>
      <c r="C938" s="35"/>
      <c r="D938" s="21"/>
      <c r="E938" s="24">
        <v>2</v>
      </c>
      <c r="F938" s="25">
        <f t="shared" si="702"/>
        <v>2</v>
      </c>
      <c r="G938" s="20"/>
      <c r="H938" s="35"/>
      <c r="I938" s="21"/>
      <c r="J938" s="24"/>
      <c r="K938" s="25">
        <f t="shared" si="703"/>
        <v>0</v>
      </c>
      <c r="L938" s="11">
        <f t="shared" si="691"/>
        <v>2</v>
      </c>
      <c r="M938" s="69">
        <v>45575</v>
      </c>
      <c r="N938" s="40"/>
      <c r="O938" s="20"/>
      <c r="P938" s="35"/>
      <c r="Q938" s="21"/>
      <c r="R938" s="38"/>
      <c r="S938" s="9">
        <f t="shared" si="706"/>
        <v>0</v>
      </c>
      <c r="T938" s="20"/>
      <c r="U938" s="35"/>
      <c r="V938" s="21"/>
      <c r="W938" s="38"/>
      <c r="X938" s="9">
        <f t="shared" si="707"/>
        <v>0</v>
      </c>
      <c r="Y938" s="11">
        <f t="shared" si="694"/>
        <v>0</v>
      </c>
    </row>
    <row r="939" spans="1:27" x14ac:dyDescent="0.15">
      <c r="A939" s="59" t="s">
        <v>210</v>
      </c>
      <c r="B939" s="20"/>
      <c r="C939" s="35">
        <v>2</v>
      </c>
      <c r="D939" s="21">
        <v>2</v>
      </c>
      <c r="E939" s="24"/>
      <c r="F939" s="25">
        <f t="shared" si="702"/>
        <v>4</v>
      </c>
      <c r="G939" s="20">
        <v>1</v>
      </c>
      <c r="H939" s="35">
        <v>2</v>
      </c>
      <c r="I939" s="21">
        <v>2</v>
      </c>
      <c r="J939" s="24"/>
      <c r="K939" s="25">
        <f t="shared" si="703"/>
        <v>5</v>
      </c>
      <c r="L939" s="11">
        <f t="shared" si="691"/>
        <v>9</v>
      </c>
      <c r="M939" s="69">
        <v>45576</v>
      </c>
      <c r="N939" s="40"/>
      <c r="O939" s="48"/>
      <c r="P939" s="49"/>
      <c r="Q939" s="50"/>
      <c r="R939" s="72"/>
      <c r="S939" s="74">
        <f t="shared" si="706"/>
        <v>0</v>
      </c>
      <c r="T939" s="48"/>
      <c r="U939" s="49"/>
      <c r="V939" s="50"/>
      <c r="W939" s="72"/>
      <c r="X939" s="74">
        <f t="shared" si="707"/>
        <v>0</v>
      </c>
      <c r="Y939" s="11">
        <f t="shared" si="694"/>
        <v>0</v>
      </c>
    </row>
    <row r="940" spans="1:27" x14ac:dyDescent="0.15">
      <c r="A940" s="59" t="s">
        <v>27</v>
      </c>
      <c r="B940" s="20"/>
      <c r="C940" s="35">
        <v>2</v>
      </c>
      <c r="D940" s="21"/>
      <c r="E940" s="24"/>
      <c r="F940" s="25">
        <f t="shared" si="702"/>
        <v>2</v>
      </c>
      <c r="G940" s="20"/>
      <c r="H940" s="35">
        <v>1</v>
      </c>
      <c r="I940" s="21"/>
      <c r="J940" s="24"/>
      <c r="K940" s="25">
        <f t="shared" si="703"/>
        <v>1</v>
      </c>
      <c r="L940" s="11">
        <f t="shared" si="691"/>
        <v>3</v>
      </c>
      <c r="M940" s="69">
        <v>45576</v>
      </c>
      <c r="N940" s="12"/>
      <c r="O940" s="20"/>
      <c r="P940" s="35"/>
      <c r="Q940" s="21"/>
      <c r="R940" s="38"/>
      <c r="S940" s="9">
        <f t="shared" si="706"/>
        <v>0</v>
      </c>
      <c r="T940" s="20"/>
      <c r="U940" s="35"/>
      <c r="V940" s="21"/>
      <c r="W940" s="38"/>
      <c r="X940" s="9">
        <f t="shared" si="707"/>
        <v>0</v>
      </c>
      <c r="Y940" s="47">
        <f t="shared" si="694"/>
        <v>0</v>
      </c>
    </row>
    <row r="941" spans="1:27" x14ac:dyDescent="0.15">
      <c r="A941" s="12" t="s">
        <v>565</v>
      </c>
      <c r="B941" s="20"/>
      <c r="C941" s="35">
        <v>4</v>
      </c>
      <c r="D941" s="21">
        <v>7</v>
      </c>
      <c r="E941" s="24"/>
      <c r="F941" s="25">
        <f t="shared" si="702"/>
        <v>11</v>
      </c>
      <c r="G941" s="20"/>
      <c r="H941" s="35">
        <v>2</v>
      </c>
      <c r="I941" s="21"/>
      <c r="J941" s="24"/>
      <c r="K941" s="25">
        <f t="shared" si="703"/>
        <v>2</v>
      </c>
      <c r="L941" s="11">
        <f t="shared" si="691"/>
        <v>13</v>
      </c>
      <c r="M941" s="69">
        <v>45581</v>
      </c>
      <c r="N941" s="12"/>
      <c r="O941" s="20"/>
      <c r="P941" s="35"/>
      <c r="Q941" s="21"/>
      <c r="R941" s="38"/>
      <c r="S941" s="9">
        <f t="shared" si="706"/>
        <v>0</v>
      </c>
      <c r="T941" s="20"/>
      <c r="U941" s="35"/>
      <c r="V941" s="21"/>
      <c r="W941" s="38"/>
      <c r="X941" s="9">
        <f t="shared" si="707"/>
        <v>0</v>
      </c>
      <c r="Y941" s="47">
        <f t="shared" si="694"/>
        <v>0</v>
      </c>
    </row>
    <row r="942" spans="1:27" x14ac:dyDescent="0.15">
      <c r="A942" s="59" t="s">
        <v>421</v>
      </c>
      <c r="B942" s="20"/>
      <c r="C942" s="35"/>
      <c r="D942" s="21"/>
      <c r="E942" s="24">
        <v>1</v>
      </c>
      <c r="F942" s="25">
        <f t="shared" si="702"/>
        <v>1</v>
      </c>
      <c r="G942" s="20">
        <v>2</v>
      </c>
      <c r="H942" s="35"/>
      <c r="I942" s="21"/>
      <c r="J942" s="24"/>
      <c r="K942" s="25">
        <f t="shared" si="703"/>
        <v>2</v>
      </c>
      <c r="L942" s="11">
        <f t="shared" si="691"/>
        <v>3</v>
      </c>
      <c r="M942" s="69">
        <v>45581</v>
      </c>
      <c r="N942" s="12"/>
      <c r="O942" s="20"/>
      <c r="P942" s="35"/>
      <c r="Q942" s="21"/>
      <c r="R942" s="38"/>
      <c r="S942" s="9">
        <f t="shared" si="706"/>
        <v>0</v>
      </c>
      <c r="T942" s="20"/>
      <c r="U942" s="35"/>
      <c r="V942" s="21"/>
      <c r="W942" s="38"/>
      <c r="X942" s="9">
        <f t="shared" si="707"/>
        <v>0</v>
      </c>
      <c r="Y942" s="47">
        <f t="shared" si="694"/>
        <v>0</v>
      </c>
    </row>
    <row r="943" spans="1:27" x14ac:dyDescent="0.15">
      <c r="A943" s="59" t="s">
        <v>27</v>
      </c>
      <c r="B943" s="20">
        <v>2</v>
      </c>
      <c r="C943" s="35">
        <f>2+3</f>
        <v>5</v>
      </c>
      <c r="D943" s="21">
        <v>1</v>
      </c>
      <c r="E943" s="24">
        <f>1+1</f>
        <v>2</v>
      </c>
      <c r="F943" s="25">
        <f t="shared" si="702"/>
        <v>10</v>
      </c>
      <c r="G943" s="20">
        <v>1</v>
      </c>
      <c r="H943" s="35">
        <v>4</v>
      </c>
      <c r="I943" s="21">
        <v>1</v>
      </c>
      <c r="J943" s="24">
        <v>1</v>
      </c>
      <c r="K943" s="25">
        <f t="shared" si="703"/>
        <v>7</v>
      </c>
      <c r="L943" s="11">
        <f t="shared" si="691"/>
        <v>17</v>
      </c>
      <c r="M943" s="69">
        <v>45580</v>
      </c>
      <c r="N943" s="12"/>
      <c r="O943" s="20"/>
      <c r="P943" s="35"/>
      <c r="Q943" s="21"/>
      <c r="R943" s="38"/>
      <c r="S943" s="9">
        <f t="shared" ref="S943:S946" si="708">SUM(O943:R943)</f>
        <v>0</v>
      </c>
      <c r="T943" s="20"/>
      <c r="U943" s="35"/>
      <c r="V943" s="21"/>
      <c r="W943" s="38"/>
      <c r="X943" s="9">
        <f t="shared" ref="X943:X946" si="709">SUM(T943:W943)</f>
        <v>0</v>
      </c>
      <c r="Y943" s="47">
        <f t="shared" ref="Y943:Y946" si="710">S943+X943</f>
        <v>0</v>
      </c>
    </row>
    <row r="944" spans="1:27" x14ac:dyDescent="0.15">
      <c r="A944" s="12" t="s">
        <v>567</v>
      </c>
      <c r="B944" s="20"/>
      <c r="C944" s="35"/>
      <c r="D944" s="21"/>
      <c r="E944" s="24"/>
      <c r="F944" s="25">
        <f t="shared" si="702"/>
        <v>0</v>
      </c>
      <c r="G944" s="20"/>
      <c r="H944" s="35"/>
      <c r="I944" s="21">
        <v>3</v>
      </c>
      <c r="J944" s="24"/>
      <c r="K944" s="25">
        <f t="shared" si="703"/>
        <v>3</v>
      </c>
      <c r="L944" s="11">
        <f t="shared" si="691"/>
        <v>3</v>
      </c>
      <c r="M944" s="69">
        <v>45582</v>
      </c>
      <c r="N944" s="12" t="s">
        <v>524</v>
      </c>
      <c r="O944" s="20"/>
      <c r="P944" s="35"/>
      <c r="Q944" s="21"/>
      <c r="R944" s="38"/>
      <c r="S944" s="9">
        <f t="shared" si="708"/>
        <v>0</v>
      </c>
      <c r="T944" s="20"/>
      <c r="U944" s="35"/>
      <c r="V944" s="21"/>
      <c r="W944" s="38"/>
      <c r="X944" s="9">
        <f t="shared" si="709"/>
        <v>0</v>
      </c>
      <c r="Y944" s="47">
        <f t="shared" si="710"/>
        <v>0</v>
      </c>
      <c r="Z944" s="162" t="s">
        <v>525</v>
      </c>
    </row>
    <row r="945" spans="1:26" x14ac:dyDescent="0.15">
      <c r="A945" s="59" t="s">
        <v>27</v>
      </c>
      <c r="B945" s="20">
        <f>1+2+1</f>
        <v>4</v>
      </c>
      <c r="C945" s="35">
        <f>1-1</f>
        <v>0</v>
      </c>
      <c r="D945" s="21">
        <f>1+1</f>
        <v>2</v>
      </c>
      <c r="E945" s="24"/>
      <c r="F945" s="25">
        <f t="shared" si="702"/>
        <v>6</v>
      </c>
      <c r="G945" s="20">
        <f>1+2</f>
        <v>3</v>
      </c>
      <c r="H945" s="35">
        <f>2+1</f>
        <v>3</v>
      </c>
      <c r="I945" s="21">
        <f>1+1</f>
        <v>2</v>
      </c>
      <c r="J945" s="24">
        <v>4</v>
      </c>
      <c r="K945" s="25">
        <f t="shared" si="703"/>
        <v>12</v>
      </c>
      <c r="L945" s="11">
        <f t="shared" si="691"/>
        <v>18</v>
      </c>
      <c r="M945" s="69">
        <v>45581</v>
      </c>
      <c r="N945" s="104" t="s">
        <v>548</v>
      </c>
      <c r="O945" s="154"/>
      <c r="P945" s="156"/>
      <c r="Q945" s="155"/>
      <c r="R945" s="159"/>
      <c r="S945" s="158">
        <f t="shared" si="708"/>
        <v>0</v>
      </c>
      <c r="T945" s="154"/>
      <c r="U945" s="156"/>
      <c r="V945" s="155"/>
      <c r="W945" s="159"/>
      <c r="X945" s="142">
        <f t="shared" si="709"/>
        <v>0</v>
      </c>
      <c r="Y945" s="160">
        <f t="shared" si="710"/>
        <v>0</v>
      </c>
      <c r="Z945" s="162"/>
    </row>
    <row r="946" spans="1:26" ht="14.25" thickBot="1" x14ac:dyDescent="0.2">
      <c r="A946" s="15" t="s">
        <v>210</v>
      </c>
      <c r="B946" s="43">
        <v>1</v>
      </c>
      <c r="C946" s="44">
        <v>2</v>
      </c>
      <c r="D946" s="45"/>
      <c r="E946" s="46">
        <v>2</v>
      </c>
      <c r="F946" s="25">
        <f t="shared" si="702"/>
        <v>5</v>
      </c>
      <c r="G946" s="43">
        <v>1</v>
      </c>
      <c r="H946" s="44">
        <v>2</v>
      </c>
      <c r="I946" s="45"/>
      <c r="J946" s="46">
        <v>2</v>
      </c>
      <c r="K946" s="25">
        <f t="shared" si="703"/>
        <v>5</v>
      </c>
      <c r="L946" s="14">
        <f t="shared" si="691"/>
        <v>10</v>
      </c>
      <c r="M946" s="69">
        <v>45582</v>
      </c>
      <c r="N946" s="99" t="s">
        <v>549</v>
      </c>
      <c r="O946" s="43"/>
      <c r="P946" s="44"/>
      <c r="Q946" s="45"/>
      <c r="R946" s="100"/>
      <c r="S946" s="10">
        <f t="shared" si="708"/>
        <v>0</v>
      </c>
      <c r="T946" s="43"/>
      <c r="U946" s="44"/>
      <c r="V946" s="45"/>
      <c r="W946" s="100"/>
      <c r="X946" s="10">
        <f t="shared" si="709"/>
        <v>0</v>
      </c>
      <c r="Y946" s="75">
        <f t="shared" si="710"/>
        <v>0</v>
      </c>
      <c r="Z946" s="162" t="s">
        <v>522</v>
      </c>
    </row>
    <row r="947" spans="1:26" ht="14.25" thickBot="1" x14ac:dyDescent="0.2">
      <c r="A947" s="16" t="s">
        <v>9</v>
      </c>
      <c r="B947" s="28">
        <f>SUM(B922:B946)</f>
        <v>17</v>
      </c>
      <c r="C947" s="36">
        <f>SUM(C922:C946)</f>
        <v>39</v>
      </c>
      <c r="D947" s="29">
        <f>SUM(D922:D946)</f>
        <v>28</v>
      </c>
      <c r="E947" s="30">
        <f>SUM(E922:E946)</f>
        <v>13</v>
      </c>
      <c r="F947" s="26">
        <f>SUM(B947:E947)</f>
        <v>97</v>
      </c>
      <c r="G947" s="28">
        <f>SUM(G922:G946)</f>
        <v>26</v>
      </c>
      <c r="H947" s="36">
        <f>SUM(H922:H946)</f>
        <v>46</v>
      </c>
      <c r="I947" s="29">
        <f>SUM(I922:I946)</f>
        <v>31</v>
      </c>
      <c r="J947" s="30">
        <f>SUM(J922:J946)</f>
        <v>11</v>
      </c>
      <c r="K947" s="26">
        <f>SUM(G947:J947)</f>
        <v>114</v>
      </c>
      <c r="L947" s="27">
        <f t="shared" si="691"/>
        <v>211</v>
      </c>
      <c r="N947" s="61" t="s">
        <v>9</v>
      </c>
      <c r="O947" s="28">
        <f>SUM(O922:O946)</f>
        <v>61</v>
      </c>
      <c r="P947" s="36">
        <f t="shared" ref="P947" si="711">SUM(P922:P946)</f>
        <v>87</v>
      </c>
      <c r="Q947" s="29">
        <f t="shared" ref="Q947" si="712">SUM(Q922:Q946)</f>
        <v>61</v>
      </c>
      <c r="R947" s="30">
        <f t="shared" ref="R947" si="713">SUM(R922:R946)</f>
        <v>45</v>
      </c>
      <c r="S947" s="60">
        <f>SUM(O947:R947)</f>
        <v>254</v>
      </c>
      <c r="T947" s="28">
        <f>SUM(T922:T946)</f>
        <v>53</v>
      </c>
      <c r="U947" s="36">
        <f t="shared" ref="U947" si="714">SUM(U922:U946)</f>
        <v>85</v>
      </c>
      <c r="V947" s="29">
        <f t="shared" ref="V947" si="715">SUM(V922:V946)</f>
        <v>79</v>
      </c>
      <c r="W947" s="30">
        <f t="shared" ref="W947" si="716">SUM(W922:W946)</f>
        <v>50</v>
      </c>
      <c r="X947" s="60">
        <f>SUM(T947:W947)</f>
        <v>267</v>
      </c>
      <c r="Y947" s="63">
        <f>S947+X947</f>
        <v>521</v>
      </c>
    </row>
    <row r="948" spans="1:26" ht="14.25" thickBot="1" x14ac:dyDescent="0.2">
      <c r="A948" s="18" t="s">
        <v>10</v>
      </c>
      <c r="B948" s="31">
        <f t="shared" ref="B948:K948" si="717">B921-B947</f>
        <v>21</v>
      </c>
      <c r="C948" s="37">
        <f t="shared" si="717"/>
        <v>14</v>
      </c>
      <c r="D948" s="32">
        <f t="shared" si="717"/>
        <v>20</v>
      </c>
      <c r="E948" s="33">
        <f t="shared" si="717"/>
        <v>25</v>
      </c>
      <c r="F948" s="42">
        <f t="shared" si="717"/>
        <v>80</v>
      </c>
      <c r="G948" s="31">
        <f t="shared" si="717"/>
        <v>23</v>
      </c>
      <c r="H948" s="37">
        <f t="shared" si="717"/>
        <v>18</v>
      </c>
      <c r="I948" s="32">
        <f t="shared" si="717"/>
        <v>23</v>
      </c>
      <c r="J948" s="33">
        <f t="shared" si="717"/>
        <v>22</v>
      </c>
      <c r="K948" s="42">
        <f t="shared" si="717"/>
        <v>86</v>
      </c>
      <c r="L948" s="17">
        <f t="shared" si="691"/>
        <v>166</v>
      </c>
      <c r="N948" s="16" t="s">
        <v>10</v>
      </c>
      <c r="O948" s="31">
        <f>O921-O947</f>
        <v>399</v>
      </c>
      <c r="P948" s="37">
        <f t="shared" ref="P948" si="718">P921-P947</f>
        <v>537</v>
      </c>
      <c r="Q948" s="32">
        <f t="shared" ref="Q948" si="719">Q921-Q947</f>
        <v>295</v>
      </c>
      <c r="R948" s="33">
        <f t="shared" ref="R948" si="720">R921-R947</f>
        <v>292</v>
      </c>
      <c r="S948" s="42">
        <f>S921-S947</f>
        <v>1523</v>
      </c>
      <c r="T948" s="31">
        <f>T921-T947</f>
        <v>296</v>
      </c>
      <c r="U948" s="37">
        <f t="shared" ref="U948" si="721">U921-U947</f>
        <v>431</v>
      </c>
      <c r="V948" s="32">
        <f t="shared" ref="V948" si="722">V921-V947</f>
        <v>191</v>
      </c>
      <c r="W948" s="33">
        <f t="shared" ref="W948" si="723">W921-W947</f>
        <v>227</v>
      </c>
      <c r="X948" s="42">
        <f>X921-X947</f>
        <v>1145</v>
      </c>
      <c r="Y948" s="17">
        <f>S948+X948</f>
        <v>2668</v>
      </c>
    </row>
    <row r="951" spans="1:26" ht="19.5" thickBot="1" x14ac:dyDescent="0.25">
      <c r="A951" s="2" t="s">
        <v>17</v>
      </c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N951" s="2" t="s">
        <v>18</v>
      </c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1"/>
    </row>
    <row r="952" spans="1:26" ht="14.25" thickBot="1" x14ac:dyDescent="0.2">
      <c r="A952" s="5" t="s">
        <v>0</v>
      </c>
      <c r="B952" s="244" t="s">
        <v>19</v>
      </c>
      <c r="C952" s="245"/>
      <c r="D952" s="245"/>
      <c r="E952" s="245"/>
      <c r="F952" s="246"/>
      <c r="G952" s="247" t="s">
        <v>20</v>
      </c>
      <c r="H952" s="248"/>
      <c r="I952" s="248"/>
      <c r="J952" s="248"/>
      <c r="K952" s="249"/>
      <c r="L952" s="250" t="s">
        <v>1</v>
      </c>
      <c r="N952" s="5" t="s">
        <v>0</v>
      </c>
      <c r="O952" s="244" t="s">
        <v>19</v>
      </c>
      <c r="P952" s="245"/>
      <c r="Q952" s="245"/>
      <c r="R952" s="245"/>
      <c r="S952" s="246"/>
      <c r="T952" s="247" t="s">
        <v>20</v>
      </c>
      <c r="U952" s="248"/>
      <c r="V952" s="248"/>
      <c r="W952" s="248"/>
      <c r="X952" s="249"/>
      <c r="Y952" s="250" t="s">
        <v>1</v>
      </c>
    </row>
    <row r="953" spans="1:26" ht="14.25" thickBot="1" x14ac:dyDescent="0.2">
      <c r="A953" s="5" t="s">
        <v>2</v>
      </c>
      <c r="B953" s="3" t="s">
        <v>11</v>
      </c>
      <c r="C953" s="34" t="s">
        <v>12</v>
      </c>
      <c r="D953" s="4" t="s">
        <v>13</v>
      </c>
      <c r="E953" s="19" t="s">
        <v>14</v>
      </c>
      <c r="F953" s="23" t="s">
        <v>3</v>
      </c>
      <c r="G953" s="3" t="s">
        <v>11</v>
      </c>
      <c r="H953" s="34" t="s">
        <v>12</v>
      </c>
      <c r="I953" s="4" t="s">
        <v>13</v>
      </c>
      <c r="J953" s="19" t="s">
        <v>14</v>
      </c>
      <c r="K953" s="23" t="s">
        <v>3</v>
      </c>
      <c r="L953" s="251"/>
      <c r="N953" s="5" t="s">
        <v>2</v>
      </c>
      <c r="O953" s="53" t="s">
        <v>11</v>
      </c>
      <c r="P953" s="54" t="s">
        <v>12</v>
      </c>
      <c r="Q953" s="55" t="s">
        <v>13</v>
      </c>
      <c r="R953" s="56" t="s">
        <v>14</v>
      </c>
      <c r="S953" s="23" t="s">
        <v>3</v>
      </c>
      <c r="T953" s="3" t="s">
        <v>11</v>
      </c>
      <c r="U953" s="34" t="s">
        <v>12</v>
      </c>
      <c r="V953" s="4" t="s">
        <v>13</v>
      </c>
      <c r="W953" s="19" t="s">
        <v>14</v>
      </c>
      <c r="X953" s="23" t="s">
        <v>3</v>
      </c>
      <c r="Y953" s="251"/>
    </row>
    <row r="954" spans="1:26" ht="14.25" thickBot="1" x14ac:dyDescent="0.2">
      <c r="A954" s="18" t="s">
        <v>15</v>
      </c>
      <c r="B954" s="31">
        <f>B948</f>
        <v>21</v>
      </c>
      <c r="C954" s="32">
        <f>C948</f>
        <v>14</v>
      </c>
      <c r="D954" s="32">
        <f>D948</f>
        <v>20</v>
      </c>
      <c r="E954" s="33">
        <f>E948</f>
        <v>25</v>
      </c>
      <c r="F954" s="86">
        <f>SUM(B954:E954)</f>
        <v>80</v>
      </c>
      <c r="G954" s="31">
        <f>G948</f>
        <v>23</v>
      </c>
      <c r="H954" s="32">
        <f>H948</f>
        <v>18</v>
      </c>
      <c r="I954" s="32">
        <f>I948</f>
        <v>23</v>
      </c>
      <c r="J954" s="33">
        <f>J948</f>
        <v>22</v>
      </c>
      <c r="K954" s="80">
        <f>SUM(G954:J954)</f>
        <v>86</v>
      </c>
      <c r="L954" s="17">
        <f>F954+K954</f>
        <v>166</v>
      </c>
      <c r="N954" s="18" t="s">
        <v>15</v>
      </c>
      <c r="O954" s="31">
        <f>O948</f>
        <v>399</v>
      </c>
      <c r="P954" s="32">
        <f t="shared" ref="P954:Y954" si="724">P948</f>
        <v>537</v>
      </c>
      <c r="Q954" s="32">
        <f t="shared" si="724"/>
        <v>295</v>
      </c>
      <c r="R954" s="33">
        <f t="shared" si="724"/>
        <v>292</v>
      </c>
      <c r="S954" s="86">
        <f t="shared" si="724"/>
        <v>1523</v>
      </c>
      <c r="T954" s="31">
        <f t="shared" si="724"/>
        <v>296</v>
      </c>
      <c r="U954" s="32">
        <f t="shared" si="724"/>
        <v>431</v>
      </c>
      <c r="V954" s="32">
        <f t="shared" si="724"/>
        <v>191</v>
      </c>
      <c r="W954" s="33">
        <f t="shared" si="724"/>
        <v>227</v>
      </c>
      <c r="X954" s="80">
        <f t="shared" si="724"/>
        <v>1145</v>
      </c>
      <c r="Y954" s="17">
        <f t="shared" si="724"/>
        <v>2668</v>
      </c>
    </row>
    <row r="955" spans="1:26" x14ac:dyDescent="0.15">
      <c r="A955" s="13" t="s">
        <v>4</v>
      </c>
      <c r="B955" s="20">
        <v>10</v>
      </c>
      <c r="C955" s="35">
        <v>20</v>
      </c>
      <c r="D955" s="21">
        <v>10</v>
      </c>
      <c r="E955" s="24">
        <v>5</v>
      </c>
      <c r="F955" s="25">
        <f t="shared" ref="F955:F958" si="725">SUM(B955:E955)</f>
        <v>45</v>
      </c>
      <c r="G955" s="20">
        <v>10</v>
      </c>
      <c r="H955" s="35">
        <v>15</v>
      </c>
      <c r="I955" s="21">
        <v>10</v>
      </c>
      <c r="J955" s="24">
        <v>10</v>
      </c>
      <c r="K955" s="25">
        <f t="shared" ref="K955:K958" si="726">SUM(G955:J955)</f>
        <v>45</v>
      </c>
      <c r="L955" s="11">
        <f t="shared" ref="L955:L986" si="727">F955+K955</f>
        <v>90</v>
      </c>
      <c r="M955" s="69">
        <v>45584</v>
      </c>
      <c r="N955" s="59" t="s">
        <v>16</v>
      </c>
      <c r="O955" s="48"/>
      <c r="P955" s="49"/>
      <c r="Q955" s="50"/>
      <c r="R955" s="51"/>
      <c r="S955" s="85">
        <f t="shared" ref="S955:S957" si="728">SUM(O955:R955)</f>
        <v>0</v>
      </c>
      <c r="T955" s="48"/>
      <c r="U955" s="49"/>
      <c r="V955" s="50"/>
      <c r="W955" s="51"/>
      <c r="X955" s="74">
        <f t="shared" ref="X955:X957" si="729">SUM(T955:W955)</f>
        <v>0</v>
      </c>
      <c r="Y955" s="11">
        <f t="shared" ref="Y955:Y977" si="730">S955+X955</f>
        <v>0</v>
      </c>
    </row>
    <row r="956" spans="1:26" x14ac:dyDescent="0.15">
      <c r="A956" s="13" t="s">
        <v>72</v>
      </c>
      <c r="B956" s="20"/>
      <c r="C956" s="35">
        <v>1</v>
      </c>
      <c r="D956" s="21"/>
      <c r="E956" s="24"/>
      <c r="F956" s="25">
        <f t="shared" si="725"/>
        <v>1</v>
      </c>
      <c r="G956" s="20"/>
      <c r="H956" s="35">
        <v>1</v>
      </c>
      <c r="I956" s="21"/>
      <c r="J956" s="24"/>
      <c r="K956" s="25">
        <f t="shared" si="726"/>
        <v>1</v>
      </c>
      <c r="L956" s="11">
        <f t="shared" si="727"/>
        <v>2</v>
      </c>
      <c r="M956" s="69">
        <v>45590</v>
      </c>
      <c r="N956" s="59" t="s">
        <v>4</v>
      </c>
      <c r="O956" s="48"/>
      <c r="P956" s="49"/>
      <c r="Q956" s="50"/>
      <c r="R956" s="51"/>
      <c r="S956" s="85">
        <f t="shared" si="728"/>
        <v>0</v>
      </c>
      <c r="T956" s="48"/>
      <c r="U956" s="49"/>
      <c r="V956" s="50"/>
      <c r="W956" s="51"/>
      <c r="X956" s="74">
        <f t="shared" si="729"/>
        <v>0</v>
      </c>
      <c r="Y956" s="11">
        <f t="shared" si="730"/>
        <v>0</v>
      </c>
    </row>
    <row r="957" spans="1:26" x14ac:dyDescent="0.15">
      <c r="A957" s="13" t="s">
        <v>6</v>
      </c>
      <c r="B957" s="20">
        <v>15</v>
      </c>
      <c r="C957" s="35"/>
      <c r="D957" s="21"/>
      <c r="E957" s="24">
        <v>5</v>
      </c>
      <c r="F957" s="25">
        <f t="shared" si="725"/>
        <v>20</v>
      </c>
      <c r="G957" s="20">
        <v>20</v>
      </c>
      <c r="H957" s="35">
        <v>5</v>
      </c>
      <c r="I957" s="21">
        <v>10</v>
      </c>
      <c r="J957" s="24">
        <v>10</v>
      </c>
      <c r="K957" s="25">
        <f t="shared" si="726"/>
        <v>45</v>
      </c>
      <c r="L957" s="11">
        <f t="shared" si="727"/>
        <v>65</v>
      </c>
      <c r="M957" s="69">
        <v>45593</v>
      </c>
      <c r="N957" s="59" t="s">
        <v>5</v>
      </c>
      <c r="O957" s="48"/>
      <c r="P957" s="49"/>
      <c r="Q957" s="50"/>
      <c r="R957" s="51"/>
      <c r="S957" s="85">
        <f t="shared" si="728"/>
        <v>0</v>
      </c>
      <c r="T957" s="48"/>
      <c r="U957" s="49"/>
      <c r="V957" s="50"/>
      <c r="W957" s="51"/>
      <c r="X957" s="74">
        <f t="shared" si="729"/>
        <v>0</v>
      </c>
      <c r="Y957" s="11">
        <f t="shared" si="730"/>
        <v>0</v>
      </c>
    </row>
    <row r="958" spans="1:26" ht="14.25" thickBot="1" x14ac:dyDescent="0.2">
      <c r="A958" s="13" t="s">
        <v>305</v>
      </c>
      <c r="B958" s="48">
        <v>18</v>
      </c>
      <c r="C958" s="49">
        <v>5</v>
      </c>
      <c r="D958" s="50">
        <v>1</v>
      </c>
      <c r="E958" s="51">
        <v>3</v>
      </c>
      <c r="F958" s="52">
        <f t="shared" si="725"/>
        <v>27</v>
      </c>
      <c r="G958" s="48">
        <v>18</v>
      </c>
      <c r="H958" s="49">
        <v>5</v>
      </c>
      <c r="I958" s="50">
        <v>1</v>
      </c>
      <c r="J958" s="51">
        <v>3</v>
      </c>
      <c r="K958" s="52">
        <f t="shared" si="726"/>
        <v>27</v>
      </c>
      <c r="L958" s="11">
        <f t="shared" si="727"/>
        <v>54</v>
      </c>
      <c r="M958" s="71">
        <v>45597</v>
      </c>
      <c r="N958" s="13" t="s">
        <v>6</v>
      </c>
      <c r="O958" s="43"/>
      <c r="P958" s="44"/>
      <c r="Q958" s="45"/>
      <c r="R958" s="46"/>
      <c r="S958" s="58">
        <f>SUM(O958:R958)</f>
        <v>0</v>
      </c>
      <c r="T958" s="35"/>
      <c r="U958" s="35"/>
      <c r="V958" s="21"/>
      <c r="W958" s="38"/>
      <c r="X958" s="10">
        <f>SUM(T958:W958)</f>
        <v>0</v>
      </c>
      <c r="Y958" s="14">
        <f t="shared" si="730"/>
        <v>0</v>
      </c>
    </row>
    <row r="959" spans="1:26" ht="14.25" thickBot="1" x14ac:dyDescent="0.2">
      <c r="A959" s="18" t="s">
        <v>8</v>
      </c>
      <c r="B959" s="76">
        <f t="shared" ref="B959:K959" si="731">SUM(B954:B958)</f>
        <v>64</v>
      </c>
      <c r="C959" s="77">
        <f t="shared" si="731"/>
        <v>40</v>
      </c>
      <c r="D959" s="78">
        <f t="shared" si="731"/>
        <v>31</v>
      </c>
      <c r="E959" s="79">
        <f t="shared" si="731"/>
        <v>38</v>
      </c>
      <c r="F959" s="80">
        <f t="shared" si="731"/>
        <v>173</v>
      </c>
      <c r="G959" s="76">
        <f t="shared" si="731"/>
        <v>71</v>
      </c>
      <c r="H959" s="77">
        <f t="shared" si="731"/>
        <v>44</v>
      </c>
      <c r="I959" s="78">
        <f t="shared" si="731"/>
        <v>44</v>
      </c>
      <c r="J959" s="79">
        <f t="shared" si="731"/>
        <v>45</v>
      </c>
      <c r="K959" s="80">
        <f t="shared" si="731"/>
        <v>204</v>
      </c>
      <c r="L959" s="17">
        <f t="shared" si="727"/>
        <v>377</v>
      </c>
      <c r="N959" s="16" t="s">
        <v>8</v>
      </c>
      <c r="O959" s="31">
        <f>SUM(O954:O958)</f>
        <v>399</v>
      </c>
      <c r="P959" s="37">
        <f t="shared" ref="P959" si="732">SUM(P954:P958)</f>
        <v>537</v>
      </c>
      <c r="Q959" s="32">
        <f t="shared" ref="Q959" si="733">SUM(Q954:Q958)</f>
        <v>295</v>
      </c>
      <c r="R959" s="82">
        <f t="shared" ref="R959" si="734">SUM(R954:R958)</f>
        <v>292</v>
      </c>
      <c r="S959" s="83">
        <f>SUM(S954:S958)</f>
        <v>1523</v>
      </c>
      <c r="T959" s="31">
        <f>SUM(T954:T958)</f>
        <v>296</v>
      </c>
      <c r="U959" s="37">
        <f t="shared" ref="U959" si="735">SUM(U954:U958)</f>
        <v>431</v>
      </c>
      <c r="V959" s="32">
        <f t="shared" ref="V959" si="736">SUM(V954:V958)</f>
        <v>191</v>
      </c>
      <c r="W959" s="82">
        <f t="shared" ref="W959" si="737">SUM(W954:W958)</f>
        <v>227</v>
      </c>
      <c r="X959" s="83">
        <f>SUM(X954:X958)</f>
        <v>1145</v>
      </c>
      <c r="Y959" s="39">
        <f>S959+X959</f>
        <v>2668</v>
      </c>
    </row>
    <row r="960" spans="1:26" x14ac:dyDescent="0.15">
      <c r="A960" s="40" t="s">
        <v>568</v>
      </c>
      <c r="B960" s="20">
        <v>1</v>
      </c>
      <c r="C960" s="35"/>
      <c r="D960" s="21"/>
      <c r="E960" s="24"/>
      <c r="F960" s="25">
        <f t="shared" ref="F960:F984" si="738">SUM(B960:E960)</f>
        <v>1</v>
      </c>
      <c r="G960" s="20">
        <v>1</v>
      </c>
      <c r="H960" s="35"/>
      <c r="I960" s="21"/>
      <c r="J960" s="24"/>
      <c r="K960" s="25">
        <f t="shared" ref="K960:K984" si="739">SUM(G960:J960)</f>
        <v>1</v>
      </c>
      <c r="L960" s="11">
        <f t="shared" si="727"/>
        <v>2</v>
      </c>
      <c r="M960" s="69">
        <v>45583</v>
      </c>
      <c r="N960" s="40" t="s">
        <v>571</v>
      </c>
      <c r="O960" s="20">
        <v>2</v>
      </c>
      <c r="P960" s="35">
        <v>3</v>
      </c>
      <c r="Q960" s="21">
        <v>3</v>
      </c>
      <c r="R960" s="38">
        <v>2</v>
      </c>
      <c r="S960" s="9">
        <f t="shared" ref="S960:S972" si="740">SUM(O960:R960)</f>
        <v>10</v>
      </c>
      <c r="T960" s="20">
        <v>2</v>
      </c>
      <c r="U960" s="35">
        <v>3</v>
      </c>
      <c r="V960" s="21">
        <v>3</v>
      </c>
      <c r="W960" s="24">
        <v>2</v>
      </c>
      <c r="X960" s="25">
        <f t="shared" ref="X960:X972" si="741">SUM(T960:W960)</f>
        <v>10</v>
      </c>
      <c r="Y960" s="11">
        <f t="shared" si="730"/>
        <v>20</v>
      </c>
      <c r="Z960" s="69">
        <v>45588</v>
      </c>
    </row>
    <row r="961" spans="1:26" x14ac:dyDescent="0.15">
      <c r="A961" s="59" t="s">
        <v>27</v>
      </c>
      <c r="B961" s="20"/>
      <c r="C961" s="35"/>
      <c r="D961" s="21"/>
      <c r="E961" s="24"/>
      <c r="F961" s="25">
        <f t="shared" si="738"/>
        <v>0</v>
      </c>
      <c r="G961" s="20">
        <v>1</v>
      </c>
      <c r="H961" s="35">
        <v>3</v>
      </c>
      <c r="I961" s="21"/>
      <c r="J961" s="24"/>
      <c r="K961" s="25">
        <f t="shared" si="739"/>
        <v>4</v>
      </c>
      <c r="L961" s="11">
        <f t="shared" si="727"/>
        <v>4</v>
      </c>
      <c r="M961" s="69">
        <v>45582</v>
      </c>
      <c r="N961" s="40" t="s">
        <v>573</v>
      </c>
      <c r="O961" s="20">
        <v>3</v>
      </c>
      <c r="P961" s="35">
        <v>3</v>
      </c>
      <c r="Q961" s="21">
        <v>5</v>
      </c>
      <c r="R961" s="38">
        <v>1</v>
      </c>
      <c r="S961" s="9">
        <f t="shared" si="740"/>
        <v>12</v>
      </c>
      <c r="T961" s="20">
        <v>3</v>
      </c>
      <c r="U961" s="35">
        <v>3</v>
      </c>
      <c r="V961" s="21">
        <v>5</v>
      </c>
      <c r="W961" s="24">
        <v>1</v>
      </c>
      <c r="X961" s="25">
        <f t="shared" si="741"/>
        <v>12</v>
      </c>
      <c r="Y961" s="11">
        <f t="shared" si="730"/>
        <v>24</v>
      </c>
      <c r="Z961" s="69">
        <v>45589</v>
      </c>
    </row>
    <row r="962" spans="1:26" x14ac:dyDescent="0.15">
      <c r="A962" s="40" t="s">
        <v>569</v>
      </c>
      <c r="B962" s="20">
        <v>4</v>
      </c>
      <c r="C962" s="35">
        <v>2</v>
      </c>
      <c r="D962" s="21"/>
      <c r="E962" s="24"/>
      <c r="F962" s="25">
        <f t="shared" si="738"/>
        <v>6</v>
      </c>
      <c r="G962" s="20">
        <v>4</v>
      </c>
      <c r="H962" s="35">
        <v>2</v>
      </c>
      <c r="I962" s="21"/>
      <c r="J962" s="24"/>
      <c r="K962" s="25">
        <f t="shared" si="739"/>
        <v>6</v>
      </c>
      <c r="L962" s="11">
        <f t="shared" si="727"/>
        <v>12</v>
      </c>
      <c r="M962" s="69">
        <v>45586</v>
      </c>
      <c r="N962" s="12" t="s">
        <v>576</v>
      </c>
      <c r="O962" s="20"/>
      <c r="P962" s="35"/>
      <c r="Q962" s="21"/>
      <c r="R962" s="38"/>
      <c r="S962" s="9">
        <f t="shared" si="740"/>
        <v>0</v>
      </c>
      <c r="T962" s="20"/>
      <c r="U962" s="35"/>
      <c r="V962" s="21">
        <v>5</v>
      </c>
      <c r="W962" s="24"/>
      <c r="X962" s="25">
        <f t="shared" si="741"/>
        <v>5</v>
      </c>
      <c r="Y962" s="11">
        <f t="shared" si="730"/>
        <v>5</v>
      </c>
      <c r="Z962" s="69">
        <v>45603</v>
      </c>
    </row>
    <row r="963" spans="1:26" x14ac:dyDescent="0.15">
      <c r="A963" s="59" t="s">
        <v>27</v>
      </c>
      <c r="B963" s="20">
        <v>2</v>
      </c>
      <c r="C963" s="35">
        <v>1</v>
      </c>
      <c r="D963" s="21"/>
      <c r="E963" s="24"/>
      <c r="F963" s="25">
        <f t="shared" si="738"/>
        <v>3</v>
      </c>
      <c r="G963" s="20"/>
      <c r="H963" s="35"/>
      <c r="I963" s="21">
        <v>1</v>
      </c>
      <c r="J963" s="24"/>
      <c r="K963" s="25">
        <f t="shared" si="739"/>
        <v>1</v>
      </c>
      <c r="L963" s="11">
        <f t="shared" si="727"/>
        <v>4</v>
      </c>
      <c r="M963" s="69">
        <v>45583</v>
      </c>
      <c r="N963" s="40" t="s">
        <v>26</v>
      </c>
      <c r="O963" s="20">
        <v>15</v>
      </c>
      <c r="P963" s="35"/>
      <c r="Q963" s="21"/>
      <c r="R963" s="38">
        <v>5</v>
      </c>
      <c r="S963" s="9">
        <f t="shared" si="740"/>
        <v>20</v>
      </c>
      <c r="T963" s="20">
        <v>20</v>
      </c>
      <c r="U963" s="35">
        <v>5</v>
      </c>
      <c r="V963" s="21">
        <v>10</v>
      </c>
      <c r="W963" s="24">
        <v>10</v>
      </c>
      <c r="X963" s="25">
        <f t="shared" si="741"/>
        <v>45</v>
      </c>
      <c r="Y963" s="11">
        <f t="shared" si="730"/>
        <v>65</v>
      </c>
      <c r="Z963" s="69">
        <v>45593</v>
      </c>
    </row>
    <row r="964" spans="1:26" x14ac:dyDescent="0.15">
      <c r="A964" s="59" t="s">
        <v>27</v>
      </c>
      <c r="B964" s="20">
        <v>1</v>
      </c>
      <c r="C964" s="35"/>
      <c r="D964" s="21"/>
      <c r="E964" s="24"/>
      <c r="F964" s="25">
        <f t="shared" si="738"/>
        <v>1</v>
      </c>
      <c r="G964" s="20">
        <v>1</v>
      </c>
      <c r="H964" s="35"/>
      <c r="I964" s="21"/>
      <c r="J964" s="24"/>
      <c r="K964" s="25">
        <f t="shared" si="739"/>
        <v>1</v>
      </c>
      <c r="L964" s="11">
        <f t="shared" si="727"/>
        <v>2</v>
      </c>
      <c r="M964" s="69">
        <v>45584</v>
      </c>
      <c r="N964" s="40" t="s">
        <v>580</v>
      </c>
      <c r="O964" s="20">
        <v>8</v>
      </c>
      <c r="P964" s="35"/>
      <c r="Q964" s="21">
        <v>2</v>
      </c>
      <c r="R964" s="38">
        <v>4</v>
      </c>
      <c r="S964" s="9">
        <f t="shared" si="740"/>
        <v>14</v>
      </c>
      <c r="T964" s="20">
        <v>8</v>
      </c>
      <c r="U964" s="35"/>
      <c r="V964" s="21">
        <v>2</v>
      </c>
      <c r="W964" s="24">
        <v>4</v>
      </c>
      <c r="X964" s="25">
        <f t="shared" si="741"/>
        <v>14</v>
      </c>
      <c r="Y964" s="11">
        <f t="shared" si="730"/>
        <v>28</v>
      </c>
      <c r="Z964" s="69">
        <v>45595</v>
      </c>
    </row>
    <row r="965" spans="1:26" x14ac:dyDescent="0.15">
      <c r="A965" s="59" t="s">
        <v>572</v>
      </c>
      <c r="B965" s="20">
        <v>1</v>
      </c>
      <c r="C965" s="35"/>
      <c r="D965" s="21">
        <v>1</v>
      </c>
      <c r="E965" s="24">
        <v>2</v>
      </c>
      <c r="F965" s="25">
        <f t="shared" si="738"/>
        <v>4</v>
      </c>
      <c r="G965" s="20">
        <v>3</v>
      </c>
      <c r="H965" s="35">
        <v>1</v>
      </c>
      <c r="I965" s="21"/>
      <c r="J965" s="24">
        <v>1</v>
      </c>
      <c r="K965" s="25">
        <f t="shared" si="739"/>
        <v>5</v>
      </c>
      <c r="L965" s="11">
        <f t="shared" si="727"/>
        <v>9</v>
      </c>
      <c r="M965" s="69">
        <v>45587</v>
      </c>
      <c r="N965" s="40"/>
      <c r="O965" s="20"/>
      <c r="P965" s="35"/>
      <c r="Q965" s="21"/>
      <c r="R965" s="38"/>
      <c r="S965" s="9">
        <f t="shared" si="740"/>
        <v>0</v>
      </c>
      <c r="T965" s="20"/>
      <c r="U965" s="35"/>
      <c r="V965" s="21"/>
      <c r="W965" s="24"/>
      <c r="X965" s="25">
        <f t="shared" si="741"/>
        <v>0</v>
      </c>
      <c r="Y965" s="11">
        <f t="shared" si="730"/>
        <v>0</v>
      </c>
      <c r="Z965" s="162"/>
    </row>
    <row r="966" spans="1:26" x14ac:dyDescent="0.15">
      <c r="A966" s="59" t="s">
        <v>27</v>
      </c>
      <c r="B966" s="20"/>
      <c r="C966" s="35"/>
      <c r="D966" s="21">
        <v>3</v>
      </c>
      <c r="E966" s="24"/>
      <c r="F966" s="25">
        <f t="shared" si="738"/>
        <v>3</v>
      </c>
      <c r="G966" s="20">
        <v>1</v>
      </c>
      <c r="H966" s="35"/>
      <c r="I966" s="21">
        <v>7</v>
      </c>
      <c r="J966" s="24"/>
      <c r="K966" s="25">
        <f t="shared" si="739"/>
        <v>8</v>
      </c>
      <c r="L966" s="11">
        <f t="shared" si="727"/>
        <v>11</v>
      </c>
      <c r="M966" s="71">
        <v>45586</v>
      </c>
      <c r="N966" s="40"/>
      <c r="O966" s="20"/>
      <c r="P966" s="35"/>
      <c r="Q966" s="21"/>
      <c r="R966" s="38"/>
      <c r="S966" s="9">
        <f t="shared" si="740"/>
        <v>0</v>
      </c>
      <c r="T966" s="20"/>
      <c r="U966" s="35"/>
      <c r="V966" s="21"/>
      <c r="W966" s="24"/>
      <c r="X966" s="25">
        <f t="shared" si="741"/>
        <v>0</v>
      </c>
      <c r="Y966" s="11">
        <f t="shared" si="730"/>
        <v>0</v>
      </c>
    </row>
    <row r="967" spans="1:26" x14ac:dyDescent="0.15">
      <c r="A967" s="59" t="s">
        <v>133</v>
      </c>
      <c r="B967" s="20">
        <v>2</v>
      </c>
      <c r="C967" s="35"/>
      <c r="D967" s="21"/>
      <c r="E967" s="24"/>
      <c r="F967" s="25">
        <f t="shared" si="738"/>
        <v>2</v>
      </c>
      <c r="G967" s="20">
        <f>2+1</f>
        <v>3</v>
      </c>
      <c r="H967" s="35"/>
      <c r="I967" s="21"/>
      <c r="J967" s="24"/>
      <c r="K967" s="25">
        <f t="shared" si="739"/>
        <v>3</v>
      </c>
      <c r="L967" s="11">
        <f t="shared" si="727"/>
        <v>5</v>
      </c>
      <c r="M967" s="69">
        <v>45588</v>
      </c>
      <c r="N967" s="40"/>
      <c r="O967" s="20"/>
      <c r="P967" s="35"/>
      <c r="Q967" s="21"/>
      <c r="R967" s="38"/>
      <c r="S967" s="9">
        <f t="shared" si="740"/>
        <v>0</v>
      </c>
      <c r="T967" s="20"/>
      <c r="U967" s="35"/>
      <c r="V967" s="21"/>
      <c r="W967" s="24"/>
      <c r="X967" s="25">
        <f t="shared" si="741"/>
        <v>0</v>
      </c>
      <c r="Y967" s="11">
        <f t="shared" si="730"/>
        <v>0</v>
      </c>
    </row>
    <row r="968" spans="1:26" x14ac:dyDescent="0.15">
      <c r="A968" s="59" t="s">
        <v>496</v>
      </c>
      <c r="B968" s="20"/>
      <c r="C968" s="35"/>
      <c r="D968" s="21">
        <v>-3</v>
      </c>
      <c r="E968" s="24"/>
      <c r="F968" s="25">
        <f t="shared" si="738"/>
        <v>-3</v>
      </c>
      <c r="G968" s="20"/>
      <c r="H968" s="35"/>
      <c r="I968" s="21"/>
      <c r="J968" s="24"/>
      <c r="K968" s="25">
        <f t="shared" si="739"/>
        <v>0</v>
      </c>
      <c r="L968" s="11">
        <f t="shared" si="727"/>
        <v>-3</v>
      </c>
      <c r="M968" s="69">
        <v>45586</v>
      </c>
      <c r="N968" s="40"/>
      <c r="O968" s="20"/>
      <c r="P968" s="35"/>
      <c r="Q968" s="21"/>
      <c r="R968" s="38"/>
      <c r="S968" s="9">
        <f t="shared" si="740"/>
        <v>0</v>
      </c>
      <c r="T968" s="20"/>
      <c r="U968" s="35"/>
      <c r="V968" s="21"/>
      <c r="W968" s="24"/>
      <c r="X968" s="25">
        <f t="shared" si="741"/>
        <v>0</v>
      </c>
      <c r="Y968" s="11">
        <f t="shared" si="730"/>
        <v>0</v>
      </c>
    </row>
    <row r="969" spans="1:26" x14ac:dyDescent="0.15">
      <c r="A969" s="40" t="s">
        <v>574</v>
      </c>
      <c r="B969" s="20">
        <v>1</v>
      </c>
      <c r="C969" s="35"/>
      <c r="D969" s="21"/>
      <c r="E969" s="24">
        <v>3</v>
      </c>
      <c r="F969" s="25">
        <f t="shared" si="738"/>
        <v>4</v>
      </c>
      <c r="G969" s="20">
        <v>1</v>
      </c>
      <c r="H969" s="35"/>
      <c r="I969" s="21"/>
      <c r="J969" s="24">
        <v>3</v>
      </c>
      <c r="K969" s="25">
        <f t="shared" si="739"/>
        <v>4</v>
      </c>
      <c r="L969" s="11">
        <f t="shared" si="727"/>
        <v>8</v>
      </c>
      <c r="M969" s="69">
        <v>45590</v>
      </c>
      <c r="N969" s="40"/>
      <c r="O969" s="20"/>
      <c r="P969" s="35"/>
      <c r="Q969" s="21"/>
      <c r="R969" s="38"/>
      <c r="S969" s="9">
        <f t="shared" si="740"/>
        <v>0</v>
      </c>
      <c r="T969" s="20"/>
      <c r="U969" s="35"/>
      <c r="V969" s="21"/>
      <c r="W969" s="24"/>
      <c r="X969" s="25">
        <f t="shared" si="741"/>
        <v>0</v>
      </c>
      <c r="Y969" s="11">
        <f t="shared" si="730"/>
        <v>0</v>
      </c>
    </row>
    <row r="970" spans="1:26" x14ac:dyDescent="0.15">
      <c r="A970" s="40" t="s">
        <v>577</v>
      </c>
      <c r="B970" s="20"/>
      <c r="C970" s="35">
        <v>2</v>
      </c>
      <c r="D970" s="21"/>
      <c r="E970" s="24"/>
      <c r="F970" s="25">
        <f t="shared" si="738"/>
        <v>2</v>
      </c>
      <c r="G970" s="20"/>
      <c r="H970" s="35">
        <v>2</v>
      </c>
      <c r="I970" s="21"/>
      <c r="J970" s="24"/>
      <c r="K970" s="25">
        <f t="shared" si="739"/>
        <v>2</v>
      </c>
      <c r="L970" s="11">
        <f t="shared" si="727"/>
        <v>4</v>
      </c>
      <c r="M970" s="69">
        <v>45590</v>
      </c>
      <c r="N970" s="40"/>
      <c r="O970" s="20"/>
      <c r="P970" s="35"/>
      <c r="Q970" s="21"/>
      <c r="R970" s="38"/>
      <c r="S970" s="9">
        <f t="shared" si="740"/>
        <v>0</v>
      </c>
      <c r="T970" s="20"/>
      <c r="U970" s="35"/>
      <c r="V970" s="21"/>
      <c r="W970" s="24"/>
      <c r="X970" s="25">
        <f t="shared" si="741"/>
        <v>0</v>
      </c>
      <c r="Y970" s="11">
        <f t="shared" si="730"/>
        <v>0</v>
      </c>
    </row>
    <row r="971" spans="1:26" x14ac:dyDescent="0.15">
      <c r="A971" s="40" t="s">
        <v>578</v>
      </c>
      <c r="B971" s="20"/>
      <c r="C971" s="35">
        <v>1</v>
      </c>
      <c r="D971" s="21"/>
      <c r="E971" s="24"/>
      <c r="F971" s="25">
        <f t="shared" si="738"/>
        <v>1</v>
      </c>
      <c r="G971" s="20"/>
      <c r="H971" s="35">
        <v>1</v>
      </c>
      <c r="I971" s="21"/>
      <c r="J971" s="24"/>
      <c r="K971" s="25">
        <f t="shared" si="739"/>
        <v>1</v>
      </c>
      <c r="L971" s="11">
        <f t="shared" si="727"/>
        <v>2</v>
      </c>
      <c r="M971" s="69">
        <v>45593</v>
      </c>
      <c r="N971" s="40"/>
      <c r="O971" s="20"/>
      <c r="P971" s="35"/>
      <c r="Q971" s="21"/>
      <c r="R971" s="38"/>
      <c r="S971" s="9">
        <f t="shared" si="740"/>
        <v>0</v>
      </c>
      <c r="T971" s="20"/>
      <c r="U971" s="35"/>
      <c r="V971" s="21"/>
      <c r="W971" s="24"/>
      <c r="X971" s="25">
        <f t="shared" si="741"/>
        <v>0</v>
      </c>
      <c r="Y971" s="11">
        <f t="shared" si="730"/>
        <v>0</v>
      </c>
    </row>
    <row r="972" spans="1:26" x14ac:dyDescent="0.15">
      <c r="A972" s="59" t="s">
        <v>27</v>
      </c>
      <c r="B972" s="20"/>
      <c r="C972" s="35">
        <v>1</v>
      </c>
      <c r="D972" s="21">
        <v>2</v>
      </c>
      <c r="E972" s="24">
        <v>1</v>
      </c>
      <c r="F972" s="25">
        <f t="shared" si="738"/>
        <v>4</v>
      </c>
      <c r="G972" s="20">
        <v>1</v>
      </c>
      <c r="H972" s="35"/>
      <c r="I972" s="21">
        <v>1</v>
      </c>
      <c r="J972" s="24">
        <f>1+4</f>
        <v>5</v>
      </c>
      <c r="K972" s="25">
        <f t="shared" si="739"/>
        <v>7</v>
      </c>
      <c r="L972" s="11">
        <f t="shared" si="727"/>
        <v>11</v>
      </c>
      <c r="M972" s="69">
        <v>45590</v>
      </c>
      <c r="N972" s="40"/>
      <c r="O972" s="20"/>
      <c r="P972" s="35"/>
      <c r="Q972" s="21"/>
      <c r="R972" s="38"/>
      <c r="S972" s="9">
        <f t="shared" si="740"/>
        <v>0</v>
      </c>
      <c r="T972" s="20"/>
      <c r="U972" s="35"/>
      <c r="V972" s="21"/>
      <c r="W972" s="24"/>
      <c r="X972" s="25">
        <f t="shared" si="741"/>
        <v>0</v>
      </c>
      <c r="Y972" s="11">
        <f t="shared" si="730"/>
        <v>0</v>
      </c>
    </row>
    <row r="973" spans="1:26" x14ac:dyDescent="0.15">
      <c r="A973" s="59" t="s">
        <v>27</v>
      </c>
      <c r="B973" s="20"/>
      <c r="C973" s="35">
        <v>1</v>
      </c>
      <c r="D973" s="21">
        <v>1</v>
      </c>
      <c r="E973" s="24">
        <v>1</v>
      </c>
      <c r="F973" s="25">
        <f t="shared" si="738"/>
        <v>3</v>
      </c>
      <c r="G973" s="20">
        <v>1</v>
      </c>
      <c r="H973" s="35">
        <v>2</v>
      </c>
      <c r="I973" s="21">
        <v>1</v>
      </c>
      <c r="J973" s="24"/>
      <c r="K973" s="25">
        <f t="shared" si="739"/>
        <v>4</v>
      </c>
      <c r="L973" s="11">
        <f t="shared" si="727"/>
        <v>7</v>
      </c>
      <c r="M973" s="69">
        <v>45593</v>
      </c>
      <c r="N973" s="12"/>
      <c r="O973" s="20"/>
      <c r="P973" s="35"/>
      <c r="Q973" s="21"/>
      <c r="R973" s="38"/>
      <c r="S973" s="9">
        <f>SUM(O973:R973)</f>
        <v>0</v>
      </c>
      <c r="T973" s="20"/>
      <c r="U973" s="35"/>
      <c r="V973" s="21"/>
      <c r="W973" s="24"/>
      <c r="X973" s="25">
        <f>SUM(T973:W973)</f>
        <v>0</v>
      </c>
      <c r="Y973" s="11">
        <f t="shared" si="730"/>
        <v>0</v>
      </c>
    </row>
    <row r="974" spans="1:26" x14ac:dyDescent="0.15">
      <c r="A974" s="40" t="s">
        <v>581</v>
      </c>
      <c r="B974" s="20">
        <v>1</v>
      </c>
      <c r="C974" s="35"/>
      <c r="D974" s="21">
        <v>1</v>
      </c>
      <c r="E974" s="24"/>
      <c r="F974" s="25">
        <f t="shared" si="738"/>
        <v>2</v>
      </c>
      <c r="G974" s="20">
        <v>1</v>
      </c>
      <c r="H974" s="35"/>
      <c r="I974" s="21">
        <v>1</v>
      </c>
      <c r="J974" s="24"/>
      <c r="K974" s="25">
        <f t="shared" si="739"/>
        <v>2</v>
      </c>
      <c r="L974" s="11">
        <f t="shared" si="727"/>
        <v>4</v>
      </c>
      <c r="M974" s="69">
        <v>45597</v>
      </c>
      <c r="N974" s="40"/>
      <c r="O974" s="20"/>
      <c r="P974" s="35"/>
      <c r="Q974" s="21"/>
      <c r="R974" s="38"/>
      <c r="S974" s="9">
        <f t="shared" ref="S974:S977" si="742">SUM(O974:R974)</f>
        <v>0</v>
      </c>
      <c r="T974" s="20"/>
      <c r="U974" s="35"/>
      <c r="V974" s="21"/>
      <c r="W974" s="24"/>
      <c r="X974" s="25">
        <f t="shared" ref="X974:X977" si="743">SUM(T974:W974)</f>
        <v>0</v>
      </c>
      <c r="Y974" s="11">
        <f t="shared" si="730"/>
        <v>0</v>
      </c>
    </row>
    <row r="975" spans="1:26" x14ac:dyDescent="0.15">
      <c r="A975" s="59" t="s">
        <v>27</v>
      </c>
      <c r="B975" s="20"/>
      <c r="C975" s="35"/>
      <c r="D975" s="21"/>
      <c r="E975" s="24"/>
      <c r="F975" s="25">
        <f t="shared" si="738"/>
        <v>0</v>
      </c>
      <c r="G975" s="20">
        <v>1</v>
      </c>
      <c r="H975" s="35"/>
      <c r="I975" s="21"/>
      <c r="J975" s="24"/>
      <c r="K975" s="25">
        <f t="shared" si="739"/>
        <v>1</v>
      </c>
      <c r="L975" s="11">
        <f t="shared" si="727"/>
        <v>1</v>
      </c>
      <c r="M975" s="69">
        <v>45595</v>
      </c>
      <c r="N975" s="15"/>
      <c r="O975" s="20"/>
      <c r="P975" s="35"/>
      <c r="Q975" s="21"/>
      <c r="R975" s="38"/>
      <c r="S975" s="9">
        <f t="shared" si="742"/>
        <v>0</v>
      </c>
      <c r="T975" s="20"/>
      <c r="U975" s="35"/>
      <c r="V975" s="21"/>
      <c r="W975" s="24"/>
      <c r="X975" s="25">
        <f t="shared" si="743"/>
        <v>0</v>
      </c>
      <c r="Y975" s="11">
        <f t="shared" si="730"/>
        <v>0</v>
      </c>
    </row>
    <row r="976" spans="1:26" x14ac:dyDescent="0.15">
      <c r="A976" s="40" t="s">
        <v>582</v>
      </c>
      <c r="B976" s="20"/>
      <c r="C976" s="35"/>
      <c r="D976" s="21">
        <v>2</v>
      </c>
      <c r="E976" s="24"/>
      <c r="F976" s="25">
        <f t="shared" si="738"/>
        <v>2</v>
      </c>
      <c r="G976" s="20"/>
      <c r="H976" s="35"/>
      <c r="I976" s="21">
        <v>2</v>
      </c>
      <c r="J976" s="24"/>
      <c r="K976" s="25">
        <f t="shared" si="739"/>
        <v>2</v>
      </c>
      <c r="L976" s="11">
        <f t="shared" si="727"/>
        <v>4</v>
      </c>
      <c r="M976" s="69">
        <v>45597</v>
      </c>
      <c r="N976" s="40"/>
      <c r="O976" s="20"/>
      <c r="P976" s="35"/>
      <c r="Q976" s="21"/>
      <c r="R976" s="38"/>
      <c r="S976" s="9">
        <f t="shared" si="742"/>
        <v>0</v>
      </c>
      <c r="T976" s="20"/>
      <c r="U976" s="35"/>
      <c r="V976" s="21"/>
      <c r="W976" s="24"/>
      <c r="X976" s="25">
        <f t="shared" si="743"/>
        <v>0</v>
      </c>
      <c r="Y976" s="11">
        <f t="shared" si="730"/>
        <v>0</v>
      </c>
    </row>
    <row r="977" spans="1:27" x14ac:dyDescent="0.15">
      <c r="A977" s="59" t="s">
        <v>583</v>
      </c>
      <c r="B977" s="20"/>
      <c r="C977" s="35">
        <v>1</v>
      </c>
      <c r="D977" s="21"/>
      <c r="E977" s="24"/>
      <c r="F977" s="25">
        <f t="shared" si="738"/>
        <v>1</v>
      </c>
      <c r="G977" s="20"/>
      <c r="H977" s="35"/>
      <c r="I977" s="21"/>
      <c r="J977" s="24"/>
      <c r="K977" s="25">
        <f t="shared" si="739"/>
        <v>0</v>
      </c>
      <c r="L977" s="11">
        <f t="shared" si="727"/>
        <v>1</v>
      </c>
      <c r="M977" s="69">
        <v>45597</v>
      </c>
      <c r="N977" s="40"/>
      <c r="O977" s="48"/>
      <c r="P977" s="49"/>
      <c r="Q977" s="50"/>
      <c r="R977" s="72"/>
      <c r="S977" s="74">
        <f t="shared" si="742"/>
        <v>0</v>
      </c>
      <c r="T977" s="48"/>
      <c r="U977" s="49"/>
      <c r="V977" s="50"/>
      <c r="W977" s="51"/>
      <c r="X977" s="52">
        <f t="shared" si="743"/>
        <v>0</v>
      </c>
      <c r="Y977" s="11">
        <f t="shared" si="730"/>
        <v>0</v>
      </c>
    </row>
    <row r="978" spans="1:27" x14ac:dyDescent="0.15">
      <c r="A978" s="59" t="s">
        <v>27</v>
      </c>
      <c r="B978" s="20">
        <v>2</v>
      </c>
      <c r="C978" s="35"/>
      <c r="D978" s="21"/>
      <c r="E978" s="24"/>
      <c r="F978" s="25">
        <f t="shared" si="738"/>
        <v>2</v>
      </c>
      <c r="G978" s="20">
        <v>1</v>
      </c>
      <c r="H978" s="35"/>
      <c r="I978" s="21"/>
      <c r="J978" s="24"/>
      <c r="K978" s="25">
        <f t="shared" si="739"/>
        <v>1</v>
      </c>
      <c r="L978" s="11">
        <f t="shared" si="727"/>
        <v>3</v>
      </c>
      <c r="M978" s="69">
        <v>45596</v>
      </c>
      <c r="N978" s="40"/>
      <c r="O978" s="48"/>
      <c r="P978" s="49"/>
      <c r="Q978" s="50"/>
      <c r="R978" s="72"/>
      <c r="S978" s="74">
        <f t="shared" ref="S978" si="744">SUM(O978:R978)</f>
        <v>0</v>
      </c>
      <c r="T978" s="48"/>
      <c r="U978" s="49"/>
      <c r="V978" s="50"/>
      <c r="W978" s="51"/>
      <c r="X978" s="52">
        <f t="shared" ref="X978" si="745">SUM(T978:W978)</f>
        <v>0</v>
      </c>
      <c r="Y978" s="11">
        <f t="shared" ref="Y978" si="746">S978+X978</f>
        <v>0</v>
      </c>
    </row>
    <row r="979" spans="1:27" x14ac:dyDescent="0.15">
      <c r="A979" s="59" t="s">
        <v>210</v>
      </c>
      <c r="B979" s="20">
        <v>3</v>
      </c>
      <c r="C979" s="35"/>
      <c r="D979" s="21">
        <v>2</v>
      </c>
      <c r="E979" s="24">
        <v>2</v>
      </c>
      <c r="F979" s="25">
        <f t="shared" si="738"/>
        <v>7</v>
      </c>
      <c r="G979" s="20">
        <v>3</v>
      </c>
      <c r="H979" s="35">
        <v>2</v>
      </c>
      <c r="I979" s="21">
        <v>2</v>
      </c>
      <c r="J979" s="24">
        <v>2</v>
      </c>
      <c r="K979" s="25">
        <f t="shared" si="739"/>
        <v>9</v>
      </c>
      <c r="L979" s="11">
        <f t="shared" si="727"/>
        <v>16</v>
      </c>
      <c r="M979" s="69">
        <v>45598</v>
      </c>
      <c r="N979" s="40"/>
      <c r="O979" s="48"/>
      <c r="P979" s="49"/>
      <c r="Q979" s="50"/>
      <c r="R979" s="72"/>
      <c r="S979" s="74">
        <f t="shared" ref="S979" si="747">SUM(O979:R979)</f>
        <v>0</v>
      </c>
      <c r="T979" s="48"/>
      <c r="U979" s="49"/>
      <c r="V979" s="50"/>
      <c r="W979" s="51"/>
      <c r="X979" s="52">
        <f t="shared" ref="X979" si="748">SUM(T979:W979)</f>
        <v>0</v>
      </c>
      <c r="Y979" s="11">
        <f t="shared" ref="Y979" si="749">S979+X979</f>
        <v>0</v>
      </c>
    </row>
    <row r="980" spans="1:27" x14ac:dyDescent="0.15">
      <c r="A980" s="59" t="s">
        <v>27</v>
      </c>
      <c r="B980" s="20"/>
      <c r="C980" s="35"/>
      <c r="D980" s="21"/>
      <c r="E980" s="24">
        <v>1</v>
      </c>
      <c r="F980" s="25">
        <f t="shared" si="738"/>
        <v>1</v>
      </c>
      <c r="G980" s="20"/>
      <c r="H980" s="35"/>
      <c r="I980" s="21"/>
      <c r="J980" s="24">
        <v>1</v>
      </c>
      <c r="K980" s="25">
        <f t="shared" si="739"/>
        <v>1</v>
      </c>
      <c r="L980" s="11">
        <f t="shared" si="727"/>
        <v>2</v>
      </c>
      <c r="M980" s="71">
        <v>45597</v>
      </c>
      <c r="N980" s="40"/>
      <c r="O980" s="48"/>
      <c r="P980" s="49"/>
      <c r="Q980" s="50"/>
      <c r="R980" s="72"/>
      <c r="S980" s="74">
        <f t="shared" ref="S980:S981" si="750">SUM(O980:R980)</f>
        <v>0</v>
      </c>
      <c r="T980" s="48"/>
      <c r="U980" s="49"/>
      <c r="V980" s="50"/>
      <c r="W980" s="51"/>
      <c r="X980" s="52">
        <f t="shared" ref="X980:X981" si="751">SUM(T980:W980)</f>
        <v>0</v>
      </c>
      <c r="Y980" s="11">
        <f t="shared" ref="Y980:Y981" si="752">S980+X980</f>
        <v>0</v>
      </c>
    </row>
    <row r="981" spans="1:27" x14ac:dyDescent="0.15">
      <c r="A981" s="59" t="s">
        <v>27</v>
      </c>
      <c r="B981" s="20">
        <v>1</v>
      </c>
      <c r="C981" s="35"/>
      <c r="D981" s="21">
        <v>1</v>
      </c>
      <c r="E981" s="24"/>
      <c r="F981" s="25">
        <f t="shared" si="738"/>
        <v>2</v>
      </c>
      <c r="G981" s="20">
        <v>1</v>
      </c>
      <c r="H981" s="35"/>
      <c r="I981" s="21">
        <v>1</v>
      </c>
      <c r="J981" s="24"/>
      <c r="K981" s="25">
        <f t="shared" si="739"/>
        <v>2</v>
      </c>
      <c r="L981" s="11">
        <f t="shared" si="727"/>
        <v>4</v>
      </c>
      <c r="M981" s="71">
        <v>45598</v>
      </c>
      <c r="N981" s="40"/>
      <c r="O981" s="48"/>
      <c r="P981" s="49"/>
      <c r="Q981" s="50"/>
      <c r="R981" s="72"/>
      <c r="S981" s="74">
        <f t="shared" si="750"/>
        <v>0</v>
      </c>
      <c r="T981" s="48"/>
      <c r="U981" s="49"/>
      <c r="V981" s="50"/>
      <c r="W981" s="51"/>
      <c r="X981" s="52">
        <f t="shared" si="751"/>
        <v>0</v>
      </c>
      <c r="Y981" s="11">
        <f t="shared" si="752"/>
        <v>0</v>
      </c>
    </row>
    <row r="982" spans="1:27" x14ac:dyDescent="0.15">
      <c r="A982" s="40" t="s">
        <v>584</v>
      </c>
      <c r="B982" s="20">
        <v>1</v>
      </c>
      <c r="C982" s="35">
        <v>1</v>
      </c>
      <c r="D982" s="21">
        <v>1</v>
      </c>
      <c r="E982" s="24"/>
      <c r="F982" s="25">
        <f t="shared" si="738"/>
        <v>3</v>
      </c>
      <c r="G982" s="20">
        <v>1</v>
      </c>
      <c r="H982" s="35">
        <v>1</v>
      </c>
      <c r="I982" s="21">
        <v>1</v>
      </c>
      <c r="J982" s="24"/>
      <c r="K982" s="25">
        <f t="shared" si="739"/>
        <v>3</v>
      </c>
      <c r="L982" s="11">
        <f t="shared" si="727"/>
        <v>6</v>
      </c>
      <c r="M982" s="69">
        <v>45603</v>
      </c>
      <c r="N982" s="40"/>
      <c r="O982" s="48"/>
      <c r="P982" s="49"/>
      <c r="Q982" s="50"/>
      <c r="R982" s="72"/>
      <c r="S982" s="74">
        <f t="shared" ref="S982:S983" si="753">SUM(O982:R982)</f>
        <v>0</v>
      </c>
      <c r="T982" s="48"/>
      <c r="U982" s="49"/>
      <c r="V982" s="50"/>
      <c r="W982" s="51"/>
      <c r="X982" s="52">
        <f t="shared" ref="X982:X983" si="754">SUM(T982:W982)</f>
        <v>0</v>
      </c>
      <c r="Y982" s="11">
        <f t="shared" ref="Y982:Y983" si="755">S982+X982</f>
        <v>0</v>
      </c>
      <c r="AA982" s="62"/>
    </row>
    <row r="983" spans="1:27" x14ac:dyDescent="0.15">
      <c r="A983" s="12" t="s">
        <v>585</v>
      </c>
      <c r="B983" s="20"/>
      <c r="C983" s="35">
        <v>8</v>
      </c>
      <c r="D983" s="21"/>
      <c r="E983" s="24"/>
      <c r="F983" s="25">
        <f t="shared" si="738"/>
        <v>8</v>
      </c>
      <c r="G983" s="20">
        <v>10</v>
      </c>
      <c r="H983" s="35">
        <v>7</v>
      </c>
      <c r="I983" s="21">
        <v>7</v>
      </c>
      <c r="J983" s="24"/>
      <c r="K983" s="25">
        <f t="shared" si="739"/>
        <v>24</v>
      </c>
      <c r="L983" s="11">
        <f t="shared" si="727"/>
        <v>32</v>
      </c>
      <c r="M983" s="69">
        <v>45602</v>
      </c>
      <c r="N983" s="40"/>
      <c r="O983" s="48"/>
      <c r="P983" s="49"/>
      <c r="Q983" s="50"/>
      <c r="R983" s="72"/>
      <c r="S983" s="74">
        <f t="shared" si="753"/>
        <v>0</v>
      </c>
      <c r="T983" s="48"/>
      <c r="U983" s="49"/>
      <c r="V983" s="50"/>
      <c r="W983" s="51"/>
      <c r="X983" s="52">
        <f t="shared" si="754"/>
        <v>0</v>
      </c>
      <c r="Y983" s="11">
        <f t="shared" si="755"/>
        <v>0</v>
      </c>
    </row>
    <row r="984" spans="1:27" ht="14.25" thickBot="1" x14ac:dyDescent="0.2">
      <c r="A984" s="59" t="s">
        <v>421</v>
      </c>
      <c r="B984" s="43"/>
      <c r="C984" s="44"/>
      <c r="D984" s="45">
        <v>1</v>
      </c>
      <c r="E984" s="46"/>
      <c r="F984" s="25">
        <f t="shared" si="738"/>
        <v>1</v>
      </c>
      <c r="G984" s="43"/>
      <c r="H984" s="44"/>
      <c r="I984" s="45">
        <v>1</v>
      </c>
      <c r="J984" s="46"/>
      <c r="K984" s="25">
        <f t="shared" si="739"/>
        <v>1</v>
      </c>
      <c r="L984" s="14">
        <f t="shared" si="727"/>
        <v>2</v>
      </c>
      <c r="M984" s="69">
        <v>45602</v>
      </c>
      <c r="N984" s="99" t="s">
        <v>533</v>
      </c>
      <c r="O984" s="43"/>
      <c r="P984" s="44"/>
      <c r="Q984" s="45"/>
      <c r="R984" s="100"/>
      <c r="S984" s="10">
        <f t="shared" ref="S984" si="756">SUM(O984:R984)</f>
        <v>0</v>
      </c>
      <c r="T984" s="43"/>
      <c r="U984" s="44"/>
      <c r="V984" s="45"/>
      <c r="W984" s="46"/>
      <c r="X984" s="106">
        <f t="shared" ref="X984" si="757">SUM(T984:W984)</f>
        <v>0</v>
      </c>
      <c r="Y984" s="75">
        <f t="shared" ref="Y984" si="758">S984+X984</f>
        <v>0</v>
      </c>
      <c r="Z984" s="69">
        <v>45601</v>
      </c>
    </row>
    <row r="985" spans="1:27" ht="14.25" thickBot="1" x14ac:dyDescent="0.2">
      <c r="A985" s="16" t="s">
        <v>9</v>
      </c>
      <c r="B985" s="28">
        <f>SUM(B960:B984)</f>
        <v>20</v>
      </c>
      <c r="C985" s="36">
        <f>SUM(C960:C984)</f>
        <v>18</v>
      </c>
      <c r="D985" s="29">
        <f>SUM(D960:D984)</f>
        <v>12</v>
      </c>
      <c r="E985" s="30">
        <f>SUM(E960:E984)</f>
        <v>10</v>
      </c>
      <c r="F985" s="26">
        <f>SUM(B985:E985)</f>
        <v>60</v>
      </c>
      <c r="G985" s="28">
        <f>SUM(G960:G984)</f>
        <v>35</v>
      </c>
      <c r="H985" s="36">
        <f>SUM(H960:H984)</f>
        <v>21</v>
      </c>
      <c r="I985" s="29">
        <f>SUM(I960:I984)</f>
        <v>25</v>
      </c>
      <c r="J985" s="30">
        <f>SUM(J960:J984)</f>
        <v>12</v>
      </c>
      <c r="K985" s="26">
        <f>SUM(G985:J985)</f>
        <v>93</v>
      </c>
      <c r="L985" s="27">
        <f t="shared" si="727"/>
        <v>153</v>
      </c>
      <c r="N985" s="61" t="s">
        <v>9</v>
      </c>
      <c r="O985" s="28">
        <f>SUM(O960:O984)</f>
        <v>28</v>
      </c>
      <c r="P985" s="36">
        <f t="shared" ref="P985" si="759">SUM(P960:P984)</f>
        <v>6</v>
      </c>
      <c r="Q985" s="29">
        <f t="shared" ref="Q985" si="760">SUM(Q960:Q984)</f>
        <v>10</v>
      </c>
      <c r="R985" s="30">
        <f t="shared" ref="R985" si="761">SUM(R960:R984)</f>
        <v>12</v>
      </c>
      <c r="S985" s="60">
        <f>SUM(O985:R985)</f>
        <v>56</v>
      </c>
      <c r="T985" s="28">
        <f>SUM(T960:T984)</f>
        <v>33</v>
      </c>
      <c r="U985" s="36">
        <f t="shared" ref="U985" si="762">SUM(U960:U984)</f>
        <v>11</v>
      </c>
      <c r="V985" s="29">
        <f t="shared" ref="V985" si="763">SUM(V960:V984)</f>
        <v>25</v>
      </c>
      <c r="W985" s="30">
        <f t="shared" ref="W985" si="764">SUM(W960:W984)</f>
        <v>17</v>
      </c>
      <c r="X985" s="60">
        <f>SUM(T985:W985)</f>
        <v>86</v>
      </c>
      <c r="Y985" s="63">
        <f>S985+X985</f>
        <v>142</v>
      </c>
    </row>
    <row r="986" spans="1:27" ht="14.25" thickBot="1" x14ac:dyDescent="0.2">
      <c r="A986" s="18" t="s">
        <v>10</v>
      </c>
      <c r="B986" s="31">
        <f t="shared" ref="B986:K986" si="765">B959-B985</f>
        <v>44</v>
      </c>
      <c r="C986" s="37">
        <f t="shared" si="765"/>
        <v>22</v>
      </c>
      <c r="D986" s="32">
        <f t="shared" si="765"/>
        <v>19</v>
      </c>
      <c r="E986" s="33">
        <f t="shared" si="765"/>
        <v>28</v>
      </c>
      <c r="F986" s="42">
        <f t="shared" si="765"/>
        <v>113</v>
      </c>
      <c r="G986" s="31">
        <f t="shared" si="765"/>
        <v>36</v>
      </c>
      <c r="H986" s="37">
        <f t="shared" si="765"/>
        <v>23</v>
      </c>
      <c r="I986" s="32">
        <f t="shared" si="765"/>
        <v>19</v>
      </c>
      <c r="J986" s="33">
        <f t="shared" si="765"/>
        <v>33</v>
      </c>
      <c r="K986" s="42">
        <f t="shared" si="765"/>
        <v>111</v>
      </c>
      <c r="L986" s="17">
        <f t="shared" si="727"/>
        <v>224</v>
      </c>
      <c r="N986" s="16" t="s">
        <v>10</v>
      </c>
      <c r="O986" s="31">
        <f>O959-O985</f>
        <v>371</v>
      </c>
      <c r="P986" s="37">
        <f t="shared" ref="P986" si="766">P959-P985</f>
        <v>531</v>
      </c>
      <c r="Q986" s="32">
        <f t="shared" ref="Q986" si="767">Q959-Q985</f>
        <v>285</v>
      </c>
      <c r="R986" s="33">
        <f t="shared" ref="R986" si="768">R959-R985</f>
        <v>280</v>
      </c>
      <c r="S986" s="42">
        <f>S959-S985</f>
        <v>1467</v>
      </c>
      <c r="T986" s="31">
        <f>T959-T985</f>
        <v>263</v>
      </c>
      <c r="U986" s="37">
        <f t="shared" ref="U986" si="769">U959-U985</f>
        <v>420</v>
      </c>
      <c r="V986" s="32">
        <f t="shared" ref="V986" si="770">V959-V985</f>
        <v>166</v>
      </c>
      <c r="W986" s="33">
        <f t="shared" ref="W986" si="771">W959-W985</f>
        <v>210</v>
      </c>
      <c r="X986" s="42">
        <f>X959-X985</f>
        <v>1059</v>
      </c>
      <c r="Y986" s="17">
        <f>S986+X986</f>
        <v>2526</v>
      </c>
    </row>
    <row r="989" spans="1:27" ht="19.5" thickBot="1" x14ac:dyDescent="0.25">
      <c r="A989" s="2" t="s">
        <v>17</v>
      </c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N989" s="2" t="s">
        <v>18</v>
      </c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1"/>
    </row>
    <row r="990" spans="1:27" ht="14.25" thickBot="1" x14ac:dyDescent="0.2">
      <c r="A990" s="5" t="s">
        <v>0</v>
      </c>
      <c r="B990" s="244" t="s">
        <v>19</v>
      </c>
      <c r="C990" s="245"/>
      <c r="D990" s="245"/>
      <c r="E990" s="245"/>
      <c r="F990" s="246"/>
      <c r="G990" s="247" t="s">
        <v>20</v>
      </c>
      <c r="H990" s="248"/>
      <c r="I990" s="248"/>
      <c r="J990" s="248"/>
      <c r="K990" s="249"/>
      <c r="L990" s="250" t="s">
        <v>1</v>
      </c>
      <c r="N990" s="5" t="s">
        <v>0</v>
      </c>
      <c r="O990" s="244" t="s">
        <v>19</v>
      </c>
      <c r="P990" s="245"/>
      <c r="Q990" s="245"/>
      <c r="R990" s="245"/>
      <c r="S990" s="246"/>
      <c r="T990" s="247" t="s">
        <v>20</v>
      </c>
      <c r="U990" s="248"/>
      <c r="V990" s="248"/>
      <c r="W990" s="248"/>
      <c r="X990" s="249"/>
      <c r="Y990" s="250" t="s">
        <v>1</v>
      </c>
    </row>
    <row r="991" spans="1:27" ht="14.25" thickBot="1" x14ac:dyDescent="0.2">
      <c r="A991" s="5" t="s">
        <v>2</v>
      </c>
      <c r="B991" s="3" t="s">
        <v>11</v>
      </c>
      <c r="C991" s="34" t="s">
        <v>12</v>
      </c>
      <c r="D991" s="4" t="s">
        <v>13</v>
      </c>
      <c r="E991" s="19" t="s">
        <v>14</v>
      </c>
      <c r="F991" s="23" t="s">
        <v>3</v>
      </c>
      <c r="G991" s="3" t="s">
        <v>11</v>
      </c>
      <c r="H991" s="34" t="s">
        <v>12</v>
      </c>
      <c r="I991" s="4" t="s">
        <v>13</v>
      </c>
      <c r="J991" s="19" t="s">
        <v>14</v>
      </c>
      <c r="K991" s="23" t="s">
        <v>3</v>
      </c>
      <c r="L991" s="251"/>
      <c r="N991" s="5" t="s">
        <v>2</v>
      </c>
      <c r="O991" s="53" t="s">
        <v>11</v>
      </c>
      <c r="P991" s="54" t="s">
        <v>12</v>
      </c>
      <c r="Q991" s="55" t="s">
        <v>13</v>
      </c>
      <c r="R991" s="56" t="s">
        <v>14</v>
      </c>
      <c r="S991" s="23" t="s">
        <v>3</v>
      </c>
      <c r="T991" s="3" t="s">
        <v>11</v>
      </c>
      <c r="U991" s="34" t="s">
        <v>12</v>
      </c>
      <c r="V991" s="4" t="s">
        <v>13</v>
      </c>
      <c r="W991" s="19" t="s">
        <v>14</v>
      </c>
      <c r="X991" s="23" t="s">
        <v>3</v>
      </c>
      <c r="Y991" s="251"/>
    </row>
    <row r="992" spans="1:27" ht="14.25" thickBot="1" x14ac:dyDescent="0.2">
      <c r="A992" s="18" t="s">
        <v>15</v>
      </c>
      <c r="B992" s="31">
        <f>B986</f>
        <v>44</v>
      </c>
      <c r="C992" s="32">
        <f>C986</f>
        <v>22</v>
      </c>
      <c r="D992" s="32">
        <f>D986</f>
        <v>19</v>
      </c>
      <c r="E992" s="33">
        <f>E986</f>
        <v>28</v>
      </c>
      <c r="F992" s="86">
        <f>SUM(B992:E992)</f>
        <v>113</v>
      </c>
      <c r="G992" s="31">
        <f>G986</f>
        <v>36</v>
      </c>
      <c r="H992" s="32">
        <f>H986</f>
        <v>23</v>
      </c>
      <c r="I992" s="32">
        <f>I986</f>
        <v>19</v>
      </c>
      <c r="J992" s="33">
        <f>J986</f>
        <v>33</v>
      </c>
      <c r="K992" s="80">
        <f>SUM(G992:J992)</f>
        <v>111</v>
      </c>
      <c r="L992" s="17">
        <f>F992+K992</f>
        <v>224</v>
      </c>
      <c r="N992" s="18" t="s">
        <v>15</v>
      </c>
      <c r="O992" s="31">
        <f>O986</f>
        <v>371</v>
      </c>
      <c r="P992" s="32">
        <f t="shared" ref="P992:Y992" si="772">P986</f>
        <v>531</v>
      </c>
      <c r="Q992" s="32">
        <f t="shared" si="772"/>
        <v>285</v>
      </c>
      <c r="R992" s="33">
        <f t="shared" si="772"/>
        <v>280</v>
      </c>
      <c r="S992" s="86">
        <f t="shared" si="772"/>
        <v>1467</v>
      </c>
      <c r="T992" s="31">
        <f t="shared" si="772"/>
        <v>263</v>
      </c>
      <c r="U992" s="32">
        <f t="shared" si="772"/>
        <v>420</v>
      </c>
      <c r="V992" s="32">
        <f t="shared" si="772"/>
        <v>166</v>
      </c>
      <c r="W992" s="33">
        <f t="shared" si="772"/>
        <v>210</v>
      </c>
      <c r="X992" s="80">
        <f t="shared" si="772"/>
        <v>1059</v>
      </c>
      <c r="Y992" s="17">
        <f t="shared" si="772"/>
        <v>2526</v>
      </c>
    </row>
    <row r="993" spans="1:29" x14ac:dyDescent="0.15">
      <c r="A993" s="13" t="s">
        <v>4</v>
      </c>
      <c r="B993" s="20"/>
      <c r="C993" s="35">
        <v>15</v>
      </c>
      <c r="D993" s="21">
        <v>10</v>
      </c>
      <c r="E993" s="24">
        <v>10</v>
      </c>
      <c r="F993" s="25">
        <f t="shared" ref="F993:F996" si="773">SUM(B993:E993)</f>
        <v>35</v>
      </c>
      <c r="G993" s="20"/>
      <c r="H993" s="35">
        <v>15</v>
      </c>
      <c r="I993" s="21">
        <v>15</v>
      </c>
      <c r="J993" s="24">
        <v>5</v>
      </c>
      <c r="K993" s="25">
        <f t="shared" ref="K993:K996" si="774">SUM(G993:J993)</f>
        <v>35</v>
      </c>
      <c r="L993" s="11">
        <f t="shared" ref="L993:L1024" si="775">F993+K993</f>
        <v>70</v>
      </c>
      <c r="M993" s="69">
        <v>45604</v>
      </c>
      <c r="N993" s="59" t="s">
        <v>16</v>
      </c>
      <c r="O993" s="48"/>
      <c r="P993" s="49"/>
      <c r="Q993" s="50"/>
      <c r="R993" s="51"/>
      <c r="S993" s="85">
        <f t="shared" ref="S993:S995" si="776">SUM(O993:R993)</f>
        <v>0</v>
      </c>
      <c r="T993" s="48"/>
      <c r="U993" s="49"/>
      <c r="V993" s="50"/>
      <c r="W993" s="51"/>
      <c r="X993" s="74">
        <f t="shared" ref="X993:X995" si="777">SUM(T993:W993)</f>
        <v>0</v>
      </c>
      <c r="Y993" s="11">
        <f t="shared" ref="Y993:Y1015" si="778">S993+X993</f>
        <v>0</v>
      </c>
    </row>
    <row r="994" spans="1:29" x14ac:dyDescent="0.15">
      <c r="A994" s="13" t="s">
        <v>5</v>
      </c>
      <c r="B994" s="20"/>
      <c r="C994" s="35">
        <v>20</v>
      </c>
      <c r="D994" s="21">
        <v>10</v>
      </c>
      <c r="E994" s="24"/>
      <c r="F994" s="25">
        <f t="shared" si="773"/>
        <v>30</v>
      </c>
      <c r="G994" s="20">
        <v>5</v>
      </c>
      <c r="H994" s="35">
        <v>20</v>
      </c>
      <c r="I994" s="21"/>
      <c r="J994" s="24"/>
      <c r="K994" s="25">
        <f t="shared" si="774"/>
        <v>25</v>
      </c>
      <c r="L994" s="11">
        <f t="shared" si="775"/>
        <v>55</v>
      </c>
      <c r="M994" s="69">
        <v>45612</v>
      </c>
      <c r="N994" s="59" t="s">
        <v>4</v>
      </c>
      <c r="O994" s="48"/>
      <c r="P994" s="49"/>
      <c r="Q994" s="50"/>
      <c r="R994" s="51"/>
      <c r="S994" s="85">
        <f t="shared" ref="S994" si="779">SUM(O994:R994)</f>
        <v>0</v>
      </c>
      <c r="T994" s="48"/>
      <c r="U994" s="49"/>
      <c r="V994" s="50"/>
      <c r="W994" s="51"/>
      <c r="X994" s="74">
        <f t="shared" ref="X994" si="780">SUM(T994:W994)</f>
        <v>0</v>
      </c>
      <c r="Y994" s="11">
        <f t="shared" ref="Y994" si="781">S994+X994</f>
        <v>0</v>
      </c>
    </row>
    <row r="995" spans="1:29" x14ac:dyDescent="0.15">
      <c r="A995" s="13" t="s">
        <v>192</v>
      </c>
      <c r="B995" s="20"/>
      <c r="C995" s="35"/>
      <c r="D995" s="21">
        <v>3</v>
      </c>
      <c r="E995" s="24"/>
      <c r="F995" s="25">
        <f t="shared" si="773"/>
        <v>3</v>
      </c>
      <c r="G995" s="20"/>
      <c r="H995" s="35"/>
      <c r="I995" s="21"/>
      <c r="J995" s="24"/>
      <c r="K995" s="25">
        <f t="shared" si="774"/>
        <v>0</v>
      </c>
      <c r="L995" s="11">
        <f t="shared" si="775"/>
        <v>3</v>
      </c>
      <c r="M995" s="71">
        <v>45615</v>
      </c>
      <c r="N995" s="59" t="s">
        <v>5</v>
      </c>
      <c r="O995" s="48"/>
      <c r="P995" s="49"/>
      <c r="Q995" s="50"/>
      <c r="R995" s="51"/>
      <c r="S995" s="85">
        <f t="shared" si="776"/>
        <v>0</v>
      </c>
      <c r="T995" s="48"/>
      <c r="U995" s="49"/>
      <c r="V995" s="50"/>
      <c r="W995" s="51"/>
      <c r="X995" s="74">
        <f t="shared" si="777"/>
        <v>0</v>
      </c>
      <c r="Y995" s="11">
        <f t="shared" si="778"/>
        <v>0</v>
      </c>
    </row>
    <row r="996" spans="1:29" ht="14.25" thickBot="1" x14ac:dyDescent="0.2">
      <c r="A996" s="13" t="s">
        <v>7</v>
      </c>
      <c r="B996" s="48"/>
      <c r="C996" s="49"/>
      <c r="D996" s="50"/>
      <c r="E996" s="51"/>
      <c r="F996" s="52">
        <f t="shared" si="773"/>
        <v>0</v>
      </c>
      <c r="G996" s="48"/>
      <c r="H996" s="49"/>
      <c r="I996" s="50"/>
      <c r="J996" s="51"/>
      <c r="K996" s="52">
        <f t="shared" si="774"/>
        <v>0</v>
      </c>
      <c r="L996" s="11">
        <f t="shared" si="775"/>
        <v>0</v>
      </c>
      <c r="N996" s="13" t="s">
        <v>6</v>
      </c>
      <c r="O996" s="43"/>
      <c r="P996" s="44"/>
      <c r="Q996" s="45"/>
      <c r="R996" s="46"/>
      <c r="S996" s="58">
        <f>SUM(O996:R996)</f>
        <v>0</v>
      </c>
      <c r="T996" s="35"/>
      <c r="U996" s="35"/>
      <c r="V996" s="21"/>
      <c r="W996" s="38"/>
      <c r="X996" s="10">
        <f>SUM(T996:W996)</f>
        <v>0</v>
      </c>
      <c r="Y996" s="14">
        <f t="shared" si="778"/>
        <v>0</v>
      </c>
    </row>
    <row r="997" spans="1:29" ht="14.25" thickBot="1" x14ac:dyDescent="0.2">
      <c r="A997" s="18" t="s">
        <v>8</v>
      </c>
      <c r="B997" s="76">
        <f t="shared" ref="B997:K997" si="782">SUM(B992:B996)</f>
        <v>44</v>
      </c>
      <c r="C997" s="77">
        <f t="shared" si="782"/>
        <v>57</v>
      </c>
      <c r="D997" s="78">
        <f t="shared" si="782"/>
        <v>42</v>
      </c>
      <c r="E997" s="79">
        <f t="shared" si="782"/>
        <v>38</v>
      </c>
      <c r="F997" s="80">
        <f t="shared" si="782"/>
        <v>181</v>
      </c>
      <c r="G997" s="76">
        <f t="shared" si="782"/>
        <v>41</v>
      </c>
      <c r="H997" s="77">
        <f t="shared" si="782"/>
        <v>58</v>
      </c>
      <c r="I997" s="78">
        <f t="shared" si="782"/>
        <v>34</v>
      </c>
      <c r="J997" s="79">
        <f t="shared" si="782"/>
        <v>38</v>
      </c>
      <c r="K997" s="80">
        <f t="shared" si="782"/>
        <v>171</v>
      </c>
      <c r="L997" s="17">
        <f t="shared" si="775"/>
        <v>352</v>
      </c>
      <c r="N997" s="16" t="s">
        <v>8</v>
      </c>
      <c r="O997" s="31">
        <f>SUM(O992:O996)</f>
        <v>371</v>
      </c>
      <c r="P997" s="37">
        <f t="shared" ref="P997" si="783">SUM(P992:P996)</f>
        <v>531</v>
      </c>
      <c r="Q997" s="32">
        <f t="shared" ref="Q997" si="784">SUM(Q992:Q996)</f>
        <v>285</v>
      </c>
      <c r="R997" s="82">
        <f t="shared" ref="R997" si="785">SUM(R992:R996)</f>
        <v>280</v>
      </c>
      <c r="S997" s="83">
        <f>SUM(S992:S996)</f>
        <v>1467</v>
      </c>
      <c r="T997" s="31">
        <f>SUM(T992:T996)</f>
        <v>263</v>
      </c>
      <c r="U997" s="37">
        <f t="shared" ref="U997" si="786">SUM(U992:U996)</f>
        <v>420</v>
      </c>
      <c r="V997" s="32">
        <f t="shared" ref="V997" si="787">SUM(V992:V996)</f>
        <v>166</v>
      </c>
      <c r="W997" s="82">
        <f t="shared" ref="W997" si="788">SUM(W992:W996)</f>
        <v>210</v>
      </c>
      <c r="X997" s="83">
        <f>SUM(X992:X996)</f>
        <v>1059</v>
      </c>
      <c r="Y997" s="39">
        <f>S997+X997</f>
        <v>2526</v>
      </c>
    </row>
    <row r="998" spans="1:29" x14ac:dyDescent="0.15">
      <c r="A998" s="59" t="s">
        <v>27</v>
      </c>
      <c r="B998" s="20"/>
      <c r="C998" s="35">
        <f>2+4</f>
        <v>6</v>
      </c>
      <c r="D998" s="21"/>
      <c r="E998" s="24">
        <f>2+3</f>
        <v>5</v>
      </c>
      <c r="F998" s="25">
        <f t="shared" ref="F998:F1022" si="789">SUM(B998:E998)</f>
        <v>11</v>
      </c>
      <c r="G998" s="20">
        <f>1+2</f>
        <v>3</v>
      </c>
      <c r="H998" s="35">
        <f>1+1</f>
        <v>2</v>
      </c>
      <c r="I998" s="21"/>
      <c r="J998" s="24">
        <v>1</v>
      </c>
      <c r="K998" s="25">
        <f t="shared" ref="K998:K1022" si="790">SUM(G998:J998)</f>
        <v>6</v>
      </c>
      <c r="L998" s="11">
        <f t="shared" si="775"/>
        <v>17</v>
      </c>
      <c r="M998" s="71">
        <v>45601</v>
      </c>
      <c r="N998" s="12" t="s">
        <v>576</v>
      </c>
      <c r="O998" s="20"/>
      <c r="P998" s="35"/>
      <c r="Q998" s="21"/>
      <c r="R998" s="38"/>
      <c r="S998" s="9">
        <f t="shared" ref="S998:S1010" si="791">SUM(O998:R998)</f>
        <v>0</v>
      </c>
      <c r="T998" s="127">
        <v>5</v>
      </c>
      <c r="U998" s="169"/>
      <c r="V998" s="128"/>
      <c r="W998" s="170"/>
      <c r="X998" s="25">
        <f t="shared" ref="X998:X1010" si="792">SUM(T998:W998)</f>
        <v>5</v>
      </c>
      <c r="Y998" s="11">
        <f t="shared" si="778"/>
        <v>5</v>
      </c>
      <c r="Z998" s="69">
        <v>45608</v>
      </c>
    </row>
    <row r="999" spans="1:29" x14ac:dyDescent="0.15">
      <c r="A999" s="59" t="s">
        <v>27</v>
      </c>
      <c r="B999" s="20"/>
      <c r="C999" s="35"/>
      <c r="D999" s="21">
        <v>1</v>
      </c>
      <c r="E999" s="24">
        <v>3</v>
      </c>
      <c r="F999" s="25">
        <f t="shared" si="789"/>
        <v>4</v>
      </c>
      <c r="G999" s="20"/>
      <c r="H999" s="35">
        <f>2+2</f>
        <v>4</v>
      </c>
      <c r="I999" s="21"/>
      <c r="J999" s="24">
        <f>3+1</f>
        <v>4</v>
      </c>
      <c r="K999" s="25">
        <f t="shared" si="790"/>
        <v>8</v>
      </c>
      <c r="L999" s="11">
        <f t="shared" si="775"/>
        <v>12</v>
      </c>
      <c r="M999" s="69">
        <v>45602</v>
      </c>
      <c r="N999" s="40" t="s">
        <v>26</v>
      </c>
      <c r="O999" s="20"/>
      <c r="P999" s="35">
        <v>15</v>
      </c>
      <c r="Q999" s="21">
        <v>10</v>
      </c>
      <c r="R999" s="38">
        <v>10</v>
      </c>
      <c r="S999" s="9">
        <f t="shared" si="791"/>
        <v>35</v>
      </c>
      <c r="T999" s="20"/>
      <c r="U999" s="35">
        <v>15</v>
      </c>
      <c r="V999" s="21">
        <v>15</v>
      </c>
      <c r="W999" s="24">
        <v>5</v>
      </c>
      <c r="X999" s="25">
        <f t="shared" si="792"/>
        <v>35</v>
      </c>
      <c r="Y999" s="11">
        <f t="shared" si="778"/>
        <v>70</v>
      </c>
      <c r="Z999" s="69">
        <v>45604</v>
      </c>
    </row>
    <row r="1000" spans="1:29" x14ac:dyDescent="0.15">
      <c r="A1000" s="40" t="s">
        <v>586</v>
      </c>
      <c r="B1000" s="20"/>
      <c r="C1000" s="35">
        <v>1</v>
      </c>
      <c r="D1000" s="21"/>
      <c r="E1000" s="24"/>
      <c r="F1000" s="25">
        <f t="shared" si="789"/>
        <v>1</v>
      </c>
      <c r="G1000" s="20"/>
      <c r="H1000" s="35">
        <v>1</v>
      </c>
      <c r="I1000" s="21"/>
      <c r="J1000" s="24"/>
      <c r="K1000" s="25">
        <f t="shared" si="790"/>
        <v>1</v>
      </c>
      <c r="L1000" s="11">
        <f t="shared" si="775"/>
        <v>2</v>
      </c>
      <c r="M1000" s="69">
        <v>45604</v>
      </c>
      <c r="N1000" s="12" t="s">
        <v>587</v>
      </c>
      <c r="O1000" s="20">
        <v>5</v>
      </c>
      <c r="P1000" s="35">
        <v>5</v>
      </c>
      <c r="Q1000" s="21">
        <v>5</v>
      </c>
      <c r="R1000" s="38">
        <v>5</v>
      </c>
      <c r="S1000" s="9">
        <f t="shared" si="791"/>
        <v>20</v>
      </c>
      <c r="T1000" s="20">
        <v>5</v>
      </c>
      <c r="U1000" s="35">
        <v>5</v>
      </c>
      <c r="V1000" s="21">
        <v>5</v>
      </c>
      <c r="W1000" s="24">
        <v>5</v>
      </c>
      <c r="X1000" s="25">
        <f t="shared" si="792"/>
        <v>20</v>
      </c>
      <c r="Y1000" s="11">
        <f t="shared" si="778"/>
        <v>40</v>
      </c>
      <c r="Z1000" s="69">
        <v>45611</v>
      </c>
      <c r="AA1000" s="41"/>
      <c r="AB1000" s="41"/>
    </row>
    <row r="1001" spans="1:29" x14ac:dyDescent="0.15">
      <c r="A1001" s="59" t="s">
        <v>27</v>
      </c>
      <c r="B1001" s="20">
        <v>1</v>
      </c>
      <c r="C1001" s="35"/>
      <c r="D1001" s="21"/>
      <c r="E1001" s="24"/>
      <c r="F1001" s="25">
        <f t="shared" si="789"/>
        <v>1</v>
      </c>
      <c r="G1001" s="20">
        <v>1</v>
      </c>
      <c r="H1001" s="35"/>
      <c r="I1001" s="21"/>
      <c r="J1001" s="24">
        <v>2</v>
      </c>
      <c r="K1001" s="25">
        <f t="shared" si="790"/>
        <v>3</v>
      </c>
      <c r="L1001" s="11">
        <f t="shared" si="775"/>
        <v>4</v>
      </c>
      <c r="M1001" s="69">
        <v>45603</v>
      </c>
      <c r="N1001" s="12" t="s">
        <v>593</v>
      </c>
      <c r="O1001" s="20"/>
      <c r="P1001" s="35">
        <v>12</v>
      </c>
      <c r="Q1001" s="21">
        <v>7</v>
      </c>
      <c r="R1001" s="38">
        <v>3</v>
      </c>
      <c r="S1001" s="9">
        <f t="shared" si="791"/>
        <v>22</v>
      </c>
      <c r="T1001" s="20">
        <v>2</v>
      </c>
      <c r="U1001" s="35">
        <v>7</v>
      </c>
      <c r="V1001" s="21">
        <v>10</v>
      </c>
      <c r="W1001" s="24">
        <v>2</v>
      </c>
      <c r="X1001" s="25">
        <f t="shared" si="792"/>
        <v>21</v>
      </c>
      <c r="Y1001" s="11">
        <f t="shared" si="778"/>
        <v>43</v>
      </c>
      <c r="Z1001" s="69">
        <v>45614</v>
      </c>
      <c r="AA1001" s="41"/>
      <c r="AB1001" s="41"/>
    </row>
    <row r="1002" spans="1:29" x14ac:dyDescent="0.15">
      <c r="A1002" s="59" t="s">
        <v>27</v>
      </c>
      <c r="B1002" s="20"/>
      <c r="C1002" s="35">
        <v>1</v>
      </c>
      <c r="D1002" s="21">
        <v>1</v>
      </c>
      <c r="E1002" s="24"/>
      <c r="F1002" s="25">
        <f t="shared" si="789"/>
        <v>2</v>
      </c>
      <c r="G1002" s="20"/>
      <c r="H1002" s="35">
        <v>1</v>
      </c>
      <c r="I1002" s="21">
        <v>1</v>
      </c>
      <c r="J1002" s="24"/>
      <c r="K1002" s="25">
        <f t="shared" si="790"/>
        <v>2</v>
      </c>
      <c r="L1002" s="11">
        <f t="shared" si="775"/>
        <v>4</v>
      </c>
      <c r="M1002" s="69">
        <v>45604</v>
      </c>
      <c r="N1002" s="40" t="s">
        <v>26</v>
      </c>
      <c r="O1002" s="20"/>
      <c r="P1002" s="35">
        <v>20</v>
      </c>
      <c r="Q1002" s="21">
        <v>10</v>
      </c>
      <c r="R1002" s="38"/>
      <c r="S1002" s="9">
        <f t="shared" si="791"/>
        <v>30</v>
      </c>
      <c r="T1002" s="20">
        <v>5</v>
      </c>
      <c r="U1002" s="35">
        <v>20</v>
      </c>
      <c r="V1002" s="21"/>
      <c r="W1002" s="24"/>
      <c r="X1002" s="25">
        <f t="shared" si="792"/>
        <v>25</v>
      </c>
      <c r="Y1002" s="11">
        <f t="shared" si="778"/>
        <v>55</v>
      </c>
      <c r="Z1002" s="69">
        <v>45612</v>
      </c>
      <c r="AA1002" s="41"/>
    </row>
    <row r="1003" spans="1:29" x14ac:dyDescent="0.15">
      <c r="A1003" s="40" t="s">
        <v>588</v>
      </c>
      <c r="B1003" s="20"/>
      <c r="C1003" s="35">
        <v>2</v>
      </c>
      <c r="D1003" s="21"/>
      <c r="E1003" s="24"/>
      <c r="F1003" s="25">
        <f t="shared" si="789"/>
        <v>2</v>
      </c>
      <c r="G1003" s="20"/>
      <c r="H1003" s="35">
        <v>2</v>
      </c>
      <c r="I1003" s="21"/>
      <c r="J1003" s="24"/>
      <c r="K1003" s="25">
        <f t="shared" si="790"/>
        <v>2</v>
      </c>
      <c r="L1003" s="11">
        <f t="shared" si="775"/>
        <v>4</v>
      </c>
      <c r="M1003" s="69">
        <v>45609</v>
      </c>
      <c r="N1003" s="12" t="s">
        <v>597</v>
      </c>
      <c r="O1003" s="20">
        <v>60</v>
      </c>
      <c r="P1003" s="35">
        <v>50</v>
      </c>
      <c r="Q1003" s="21">
        <v>30</v>
      </c>
      <c r="R1003" s="38">
        <v>30</v>
      </c>
      <c r="S1003" s="9">
        <f t="shared" si="791"/>
        <v>170</v>
      </c>
      <c r="T1003" s="20">
        <v>60</v>
      </c>
      <c r="U1003" s="35">
        <v>50</v>
      </c>
      <c r="V1003" s="21">
        <v>30</v>
      </c>
      <c r="W1003" s="24">
        <v>30</v>
      </c>
      <c r="X1003" s="25">
        <f t="shared" si="792"/>
        <v>170</v>
      </c>
      <c r="Y1003" s="11">
        <f t="shared" si="778"/>
        <v>340</v>
      </c>
      <c r="Z1003" s="69">
        <v>45616</v>
      </c>
      <c r="AA1003" s="41"/>
    </row>
    <row r="1004" spans="1:29" x14ac:dyDescent="0.15">
      <c r="A1004" s="12" t="s">
        <v>589</v>
      </c>
      <c r="B1004" s="20"/>
      <c r="C1004" s="35">
        <v>1</v>
      </c>
      <c r="D1004" s="21"/>
      <c r="E1004" s="24"/>
      <c r="F1004" s="25">
        <f t="shared" si="789"/>
        <v>1</v>
      </c>
      <c r="G1004" s="20"/>
      <c r="H1004" s="35"/>
      <c r="I1004" s="21">
        <v>1</v>
      </c>
      <c r="J1004" s="24"/>
      <c r="K1004" s="25">
        <f t="shared" si="790"/>
        <v>1</v>
      </c>
      <c r="L1004" s="11">
        <f t="shared" si="775"/>
        <v>2</v>
      </c>
      <c r="M1004" s="69">
        <v>45608</v>
      </c>
      <c r="N1004" s="12" t="s">
        <v>601</v>
      </c>
      <c r="O1004" s="20"/>
      <c r="P1004" s="35"/>
      <c r="Q1004" s="21"/>
      <c r="R1004" s="38"/>
      <c r="S1004" s="9">
        <f t="shared" si="791"/>
        <v>0</v>
      </c>
      <c r="T1004" s="20">
        <v>4</v>
      </c>
      <c r="U1004" s="35">
        <v>20</v>
      </c>
      <c r="V1004" s="21"/>
      <c r="W1004" s="24">
        <v>2</v>
      </c>
      <c r="X1004" s="25">
        <f t="shared" si="792"/>
        <v>26</v>
      </c>
      <c r="Y1004" s="11">
        <f t="shared" si="778"/>
        <v>26</v>
      </c>
      <c r="Z1004" s="69">
        <v>45617</v>
      </c>
      <c r="AA1004" s="41"/>
      <c r="AB1004" s="41"/>
      <c r="AC1004" s="41"/>
    </row>
    <row r="1005" spans="1:29" x14ac:dyDescent="0.15">
      <c r="A1005" s="59" t="s">
        <v>27</v>
      </c>
      <c r="B1005" s="20">
        <v>2</v>
      </c>
      <c r="C1005" s="35">
        <v>4</v>
      </c>
      <c r="D1005" s="21">
        <v>4</v>
      </c>
      <c r="E1005" s="24">
        <v>2</v>
      </c>
      <c r="F1005" s="25">
        <f t="shared" si="789"/>
        <v>12</v>
      </c>
      <c r="G1005" s="20">
        <v>6</v>
      </c>
      <c r="H1005" s="35">
        <f>1+3</f>
        <v>4</v>
      </c>
      <c r="I1005" s="21">
        <v>1</v>
      </c>
      <c r="J1005" s="24"/>
      <c r="K1005" s="25">
        <f t="shared" si="790"/>
        <v>11</v>
      </c>
      <c r="L1005" s="11">
        <f t="shared" si="775"/>
        <v>23</v>
      </c>
      <c r="M1005" s="69">
        <v>45607</v>
      </c>
      <c r="N1005" s="12" t="s">
        <v>604</v>
      </c>
      <c r="O1005" s="20">
        <v>15</v>
      </c>
      <c r="P1005" s="35">
        <v>75</v>
      </c>
      <c r="Q1005" s="21">
        <v>30</v>
      </c>
      <c r="R1005" s="38"/>
      <c r="S1005" s="9">
        <f t="shared" si="791"/>
        <v>120</v>
      </c>
      <c r="T1005" s="20">
        <v>15</v>
      </c>
      <c r="U1005" s="35">
        <v>75</v>
      </c>
      <c r="V1005" s="21">
        <v>30</v>
      </c>
      <c r="W1005" s="24"/>
      <c r="X1005" s="25">
        <f t="shared" si="792"/>
        <v>120</v>
      </c>
      <c r="Y1005" s="11">
        <f t="shared" si="778"/>
        <v>240</v>
      </c>
      <c r="Z1005" s="69">
        <v>45618</v>
      </c>
    </row>
    <row r="1006" spans="1:29" x14ac:dyDescent="0.15">
      <c r="A1006" s="59" t="s">
        <v>590</v>
      </c>
      <c r="B1006" s="20"/>
      <c r="C1006" s="35">
        <v>5</v>
      </c>
      <c r="D1006" s="21"/>
      <c r="E1006" s="24"/>
      <c r="F1006" s="25">
        <f t="shared" si="789"/>
        <v>5</v>
      </c>
      <c r="G1006" s="20"/>
      <c r="H1006" s="35">
        <v>5</v>
      </c>
      <c r="I1006" s="21"/>
      <c r="J1006" s="24"/>
      <c r="K1006" s="25">
        <f t="shared" si="790"/>
        <v>5</v>
      </c>
      <c r="L1006" s="11">
        <f t="shared" si="775"/>
        <v>10</v>
      </c>
      <c r="M1006" s="69">
        <v>45609</v>
      </c>
      <c r="N1006" s="40" t="s">
        <v>26</v>
      </c>
      <c r="O1006" s="20"/>
      <c r="P1006" s="35">
        <v>5</v>
      </c>
      <c r="Q1006" s="21"/>
      <c r="R1006" s="38">
        <v>10</v>
      </c>
      <c r="S1006" s="9">
        <f t="shared" si="791"/>
        <v>15</v>
      </c>
      <c r="T1006" s="20">
        <v>10</v>
      </c>
      <c r="U1006" s="35">
        <v>10</v>
      </c>
      <c r="V1006" s="21">
        <v>5</v>
      </c>
      <c r="W1006" s="24"/>
      <c r="X1006" s="25">
        <f t="shared" si="792"/>
        <v>25</v>
      </c>
      <c r="Y1006" s="11">
        <f t="shared" si="778"/>
        <v>40</v>
      </c>
      <c r="Z1006" s="69">
        <v>45618</v>
      </c>
    </row>
    <row r="1007" spans="1:29" x14ac:dyDescent="0.15">
      <c r="A1007" s="40" t="s">
        <v>591</v>
      </c>
      <c r="B1007" s="20"/>
      <c r="C1007" s="35">
        <v>1</v>
      </c>
      <c r="D1007" s="21"/>
      <c r="E1007" s="24"/>
      <c r="F1007" s="25">
        <f t="shared" si="789"/>
        <v>1</v>
      </c>
      <c r="G1007" s="20"/>
      <c r="H1007" s="35">
        <v>1</v>
      </c>
      <c r="I1007" s="21"/>
      <c r="J1007" s="24"/>
      <c r="K1007" s="25">
        <f t="shared" si="790"/>
        <v>1</v>
      </c>
      <c r="L1007" s="11">
        <f t="shared" si="775"/>
        <v>2</v>
      </c>
      <c r="M1007" s="69">
        <v>45610</v>
      </c>
      <c r="N1007" s="40" t="s">
        <v>26</v>
      </c>
      <c r="O1007" s="20"/>
      <c r="P1007" s="35">
        <v>5</v>
      </c>
      <c r="Q1007" s="21">
        <v>5</v>
      </c>
      <c r="R1007" s="38">
        <v>5</v>
      </c>
      <c r="S1007" s="9">
        <f t="shared" si="791"/>
        <v>15</v>
      </c>
      <c r="T1007" s="20">
        <v>10</v>
      </c>
      <c r="U1007" s="35">
        <v>5</v>
      </c>
      <c r="V1007" s="21"/>
      <c r="W1007" s="24"/>
      <c r="X1007" s="25">
        <f t="shared" si="792"/>
        <v>15</v>
      </c>
      <c r="Y1007" s="11">
        <f t="shared" si="778"/>
        <v>30</v>
      </c>
      <c r="Z1007" s="69">
        <v>45621</v>
      </c>
    </row>
    <row r="1008" spans="1:29" x14ac:dyDescent="0.15">
      <c r="A1008" s="59" t="s">
        <v>592</v>
      </c>
      <c r="B1008" s="20"/>
      <c r="C1008" s="35"/>
      <c r="D1008" s="21">
        <v>3</v>
      </c>
      <c r="E1008" s="24"/>
      <c r="F1008" s="25">
        <f t="shared" si="789"/>
        <v>3</v>
      </c>
      <c r="G1008" s="20"/>
      <c r="H1008" s="35"/>
      <c r="I1008" s="21"/>
      <c r="J1008" s="24"/>
      <c r="K1008" s="25">
        <f t="shared" si="790"/>
        <v>0</v>
      </c>
      <c r="L1008" s="11">
        <f t="shared" si="775"/>
        <v>3</v>
      </c>
      <c r="M1008" s="69">
        <v>45608</v>
      </c>
      <c r="N1008" s="12" t="s">
        <v>620</v>
      </c>
      <c r="O1008" s="20">
        <v>15</v>
      </c>
      <c r="P1008" s="35">
        <v>35</v>
      </c>
      <c r="Q1008" s="21">
        <v>50</v>
      </c>
      <c r="R1008" s="38">
        <v>35</v>
      </c>
      <c r="S1008" s="9">
        <f t="shared" si="791"/>
        <v>135</v>
      </c>
      <c r="T1008" s="20">
        <v>35</v>
      </c>
      <c r="U1008" s="35">
        <v>25</v>
      </c>
      <c r="V1008" s="21">
        <v>15</v>
      </c>
      <c r="W1008" s="24">
        <v>25</v>
      </c>
      <c r="X1008" s="25">
        <f t="shared" si="792"/>
        <v>100</v>
      </c>
      <c r="Y1008" s="11">
        <f t="shared" si="778"/>
        <v>235</v>
      </c>
      <c r="Z1008" s="69">
        <v>45625</v>
      </c>
    </row>
    <row r="1009" spans="1:26" x14ac:dyDescent="0.15">
      <c r="A1009" s="59" t="s">
        <v>27</v>
      </c>
      <c r="B1009" s="20"/>
      <c r="C1009" s="35">
        <v>2</v>
      </c>
      <c r="D1009" s="21"/>
      <c r="E1009" s="24"/>
      <c r="F1009" s="25">
        <f t="shared" si="789"/>
        <v>2</v>
      </c>
      <c r="G1009" s="20"/>
      <c r="H1009" s="35"/>
      <c r="I1009" s="21"/>
      <c r="J1009" s="24"/>
      <c r="K1009" s="25">
        <f t="shared" si="790"/>
        <v>0</v>
      </c>
      <c r="L1009" s="11">
        <f t="shared" si="775"/>
        <v>2</v>
      </c>
      <c r="M1009" s="71">
        <v>45608</v>
      </c>
      <c r="N1009" s="40"/>
      <c r="O1009" s="20"/>
      <c r="P1009" s="35"/>
      <c r="Q1009" s="21"/>
      <c r="R1009" s="38"/>
      <c r="S1009" s="9">
        <f t="shared" si="791"/>
        <v>0</v>
      </c>
      <c r="T1009" s="20"/>
      <c r="U1009" s="35"/>
      <c r="V1009" s="21"/>
      <c r="W1009" s="24"/>
      <c r="X1009" s="25">
        <f t="shared" si="792"/>
        <v>0</v>
      </c>
      <c r="Y1009" s="11">
        <f t="shared" si="778"/>
        <v>0</v>
      </c>
      <c r="Z1009" s="162"/>
    </row>
    <row r="1010" spans="1:26" x14ac:dyDescent="0.15">
      <c r="A1010" s="59" t="s">
        <v>27</v>
      </c>
      <c r="B1010" s="20"/>
      <c r="C1010" s="35">
        <v>2</v>
      </c>
      <c r="D1010" s="21"/>
      <c r="E1010" s="24"/>
      <c r="F1010" s="25">
        <f t="shared" si="789"/>
        <v>2</v>
      </c>
      <c r="G1010" s="20"/>
      <c r="H1010" s="35">
        <v>1</v>
      </c>
      <c r="I1010" s="21"/>
      <c r="J1010" s="24"/>
      <c r="K1010" s="25">
        <f t="shared" si="790"/>
        <v>1</v>
      </c>
      <c r="L1010" s="11">
        <f t="shared" si="775"/>
        <v>3</v>
      </c>
      <c r="M1010" s="71">
        <v>45609</v>
      </c>
      <c r="N1010" s="40"/>
      <c r="O1010" s="20"/>
      <c r="P1010" s="35"/>
      <c r="Q1010" s="21"/>
      <c r="R1010" s="38"/>
      <c r="S1010" s="9">
        <f t="shared" si="791"/>
        <v>0</v>
      </c>
      <c r="T1010" s="20"/>
      <c r="U1010" s="35"/>
      <c r="V1010" s="21"/>
      <c r="W1010" s="24"/>
      <c r="X1010" s="25">
        <f t="shared" si="792"/>
        <v>0</v>
      </c>
      <c r="Y1010" s="11">
        <f t="shared" si="778"/>
        <v>0</v>
      </c>
    </row>
    <row r="1011" spans="1:26" x14ac:dyDescent="0.15">
      <c r="A1011" s="59" t="s">
        <v>27</v>
      </c>
      <c r="B1011" s="20"/>
      <c r="C1011" s="35"/>
      <c r="D1011" s="21"/>
      <c r="E1011" s="24"/>
      <c r="F1011" s="25">
        <f t="shared" si="789"/>
        <v>0</v>
      </c>
      <c r="G1011" s="20">
        <v>1</v>
      </c>
      <c r="H1011" s="35">
        <v>2</v>
      </c>
      <c r="I1011" s="21"/>
      <c r="J1011" s="24"/>
      <c r="K1011" s="25">
        <f t="shared" si="790"/>
        <v>3</v>
      </c>
      <c r="L1011" s="11">
        <f t="shared" si="775"/>
        <v>3</v>
      </c>
      <c r="M1011" s="71">
        <v>45610</v>
      </c>
      <c r="N1011" s="12"/>
      <c r="O1011" s="20"/>
      <c r="P1011" s="35"/>
      <c r="Q1011" s="21"/>
      <c r="R1011" s="38"/>
      <c r="S1011" s="9">
        <f>SUM(O1011:R1011)</f>
        <v>0</v>
      </c>
      <c r="T1011" s="20"/>
      <c r="U1011" s="35"/>
      <c r="V1011" s="21"/>
      <c r="W1011" s="24"/>
      <c r="X1011" s="25">
        <f>SUM(T1011:W1011)</f>
        <v>0</v>
      </c>
      <c r="Y1011" s="11">
        <f t="shared" si="778"/>
        <v>0</v>
      </c>
    </row>
    <row r="1012" spans="1:26" x14ac:dyDescent="0.15">
      <c r="A1012" s="40" t="s">
        <v>594</v>
      </c>
      <c r="B1012" s="20"/>
      <c r="C1012" s="35">
        <v>1</v>
      </c>
      <c r="D1012" s="21"/>
      <c r="E1012" s="24"/>
      <c r="F1012" s="25">
        <f t="shared" si="789"/>
        <v>1</v>
      </c>
      <c r="G1012" s="20"/>
      <c r="H1012" s="35">
        <v>1</v>
      </c>
      <c r="I1012" s="21"/>
      <c r="J1012" s="24"/>
      <c r="K1012" s="25">
        <f t="shared" si="790"/>
        <v>1</v>
      </c>
      <c r="L1012" s="11">
        <f t="shared" si="775"/>
        <v>2</v>
      </c>
      <c r="M1012" s="69">
        <v>45614</v>
      </c>
      <c r="N1012" s="40"/>
      <c r="O1012" s="20"/>
      <c r="P1012" s="35"/>
      <c r="Q1012" s="21"/>
      <c r="R1012" s="38"/>
      <c r="S1012" s="9">
        <f t="shared" ref="S1012:S1015" si="793">SUM(O1012:R1012)</f>
        <v>0</v>
      </c>
      <c r="T1012" s="20"/>
      <c r="U1012" s="35"/>
      <c r="V1012" s="21"/>
      <c r="W1012" s="24"/>
      <c r="X1012" s="25">
        <f t="shared" ref="X1012:X1015" si="794">SUM(T1012:W1012)</f>
        <v>0</v>
      </c>
      <c r="Y1012" s="11">
        <f t="shared" si="778"/>
        <v>0</v>
      </c>
    </row>
    <row r="1013" spans="1:26" x14ac:dyDescent="0.15">
      <c r="A1013" s="59" t="s">
        <v>27</v>
      </c>
      <c r="B1013" s="20"/>
      <c r="C1013" s="35"/>
      <c r="D1013" s="21"/>
      <c r="E1013" s="24"/>
      <c r="F1013" s="25">
        <f t="shared" si="789"/>
        <v>0</v>
      </c>
      <c r="G1013" s="20"/>
      <c r="H1013" s="35">
        <v>1</v>
      </c>
      <c r="I1013" s="21"/>
      <c r="J1013" s="24"/>
      <c r="K1013" s="25">
        <f t="shared" si="790"/>
        <v>1</v>
      </c>
      <c r="L1013" s="11">
        <f t="shared" si="775"/>
        <v>1</v>
      </c>
      <c r="M1013" s="71">
        <v>45611</v>
      </c>
      <c r="N1013" s="15"/>
      <c r="O1013" s="20"/>
      <c r="P1013" s="35"/>
      <c r="Q1013" s="21"/>
      <c r="R1013" s="38"/>
      <c r="S1013" s="9">
        <f t="shared" si="793"/>
        <v>0</v>
      </c>
      <c r="T1013" s="20"/>
      <c r="U1013" s="35"/>
      <c r="V1013" s="21"/>
      <c r="W1013" s="24"/>
      <c r="X1013" s="25">
        <f t="shared" si="794"/>
        <v>0</v>
      </c>
      <c r="Y1013" s="11">
        <f t="shared" si="778"/>
        <v>0</v>
      </c>
    </row>
    <row r="1014" spans="1:26" x14ac:dyDescent="0.15">
      <c r="A1014" s="59" t="s">
        <v>27</v>
      </c>
      <c r="B1014" s="20">
        <v>4</v>
      </c>
      <c r="C1014" s="35"/>
      <c r="D1014" s="21"/>
      <c r="E1014" s="24"/>
      <c r="F1014" s="25">
        <f t="shared" si="789"/>
        <v>4</v>
      </c>
      <c r="G1014" s="20"/>
      <c r="H1014" s="35">
        <v>2</v>
      </c>
      <c r="I1014" s="21"/>
      <c r="J1014" s="24"/>
      <c r="K1014" s="25">
        <f t="shared" si="790"/>
        <v>2</v>
      </c>
      <c r="L1014" s="11">
        <f t="shared" si="775"/>
        <v>6</v>
      </c>
      <c r="M1014" s="69">
        <v>45612</v>
      </c>
      <c r="N1014" s="40"/>
      <c r="O1014" s="20"/>
      <c r="P1014" s="35"/>
      <c r="Q1014" s="21"/>
      <c r="R1014" s="38"/>
      <c r="S1014" s="9">
        <f t="shared" si="793"/>
        <v>0</v>
      </c>
      <c r="T1014" s="20"/>
      <c r="U1014" s="35"/>
      <c r="V1014" s="21"/>
      <c r="W1014" s="24"/>
      <c r="X1014" s="25">
        <f t="shared" si="794"/>
        <v>0</v>
      </c>
      <c r="Y1014" s="11">
        <f t="shared" si="778"/>
        <v>0</v>
      </c>
    </row>
    <row r="1015" spans="1:26" x14ac:dyDescent="0.15">
      <c r="A1015" s="40" t="s">
        <v>595</v>
      </c>
      <c r="B1015" s="20">
        <v>1</v>
      </c>
      <c r="C1015" s="35">
        <v>1</v>
      </c>
      <c r="D1015" s="21"/>
      <c r="E1015" s="24"/>
      <c r="F1015" s="25">
        <f t="shared" si="789"/>
        <v>2</v>
      </c>
      <c r="G1015" s="20">
        <v>1</v>
      </c>
      <c r="H1015" s="35">
        <v>1</v>
      </c>
      <c r="I1015" s="21"/>
      <c r="J1015" s="24"/>
      <c r="K1015" s="25">
        <f t="shared" si="790"/>
        <v>2</v>
      </c>
      <c r="L1015" s="11">
        <f t="shared" si="775"/>
        <v>4</v>
      </c>
      <c r="M1015" s="69">
        <v>45616</v>
      </c>
      <c r="N1015" s="40"/>
      <c r="O1015" s="48"/>
      <c r="P1015" s="49"/>
      <c r="Q1015" s="50"/>
      <c r="R1015" s="72"/>
      <c r="S1015" s="74">
        <f t="shared" si="793"/>
        <v>0</v>
      </c>
      <c r="T1015" s="48"/>
      <c r="U1015" s="49"/>
      <c r="V1015" s="50"/>
      <c r="W1015" s="51"/>
      <c r="X1015" s="52">
        <f t="shared" si="794"/>
        <v>0</v>
      </c>
      <c r="Y1015" s="11">
        <f t="shared" si="778"/>
        <v>0</v>
      </c>
    </row>
    <row r="1016" spans="1:26" x14ac:dyDescent="0.15">
      <c r="A1016" s="59" t="s">
        <v>27</v>
      </c>
      <c r="B1016" s="20"/>
      <c r="C1016" s="35">
        <v>2</v>
      </c>
      <c r="D1016" s="21">
        <v>1</v>
      </c>
      <c r="E1016" s="24">
        <v>1</v>
      </c>
      <c r="F1016" s="25">
        <f t="shared" si="789"/>
        <v>4</v>
      </c>
      <c r="G1016" s="20">
        <v>3</v>
      </c>
      <c r="H1016" s="35">
        <f>1+2</f>
        <v>3</v>
      </c>
      <c r="I1016" s="21">
        <f>2+1</f>
        <v>3</v>
      </c>
      <c r="J1016" s="24">
        <v>1</v>
      </c>
      <c r="K1016" s="25">
        <f t="shared" si="790"/>
        <v>10</v>
      </c>
      <c r="L1016" s="11">
        <f t="shared" si="775"/>
        <v>14</v>
      </c>
      <c r="M1016" s="69">
        <v>45614</v>
      </c>
      <c r="N1016" s="40"/>
      <c r="O1016" s="48"/>
      <c r="P1016" s="49"/>
      <c r="Q1016" s="50"/>
      <c r="R1016" s="72"/>
      <c r="S1016" s="74">
        <f t="shared" ref="S1016" si="795">SUM(O1016:R1016)</f>
        <v>0</v>
      </c>
      <c r="T1016" s="48"/>
      <c r="U1016" s="49"/>
      <c r="V1016" s="50"/>
      <c r="W1016" s="51"/>
      <c r="X1016" s="52">
        <f t="shared" ref="X1016" si="796">SUM(T1016:W1016)</f>
        <v>0</v>
      </c>
      <c r="Y1016" s="11">
        <f t="shared" ref="Y1016" si="797">S1016+X1016</f>
        <v>0</v>
      </c>
    </row>
    <row r="1017" spans="1:26" x14ac:dyDescent="0.15">
      <c r="A1017" s="59" t="s">
        <v>596</v>
      </c>
      <c r="B1017" s="20"/>
      <c r="C1017" s="35"/>
      <c r="D1017" s="21"/>
      <c r="E1017" s="24"/>
      <c r="F1017" s="25">
        <f t="shared" si="789"/>
        <v>0</v>
      </c>
      <c r="G1017" s="20">
        <v>1</v>
      </c>
      <c r="H1017" s="35"/>
      <c r="I1017" s="21"/>
      <c r="J1017" s="24"/>
      <c r="K1017" s="25">
        <f t="shared" si="790"/>
        <v>1</v>
      </c>
      <c r="L1017" s="11">
        <f t="shared" si="775"/>
        <v>1</v>
      </c>
      <c r="M1017" s="69">
        <v>45615</v>
      </c>
      <c r="N1017" s="40"/>
      <c r="O1017" s="48"/>
      <c r="P1017" s="49"/>
      <c r="Q1017" s="50"/>
      <c r="R1017" s="72"/>
      <c r="S1017" s="74">
        <f t="shared" ref="S1017:S1022" si="798">SUM(O1017:R1017)</f>
        <v>0</v>
      </c>
      <c r="T1017" s="48"/>
      <c r="U1017" s="49"/>
      <c r="V1017" s="50"/>
      <c r="W1017" s="51"/>
      <c r="X1017" s="52">
        <f t="shared" ref="X1017:X1022" si="799">SUM(T1017:W1017)</f>
        <v>0</v>
      </c>
      <c r="Y1017" s="11">
        <f t="shared" ref="Y1017:Y1022" si="800">S1017+X1017</f>
        <v>0</v>
      </c>
    </row>
    <row r="1018" spans="1:26" x14ac:dyDescent="0.15">
      <c r="A1018" s="40" t="s">
        <v>600</v>
      </c>
      <c r="B1018" s="20"/>
      <c r="C1018" s="35">
        <v>1</v>
      </c>
      <c r="D1018" s="21"/>
      <c r="E1018" s="24"/>
      <c r="F1018" s="25">
        <f t="shared" si="789"/>
        <v>1</v>
      </c>
      <c r="G1018" s="20"/>
      <c r="H1018" s="35">
        <v>1</v>
      </c>
      <c r="I1018" s="21"/>
      <c r="J1018" s="24"/>
      <c r="K1018" s="25">
        <f t="shared" si="790"/>
        <v>1</v>
      </c>
      <c r="L1018" s="11">
        <f t="shared" si="775"/>
        <v>2</v>
      </c>
      <c r="M1018" s="69">
        <v>45618</v>
      </c>
      <c r="N1018" s="40"/>
      <c r="O1018" s="48"/>
      <c r="P1018" s="49"/>
      <c r="Q1018" s="50"/>
      <c r="R1018" s="72"/>
      <c r="S1018" s="74">
        <f t="shared" si="798"/>
        <v>0</v>
      </c>
      <c r="T1018" s="48"/>
      <c r="U1018" s="49"/>
      <c r="V1018" s="50"/>
      <c r="W1018" s="51"/>
      <c r="X1018" s="52">
        <f t="shared" si="799"/>
        <v>0</v>
      </c>
      <c r="Y1018" s="11">
        <f t="shared" si="800"/>
        <v>0</v>
      </c>
    </row>
    <row r="1019" spans="1:26" x14ac:dyDescent="0.15">
      <c r="A1019" s="59" t="s">
        <v>27</v>
      </c>
      <c r="B1019" s="20"/>
      <c r="C1019" s="35"/>
      <c r="D1019" s="21"/>
      <c r="E1019" s="24"/>
      <c r="F1019" s="25">
        <f t="shared" si="789"/>
        <v>0</v>
      </c>
      <c r="G1019" s="20">
        <v>2</v>
      </c>
      <c r="H1019" s="35"/>
      <c r="I1019" s="21"/>
      <c r="J1019" s="24"/>
      <c r="K1019" s="25">
        <f t="shared" si="790"/>
        <v>2</v>
      </c>
      <c r="L1019" s="11">
        <f t="shared" si="775"/>
        <v>2</v>
      </c>
      <c r="M1019" s="69">
        <v>45616</v>
      </c>
      <c r="N1019" s="104" t="s">
        <v>550</v>
      </c>
      <c r="O1019" s="154"/>
      <c r="P1019" s="156"/>
      <c r="Q1019" s="155"/>
      <c r="R1019" s="159"/>
      <c r="S1019" s="158">
        <f t="shared" si="798"/>
        <v>0</v>
      </c>
      <c r="T1019" s="154"/>
      <c r="U1019" s="156"/>
      <c r="V1019" s="155"/>
      <c r="W1019" s="171"/>
      <c r="X1019" s="172">
        <f t="shared" si="799"/>
        <v>0</v>
      </c>
      <c r="Y1019" s="160">
        <f t="shared" si="800"/>
        <v>0</v>
      </c>
      <c r="Z1019" s="162"/>
    </row>
    <row r="1020" spans="1:26" x14ac:dyDescent="0.15">
      <c r="A1020" s="59" t="s">
        <v>602</v>
      </c>
      <c r="B1020" s="20"/>
      <c r="C1020" s="35">
        <v>1</v>
      </c>
      <c r="D1020" s="21"/>
      <c r="E1020" s="24">
        <v>1</v>
      </c>
      <c r="F1020" s="25">
        <f t="shared" si="789"/>
        <v>2</v>
      </c>
      <c r="G1020" s="20"/>
      <c r="H1020" s="35">
        <v>4</v>
      </c>
      <c r="I1020" s="21"/>
      <c r="J1020" s="24"/>
      <c r="K1020" s="25">
        <f t="shared" si="790"/>
        <v>4</v>
      </c>
      <c r="L1020" s="11">
        <f t="shared" si="775"/>
        <v>6</v>
      </c>
      <c r="M1020" s="69">
        <v>45617</v>
      </c>
      <c r="N1020" s="12" t="s">
        <v>551</v>
      </c>
      <c r="O1020" s="20"/>
      <c r="P1020" s="35"/>
      <c r="Q1020" s="21"/>
      <c r="R1020" s="38"/>
      <c r="S1020" s="9">
        <f t="shared" si="798"/>
        <v>0</v>
      </c>
      <c r="T1020" s="20"/>
      <c r="U1020" s="35"/>
      <c r="V1020" s="21"/>
      <c r="W1020" s="24"/>
      <c r="X1020" s="25">
        <f t="shared" si="799"/>
        <v>0</v>
      </c>
      <c r="Y1020" s="47">
        <f t="shared" si="800"/>
        <v>0</v>
      </c>
      <c r="Z1020" s="162" t="s">
        <v>535</v>
      </c>
    </row>
    <row r="1021" spans="1:26" x14ac:dyDescent="0.15">
      <c r="A1021" s="12" t="s">
        <v>603</v>
      </c>
      <c r="B1021" s="20"/>
      <c r="C1021" s="35">
        <v>2</v>
      </c>
      <c r="D1021" s="21"/>
      <c r="E1021" s="24">
        <v>7</v>
      </c>
      <c r="F1021" s="25">
        <f t="shared" si="789"/>
        <v>9</v>
      </c>
      <c r="G1021" s="20">
        <v>4</v>
      </c>
      <c r="H1021" s="35">
        <v>2</v>
      </c>
      <c r="I1021" s="21"/>
      <c r="J1021" s="24"/>
      <c r="K1021" s="25">
        <f t="shared" si="790"/>
        <v>6</v>
      </c>
      <c r="L1021" s="11">
        <f t="shared" si="775"/>
        <v>15</v>
      </c>
      <c r="M1021" s="69">
        <v>45618</v>
      </c>
      <c r="N1021" s="104" t="s">
        <v>526</v>
      </c>
      <c r="O1021" s="154"/>
      <c r="P1021" s="156"/>
      <c r="Q1021" s="155"/>
      <c r="R1021" s="159"/>
      <c r="S1021" s="158">
        <f t="shared" si="798"/>
        <v>0</v>
      </c>
      <c r="T1021" s="154"/>
      <c r="U1021" s="156"/>
      <c r="V1021" s="155"/>
      <c r="W1021" s="171"/>
      <c r="X1021" s="172">
        <f t="shared" si="799"/>
        <v>0</v>
      </c>
      <c r="Y1021" s="160">
        <f t="shared" si="800"/>
        <v>0</v>
      </c>
      <c r="Z1021" s="162"/>
    </row>
    <row r="1022" spans="1:26" ht="14.25" thickBot="1" x14ac:dyDescent="0.2">
      <c r="A1022" s="59" t="s">
        <v>27</v>
      </c>
      <c r="B1022" s="43"/>
      <c r="C1022" s="44"/>
      <c r="D1022" s="45"/>
      <c r="E1022" s="46"/>
      <c r="F1022" s="25">
        <f t="shared" si="789"/>
        <v>0</v>
      </c>
      <c r="G1022" s="43"/>
      <c r="H1022" s="44"/>
      <c r="I1022" s="45">
        <v>1</v>
      </c>
      <c r="J1022" s="46"/>
      <c r="K1022" s="25">
        <f t="shared" si="790"/>
        <v>1</v>
      </c>
      <c r="L1022" s="14">
        <f t="shared" si="775"/>
        <v>1</v>
      </c>
      <c r="M1022" s="69">
        <v>45617</v>
      </c>
      <c r="N1022" s="99" t="s">
        <v>527</v>
      </c>
      <c r="O1022" s="43"/>
      <c r="P1022" s="44"/>
      <c r="Q1022" s="45"/>
      <c r="R1022" s="100"/>
      <c r="S1022" s="10">
        <f t="shared" si="798"/>
        <v>0</v>
      </c>
      <c r="T1022" s="43"/>
      <c r="U1022" s="44"/>
      <c r="V1022" s="45"/>
      <c r="W1022" s="46"/>
      <c r="X1022" s="106">
        <f t="shared" si="799"/>
        <v>0</v>
      </c>
      <c r="Y1022" s="75">
        <f t="shared" si="800"/>
        <v>0</v>
      </c>
      <c r="Z1022" s="162" t="s">
        <v>528</v>
      </c>
    </row>
    <row r="1023" spans="1:26" ht="14.25" thickBot="1" x14ac:dyDescent="0.2">
      <c r="A1023" s="16" t="s">
        <v>9</v>
      </c>
      <c r="B1023" s="28">
        <f>SUM(B998:B1022)</f>
        <v>8</v>
      </c>
      <c r="C1023" s="36">
        <f>SUM(C998:C1022)</f>
        <v>33</v>
      </c>
      <c r="D1023" s="29">
        <f>SUM(D998:D1022)</f>
        <v>10</v>
      </c>
      <c r="E1023" s="30">
        <f>SUM(E998:E1022)</f>
        <v>19</v>
      </c>
      <c r="F1023" s="26">
        <f>SUM(B1023:E1023)</f>
        <v>70</v>
      </c>
      <c r="G1023" s="28">
        <f>SUM(G998:G1022)</f>
        <v>22</v>
      </c>
      <c r="H1023" s="36">
        <f>SUM(H998:H1022)</f>
        <v>38</v>
      </c>
      <c r="I1023" s="29">
        <f>SUM(I998:I1022)</f>
        <v>7</v>
      </c>
      <c r="J1023" s="30">
        <f>SUM(J998:J1022)</f>
        <v>8</v>
      </c>
      <c r="K1023" s="26">
        <f>SUM(G1023:J1023)</f>
        <v>75</v>
      </c>
      <c r="L1023" s="27">
        <f t="shared" si="775"/>
        <v>145</v>
      </c>
      <c r="N1023" s="61" t="s">
        <v>9</v>
      </c>
      <c r="O1023" s="28">
        <f>SUM(O998:O1022)</f>
        <v>95</v>
      </c>
      <c r="P1023" s="36">
        <f t="shared" ref="P1023" si="801">SUM(P998:P1022)</f>
        <v>222</v>
      </c>
      <c r="Q1023" s="29">
        <f t="shared" ref="Q1023" si="802">SUM(Q998:Q1022)</f>
        <v>147</v>
      </c>
      <c r="R1023" s="30">
        <f t="shared" ref="R1023" si="803">SUM(R998:R1022)</f>
        <v>98</v>
      </c>
      <c r="S1023" s="60">
        <f>SUM(O1023:R1023)</f>
        <v>562</v>
      </c>
      <c r="T1023" s="28">
        <f>SUM(T998:T1022)</f>
        <v>151</v>
      </c>
      <c r="U1023" s="36">
        <f t="shared" ref="U1023" si="804">SUM(U998:U1022)</f>
        <v>232</v>
      </c>
      <c r="V1023" s="29">
        <f t="shared" ref="V1023" si="805">SUM(V998:V1022)</f>
        <v>110</v>
      </c>
      <c r="W1023" s="30">
        <f t="shared" ref="W1023" si="806">SUM(W998:W1022)</f>
        <v>69</v>
      </c>
      <c r="X1023" s="60">
        <f>SUM(T1023:W1023)</f>
        <v>562</v>
      </c>
      <c r="Y1023" s="63">
        <f>S1023+X1023</f>
        <v>1124</v>
      </c>
    </row>
    <row r="1024" spans="1:26" ht="14.25" thickBot="1" x14ac:dyDescent="0.2">
      <c r="A1024" s="18" t="s">
        <v>10</v>
      </c>
      <c r="B1024" s="31">
        <f t="shared" ref="B1024:K1024" si="807">B997-B1023</f>
        <v>36</v>
      </c>
      <c r="C1024" s="37">
        <f t="shared" si="807"/>
        <v>24</v>
      </c>
      <c r="D1024" s="32">
        <f t="shared" si="807"/>
        <v>32</v>
      </c>
      <c r="E1024" s="33">
        <f t="shared" si="807"/>
        <v>19</v>
      </c>
      <c r="F1024" s="42">
        <f t="shared" si="807"/>
        <v>111</v>
      </c>
      <c r="G1024" s="31">
        <f t="shared" si="807"/>
        <v>19</v>
      </c>
      <c r="H1024" s="37">
        <f t="shared" si="807"/>
        <v>20</v>
      </c>
      <c r="I1024" s="32">
        <f t="shared" si="807"/>
        <v>27</v>
      </c>
      <c r="J1024" s="33">
        <f t="shared" si="807"/>
        <v>30</v>
      </c>
      <c r="K1024" s="42">
        <f t="shared" si="807"/>
        <v>96</v>
      </c>
      <c r="L1024" s="17">
        <f t="shared" si="775"/>
        <v>207</v>
      </c>
      <c r="N1024" s="16" t="s">
        <v>10</v>
      </c>
      <c r="O1024" s="31">
        <f>O997-O1023</f>
        <v>276</v>
      </c>
      <c r="P1024" s="37">
        <f t="shared" ref="P1024" si="808">P997-P1023</f>
        <v>309</v>
      </c>
      <c r="Q1024" s="32">
        <f t="shared" ref="Q1024" si="809">Q997-Q1023</f>
        <v>138</v>
      </c>
      <c r="R1024" s="33">
        <f t="shared" ref="R1024" si="810">R997-R1023</f>
        <v>182</v>
      </c>
      <c r="S1024" s="42">
        <f>S997-S1023</f>
        <v>905</v>
      </c>
      <c r="T1024" s="31">
        <f>T997-T1023</f>
        <v>112</v>
      </c>
      <c r="U1024" s="37">
        <f t="shared" ref="U1024" si="811">U997-U1023</f>
        <v>188</v>
      </c>
      <c r="V1024" s="32">
        <f t="shared" ref="V1024" si="812">V997-V1023</f>
        <v>56</v>
      </c>
      <c r="W1024" s="33">
        <f t="shared" ref="W1024" si="813">W997-W1023</f>
        <v>141</v>
      </c>
      <c r="X1024" s="42">
        <f>X997-X1023</f>
        <v>497</v>
      </c>
      <c r="Y1024" s="17">
        <f>S1024+X1024</f>
        <v>1402</v>
      </c>
    </row>
    <row r="1025" spans="1:27" x14ac:dyDescent="0.15">
      <c r="O1025" s="62">
        <f>O1023+O985+O947+O909+O871+O833+O795+O757+O719+O681+O645</f>
        <v>1894</v>
      </c>
      <c r="P1025" s="62">
        <f t="shared" ref="P1025:Y1025" si="814">P1023+P985+P947+P909+P871+P833+P795+P757+P719+P681+P645</f>
        <v>2631</v>
      </c>
      <c r="Q1025" s="62">
        <f t="shared" si="814"/>
        <v>1580</v>
      </c>
      <c r="R1025" s="62">
        <f t="shared" si="814"/>
        <v>1113</v>
      </c>
      <c r="S1025" s="62">
        <f t="shared" si="814"/>
        <v>7218</v>
      </c>
      <c r="T1025" s="62">
        <f t="shared" si="814"/>
        <v>1970</v>
      </c>
      <c r="U1025" s="62">
        <f t="shared" si="814"/>
        <v>2746</v>
      </c>
      <c r="V1025" s="62">
        <f t="shared" si="814"/>
        <v>1672</v>
      </c>
      <c r="W1025" s="62">
        <f t="shared" si="814"/>
        <v>1133</v>
      </c>
      <c r="X1025" s="62">
        <f t="shared" si="814"/>
        <v>7521</v>
      </c>
      <c r="Y1025" s="62">
        <f t="shared" si="814"/>
        <v>14739</v>
      </c>
    </row>
    <row r="1026" spans="1:27" x14ac:dyDescent="0.15">
      <c r="O1026" s="101">
        <f>O1025/$S$1025*100</f>
        <v>26.23995566638958</v>
      </c>
      <c r="P1026" s="101">
        <f t="shared" ref="P1026:S1026" si="815">P1025/$S$1025*100</f>
        <v>36.450540315876971</v>
      </c>
      <c r="Q1026" s="101">
        <f t="shared" si="815"/>
        <v>21.889720144084237</v>
      </c>
      <c r="R1026" s="101">
        <f t="shared" si="815"/>
        <v>15.419783873649209</v>
      </c>
      <c r="S1026" s="101">
        <f t="shared" si="815"/>
        <v>100</v>
      </c>
      <c r="T1026" s="101">
        <f>T1025/$X$1025*100</f>
        <v>26.193325355670787</v>
      </c>
      <c r="U1026" s="101">
        <f t="shared" ref="U1026:X1026" si="816">U1025/$X$1025*100</f>
        <v>36.511102247041613</v>
      </c>
      <c r="V1026" s="101">
        <f t="shared" si="816"/>
        <v>22.231086291716526</v>
      </c>
      <c r="W1026" s="101">
        <f t="shared" si="816"/>
        <v>15.064486105571067</v>
      </c>
      <c r="X1026" s="101">
        <f t="shared" si="816"/>
        <v>100</v>
      </c>
    </row>
    <row r="1027" spans="1:27" ht="19.5" thickBot="1" x14ac:dyDescent="0.25">
      <c r="A1027" s="2" t="s">
        <v>17</v>
      </c>
      <c r="B1027" s="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N1027" s="2" t="s">
        <v>18</v>
      </c>
      <c r="O1027" s="87"/>
      <c r="P1027" s="87"/>
      <c r="Q1027" s="87"/>
      <c r="R1027" s="87"/>
      <c r="S1027" s="87"/>
      <c r="T1027" s="87"/>
      <c r="U1027" s="87"/>
      <c r="V1027" s="87"/>
      <c r="W1027" s="87"/>
      <c r="X1027" s="87"/>
      <c r="Y1027" s="1"/>
    </row>
    <row r="1028" spans="1:27" ht="14.25" thickBot="1" x14ac:dyDescent="0.2">
      <c r="A1028" s="5" t="s">
        <v>0</v>
      </c>
      <c r="B1028" s="244" t="s">
        <v>19</v>
      </c>
      <c r="C1028" s="245"/>
      <c r="D1028" s="245"/>
      <c r="E1028" s="245"/>
      <c r="F1028" s="246"/>
      <c r="G1028" s="247" t="s">
        <v>20</v>
      </c>
      <c r="H1028" s="248"/>
      <c r="I1028" s="248"/>
      <c r="J1028" s="248"/>
      <c r="K1028" s="249"/>
      <c r="L1028" s="250" t="s">
        <v>1</v>
      </c>
      <c r="N1028" s="5" t="s">
        <v>0</v>
      </c>
      <c r="O1028" s="244" t="s">
        <v>19</v>
      </c>
      <c r="P1028" s="245"/>
      <c r="Q1028" s="245"/>
      <c r="R1028" s="245"/>
      <c r="S1028" s="246"/>
      <c r="T1028" s="247" t="s">
        <v>20</v>
      </c>
      <c r="U1028" s="248"/>
      <c r="V1028" s="248"/>
      <c r="W1028" s="248"/>
      <c r="X1028" s="249"/>
      <c r="Y1028" s="250" t="s">
        <v>1</v>
      </c>
    </row>
    <row r="1029" spans="1:27" ht="14.25" thickBot="1" x14ac:dyDescent="0.2">
      <c r="A1029" s="5" t="s">
        <v>2</v>
      </c>
      <c r="B1029" s="3" t="s">
        <v>11</v>
      </c>
      <c r="C1029" s="34" t="s">
        <v>12</v>
      </c>
      <c r="D1029" s="4" t="s">
        <v>13</v>
      </c>
      <c r="E1029" s="19" t="s">
        <v>14</v>
      </c>
      <c r="F1029" s="23" t="s">
        <v>3</v>
      </c>
      <c r="G1029" s="3" t="s">
        <v>11</v>
      </c>
      <c r="H1029" s="34" t="s">
        <v>12</v>
      </c>
      <c r="I1029" s="4" t="s">
        <v>13</v>
      </c>
      <c r="J1029" s="19" t="s">
        <v>14</v>
      </c>
      <c r="K1029" s="23" t="s">
        <v>3</v>
      </c>
      <c r="L1029" s="251"/>
      <c r="N1029" s="5" t="s">
        <v>2</v>
      </c>
      <c r="O1029" s="53" t="s">
        <v>11</v>
      </c>
      <c r="P1029" s="54" t="s">
        <v>12</v>
      </c>
      <c r="Q1029" s="55" t="s">
        <v>13</v>
      </c>
      <c r="R1029" s="56" t="s">
        <v>14</v>
      </c>
      <c r="S1029" s="23" t="s">
        <v>3</v>
      </c>
      <c r="T1029" s="3" t="s">
        <v>11</v>
      </c>
      <c r="U1029" s="34" t="s">
        <v>12</v>
      </c>
      <c r="V1029" s="4" t="s">
        <v>13</v>
      </c>
      <c r="W1029" s="19" t="s">
        <v>14</v>
      </c>
      <c r="X1029" s="23" t="s">
        <v>3</v>
      </c>
      <c r="Y1029" s="251"/>
    </row>
    <row r="1030" spans="1:27" ht="14.25" thickBot="1" x14ac:dyDescent="0.2">
      <c r="A1030" s="18" t="s">
        <v>15</v>
      </c>
      <c r="B1030" s="31">
        <f>B1024</f>
        <v>36</v>
      </c>
      <c r="C1030" s="32">
        <f>C1024</f>
        <v>24</v>
      </c>
      <c r="D1030" s="32">
        <f>D1024</f>
        <v>32</v>
      </c>
      <c r="E1030" s="33">
        <f>E1024</f>
        <v>19</v>
      </c>
      <c r="F1030" s="86">
        <f>SUM(B1030:E1030)</f>
        <v>111</v>
      </c>
      <c r="G1030" s="31">
        <f>G1024</f>
        <v>19</v>
      </c>
      <c r="H1030" s="32">
        <f>H1024</f>
        <v>20</v>
      </c>
      <c r="I1030" s="32">
        <f>I1024</f>
        <v>27</v>
      </c>
      <c r="J1030" s="33">
        <f>J1024</f>
        <v>30</v>
      </c>
      <c r="K1030" s="80">
        <f>SUM(G1030:J1030)</f>
        <v>96</v>
      </c>
      <c r="L1030" s="17">
        <f>F1030+K1030</f>
        <v>207</v>
      </c>
      <c r="N1030" s="18" t="s">
        <v>15</v>
      </c>
      <c r="O1030" s="31">
        <f>O1024</f>
        <v>276</v>
      </c>
      <c r="P1030" s="32">
        <f t="shared" ref="P1030:Y1030" si="817">P1024</f>
        <v>309</v>
      </c>
      <c r="Q1030" s="32">
        <f t="shared" si="817"/>
        <v>138</v>
      </c>
      <c r="R1030" s="33">
        <f t="shared" si="817"/>
        <v>182</v>
      </c>
      <c r="S1030" s="86">
        <f t="shared" si="817"/>
        <v>905</v>
      </c>
      <c r="T1030" s="31">
        <f t="shared" si="817"/>
        <v>112</v>
      </c>
      <c r="U1030" s="32">
        <f t="shared" si="817"/>
        <v>188</v>
      </c>
      <c r="V1030" s="32">
        <f t="shared" si="817"/>
        <v>56</v>
      </c>
      <c r="W1030" s="33">
        <f t="shared" si="817"/>
        <v>141</v>
      </c>
      <c r="X1030" s="80">
        <f t="shared" si="817"/>
        <v>497</v>
      </c>
      <c r="Y1030" s="17">
        <f t="shared" si="817"/>
        <v>1402</v>
      </c>
    </row>
    <row r="1031" spans="1:27" x14ac:dyDescent="0.15">
      <c r="A1031" s="13" t="s">
        <v>4</v>
      </c>
      <c r="B1031" s="20"/>
      <c r="C1031" s="35">
        <v>5</v>
      </c>
      <c r="D1031" s="21"/>
      <c r="E1031" s="24">
        <v>10</v>
      </c>
      <c r="F1031" s="25">
        <f t="shared" ref="F1031:F1034" si="818">SUM(B1031:E1031)</f>
        <v>15</v>
      </c>
      <c r="G1031" s="20">
        <v>10</v>
      </c>
      <c r="H1031" s="35">
        <v>10</v>
      </c>
      <c r="I1031" s="21">
        <v>5</v>
      </c>
      <c r="J1031" s="24"/>
      <c r="K1031" s="25">
        <f t="shared" ref="K1031:K1034" si="819">SUM(G1031:J1031)</f>
        <v>25</v>
      </c>
      <c r="L1031" s="11">
        <f t="shared" ref="L1031:L1062" si="820">F1031+K1031</f>
        <v>40</v>
      </c>
      <c r="M1031" s="69">
        <v>45618</v>
      </c>
      <c r="N1031" s="59" t="s">
        <v>16</v>
      </c>
      <c r="O1031" s="48"/>
      <c r="P1031" s="49"/>
      <c r="Q1031" s="50"/>
      <c r="R1031" s="51"/>
      <c r="S1031" s="85">
        <f t="shared" ref="S1031:S1033" si="821">SUM(O1031:R1031)</f>
        <v>0</v>
      </c>
      <c r="T1031" s="48"/>
      <c r="U1031" s="49"/>
      <c r="V1031" s="50"/>
      <c r="W1031" s="51"/>
      <c r="X1031" s="74">
        <f t="shared" ref="X1031:X1033" si="822">SUM(T1031:W1031)</f>
        <v>0</v>
      </c>
      <c r="Y1031" s="11">
        <f t="shared" ref="Y1031:Y1060" si="823">S1031+X1031</f>
        <v>0</v>
      </c>
    </row>
    <row r="1032" spans="1:27" x14ac:dyDescent="0.15">
      <c r="A1032" s="13" t="s">
        <v>5</v>
      </c>
      <c r="B1032" s="20"/>
      <c r="C1032" s="35">
        <v>5</v>
      </c>
      <c r="D1032" s="21">
        <v>5</v>
      </c>
      <c r="E1032" s="24">
        <v>5</v>
      </c>
      <c r="F1032" s="25">
        <f t="shared" si="818"/>
        <v>15</v>
      </c>
      <c r="G1032" s="20">
        <v>10</v>
      </c>
      <c r="H1032" s="35">
        <v>5</v>
      </c>
      <c r="I1032" s="21"/>
      <c r="J1032" s="24"/>
      <c r="K1032" s="25">
        <f t="shared" si="819"/>
        <v>15</v>
      </c>
      <c r="L1032" s="11">
        <f t="shared" si="820"/>
        <v>30</v>
      </c>
      <c r="M1032" s="69">
        <v>45621</v>
      </c>
      <c r="N1032" s="59" t="s">
        <v>4</v>
      </c>
      <c r="O1032" s="48">
        <v>600</v>
      </c>
      <c r="P1032" s="49">
        <v>750</v>
      </c>
      <c r="Q1032" s="50">
        <v>400</v>
      </c>
      <c r="R1032" s="51">
        <v>250</v>
      </c>
      <c r="S1032" s="85">
        <f t="shared" si="821"/>
        <v>2000</v>
      </c>
      <c r="T1032" s="48">
        <v>550</v>
      </c>
      <c r="U1032" s="49">
        <v>700</v>
      </c>
      <c r="V1032" s="50">
        <v>450</v>
      </c>
      <c r="W1032" s="51">
        <v>300</v>
      </c>
      <c r="X1032" s="74">
        <f t="shared" si="822"/>
        <v>2000</v>
      </c>
      <c r="Y1032" s="11">
        <f t="shared" si="823"/>
        <v>4000</v>
      </c>
      <c r="Z1032" s="69" t="s">
        <v>650</v>
      </c>
    </row>
    <row r="1033" spans="1:27" x14ac:dyDescent="0.15">
      <c r="A1033" s="13" t="s">
        <v>6</v>
      </c>
      <c r="B1033" s="20">
        <v>5</v>
      </c>
      <c r="C1033" s="35">
        <v>5</v>
      </c>
      <c r="D1033" s="21">
        <v>5</v>
      </c>
      <c r="E1033" s="24"/>
      <c r="F1033" s="25">
        <f t="shared" si="818"/>
        <v>15</v>
      </c>
      <c r="G1033" s="20">
        <v>5</v>
      </c>
      <c r="H1033" s="35">
        <v>10</v>
      </c>
      <c r="I1033" s="21">
        <v>5</v>
      </c>
      <c r="J1033" s="24"/>
      <c r="K1033" s="25">
        <f t="shared" si="819"/>
        <v>20</v>
      </c>
      <c r="L1033" s="11">
        <f t="shared" si="820"/>
        <v>35</v>
      </c>
      <c r="M1033" s="69">
        <v>45626</v>
      </c>
      <c r="N1033" s="59" t="s">
        <v>5</v>
      </c>
      <c r="O1033" s="48"/>
      <c r="P1033" s="49"/>
      <c r="Q1033" s="50"/>
      <c r="R1033" s="51"/>
      <c r="S1033" s="85">
        <f t="shared" si="821"/>
        <v>0</v>
      </c>
      <c r="T1033" s="48"/>
      <c r="U1033" s="49"/>
      <c r="V1033" s="50"/>
      <c r="W1033" s="51"/>
      <c r="X1033" s="74">
        <f t="shared" si="822"/>
        <v>0</v>
      </c>
      <c r="Y1033" s="11">
        <f t="shared" si="823"/>
        <v>0</v>
      </c>
      <c r="Z1033" s="162" t="s">
        <v>615</v>
      </c>
    </row>
    <row r="1034" spans="1:27" ht="14.25" thickBot="1" x14ac:dyDescent="0.2">
      <c r="A1034" s="13" t="s">
        <v>7</v>
      </c>
      <c r="B1034" s="48">
        <v>10</v>
      </c>
      <c r="C1034" s="49">
        <v>10</v>
      </c>
      <c r="D1034" s="50">
        <v>5</v>
      </c>
      <c r="E1034" s="51"/>
      <c r="F1034" s="52">
        <f t="shared" si="818"/>
        <v>25</v>
      </c>
      <c r="G1034" s="48">
        <v>10</v>
      </c>
      <c r="H1034" s="49">
        <v>10</v>
      </c>
      <c r="I1034" s="50">
        <v>10</v>
      </c>
      <c r="J1034" s="51">
        <v>5</v>
      </c>
      <c r="K1034" s="52">
        <f t="shared" si="819"/>
        <v>35</v>
      </c>
      <c r="L1034" s="11">
        <f t="shared" si="820"/>
        <v>60</v>
      </c>
      <c r="M1034" s="69">
        <v>45633</v>
      </c>
      <c r="N1034" s="13" t="s">
        <v>6</v>
      </c>
      <c r="O1034" s="43"/>
      <c r="P1034" s="44"/>
      <c r="Q1034" s="45"/>
      <c r="R1034" s="46"/>
      <c r="S1034" s="58">
        <f>SUM(O1034:R1034)</f>
        <v>0</v>
      </c>
      <c r="T1034" s="35"/>
      <c r="U1034" s="35"/>
      <c r="V1034" s="21"/>
      <c r="W1034" s="38"/>
      <c r="X1034" s="10">
        <f>SUM(T1034:W1034)</f>
        <v>0</v>
      </c>
      <c r="Y1034" s="14">
        <f t="shared" si="823"/>
        <v>0</v>
      </c>
    </row>
    <row r="1035" spans="1:27" ht="14.25" thickBot="1" x14ac:dyDescent="0.2">
      <c r="A1035" s="18" t="s">
        <v>8</v>
      </c>
      <c r="B1035" s="76">
        <f t="shared" ref="B1035:K1035" si="824">SUM(B1030:B1034)</f>
        <v>51</v>
      </c>
      <c r="C1035" s="77">
        <f t="shared" si="824"/>
        <v>49</v>
      </c>
      <c r="D1035" s="78">
        <f t="shared" si="824"/>
        <v>47</v>
      </c>
      <c r="E1035" s="79">
        <f t="shared" si="824"/>
        <v>34</v>
      </c>
      <c r="F1035" s="80">
        <f t="shared" si="824"/>
        <v>181</v>
      </c>
      <c r="G1035" s="76">
        <f t="shared" si="824"/>
        <v>54</v>
      </c>
      <c r="H1035" s="77">
        <f t="shared" si="824"/>
        <v>55</v>
      </c>
      <c r="I1035" s="78">
        <f t="shared" si="824"/>
        <v>47</v>
      </c>
      <c r="J1035" s="79">
        <f t="shared" si="824"/>
        <v>35</v>
      </c>
      <c r="K1035" s="80">
        <f t="shared" si="824"/>
        <v>191</v>
      </c>
      <c r="L1035" s="17">
        <f t="shared" si="820"/>
        <v>372</v>
      </c>
      <c r="N1035" s="16" t="s">
        <v>8</v>
      </c>
      <c r="O1035" s="31">
        <f>SUM(O1030:O1034)</f>
        <v>876</v>
      </c>
      <c r="P1035" s="37">
        <f t="shared" ref="P1035" si="825">SUM(P1030:P1034)</f>
        <v>1059</v>
      </c>
      <c r="Q1035" s="32">
        <f t="shared" ref="Q1035" si="826">SUM(Q1030:Q1034)</f>
        <v>538</v>
      </c>
      <c r="R1035" s="82">
        <f t="shared" ref="R1035" si="827">SUM(R1030:R1034)</f>
        <v>432</v>
      </c>
      <c r="S1035" s="83">
        <f>SUM(S1030:S1034)</f>
        <v>2905</v>
      </c>
      <c r="T1035" s="31">
        <f>SUM(T1030:T1034)</f>
        <v>662</v>
      </c>
      <c r="U1035" s="37">
        <f t="shared" ref="U1035" si="828">SUM(U1030:U1034)</f>
        <v>888</v>
      </c>
      <c r="V1035" s="32">
        <f t="shared" ref="V1035" si="829">SUM(V1030:V1034)</f>
        <v>506</v>
      </c>
      <c r="W1035" s="82">
        <f t="shared" ref="W1035" si="830">SUM(W1030:W1034)</f>
        <v>441</v>
      </c>
      <c r="X1035" s="83">
        <f>SUM(X1030:X1034)</f>
        <v>2497</v>
      </c>
      <c r="Y1035" s="39">
        <f>S1035+X1035</f>
        <v>5402</v>
      </c>
    </row>
    <row r="1036" spans="1:27" x14ac:dyDescent="0.15">
      <c r="A1036" s="40" t="s">
        <v>606</v>
      </c>
      <c r="B1036" s="20"/>
      <c r="C1036" s="35">
        <v>1</v>
      </c>
      <c r="D1036" s="21"/>
      <c r="E1036" s="24"/>
      <c r="F1036" s="25">
        <f t="shared" ref="F1036:F1060" si="831">SUM(B1036:E1036)</f>
        <v>1</v>
      </c>
      <c r="G1036" s="20"/>
      <c r="H1036" s="35">
        <v>1</v>
      </c>
      <c r="I1036" s="21"/>
      <c r="J1036" s="24"/>
      <c r="K1036" s="25">
        <f t="shared" ref="K1036:K1060" si="832">SUM(G1036:J1036)</f>
        <v>1</v>
      </c>
      <c r="L1036" s="11">
        <f t="shared" si="820"/>
        <v>2</v>
      </c>
      <c r="M1036" s="69">
        <v>45621</v>
      </c>
      <c r="N1036" s="12" t="s">
        <v>605</v>
      </c>
      <c r="O1036" s="20"/>
      <c r="P1036" s="35"/>
      <c r="Q1036" s="21"/>
      <c r="R1036" s="38"/>
      <c r="S1036" s="9">
        <f t="shared" ref="S1036:S1049" si="833">SUM(O1036:R1036)</f>
        <v>0</v>
      </c>
      <c r="T1036" s="20"/>
      <c r="U1036" s="35"/>
      <c r="V1036" s="21">
        <v>5</v>
      </c>
      <c r="W1036" s="38"/>
      <c r="X1036" s="98">
        <f t="shared" ref="X1036:X1049" si="834">SUM(T1036:W1036)</f>
        <v>5</v>
      </c>
      <c r="Y1036" s="11">
        <f t="shared" si="823"/>
        <v>5</v>
      </c>
      <c r="Z1036" s="69">
        <v>45629</v>
      </c>
      <c r="AA1036" s="41"/>
    </row>
    <row r="1037" spans="1:27" x14ac:dyDescent="0.15">
      <c r="A1037" s="12" t="s">
        <v>607</v>
      </c>
      <c r="B1037" s="20">
        <v>2</v>
      </c>
      <c r="C1037" s="35"/>
      <c r="D1037" s="21"/>
      <c r="E1037" s="24"/>
      <c r="F1037" s="25">
        <f t="shared" si="831"/>
        <v>2</v>
      </c>
      <c r="G1037" s="20">
        <v>6</v>
      </c>
      <c r="H1037" s="35"/>
      <c r="I1037" s="21"/>
      <c r="J1037" s="24"/>
      <c r="K1037" s="25">
        <f t="shared" si="832"/>
        <v>6</v>
      </c>
      <c r="L1037" s="11">
        <f t="shared" si="820"/>
        <v>8</v>
      </c>
      <c r="M1037" s="69">
        <v>45619</v>
      </c>
      <c r="N1037" s="40" t="s">
        <v>26</v>
      </c>
      <c r="O1037" s="20">
        <v>5</v>
      </c>
      <c r="P1037" s="35">
        <v>5</v>
      </c>
      <c r="Q1037" s="21">
        <v>5</v>
      </c>
      <c r="R1037" s="38"/>
      <c r="S1037" s="9">
        <f t="shared" si="833"/>
        <v>15</v>
      </c>
      <c r="T1037" s="20">
        <v>5</v>
      </c>
      <c r="U1037" s="35">
        <v>10</v>
      </c>
      <c r="V1037" s="21">
        <v>5</v>
      </c>
      <c r="W1037" s="38"/>
      <c r="X1037" s="9">
        <f t="shared" si="834"/>
        <v>20</v>
      </c>
      <c r="Y1037" s="11">
        <f t="shared" si="823"/>
        <v>35</v>
      </c>
      <c r="Z1037" s="69">
        <v>45626</v>
      </c>
      <c r="AA1037" s="41"/>
    </row>
    <row r="1038" spans="1:27" x14ac:dyDescent="0.15">
      <c r="A1038" s="59" t="s">
        <v>27</v>
      </c>
      <c r="B1038" s="20"/>
      <c r="C1038" s="35"/>
      <c r="D1038" s="21">
        <v>6</v>
      </c>
      <c r="E1038" s="24">
        <v>1</v>
      </c>
      <c r="F1038" s="25">
        <f t="shared" si="831"/>
        <v>7</v>
      </c>
      <c r="G1038" s="20">
        <v>3</v>
      </c>
      <c r="H1038" s="35">
        <v>4</v>
      </c>
      <c r="I1038" s="21"/>
      <c r="J1038" s="24">
        <v>1</v>
      </c>
      <c r="K1038" s="25">
        <f t="shared" si="832"/>
        <v>8</v>
      </c>
      <c r="L1038" s="11">
        <f t="shared" si="820"/>
        <v>15</v>
      </c>
      <c r="M1038" s="69">
        <v>45618</v>
      </c>
      <c r="N1038" s="12" t="s">
        <v>624</v>
      </c>
      <c r="O1038" s="20"/>
      <c r="P1038" s="35"/>
      <c r="Q1038" s="21"/>
      <c r="R1038" s="38"/>
      <c r="S1038" s="9">
        <f t="shared" si="833"/>
        <v>0</v>
      </c>
      <c r="T1038" s="20"/>
      <c r="U1038" s="35">
        <v>10</v>
      </c>
      <c r="V1038" s="21">
        <v>5</v>
      </c>
      <c r="W1038" s="38">
        <v>20</v>
      </c>
      <c r="X1038" s="9">
        <f t="shared" si="834"/>
        <v>35</v>
      </c>
      <c r="Y1038" s="11">
        <f t="shared" si="823"/>
        <v>35</v>
      </c>
      <c r="Z1038" s="69">
        <v>45631</v>
      </c>
      <c r="AA1038" s="41"/>
    </row>
    <row r="1039" spans="1:27" x14ac:dyDescent="0.15">
      <c r="A1039" s="40" t="s">
        <v>608</v>
      </c>
      <c r="B1039" s="20">
        <v>1</v>
      </c>
      <c r="C1039" s="35">
        <v>1</v>
      </c>
      <c r="D1039" s="21"/>
      <c r="E1039" s="24"/>
      <c r="F1039" s="25">
        <f t="shared" si="831"/>
        <v>2</v>
      </c>
      <c r="G1039" s="20">
        <v>1</v>
      </c>
      <c r="H1039" s="35">
        <v>1</v>
      </c>
      <c r="I1039" s="21"/>
      <c r="J1039" s="24"/>
      <c r="K1039" s="25">
        <f t="shared" si="832"/>
        <v>2</v>
      </c>
      <c r="L1039" s="11">
        <f t="shared" si="820"/>
        <v>4</v>
      </c>
      <c r="M1039" s="69">
        <v>45623</v>
      </c>
      <c r="N1039" s="40" t="s">
        <v>623</v>
      </c>
      <c r="O1039" s="20">
        <v>20</v>
      </c>
      <c r="P1039" s="35">
        <v>20</v>
      </c>
      <c r="Q1039" s="21">
        <v>20</v>
      </c>
      <c r="R1039" s="38">
        <v>30</v>
      </c>
      <c r="S1039" s="9">
        <f t="shared" si="833"/>
        <v>90</v>
      </c>
      <c r="T1039" s="20">
        <v>20</v>
      </c>
      <c r="U1039" s="35">
        <v>40</v>
      </c>
      <c r="V1039" s="21">
        <v>30</v>
      </c>
      <c r="W1039" s="38">
        <v>30</v>
      </c>
      <c r="X1039" s="9">
        <f t="shared" si="834"/>
        <v>120</v>
      </c>
      <c r="Y1039" s="11">
        <f t="shared" si="823"/>
        <v>210</v>
      </c>
      <c r="Z1039" s="69">
        <v>45633</v>
      </c>
    </row>
    <row r="1040" spans="1:27" x14ac:dyDescent="0.15">
      <c r="A1040" s="59" t="s">
        <v>27</v>
      </c>
      <c r="B1040" s="20">
        <v>1</v>
      </c>
      <c r="C1040" s="35">
        <v>3</v>
      </c>
      <c r="D1040" s="21"/>
      <c r="E1040" s="24"/>
      <c r="F1040" s="25">
        <f t="shared" si="831"/>
        <v>4</v>
      </c>
      <c r="G1040" s="20">
        <v>2</v>
      </c>
      <c r="H1040" s="35">
        <v>7</v>
      </c>
      <c r="I1040" s="21">
        <v>1</v>
      </c>
      <c r="J1040" s="24"/>
      <c r="K1040" s="25">
        <f t="shared" si="832"/>
        <v>10</v>
      </c>
      <c r="L1040" s="11">
        <f t="shared" si="820"/>
        <v>14</v>
      </c>
      <c r="M1040" s="69">
        <v>45621</v>
      </c>
      <c r="N1040" s="12" t="s">
        <v>664</v>
      </c>
      <c r="O1040" s="20"/>
      <c r="P1040" s="35"/>
      <c r="Q1040" s="21"/>
      <c r="R1040" s="38"/>
      <c r="S1040" s="9">
        <f t="shared" si="833"/>
        <v>0</v>
      </c>
      <c r="T1040" s="20"/>
      <c r="U1040" s="35">
        <v>20</v>
      </c>
      <c r="V1040" s="21">
        <v>10</v>
      </c>
      <c r="W1040" s="38"/>
      <c r="X1040" s="9">
        <f t="shared" si="834"/>
        <v>30</v>
      </c>
      <c r="Y1040" s="11">
        <f t="shared" si="823"/>
        <v>30</v>
      </c>
      <c r="Z1040" s="69">
        <v>45633</v>
      </c>
    </row>
    <row r="1041" spans="1:26" x14ac:dyDescent="0.15">
      <c r="A1041" s="59" t="s">
        <v>27</v>
      </c>
      <c r="B1041" s="20"/>
      <c r="C1041" s="35">
        <v>3</v>
      </c>
      <c r="D1041" s="21">
        <f>1+3</f>
        <v>4</v>
      </c>
      <c r="E1041" s="24">
        <v>1</v>
      </c>
      <c r="F1041" s="25">
        <f t="shared" si="831"/>
        <v>8</v>
      </c>
      <c r="G1041" s="20"/>
      <c r="H1041" s="35"/>
      <c r="I1041" s="21">
        <f>1+3</f>
        <v>4</v>
      </c>
      <c r="J1041" s="24">
        <v>1</v>
      </c>
      <c r="K1041" s="25">
        <f t="shared" si="832"/>
        <v>5</v>
      </c>
      <c r="L1041" s="11">
        <f t="shared" si="820"/>
        <v>13</v>
      </c>
      <c r="M1041" s="69">
        <v>45622</v>
      </c>
      <c r="N1041" s="40" t="s">
        <v>26</v>
      </c>
      <c r="O1041" s="20">
        <v>10</v>
      </c>
      <c r="P1041" s="35">
        <v>5</v>
      </c>
      <c r="Q1041" s="21"/>
      <c r="R1041" s="38"/>
      <c r="S1041" s="9">
        <f t="shared" si="833"/>
        <v>15</v>
      </c>
      <c r="T1041" s="20">
        <v>10</v>
      </c>
      <c r="U1041" s="35">
        <v>10</v>
      </c>
      <c r="V1041" s="21">
        <v>5</v>
      </c>
      <c r="W1041" s="38">
        <v>5</v>
      </c>
      <c r="X1041" s="9">
        <f t="shared" si="834"/>
        <v>30</v>
      </c>
      <c r="Y1041" s="11">
        <f t="shared" si="823"/>
        <v>45</v>
      </c>
      <c r="Z1041" s="69">
        <v>45633</v>
      </c>
    </row>
    <row r="1042" spans="1:26" x14ac:dyDescent="0.15">
      <c r="A1042" s="40" t="s">
        <v>609</v>
      </c>
      <c r="B1042" s="20">
        <v>1</v>
      </c>
      <c r="C1042" s="35">
        <v>1</v>
      </c>
      <c r="D1042" s="21"/>
      <c r="E1042" s="24"/>
      <c r="F1042" s="25">
        <f t="shared" si="831"/>
        <v>2</v>
      </c>
      <c r="G1042" s="20">
        <v>1</v>
      </c>
      <c r="H1042" s="35">
        <v>1</v>
      </c>
      <c r="I1042" s="21"/>
      <c r="J1042" s="24"/>
      <c r="K1042" s="25">
        <f t="shared" si="832"/>
        <v>2</v>
      </c>
      <c r="L1042" s="11">
        <f t="shared" si="820"/>
        <v>4</v>
      </c>
      <c r="M1042" s="69">
        <v>45625</v>
      </c>
      <c r="N1042" s="12" t="s">
        <v>629</v>
      </c>
      <c r="O1042" s="20">
        <v>10</v>
      </c>
      <c r="P1042" s="35">
        <v>15</v>
      </c>
      <c r="Q1042" s="21">
        <v>10</v>
      </c>
      <c r="R1042" s="38"/>
      <c r="S1042" s="9">
        <f t="shared" si="833"/>
        <v>35</v>
      </c>
      <c r="T1042" s="20">
        <v>10</v>
      </c>
      <c r="U1042" s="35">
        <v>15</v>
      </c>
      <c r="V1042" s="21">
        <v>10</v>
      </c>
      <c r="W1042" s="38"/>
      <c r="X1042" s="9">
        <f t="shared" si="834"/>
        <v>35</v>
      </c>
      <c r="Y1042" s="11">
        <f t="shared" si="823"/>
        <v>70</v>
      </c>
      <c r="Z1042" s="69">
        <v>45635</v>
      </c>
    </row>
    <row r="1043" spans="1:26" x14ac:dyDescent="0.15">
      <c r="A1043" s="59" t="s">
        <v>27</v>
      </c>
      <c r="B1043" s="20">
        <f>2+1</f>
        <v>3</v>
      </c>
      <c r="C1043" s="35">
        <v>1</v>
      </c>
      <c r="D1043" s="21"/>
      <c r="E1043" s="24"/>
      <c r="F1043" s="25">
        <f t="shared" si="831"/>
        <v>4</v>
      </c>
      <c r="G1043" s="20"/>
      <c r="H1043" s="35">
        <v>1</v>
      </c>
      <c r="I1043" s="21"/>
      <c r="J1043" s="24"/>
      <c r="K1043" s="25">
        <f t="shared" si="832"/>
        <v>1</v>
      </c>
      <c r="L1043" s="11">
        <f t="shared" si="820"/>
        <v>5</v>
      </c>
      <c r="M1043" s="69">
        <v>45623</v>
      </c>
      <c r="N1043" s="40" t="s">
        <v>628</v>
      </c>
      <c r="O1043" s="20">
        <v>15</v>
      </c>
      <c r="P1043" s="35">
        <v>30</v>
      </c>
      <c r="Q1043" s="21"/>
      <c r="R1043" s="38"/>
      <c r="S1043" s="9">
        <f t="shared" si="833"/>
        <v>45</v>
      </c>
      <c r="T1043" s="20"/>
      <c r="U1043" s="35"/>
      <c r="V1043" s="21"/>
      <c r="W1043" s="38"/>
      <c r="X1043" s="9">
        <f t="shared" si="834"/>
        <v>0</v>
      </c>
      <c r="Y1043" s="11">
        <f t="shared" si="823"/>
        <v>45</v>
      </c>
      <c r="Z1043" s="69">
        <v>45637</v>
      </c>
    </row>
    <row r="1044" spans="1:26" x14ac:dyDescent="0.15">
      <c r="A1044" s="40" t="s">
        <v>613</v>
      </c>
      <c r="B1044" s="20"/>
      <c r="C1044" s="35"/>
      <c r="D1044" s="21">
        <v>1</v>
      </c>
      <c r="E1044" s="24"/>
      <c r="F1044" s="25">
        <f t="shared" si="831"/>
        <v>1</v>
      </c>
      <c r="G1044" s="20"/>
      <c r="H1044" s="35"/>
      <c r="I1044" s="21">
        <v>1</v>
      </c>
      <c r="J1044" s="24"/>
      <c r="K1044" s="25">
        <f t="shared" si="832"/>
        <v>1</v>
      </c>
      <c r="L1044" s="11">
        <f t="shared" si="820"/>
        <v>2</v>
      </c>
      <c r="M1044" s="69">
        <v>45625</v>
      </c>
      <c r="N1044" s="12" t="s">
        <v>626</v>
      </c>
      <c r="O1044" s="20">
        <v>5</v>
      </c>
      <c r="P1044" s="35">
        <v>14</v>
      </c>
      <c r="Q1044" s="21">
        <v>8</v>
      </c>
      <c r="R1044" s="38"/>
      <c r="S1044" s="9">
        <f t="shared" si="833"/>
        <v>27</v>
      </c>
      <c r="T1044" s="20">
        <v>8</v>
      </c>
      <c r="U1044" s="35">
        <v>17</v>
      </c>
      <c r="V1044" s="21">
        <v>6</v>
      </c>
      <c r="W1044" s="38"/>
      <c r="X1044" s="9">
        <f t="shared" si="834"/>
        <v>31</v>
      </c>
      <c r="Y1044" s="11">
        <f t="shared" si="823"/>
        <v>58</v>
      </c>
      <c r="Z1044" s="69">
        <v>45637</v>
      </c>
    </row>
    <row r="1045" spans="1:26" x14ac:dyDescent="0.15">
      <c r="A1045" s="59" t="s">
        <v>27</v>
      </c>
      <c r="B1045" s="20">
        <v>2</v>
      </c>
      <c r="C1045" s="35"/>
      <c r="D1045" s="21">
        <v>1</v>
      </c>
      <c r="E1045" s="24"/>
      <c r="F1045" s="25">
        <f t="shared" si="831"/>
        <v>3</v>
      </c>
      <c r="G1045" s="20"/>
      <c r="H1045" s="35"/>
      <c r="I1045" s="21">
        <v>1</v>
      </c>
      <c r="J1045" s="24"/>
      <c r="K1045" s="25">
        <f t="shared" si="832"/>
        <v>1</v>
      </c>
      <c r="L1045" s="11">
        <f t="shared" si="820"/>
        <v>4</v>
      </c>
      <c r="M1045" s="69">
        <v>45624</v>
      </c>
      <c r="N1045" s="12" t="s">
        <v>630</v>
      </c>
      <c r="O1045" s="20">
        <v>15</v>
      </c>
      <c r="P1045" s="35">
        <v>15</v>
      </c>
      <c r="Q1045" s="21">
        <v>10</v>
      </c>
      <c r="R1045" s="38">
        <v>10</v>
      </c>
      <c r="S1045" s="9">
        <f t="shared" si="833"/>
        <v>50</v>
      </c>
      <c r="T1045" s="20">
        <v>15</v>
      </c>
      <c r="U1045" s="35">
        <v>15</v>
      </c>
      <c r="V1045" s="21">
        <v>10</v>
      </c>
      <c r="W1045" s="38">
        <v>10</v>
      </c>
      <c r="X1045" s="9">
        <f t="shared" si="834"/>
        <v>50</v>
      </c>
      <c r="Y1045" s="11">
        <f t="shared" si="823"/>
        <v>100</v>
      </c>
      <c r="Z1045" s="69">
        <v>45645</v>
      </c>
    </row>
    <row r="1046" spans="1:26" x14ac:dyDescent="0.15">
      <c r="A1046" s="40" t="s">
        <v>614</v>
      </c>
      <c r="B1046" s="20">
        <v>1</v>
      </c>
      <c r="C1046" s="35"/>
      <c r="D1046" s="21"/>
      <c r="E1046" s="24"/>
      <c r="F1046" s="25">
        <f t="shared" si="831"/>
        <v>1</v>
      </c>
      <c r="G1046" s="20">
        <v>1</v>
      </c>
      <c r="H1046" s="35"/>
      <c r="I1046" s="21"/>
      <c r="J1046" s="24"/>
      <c r="K1046" s="25">
        <f t="shared" si="832"/>
        <v>1</v>
      </c>
      <c r="L1046" s="11">
        <f t="shared" si="820"/>
        <v>2</v>
      </c>
      <c r="M1046" s="69">
        <v>45628</v>
      </c>
      <c r="N1046" s="40" t="s">
        <v>633</v>
      </c>
      <c r="O1046" s="20">
        <v>20</v>
      </c>
      <c r="P1046" s="35">
        <v>10</v>
      </c>
      <c r="Q1046" s="21">
        <v>40</v>
      </c>
      <c r="R1046" s="38">
        <v>15</v>
      </c>
      <c r="S1046" s="9">
        <f t="shared" si="833"/>
        <v>85</v>
      </c>
      <c r="T1046" s="20">
        <v>15</v>
      </c>
      <c r="U1046" s="35">
        <v>25</v>
      </c>
      <c r="V1046" s="21">
        <v>30</v>
      </c>
      <c r="W1046" s="38">
        <v>15</v>
      </c>
      <c r="X1046" s="9">
        <f t="shared" si="834"/>
        <v>85</v>
      </c>
      <c r="Y1046" s="11">
        <f t="shared" si="823"/>
        <v>170</v>
      </c>
      <c r="Z1046" s="69">
        <v>45639</v>
      </c>
    </row>
    <row r="1047" spans="1:26" x14ac:dyDescent="0.15">
      <c r="A1047" s="59" t="s">
        <v>592</v>
      </c>
      <c r="B1047" s="20"/>
      <c r="C1047" s="35"/>
      <c r="D1047" s="21"/>
      <c r="E1047" s="24"/>
      <c r="F1047" s="25">
        <f t="shared" si="831"/>
        <v>0</v>
      </c>
      <c r="G1047" s="20"/>
      <c r="H1047" s="35">
        <v>1</v>
      </c>
      <c r="I1047" s="21"/>
      <c r="J1047" s="24"/>
      <c r="K1047" s="25">
        <f t="shared" si="832"/>
        <v>1</v>
      </c>
      <c r="L1047" s="11">
        <f t="shared" si="820"/>
        <v>1</v>
      </c>
      <c r="M1047" s="69">
        <v>45627</v>
      </c>
      <c r="N1047" s="12" t="s">
        <v>634</v>
      </c>
      <c r="O1047" s="20"/>
      <c r="P1047" s="35">
        <v>6</v>
      </c>
      <c r="Q1047" s="21"/>
      <c r="R1047" s="38"/>
      <c r="S1047" s="9">
        <f t="shared" si="833"/>
        <v>6</v>
      </c>
      <c r="T1047" s="20"/>
      <c r="U1047" s="35"/>
      <c r="V1047" s="21"/>
      <c r="W1047" s="38"/>
      <c r="X1047" s="9">
        <f t="shared" si="834"/>
        <v>0</v>
      </c>
      <c r="Y1047" s="11">
        <f t="shared" si="823"/>
        <v>6</v>
      </c>
      <c r="Z1047" s="69">
        <v>45644</v>
      </c>
    </row>
    <row r="1048" spans="1:26" x14ac:dyDescent="0.15">
      <c r="A1048" s="59" t="s">
        <v>27</v>
      </c>
      <c r="B1048" s="20">
        <v>1</v>
      </c>
      <c r="C1048" s="35"/>
      <c r="D1048" s="21"/>
      <c r="E1048" s="24"/>
      <c r="F1048" s="25">
        <f t="shared" si="831"/>
        <v>1</v>
      </c>
      <c r="G1048" s="20">
        <v>1</v>
      </c>
      <c r="H1048" s="35"/>
      <c r="I1048" s="21"/>
      <c r="J1048" s="24"/>
      <c r="K1048" s="25">
        <f t="shared" si="832"/>
        <v>1</v>
      </c>
      <c r="L1048" s="11">
        <f t="shared" si="820"/>
        <v>2</v>
      </c>
      <c r="M1048" s="69">
        <v>45626</v>
      </c>
      <c r="N1048" s="40" t="s">
        <v>635</v>
      </c>
      <c r="O1048" s="20"/>
      <c r="P1048" s="35">
        <v>10</v>
      </c>
      <c r="Q1048" s="21"/>
      <c r="R1048" s="38"/>
      <c r="S1048" s="9">
        <f t="shared" si="833"/>
        <v>10</v>
      </c>
      <c r="T1048" s="20">
        <v>20</v>
      </c>
      <c r="U1048" s="35"/>
      <c r="V1048" s="21">
        <v>15</v>
      </c>
      <c r="W1048" s="38"/>
      <c r="X1048" s="9">
        <f t="shared" si="834"/>
        <v>35</v>
      </c>
      <c r="Y1048" s="11">
        <f t="shared" si="823"/>
        <v>45</v>
      </c>
      <c r="Z1048" s="69">
        <v>45640</v>
      </c>
    </row>
    <row r="1049" spans="1:26" x14ac:dyDescent="0.15">
      <c r="A1049" s="40" t="s">
        <v>616</v>
      </c>
      <c r="B1049" s="20">
        <v>2</v>
      </c>
      <c r="C1049" s="35"/>
      <c r="D1049" s="21"/>
      <c r="E1049" s="24"/>
      <c r="F1049" s="25">
        <f t="shared" si="831"/>
        <v>2</v>
      </c>
      <c r="G1049" s="20">
        <v>2</v>
      </c>
      <c r="H1049" s="35"/>
      <c r="I1049" s="21"/>
      <c r="J1049" s="24"/>
      <c r="K1049" s="25">
        <f t="shared" si="832"/>
        <v>2</v>
      </c>
      <c r="L1049" s="11">
        <f t="shared" si="820"/>
        <v>4</v>
      </c>
      <c r="M1049" s="69">
        <v>45630</v>
      </c>
      <c r="N1049" s="40" t="s">
        <v>26</v>
      </c>
      <c r="O1049" s="20">
        <v>15</v>
      </c>
      <c r="P1049" s="35">
        <v>15</v>
      </c>
      <c r="Q1049" s="21">
        <v>15</v>
      </c>
      <c r="R1049" s="38"/>
      <c r="S1049" s="9">
        <f t="shared" si="833"/>
        <v>45</v>
      </c>
      <c r="T1049" s="20">
        <v>10</v>
      </c>
      <c r="U1049" s="35">
        <v>15</v>
      </c>
      <c r="V1049" s="21">
        <v>10</v>
      </c>
      <c r="W1049" s="38"/>
      <c r="X1049" s="9">
        <f t="shared" si="834"/>
        <v>35</v>
      </c>
      <c r="Y1049" s="11">
        <f t="shared" si="823"/>
        <v>80</v>
      </c>
      <c r="Z1049" s="69">
        <v>45639</v>
      </c>
    </row>
    <row r="1050" spans="1:26" x14ac:dyDescent="0.15">
      <c r="A1050" s="59" t="s">
        <v>27</v>
      </c>
      <c r="B1050" s="20">
        <v>1</v>
      </c>
      <c r="C1050" s="35">
        <f>1+2</f>
        <v>3</v>
      </c>
      <c r="D1050" s="21">
        <v>1</v>
      </c>
      <c r="E1050" s="24">
        <v>1</v>
      </c>
      <c r="F1050" s="25">
        <f t="shared" si="831"/>
        <v>6</v>
      </c>
      <c r="G1050" s="20">
        <v>3</v>
      </c>
      <c r="H1050" s="35">
        <v>3</v>
      </c>
      <c r="I1050" s="21">
        <v>1</v>
      </c>
      <c r="J1050" s="24"/>
      <c r="K1050" s="25">
        <f t="shared" si="832"/>
        <v>7</v>
      </c>
      <c r="L1050" s="11">
        <f t="shared" si="820"/>
        <v>13</v>
      </c>
      <c r="M1050" s="69">
        <v>45628</v>
      </c>
      <c r="N1050" s="40" t="s">
        <v>638</v>
      </c>
      <c r="O1050" s="20">
        <v>20</v>
      </c>
      <c r="P1050" s="35">
        <v>25</v>
      </c>
      <c r="Q1050" s="21"/>
      <c r="R1050" s="38"/>
      <c r="S1050" s="9">
        <f t="shared" ref="S1050:S1060" si="835">SUM(O1050:R1050)</f>
        <v>45</v>
      </c>
      <c r="T1050" s="20">
        <v>15</v>
      </c>
      <c r="U1050" s="35">
        <v>15</v>
      </c>
      <c r="V1050" s="21"/>
      <c r="W1050" s="38"/>
      <c r="X1050" s="9">
        <f t="shared" ref="X1050:X1060" si="836">SUM(T1050:W1050)</f>
        <v>30</v>
      </c>
      <c r="Y1050" s="11">
        <f t="shared" si="823"/>
        <v>75</v>
      </c>
      <c r="Z1050" s="69">
        <v>45643</v>
      </c>
    </row>
    <row r="1051" spans="1:26" x14ac:dyDescent="0.15">
      <c r="A1051" s="40" t="s">
        <v>621</v>
      </c>
      <c r="B1051" s="20"/>
      <c r="C1051" s="35"/>
      <c r="D1051" s="21">
        <v>1</v>
      </c>
      <c r="E1051" s="24"/>
      <c r="F1051" s="25">
        <f t="shared" si="831"/>
        <v>1</v>
      </c>
      <c r="G1051" s="20"/>
      <c r="H1051" s="35"/>
      <c r="I1051" s="21">
        <v>1</v>
      </c>
      <c r="J1051" s="24"/>
      <c r="K1051" s="25">
        <f t="shared" si="832"/>
        <v>1</v>
      </c>
      <c r="L1051" s="11">
        <f t="shared" si="820"/>
        <v>2</v>
      </c>
      <c r="M1051" s="69">
        <v>45632</v>
      </c>
      <c r="N1051" s="15"/>
      <c r="O1051" s="20"/>
      <c r="P1051" s="35"/>
      <c r="Q1051" s="21"/>
      <c r="R1051" s="38"/>
      <c r="S1051" s="9">
        <f t="shared" si="835"/>
        <v>0</v>
      </c>
      <c r="T1051" s="20"/>
      <c r="U1051" s="35"/>
      <c r="V1051" s="21"/>
      <c r="W1051" s="38"/>
      <c r="X1051" s="9">
        <f t="shared" si="836"/>
        <v>0</v>
      </c>
      <c r="Y1051" s="11">
        <f t="shared" si="823"/>
        <v>0</v>
      </c>
    </row>
    <row r="1052" spans="1:26" x14ac:dyDescent="0.15">
      <c r="A1052" s="59" t="s">
        <v>27</v>
      </c>
      <c r="B1052" s="20"/>
      <c r="C1052" s="35"/>
      <c r="D1052" s="21"/>
      <c r="E1052" s="24">
        <v>2</v>
      </c>
      <c r="F1052" s="25">
        <f t="shared" si="831"/>
        <v>2</v>
      </c>
      <c r="G1052" s="20"/>
      <c r="H1052" s="35"/>
      <c r="I1052" s="21"/>
      <c r="J1052" s="24"/>
      <c r="K1052" s="25">
        <f t="shared" si="832"/>
        <v>0</v>
      </c>
      <c r="L1052" s="11">
        <f t="shared" si="820"/>
        <v>2</v>
      </c>
      <c r="M1052" s="69">
        <v>45630</v>
      </c>
      <c r="N1052" s="40"/>
      <c r="O1052" s="20"/>
      <c r="P1052" s="35"/>
      <c r="Q1052" s="21"/>
      <c r="R1052" s="38"/>
      <c r="S1052" s="9">
        <f t="shared" si="835"/>
        <v>0</v>
      </c>
      <c r="T1052" s="20"/>
      <c r="U1052" s="35"/>
      <c r="V1052" s="21"/>
      <c r="W1052" s="38"/>
      <c r="X1052" s="9">
        <f t="shared" si="836"/>
        <v>0</v>
      </c>
      <c r="Y1052" s="11">
        <f t="shared" si="823"/>
        <v>0</v>
      </c>
    </row>
    <row r="1053" spans="1:26" x14ac:dyDescent="0.15">
      <c r="A1053" s="40" t="s">
        <v>622</v>
      </c>
      <c r="B1053" s="20">
        <v>2</v>
      </c>
      <c r="C1053" s="35"/>
      <c r="D1053" s="21"/>
      <c r="E1053" s="24"/>
      <c r="F1053" s="25">
        <f t="shared" si="831"/>
        <v>2</v>
      </c>
      <c r="G1053" s="20">
        <v>2</v>
      </c>
      <c r="H1053" s="35"/>
      <c r="I1053" s="21"/>
      <c r="J1053" s="24"/>
      <c r="K1053" s="25">
        <f t="shared" si="832"/>
        <v>2</v>
      </c>
      <c r="L1053" s="11">
        <f t="shared" si="820"/>
        <v>4</v>
      </c>
      <c r="M1053" s="69">
        <v>45632</v>
      </c>
      <c r="N1053" s="137" t="s">
        <v>610</v>
      </c>
      <c r="O1053" s="138"/>
      <c r="P1053" s="139"/>
      <c r="Q1053" s="140"/>
      <c r="R1053" s="141"/>
      <c r="S1053" s="142">
        <f t="shared" si="835"/>
        <v>0</v>
      </c>
      <c r="T1053" s="138"/>
      <c r="U1053" s="139"/>
      <c r="V1053" s="140"/>
      <c r="W1053" s="141"/>
      <c r="X1053" s="142">
        <f t="shared" si="836"/>
        <v>0</v>
      </c>
      <c r="Y1053" s="145">
        <f t="shared" si="823"/>
        <v>0</v>
      </c>
      <c r="Z1053" s="167"/>
    </row>
    <row r="1054" spans="1:26" x14ac:dyDescent="0.15">
      <c r="A1054" s="59" t="s">
        <v>27</v>
      </c>
      <c r="B1054" s="20">
        <v>1</v>
      </c>
      <c r="C1054" s="35">
        <v>1</v>
      </c>
      <c r="D1054" s="21"/>
      <c r="E1054" s="24">
        <v>1</v>
      </c>
      <c r="F1054" s="25">
        <f t="shared" si="831"/>
        <v>3</v>
      </c>
      <c r="G1054" s="20">
        <v>1</v>
      </c>
      <c r="H1054" s="35">
        <f>2+4</f>
        <v>6</v>
      </c>
      <c r="I1054" s="21">
        <v>2</v>
      </c>
      <c r="J1054" s="24"/>
      <c r="K1054" s="25">
        <f t="shared" si="832"/>
        <v>9</v>
      </c>
      <c r="L1054" s="11">
        <f t="shared" si="820"/>
        <v>12</v>
      </c>
      <c r="M1054" s="69">
        <v>45631</v>
      </c>
      <c r="N1054" s="40" t="s">
        <v>611</v>
      </c>
      <c r="O1054" s="48"/>
      <c r="P1054" s="49"/>
      <c r="Q1054" s="50"/>
      <c r="R1054" s="72"/>
      <c r="S1054" s="74">
        <f t="shared" si="835"/>
        <v>0</v>
      </c>
      <c r="T1054" s="48"/>
      <c r="U1054" s="49"/>
      <c r="V1054" s="50"/>
      <c r="W1054" s="72"/>
      <c r="X1054" s="74">
        <f t="shared" si="836"/>
        <v>0</v>
      </c>
      <c r="Y1054" s="11">
        <f t="shared" si="823"/>
        <v>0</v>
      </c>
      <c r="Z1054" s="162" t="s">
        <v>612</v>
      </c>
    </row>
    <row r="1055" spans="1:26" x14ac:dyDescent="0.15">
      <c r="A1055" s="59" t="s">
        <v>27</v>
      </c>
      <c r="B1055" s="20"/>
      <c r="C1055" s="35">
        <v>3</v>
      </c>
      <c r="D1055" s="21">
        <v>3</v>
      </c>
      <c r="E1055" s="24"/>
      <c r="F1055" s="25">
        <f t="shared" si="831"/>
        <v>6</v>
      </c>
      <c r="G1055" s="20"/>
      <c r="H1055" s="35">
        <v>1</v>
      </c>
      <c r="I1055" s="21">
        <f>4+3</f>
        <v>7</v>
      </c>
      <c r="J1055" s="24"/>
      <c r="K1055" s="25">
        <f t="shared" si="832"/>
        <v>8</v>
      </c>
      <c r="L1055" s="11">
        <f t="shared" si="820"/>
        <v>14</v>
      </c>
      <c r="M1055" s="69">
        <v>45632</v>
      </c>
      <c r="N1055" s="137" t="s">
        <v>516</v>
      </c>
      <c r="O1055" s="154"/>
      <c r="P1055" s="156"/>
      <c r="Q1055" s="155"/>
      <c r="R1055" s="159"/>
      <c r="S1055" s="158">
        <f t="shared" si="835"/>
        <v>0</v>
      </c>
      <c r="T1055" s="154"/>
      <c r="U1055" s="156"/>
      <c r="V1055" s="155"/>
      <c r="W1055" s="159"/>
      <c r="X1055" s="158">
        <f t="shared" si="836"/>
        <v>0</v>
      </c>
      <c r="Y1055" s="160">
        <f t="shared" si="823"/>
        <v>0</v>
      </c>
      <c r="Z1055" s="162"/>
    </row>
    <row r="1056" spans="1:26" x14ac:dyDescent="0.15">
      <c r="A1056" s="59" t="s">
        <v>27</v>
      </c>
      <c r="B1056" s="20">
        <v>1</v>
      </c>
      <c r="C1056" s="35"/>
      <c r="D1056" s="21"/>
      <c r="E1056" s="24"/>
      <c r="F1056" s="25">
        <f t="shared" si="831"/>
        <v>1</v>
      </c>
      <c r="G1056" s="20">
        <v>1</v>
      </c>
      <c r="H1056" s="35"/>
      <c r="I1056" s="21"/>
      <c r="J1056" s="24"/>
      <c r="K1056" s="25">
        <f t="shared" si="832"/>
        <v>1</v>
      </c>
      <c r="L1056" s="11">
        <f t="shared" si="820"/>
        <v>2</v>
      </c>
      <c r="M1056" s="69">
        <v>45633</v>
      </c>
      <c r="N1056" s="12" t="s">
        <v>514</v>
      </c>
      <c r="O1056" s="20"/>
      <c r="P1056" s="35"/>
      <c r="Q1056" s="21"/>
      <c r="R1056" s="38"/>
      <c r="S1056" s="9">
        <f t="shared" si="835"/>
        <v>0</v>
      </c>
      <c r="T1056" s="20"/>
      <c r="U1056" s="35"/>
      <c r="V1056" s="21"/>
      <c r="W1056" s="38"/>
      <c r="X1056" s="9">
        <f t="shared" si="836"/>
        <v>0</v>
      </c>
      <c r="Y1056" s="47">
        <f t="shared" si="823"/>
        <v>0</v>
      </c>
      <c r="Z1056" s="162" t="s">
        <v>515</v>
      </c>
    </row>
    <row r="1057" spans="1:26" x14ac:dyDescent="0.15">
      <c r="A1057" s="40" t="s">
        <v>627</v>
      </c>
      <c r="B1057" s="20"/>
      <c r="C1057" s="35"/>
      <c r="D1057" s="21"/>
      <c r="E1057" s="24">
        <v>1</v>
      </c>
      <c r="F1057" s="25">
        <f t="shared" si="831"/>
        <v>1</v>
      </c>
      <c r="G1057" s="20"/>
      <c r="H1057" s="35"/>
      <c r="I1057" s="21"/>
      <c r="J1057" s="24">
        <v>1</v>
      </c>
      <c r="K1057" s="25">
        <f t="shared" si="832"/>
        <v>1</v>
      </c>
      <c r="L1057" s="11">
        <f t="shared" si="820"/>
        <v>2</v>
      </c>
      <c r="M1057" s="69">
        <v>45637</v>
      </c>
      <c r="N1057" s="40" t="s">
        <v>575</v>
      </c>
      <c r="O1057" s="48"/>
      <c r="P1057" s="49"/>
      <c r="Q1057" s="50"/>
      <c r="R1057" s="72"/>
      <c r="S1057" s="74">
        <f t="shared" si="835"/>
        <v>0</v>
      </c>
      <c r="T1057" s="48"/>
      <c r="U1057" s="49"/>
      <c r="V1057" s="50"/>
      <c r="W1057" s="72"/>
      <c r="X1057" s="74">
        <f t="shared" si="836"/>
        <v>0</v>
      </c>
      <c r="Y1057" s="11">
        <f t="shared" si="823"/>
        <v>0</v>
      </c>
      <c r="Z1057" s="69">
        <v>45636</v>
      </c>
    </row>
    <row r="1058" spans="1:26" x14ac:dyDescent="0.15">
      <c r="A1058" s="59" t="s">
        <v>27</v>
      </c>
      <c r="B1058" s="20">
        <v>1</v>
      </c>
      <c r="C1058" s="35">
        <v>1</v>
      </c>
      <c r="D1058" s="21">
        <v>1</v>
      </c>
      <c r="E1058" s="24"/>
      <c r="F1058" s="25">
        <f t="shared" si="831"/>
        <v>3</v>
      </c>
      <c r="G1058" s="20">
        <v>1</v>
      </c>
      <c r="H1058" s="35">
        <v>1</v>
      </c>
      <c r="I1058" s="21">
        <v>1</v>
      </c>
      <c r="J1058" s="24"/>
      <c r="K1058" s="25">
        <f t="shared" si="832"/>
        <v>3</v>
      </c>
      <c r="L1058" s="11">
        <f t="shared" si="820"/>
        <v>6</v>
      </c>
      <c r="M1058" s="69">
        <v>45635</v>
      </c>
      <c r="N1058" s="12" t="s">
        <v>552</v>
      </c>
      <c r="O1058" s="20"/>
      <c r="P1058" s="35"/>
      <c r="Q1058" s="21"/>
      <c r="R1058" s="38"/>
      <c r="S1058" s="9">
        <f t="shared" si="835"/>
        <v>0</v>
      </c>
      <c r="T1058" s="20"/>
      <c r="U1058" s="35"/>
      <c r="V1058" s="21"/>
      <c r="W1058" s="38"/>
      <c r="X1058" s="9">
        <f t="shared" si="836"/>
        <v>0</v>
      </c>
      <c r="Y1058" s="47">
        <f t="shared" si="823"/>
        <v>0</v>
      </c>
      <c r="Z1058" s="69">
        <v>45635</v>
      </c>
    </row>
    <row r="1059" spans="1:26" x14ac:dyDescent="0.15">
      <c r="A1059" s="59" t="s">
        <v>631</v>
      </c>
      <c r="B1059" s="20">
        <v>1</v>
      </c>
      <c r="C1059" s="35"/>
      <c r="D1059" s="21"/>
      <c r="E1059" s="24"/>
      <c r="F1059" s="25">
        <f t="shared" si="831"/>
        <v>1</v>
      </c>
      <c r="G1059" s="20">
        <v>1</v>
      </c>
      <c r="H1059" s="35"/>
      <c r="I1059" s="21"/>
      <c r="J1059" s="24"/>
      <c r="K1059" s="25">
        <f t="shared" si="832"/>
        <v>1</v>
      </c>
      <c r="L1059" s="11">
        <f t="shared" si="820"/>
        <v>2</v>
      </c>
      <c r="M1059" s="71">
        <v>45636</v>
      </c>
      <c r="N1059" s="137" t="s">
        <v>542</v>
      </c>
      <c r="O1059" s="154"/>
      <c r="P1059" s="156"/>
      <c r="Q1059" s="155"/>
      <c r="R1059" s="159"/>
      <c r="S1059" s="158">
        <f t="shared" si="835"/>
        <v>0</v>
      </c>
      <c r="T1059" s="154"/>
      <c r="U1059" s="156"/>
      <c r="V1059" s="155"/>
      <c r="W1059" s="159"/>
      <c r="X1059" s="158">
        <f t="shared" si="836"/>
        <v>0</v>
      </c>
      <c r="Y1059" s="160">
        <f t="shared" si="823"/>
        <v>0</v>
      </c>
      <c r="Z1059" s="162"/>
    </row>
    <row r="1060" spans="1:26" ht="14.25" thickBot="1" x14ac:dyDescent="0.2">
      <c r="A1060" s="59" t="s">
        <v>27</v>
      </c>
      <c r="B1060" s="43"/>
      <c r="C1060" s="44"/>
      <c r="D1060" s="45">
        <v>2</v>
      </c>
      <c r="E1060" s="46"/>
      <c r="F1060" s="25">
        <f t="shared" si="831"/>
        <v>2</v>
      </c>
      <c r="G1060" s="43"/>
      <c r="H1060" s="44"/>
      <c r="I1060" s="45"/>
      <c r="J1060" s="46"/>
      <c r="K1060" s="25">
        <f t="shared" si="832"/>
        <v>0</v>
      </c>
      <c r="L1060" s="14">
        <f t="shared" si="820"/>
        <v>2</v>
      </c>
      <c r="M1060" s="71">
        <v>45636</v>
      </c>
      <c r="N1060" s="99" t="s">
        <v>541</v>
      </c>
      <c r="O1060" s="43"/>
      <c r="P1060" s="44"/>
      <c r="Q1060" s="45"/>
      <c r="R1060" s="100"/>
      <c r="S1060" s="10">
        <f t="shared" si="835"/>
        <v>0</v>
      </c>
      <c r="T1060" s="43"/>
      <c r="U1060" s="44"/>
      <c r="V1060" s="45"/>
      <c r="W1060" s="100"/>
      <c r="X1060" s="10">
        <f t="shared" si="836"/>
        <v>0</v>
      </c>
      <c r="Y1060" s="75">
        <f t="shared" si="823"/>
        <v>0</v>
      </c>
      <c r="Z1060" s="162" t="s">
        <v>543</v>
      </c>
    </row>
    <row r="1061" spans="1:26" ht="14.25" thickBot="1" x14ac:dyDescent="0.2">
      <c r="A1061" s="16" t="s">
        <v>9</v>
      </c>
      <c r="B1061" s="28">
        <f>SUM(B1036:B1060)</f>
        <v>21</v>
      </c>
      <c r="C1061" s="36">
        <f>SUM(C1036:C1060)</f>
        <v>18</v>
      </c>
      <c r="D1061" s="29">
        <f>SUM(D1036:D1060)</f>
        <v>20</v>
      </c>
      <c r="E1061" s="30">
        <f>SUM(E1036:E1060)</f>
        <v>7</v>
      </c>
      <c r="F1061" s="26">
        <f>SUM(B1061:E1061)</f>
        <v>66</v>
      </c>
      <c r="G1061" s="28">
        <f>SUM(G1036:G1060)</f>
        <v>26</v>
      </c>
      <c r="H1061" s="36">
        <f>SUM(H1036:H1060)</f>
        <v>27</v>
      </c>
      <c r="I1061" s="29">
        <f>SUM(I1036:I1060)</f>
        <v>19</v>
      </c>
      <c r="J1061" s="30">
        <f>SUM(J1036:J1060)</f>
        <v>3</v>
      </c>
      <c r="K1061" s="26">
        <f>SUM(G1061:J1061)</f>
        <v>75</v>
      </c>
      <c r="L1061" s="27">
        <f t="shared" si="820"/>
        <v>141</v>
      </c>
      <c r="N1061" s="61" t="s">
        <v>9</v>
      </c>
      <c r="O1061" s="28">
        <f>SUM(O1036:O1060)</f>
        <v>135</v>
      </c>
      <c r="P1061" s="36">
        <f t="shared" ref="P1061" si="837">SUM(P1036:P1060)</f>
        <v>170</v>
      </c>
      <c r="Q1061" s="29">
        <f t="shared" ref="Q1061" si="838">SUM(Q1036:Q1060)</f>
        <v>108</v>
      </c>
      <c r="R1061" s="30">
        <f t="shared" ref="R1061" si="839">SUM(R1036:R1060)</f>
        <v>55</v>
      </c>
      <c r="S1061" s="60">
        <f>SUM(O1061:R1061)</f>
        <v>468</v>
      </c>
      <c r="T1061" s="28">
        <f>SUM(T1036:T1060)</f>
        <v>128</v>
      </c>
      <c r="U1061" s="36">
        <f t="shared" ref="U1061" si="840">SUM(U1036:U1060)</f>
        <v>192</v>
      </c>
      <c r="V1061" s="29">
        <f t="shared" ref="V1061" si="841">SUM(V1036:V1060)</f>
        <v>141</v>
      </c>
      <c r="W1061" s="30">
        <f t="shared" ref="W1061" si="842">SUM(W1036:W1060)</f>
        <v>80</v>
      </c>
      <c r="X1061" s="60">
        <f>SUM(T1061:W1061)</f>
        <v>541</v>
      </c>
      <c r="Y1061" s="63">
        <f>S1061+X1061</f>
        <v>1009</v>
      </c>
    </row>
    <row r="1062" spans="1:26" ht="14.25" thickBot="1" x14ac:dyDescent="0.2">
      <c r="A1062" s="18" t="s">
        <v>10</v>
      </c>
      <c r="B1062" s="31">
        <f t="shared" ref="B1062:K1062" si="843">B1035-B1061</f>
        <v>30</v>
      </c>
      <c r="C1062" s="37">
        <f t="shared" si="843"/>
        <v>31</v>
      </c>
      <c r="D1062" s="32">
        <f t="shared" si="843"/>
        <v>27</v>
      </c>
      <c r="E1062" s="33">
        <f t="shared" si="843"/>
        <v>27</v>
      </c>
      <c r="F1062" s="42">
        <f t="shared" si="843"/>
        <v>115</v>
      </c>
      <c r="G1062" s="31">
        <f t="shared" si="843"/>
        <v>28</v>
      </c>
      <c r="H1062" s="37">
        <f t="shared" si="843"/>
        <v>28</v>
      </c>
      <c r="I1062" s="32">
        <f t="shared" si="843"/>
        <v>28</v>
      </c>
      <c r="J1062" s="33">
        <f t="shared" si="843"/>
        <v>32</v>
      </c>
      <c r="K1062" s="42">
        <f t="shared" si="843"/>
        <v>116</v>
      </c>
      <c r="L1062" s="17">
        <f t="shared" si="820"/>
        <v>231</v>
      </c>
      <c r="N1062" s="16" t="s">
        <v>10</v>
      </c>
      <c r="O1062" s="31">
        <f>O1035-O1061</f>
        <v>741</v>
      </c>
      <c r="P1062" s="37">
        <f t="shared" ref="P1062" si="844">P1035-P1061</f>
        <v>889</v>
      </c>
      <c r="Q1062" s="32">
        <f t="shared" ref="Q1062" si="845">Q1035-Q1061</f>
        <v>430</v>
      </c>
      <c r="R1062" s="33">
        <f t="shared" ref="R1062" si="846">R1035-R1061</f>
        <v>377</v>
      </c>
      <c r="S1062" s="42">
        <f>S1035-S1061</f>
        <v>2437</v>
      </c>
      <c r="T1062" s="31">
        <f>T1035-T1061</f>
        <v>534</v>
      </c>
      <c r="U1062" s="37">
        <f t="shared" ref="U1062" si="847">U1035-U1061</f>
        <v>696</v>
      </c>
      <c r="V1062" s="32">
        <f t="shared" ref="V1062" si="848">V1035-V1061</f>
        <v>365</v>
      </c>
      <c r="W1062" s="33">
        <f t="shared" ref="W1062" si="849">W1035-W1061</f>
        <v>361</v>
      </c>
      <c r="X1062" s="42">
        <f>X1035-X1061</f>
        <v>1956</v>
      </c>
      <c r="Y1062" s="17">
        <f>S1062+X1062</f>
        <v>4393</v>
      </c>
    </row>
    <row r="1063" spans="1:26" x14ac:dyDescent="0.15">
      <c r="O1063" s="62"/>
      <c r="P1063" s="62"/>
      <c r="Q1063" s="62"/>
      <c r="R1063" s="62"/>
      <c r="S1063" s="62"/>
      <c r="T1063" s="62"/>
      <c r="U1063" s="62"/>
      <c r="V1063" s="62"/>
      <c r="W1063" s="62"/>
      <c r="X1063" s="62"/>
      <c r="Y1063" s="62"/>
    </row>
    <row r="1064" spans="1:26" x14ac:dyDescent="0.15">
      <c r="O1064" s="101"/>
      <c r="P1064" s="101"/>
      <c r="Q1064" s="101"/>
      <c r="R1064" s="101"/>
      <c r="S1064" s="101"/>
      <c r="T1064" s="101"/>
      <c r="U1064" s="101"/>
      <c r="V1064" s="101"/>
      <c r="W1064" s="101"/>
      <c r="X1064" s="101"/>
    </row>
    <row r="1065" spans="1:26" ht="19.5" thickBot="1" x14ac:dyDescent="0.25">
      <c r="A1065" s="2" t="s">
        <v>17</v>
      </c>
      <c r="B1065" s="2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N1065" s="2" t="s">
        <v>18</v>
      </c>
      <c r="O1065" s="87"/>
      <c r="P1065" s="87"/>
      <c r="Q1065" s="87"/>
      <c r="R1065" s="87"/>
      <c r="S1065" s="87"/>
      <c r="T1065" s="87"/>
      <c r="U1065" s="87"/>
      <c r="V1065" s="87"/>
      <c r="W1065" s="87"/>
      <c r="X1065" s="87"/>
      <c r="Y1065" s="1"/>
    </row>
    <row r="1066" spans="1:26" ht="14.25" thickBot="1" x14ac:dyDescent="0.2">
      <c r="A1066" s="5" t="s">
        <v>0</v>
      </c>
      <c r="B1066" s="244" t="s">
        <v>19</v>
      </c>
      <c r="C1066" s="245"/>
      <c r="D1066" s="245"/>
      <c r="E1066" s="245"/>
      <c r="F1066" s="246"/>
      <c r="G1066" s="247" t="s">
        <v>20</v>
      </c>
      <c r="H1066" s="248"/>
      <c r="I1066" s="248"/>
      <c r="J1066" s="248"/>
      <c r="K1066" s="249"/>
      <c r="L1066" s="250" t="s">
        <v>1</v>
      </c>
      <c r="N1066" s="5" t="s">
        <v>0</v>
      </c>
      <c r="O1066" s="244" t="s">
        <v>19</v>
      </c>
      <c r="P1066" s="245"/>
      <c r="Q1066" s="245"/>
      <c r="R1066" s="245"/>
      <c r="S1066" s="246"/>
      <c r="T1066" s="247" t="s">
        <v>20</v>
      </c>
      <c r="U1066" s="248"/>
      <c r="V1066" s="248"/>
      <c r="W1066" s="248"/>
      <c r="X1066" s="249"/>
      <c r="Y1066" s="250" t="s">
        <v>1</v>
      </c>
    </row>
    <row r="1067" spans="1:26" ht="14.25" thickBot="1" x14ac:dyDescent="0.2">
      <c r="A1067" s="5" t="s">
        <v>2</v>
      </c>
      <c r="B1067" s="3" t="s">
        <v>11</v>
      </c>
      <c r="C1067" s="34" t="s">
        <v>12</v>
      </c>
      <c r="D1067" s="4" t="s">
        <v>13</v>
      </c>
      <c r="E1067" s="19" t="s">
        <v>14</v>
      </c>
      <c r="F1067" s="23" t="s">
        <v>3</v>
      </c>
      <c r="G1067" s="3" t="s">
        <v>11</v>
      </c>
      <c r="H1067" s="34" t="s">
        <v>12</v>
      </c>
      <c r="I1067" s="4" t="s">
        <v>13</v>
      </c>
      <c r="J1067" s="19" t="s">
        <v>14</v>
      </c>
      <c r="K1067" s="23" t="s">
        <v>3</v>
      </c>
      <c r="L1067" s="251"/>
      <c r="N1067" s="5" t="s">
        <v>2</v>
      </c>
      <c r="O1067" s="53" t="s">
        <v>11</v>
      </c>
      <c r="P1067" s="54" t="s">
        <v>12</v>
      </c>
      <c r="Q1067" s="55" t="s">
        <v>13</v>
      </c>
      <c r="R1067" s="56" t="s">
        <v>14</v>
      </c>
      <c r="S1067" s="23" t="s">
        <v>3</v>
      </c>
      <c r="T1067" s="3" t="s">
        <v>11</v>
      </c>
      <c r="U1067" s="34" t="s">
        <v>12</v>
      </c>
      <c r="V1067" s="4" t="s">
        <v>13</v>
      </c>
      <c r="W1067" s="19" t="s">
        <v>14</v>
      </c>
      <c r="X1067" s="23" t="s">
        <v>3</v>
      </c>
      <c r="Y1067" s="251"/>
    </row>
    <row r="1068" spans="1:26" ht="14.25" thickBot="1" x14ac:dyDescent="0.2">
      <c r="A1068" s="18" t="s">
        <v>15</v>
      </c>
      <c r="B1068" s="31">
        <f>B1062</f>
        <v>30</v>
      </c>
      <c r="C1068" s="32">
        <f>C1062</f>
        <v>31</v>
      </c>
      <c r="D1068" s="32">
        <f>D1062</f>
        <v>27</v>
      </c>
      <c r="E1068" s="33">
        <f>E1062</f>
        <v>27</v>
      </c>
      <c r="F1068" s="86">
        <f>SUM(B1068:E1068)</f>
        <v>115</v>
      </c>
      <c r="G1068" s="31">
        <f>G1062</f>
        <v>28</v>
      </c>
      <c r="H1068" s="32">
        <f>H1062</f>
        <v>28</v>
      </c>
      <c r="I1068" s="32">
        <f>I1062</f>
        <v>28</v>
      </c>
      <c r="J1068" s="33">
        <f>J1062</f>
        <v>32</v>
      </c>
      <c r="K1068" s="80">
        <f>SUM(G1068:J1068)</f>
        <v>116</v>
      </c>
      <c r="L1068" s="17">
        <f>F1068+K1068</f>
        <v>231</v>
      </c>
      <c r="N1068" s="18" t="s">
        <v>15</v>
      </c>
      <c r="O1068" s="31">
        <f>O1062</f>
        <v>741</v>
      </c>
      <c r="P1068" s="32">
        <f t="shared" ref="P1068:Y1068" si="850">P1062</f>
        <v>889</v>
      </c>
      <c r="Q1068" s="32">
        <f t="shared" si="850"/>
        <v>430</v>
      </c>
      <c r="R1068" s="33">
        <f t="shared" si="850"/>
        <v>377</v>
      </c>
      <c r="S1068" s="86">
        <f t="shared" si="850"/>
        <v>2437</v>
      </c>
      <c r="T1068" s="31">
        <f t="shared" si="850"/>
        <v>534</v>
      </c>
      <c r="U1068" s="32">
        <f t="shared" si="850"/>
        <v>696</v>
      </c>
      <c r="V1068" s="32">
        <f t="shared" si="850"/>
        <v>365</v>
      </c>
      <c r="W1068" s="33">
        <f t="shared" si="850"/>
        <v>361</v>
      </c>
      <c r="X1068" s="80">
        <f t="shared" si="850"/>
        <v>1956</v>
      </c>
      <c r="Y1068" s="17">
        <f t="shared" si="850"/>
        <v>4393</v>
      </c>
    </row>
    <row r="1069" spans="1:26" x14ac:dyDescent="0.15">
      <c r="A1069" s="13" t="s">
        <v>72</v>
      </c>
      <c r="B1069" s="20"/>
      <c r="C1069" s="35">
        <v>1</v>
      </c>
      <c r="D1069" s="21"/>
      <c r="E1069" s="24"/>
      <c r="F1069" s="25">
        <f t="shared" ref="F1069:F1072" si="851">SUM(B1069:E1069)</f>
        <v>1</v>
      </c>
      <c r="G1069" s="20"/>
      <c r="H1069" s="35">
        <v>1</v>
      </c>
      <c r="I1069" s="21"/>
      <c r="J1069" s="24"/>
      <c r="K1069" s="25">
        <f t="shared" ref="K1069:K1072" si="852">SUM(G1069:J1069)</f>
        <v>1</v>
      </c>
      <c r="L1069" s="11">
        <f t="shared" ref="L1069:L1100" si="853">F1069+K1069</f>
        <v>2</v>
      </c>
      <c r="M1069" s="71">
        <v>45637</v>
      </c>
      <c r="N1069" s="59" t="s">
        <v>16</v>
      </c>
      <c r="O1069" s="48"/>
      <c r="P1069" s="49"/>
      <c r="Q1069" s="50"/>
      <c r="R1069" s="51"/>
      <c r="S1069" s="85">
        <f t="shared" ref="S1069:S1071" si="854">SUM(O1069:R1069)</f>
        <v>0</v>
      </c>
      <c r="T1069" s="48"/>
      <c r="U1069" s="49"/>
      <c r="V1069" s="50"/>
      <c r="W1069" s="51"/>
      <c r="X1069" s="74">
        <f t="shared" ref="X1069:X1071" si="855">SUM(T1069:W1069)</f>
        <v>0</v>
      </c>
      <c r="Y1069" s="11">
        <f t="shared" ref="Y1069:Y1093" si="856">S1069+X1069</f>
        <v>0</v>
      </c>
    </row>
    <row r="1070" spans="1:26" x14ac:dyDescent="0.15">
      <c r="A1070" s="13" t="s">
        <v>5</v>
      </c>
      <c r="B1070" s="20">
        <v>15</v>
      </c>
      <c r="C1070" s="35">
        <v>15</v>
      </c>
      <c r="D1070" s="21">
        <v>15</v>
      </c>
      <c r="E1070" s="24"/>
      <c r="F1070" s="25">
        <f t="shared" si="851"/>
        <v>45</v>
      </c>
      <c r="G1070" s="20">
        <v>10</v>
      </c>
      <c r="H1070" s="35">
        <v>15</v>
      </c>
      <c r="I1070" s="21">
        <v>10</v>
      </c>
      <c r="J1070" s="24"/>
      <c r="K1070" s="25">
        <f t="shared" si="852"/>
        <v>35</v>
      </c>
      <c r="L1070" s="11">
        <f t="shared" si="853"/>
        <v>80</v>
      </c>
      <c r="M1070" s="69">
        <v>45639</v>
      </c>
      <c r="N1070" s="59" t="s">
        <v>4</v>
      </c>
      <c r="O1070" s="48"/>
      <c r="P1070" s="49"/>
      <c r="Q1070" s="50"/>
      <c r="R1070" s="51"/>
      <c r="S1070" s="85">
        <f t="shared" si="854"/>
        <v>0</v>
      </c>
      <c r="T1070" s="48"/>
      <c r="U1070" s="49"/>
      <c r="V1070" s="50"/>
      <c r="W1070" s="51"/>
      <c r="X1070" s="74">
        <f t="shared" si="855"/>
        <v>0</v>
      </c>
      <c r="Y1070" s="11">
        <f t="shared" si="856"/>
        <v>0</v>
      </c>
    </row>
    <row r="1071" spans="1:26" x14ac:dyDescent="0.15">
      <c r="A1071" s="13" t="s">
        <v>192</v>
      </c>
      <c r="B1071" s="20"/>
      <c r="C1071" s="35">
        <v>1</v>
      </c>
      <c r="D1071" s="21">
        <v>1</v>
      </c>
      <c r="E1071" s="24">
        <v>1</v>
      </c>
      <c r="F1071" s="25">
        <f t="shared" si="851"/>
        <v>3</v>
      </c>
      <c r="G1071" s="20"/>
      <c r="H1071" s="35"/>
      <c r="I1071" s="21"/>
      <c r="J1071" s="24"/>
      <c r="K1071" s="25">
        <f t="shared" si="852"/>
        <v>0</v>
      </c>
      <c r="L1071" s="11">
        <f t="shared" si="853"/>
        <v>3</v>
      </c>
      <c r="M1071" s="69">
        <v>45645</v>
      </c>
      <c r="N1071" s="59" t="s">
        <v>5</v>
      </c>
      <c r="O1071" s="48"/>
      <c r="P1071" s="49"/>
      <c r="Q1071" s="50"/>
      <c r="R1071" s="51"/>
      <c r="S1071" s="85">
        <f t="shared" si="854"/>
        <v>0</v>
      </c>
      <c r="T1071" s="48"/>
      <c r="U1071" s="49"/>
      <c r="V1071" s="50"/>
      <c r="W1071" s="51"/>
      <c r="X1071" s="74">
        <f t="shared" si="855"/>
        <v>0</v>
      </c>
      <c r="Y1071" s="11">
        <f t="shared" si="856"/>
        <v>0</v>
      </c>
    </row>
    <row r="1072" spans="1:26" ht="14.25" thickBot="1" x14ac:dyDescent="0.2">
      <c r="A1072" s="13" t="s">
        <v>7</v>
      </c>
      <c r="B1072" s="48">
        <v>-1</v>
      </c>
      <c r="C1072" s="49">
        <v>5</v>
      </c>
      <c r="D1072" s="50">
        <v>-1</v>
      </c>
      <c r="E1072" s="51">
        <v>1</v>
      </c>
      <c r="F1072" s="52">
        <f t="shared" si="851"/>
        <v>4</v>
      </c>
      <c r="G1072" s="48">
        <v>1</v>
      </c>
      <c r="H1072" s="49">
        <v>0</v>
      </c>
      <c r="I1072" s="50">
        <v>4</v>
      </c>
      <c r="J1072" s="51">
        <v>-1</v>
      </c>
      <c r="K1072" s="52">
        <f t="shared" si="852"/>
        <v>4</v>
      </c>
      <c r="L1072" s="11">
        <f t="shared" si="853"/>
        <v>8</v>
      </c>
      <c r="M1072" s="69">
        <v>46010</v>
      </c>
      <c r="N1072" s="13" t="s">
        <v>6</v>
      </c>
      <c r="O1072" s="43"/>
      <c r="P1072" s="44"/>
      <c r="Q1072" s="45"/>
      <c r="R1072" s="46"/>
      <c r="S1072" s="58">
        <f>SUM(O1072:R1072)</f>
        <v>0</v>
      </c>
      <c r="T1072" s="35"/>
      <c r="U1072" s="35"/>
      <c r="V1072" s="21"/>
      <c r="W1072" s="38"/>
      <c r="X1072" s="10">
        <f>SUM(T1072:W1072)</f>
        <v>0</v>
      </c>
      <c r="Y1072" s="14">
        <f t="shared" si="856"/>
        <v>0</v>
      </c>
    </row>
    <row r="1073" spans="1:27" ht="14.25" thickBot="1" x14ac:dyDescent="0.2">
      <c r="A1073" s="18" t="s">
        <v>8</v>
      </c>
      <c r="B1073" s="76">
        <f t="shared" ref="B1073:K1073" si="857">SUM(B1068:B1072)</f>
        <v>44</v>
      </c>
      <c r="C1073" s="77">
        <f t="shared" si="857"/>
        <v>53</v>
      </c>
      <c r="D1073" s="78">
        <f t="shared" si="857"/>
        <v>42</v>
      </c>
      <c r="E1073" s="79">
        <f t="shared" si="857"/>
        <v>29</v>
      </c>
      <c r="F1073" s="80">
        <f t="shared" si="857"/>
        <v>168</v>
      </c>
      <c r="G1073" s="76">
        <f t="shared" si="857"/>
        <v>39</v>
      </c>
      <c r="H1073" s="77">
        <f t="shared" si="857"/>
        <v>44</v>
      </c>
      <c r="I1073" s="78">
        <f t="shared" si="857"/>
        <v>42</v>
      </c>
      <c r="J1073" s="79">
        <f t="shared" si="857"/>
        <v>31</v>
      </c>
      <c r="K1073" s="80">
        <f t="shared" si="857"/>
        <v>156</v>
      </c>
      <c r="L1073" s="17">
        <f t="shared" si="853"/>
        <v>324</v>
      </c>
      <c r="N1073" s="16" t="s">
        <v>8</v>
      </c>
      <c r="O1073" s="31">
        <f>SUM(O1068:O1072)</f>
        <v>741</v>
      </c>
      <c r="P1073" s="37">
        <f t="shared" ref="P1073" si="858">SUM(P1068:P1072)</f>
        <v>889</v>
      </c>
      <c r="Q1073" s="32">
        <f t="shared" ref="Q1073" si="859">SUM(Q1068:Q1072)</f>
        <v>430</v>
      </c>
      <c r="R1073" s="82">
        <f t="shared" ref="R1073" si="860">SUM(R1068:R1072)</f>
        <v>377</v>
      </c>
      <c r="S1073" s="83">
        <f>SUM(S1068:S1072)</f>
        <v>2437</v>
      </c>
      <c r="T1073" s="31">
        <f>SUM(T1068:T1072)</f>
        <v>534</v>
      </c>
      <c r="U1073" s="37">
        <f t="shared" ref="U1073" si="861">SUM(U1068:U1072)</f>
        <v>696</v>
      </c>
      <c r="V1073" s="32">
        <f t="shared" ref="V1073" si="862">SUM(V1068:V1072)</f>
        <v>365</v>
      </c>
      <c r="W1073" s="82">
        <f t="shared" ref="W1073" si="863">SUM(W1068:W1072)</f>
        <v>361</v>
      </c>
      <c r="X1073" s="83">
        <f>SUM(X1068:X1072)</f>
        <v>1956</v>
      </c>
      <c r="Y1073" s="39">
        <f>S1073+X1073</f>
        <v>4393</v>
      </c>
    </row>
    <row r="1074" spans="1:27" x14ac:dyDescent="0.15">
      <c r="A1074" s="12" t="s">
        <v>632</v>
      </c>
      <c r="B1074" s="20">
        <v>15</v>
      </c>
      <c r="C1074" s="35">
        <v>10</v>
      </c>
      <c r="D1074" s="21">
        <v>10</v>
      </c>
      <c r="E1074" s="24"/>
      <c r="F1074" s="25">
        <f t="shared" ref="F1074:F1098" si="864">SUM(B1074:E1074)</f>
        <v>35</v>
      </c>
      <c r="G1074" s="20">
        <v>5</v>
      </c>
      <c r="H1074" s="35">
        <v>10</v>
      </c>
      <c r="I1074" s="21"/>
      <c r="J1074" s="24"/>
      <c r="K1074" s="25">
        <f t="shared" ref="K1074:K1098" si="865">SUM(G1074:J1074)</f>
        <v>15</v>
      </c>
      <c r="L1074" s="11">
        <f t="shared" si="853"/>
        <v>50</v>
      </c>
      <c r="M1074" s="69">
        <v>45638</v>
      </c>
      <c r="N1074" s="12" t="s">
        <v>643</v>
      </c>
      <c r="O1074" s="20"/>
      <c r="P1074" s="35"/>
      <c r="Q1074" s="21">
        <v>5</v>
      </c>
      <c r="R1074" s="38"/>
      <c r="S1074" s="9">
        <f t="shared" ref="S1074" si="866">SUM(O1074:R1074)</f>
        <v>5</v>
      </c>
      <c r="T1074" s="20"/>
      <c r="U1074" s="35"/>
      <c r="V1074" s="21"/>
      <c r="W1074" s="38"/>
      <c r="X1074" s="9">
        <f t="shared" ref="X1074" si="867">SUM(T1074:W1074)</f>
        <v>0</v>
      </c>
      <c r="Y1074" s="11">
        <f t="shared" ref="Y1074" si="868">S1074+X1074</f>
        <v>5</v>
      </c>
      <c r="Z1074" s="69">
        <v>45651</v>
      </c>
    </row>
    <row r="1075" spans="1:27" x14ac:dyDescent="0.15">
      <c r="A1075" s="59" t="s">
        <v>27</v>
      </c>
      <c r="B1075" s="20"/>
      <c r="C1075" s="35">
        <v>4</v>
      </c>
      <c r="D1075" s="21"/>
      <c r="E1075" s="24"/>
      <c r="F1075" s="25">
        <f t="shared" si="864"/>
        <v>4</v>
      </c>
      <c r="G1075" s="20"/>
      <c r="H1075" s="35">
        <v>2</v>
      </c>
      <c r="I1075" s="21"/>
      <c r="J1075" s="24"/>
      <c r="K1075" s="25">
        <f t="shared" si="865"/>
        <v>2</v>
      </c>
      <c r="L1075" s="11">
        <f t="shared" si="853"/>
        <v>6</v>
      </c>
      <c r="M1075" s="69">
        <v>45637</v>
      </c>
      <c r="N1075" s="12" t="s">
        <v>645</v>
      </c>
      <c r="O1075" s="20">
        <v>30</v>
      </c>
      <c r="P1075" s="35">
        <v>130</v>
      </c>
      <c r="Q1075" s="21">
        <v>80</v>
      </c>
      <c r="R1075" s="38">
        <v>60</v>
      </c>
      <c r="S1075" s="9">
        <f t="shared" ref="S1075:S1086" si="869">SUM(O1075:R1075)</f>
        <v>300</v>
      </c>
      <c r="T1075" s="20">
        <v>30</v>
      </c>
      <c r="U1075" s="35">
        <v>130</v>
      </c>
      <c r="V1075" s="21">
        <v>80</v>
      </c>
      <c r="W1075" s="38">
        <v>60</v>
      </c>
      <c r="X1075" s="9">
        <f t="shared" ref="X1075:X1086" si="870">SUM(T1075:W1075)</f>
        <v>300</v>
      </c>
      <c r="Y1075" s="11">
        <f t="shared" si="856"/>
        <v>600</v>
      </c>
      <c r="Z1075" s="69">
        <v>45652</v>
      </c>
      <c r="AA1075" s="41"/>
    </row>
    <row r="1076" spans="1:27" x14ac:dyDescent="0.15">
      <c r="A1076" s="12" t="s">
        <v>636</v>
      </c>
      <c r="B1076" s="20"/>
      <c r="C1076" s="35"/>
      <c r="D1076" s="21"/>
      <c r="E1076" s="24"/>
      <c r="F1076" s="25">
        <f t="shared" si="864"/>
        <v>0</v>
      </c>
      <c r="G1076" s="20"/>
      <c r="H1076" s="35"/>
      <c r="I1076" s="21">
        <v>5</v>
      </c>
      <c r="J1076" s="24"/>
      <c r="K1076" s="25">
        <f t="shared" si="865"/>
        <v>5</v>
      </c>
      <c r="L1076" s="11">
        <f t="shared" si="853"/>
        <v>5</v>
      </c>
      <c r="M1076" s="69">
        <v>45639</v>
      </c>
      <c r="N1076" s="12" t="s">
        <v>646</v>
      </c>
      <c r="O1076" s="20">
        <v>50</v>
      </c>
      <c r="P1076" s="35"/>
      <c r="Q1076" s="21">
        <v>20</v>
      </c>
      <c r="R1076" s="38"/>
      <c r="S1076" s="9">
        <f t="shared" si="869"/>
        <v>70</v>
      </c>
      <c r="T1076" s="20">
        <v>50</v>
      </c>
      <c r="U1076" s="35"/>
      <c r="V1076" s="21">
        <v>20</v>
      </c>
      <c r="W1076" s="38"/>
      <c r="X1076" s="9">
        <f t="shared" si="870"/>
        <v>70</v>
      </c>
      <c r="Y1076" s="11">
        <f t="shared" si="856"/>
        <v>140</v>
      </c>
      <c r="Z1076" s="69">
        <v>45652</v>
      </c>
      <c r="AA1076" s="41"/>
    </row>
    <row r="1077" spans="1:27" x14ac:dyDescent="0.15">
      <c r="A1077" s="59" t="s">
        <v>27</v>
      </c>
      <c r="B1077" s="20"/>
      <c r="C1077" s="35"/>
      <c r="D1077" s="21"/>
      <c r="E1077" s="24"/>
      <c r="F1077" s="25">
        <f t="shared" si="864"/>
        <v>0</v>
      </c>
      <c r="G1077" s="20"/>
      <c r="H1077" s="35">
        <v>1</v>
      </c>
      <c r="I1077" s="21"/>
      <c r="J1077" s="24"/>
      <c r="K1077" s="25">
        <f t="shared" si="865"/>
        <v>1</v>
      </c>
      <c r="L1077" s="11">
        <f t="shared" si="853"/>
        <v>1</v>
      </c>
      <c r="M1077" s="69">
        <v>45638</v>
      </c>
      <c r="N1077" s="12" t="s">
        <v>649</v>
      </c>
      <c r="O1077" s="20">
        <v>25</v>
      </c>
      <c r="P1077" s="35">
        <v>30</v>
      </c>
      <c r="Q1077" s="21">
        <v>20</v>
      </c>
      <c r="R1077" s="38">
        <v>10</v>
      </c>
      <c r="S1077" s="9">
        <f t="shared" si="869"/>
        <v>85</v>
      </c>
      <c r="T1077" s="20">
        <v>25</v>
      </c>
      <c r="U1077" s="35">
        <v>30</v>
      </c>
      <c r="V1077" s="21">
        <v>20</v>
      </c>
      <c r="W1077" s="38">
        <v>10</v>
      </c>
      <c r="X1077" s="9">
        <f t="shared" si="870"/>
        <v>85</v>
      </c>
      <c r="Y1077" s="11">
        <f t="shared" si="856"/>
        <v>170</v>
      </c>
      <c r="Z1077" s="69">
        <v>45653</v>
      </c>
      <c r="AA1077" s="41"/>
    </row>
    <row r="1078" spans="1:27" x14ac:dyDescent="0.15">
      <c r="A1078" s="40" t="s">
        <v>637</v>
      </c>
      <c r="B1078" s="20"/>
      <c r="C1078" s="35"/>
      <c r="D1078" s="21">
        <v>1</v>
      </c>
      <c r="E1078" s="24"/>
      <c r="F1078" s="25">
        <f t="shared" si="864"/>
        <v>1</v>
      </c>
      <c r="G1078" s="20"/>
      <c r="H1078" s="35"/>
      <c r="I1078" s="21">
        <v>1</v>
      </c>
      <c r="J1078" s="24"/>
      <c r="K1078" s="25">
        <f t="shared" si="865"/>
        <v>1</v>
      </c>
      <c r="L1078" s="11">
        <f t="shared" si="853"/>
        <v>2</v>
      </c>
      <c r="M1078" s="69">
        <v>45642</v>
      </c>
      <c r="N1078" s="40"/>
      <c r="O1078" s="20"/>
      <c r="P1078" s="35"/>
      <c r="Q1078" s="21"/>
      <c r="R1078" s="38"/>
      <c r="S1078" s="9">
        <f t="shared" ref="S1078:S1080" si="871">SUM(O1078:R1078)</f>
        <v>0</v>
      </c>
      <c r="T1078" s="20"/>
      <c r="U1078" s="35"/>
      <c r="V1078" s="21"/>
      <c r="W1078" s="38"/>
      <c r="X1078" s="9">
        <f t="shared" ref="X1078:X1080" si="872">SUM(T1078:W1078)</f>
        <v>0</v>
      </c>
      <c r="Y1078" s="11">
        <f t="shared" ref="Y1078:Y1080" si="873">S1078+X1078</f>
        <v>0</v>
      </c>
      <c r="Z1078" s="162"/>
    </row>
    <row r="1079" spans="1:27" x14ac:dyDescent="0.15">
      <c r="A1079" s="40" t="s">
        <v>640</v>
      </c>
      <c r="B1079" s="20"/>
      <c r="C1079" s="35"/>
      <c r="D1079" s="21"/>
      <c r="E1079" s="24">
        <v>1</v>
      </c>
      <c r="F1079" s="25">
        <f t="shared" si="864"/>
        <v>1</v>
      </c>
      <c r="G1079" s="20"/>
      <c r="H1079" s="35"/>
      <c r="I1079" s="21"/>
      <c r="J1079" s="24">
        <v>1</v>
      </c>
      <c r="K1079" s="25">
        <f t="shared" si="865"/>
        <v>1</v>
      </c>
      <c r="L1079" s="11">
        <f t="shared" si="853"/>
        <v>2</v>
      </c>
      <c r="M1079" s="69">
        <v>45644</v>
      </c>
      <c r="N1079" s="40"/>
      <c r="O1079" s="20"/>
      <c r="P1079" s="35"/>
      <c r="Q1079" s="21"/>
      <c r="R1079" s="38"/>
      <c r="S1079" s="9">
        <f t="shared" si="871"/>
        <v>0</v>
      </c>
      <c r="T1079" s="20"/>
      <c r="U1079" s="35"/>
      <c r="V1079" s="21"/>
      <c r="W1079" s="38"/>
      <c r="X1079" s="9">
        <f t="shared" si="872"/>
        <v>0</v>
      </c>
      <c r="Y1079" s="11">
        <f t="shared" si="873"/>
        <v>0</v>
      </c>
      <c r="Z1079" s="162"/>
    </row>
    <row r="1080" spans="1:27" x14ac:dyDescent="0.15">
      <c r="A1080" s="59" t="s">
        <v>27</v>
      </c>
      <c r="B1080" s="20">
        <v>3</v>
      </c>
      <c r="C1080" s="35"/>
      <c r="D1080" s="21">
        <v>1</v>
      </c>
      <c r="E1080" s="24"/>
      <c r="F1080" s="25">
        <f t="shared" si="864"/>
        <v>4</v>
      </c>
      <c r="G1080" s="20"/>
      <c r="H1080" s="35"/>
      <c r="I1080" s="21"/>
      <c r="J1080" s="24">
        <v>3</v>
      </c>
      <c r="K1080" s="25">
        <f t="shared" si="865"/>
        <v>3</v>
      </c>
      <c r="L1080" s="11">
        <f t="shared" si="853"/>
        <v>7</v>
      </c>
      <c r="M1080" s="69">
        <v>45642</v>
      </c>
      <c r="N1080" s="40"/>
      <c r="O1080" s="20"/>
      <c r="P1080" s="35"/>
      <c r="Q1080" s="21"/>
      <c r="R1080" s="38"/>
      <c r="S1080" s="9">
        <f t="shared" si="871"/>
        <v>0</v>
      </c>
      <c r="T1080" s="20"/>
      <c r="U1080" s="35"/>
      <c r="V1080" s="21"/>
      <c r="W1080" s="38"/>
      <c r="X1080" s="9">
        <f t="shared" si="872"/>
        <v>0</v>
      </c>
      <c r="Y1080" s="11">
        <f t="shared" si="873"/>
        <v>0</v>
      </c>
      <c r="Z1080" s="162"/>
    </row>
    <row r="1081" spans="1:27" x14ac:dyDescent="0.15">
      <c r="A1081" s="59" t="s">
        <v>641</v>
      </c>
      <c r="B1081" s="20"/>
      <c r="C1081" s="35"/>
      <c r="D1081" s="21"/>
      <c r="E1081" s="24"/>
      <c r="F1081" s="25">
        <f t="shared" si="864"/>
        <v>0</v>
      </c>
      <c r="G1081" s="20">
        <v>2</v>
      </c>
      <c r="H1081" s="35"/>
      <c r="I1081" s="21"/>
      <c r="J1081" s="24"/>
      <c r="K1081" s="25">
        <f t="shared" si="865"/>
        <v>2</v>
      </c>
      <c r="L1081" s="11">
        <f t="shared" si="853"/>
        <v>2</v>
      </c>
      <c r="M1081" s="69">
        <v>45642</v>
      </c>
      <c r="N1081" s="40"/>
      <c r="O1081" s="20"/>
      <c r="P1081" s="35"/>
      <c r="Q1081" s="21"/>
      <c r="R1081" s="38"/>
      <c r="S1081" s="9">
        <f t="shared" si="869"/>
        <v>0</v>
      </c>
      <c r="T1081" s="20"/>
      <c r="U1081" s="35"/>
      <c r="V1081" s="21"/>
      <c r="W1081" s="38"/>
      <c r="X1081" s="9">
        <f t="shared" si="870"/>
        <v>0</v>
      </c>
      <c r="Y1081" s="11">
        <f t="shared" si="856"/>
        <v>0</v>
      </c>
      <c r="Z1081" s="162"/>
    </row>
    <row r="1082" spans="1:27" x14ac:dyDescent="0.15">
      <c r="A1082" s="59" t="s">
        <v>27</v>
      </c>
      <c r="B1082" s="20">
        <v>-1</v>
      </c>
      <c r="C1082" s="35"/>
      <c r="D1082" s="21">
        <v>5</v>
      </c>
      <c r="E1082" s="24"/>
      <c r="F1082" s="25">
        <f t="shared" si="864"/>
        <v>4</v>
      </c>
      <c r="G1082" s="20">
        <v>-1</v>
      </c>
      <c r="H1082" s="35"/>
      <c r="I1082" s="21"/>
      <c r="J1082" s="24"/>
      <c r="K1082" s="25">
        <f t="shared" si="865"/>
        <v>-1</v>
      </c>
      <c r="L1082" s="11">
        <f t="shared" si="853"/>
        <v>3</v>
      </c>
      <c r="M1082" s="69">
        <v>45642</v>
      </c>
      <c r="N1082" s="40"/>
      <c r="O1082" s="20"/>
      <c r="P1082" s="35"/>
      <c r="Q1082" s="21"/>
      <c r="R1082" s="38"/>
      <c r="S1082" s="9">
        <f t="shared" si="869"/>
        <v>0</v>
      </c>
      <c r="T1082" s="20"/>
      <c r="U1082" s="35"/>
      <c r="V1082" s="21"/>
      <c r="W1082" s="38"/>
      <c r="X1082" s="9">
        <f t="shared" si="870"/>
        <v>0</v>
      </c>
      <c r="Y1082" s="11">
        <f t="shared" si="856"/>
        <v>0</v>
      </c>
      <c r="Z1082" s="162"/>
    </row>
    <row r="1083" spans="1:27" x14ac:dyDescent="0.15">
      <c r="A1083" s="59" t="s">
        <v>27</v>
      </c>
      <c r="B1083" s="20">
        <v>1</v>
      </c>
      <c r="C1083" s="35"/>
      <c r="D1083" s="21"/>
      <c r="E1083" s="24"/>
      <c r="F1083" s="25">
        <f t="shared" si="864"/>
        <v>1</v>
      </c>
      <c r="G1083" s="20">
        <v>2</v>
      </c>
      <c r="H1083" s="35"/>
      <c r="I1083" s="21"/>
      <c r="J1083" s="24"/>
      <c r="K1083" s="25">
        <f t="shared" si="865"/>
        <v>2</v>
      </c>
      <c r="L1083" s="11">
        <f t="shared" si="853"/>
        <v>3</v>
      </c>
      <c r="M1083" s="69">
        <v>45643</v>
      </c>
      <c r="N1083" s="40"/>
      <c r="O1083" s="20"/>
      <c r="P1083" s="35"/>
      <c r="Q1083" s="21"/>
      <c r="R1083" s="38"/>
      <c r="S1083" s="9">
        <f t="shared" si="869"/>
        <v>0</v>
      </c>
      <c r="T1083" s="20"/>
      <c r="U1083" s="35"/>
      <c r="V1083" s="21"/>
      <c r="W1083" s="38"/>
      <c r="X1083" s="9">
        <f t="shared" si="870"/>
        <v>0</v>
      </c>
      <c r="Y1083" s="11">
        <f t="shared" si="856"/>
        <v>0</v>
      </c>
      <c r="Z1083" s="162"/>
    </row>
    <row r="1084" spans="1:27" x14ac:dyDescent="0.15">
      <c r="A1084" s="40" t="s">
        <v>642</v>
      </c>
      <c r="B1084" s="20"/>
      <c r="C1084" s="35"/>
      <c r="D1084" s="21">
        <v>1</v>
      </c>
      <c r="E1084" s="24"/>
      <c r="F1084" s="25">
        <f t="shared" si="864"/>
        <v>1</v>
      </c>
      <c r="G1084" s="20"/>
      <c r="H1084" s="35"/>
      <c r="I1084" s="21">
        <v>1</v>
      </c>
      <c r="J1084" s="24"/>
      <c r="K1084" s="25">
        <f t="shared" si="865"/>
        <v>1</v>
      </c>
      <c r="L1084" s="11">
        <f t="shared" si="853"/>
        <v>2</v>
      </c>
      <c r="M1084" s="69">
        <v>45646</v>
      </c>
      <c r="N1084" s="40"/>
      <c r="O1084" s="20"/>
      <c r="P1084" s="35"/>
      <c r="Q1084" s="21"/>
      <c r="R1084" s="38"/>
      <c r="S1084" s="9">
        <f t="shared" si="869"/>
        <v>0</v>
      </c>
      <c r="T1084" s="20"/>
      <c r="U1084" s="35"/>
      <c r="V1084" s="21"/>
      <c r="W1084" s="38"/>
      <c r="X1084" s="9">
        <f t="shared" si="870"/>
        <v>0</v>
      </c>
      <c r="Y1084" s="11">
        <f t="shared" si="856"/>
        <v>0</v>
      </c>
      <c r="Z1084" s="162"/>
    </row>
    <row r="1085" spans="1:27" x14ac:dyDescent="0.15">
      <c r="A1085" s="59" t="s">
        <v>27</v>
      </c>
      <c r="B1085" s="20">
        <v>1</v>
      </c>
      <c r="C1085" s="35">
        <f>1+1</f>
        <v>2</v>
      </c>
      <c r="D1085" s="21"/>
      <c r="E1085" s="24"/>
      <c r="F1085" s="25">
        <f t="shared" si="864"/>
        <v>3</v>
      </c>
      <c r="G1085" s="20">
        <v>1</v>
      </c>
      <c r="H1085" s="35">
        <f>1+1</f>
        <v>2</v>
      </c>
      <c r="I1085" s="21"/>
      <c r="J1085" s="24"/>
      <c r="K1085" s="25">
        <f t="shared" si="865"/>
        <v>3</v>
      </c>
      <c r="L1085" s="11">
        <f t="shared" si="853"/>
        <v>6</v>
      </c>
      <c r="M1085" s="69">
        <v>45644</v>
      </c>
      <c r="N1085" s="40"/>
      <c r="O1085" s="20"/>
      <c r="P1085" s="35"/>
      <c r="Q1085" s="21"/>
      <c r="R1085" s="38"/>
      <c r="S1085" s="9">
        <f t="shared" si="869"/>
        <v>0</v>
      </c>
      <c r="T1085" s="20"/>
      <c r="U1085" s="35"/>
      <c r="V1085" s="21"/>
      <c r="W1085" s="38"/>
      <c r="X1085" s="9">
        <f t="shared" si="870"/>
        <v>0</v>
      </c>
      <c r="Y1085" s="11">
        <f t="shared" si="856"/>
        <v>0</v>
      </c>
    </row>
    <row r="1086" spans="1:27" x14ac:dyDescent="0.15">
      <c r="A1086" s="59" t="s">
        <v>27</v>
      </c>
      <c r="B1086" s="20">
        <v>1</v>
      </c>
      <c r="C1086" s="35">
        <v>1</v>
      </c>
      <c r="D1086" s="21"/>
      <c r="E1086" s="24"/>
      <c r="F1086" s="25">
        <f t="shared" si="864"/>
        <v>2</v>
      </c>
      <c r="G1086" s="20"/>
      <c r="H1086" s="35">
        <v>1</v>
      </c>
      <c r="I1086" s="21"/>
      <c r="J1086" s="24"/>
      <c r="K1086" s="25">
        <f t="shared" si="865"/>
        <v>1</v>
      </c>
      <c r="L1086" s="11">
        <f t="shared" si="853"/>
        <v>3</v>
      </c>
      <c r="M1086" s="71">
        <v>45645</v>
      </c>
      <c r="N1086" s="40"/>
      <c r="O1086" s="20"/>
      <c r="P1086" s="35"/>
      <c r="Q1086" s="21"/>
      <c r="R1086" s="38"/>
      <c r="S1086" s="9">
        <f t="shared" si="869"/>
        <v>0</v>
      </c>
      <c r="T1086" s="20"/>
      <c r="U1086" s="35"/>
      <c r="V1086" s="21"/>
      <c r="W1086" s="38"/>
      <c r="X1086" s="9">
        <f t="shared" si="870"/>
        <v>0</v>
      </c>
      <c r="Y1086" s="11">
        <f t="shared" si="856"/>
        <v>0</v>
      </c>
    </row>
    <row r="1087" spans="1:27" x14ac:dyDescent="0.15">
      <c r="A1087" s="59" t="s">
        <v>27</v>
      </c>
      <c r="B1087" s="20">
        <v>1</v>
      </c>
      <c r="C1087" s="35">
        <v>2</v>
      </c>
      <c r="D1087" s="21"/>
      <c r="E1087" s="24"/>
      <c r="F1087" s="25">
        <f t="shared" si="864"/>
        <v>3</v>
      </c>
      <c r="G1087" s="20">
        <f>1+2</f>
        <v>3</v>
      </c>
      <c r="H1087" s="35">
        <v>2</v>
      </c>
      <c r="I1087" s="21"/>
      <c r="J1087" s="24"/>
      <c r="K1087" s="25">
        <f t="shared" si="865"/>
        <v>5</v>
      </c>
      <c r="L1087" s="11">
        <f t="shared" si="853"/>
        <v>8</v>
      </c>
      <c r="M1087" s="69">
        <v>45646</v>
      </c>
      <c r="N1087" s="12"/>
      <c r="O1087" s="20"/>
      <c r="P1087" s="35"/>
      <c r="Q1087" s="21"/>
      <c r="R1087" s="38"/>
      <c r="S1087" s="9">
        <f>SUM(O1087:R1087)</f>
        <v>0</v>
      </c>
      <c r="T1087" s="20"/>
      <c r="U1087" s="35"/>
      <c r="V1087" s="21"/>
      <c r="W1087" s="38"/>
      <c r="X1087" s="9">
        <f>SUM(T1087:W1087)</f>
        <v>0</v>
      </c>
      <c r="Y1087" s="11">
        <f t="shared" si="856"/>
        <v>0</v>
      </c>
    </row>
    <row r="1088" spans="1:27" x14ac:dyDescent="0.15">
      <c r="A1088" s="59" t="s">
        <v>27</v>
      </c>
      <c r="B1088" s="20"/>
      <c r="C1088" s="35"/>
      <c r="D1088" s="21"/>
      <c r="E1088" s="24"/>
      <c r="F1088" s="25">
        <f t="shared" si="864"/>
        <v>0</v>
      </c>
      <c r="G1088" s="20"/>
      <c r="H1088" s="35"/>
      <c r="I1088" s="21">
        <v>2</v>
      </c>
      <c r="J1088" s="24"/>
      <c r="K1088" s="25">
        <f t="shared" si="865"/>
        <v>2</v>
      </c>
      <c r="L1088" s="11">
        <f t="shared" si="853"/>
        <v>2</v>
      </c>
      <c r="M1088" s="69">
        <v>45647</v>
      </c>
      <c r="N1088" s="40"/>
      <c r="O1088" s="20"/>
      <c r="P1088" s="35"/>
      <c r="Q1088" s="21"/>
      <c r="R1088" s="38"/>
      <c r="S1088" s="9">
        <f t="shared" ref="S1088:S1093" si="874">SUM(O1088:R1088)</f>
        <v>0</v>
      </c>
      <c r="T1088" s="20"/>
      <c r="U1088" s="35"/>
      <c r="V1088" s="21"/>
      <c r="W1088" s="38"/>
      <c r="X1088" s="9">
        <f t="shared" ref="X1088:X1093" si="875">SUM(T1088:W1088)</f>
        <v>0</v>
      </c>
      <c r="Y1088" s="11">
        <f t="shared" si="856"/>
        <v>0</v>
      </c>
    </row>
    <row r="1089" spans="1:25" x14ac:dyDescent="0.15">
      <c r="A1089" s="59" t="s">
        <v>644</v>
      </c>
      <c r="B1089" s="20">
        <v>1</v>
      </c>
      <c r="C1089" s="35"/>
      <c r="D1089" s="21">
        <v>1</v>
      </c>
      <c r="E1089" s="24"/>
      <c r="F1089" s="25">
        <f t="shared" si="864"/>
        <v>2</v>
      </c>
      <c r="G1089" s="20">
        <v>1</v>
      </c>
      <c r="H1089" s="35"/>
      <c r="I1089" s="21">
        <v>1</v>
      </c>
      <c r="J1089" s="24"/>
      <c r="K1089" s="25">
        <f t="shared" si="865"/>
        <v>2</v>
      </c>
      <c r="L1089" s="11">
        <f t="shared" si="853"/>
        <v>4</v>
      </c>
      <c r="M1089" s="69">
        <v>45650</v>
      </c>
      <c r="N1089" s="15"/>
      <c r="O1089" s="20"/>
      <c r="P1089" s="35"/>
      <c r="Q1089" s="21"/>
      <c r="R1089" s="38"/>
      <c r="S1089" s="9">
        <f t="shared" si="874"/>
        <v>0</v>
      </c>
      <c r="T1089" s="20"/>
      <c r="U1089" s="35"/>
      <c r="V1089" s="21"/>
      <c r="W1089" s="38"/>
      <c r="X1089" s="9">
        <f t="shared" si="875"/>
        <v>0</v>
      </c>
      <c r="Y1089" s="11">
        <f t="shared" si="856"/>
        <v>0</v>
      </c>
    </row>
    <row r="1090" spans="1:25" x14ac:dyDescent="0.15">
      <c r="A1090" s="59" t="s">
        <v>27</v>
      </c>
      <c r="B1090" s="20">
        <v>1</v>
      </c>
      <c r="C1090" s="35">
        <v>1</v>
      </c>
      <c r="D1090" s="21">
        <v>2</v>
      </c>
      <c r="E1090" s="24"/>
      <c r="F1090" s="25">
        <f t="shared" si="864"/>
        <v>4</v>
      </c>
      <c r="G1090" s="20">
        <v>2</v>
      </c>
      <c r="H1090" s="35"/>
      <c r="I1090" s="21">
        <v>4</v>
      </c>
      <c r="J1090" s="24"/>
      <c r="K1090" s="25">
        <f t="shared" si="865"/>
        <v>6</v>
      </c>
      <c r="L1090" s="11">
        <f t="shared" si="853"/>
        <v>10</v>
      </c>
      <c r="M1090" s="69">
        <v>45649</v>
      </c>
      <c r="N1090" s="40"/>
      <c r="O1090" s="20"/>
      <c r="P1090" s="35"/>
      <c r="Q1090" s="21"/>
      <c r="R1090" s="38"/>
      <c r="S1090" s="9">
        <f t="shared" si="874"/>
        <v>0</v>
      </c>
      <c r="T1090" s="20"/>
      <c r="U1090" s="35"/>
      <c r="V1090" s="21"/>
      <c r="W1090" s="38"/>
      <c r="X1090" s="9">
        <f t="shared" si="875"/>
        <v>0</v>
      </c>
      <c r="Y1090" s="11">
        <f t="shared" si="856"/>
        <v>0</v>
      </c>
    </row>
    <row r="1091" spans="1:25" x14ac:dyDescent="0.15">
      <c r="A1091" s="59" t="s">
        <v>27</v>
      </c>
      <c r="B1091" s="20">
        <v>1</v>
      </c>
      <c r="C1091" s="35"/>
      <c r="D1091" s="21"/>
      <c r="E1091" s="24"/>
      <c r="F1091" s="25">
        <f t="shared" si="864"/>
        <v>1</v>
      </c>
      <c r="G1091" s="20">
        <v>1</v>
      </c>
      <c r="H1091" s="35"/>
      <c r="I1091" s="21"/>
      <c r="J1091" s="24"/>
      <c r="K1091" s="25">
        <f t="shared" si="865"/>
        <v>1</v>
      </c>
      <c r="L1091" s="11">
        <f t="shared" si="853"/>
        <v>2</v>
      </c>
      <c r="M1091" s="69">
        <v>45650</v>
      </c>
      <c r="N1091" s="40"/>
      <c r="O1091" s="48"/>
      <c r="P1091" s="49"/>
      <c r="Q1091" s="50"/>
      <c r="R1091" s="72"/>
      <c r="S1091" s="74">
        <f t="shared" si="874"/>
        <v>0</v>
      </c>
      <c r="T1091" s="48"/>
      <c r="U1091" s="49"/>
      <c r="V1091" s="50"/>
      <c r="W1091" s="72"/>
      <c r="X1091" s="74">
        <f t="shared" si="875"/>
        <v>0</v>
      </c>
      <c r="Y1091" s="11">
        <f t="shared" si="856"/>
        <v>0</v>
      </c>
    </row>
    <row r="1092" spans="1:25" x14ac:dyDescent="0.15">
      <c r="A1092" s="59" t="s">
        <v>27</v>
      </c>
      <c r="B1092" s="20"/>
      <c r="C1092" s="35"/>
      <c r="D1092" s="21"/>
      <c r="E1092" s="24"/>
      <c r="F1092" s="25">
        <f t="shared" si="864"/>
        <v>0</v>
      </c>
      <c r="G1092" s="20">
        <v>4</v>
      </c>
      <c r="H1092" s="35"/>
      <c r="I1092" s="21"/>
      <c r="J1092" s="24">
        <v>5</v>
      </c>
      <c r="K1092" s="25">
        <f t="shared" si="865"/>
        <v>9</v>
      </c>
      <c r="L1092" s="11">
        <f t="shared" si="853"/>
        <v>9</v>
      </c>
      <c r="M1092" s="69">
        <v>45651</v>
      </c>
      <c r="N1092" s="40"/>
      <c r="O1092" s="48"/>
      <c r="P1092" s="49"/>
      <c r="Q1092" s="50"/>
      <c r="R1092" s="72"/>
      <c r="S1092" s="74">
        <f t="shared" si="874"/>
        <v>0</v>
      </c>
      <c r="T1092" s="48"/>
      <c r="U1092" s="49"/>
      <c r="V1092" s="50"/>
      <c r="W1092" s="72"/>
      <c r="X1092" s="74">
        <f t="shared" si="875"/>
        <v>0</v>
      </c>
      <c r="Y1092" s="11">
        <f t="shared" si="856"/>
        <v>0</v>
      </c>
    </row>
    <row r="1093" spans="1:25" x14ac:dyDescent="0.15">
      <c r="A1093" s="40" t="s">
        <v>648</v>
      </c>
      <c r="B1093" s="20"/>
      <c r="C1093" s="35">
        <v>1</v>
      </c>
      <c r="D1093" s="21">
        <v>1</v>
      </c>
      <c r="E1093" s="24"/>
      <c r="F1093" s="25">
        <f t="shared" si="864"/>
        <v>2</v>
      </c>
      <c r="G1093" s="20"/>
      <c r="H1093" s="35">
        <v>1</v>
      </c>
      <c r="I1093" s="21">
        <v>1</v>
      </c>
      <c r="J1093" s="24"/>
      <c r="K1093" s="25">
        <f t="shared" si="865"/>
        <v>2</v>
      </c>
      <c r="L1093" s="11">
        <f t="shared" si="853"/>
        <v>4</v>
      </c>
      <c r="M1093" s="69">
        <v>45653</v>
      </c>
      <c r="N1093" s="40"/>
      <c r="O1093" s="48"/>
      <c r="P1093" s="49"/>
      <c r="Q1093" s="50"/>
      <c r="R1093" s="72"/>
      <c r="S1093" s="74">
        <f t="shared" si="874"/>
        <v>0</v>
      </c>
      <c r="T1093" s="48"/>
      <c r="U1093" s="49"/>
      <c r="V1093" s="50"/>
      <c r="W1093" s="72"/>
      <c r="X1093" s="74">
        <f t="shared" si="875"/>
        <v>0</v>
      </c>
      <c r="Y1093" s="11">
        <f t="shared" si="856"/>
        <v>0</v>
      </c>
    </row>
    <row r="1094" spans="1:25" x14ac:dyDescent="0.15">
      <c r="A1094" s="59" t="s">
        <v>27</v>
      </c>
      <c r="B1094" s="20">
        <v>1</v>
      </c>
      <c r="C1094" s="35"/>
      <c r="D1094" s="21">
        <v>1</v>
      </c>
      <c r="E1094" s="24"/>
      <c r="F1094" s="25">
        <f t="shared" si="864"/>
        <v>2</v>
      </c>
      <c r="G1094" s="20">
        <v>1</v>
      </c>
      <c r="H1094" s="35"/>
      <c r="I1094" s="21"/>
      <c r="J1094" s="24"/>
      <c r="K1094" s="25">
        <f t="shared" si="865"/>
        <v>1</v>
      </c>
      <c r="L1094" s="11">
        <f t="shared" si="853"/>
        <v>3</v>
      </c>
      <c r="M1094" s="69">
        <v>45652</v>
      </c>
      <c r="N1094" s="40"/>
      <c r="O1094" s="48"/>
      <c r="P1094" s="49"/>
      <c r="Q1094" s="50"/>
      <c r="R1094" s="72"/>
      <c r="S1094" s="74">
        <f t="shared" ref="S1094" si="876">SUM(O1094:R1094)</f>
        <v>0</v>
      </c>
      <c r="T1094" s="48"/>
      <c r="U1094" s="49"/>
      <c r="V1094" s="50"/>
      <c r="W1094" s="72"/>
      <c r="X1094" s="74">
        <f t="shared" ref="X1094" si="877">SUM(T1094:W1094)</f>
        <v>0</v>
      </c>
      <c r="Y1094" s="11">
        <f t="shared" ref="Y1094" si="878">S1094+X1094</f>
        <v>0</v>
      </c>
    </row>
    <row r="1095" spans="1:25" x14ac:dyDescent="0.15">
      <c r="A1095" s="40" t="s">
        <v>651</v>
      </c>
      <c r="B1095" s="20"/>
      <c r="C1095" s="35">
        <v>1</v>
      </c>
      <c r="D1095" s="21"/>
      <c r="E1095" s="24"/>
      <c r="F1095" s="25">
        <f t="shared" si="864"/>
        <v>1</v>
      </c>
      <c r="G1095" s="20"/>
      <c r="H1095" s="35">
        <v>1</v>
      </c>
      <c r="I1095" s="21"/>
      <c r="J1095" s="24"/>
      <c r="K1095" s="25">
        <f t="shared" si="865"/>
        <v>1</v>
      </c>
      <c r="L1095" s="11">
        <f t="shared" si="853"/>
        <v>2</v>
      </c>
      <c r="M1095" s="69">
        <v>45297</v>
      </c>
      <c r="N1095" s="40"/>
      <c r="O1095" s="48"/>
      <c r="P1095" s="49"/>
      <c r="Q1095" s="50"/>
      <c r="R1095" s="72"/>
      <c r="S1095" s="74">
        <f t="shared" ref="S1095:S1097" si="879">SUM(O1095:R1095)</f>
        <v>0</v>
      </c>
      <c r="T1095" s="48"/>
      <c r="U1095" s="49"/>
      <c r="V1095" s="50"/>
      <c r="W1095" s="72"/>
      <c r="X1095" s="74">
        <f t="shared" ref="X1095:X1097" si="880">SUM(T1095:W1095)</f>
        <v>0</v>
      </c>
      <c r="Y1095" s="11">
        <f t="shared" ref="Y1095:Y1097" si="881">S1095+X1095</f>
        <v>0</v>
      </c>
    </row>
    <row r="1096" spans="1:25" x14ac:dyDescent="0.15">
      <c r="A1096" s="59" t="s">
        <v>27</v>
      </c>
      <c r="B1096" s="20"/>
      <c r="C1096" s="35"/>
      <c r="D1096" s="21"/>
      <c r="E1096" s="24"/>
      <c r="F1096" s="25">
        <f t="shared" si="864"/>
        <v>0</v>
      </c>
      <c r="G1096" s="20"/>
      <c r="H1096" s="35">
        <v>2</v>
      </c>
      <c r="I1096" s="21"/>
      <c r="J1096" s="24"/>
      <c r="K1096" s="25">
        <f t="shared" si="865"/>
        <v>2</v>
      </c>
      <c r="L1096" s="11">
        <f t="shared" si="853"/>
        <v>2</v>
      </c>
      <c r="M1096" s="69">
        <v>45653</v>
      </c>
      <c r="N1096" s="40"/>
      <c r="O1096" s="48"/>
      <c r="P1096" s="49"/>
      <c r="Q1096" s="50"/>
      <c r="R1096" s="72"/>
      <c r="S1096" s="74">
        <f t="shared" si="879"/>
        <v>0</v>
      </c>
      <c r="T1096" s="48"/>
      <c r="U1096" s="49"/>
      <c r="V1096" s="50"/>
      <c r="W1096" s="72"/>
      <c r="X1096" s="74">
        <f t="shared" si="880"/>
        <v>0</v>
      </c>
      <c r="Y1096" s="11">
        <f t="shared" si="881"/>
        <v>0</v>
      </c>
    </row>
    <row r="1097" spans="1:25" x14ac:dyDescent="0.15">
      <c r="A1097" s="59" t="s">
        <v>27</v>
      </c>
      <c r="B1097" s="20"/>
      <c r="C1097" s="35">
        <v>1</v>
      </c>
      <c r="D1097" s="21">
        <v>1</v>
      </c>
      <c r="E1097" s="24"/>
      <c r="F1097" s="25">
        <f t="shared" si="864"/>
        <v>2</v>
      </c>
      <c r="G1097" s="20"/>
      <c r="H1097" s="35">
        <v>4</v>
      </c>
      <c r="I1097" s="21">
        <v>1</v>
      </c>
      <c r="J1097" s="24">
        <v>3</v>
      </c>
      <c r="K1097" s="25">
        <f t="shared" si="865"/>
        <v>8</v>
      </c>
      <c r="L1097" s="11">
        <f t="shared" si="853"/>
        <v>10</v>
      </c>
      <c r="M1097" s="69">
        <v>45663</v>
      </c>
      <c r="N1097" s="40"/>
      <c r="O1097" s="48"/>
      <c r="P1097" s="49"/>
      <c r="Q1097" s="50"/>
      <c r="R1097" s="72"/>
      <c r="S1097" s="74">
        <f t="shared" si="879"/>
        <v>0</v>
      </c>
      <c r="T1097" s="48"/>
      <c r="U1097" s="49"/>
      <c r="V1097" s="50"/>
      <c r="W1097" s="72"/>
      <c r="X1097" s="74">
        <f t="shared" si="880"/>
        <v>0</v>
      </c>
      <c r="Y1097" s="11">
        <f t="shared" si="881"/>
        <v>0</v>
      </c>
    </row>
    <row r="1098" spans="1:25" ht="14.25" thickBot="1" x14ac:dyDescent="0.2">
      <c r="A1098" s="59" t="s">
        <v>27</v>
      </c>
      <c r="B1098" s="43"/>
      <c r="C1098" s="44">
        <v>1</v>
      </c>
      <c r="D1098" s="45"/>
      <c r="E1098" s="46"/>
      <c r="F1098" s="25">
        <f t="shared" si="864"/>
        <v>1</v>
      </c>
      <c r="G1098" s="43"/>
      <c r="H1098" s="44"/>
      <c r="I1098" s="45">
        <v>1</v>
      </c>
      <c r="J1098" s="46"/>
      <c r="K1098" s="25">
        <f t="shared" si="865"/>
        <v>1</v>
      </c>
      <c r="L1098" s="14">
        <f t="shared" si="853"/>
        <v>2</v>
      </c>
      <c r="M1098" s="69">
        <v>45664</v>
      </c>
      <c r="N1098" s="99"/>
      <c r="O1098" s="43"/>
      <c r="P1098" s="44"/>
      <c r="Q1098" s="45"/>
      <c r="R1098" s="100"/>
      <c r="S1098" s="10">
        <f t="shared" ref="S1098" si="882">SUM(O1098:R1098)</f>
        <v>0</v>
      </c>
      <c r="T1098" s="43"/>
      <c r="U1098" s="44"/>
      <c r="V1098" s="45"/>
      <c r="W1098" s="100"/>
      <c r="X1098" s="10">
        <f t="shared" ref="X1098" si="883">SUM(T1098:W1098)</f>
        <v>0</v>
      </c>
      <c r="Y1098" s="75">
        <f t="shared" ref="Y1098" si="884">S1098+X1098</f>
        <v>0</v>
      </c>
    </row>
    <row r="1099" spans="1:25" ht="14.25" thickBot="1" x14ac:dyDescent="0.2">
      <c r="A1099" s="16" t="s">
        <v>9</v>
      </c>
      <c r="B1099" s="28">
        <f>SUM(B1074:B1098)</f>
        <v>25</v>
      </c>
      <c r="C1099" s="36">
        <f>SUM(C1074:C1098)</f>
        <v>24</v>
      </c>
      <c r="D1099" s="29">
        <f>SUM(D1074:D1098)</f>
        <v>24</v>
      </c>
      <c r="E1099" s="30">
        <f>SUM(E1074:E1098)</f>
        <v>1</v>
      </c>
      <c r="F1099" s="26">
        <f>SUM(B1099:E1099)</f>
        <v>74</v>
      </c>
      <c r="G1099" s="28">
        <f>SUM(G1074:G1098)</f>
        <v>21</v>
      </c>
      <c r="H1099" s="36">
        <f>SUM(H1074:H1098)</f>
        <v>26</v>
      </c>
      <c r="I1099" s="29">
        <f>SUM(I1074:I1098)</f>
        <v>17</v>
      </c>
      <c r="J1099" s="30">
        <f>SUM(J1074:J1098)</f>
        <v>12</v>
      </c>
      <c r="K1099" s="26">
        <f>SUM(G1099:J1099)</f>
        <v>76</v>
      </c>
      <c r="L1099" s="27">
        <f t="shared" si="853"/>
        <v>150</v>
      </c>
      <c r="N1099" s="61" t="s">
        <v>9</v>
      </c>
      <c r="O1099" s="28">
        <f>SUM(O1074:O1098)</f>
        <v>105</v>
      </c>
      <c r="P1099" s="36">
        <f t="shared" ref="P1099" si="885">SUM(P1074:P1098)</f>
        <v>160</v>
      </c>
      <c r="Q1099" s="29">
        <f t="shared" ref="Q1099" si="886">SUM(Q1074:Q1098)</f>
        <v>125</v>
      </c>
      <c r="R1099" s="30">
        <f t="shared" ref="R1099" si="887">SUM(R1074:R1098)</f>
        <v>70</v>
      </c>
      <c r="S1099" s="60">
        <f>SUM(O1099:R1099)</f>
        <v>460</v>
      </c>
      <c r="T1099" s="28">
        <f>SUM(T1074:T1098)</f>
        <v>105</v>
      </c>
      <c r="U1099" s="36">
        <f t="shared" ref="U1099" si="888">SUM(U1074:U1098)</f>
        <v>160</v>
      </c>
      <c r="V1099" s="29">
        <f t="shared" ref="V1099" si="889">SUM(V1074:V1098)</f>
        <v>120</v>
      </c>
      <c r="W1099" s="30">
        <f t="shared" ref="W1099" si="890">SUM(W1074:W1098)</f>
        <v>70</v>
      </c>
      <c r="X1099" s="60">
        <f>SUM(T1099:W1099)</f>
        <v>455</v>
      </c>
      <c r="Y1099" s="63">
        <f>S1099+X1099</f>
        <v>915</v>
      </c>
    </row>
    <row r="1100" spans="1:25" ht="14.25" thickBot="1" x14ac:dyDescent="0.2">
      <c r="A1100" s="18" t="s">
        <v>10</v>
      </c>
      <c r="B1100" s="31">
        <f t="shared" ref="B1100:K1100" si="891">B1073-B1099</f>
        <v>19</v>
      </c>
      <c r="C1100" s="37">
        <f t="shared" si="891"/>
        <v>29</v>
      </c>
      <c r="D1100" s="32">
        <f t="shared" si="891"/>
        <v>18</v>
      </c>
      <c r="E1100" s="33">
        <f t="shared" si="891"/>
        <v>28</v>
      </c>
      <c r="F1100" s="42">
        <f t="shared" si="891"/>
        <v>94</v>
      </c>
      <c r="G1100" s="31">
        <f t="shared" si="891"/>
        <v>18</v>
      </c>
      <c r="H1100" s="37">
        <f t="shared" si="891"/>
        <v>18</v>
      </c>
      <c r="I1100" s="32">
        <f t="shared" si="891"/>
        <v>25</v>
      </c>
      <c r="J1100" s="33">
        <f t="shared" si="891"/>
        <v>19</v>
      </c>
      <c r="K1100" s="42">
        <f t="shared" si="891"/>
        <v>80</v>
      </c>
      <c r="L1100" s="17">
        <f t="shared" si="853"/>
        <v>174</v>
      </c>
      <c r="N1100" s="16" t="s">
        <v>10</v>
      </c>
      <c r="O1100" s="31">
        <f>O1073-O1099</f>
        <v>636</v>
      </c>
      <c r="P1100" s="37">
        <f t="shared" ref="P1100" si="892">P1073-P1099</f>
        <v>729</v>
      </c>
      <c r="Q1100" s="32">
        <f t="shared" ref="Q1100" si="893">Q1073-Q1099</f>
        <v>305</v>
      </c>
      <c r="R1100" s="33">
        <f t="shared" ref="R1100" si="894">R1073-R1099</f>
        <v>307</v>
      </c>
      <c r="S1100" s="42">
        <f>S1073-S1099</f>
        <v>1977</v>
      </c>
      <c r="T1100" s="31">
        <f>T1073-T1099</f>
        <v>429</v>
      </c>
      <c r="U1100" s="37">
        <f t="shared" ref="U1100" si="895">U1073-U1099</f>
        <v>536</v>
      </c>
      <c r="V1100" s="32">
        <f t="shared" ref="V1100" si="896">V1073-V1099</f>
        <v>245</v>
      </c>
      <c r="W1100" s="33">
        <f t="shared" ref="W1100" si="897">W1073-W1099</f>
        <v>291</v>
      </c>
      <c r="X1100" s="42">
        <f>X1073-X1099</f>
        <v>1501</v>
      </c>
      <c r="Y1100" s="17">
        <f>S1100+X1100</f>
        <v>3478</v>
      </c>
    </row>
    <row r="1103" spans="1:25" ht="19.5" thickBot="1" x14ac:dyDescent="0.25">
      <c r="A1103" s="2" t="s">
        <v>17</v>
      </c>
      <c r="B1103" s="2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N1103" s="2" t="s">
        <v>18</v>
      </c>
      <c r="O1103" s="87"/>
      <c r="P1103" s="87"/>
      <c r="Q1103" s="87"/>
      <c r="R1103" s="87"/>
      <c r="S1103" s="87"/>
      <c r="T1103" s="87"/>
      <c r="U1103" s="87"/>
      <c r="V1103" s="87"/>
      <c r="W1103" s="87"/>
      <c r="X1103" s="87"/>
      <c r="Y1103" s="1"/>
    </row>
    <row r="1104" spans="1:25" ht="14.25" thickBot="1" x14ac:dyDescent="0.2">
      <c r="A1104" s="5" t="s">
        <v>0</v>
      </c>
      <c r="B1104" s="244" t="s">
        <v>19</v>
      </c>
      <c r="C1104" s="245"/>
      <c r="D1104" s="245"/>
      <c r="E1104" s="245"/>
      <c r="F1104" s="246"/>
      <c r="G1104" s="247" t="s">
        <v>20</v>
      </c>
      <c r="H1104" s="248"/>
      <c r="I1104" s="248"/>
      <c r="J1104" s="248"/>
      <c r="K1104" s="249"/>
      <c r="L1104" s="250" t="s">
        <v>1</v>
      </c>
      <c r="N1104" s="5" t="s">
        <v>0</v>
      </c>
      <c r="O1104" s="244" t="s">
        <v>19</v>
      </c>
      <c r="P1104" s="245"/>
      <c r="Q1104" s="245"/>
      <c r="R1104" s="245"/>
      <c r="S1104" s="246"/>
      <c r="T1104" s="247" t="s">
        <v>20</v>
      </c>
      <c r="U1104" s="248"/>
      <c r="V1104" s="248"/>
      <c r="W1104" s="248"/>
      <c r="X1104" s="249"/>
      <c r="Y1104" s="250" t="s">
        <v>1</v>
      </c>
    </row>
    <row r="1105" spans="1:28" ht="14.25" thickBot="1" x14ac:dyDescent="0.2">
      <c r="A1105" s="5" t="s">
        <v>2</v>
      </c>
      <c r="B1105" s="3" t="s">
        <v>11</v>
      </c>
      <c r="C1105" s="34" t="s">
        <v>12</v>
      </c>
      <c r="D1105" s="4" t="s">
        <v>13</v>
      </c>
      <c r="E1105" s="19" t="s">
        <v>14</v>
      </c>
      <c r="F1105" s="23" t="s">
        <v>3</v>
      </c>
      <c r="G1105" s="3" t="s">
        <v>11</v>
      </c>
      <c r="H1105" s="34" t="s">
        <v>12</v>
      </c>
      <c r="I1105" s="4" t="s">
        <v>13</v>
      </c>
      <c r="J1105" s="19" t="s">
        <v>14</v>
      </c>
      <c r="K1105" s="23" t="s">
        <v>3</v>
      </c>
      <c r="L1105" s="251"/>
      <c r="N1105" s="5" t="s">
        <v>2</v>
      </c>
      <c r="O1105" s="53" t="s">
        <v>11</v>
      </c>
      <c r="P1105" s="54" t="s">
        <v>12</v>
      </c>
      <c r="Q1105" s="55" t="s">
        <v>13</v>
      </c>
      <c r="R1105" s="56" t="s">
        <v>14</v>
      </c>
      <c r="S1105" s="23" t="s">
        <v>3</v>
      </c>
      <c r="T1105" s="3" t="s">
        <v>11</v>
      </c>
      <c r="U1105" s="34" t="s">
        <v>12</v>
      </c>
      <c r="V1105" s="4" t="s">
        <v>13</v>
      </c>
      <c r="W1105" s="19" t="s">
        <v>14</v>
      </c>
      <c r="X1105" s="23" t="s">
        <v>3</v>
      </c>
      <c r="Y1105" s="251"/>
    </row>
    <row r="1106" spans="1:28" ht="14.25" thickBot="1" x14ac:dyDescent="0.2">
      <c r="A1106" s="18" t="s">
        <v>15</v>
      </c>
      <c r="B1106" s="31">
        <f>B1100</f>
        <v>19</v>
      </c>
      <c r="C1106" s="32">
        <f>C1100</f>
        <v>29</v>
      </c>
      <c r="D1106" s="32">
        <f>D1100</f>
        <v>18</v>
      </c>
      <c r="E1106" s="33">
        <f>E1100</f>
        <v>28</v>
      </c>
      <c r="F1106" s="86">
        <f>SUM(B1106:E1106)</f>
        <v>94</v>
      </c>
      <c r="G1106" s="31">
        <f>G1100</f>
        <v>18</v>
      </c>
      <c r="H1106" s="32">
        <f>H1100</f>
        <v>18</v>
      </c>
      <c r="I1106" s="32">
        <f>I1100</f>
        <v>25</v>
      </c>
      <c r="J1106" s="33">
        <f>J1100</f>
        <v>19</v>
      </c>
      <c r="K1106" s="80">
        <f>SUM(G1106:J1106)</f>
        <v>80</v>
      </c>
      <c r="L1106" s="17">
        <f>F1106+K1106</f>
        <v>174</v>
      </c>
      <c r="N1106" s="18" t="s">
        <v>15</v>
      </c>
      <c r="O1106" s="31">
        <f>O1100</f>
        <v>636</v>
      </c>
      <c r="P1106" s="32">
        <f t="shared" ref="P1106:Y1106" si="898">P1100</f>
        <v>729</v>
      </c>
      <c r="Q1106" s="32">
        <f t="shared" si="898"/>
        <v>305</v>
      </c>
      <c r="R1106" s="33">
        <f t="shared" si="898"/>
        <v>307</v>
      </c>
      <c r="S1106" s="86">
        <f t="shared" si="898"/>
        <v>1977</v>
      </c>
      <c r="T1106" s="31">
        <f t="shared" si="898"/>
        <v>429</v>
      </c>
      <c r="U1106" s="32">
        <f t="shared" si="898"/>
        <v>536</v>
      </c>
      <c r="V1106" s="32">
        <f t="shared" si="898"/>
        <v>245</v>
      </c>
      <c r="W1106" s="33">
        <f t="shared" si="898"/>
        <v>291</v>
      </c>
      <c r="X1106" s="80">
        <f t="shared" si="898"/>
        <v>1501</v>
      </c>
      <c r="Y1106" s="17">
        <f t="shared" si="898"/>
        <v>3478</v>
      </c>
    </row>
    <row r="1107" spans="1:28" x14ac:dyDescent="0.15">
      <c r="A1107" s="13" t="s">
        <v>4</v>
      </c>
      <c r="B1107" s="48">
        <v>10</v>
      </c>
      <c r="C1107" s="49">
        <v>5</v>
      </c>
      <c r="D1107" s="50">
        <v>10</v>
      </c>
      <c r="E1107" s="51">
        <v>5</v>
      </c>
      <c r="F1107" s="52">
        <f t="shared" ref="F1107" si="899">SUM(B1107:E1107)</f>
        <v>30</v>
      </c>
      <c r="G1107" s="48">
        <v>15</v>
      </c>
      <c r="H1107" s="49">
        <v>15</v>
      </c>
      <c r="I1107" s="50">
        <v>10</v>
      </c>
      <c r="J1107" s="51">
        <v>10</v>
      </c>
      <c r="K1107" s="52">
        <f t="shared" ref="K1107" si="900">SUM(G1107:J1107)</f>
        <v>50</v>
      </c>
      <c r="L1107" s="11">
        <f t="shared" ref="L1107" si="901">F1107+K1107</f>
        <v>80</v>
      </c>
      <c r="M1107" s="69">
        <v>45666</v>
      </c>
      <c r="N1107" s="59" t="s">
        <v>16</v>
      </c>
      <c r="O1107" s="48"/>
      <c r="P1107" s="49"/>
      <c r="Q1107" s="50"/>
      <c r="R1107" s="51"/>
      <c r="S1107" s="85">
        <f t="shared" ref="S1107:S1109" si="902">SUM(O1107:R1107)</f>
        <v>0</v>
      </c>
      <c r="T1107" s="48"/>
      <c r="U1107" s="49"/>
      <c r="V1107" s="50"/>
      <c r="W1107" s="51"/>
      <c r="X1107" s="74">
        <f t="shared" ref="X1107:X1109" si="903">SUM(T1107:W1107)</f>
        <v>0</v>
      </c>
      <c r="Y1107" s="11">
        <f t="shared" ref="Y1107:Y1132" si="904">S1107+X1107</f>
        <v>0</v>
      </c>
    </row>
    <row r="1108" spans="1:28" x14ac:dyDescent="0.15">
      <c r="A1108" s="13" t="s">
        <v>5</v>
      </c>
      <c r="B1108" s="20">
        <v>20</v>
      </c>
      <c r="C1108" s="35">
        <v>10</v>
      </c>
      <c r="D1108" s="21">
        <v>15</v>
      </c>
      <c r="E1108" s="24">
        <v>15</v>
      </c>
      <c r="F1108" s="25">
        <f t="shared" ref="F1108:F1110" si="905">SUM(B1108:E1108)</f>
        <v>60</v>
      </c>
      <c r="G1108" s="20">
        <v>15</v>
      </c>
      <c r="H1108" s="35">
        <v>5</v>
      </c>
      <c r="I1108" s="21">
        <v>15</v>
      </c>
      <c r="J1108" s="24">
        <v>15</v>
      </c>
      <c r="K1108" s="25">
        <f t="shared" ref="K1108:K1110" si="906">SUM(G1108:J1108)</f>
        <v>50</v>
      </c>
      <c r="L1108" s="11">
        <f t="shared" ref="L1108:L1138" si="907">F1108+K1108</f>
        <v>110</v>
      </c>
      <c r="M1108" s="69">
        <v>45675</v>
      </c>
      <c r="N1108" s="59" t="s">
        <v>4</v>
      </c>
      <c r="O1108" s="48"/>
      <c r="P1108" s="49"/>
      <c r="Q1108" s="50"/>
      <c r="R1108" s="51"/>
      <c r="S1108" s="85">
        <f t="shared" si="902"/>
        <v>0</v>
      </c>
      <c r="T1108" s="48"/>
      <c r="U1108" s="49"/>
      <c r="V1108" s="50"/>
      <c r="W1108" s="51"/>
      <c r="X1108" s="74">
        <f t="shared" si="903"/>
        <v>0</v>
      </c>
      <c r="Y1108" s="11">
        <f t="shared" si="904"/>
        <v>0</v>
      </c>
    </row>
    <row r="1109" spans="1:28" x14ac:dyDescent="0.15">
      <c r="A1109" s="13" t="s">
        <v>6</v>
      </c>
      <c r="B1109" s="20">
        <v>5</v>
      </c>
      <c r="C1109" s="35">
        <v>10</v>
      </c>
      <c r="D1109" s="21">
        <v>5</v>
      </c>
      <c r="E1109" s="24"/>
      <c r="F1109" s="25">
        <f t="shared" si="905"/>
        <v>20</v>
      </c>
      <c r="G1109" s="20"/>
      <c r="H1109" s="35">
        <v>5</v>
      </c>
      <c r="I1109" s="21">
        <v>5</v>
      </c>
      <c r="J1109" s="24"/>
      <c r="K1109" s="25">
        <f t="shared" si="906"/>
        <v>10</v>
      </c>
      <c r="L1109" s="11">
        <f t="shared" si="907"/>
        <v>30</v>
      </c>
      <c r="M1109" s="69">
        <v>45681</v>
      </c>
      <c r="N1109" s="59" t="s">
        <v>5</v>
      </c>
      <c r="O1109" s="48"/>
      <c r="P1109" s="49"/>
      <c r="Q1109" s="50"/>
      <c r="R1109" s="51"/>
      <c r="S1109" s="85">
        <f t="shared" si="902"/>
        <v>0</v>
      </c>
      <c r="T1109" s="48"/>
      <c r="U1109" s="49"/>
      <c r="V1109" s="50"/>
      <c r="W1109" s="51"/>
      <c r="X1109" s="74">
        <f t="shared" si="903"/>
        <v>0</v>
      </c>
      <c r="Y1109" s="11">
        <f t="shared" si="904"/>
        <v>0</v>
      </c>
    </row>
    <row r="1110" spans="1:28" ht="14.25" thickBot="1" x14ac:dyDescent="0.2">
      <c r="A1110" s="13" t="s">
        <v>72</v>
      </c>
      <c r="B1110" s="48"/>
      <c r="C1110" s="49">
        <v>1</v>
      </c>
      <c r="D1110" s="50"/>
      <c r="E1110" s="51"/>
      <c r="F1110" s="52">
        <f t="shared" si="905"/>
        <v>1</v>
      </c>
      <c r="G1110" s="48"/>
      <c r="H1110" s="49">
        <v>1</v>
      </c>
      <c r="I1110" s="50"/>
      <c r="J1110" s="51"/>
      <c r="K1110" s="52">
        <f t="shared" si="906"/>
        <v>1</v>
      </c>
      <c r="L1110" s="11">
        <f t="shared" si="907"/>
        <v>2</v>
      </c>
      <c r="M1110" s="71">
        <v>45693</v>
      </c>
      <c r="N1110" s="13" t="s">
        <v>6</v>
      </c>
      <c r="O1110" s="43"/>
      <c r="P1110" s="44"/>
      <c r="Q1110" s="45"/>
      <c r="R1110" s="46"/>
      <c r="S1110" s="58">
        <f>SUM(O1110:R1110)</f>
        <v>0</v>
      </c>
      <c r="T1110" s="35"/>
      <c r="U1110" s="35"/>
      <c r="V1110" s="21"/>
      <c r="W1110" s="38"/>
      <c r="X1110" s="10">
        <f>SUM(T1110:W1110)</f>
        <v>0</v>
      </c>
      <c r="Y1110" s="14">
        <f t="shared" si="904"/>
        <v>0</v>
      </c>
    </row>
    <row r="1111" spans="1:28" ht="14.25" thickBot="1" x14ac:dyDescent="0.2">
      <c r="A1111" s="18" t="s">
        <v>8</v>
      </c>
      <c r="B1111" s="76">
        <f t="shared" ref="B1111:K1111" si="908">SUM(B1106:B1110)</f>
        <v>54</v>
      </c>
      <c r="C1111" s="77">
        <f t="shared" si="908"/>
        <v>55</v>
      </c>
      <c r="D1111" s="78">
        <f t="shared" si="908"/>
        <v>48</v>
      </c>
      <c r="E1111" s="79">
        <f t="shared" si="908"/>
        <v>48</v>
      </c>
      <c r="F1111" s="80">
        <f t="shared" si="908"/>
        <v>205</v>
      </c>
      <c r="G1111" s="76">
        <f t="shared" si="908"/>
        <v>48</v>
      </c>
      <c r="H1111" s="77">
        <f t="shared" si="908"/>
        <v>44</v>
      </c>
      <c r="I1111" s="78">
        <f t="shared" si="908"/>
        <v>55</v>
      </c>
      <c r="J1111" s="79">
        <f t="shared" si="908"/>
        <v>44</v>
      </c>
      <c r="K1111" s="80">
        <f t="shared" si="908"/>
        <v>191</v>
      </c>
      <c r="L1111" s="17">
        <f t="shared" si="907"/>
        <v>396</v>
      </c>
      <c r="N1111" s="16" t="s">
        <v>8</v>
      </c>
      <c r="O1111" s="31">
        <f>SUM(O1106:O1110)</f>
        <v>636</v>
      </c>
      <c r="P1111" s="37">
        <f t="shared" ref="P1111" si="909">SUM(P1106:P1110)</f>
        <v>729</v>
      </c>
      <c r="Q1111" s="32">
        <f t="shared" ref="Q1111" si="910">SUM(Q1106:Q1110)</f>
        <v>305</v>
      </c>
      <c r="R1111" s="82">
        <f t="shared" ref="R1111" si="911">SUM(R1106:R1110)</f>
        <v>307</v>
      </c>
      <c r="S1111" s="83">
        <f>SUM(S1106:S1110)</f>
        <v>1977</v>
      </c>
      <c r="T1111" s="31">
        <f>SUM(T1106:T1110)</f>
        <v>429</v>
      </c>
      <c r="U1111" s="37">
        <f t="shared" ref="U1111" si="912">SUM(U1106:U1110)</f>
        <v>536</v>
      </c>
      <c r="V1111" s="32">
        <f t="shared" ref="V1111" si="913">SUM(V1106:V1110)</f>
        <v>245</v>
      </c>
      <c r="W1111" s="82">
        <f t="shared" ref="W1111" si="914">SUM(W1106:W1110)</f>
        <v>291</v>
      </c>
      <c r="X1111" s="83">
        <f>SUM(X1106:X1110)</f>
        <v>1501</v>
      </c>
      <c r="Y1111" s="39">
        <f>S1111+X1111</f>
        <v>3478</v>
      </c>
    </row>
    <row r="1112" spans="1:28" x14ac:dyDescent="0.15">
      <c r="A1112" s="59" t="s">
        <v>27</v>
      </c>
      <c r="B1112" s="20">
        <v>2</v>
      </c>
      <c r="C1112" s="35">
        <v>1</v>
      </c>
      <c r="D1112" s="21"/>
      <c r="E1112" s="24"/>
      <c r="F1112" s="25">
        <f t="shared" ref="F1112:F1136" si="915">SUM(B1112:E1112)</f>
        <v>3</v>
      </c>
      <c r="G1112" s="20">
        <v>1</v>
      </c>
      <c r="H1112" s="35">
        <v>1</v>
      </c>
      <c r="I1112" s="21"/>
      <c r="J1112" s="24"/>
      <c r="K1112" s="25">
        <f t="shared" ref="K1112:K1136" si="916">SUM(G1112:J1112)</f>
        <v>2</v>
      </c>
      <c r="L1112" s="11">
        <f t="shared" si="907"/>
        <v>5</v>
      </c>
      <c r="M1112" s="71">
        <v>45666</v>
      </c>
      <c r="N1112" s="40" t="s">
        <v>26</v>
      </c>
      <c r="O1112" s="20">
        <v>10</v>
      </c>
      <c r="P1112" s="35">
        <v>5</v>
      </c>
      <c r="Q1112" s="21">
        <v>10</v>
      </c>
      <c r="R1112" s="38">
        <v>5</v>
      </c>
      <c r="S1112" s="9">
        <f t="shared" ref="S1112:S1114" si="917">SUM(O1112:R1112)</f>
        <v>30</v>
      </c>
      <c r="T1112" s="20">
        <v>15</v>
      </c>
      <c r="U1112" s="35">
        <v>15</v>
      </c>
      <c r="V1112" s="21">
        <v>10</v>
      </c>
      <c r="W1112" s="38">
        <v>10</v>
      </c>
      <c r="X1112" s="9">
        <f t="shared" ref="X1112:X1114" si="918">SUM(T1112:W1112)</f>
        <v>50</v>
      </c>
      <c r="Y1112" s="11">
        <f t="shared" si="904"/>
        <v>80</v>
      </c>
      <c r="Z1112" s="69">
        <v>45666</v>
      </c>
    </row>
    <row r="1113" spans="1:28" x14ac:dyDescent="0.15">
      <c r="A1113" s="59" t="s">
        <v>210</v>
      </c>
      <c r="B1113" s="20"/>
      <c r="C1113" s="35">
        <v>2</v>
      </c>
      <c r="D1113" s="21"/>
      <c r="E1113" s="24"/>
      <c r="F1113" s="25">
        <f t="shared" si="915"/>
        <v>2</v>
      </c>
      <c r="G1113" s="20">
        <v>2</v>
      </c>
      <c r="H1113" s="35">
        <v>2</v>
      </c>
      <c r="I1113" s="21"/>
      <c r="J1113" s="24"/>
      <c r="K1113" s="25">
        <f t="shared" si="916"/>
        <v>4</v>
      </c>
      <c r="L1113" s="11">
        <f t="shared" si="907"/>
        <v>6</v>
      </c>
      <c r="M1113" s="69">
        <v>45668</v>
      </c>
      <c r="N1113" s="12" t="s">
        <v>652</v>
      </c>
      <c r="O1113" s="20">
        <v>5</v>
      </c>
      <c r="P1113" s="35">
        <v>5</v>
      </c>
      <c r="Q1113" s="21">
        <v>5</v>
      </c>
      <c r="R1113" s="38">
        <v>5</v>
      </c>
      <c r="S1113" s="9">
        <f t="shared" si="917"/>
        <v>20</v>
      </c>
      <c r="T1113" s="20">
        <v>5</v>
      </c>
      <c r="U1113" s="35">
        <v>5</v>
      </c>
      <c r="V1113" s="21">
        <v>5</v>
      </c>
      <c r="W1113" s="38">
        <v>5</v>
      </c>
      <c r="X1113" s="9">
        <f t="shared" si="918"/>
        <v>20</v>
      </c>
      <c r="Y1113" s="11">
        <f t="shared" si="904"/>
        <v>40</v>
      </c>
      <c r="Z1113" s="69">
        <v>45674</v>
      </c>
    </row>
    <row r="1114" spans="1:28" x14ac:dyDescent="0.15">
      <c r="A1114" s="59" t="s">
        <v>27</v>
      </c>
      <c r="B1114" s="20">
        <v>1</v>
      </c>
      <c r="C1114" s="35">
        <v>2</v>
      </c>
      <c r="D1114" s="21">
        <v>3</v>
      </c>
      <c r="E1114" s="24"/>
      <c r="F1114" s="25">
        <f t="shared" si="915"/>
        <v>6</v>
      </c>
      <c r="G1114" s="20">
        <v>1</v>
      </c>
      <c r="H1114" s="35">
        <v>2</v>
      </c>
      <c r="I1114" s="21">
        <v>3</v>
      </c>
      <c r="J1114" s="24"/>
      <c r="K1114" s="25">
        <f t="shared" si="916"/>
        <v>6</v>
      </c>
      <c r="L1114" s="11">
        <f t="shared" si="907"/>
        <v>12</v>
      </c>
      <c r="M1114" s="69">
        <v>45667</v>
      </c>
      <c r="N1114" s="12" t="s">
        <v>655</v>
      </c>
      <c r="O1114" s="20">
        <v>15</v>
      </c>
      <c r="P1114" s="35">
        <v>20</v>
      </c>
      <c r="Q1114" s="21">
        <v>5</v>
      </c>
      <c r="R1114" s="38">
        <v>5</v>
      </c>
      <c r="S1114" s="9">
        <f t="shared" si="917"/>
        <v>45</v>
      </c>
      <c r="T1114" s="20">
        <v>15</v>
      </c>
      <c r="U1114" s="35">
        <v>20</v>
      </c>
      <c r="V1114" s="21">
        <v>5</v>
      </c>
      <c r="W1114" s="38">
        <v>5</v>
      </c>
      <c r="X1114" s="9">
        <f t="shared" si="918"/>
        <v>45</v>
      </c>
      <c r="Y1114" s="11">
        <f t="shared" si="904"/>
        <v>90</v>
      </c>
      <c r="Z1114" s="69">
        <v>45678</v>
      </c>
      <c r="AA1114" s="41"/>
    </row>
    <row r="1115" spans="1:28" x14ac:dyDescent="0.15">
      <c r="A1115" s="59" t="s">
        <v>27</v>
      </c>
      <c r="B1115" s="20"/>
      <c r="C1115" s="35"/>
      <c r="D1115" s="21">
        <v>1</v>
      </c>
      <c r="E1115" s="24"/>
      <c r="F1115" s="25">
        <f t="shared" si="915"/>
        <v>1</v>
      </c>
      <c r="G1115" s="20"/>
      <c r="H1115" s="35"/>
      <c r="I1115" s="21"/>
      <c r="J1115" s="24"/>
      <c r="K1115" s="25">
        <f t="shared" si="916"/>
        <v>0</v>
      </c>
      <c r="L1115" s="11">
        <f t="shared" si="907"/>
        <v>1</v>
      </c>
      <c r="M1115" s="71">
        <v>45668</v>
      </c>
      <c r="N1115" s="12" t="s">
        <v>656</v>
      </c>
      <c r="O1115" s="20">
        <v>10</v>
      </c>
      <c r="P1115" s="35">
        <v>10</v>
      </c>
      <c r="Q1115" s="21">
        <v>10</v>
      </c>
      <c r="R1115" s="38">
        <v>10</v>
      </c>
      <c r="S1115" s="9">
        <f t="shared" ref="S1115:S1124" si="919">SUM(O1115:R1115)</f>
        <v>40</v>
      </c>
      <c r="T1115" s="20">
        <v>10</v>
      </c>
      <c r="U1115" s="35">
        <v>10</v>
      </c>
      <c r="V1115" s="21">
        <v>10</v>
      </c>
      <c r="W1115" s="38">
        <v>10</v>
      </c>
      <c r="X1115" s="9">
        <f t="shared" ref="X1115:X1124" si="920">SUM(T1115:W1115)</f>
        <v>40</v>
      </c>
      <c r="Y1115" s="11">
        <f t="shared" si="904"/>
        <v>80</v>
      </c>
      <c r="Z1115" s="69">
        <v>45681</v>
      </c>
    </row>
    <row r="1116" spans="1:28" x14ac:dyDescent="0.15">
      <c r="A1116" s="59" t="s">
        <v>27</v>
      </c>
      <c r="B1116" s="20">
        <v>6</v>
      </c>
      <c r="C1116" s="35">
        <v>2</v>
      </c>
      <c r="D1116" s="21"/>
      <c r="E1116" s="24">
        <f>1+1</f>
        <v>2</v>
      </c>
      <c r="F1116" s="25">
        <f t="shared" si="915"/>
        <v>10</v>
      </c>
      <c r="G1116" s="20">
        <v>4</v>
      </c>
      <c r="H1116" s="35">
        <v>3</v>
      </c>
      <c r="I1116" s="21"/>
      <c r="J1116" s="24">
        <v>2</v>
      </c>
      <c r="K1116" s="25">
        <f t="shared" si="916"/>
        <v>9</v>
      </c>
      <c r="L1116" s="11">
        <f t="shared" si="907"/>
        <v>19</v>
      </c>
      <c r="M1116" s="71">
        <v>45671</v>
      </c>
      <c r="N1116" s="12" t="s">
        <v>657</v>
      </c>
      <c r="O1116" s="20">
        <v>15</v>
      </c>
      <c r="P1116" s="35">
        <v>10</v>
      </c>
      <c r="Q1116" s="21"/>
      <c r="R1116" s="38"/>
      <c r="S1116" s="9">
        <f t="shared" si="919"/>
        <v>25</v>
      </c>
      <c r="T1116" s="20"/>
      <c r="U1116" s="35"/>
      <c r="V1116" s="21">
        <v>10</v>
      </c>
      <c r="W1116" s="38"/>
      <c r="X1116" s="9">
        <f t="shared" si="920"/>
        <v>10</v>
      </c>
      <c r="Y1116" s="11">
        <f t="shared" si="904"/>
        <v>35</v>
      </c>
      <c r="Z1116" s="69">
        <v>45681</v>
      </c>
      <c r="AA1116" s="41"/>
      <c r="AB1116" s="41"/>
    </row>
    <row r="1117" spans="1:28" x14ac:dyDescent="0.15">
      <c r="A1117" s="59" t="s">
        <v>32</v>
      </c>
      <c r="B1117" s="20"/>
      <c r="C1117" s="35">
        <v>1</v>
      </c>
      <c r="D1117" s="21"/>
      <c r="E1117" s="24"/>
      <c r="F1117" s="25">
        <f t="shared" si="915"/>
        <v>1</v>
      </c>
      <c r="G1117" s="20"/>
      <c r="H1117" s="35"/>
      <c r="I1117" s="21"/>
      <c r="J1117" s="24"/>
      <c r="K1117" s="25">
        <f t="shared" si="916"/>
        <v>0</v>
      </c>
      <c r="L1117" s="11">
        <f t="shared" si="907"/>
        <v>1</v>
      </c>
      <c r="M1117" s="69">
        <v>45672</v>
      </c>
      <c r="N1117" s="40" t="s">
        <v>26</v>
      </c>
      <c r="O1117" s="20">
        <v>20</v>
      </c>
      <c r="P1117" s="35">
        <v>10</v>
      </c>
      <c r="Q1117" s="21">
        <v>15</v>
      </c>
      <c r="R1117" s="38">
        <v>15</v>
      </c>
      <c r="S1117" s="9">
        <f t="shared" si="919"/>
        <v>60</v>
      </c>
      <c r="T1117" s="20">
        <v>15</v>
      </c>
      <c r="U1117" s="35">
        <v>5</v>
      </c>
      <c r="V1117" s="21">
        <v>15</v>
      </c>
      <c r="W1117" s="38">
        <v>15</v>
      </c>
      <c r="X1117" s="9">
        <f t="shared" si="920"/>
        <v>50</v>
      </c>
      <c r="Y1117" s="11">
        <f t="shared" si="904"/>
        <v>110</v>
      </c>
      <c r="Z1117" s="69">
        <v>45675</v>
      </c>
      <c r="AA1117" s="41"/>
      <c r="AB1117" s="41"/>
    </row>
    <row r="1118" spans="1:28" x14ac:dyDescent="0.15">
      <c r="A1118" s="12" t="s">
        <v>653</v>
      </c>
      <c r="B1118" s="20">
        <v>5</v>
      </c>
      <c r="C1118" s="35"/>
      <c r="D1118" s="21">
        <v>10</v>
      </c>
      <c r="E1118" s="24">
        <v>5</v>
      </c>
      <c r="F1118" s="25">
        <f t="shared" si="915"/>
        <v>20</v>
      </c>
      <c r="G1118" s="20">
        <v>5</v>
      </c>
      <c r="H1118" s="35"/>
      <c r="I1118" s="21">
        <v>10</v>
      </c>
      <c r="J1118" s="24">
        <v>5</v>
      </c>
      <c r="K1118" s="25">
        <f t="shared" si="916"/>
        <v>20</v>
      </c>
      <c r="L1118" s="11">
        <f t="shared" si="907"/>
        <v>40</v>
      </c>
      <c r="M1118" s="69">
        <v>45674</v>
      </c>
      <c r="N1118" s="12" t="s">
        <v>677</v>
      </c>
      <c r="O1118" s="20">
        <v>4</v>
      </c>
      <c r="P1118" s="35">
        <v>7</v>
      </c>
      <c r="Q1118" s="21"/>
      <c r="R1118" s="38"/>
      <c r="S1118" s="9">
        <f t="shared" si="919"/>
        <v>11</v>
      </c>
      <c r="T1118" s="20">
        <v>4</v>
      </c>
      <c r="U1118" s="35">
        <v>7</v>
      </c>
      <c r="V1118" s="21"/>
      <c r="W1118" s="38"/>
      <c r="X1118" s="9">
        <f t="shared" si="920"/>
        <v>11</v>
      </c>
      <c r="Y1118" s="11">
        <f t="shared" si="904"/>
        <v>22</v>
      </c>
      <c r="Z1118" s="69">
        <v>45680</v>
      </c>
      <c r="AA1118" s="41"/>
    </row>
    <row r="1119" spans="1:28" x14ac:dyDescent="0.15">
      <c r="A1119" s="40" t="s">
        <v>654</v>
      </c>
      <c r="B1119" s="20"/>
      <c r="C1119" s="35"/>
      <c r="D1119" s="21"/>
      <c r="E1119" s="24">
        <v>2</v>
      </c>
      <c r="F1119" s="25">
        <f t="shared" si="915"/>
        <v>2</v>
      </c>
      <c r="G1119" s="20"/>
      <c r="H1119" s="35"/>
      <c r="I1119" s="21"/>
      <c r="J1119" s="24">
        <v>2</v>
      </c>
      <c r="K1119" s="25">
        <f t="shared" si="916"/>
        <v>2</v>
      </c>
      <c r="L1119" s="11">
        <f t="shared" si="907"/>
        <v>4</v>
      </c>
      <c r="M1119" s="69">
        <v>45674</v>
      </c>
      <c r="N1119" s="40" t="s">
        <v>26</v>
      </c>
      <c r="O1119" s="20">
        <v>5</v>
      </c>
      <c r="P1119" s="35">
        <v>10</v>
      </c>
      <c r="Q1119" s="21">
        <v>5</v>
      </c>
      <c r="R1119" s="38"/>
      <c r="S1119" s="9">
        <f t="shared" si="919"/>
        <v>20</v>
      </c>
      <c r="T1119" s="20"/>
      <c r="U1119" s="35">
        <v>5</v>
      </c>
      <c r="V1119" s="21">
        <v>5</v>
      </c>
      <c r="W1119" s="38"/>
      <c r="X1119" s="9">
        <f t="shared" si="920"/>
        <v>10</v>
      </c>
      <c r="Y1119" s="11">
        <f t="shared" si="904"/>
        <v>30</v>
      </c>
      <c r="Z1119" s="69">
        <v>45681</v>
      </c>
    </row>
    <row r="1120" spans="1:28" x14ac:dyDescent="0.15">
      <c r="A1120" s="59" t="s">
        <v>27</v>
      </c>
      <c r="B1120" s="20">
        <v>2</v>
      </c>
      <c r="C1120" s="35"/>
      <c r="D1120" s="21"/>
      <c r="E1120" s="24">
        <v>3</v>
      </c>
      <c r="F1120" s="25">
        <f t="shared" si="915"/>
        <v>5</v>
      </c>
      <c r="G1120" s="20"/>
      <c r="H1120" s="35"/>
      <c r="I1120" s="21"/>
      <c r="J1120" s="24">
        <v>3</v>
      </c>
      <c r="K1120" s="25">
        <f t="shared" si="916"/>
        <v>3</v>
      </c>
      <c r="L1120" s="11">
        <f t="shared" si="907"/>
        <v>8</v>
      </c>
      <c r="M1120" s="69">
        <v>45672</v>
      </c>
      <c r="N1120" s="12" t="s">
        <v>669</v>
      </c>
      <c r="O1120" s="20">
        <v>10</v>
      </c>
      <c r="P1120" s="35">
        <v>15</v>
      </c>
      <c r="Q1120" s="21">
        <v>10</v>
      </c>
      <c r="R1120" s="38">
        <v>5</v>
      </c>
      <c r="S1120" s="9">
        <f t="shared" si="919"/>
        <v>40</v>
      </c>
      <c r="T1120" s="20">
        <v>10</v>
      </c>
      <c r="U1120" s="35">
        <v>20</v>
      </c>
      <c r="V1120" s="21">
        <v>5</v>
      </c>
      <c r="W1120" s="38">
        <v>10</v>
      </c>
      <c r="X1120" s="9">
        <f t="shared" si="920"/>
        <v>45</v>
      </c>
      <c r="Y1120" s="11">
        <f t="shared" si="904"/>
        <v>85</v>
      </c>
      <c r="Z1120" s="69">
        <v>45687</v>
      </c>
    </row>
    <row r="1121" spans="1:27" x14ac:dyDescent="0.15">
      <c r="A1121" s="59" t="s">
        <v>27</v>
      </c>
      <c r="B1121" s="20">
        <v>3</v>
      </c>
      <c r="C1121" s="35"/>
      <c r="D1121" s="21"/>
      <c r="E1121" s="24">
        <v>1</v>
      </c>
      <c r="F1121" s="25">
        <f t="shared" si="915"/>
        <v>4</v>
      </c>
      <c r="G1121" s="20">
        <v>1</v>
      </c>
      <c r="H1121" s="35"/>
      <c r="I1121" s="21"/>
      <c r="J1121" s="24">
        <v>1</v>
      </c>
      <c r="K1121" s="25">
        <f t="shared" si="916"/>
        <v>2</v>
      </c>
      <c r="L1121" s="11">
        <f t="shared" si="907"/>
        <v>6</v>
      </c>
      <c r="M1121" s="71">
        <v>45673</v>
      </c>
      <c r="N1121" s="12" t="s">
        <v>670</v>
      </c>
      <c r="O1121" s="20">
        <v>65</v>
      </c>
      <c r="P1121" s="35">
        <v>80</v>
      </c>
      <c r="Q1121" s="21">
        <v>25</v>
      </c>
      <c r="R1121" s="38">
        <v>35</v>
      </c>
      <c r="S1121" s="9">
        <f t="shared" si="919"/>
        <v>205</v>
      </c>
      <c r="T1121" s="20">
        <v>65</v>
      </c>
      <c r="U1121" s="35">
        <v>120</v>
      </c>
      <c r="V1121" s="21">
        <v>25</v>
      </c>
      <c r="W1121" s="38">
        <v>45</v>
      </c>
      <c r="X1121" s="9">
        <f t="shared" si="920"/>
        <v>255</v>
      </c>
      <c r="Y1121" s="11">
        <f t="shared" si="904"/>
        <v>460</v>
      </c>
      <c r="Z1121" s="69">
        <v>45687</v>
      </c>
    </row>
    <row r="1122" spans="1:27" x14ac:dyDescent="0.15">
      <c r="A1122" s="59" t="s">
        <v>27</v>
      </c>
      <c r="B1122" s="20">
        <v>1</v>
      </c>
      <c r="C1122" s="35"/>
      <c r="D1122" s="21"/>
      <c r="E1122" s="24"/>
      <c r="F1122" s="25">
        <f t="shared" si="915"/>
        <v>1</v>
      </c>
      <c r="G1122" s="20"/>
      <c r="H1122" s="35"/>
      <c r="I1122" s="21"/>
      <c r="J1122" s="24"/>
      <c r="K1122" s="25">
        <f t="shared" si="916"/>
        <v>0</v>
      </c>
      <c r="L1122" s="11">
        <f t="shared" si="907"/>
        <v>1</v>
      </c>
      <c r="M1122" s="69">
        <v>45674</v>
      </c>
      <c r="N1122" s="12" t="s">
        <v>674</v>
      </c>
      <c r="O1122" s="20">
        <v>10</v>
      </c>
      <c r="P1122" s="35">
        <v>10</v>
      </c>
      <c r="Q1122" s="21"/>
      <c r="R1122" s="38">
        <v>5</v>
      </c>
      <c r="S1122" s="9">
        <f t="shared" si="919"/>
        <v>25</v>
      </c>
      <c r="T1122" s="20"/>
      <c r="U1122" s="35">
        <v>15</v>
      </c>
      <c r="V1122" s="21">
        <v>10</v>
      </c>
      <c r="W1122" s="38"/>
      <c r="X1122" s="9">
        <f t="shared" si="920"/>
        <v>25</v>
      </c>
      <c r="Y1122" s="11">
        <f t="shared" si="904"/>
        <v>50</v>
      </c>
      <c r="Z1122" s="69">
        <v>45689</v>
      </c>
    </row>
    <row r="1123" spans="1:27" x14ac:dyDescent="0.15">
      <c r="A1123" s="59" t="s">
        <v>27</v>
      </c>
      <c r="B1123" s="20"/>
      <c r="C1123" s="35">
        <v>4</v>
      </c>
      <c r="D1123" s="21">
        <v>1</v>
      </c>
      <c r="E1123" s="24"/>
      <c r="F1123" s="25">
        <f t="shared" si="915"/>
        <v>5</v>
      </c>
      <c r="G1123" s="20"/>
      <c r="H1123" s="35">
        <v>1</v>
      </c>
      <c r="I1123" s="21">
        <v>1</v>
      </c>
      <c r="J1123" s="24"/>
      <c r="K1123" s="25">
        <f t="shared" si="916"/>
        <v>2</v>
      </c>
      <c r="L1123" s="11">
        <f t="shared" si="907"/>
        <v>7</v>
      </c>
      <c r="M1123" s="69">
        <v>45675</v>
      </c>
      <c r="N1123" s="12" t="s">
        <v>680</v>
      </c>
      <c r="O1123" s="20">
        <v>10</v>
      </c>
      <c r="P1123" s="35"/>
      <c r="Q1123" s="21">
        <v>5</v>
      </c>
      <c r="R1123" s="38">
        <v>30</v>
      </c>
      <c r="S1123" s="9">
        <f t="shared" si="919"/>
        <v>45</v>
      </c>
      <c r="T1123" s="20">
        <v>45</v>
      </c>
      <c r="U1123" s="35"/>
      <c r="V1123" s="21"/>
      <c r="W1123" s="38"/>
      <c r="X1123" s="9">
        <f t="shared" si="920"/>
        <v>45</v>
      </c>
      <c r="Y1123" s="11">
        <f t="shared" si="904"/>
        <v>90</v>
      </c>
      <c r="Z1123" s="69">
        <v>45694</v>
      </c>
      <c r="AA1123" s="41"/>
    </row>
    <row r="1124" spans="1:27" x14ac:dyDescent="0.15">
      <c r="A1124" s="40" t="s">
        <v>659</v>
      </c>
      <c r="B1124" s="20">
        <v>1</v>
      </c>
      <c r="C1124" s="35"/>
      <c r="D1124" s="21"/>
      <c r="E1124" s="24"/>
      <c r="F1124" s="25">
        <f t="shared" si="915"/>
        <v>1</v>
      </c>
      <c r="G1124" s="20">
        <v>1</v>
      </c>
      <c r="H1124" s="35"/>
      <c r="I1124" s="21"/>
      <c r="J1124" s="24"/>
      <c r="K1124" s="25">
        <f t="shared" si="916"/>
        <v>1</v>
      </c>
      <c r="L1124" s="11">
        <f t="shared" si="907"/>
        <v>2</v>
      </c>
      <c r="M1124" s="69">
        <v>45679</v>
      </c>
      <c r="N1124" s="40"/>
      <c r="O1124" s="20"/>
      <c r="P1124" s="35"/>
      <c r="Q1124" s="21"/>
      <c r="R1124" s="38"/>
      <c r="S1124" s="9">
        <f t="shared" si="919"/>
        <v>0</v>
      </c>
      <c r="T1124" s="20"/>
      <c r="U1124" s="35"/>
      <c r="V1124" s="21"/>
      <c r="W1124" s="38"/>
      <c r="X1124" s="9">
        <f t="shared" si="920"/>
        <v>0</v>
      </c>
      <c r="Y1124" s="11">
        <f t="shared" si="904"/>
        <v>0</v>
      </c>
      <c r="Z1124" s="162"/>
      <c r="AA1124" s="41"/>
    </row>
    <row r="1125" spans="1:27" x14ac:dyDescent="0.15">
      <c r="A1125" s="59" t="s">
        <v>421</v>
      </c>
      <c r="B1125" s="20">
        <v>1</v>
      </c>
      <c r="C1125" s="35">
        <v>1</v>
      </c>
      <c r="D1125" s="21"/>
      <c r="E1125" s="24"/>
      <c r="F1125" s="25">
        <f t="shared" si="915"/>
        <v>2</v>
      </c>
      <c r="G1125" s="20"/>
      <c r="H1125" s="35">
        <v>1</v>
      </c>
      <c r="I1125" s="21"/>
      <c r="J1125" s="24"/>
      <c r="K1125" s="25">
        <f t="shared" si="916"/>
        <v>1</v>
      </c>
      <c r="L1125" s="11">
        <f t="shared" si="907"/>
        <v>3</v>
      </c>
      <c r="M1125" s="69">
        <v>45678</v>
      </c>
      <c r="N1125" s="12"/>
      <c r="O1125" s="20"/>
      <c r="P1125" s="35"/>
      <c r="Q1125" s="21"/>
      <c r="R1125" s="38"/>
      <c r="S1125" s="9">
        <f>SUM(O1125:R1125)</f>
        <v>0</v>
      </c>
      <c r="T1125" s="20"/>
      <c r="U1125" s="35"/>
      <c r="V1125" s="21"/>
      <c r="W1125" s="38"/>
      <c r="X1125" s="9">
        <f>SUM(T1125:W1125)</f>
        <v>0</v>
      </c>
      <c r="Y1125" s="11">
        <f t="shared" si="904"/>
        <v>0</v>
      </c>
      <c r="Z1125" s="162"/>
    </row>
    <row r="1126" spans="1:27" x14ac:dyDescent="0.15">
      <c r="A1126" s="59" t="s">
        <v>27</v>
      </c>
      <c r="B1126" s="20"/>
      <c r="C1126" s="35">
        <v>2</v>
      </c>
      <c r="D1126" s="21"/>
      <c r="E1126" s="24">
        <v>1</v>
      </c>
      <c r="F1126" s="25">
        <f t="shared" si="915"/>
        <v>3</v>
      </c>
      <c r="G1126" s="20"/>
      <c r="H1126" s="35">
        <v>2</v>
      </c>
      <c r="I1126" s="21">
        <v>2</v>
      </c>
      <c r="J1126" s="24">
        <v>1</v>
      </c>
      <c r="K1126" s="25">
        <f t="shared" si="916"/>
        <v>5</v>
      </c>
      <c r="L1126" s="11">
        <f t="shared" si="907"/>
        <v>8</v>
      </c>
      <c r="M1126" s="69">
        <v>45677</v>
      </c>
      <c r="N1126" s="40"/>
      <c r="O1126" s="20"/>
      <c r="P1126" s="35"/>
      <c r="Q1126" s="21"/>
      <c r="R1126" s="38"/>
      <c r="S1126" s="9">
        <f t="shared" ref="S1126:S1132" si="921">SUM(O1126:R1126)</f>
        <v>0</v>
      </c>
      <c r="T1126" s="20"/>
      <c r="U1126" s="35"/>
      <c r="V1126" s="21"/>
      <c r="W1126" s="38"/>
      <c r="X1126" s="9">
        <f t="shared" ref="X1126:X1132" si="922">SUM(T1126:W1126)</f>
        <v>0</v>
      </c>
      <c r="Y1126" s="11">
        <f t="shared" si="904"/>
        <v>0</v>
      </c>
      <c r="Z1126" s="162"/>
    </row>
    <row r="1127" spans="1:27" x14ac:dyDescent="0.15">
      <c r="A1127" s="59" t="s">
        <v>27</v>
      </c>
      <c r="B1127" s="20">
        <v>1</v>
      </c>
      <c r="C1127" s="35">
        <v>2</v>
      </c>
      <c r="D1127" s="21">
        <v>1</v>
      </c>
      <c r="E1127" s="24"/>
      <c r="F1127" s="25">
        <f t="shared" si="915"/>
        <v>4</v>
      </c>
      <c r="G1127" s="20">
        <v>1</v>
      </c>
      <c r="H1127" s="35"/>
      <c r="I1127" s="21">
        <v>1</v>
      </c>
      <c r="J1127" s="24"/>
      <c r="K1127" s="25">
        <f t="shared" si="916"/>
        <v>2</v>
      </c>
      <c r="L1127" s="11">
        <f t="shared" si="907"/>
        <v>6</v>
      </c>
      <c r="M1127" s="71">
        <v>45678</v>
      </c>
      <c r="N1127" s="15"/>
      <c r="O1127" s="20"/>
      <c r="P1127" s="35"/>
      <c r="Q1127" s="21"/>
      <c r="R1127" s="38"/>
      <c r="S1127" s="9">
        <f t="shared" si="921"/>
        <v>0</v>
      </c>
      <c r="T1127" s="20"/>
      <c r="U1127" s="35"/>
      <c r="V1127" s="21"/>
      <c r="W1127" s="38"/>
      <c r="X1127" s="9">
        <f t="shared" si="922"/>
        <v>0</v>
      </c>
      <c r="Y1127" s="11">
        <f t="shared" si="904"/>
        <v>0</v>
      </c>
      <c r="Z1127" s="162"/>
    </row>
    <row r="1128" spans="1:27" x14ac:dyDescent="0.15">
      <c r="A1128" s="59" t="s">
        <v>27</v>
      </c>
      <c r="B1128" s="20"/>
      <c r="C1128" s="35">
        <v>1</v>
      </c>
      <c r="D1128" s="21">
        <v>1</v>
      </c>
      <c r="E1128" s="24"/>
      <c r="F1128" s="25">
        <f t="shared" si="915"/>
        <v>2</v>
      </c>
      <c r="G1128" s="20"/>
      <c r="H1128" s="35"/>
      <c r="I1128" s="21">
        <v>1</v>
      </c>
      <c r="J1128" s="24"/>
      <c r="K1128" s="25">
        <f t="shared" si="916"/>
        <v>1</v>
      </c>
      <c r="L1128" s="11">
        <f t="shared" si="907"/>
        <v>3</v>
      </c>
      <c r="M1128" s="69">
        <v>45679</v>
      </c>
      <c r="N1128" s="40"/>
      <c r="O1128" s="20"/>
      <c r="P1128" s="35"/>
      <c r="Q1128" s="21"/>
      <c r="R1128" s="38"/>
      <c r="S1128" s="9">
        <f t="shared" si="921"/>
        <v>0</v>
      </c>
      <c r="T1128" s="20"/>
      <c r="U1128" s="35"/>
      <c r="V1128" s="21"/>
      <c r="W1128" s="38"/>
      <c r="X1128" s="9">
        <f t="shared" si="922"/>
        <v>0</v>
      </c>
      <c r="Y1128" s="11">
        <f t="shared" si="904"/>
        <v>0</v>
      </c>
    </row>
    <row r="1129" spans="1:27" x14ac:dyDescent="0.15">
      <c r="A1129" s="59" t="s">
        <v>421</v>
      </c>
      <c r="B1129" s="20"/>
      <c r="C1129" s="35"/>
      <c r="D1129" s="21"/>
      <c r="E1129" s="24">
        <v>1</v>
      </c>
      <c r="F1129" s="25">
        <f t="shared" si="915"/>
        <v>1</v>
      </c>
      <c r="G1129" s="20"/>
      <c r="H1129" s="35"/>
      <c r="I1129" s="21"/>
      <c r="J1129" s="24">
        <v>1</v>
      </c>
      <c r="K1129" s="25">
        <f t="shared" si="916"/>
        <v>1</v>
      </c>
      <c r="L1129" s="11">
        <f t="shared" si="907"/>
        <v>2</v>
      </c>
      <c r="M1129" s="69">
        <v>45680</v>
      </c>
      <c r="N1129" s="40"/>
      <c r="O1129" s="48"/>
      <c r="P1129" s="49"/>
      <c r="Q1129" s="50"/>
      <c r="R1129" s="72"/>
      <c r="S1129" s="74">
        <f t="shared" si="921"/>
        <v>0</v>
      </c>
      <c r="T1129" s="48"/>
      <c r="U1129" s="49"/>
      <c r="V1129" s="50"/>
      <c r="W1129" s="72"/>
      <c r="X1129" s="74">
        <f t="shared" si="922"/>
        <v>0</v>
      </c>
      <c r="Y1129" s="11">
        <f t="shared" si="904"/>
        <v>0</v>
      </c>
    </row>
    <row r="1130" spans="1:27" x14ac:dyDescent="0.15">
      <c r="A1130" s="59" t="s">
        <v>27</v>
      </c>
      <c r="B1130" s="20"/>
      <c r="C1130" s="35">
        <v>1</v>
      </c>
      <c r="D1130" s="21"/>
      <c r="E1130" s="24"/>
      <c r="F1130" s="25">
        <f t="shared" si="915"/>
        <v>1</v>
      </c>
      <c r="G1130" s="20"/>
      <c r="H1130" s="35">
        <v>1</v>
      </c>
      <c r="I1130" s="21"/>
      <c r="J1130" s="24"/>
      <c r="K1130" s="25">
        <f t="shared" si="916"/>
        <v>1</v>
      </c>
      <c r="L1130" s="11">
        <f t="shared" si="907"/>
        <v>2</v>
      </c>
      <c r="M1130" s="69">
        <v>45681</v>
      </c>
      <c r="N1130" s="40"/>
      <c r="O1130" s="48"/>
      <c r="P1130" s="49"/>
      <c r="Q1130" s="50"/>
      <c r="R1130" s="72"/>
      <c r="S1130" s="74">
        <f t="shared" si="921"/>
        <v>0</v>
      </c>
      <c r="T1130" s="48"/>
      <c r="U1130" s="49"/>
      <c r="V1130" s="50"/>
      <c r="W1130" s="72"/>
      <c r="X1130" s="74">
        <f t="shared" si="922"/>
        <v>0</v>
      </c>
      <c r="Y1130" s="11">
        <f t="shared" si="904"/>
        <v>0</v>
      </c>
    </row>
    <row r="1131" spans="1:27" x14ac:dyDescent="0.15">
      <c r="A1131" s="40" t="s">
        <v>667</v>
      </c>
      <c r="B1131" s="20"/>
      <c r="C1131" s="35"/>
      <c r="D1131" s="21">
        <v>2</v>
      </c>
      <c r="E1131" s="24"/>
      <c r="F1131" s="25">
        <f t="shared" si="915"/>
        <v>2</v>
      </c>
      <c r="G1131" s="20"/>
      <c r="H1131" s="35"/>
      <c r="I1131" s="21"/>
      <c r="J1131" s="24"/>
      <c r="K1131" s="25">
        <f t="shared" si="916"/>
        <v>0</v>
      </c>
      <c r="L1131" s="11">
        <f t="shared" si="907"/>
        <v>2</v>
      </c>
      <c r="M1131" s="69">
        <v>45685</v>
      </c>
      <c r="N1131" s="40"/>
      <c r="O1131" s="48"/>
      <c r="P1131" s="49"/>
      <c r="Q1131" s="50"/>
      <c r="R1131" s="72"/>
      <c r="S1131" s="74">
        <f t="shared" si="921"/>
        <v>0</v>
      </c>
      <c r="T1131" s="48"/>
      <c r="U1131" s="49"/>
      <c r="V1131" s="50"/>
      <c r="W1131" s="72"/>
      <c r="X1131" s="74">
        <f t="shared" si="922"/>
        <v>0</v>
      </c>
      <c r="Y1131" s="11">
        <f t="shared" si="904"/>
        <v>0</v>
      </c>
    </row>
    <row r="1132" spans="1:27" x14ac:dyDescent="0.15">
      <c r="A1132" s="59" t="s">
        <v>27</v>
      </c>
      <c r="B1132" s="20">
        <v>5</v>
      </c>
      <c r="C1132" s="35">
        <f>1+4</f>
        <v>5</v>
      </c>
      <c r="D1132" s="21">
        <f>1+4</f>
        <v>5</v>
      </c>
      <c r="E1132" s="24">
        <f>1+1</f>
        <v>2</v>
      </c>
      <c r="F1132" s="25">
        <f t="shared" si="915"/>
        <v>17</v>
      </c>
      <c r="G1132" s="20">
        <v>4</v>
      </c>
      <c r="H1132" s="35">
        <v>7</v>
      </c>
      <c r="I1132" s="21">
        <f>1+1</f>
        <v>2</v>
      </c>
      <c r="J1132" s="24">
        <f>1+1</f>
        <v>2</v>
      </c>
      <c r="K1132" s="25">
        <f t="shared" si="916"/>
        <v>15</v>
      </c>
      <c r="L1132" s="11">
        <f t="shared" si="907"/>
        <v>32</v>
      </c>
      <c r="M1132" s="69">
        <v>45684</v>
      </c>
      <c r="N1132" s="12" t="s">
        <v>678</v>
      </c>
      <c r="O1132" s="20"/>
      <c r="P1132" s="35"/>
      <c r="Q1132" s="21"/>
      <c r="R1132" s="38"/>
      <c r="S1132" s="9">
        <f t="shared" si="921"/>
        <v>0</v>
      </c>
      <c r="T1132" s="20"/>
      <c r="U1132" s="35"/>
      <c r="V1132" s="21"/>
      <c r="W1132" s="38"/>
      <c r="X1132" s="9">
        <f t="shared" si="922"/>
        <v>0</v>
      </c>
      <c r="Y1132" s="11">
        <f t="shared" si="904"/>
        <v>0</v>
      </c>
      <c r="Z1132" s="162" t="s">
        <v>660</v>
      </c>
      <c r="AA1132" s="41"/>
    </row>
    <row r="1133" spans="1:27" x14ac:dyDescent="0.15">
      <c r="A1133" s="59" t="s">
        <v>27</v>
      </c>
      <c r="B1133" s="20"/>
      <c r="C1133" s="35">
        <v>1</v>
      </c>
      <c r="D1133" s="21"/>
      <c r="E1133" s="24"/>
      <c r="F1133" s="25">
        <f t="shared" si="915"/>
        <v>1</v>
      </c>
      <c r="G1133" s="20"/>
      <c r="H1133" s="35">
        <v>1</v>
      </c>
      <c r="I1133" s="21"/>
      <c r="J1133" s="24"/>
      <c r="K1133" s="25">
        <f t="shared" si="916"/>
        <v>1</v>
      </c>
      <c r="L1133" s="11">
        <f t="shared" si="907"/>
        <v>2</v>
      </c>
      <c r="M1133" s="71">
        <v>45685</v>
      </c>
      <c r="N1133" s="12" t="s">
        <v>877</v>
      </c>
      <c r="O1133" s="20"/>
      <c r="P1133" s="35"/>
      <c r="Q1133" s="21"/>
      <c r="R1133" s="38"/>
      <c r="S1133" s="9">
        <f t="shared" ref="S1133:S1134" si="923">SUM(O1133:R1133)</f>
        <v>0</v>
      </c>
      <c r="T1133" s="20"/>
      <c r="U1133" s="35"/>
      <c r="V1133" s="21"/>
      <c r="W1133" s="38"/>
      <c r="X1133" s="9">
        <f t="shared" ref="X1133:X1134" si="924">SUM(T1133:W1133)</f>
        <v>0</v>
      </c>
      <c r="Y1133" s="47">
        <f t="shared" ref="Y1133:Y1134" si="925">S1133+X1133</f>
        <v>0</v>
      </c>
      <c r="Z1133" s="69" t="s">
        <v>570</v>
      </c>
      <c r="AA1133" s="41"/>
    </row>
    <row r="1134" spans="1:27" x14ac:dyDescent="0.15">
      <c r="A1134" s="59" t="s">
        <v>668</v>
      </c>
      <c r="B1134" s="20"/>
      <c r="C1134" s="35"/>
      <c r="D1134" s="21"/>
      <c r="E1134" s="24"/>
      <c r="F1134" s="25">
        <f t="shared" si="915"/>
        <v>0</v>
      </c>
      <c r="G1134" s="20"/>
      <c r="H1134" s="35">
        <v>2</v>
      </c>
      <c r="I1134" s="21"/>
      <c r="J1134" s="24"/>
      <c r="K1134" s="25">
        <f t="shared" si="916"/>
        <v>2</v>
      </c>
      <c r="L1134" s="11">
        <f t="shared" si="907"/>
        <v>2</v>
      </c>
      <c r="M1134" s="69">
        <v>45685</v>
      </c>
      <c r="N1134" s="40" t="s">
        <v>598</v>
      </c>
      <c r="O1134" s="48"/>
      <c r="P1134" s="49"/>
      <c r="Q1134" s="50"/>
      <c r="R1134" s="72"/>
      <c r="S1134" s="74">
        <f t="shared" si="923"/>
        <v>0</v>
      </c>
      <c r="T1134" s="48"/>
      <c r="U1134" s="49"/>
      <c r="V1134" s="50"/>
      <c r="W1134" s="72"/>
      <c r="X1134" s="74">
        <f t="shared" si="924"/>
        <v>0</v>
      </c>
      <c r="Y1134" s="11">
        <f t="shared" si="925"/>
        <v>0</v>
      </c>
      <c r="Z1134" s="162" t="s">
        <v>599</v>
      </c>
    </row>
    <row r="1135" spans="1:27" x14ac:dyDescent="0.15">
      <c r="A1135" s="59" t="s">
        <v>32</v>
      </c>
      <c r="B1135" s="20">
        <v>2</v>
      </c>
      <c r="C1135" s="35">
        <v>1</v>
      </c>
      <c r="D1135" s="21"/>
      <c r="E1135" s="24"/>
      <c r="F1135" s="25">
        <f t="shared" si="915"/>
        <v>3</v>
      </c>
      <c r="G1135" s="20">
        <v>2</v>
      </c>
      <c r="H1135" s="35"/>
      <c r="I1135" s="21"/>
      <c r="J1135" s="24"/>
      <c r="K1135" s="25">
        <f t="shared" si="916"/>
        <v>2</v>
      </c>
      <c r="L1135" s="11">
        <f t="shared" si="907"/>
        <v>5</v>
      </c>
      <c r="M1135" s="69">
        <v>45687</v>
      </c>
      <c r="N1135" s="137" t="s">
        <v>546</v>
      </c>
      <c r="O1135" s="154"/>
      <c r="P1135" s="156"/>
      <c r="Q1135" s="155"/>
      <c r="R1135" s="159"/>
      <c r="S1135" s="158">
        <f t="shared" ref="S1135:S1136" si="926">SUM(O1135:R1135)</f>
        <v>0</v>
      </c>
      <c r="T1135" s="154"/>
      <c r="U1135" s="156"/>
      <c r="V1135" s="155"/>
      <c r="W1135" s="159"/>
      <c r="X1135" s="158">
        <f t="shared" ref="X1135:X1136" si="927">SUM(T1135:W1135)</f>
        <v>0</v>
      </c>
      <c r="Y1135" s="160">
        <f t="shared" ref="Y1135:Y1136" si="928">S1135+X1135</f>
        <v>0</v>
      </c>
      <c r="Z1135" s="162"/>
      <c r="AA1135" s="41"/>
    </row>
    <row r="1136" spans="1:27" ht="14.25" thickBot="1" x14ac:dyDescent="0.2">
      <c r="A1136" s="59" t="s">
        <v>27</v>
      </c>
      <c r="B1136" s="43">
        <v>1</v>
      </c>
      <c r="C1136" s="44">
        <v>1</v>
      </c>
      <c r="D1136" s="45"/>
      <c r="E1136" s="46"/>
      <c r="F1136" s="25">
        <f t="shared" si="915"/>
        <v>2</v>
      </c>
      <c r="G1136" s="43">
        <v>5</v>
      </c>
      <c r="H1136" s="44">
        <v>3</v>
      </c>
      <c r="I1136" s="45"/>
      <c r="J1136" s="46"/>
      <c r="K1136" s="25">
        <f t="shared" si="916"/>
        <v>8</v>
      </c>
      <c r="L1136" s="14">
        <f t="shared" si="907"/>
        <v>10</v>
      </c>
      <c r="M1136" s="71">
        <v>45686</v>
      </c>
      <c r="N1136" s="99" t="s">
        <v>545</v>
      </c>
      <c r="O1136" s="43"/>
      <c r="P1136" s="44"/>
      <c r="Q1136" s="45"/>
      <c r="R1136" s="100"/>
      <c r="S1136" s="10">
        <f t="shared" si="926"/>
        <v>0</v>
      </c>
      <c r="T1136" s="43"/>
      <c r="U1136" s="44"/>
      <c r="V1136" s="45"/>
      <c r="W1136" s="100"/>
      <c r="X1136" s="10">
        <f t="shared" si="927"/>
        <v>0</v>
      </c>
      <c r="Y1136" s="75">
        <f t="shared" si="928"/>
        <v>0</v>
      </c>
      <c r="Z1136" s="162" t="s">
        <v>547</v>
      </c>
      <c r="AA1136" s="41"/>
    </row>
    <row r="1137" spans="1:26" ht="14.25" thickBot="1" x14ac:dyDescent="0.2">
      <c r="A1137" s="16" t="s">
        <v>9</v>
      </c>
      <c r="B1137" s="28">
        <f>SUM(B1112:B1136)</f>
        <v>31</v>
      </c>
      <c r="C1137" s="36">
        <f>SUM(C1112:C1136)</f>
        <v>27</v>
      </c>
      <c r="D1137" s="29">
        <f>SUM(D1112:D1136)</f>
        <v>24</v>
      </c>
      <c r="E1137" s="30">
        <f>SUM(E1112:E1136)</f>
        <v>17</v>
      </c>
      <c r="F1137" s="26">
        <f>SUM(B1137:E1137)</f>
        <v>99</v>
      </c>
      <c r="G1137" s="28">
        <f>SUM(G1112:G1136)</f>
        <v>27</v>
      </c>
      <c r="H1137" s="36">
        <f>SUM(H1112:H1136)</f>
        <v>26</v>
      </c>
      <c r="I1137" s="29">
        <f>SUM(I1112:I1136)</f>
        <v>20</v>
      </c>
      <c r="J1137" s="30">
        <f>SUM(J1112:J1136)</f>
        <v>17</v>
      </c>
      <c r="K1137" s="26">
        <f>SUM(G1137:J1137)</f>
        <v>90</v>
      </c>
      <c r="L1137" s="27">
        <f t="shared" si="907"/>
        <v>189</v>
      </c>
      <c r="N1137" s="61" t="s">
        <v>9</v>
      </c>
      <c r="O1137" s="28">
        <f>SUM(O1112:O1136)</f>
        <v>179</v>
      </c>
      <c r="P1137" s="36">
        <f t="shared" ref="P1137" si="929">SUM(P1112:P1136)</f>
        <v>182</v>
      </c>
      <c r="Q1137" s="29">
        <f t="shared" ref="Q1137" si="930">SUM(Q1112:Q1136)</f>
        <v>90</v>
      </c>
      <c r="R1137" s="30">
        <f t="shared" ref="R1137" si="931">SUM(R1112:R1136)</f>
        <v>115</v>
      </c>
      <c r="S1137" s="60">
        <f>SUM(O1137:R1137)</f>
        <v>566</v>
      </c>
      <c r="T1137" s="28">
        <f>SUM(T1112:T1136)</f>
        <v>184</v>
      </c>
      <c r="U1137" s="36">
        <f t="shared" ref="U1137" si="932">SUM(U1112:U1136)</f>
        <v>222</v>
      </c>
      <c r="V1137" s="29">
        <f t="shared" ref="V1137" si="933">SUM(V1112:V1136)</f>
        <v>100</v>
      </c>
      <c r="W1137" s="30">
        <f t="shared" ref="W1137" si="934">SUM(W1112:W1136)</f>
        <v>100</v>
      </c>
      <c r="X1137" s="60">
        <f>SUM(T1137:W1137)</f>
        <v>606</v>
      </c>
      <c r="Y1137" s="63">
        <f>S1137+X1137</f>
        <v>1172</v>
      </c>
    </row>
    <row r="1138" spans="1:26" ht="14.25" thickBot="1" x14ac:dyDescent="0.2">
      <c r="A1138" s="18" t="s">
        <v>10</v>
      </c>
      <c r="B1138" s="31">
        <f t="shared" ref="B1138:K1138" si="935">B1111-B1137</f>
        <v>23</v>
      </c>
      <c r="C1138" s="37">
        <f t="shared" si="935"/>
        <v>28</v>
      </c>
      <c r="D1138" s="32">
        <f t="shared" si="935"/>
        <v>24</v>
      </c>
      <c r="E1138" s="33">
        <f t="shared" si="935"/>
        <v>31</v>
      </c>
      <c r="F1138" s="42">
        <f t="shared" si="935"/>
        <v>106</v>
      </c>
      <c r="G1138" s="31">
        <f t="shared" si="935"/>
        <v>21</v>
      </c>
      <c r="H1138" s="37">
        <f t="shared" si="935"/>
        <v>18</v>
      </c>
      <c r="I1138" s="32">
        <f t="shared" si="935"/>
        <v>35</v>
      </c>
      <c r="J1138" s="33">
        <f t="shared" si="935"/>
        <v>27</v>
      </c>
      <c r="K1138" s="42">
        <f t="shared" si="935"/>
        <v>101</v>
      </c>
      <c r="L1138" s="17">
        <f t="shared" si="907"/>
        <v>207</v>
      </c>
      <c r="N1138" s="16" t="s">
        <v>10</v>
      </c>
      <c r="O1138" s="31">
        <f>O1111-O1137</f>
        <v>457</v>
      </c>
      <c r="P1138" s="37">
        <f t="shared" ref="P1138" si="936">P1111-P1137</f>
        <v>547</v>
      </c>
      <c r="Q1138" s="32">
        <f t="shared" ref="Q1138" si="937">Q1111-Q1137</f>
        <v>215</v>
      </c>
      <c r="R1138" s="33">
        <f t="shared" ref="R1138" si="938">R1111-R1137</f>
        <v>192</v>
      </c>
      <c r="S1138" s="42">
        <f>S1111-S1137</f>
        <v>1411</v>
      </c>
      <c r="T1138" s="31">
        <f>T1111-T1137</f>
        <v>245</v>
      </c>
      <c r="U1138" s="37">
        <f t="shared" ref="U1138" si="939">U1111-U1137</f>
        <v>314</v>
      </c>
      <c r="V1138" s="32">
        <f t="shared" ref="V1138" si="940">V1111-V1137</f>
        <v>145</v>
      </c>
      <c r="W1138" s="33">
        <f t="shared" ref="W1138" si="941">W1111-W1137</f>
        <v>191</v>
      </c>
      <c r="X1138" s="42">
        <f>X1111-X1137</f>
        <v>895</v>
      </c>
      <c r="Y1138" s="17">
        <f>S1138+X1138</f>
        <v>2306</v>
      </c>
    </row>
    <row r="1141" spans="1:26" ht="19.5" thickBot="1" x14ac:dyDescent="0.25">
      <c r="A1141" s="2" t="s">
        <v>17</v>
      </c>
      <c r="B1141" s="2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N1141" s="2" t="s">
        <v>18</v>
      </c>
      <c r="O1141" s="87"/>
      <c r="P1141" s="87"/>
      <c r="Q1141" s="87"/>
      <c r="R1141" s="87"/>
      <c r="S1141" s="87"/>
      <c r="T1141" s="87"/>
      <c r="U1141" s="87"/>
      <c r="V1141" s="87"/>
      <c r="W1141" s="87"/>
      <c r="X1141" s="87"/>
      <c r="Y1141" s="1"/>
    </row>
    <row r="1142" spans="1:26" ht="14.25" thickBot="1" x14ac:dyDescent="0.2">
      <c r="A1142" s="5" t="s">
        <v>0</v>
      </c>
      <c r="B1142" s="244" t="s">
        <v>19</v>
      </c>
      <c r="C1142" s="245"/>
      <c r="D1142" s="245"/>
      <c r="E1142" s="245"/>
      <c r="F1142" s="246"/>
      <c r="G1142" s="247" t="s">
        <v>20</v>
      </c>
      <c r="H1142" s="248"/>
      <c r="I1142" s="248"/>
      <c r="J1142" s="248"/>
      <c r="K1142" s="249"/>
      <c r="L1142" s="250" t="s">
        <v>1</v>
      </c>
      <c r="N1142" s="5" t="s">
        <v>0</v>
      </c>
      <c r="O1142" s="244" t="s">
        <v>19</v>
      </c>
      <c r="P1142" s="245"/>
      <c r="Q1142" s="245"/>
      <c r="R1142" s="245"/>
      <c r="S1142" s="246"/>
      <c r="T1142" s="247" t="s">
        <v>20</v>
      </c>
      <c r="U1142" s="248"/>
      <c r="V1142" s="248"/>
      <c r="W1142" s="248"/>
      <c r="X1142" s="249"/>
      <c r="Y1142" s="250" t="s">
        <v>1</v>
      </c>
    </row>
    <row r="1143" spans="1:26" ht="14.25" thickBot="1" x14ac:dyDescent="0.2">
      <c r="A1143" s="5" t="s">
        <v>2</v>
      </c>
      <c r="B1143" s="3" t="s">
        <v>11</v>
      </c>
      <c r="C1143" s="34" t="s">
        <v>12</v>
      </c>
      <c r="D1143" s="4" t="s">
        <v>13</v>
      </c>
      <c r="E1143" s="19" t="s">
        <v>14</v>
      </c>
      <c r="F1143" s="23" t="s">
        <v>3</v>
      </c>
      <c r="G1143" s="3" t="s">
        <v>11</v>
      </c>
      <c r="H1143" s="34" t="s">
        <v>12</v>
      </c>
      <c r="I1143" s="4" t="s">
        <v>13</v>
      </c>
      <c r="J1143" s="19" t="s">
        <v>14</v>
      </c>
      <c r="K1143" s="23" t="s">
        <v>3</v>
      </c>
      <c r="L1143" s="251"/>
      <c r="N1143" s="5" t="s">
        <v>2</v>
      </c>
      <c r="O1143" s="53" t="s">
        <v>11</v>
      </c>
      <c r="P1143" s="54" t="s">
        <v>12</v>
      </c>
      <c r="Q1143" s="55" t="s">
        <v>13</v>
      </c>
      <c r="R1143" s="56" t="s">
        <v>14</v>
      </c>
      <c r="S1143" s="23" t="s">
        <v>3</v>
      </c>
      <c r="T1143" s="3" t="s">
        <v>11</v>
      </c>
      <c r="U1143" s="34" t="s">
        <v>12</v>
      </c>
      <c r="V1143" s="4" t="s">
        <v>13</v>
      </c>
      <c r="W1143" s="19" t="s">
        <v>14</v>
      </c>
      <c r="X1143" s="23" t="s">
        <v>3</v>
      </c>
      <c r="Y1143" s="251"/>
    </row>
    <row r="1144" spans="1:26" ht="14.25" thickBot="1" x14ac:dyDescent="0.2">
      <c r="A1144" s="18" t="s">
        <v>15</v>
      </c>
      <c r="B1144" s="31">
        <f>B1138</f>
        <v>23</v>
      </c>
      <c r="C1144" s="32">
        <f>C1138</f>
        <v>28</v>
      </c>
      <c r="D1144" s="32">
        <f>D1138</f>
        <v>24</v>
      </c>
      <c r="E1144" s="33">
        <f>E1138</f>
        <v>31</v>
      </c>
      <c r="F1144" s="86">
        <f>SUM(B1144:E1144)</f>
        <v>106</v>
      </c>
      <c r="G1144" s="31">
        <f>G1138</f>
        <v>21</v>
      </c>
      <c r="H1144" s="32">
        <f>H1138</f>
        <v>18</v>
      </c>
      <c r="I1144" s="32">
        <f>I1138</f>
        <v>35</v>
      </c>
      <c r="J1144" s="33">
        <f>J1138</f>
        <v>27</v>
      </c>
      <c r="K1144" s="80">
        <f>SUM(G1144:J1144)</f>
        <v>101</v>
      </c>
      <c r="L1144" s="17">
        <f>F1144+K1144</f>
        <v>207</v>
      </c>
      <c r="N1144" s="18" t="s">
        <v>15</v>
      </c>
      <c r="O1144" s="31">
        <f>O1138</f>
        <v>457</v>
      </c>
      <c r="P1144" s="32">
        <f t="shared" ref="P1144:Y1144" si="942">P1138</f>
        <v>547</v>
      </c>
      <c r="Q1144" s="32">
        <f t="shared" si="942"/>
        <v>215</v>
      </c>
      <c r="R1144" s="33">
        <f t="shared" si="942"/>
        <v>192</v>
      </c>
      <c r="S1144" s="86">
        <f t="shared" si="942"/>
        <v>1411</v>
      </c>
      <c r="T1144" s="31">
        <f t="shared" si="942"/>
        <v>245</v>
      </c>
      <c r="U1144" s="32">
        <f t="shared" si="942"/>
        <v>314</v>
      </c>
      <c r="V1144" s="32">
        <f t="shared" si="942"/>
        <v>145</v>
      </c>
      <c r="W1144" s="33">
        <f t="shared" si="942"/>
        <v>191</v>
      </c>
      <c r="X1144" s="80">
        <f t="shared" si="942"/>
        <v>895</v>
      </c>
      <c r="Y1144" s="17">
        <f t="shared" si="942"/>
        <v>2306</v>
      </c>
    </row>
    <row r="1145" spans="1:26" x14ac:dyDescent="0.15">
      <c r="A1145" s="13" t="s">
        <v>4</v>
      </c>
      <c r="B1145" s="20">
        <v>15</v>
      </c>
      <c r="C1145" s="35">
        <v>15</v>
      </c>
      <c r="D1145" s="21"/>
      <c r="E1145" s="24"/>
      <c r="F1145" s="25">
        <f t="shared" ref="F1145:F1148" si="943">SUM(B1145:E1145)</f>
        <v>30</v>
      </c>
      <c r="G1145" s="20"/>
      <c r="H1145" s="35"/>
      <c r="I1145" s="21"/>
      <c r="J1145" s="24"/>
      <c r="K1145" s="25">
        <f t="shared" ref="K1145:K1148" si="944">SUM(G1145:J1145)</f>
        <v>0</v>
      </c>
      <c r="L1145" s="11">
        <f t="shared" ref="L1145:L1176" si="945">F1145+K1145</f>
        <v>30</v>
      </c>
      <c r="M1145" s="69">
        <v>45698</v>
      </c>
      <c r="N1145" s="59" t="s">
        <v>16</v>
      </c>
      <c r="O1145" s="48"/>
      <c r="P1145" s="49"/>
      <c r="Q1145" s="50"/>
      <c r="R1145" s="51"/>
      <c r="S1145" s="85">
        <f t="shared" ref="S1145:S1147" si="946">SUM(O1145:R1145)</f>
        <v>0</v>
      </c>
      <c r="T1145" s="48"/>
      <c r="U1145" s="49"/>
      <c r="V1145" s="50"/>
      <c r="W1145" s="51"/>
      <c r="X1145" s="74">
        <f t="shared" ref="X1145:X1147" si="947">SUM(T1145:W1145)</f>
        <v>0</v>
      </c>
      <c r="Y1145" s="11">
        <f t="shared" ref="Y1145:Y1174" si="948">S1145+X1145</f>
        <v>0</v>
      </c>
    </row>
    <row r="1146" spans="1:26" x14ac:dyDescent="0.15">
      <c r="A1146" s="13" t="s">
        <v>192</v>
      </c>
      <c r="B1146" s="20"/>
      <c r="C1146" s="35">
        <v>2</v>
      </c>
      <c r="D1146" s="21"/>
      <c r="E1146" s="24"/>
      <c r="F1146" s="25">
        <f t="shared" si="943"/>
        <v>2</v>
      </c>
      <c r="G1146" s="20">
        <v>1</v>
      </c>
      <c r="H1146" s="35">
        <v>2</v>
      </c>
      <c r="I1146" s="21">
        <v>1</v>
      </c>
      <c r="J1146" s="24">
        <v>1</v>
      </c>
      <c r="K1146" s="25">
        <f t="shared" si="944"/>
        <v>5</v>
      </c>
      <c r="L1146" s="11">
        <f t="shared" si="945"/>
        <v>7</v>
      </c>
      <c r="M1146" s="69">
        <v>45708</v>
      </c>
      <c r="N1146" s="59" t="s">
        <v>4</v>
      </c>
      <c r="O1146" s="48"/>
      <c r="P1146" s="49"/>
      <c r="Q1146" s="50"/>
      <c r="R1146" s="51"/>
      <c r="S1146" s="85">
        <f t="shared" si="946"/>
        <v>0</v>
      </c>
      <c r="T1146" s="48"/>
      <c r="U1146" s="49"/>
      <c r="V1146" s="50"/>
      <c r="W1146" s="51"/>
      <c r="X1146" s="74">
        <f t="shared" si="947"/>
        <v>0</v>
      </c>
      <c r="Y1146" s="11">
        <f t="shared" si="948"/>
        <v>0</v>
      </c>
    </row>
    <row r="1147" spans="1:26" x14ac:dyDescent="0.15">
      <c r="A1147" s="13" t="s">
        <v>6</v>
      </c>
      <c r="B1147" s="20">
        <v>10</v>
      </c>
      <c r="C1147" s="35">
        <v>5</v>
      </c>
      <c r="D1147" s="21"/>
      <c r="E1147" s="24"/>
      <c r="F1147" s="25">
        <f t="shared" si="943"/>
        <v>15</v>
      </c>
      <c r="G1147" s="20"/>
      <c r="H1147" s="35"/>
      <c r="I1147" s="21"/>
      <c r="J1147" s="24"/>
      <c r="K1147" s="25">
        <f t="shared" si="944"/>
        <v>0</v>
      </c>
      <c r="L1147" s="11">
        <f t="shared" si="945"/>
        <v>15</v>
      </c>
      <c r="M1147" s="69">
        <v>45713</v>
      </c>
      <c r="N1147" s="59" t="s">
        <v>5</v>
      </c>
      <c r="O1147" s="48"/>
      <c r="P1147" s="49"/>
      <c r="Q1147" s="50"/>
      <c r="R1147" s="51"/>
      <c r="S1147" s="85">
        <f t="shared" si="946"/>
        <v>0</v>
      </c>
      <c r="T1147" s="48"/>
      <c r="U1147" s="49"/>
      <c r="V1147" s="50"/>
      <c r="W1147" s="51"/>
      <c r="X1147" s="74">
        <f t="shared" si="947"/>
        <v>0</v>
      </c>
      <c r="Y1147" s="11">
        <f t="shared" si="948"/>
        <v>0</v>
      </c>
    </row>
    <row r="1148" spans="1:26" ht="14.25" thickBot="1" x14ac:dyDescent="0.2">
      <c r="A1148" s="13" t="s">
        <v>72</v>
      </c>
      <c r="B1148" s="48"/>
      <c r="C1148" s="49"/>
      <c r="D1148" s="50"/>
      <c r="E1148" s="51">
        <v>1</v>
      </c>
      <c r="F1148" s="52">
        <f t="shared" si="943"/>
        <v>1</v>
      </c>
      <c r="G1148" s="48"/>
      <c r="H1148" s="49"/>
      <c r="I1148" s="50"/>
      <c r="J1148" s="51">
        <v>1</v>
      </c>
      <c r="K1148" s="52">
        <f t="shared" si="944"/>
        <v>1</v>
      </c>
      <c r="L1148" s="11">
        <f t="shared" si="945"/>
        <v>2</v>
      </c>
      <c r="M1148" s="71">
        <v>45716</v>
      </c>
      <c r="N1148" s="59" t="s">
        <v>6</v>
      </c>
      <c r="O1148" s="48"/>
      <c r="P1148" s="49"/>
      <c r="Q1148" s="50"/>
      <c r="R1148" s="51"/>
      <c r="S1148" s="85">
        <f t="shared" ref="S1148" si="949">SUM(O1148:R1148)</f>
        <v>0</v>
      </c>
      <c r="T1148" s="48"/>
      <c r="U1148" s="49"/>
      <c r="V1148" s="50"/>
      <c r="W1148" s="51"/>
      <c r="X1148" s="74">
        <f t="shared" ref="X1148" si="950">SUM(T1148:W1148)</f>
        <v>0</v>
      </c>
      <c r="Y1148" s="11">
        <f t="shared" ref="Y1148" si="951">S1148+X1148</f>
        <v>0</v>
      </c>
    </row>
    <row r="1149" spans="1:26" ht="14.25" thickBot="1" x14ac:dyDescent="0.2">
      <c r="A1149" s="18" t="s">
        <v>8</v>
      </c>
      <c r="B1149" s="76">
        <f t="shared" ref="B1149:K1149" si="952">SUM(B1144:B1148)</f>
        <v>48</v>
      </c>
      <c r="C1149" s="77">
        <f t="shared" si="952"/>
        <v>50</v>
      </c>
      <c r="D1149" s="78">
        <f t="shared" si="952"/>
        <v>24</v>
      </c>
      <c r="E1149" s="79">
        <f t="shared" si="952"/>
        <v>32</v>
      </c>
      <c r="F1149" s="80">
        <f t="shared" si="952"/>
        <v>154</v>
      </c>
      <c r="G1149" s="76">
        <f t="shared" si="952"/>
        <v>22</v>
      </c>
      <c r="H1149" s="77">
        <f t="shared" si="952"/>
        <v>20</v>
      </c>
      <c r="I1149" s="78">
        <f t="shared" si="952"/>
        <v>36</v>
      </c>
      <c r="J1149" s="79">
        <f t="shared" si="952"/>
        <v>29</v>
      </c>
      <c r="K1149" s="80">
        <f t="shared" si="952"/>
        <v>107</v>
      </c>
      <c r="L1149" s="17">
        <f t="shared" si="945"/>
        <v>261</v>
      </c>
      <c r="N1149" s="16" t="s">
        <v>8</v>
      </c>
      <c r="O1149" s="31">
        <f>SUM(O1144:O1148)</f>
        <v>457</v>
      </c>
      <c r="P1149" s="37">
        <f t="shared" ref="P1149" si="953">SUM(P1144:P1148)</f>
        <v>547</v>
      </c>
      <c r="Q1149" s="32">
        <f t="shared" ref="Q1149" si="954">SUM(Q1144:Q1148)</f>
        <v>215</v>
      </c>
      <c r="R1149" s="82">
        <f t="shared" ref="R1149" si="955">SUM(R1144:R1148)</f>
        <v>192</v>
      </c>
      <c r="S1149" s="83">
        <f>SUM(S1144:S1148)</f>
        <v>1411</v>
      </c>
      <c r="T1149" s="31">
        <f>SUM(T1144:T1148)</f>
        <v>245</v>
      </c>
      <c r="U1149" s="37">
        <f t="shared" ref="U1149" si="956">SUM(U1144:U1148)</f>
        <v>314</v>
      </c>
      <c r="V1149" s="32">
        <f t="shared" ref="V1149" si="957">SUM(V1144:V1148)</f>
        <v>145</v>
      </c>
      <c r="W1149" s="82">
        <f t="shared" ref="W1149" si="958">SUM(W1144:W1148)</f>
        <v>191</v>
      </c>
      <c r="X1149" s="83">
        <f>SUM(X1144:X1148)</f>
        <v>895</v>
      </c>
      <c r="Y1149" s="39">
        <f>S1149+X1149</f>
        <v>2306</v>
      </c>
    </row>
    <row r="1150" spans="1:26" x14ac:dyDescent="0.15">
      <c r="A1150" s="59" t="s">
        <v>671</v>
      </c>
      <c r="B1150" s="20">
        <v>1</v>
      </c>
      <c r="C1150" s="35">
        <v>-1</v>
      </c>
      <c r="D1150" s="21"/>
      <c r="E1150" s="24"/>
      <c r="F1150" s="25">
        <f t="shared" ref="F1150:F1174" si="959">SUM(B1150:E1150)</f>
        <v>0</v>
      </c>
      <c r="G1150" s="20">
        <v>1</v>
      </c>
      <c r="H1150" s="35">
        <v>-1</v>
      </c>
      <c r="I1150" s="21"/>
      <c r="J1150" s="24"/>
      <c r="K1150" s="25">
        <f t="shared" ref="K1150:K1174" si="960">SUM(G1150:J1150)</f>
        <v>0</v>
      </c>
      <c r="L1150" s="11">
        <f t="shared" si="945"/>
        <v>0</v>
      </c>
      <c r="M1150" s="71">
        <v>45687</v>
      </c>
      <c r="N1150" s="12" t="s">
        <v>673</v>
      </c>
      <c r="O1150" s="20">
        <v>15</v>
      </c>
      <c r="P1150" s="35">
        <v>20</v>
      </c>
      <c r="Q1150" s="21">
        <v>15</v>
      </c>
      <c r="R1150" s="38">
        <v>10</v>
      </c>
      <c r="S1150" s="9">
        <f t="shared" ref="S1150" si="961">SUM(O1150:R1150)</f>
        <v>60</v>
      </c>
      <c r="T1150" s="20">
        <v>15</v>
      </c>
      <c r="U1150" s="35">
        <v>20</v>
      </c>
      <c r="V1150" s="21">
        <v>15</v>
      </c>
      <c r="W1150" s="38">
        <v>10</v>
      </c>
      <c r="X1150" s="9">
        <f t="shared" ref="X1150" si="962">SUM(T1150:W1150)</f>
        <v>60</v>
      </c>
      <c r="Y1150" s="11">
        <f t="shared" ref="Y1150" si="963">S1150+X1150</f>
        <v>120</v>
      </c>
      <c r="Z1150" s="69">
        <v>45692</v>
      </c>
    </row>
    <row r="1151" spans="1:26" x14ac:dyDescent="0.15">
      <c r="A1151" s="59" t="s">
        <v>27</v>
      </c>
      <c r="B1151" s="20"/>
      <c r="C1151" s="35">
        <v>2</v>
      </c>
      <c r="D1151" s="21"/>
      <c r="E1151" s="24"/>
      <c r="F1151" s="25">
        <f t="shared" si="959"/>
        <v>2</v>
      </c>
      <c r="G1151" s="20"/>
      <c r="H1151" s="35"/>
      <c r="I1151" s="21"/>
      <c r="J1151" s="24"/>
      <c r="K1151" s="25">
        <f t="shared" si="960"/>
        <v>0</v>
      </c>
      <c r="L1151" s="11">
        <f t="shared" si="945"/>
        <v>2</v>
      </c>
      <c r="M1151" s="71">
        <v>45693</v>
      </c>
      <c r="N1151" s="12" t="s">
        <v>676</v>
      </c>
      <c r="O1151" s="20">
        <v>8</v>
      </c>
      <c r="P1151" s="35">
        <v>13</v>
      </c>
      <c r="Q1151" s="21">
        <v>9</v>
      </c>
      <c r="R1151" s="38">
        <v>5</v>
      </c>
      <c r="S1151" s="9">
        <f t="shared" ref="S1151:S1162" si="964">SUM(O1151:R1151)</f>
        <v>35</v>
      </c>
      <c r="T1151" s="20">
        <v>8</v>
      </c>
      <c r="U1151" s="35">
        <v>13</v>
      </c>
      <c r="V1151" s="21">
        <v>9</v>
      </c>
      <c r="W1151" s="38">
        <v>5</v>
      </c>
      <c r="X1151" s="9">
        <f t="shared" ref="X1151:X1162" si="965">SUM(T1151:W1151)</f>
        <v>35</v>
      </c>
      <c r="Y1151" s="11">
        <f t="shared" si="948"/>
        <v>70</v>
      </c>
      <c r="Z1151" s="69">
        <v>45709</v>
      </c>
    </row>
    <row r="1152" spans="1:26" x14ac:dyDescent="0.15">
      <c r="A1152" s="163" t="s">
        <v>682</v>
      </c>
      <c r="B1152" s="20"/>
      <c r="C1152" s="35"/>
      <c r="D1152" s="21">
        <v>5</v>
      </c>
      <c r="E1152" s="24"/>
      <c r="F1152" s="25">
        <f t="shared" si="959"/>
        <v>5</v>
      </c>
      <c r="G1152" s="20"/>
      <c r="H1152" s="35">
        <v>15</v>
      </c>
      <c r="I1152" s="21">
        <v>5</v>
      </c>
      <c r="J1152" s="24"/>
      <c r="K1152" s="25">
        <f t="shared" si="960"/>
        <v>20</v>
      </c>
      <c r="L1152" s="11">
        <f t="shared" si="945"/>
        <v>25</v>
      </c>
      <c r="M1152" s="69">
        <v>45695</v>
      </c>
      <c r="N1152" s="12" t="s">
        <v>679</v>
      </c>
      <c r="O1152" s="20">
        <v>2</v>
      </c>
      <c r="P1152" s="35">
        <v>5</v>
      </c>
      <c r="Q1152" s="21">
        <v>1</v>
      </c>
      <c r="R1152" s="38">
        <v>3</v>
      </c>
      <c r="S1152" s="9">
        <f t="shared" si="964"/>
        <v>11</v>
      </c>
      <c r="T1152" s="20">
        <v>2</v>
      </c>
      <c r="U1152" s="35">
        <v>5</v>
      </c>
      <c r="V1152" s="21">
        <v>1</v>
      </c>
      <c r="W1152" s="38">
        <v>3</v>
      </c>
      <c r="X1152" s="9">
        <f t="shared" si="965"/>
        <v>11</v>
      </c>
      <c r="Y1152" s="11">
        <f t="shared" si="948"/>
        <v>22</v>
      </c>
      <c r="Z1152" s="69">
        <v>45698</v>
      </c>
    </row>
    <row r="1153" spans="1:28" x14ac:dyDescent="0.15">
      <c r="A1153" s="163" t="s">
        <v>683</v>
      </c>
      <c r="B1153" s="20">
        <v>5</v>
      </c>
      <c r="C1153" s="35">
        <v>10</v>
      </c>
      <c r="D1153" s="21"/>
      <c r="E1153" s="24"/>
      <c r="F1153" s="25">
        <f t="shared" si="959"/>
        <v>15</v>
      </c>
      <c r="G1153" s="20"/>
      <c r="H1153" s="35"/>
      <c r="I1153" s="21">
        <v>15</v>
      </c>
      <c r="J1153" s="24"/>
      <c r="K1153" s="25">
        <f t="shared" si="960"/>
        <v>15</v>
      </c>
      <c r="L1153" s="11">
        <f t="shared" si="945"/>
        <v>30</v>
      </c>
      <c r="M1153" s="69">
        <v>45696</v>
      </c>
      <c r="N1153" s="40" t="s">
        <v>26</v>
      </c>
      <c r="O1153" s="20">
        <v>15</v>
      </c>
      <c r="P1153" s="35">
        <v>15</v>
      </c>
      <c r="Q1153" s="21"/>
      <c r="R1153" s="38"/>
      <c r="S1153" s="9">
        <f t="shared" si="964"/>
        <v>30</v>
      </c>
      <c r="T1153" s="20"/>
      <c r="U1153" s="35"/>
      <c r="V1153" s="21"/>
      <c r="W1153" s="38"/>
      <c r="X1153" s="9">
        <f t="shared" si="965"/>
        <v>0</v>
      </c>
      <c r="Y1153" s="11">
        <f t="shared" si="948"/>
        <v>30</v>
      </c>
      <c r="Z1153" s="69">
        <v>45698</v>
      </c>
      <c r="AA1153" s="41"/>
    </row>
    <row r="1154" spans="1:28" x14ac:dyDescent="0.15">
      <c r="A1154" s="59" t="s">
        <v>27</v>
      </c>
      <c r="B1154" s="20"/>
      <c r="C1154" s="35">
        <v>3</v>
      </c>
      <c r="D1154" s="21"/>
      <c r="E1154" s="24"/>
      <c r="F1154" s="25">
        <f t="shared" si="959"/>
        <v>3</v>
      </c>
      <c r="G1154" s="20"/>
      <c r="H1154" s="35"/>
      <c r="I1154" s="21"/>
      <c r="J1154" s="24"/>
      <c r="K1154" s="25">
        <f t="shared" si="960"/>
        <v>0</v>
      </c>
      <c r="L1154" s="11">
        <f t="shared" si="945"/>
        <v>3</v>
      </c>
      <c r="M1154" s="69">
        <v>45695</v>
      </c>
      <c r="N1154" s="12" t="s">
        <v>685</v>
      </c>
      <c r="O1154" s="20">
        <v>15</v>
      </c>
      <c r="P1154" s="35">
        <v>15</v>
      </c>
      <c r="Q1154" s="21">
        <v>10</v>
      </c>
      <c r="R1154" s="38">
        <v>10</v>
      </c>
      <c r="S1154" s="9">
        <f t="shared" ref="S1154:S1155" si="966">SUM(O1154:R1154)</f>
        <v>50</v>
      </c>
      <c r="T1154" s="20">
        <v>15</v>
      </c>
      <c r="U1154" s="35">
        <v>15</v>
      </c>
      <c r="V1154" s="21">
        <v>10</v>
      </c>
      <c r="W1154" s="38">
        <v>10</v>
      </c>
      <c r="X1154" s="9">
        <f t="shared" ref="X1154:X1155" si="967">SUM(T1154:W1154)</f>
        <v>50</v>
      </c>
      <c r="Y1154" s="11">
        <f t="shared" ref="Y1154:Y1155" si="968">S1154+X1154</f>
        <v>100</v>
      </c>
      <c r="Z1154" s="69">
        <v>45706</v>
      </c>
      <c r="AA1154" s="41"/>
    </row>
    <row r="1155" spans="1:28" x14ac:dyDescent="0.15">
      <c r="A1155" s="12" t="s">
        <v>684</v>
      </c>
      <c r="B1155" s="20"/>
      <c r="C1155" s="35"/>
      <c r="D1155" s="21"/>
      <c r="E1155" s="38"/>
      <c r="F1155" s="9">
        <f t="shared" si="959"/>
        <v>0</v>
      </c>
      <c r="G1155" s="20">
        <v>2</v>
      </c>
      <c r="H1155" s="35">
        <v>2</v>
      </c>
      <c r="I1155" s="21">
        <v>2</v>
      </c>
      <c r="J1155" s="38"/>
      <c r="K1155" s="9">
        <f t="shared" si="960"/>
        <v>6</v>
      </c>
      <c r="L1155" s="11">
        <f t="shared" si="945"/>
        <v>6</v>
      </c>
      <c r="M1155" s="69">
        <v>45700</v>
      </c>
      <c r="N1155" s="40" t="s">
        <v>26</v>
      </c>
      <c r="O1155" s="20">
        <v>10</v>
      </c>
      <c r="P1155" s="35">
        <v>5</v>
      </c>
      <c r="Q1155" s="21"/>
      <c r="R1155" s="38"/>
      <c r="S1155" s="9">
        <f t="shared" si="966"/>
        <v>15</v>
      </c>
      <c r="T1155" s="20"/>
      <c r="U1155" s="35"/>
      <c r="V1155" s="21"/>
      <c r="W1155" s="38"/>
      <c r="X1155" s="9">
        <f t="shared" si="967"/>
        <v>0</v>
      </c>
      <c r="Y1155" s="11">
        <f t="shared" si="968"/>
        <v>15</v>
      </c>
      <c r="Z1155" s="69">
        <v>45713</v>
      </c>
      <c r="AA1155" s="41"/>
    </row>
    <row r="1156" spans="1:28" x14ac:dyDescent="0.15">
      <c r="A1156" s="59" t="s">
        <v>27</v>
      </c>
      <c r="B1156" s="20">
        <v>2</v>
      </c>
      <c r="C1156" s="35">
        <v>1</v>
      </c>
      <c r="D1156" s="21"/>
      <c r="E1156" s="24">
        <v>1</v>
      </c>
      <c r="F1156" s="25">
        <f t="shared" si="959"/>
        <v>4</v>
      </c>
      <c r="G1156" s="20"/>
      <c r="H1156" s="35"/>
      <c r="I1156" s="21"/>
      <c r="J1156" s="24"/>
      <c r="K1156" s="25">
        <f t="shared" si="960"/>
        <v>0</v>
      </c>
      <c r="L1156" s="11">
        <f t="shared" si="945"/>
        <v>4</v>
      </c>
      <c r="M1156" s="69">
        <v>45698</v>
      </c>
      <c r="N1156" s="40" t="s">
        <v>691</v>
      </c>
      <c r="O1156" s="20">
        <v>5</v>
      </c>
      <c r="P1156" s="35">
        <v>9</v>
      </c>
      <c r="Q1156" s="21">
        <v>8</v>
      </c>
      <c r="R1156" s="38"/>
      <c r="S1156" s="9">
        <f t="shared" si="964"/>
        <v>22</v>
      </c>
      <c r="T1156" s="20">
        <v>8</v>
      </c>
      <c r="U1156" s="35">
        <v>8</v>
      </c>
      <c r="V1156" s="21">
        <v>11</v>
      </c>
      <c r="W1156" s="38"/>
      <c r="X1156" s="9">
        <f t="shared" si="965"/>
        <v>27</v>
      </c>
      <c r="Y1156" s="11">
        <f t="shared" si="948"/>
        <v>49</v>
      </c>
      <c r="Z1156" s="69">
        <v>45714</v>
      </c>
      <c r="AA1156" s="41"/>
      <c r="AB1156" s="41"/>
    </row>
    <row r="1157" spans="1:28" x14ac:dyDescent="0.15">
      <c r="A1157" s="59" t="s">
        <v>686</v>
      </c>
      <c r="B1157" s="20"/>
      <c r="C1157" s="35">
        <v>2</v>
      </c>
      <c r="D1157" s="21"/>
      <c r="E1157" s="24"/>
      <c r="F1157" s="25">
        <f t="shared" si="959"/>
        <v>2</v>
      </c>
      <c r="G1157" s="20"/>
      <c r="H1157" s="35"/>
      <c r="I1157" s="21"/>
      <c r="J1157" s="24"/>
      <c r="K1157" s="25">
        <f t="shared" si="960"/>
        <v>0</v>
      </c>
      <c r="L1157" s="11">
        <f t="shared" si="945"/>
        <v>2</v>
      </c>
      <c r="M1157" s="69">
        <v>45701</v>
      </c>
      <c r="N1157" s="40"/>
      <c r="O1157" s="20"/>
      <c r="P1157" s="35"/>
      <c r="Q1157" s="21"/>
      <c r="R1157" s="38"/>
      <c r="S1157" s="9">
        <f t="shared" si="964"/>
        <v>0</v>
      </c>
      <c r="T1157" s="20"/>
      <c r="U1157" s="35"/>
      <c r="V1157" s="21"/>
      <c r="W1157" s="38"/>
      <c r="X1157" s="9">
        <f t="shared" si="965"/>
        <v>0</v>
      </c>
      <c r="Y1157" s="11">
        <f t="shared" si="948"/>
        <v>0</v>
      </c>
      <c r="Z1157" s="162"/>
      <c r="AA1157" s="41"/>
      <c r="AB1157" s="41"/>
    </row>
    <row r="1158" spans="1:28" x14ac:dyDescent="0.15">
      <c r="A1158" s="59" t="s">
        <v>27</v>
      </c>
      <c r="B1158" s="20">
        <v>1</v>
      </c>
      <c r="C1158" s="35"/>
      <c r="D1158" s="21"/>
      <c r="E1158" s="24"/>
      <c r="F1158" s="25">
        <f t="shared" si="959"/>
        <v>1</v>
      </c>
      <c r="G1158" s="20"/>
      <c r="H1158" s="35"/>
      <c r="I1158" s="21"/>
      <c r="J1158" s="24"/>
      <c r="K1158" s="25">
        <f t="shared" si="960"/>
        <v>0</v>
      </c>
      <c r="L1158" s="11">
        <f t="shared" si="945"/>
        <v>1</v>
      </c>
      <c r="M1158" s="69">
        <v>45701</v>
      </c>
      <c r="N1158" s="40"/>
      <c r="O1158" s="20"/>
      <c r="P1158" s="35"/>
      <c r="Q1158" s="21"/>
      <c r="R1158" s="38"/>
      <c r="S1158" s="9">
        <f t="shared" si="964"/>
        <v>0</v>
      </c>
      <c r="T1158" s="20"/>
      <c r="U1158" s="35"/>
      <c r="V1158" s="21"/>
      <c r="W1158" s="38"/>
      <c r="X1158" s="9">
        <f t="shared" si="965"/>
        <v>0</v>
      </c>
      <c r="Y1158" s="11">
        <f t="shared" si="948"/>
        <v>0</v>
      </c>
      <c r="Z1158" s="162"/>
      <c r="AA1158" s="41"/>
      <c r="AB1158" s="41"/>
    </row>
    <row r="1159" spans="1:28" x14ac:dyDescent="0.15">
      <c r="A1159" s="59" t="s">
        <v>27</v>
      </c>
      <c r="B1159" s="20"/>
      <c r="C1159" s="35">
        <v>3</v>
      </c>
      <c r="D1159" s="21"/>
      <c r="E1159" s="24"/>
      <c r="F1159" s="25">
        <f t="shared" si="959"/>
        <v>3</v>
      </c>
      <c r="G1159" s="20"/>
      <c r="H1159" s="35"/>
      <c r="I1159" s="21"/>
      <c r="J1159" s="24"/>
      <c r="K1159" s="25">
        <f t="shared" si="960"/>
        <v>0</v>
      </c>
      <c r="L1159" s="11">
        <f t="shared" si="945"/>
        <v>3</v>
      </c>
      <c r="M1159" s="71">
        <v>45703</v>
      </c>
      <c r="N1159" s="40"/>
      <c r="O1159" s="20"/>
      <c r="P1159" s="35"/>
      <c r="Q1159" s="21"/>
      <c r="R1159" s="38"/>
      <c r="S1159" s="9">
        <f t="shared" si="964"/>
        <v>0</v>
      </c>
      <c r="T1159" s="20"/>
      <c r="U1159" s="35"/>
      <c r="V1159" s="21"/>
      <c r="W1159" s="38"/>
      <c r="X1159" s="9">
        <f t="shared" si="965"/>
        <v>0</v>
      </c>
      <c r="Y1159" s="11">
        <f t="shared" si="948"/>
        <v>0</v>
      </c>
    </row>
    <row r="1160" spans="1:28" x14ac:dyDescent="0.15">
      <c r="A1160" s="59" t="s">
        <v>688</v>
      </c>
      <c r="B1160" s="20">
        <v>2</v>
      </c>
      <c r="C1160" s="35">
        <v>-1</v>
      </c>
      <c r="D1160" s="21">
        <v>-1</v>
      </c>
      <c r="E1160" s="24"/>
      <c r="F1160" s="25">
        <f t="shared" si="959"/>
        <v>0</v>
      </c>
      <c r="G1160" s="20">
        <v>2</v>
      </c>
      <c r="H1160" s="35">
        <v>-1</v>
      </c>
      <c r="I1160" s="21">
        <v>-1</v>
      </c>
      <c r="J1160" s="24"/>
      <c r="K1160" s="25">
        <f t="shared" si="960"/>
        <v>0</v>
      </c>
      <c r="L1160" s="11">
        <f t="shared" si="945"/>
        <v>0</v>
      </c>
      <c r="M1160" s="71">
        <v>45708</v>
      </c>
      <c r="N1160" s="40"/>
      <c r="O1160" s="20"/>
      <c r="P1160" s="35"/>
      <c r="Q1160" s="21"/>
      <c r="R1160" s="38"/>
      <c r="S1160" s="9">
        <f t="shared" si="964"/>
        <v>0</v>
      </c>
      <c r="T1160" s="20"/>
      <c r="U1160" s="35"/>
      <c r="V1160" s="21"/>
      <c r="W1160" s="38"/>
      <c r="X1160" s="9">
        <f t="shared" si="965"/>
        <v>0</v>
      </c>
      <c r="Y1160" s="11">
        <f t="shared" si="948"/>
        <v>0</v>
      </c>
    </row>
    <row r="1161" spans="1:28" x14ac:dyDescent="0.15">
      <c r="A1161" s="59" t="s">
        <v>27</v>
      </c>
      <c r="B1161" s="20">
        <v>2</v>
      </c>
      <c r="C1161" s="35">
        <v>1</v>
      </c>
      <c r="D1161" s="21"/>
      <c r="E1161" s="24"/>
      <c r="F1161" s="25">
        <f t="shared" si="959"/>
        <v>3</v>
      </c>
      <c r="G1161" s="20"/>
      <c r="H1161" s="35"/>
      <c r="I1161" s="21"/>
      <c r="J1161" s="24"/>
      <c r="K1161" s="25">
        <f t="shared" si="960"/>
        <v>0</v>
      </c>
      <c r="L1161" s="11">
        <f t="shared" si="945"/>
        <v>3</v>
      </c>
      <c r="M1161" s="71">
        <v>45708</v>
      </c>
      <c r="N1161" s="40"/>
      <c r="O1161" s="20"/>
      <c r="P1161" s="35"/>
      <c r="Q1161" s="21"/>
      <c r="R1161" s="38"/>
      <c r="S1161" s="9">
        <f t="shared" si="964"/>
        <v>0</v>
      </c>
      <c r="T1161" s="20"/>
      <c r="U1161" s="35"/>
      <c r="V1161" s="21"/>
      <c r="W1161" s="38"/>
      <c r="X1161" s="9">
        <f t="shared" si="965"/>
        <v>0</v>
      </c>
      <c r="Y1161" s="11">
        <f t="shared" si="948"/>
        <v>0</v>
      </c>
    </row>
    <row r="1162" spans="1:28" x14ac:dyDescent="0.15">
      <c r="A1162" s="40" t="s">
        <v>689</v>
      </c>
      <c r="B1162" s="20"/>
      <c r="C1162" s="35"/>
      <c r="D1162" s="21"/>
      <c r="E1162" s="24">
        <v>1</v>
      </c>
      <c r="F1162" s="25">
        <f t="shared" si="959"/>
        <v>1</v>
      </c>
      <c r="G1162" s="20"/>
      <c r="H1162" s="35"/>
      <c r="I1162" s="21"/>
      <c r="J1162" s="24">
        <v>1</v>
      </c>
      <c r="K1162" s="25">
        <f t="shared" si="960"/>
        <v>1</v>
      </c>
      <c r="L1162" s="11">
        <f t="shared" si="945"/>
        <v>2</v>
      </c>
      <c r="M1162" s="69">
        <v>45713</v>
      </c>
      <c r="N1162" s="40"/>
      <c r="O1162" s="20"/>
      <c r="P1162" s="35"/>
      <c r="Q1162" s="21"/>
      <c r="R1162" s="38"/>
      <c r="S1162" s="9">
        <f t="shared" si="964"/>
        <v>0</v>
      </c>
      <c r="T1162" s="20"/>
      <c r="U1162" s="35"/>
      <c r="V1162" s="21"/>
      <c r="W1162" s="38"/>
      <c r="X1162" s="9">
        <f t="shared" si="965"/>
        <v>0</v>
      </c>
      <c r="Y1162" s="11">
        <f t="shared" si="948"/>
        <v>0</v>
      </c>
    </row>
    <row r="1163" spans="1:28" x14ac:dyDescent="0.15">
      <c r="A1163" s="59" t="s">
        <v>690</v>
      </c>
      <c r="B1163" s="20"/>
      <c r="C1163" s="35">
        <v>1</v>
      </c>
      <c r="D1163" s="21"/>
      <c r="E1163" s="24"/>
      <c r="F1163" s="25">
        <f t="shared" si="959"/>
        <v>1</v>
      </c>
      <c r="G1163" s="20"/>
      <c r="H1163" s="35"/>
      <c r="I1163" s="21"/>
      <c r="J1163" s="24"/>
      <c r="K1163" s="25">
        <f t="shared" si="960"/>
        <v>0</v>
      </c>
      <c r="L1163" s="11">
        <f t="shared" si="945"/>
        <v>1</v>
      </c>
      <c r="M1163" s="69">
        <v>45710</v>
      </c>
      <c r="N1163" s="12"/>
      <c r="O1163" s="20"/>
      <c r="P1163" s="35"/>
      <c r="Q1163" s="21"/>
      <c r="R1163" s="38"/>
      <c r="S1163" s="9">
        <f>SUM(O1163:R1163)</f>
        <v>0</v>
      </c>
      <c r="T1163" s="20"/>
      <c r="U1163" s="35"/>
      <c r="V1163" s="21"/>
      <c r="W1163" s="38"/>
      <c r="X1163" s="9">
        <f>SUM(T1163:W1163)</f>
        <v>0</v>
      </c>
      <c r="Y1163" s="11">
        <f t="shared" si="948"/>
        <v>0</v>
      </c>
    </row>
    <row r="1164" spans="1:28" x14ac:dyDescent="0.15">
      <c r="A1164" s="59" t="s">
        <v>27</v>
      </c>
      <c r="B1164" s="20">
        <v>2</v>
      </c>
      <c r="C1164" s="35"/>
      <c r="D1164" s="21"/>
      <c r="E1164" s="24"/>
      <c r="F1164" s="25">
        <f t="shared" si="959"/>
        <v>2</v>
      </c>
      <c r="G1164" s="20"/>
      <c r="H1164" s="35"/>
      <c r="I1164" s="21"/>
      <c r="J1164" s="24"/>
      <c r="K1164" s="25">
        <f t="shared" si="960"/>
        <v>0</v>
      </c>
      <c r="L1164" s="11">
        <f t="shared" si="945"/>
        <v>2</v>
      </c>
      <c r="M1164" s="69">
        <v>45709</v>
      </c>
      <c r="N1164" s="40"/>
      <c r="O1164" s="20"/>
      <c r="P1164" s="35"/>
      <c r="Q1164" s="21"/>
      <c r="R1164" s="38"/>
      <c r="S1164" s="9">
        <f t="shared" ref="S1164:S1174" si="969">SUM(O1164:R1164)</f>
        <v>0</v>
      </c>
      <c r="T1164" s="20"/>
      <c r="U1164" s="35"/>
      <c r="V1164" s="21"/>
      <c r="W1164" s="38"/>
      <c r="X1164" s="9">
        <f t="shared" ref="X1164:X1174" si="970">SUM(T1164:W1164)</f>
        <v>0</v>
      </c>
      <c r="Y1164" s="11">
        <f t="shared" si="948"/>
        <v>0</v>
      </c>
    </row>
    <row r="1165" spans="1:28" x14ac:dyDescent="0.15">
      <c r="A1165" s="59" t="s">
        <v>27</v>
      </c>
      <c r="B1165" s="20">
        <v>2</v>
      </c>
      <c r="C1165" s="35">
        <v>4</v>
      </c>
      <c r="D1165" s="21"/>
      <c r="E1165" s="24"/>
      <c r="F1165" s="25">
        <f t="shared" si="959"/>
        <v>6</v>
      </c>
      <c r="G1165" s="20"/>
      <c r="H1165" s="35"/>
      <c r="I1165" s="21"/>
      <c r="J1165" s="24"/>
      <c r="K1165" s="25">
        <f t="shared" si="960"/>
        <v>0</v>
      </c>
      <c r="L1165" s="11">
        <f t="shared" si="945"/>
        <v>6</v>
      </c>
      <c r="M1165" s="71">
        <v>45713</v>
      </c>
      <c r="N1165" s="15"/>
      <c r="O1165" s="20"/>
      <c r="P1165" s="35"/>
      <c r="Q1165" s="21"/>
      <c r="R1165" s="38"/>
      <c r="S1165" s="9">
        <f t="shared" si="969"/>
        <v>0</v>
      </c>
      <c r="T1165" s="20"/>
      <c r="U1165" s="35"/>
      <c r="V1165" s="21"/>
      <c r="W1165" s="38"/>
      <c r="X1165" s="9">
        <f t="shared" si="970"/>
        <v>0</v>
      </c>
      <c r="Y1165" s="11">
        <f t="shared" si="948"/>
        <v>0</v>
      </c>
    </row>
    <row r="1166" spans="1:28" x14ac:dyDescent="0.15">
      <c r="A1166" s="59" t="s">
        <v>693</v>
      </c>
      <c r="B1166" s="20"/>
      <c r="C1166" s="35"/>
      <c r="D1166" s="21"/>
      <c r="E1166" s="24">
        <v>2</v>
      </c>
      <c r="F1166" s="25">
        <f t="shared" si="959"/>
        <v>2</v>
      </c>
      <c r="G1166" s="20"/>
      <c r="H1166" s="35"/>
      <c r="I1166" s="21"/>
      <c r="J1166" s="24"/>
      <c r="K1166" s="25">
        <f t="shared" si="960"/>
        <v>0</v>
      </c>
      <c r="L1166" s="11">
        <f t="shared" si="945"/>
        <v>2</v>
      </c>
      <c r="M1166" s="69">
        <v>45715</v>
      </c>
      <c r="N1166" s="40"/>
      <c r="O1166" s="20"/>
      <c r="P1166" s="35"/>
      <c r="Q1166" s="21"/>
      <c r="R1166" s="38"/>
      <c r="S1166" s="9">
        <f t="shared" si="969"/>
        <v>0</v>
      </c>
      <c r="T1166" s="20"/>
      <c r="U1166" s="35"/>
      <c r="V1166" s="21"/>
      <c r="W1166" s="38"/>
      <c r="X1166" s="9">
        <f t="shared" si="970"/>
        <v>0</v>
      </c>
      <c r="Y1166" s="11">
        <f t="shared" si="948"/>
        <v>0</v>
      </c>
    </row>
    <row r="1167" spans="1:28" x14ac:dyDescent="0.15">
      <c r="A1167" s="59" t="s">
        <v>27</v>
      </c>
      <c r="B1167" s="20"/>
      <c r="C1167" s="35">
        <v>1</v>
      </c>
      <c r="D1167" s="21"/>
      <c r="E1167" s="24"/>
      <c r="F1167" s="25">
        <f t="shared" si="959"/>
        <v>1</v>
      </c>
      <c r="G1167" s="20"/>
      <c r="H1167" s="35"/>
      <c r="I1167" s="21"/>
      <c r="J1167" s="24"/>
      <c r="K1167" s="25">
        <f t="shared" si="960"/>
        <v>0</v>
      </c>
      <c r="L1167" s="11">
        <f t="shared" si="945"/>
        <v>1</v>
      </c>
      <c r="M1167" s="71">
        <v>45715</v>
      </c>
      <c r="N1167" s="40"/>
      <c r="O1167" s="48"/>
      <c r="P1167" s="49"/>
      <c r="Q1167" s="50"/>
      <c r="R1167" s="72"/>
      <c r="S1167" s="74">
        <f t="shared" si="969"/>
        <v>0</v>
      </c>
      <c r="T1167" s="48"/>
      <c r="U1167" s="49"/>
      <c r="V1167" s="50"/>
      <c r="W1167" s="72"/>
      <c r="X1167" s="74">
        <f t="shared" si="970"/>
        <v>0</v>
      </c>
      <c r="Y1167" s="11">
        <f t="shared" si="948"/>
        <v>0</v>
      </c>
    </row>
    <row r="1168" spans="1:28" x14ac:dyDescent="0.15">
      <c r="A1168" s="59" t="s">
        <v>27</v>
      </c>
      <c r="B1168" s="20"/>
      <c r="C1168" s="35"/>
      <c r="D1168" s="21"/>
      <c r="E1168" s="24">
        <v>1</v>
      </c>
      <c r="F1168" s="25">
        <f t="shared" si="959"/>
        <v>1</v>
      </c>
      <c r="G1168" s="20"/>
      <c r="H1168" s="35"/>
      <c r="I1168" s="21"/>
      <c r="J1168" s="24"/>
      <c r="K1168" s="25">
        <f t="shared" si="960"/>
        <v>0</v>
      </c>
      <c r="L1168" s="11">
        <f t="shared" si="945"/>
        <v>1</v>
      </c>
      <c r="M1168" s="71">
        <v>45720</v>
      </c>
      <c r="N1168" s="40"/>
      <c r="O1168" s="48"/>
      <c r="P1168" s="49"/>
      <c r="Q1168" s="50"/>
      <c r="R1168" s="72"/>
      <c r="S1168" s="74">
        <f t="shared" si="969"/>
        <v>0</v>
      </c>
      <c r="T1168" s="48"/>
      <c r="U1168" s="49"/>
      <c r="V1168" s="50"/>
      <c r="W1168" s="72"/>
      <c r="X1168" s="74">
        <f t="shared" si="970"/>
        <v>0</v>
      </c>
      <c r="Y1168" s="11">
        <f t="shared" si="948"/>
        <v>0</v>
      </c>
    </row>
    <row r="1169" spans="1:27" x14ac:dyDescent="0.15">
      <c r="A1169" s="59" t="s">
        <v>27</v>
      </c>
      <c r="B1169" s="20"/>
      <c r="C1169" s="35">
        <v>1</v>
      </c>
      <c r="D1169" s="21"/>
      <c r="E1169" s="24">
        <v>1</v>
      </c>
      <c r="F1169" s="25">
        <f t="shared" si="959"/>
        <v>2</v>
      </c>
      <c r="G1169" s="20"/>
      <c r="H1169" s="35"/>
      <c r="I1169" s="21"/>
      <c r="J1169" s="24"/>
      <c r="K1169" s="25">
        <f t="shared" si="960"/>
        <v>0</v>
      </c>
      <c r="L1169" s="11">
        <f t="shared" si="945"/>
        <v>2</v>
      </c>
      <c r="M1169" s="71">
        <v>45721</v>
      </c>
      <c r="N1169" s="40"/>
      <c r="O1169" s="48"/>
      <c r="P1169" s="49"/>
      <c r="Q1169" s="50"/>
      <c r="R1169" s="72"/>
      <c r="S1169" s="74">
        <f t="shared" si="969"/>
        <v>0</v>
      </c>
      <c r="T1169" s="48"/>
      <c r="U1169" s="49"/>
      <c r="V1169" s="50"/>
      <c r="W1169" s="72"/>
      <c r="X1169" s="74">
        <f t="shared" si="970"/>
        <v>0</v>
      </c>
      <c r="Y1169" s="11">
        <f t="shared" si="948"/>
        <v>0</v>
      </c>
    </row>
    <row r="1170" spans="1:27" x14ac:dyDescent="0.15">
      <c r="A1170" s="59" t="s">
        <v>27</v>
      </c>
      <c r="B1170" s="20">
        <v>2</v>
      </c>
      <c r="C1170" s="35">
        <v>2</v>
      </c>
      <c r="D1170" s="21"/>
      <c r="E1170" s="24">
        <v>4</v>
      </c>
      <c r="F1170" s="25">
        <f t="shared" si="959"/>
        <v>8</v>
      </c>
      <c r="G1170" s="20"/>
      <c r="H1170" s="35"/>
      <c r="I1170" s="21"/>
      <c r="J1170" s="24"/>
      <c r="K1170" s="25">
        <f t="shared" si="960"/>
        <v>0</v>
      </c>
      <c r="L1170" s="11">
        <f t="shared" si="945"/>
        <v>8</v>
      </c>
      <c r="M1170" s="71">
        <v>45722</v>
      </c>
      <c r="N1170" s="40"/>
      <c r="O1170" s="48"/>
      <c r="P1170" s="49"/>
      <c r="Q1170" s="50"/>
      <c r="R1170" s="72"/>
      <c r="S1170" s="74">
        <f t="shared" si="969"/>
        <v>0</v>
      </c>
      <c r="T1170" s="48"/>
      <c r="U1170" s="49"/>
      <c r="V1170" s="50"/>
      <c r="W1170" s="72"/>
      <c r="X1170" s="74">
        <f t="shared" si="970"/>
        <v>0</v>
      </c>
      <c r="Y1170" s="11">
        <f t="shared" si="948"/>
        <v>0</v>
      </c>
    </row>
    <row r="1171" spans="1:27" x14ac:dyDescent="0.15">
      <c r="A1171" s="59" t="s">
        <v>47</v>
      </c>
      <c r="B1171" s="20">
        <v>1</v>
      </c>
      <c r="C1171" s="35">
        <v>-1</v>
      </c>
      <c r="D1171" s="21"/>
      <c r="E1171" s="24"/>
      <c r="F1171" s="25">
        <f t="shared" si="959"/>
        <v>0</v>
      </c>
      <c r="G1171" s="20">
        <v>1</v>
      </c>
      <c r="H1171" s="35">
        <v>-1</v>
      </c>
      <c r="I1171" s="21"/>
      <c r="J1171" s="24"/>
      <c r="K1171" s="25">
        <f t="shared" si="960"/>
        <v>0</v>
      </c>
      <c r="L1171" s="11">
        <f t="shared" si="945"/>
        <v>0</v>
      </c>
      <c r="M1171" s="71">
        <v>45723</v>
      </c>
      <c r="N1171" s="40"/>
      <c r="O1171" s="48"/>
      <c r="P1171" s="49"/>
      <c r="Q1171" s="50"/>
      <c r="R1171" s="72"/>
      <c r="S1171" s="74">
        <f t="shared" si="969"/>
        <v>0</v>
      </c>
      <c r="T1171" s="48"/>
      <c r="U1171" s="49"/>
      <c r="V1171" s="50"/>
      <c r="W1171" s="72"/>
      <c r="X1171" s="74">
        <f t="shared" si="970"/>
        <v>0</v>
      </c>
      <c r="Y1171" s="11">
        <f t="shared" si="948"/>
        <v>0</v>
      </c>
      <c r="Z1171" s="69"/>
    </row>
    <row r="1172" spans="1:27" x14ac:dyDescent="0.15">
      <c r="A1172" s="59" t="s">
        <v>27</v>
      </c>
      <c r="B1172" s="20"/>
      <c r="C1172" s="35">
        <v>1</v>
      </c>
      <c r="D1172" s="21"/>
      <c r="E1172" s="24"/>
      <c r="F1172" s="25">
        <f t="shared" si="959"/>
        <v>1</v>
      </c>
      <c r="G1172" s="20"/>
      <c r="H1172" s="35"/>
      <c r="I1172" s="21"/>
      <c r="J1172" s="24"/>
      <c r="K1172" s="25">
        <f t="shared" si="960"/>
        <v>0</v>
      </c>
      <c r="L1172" s="11">
        <f t="shared" si="945"/>
        <v>1</v>
      </c>
      <c r="M1172" s="71">
        <v>45723</v>
      </c>
      <c r="N1172" s="40" t="s">
        <v>647</v>
      </c>
      <c r="O1172" s="48"/>
      <c r="P1172" s="49"/>
      <c r="Q1172" s="50"/>
      <c r="R1172" s="72"/>
      <c r="S1172" s="74">
        <f t="shared" ref="S1172:S1173" si="971">SUM(O1172:R1172)</f>
        <v>0</v>
      </c>
      <c r="T1172" s="48"/>
      <c r="U1172" s="49"/>
      <c r="V1172" s="50"/>
      <c r="W1172" s="72"/>
      <c r="X1172" s="74">
        <f t="shared" ref="X1172:X1173" si="972">SUM(T1172:W1172)</f>
        <v>0</v>
      </c>
      <c r="Y1172" s="11">
        <f t="shared" ref="Y1172:Y1173" si="973">S1172+X1172</f>
        <v>0</v>
      </c>
      <c r="Z1172" s="69">
        <v>45347</v>
      </c>
    </row>
    <row r="1173" spans="1:27" x14ac:dyDescent="0.15">
      <c r="A1173" s="59" t="s">
        <v>699</v>
      </c>
      <c r="B1173" s="20">
        <v>1</v>
      </c>
      <c r="C1173" s="35"/>
      <c r="D1173" s="21"/>
      <c r="E1173" s="24"/>
      <c r="F1173" s="25">
        <f t="shared" si="959"/>
        <v>1</v>
      </c>
      <c r="G1173" s="20">
        <v>1</v>
      </c>
      <c r="H1173" s="35"/>
      <c r="I1173" s="21"/>
      <c r="J1173" s="24"/>
      <c r="K1173" s="25">
        <f t="shared" si="960"/>
        <v>1</v>
      </c>
      <c r="L1173" s="11">
        <f t="shared" si="945"/>
        <v>2</v>
      </c>
      <c r="M1173" s="71">
        <v>45727</v>
      </c>
      <c r="N1173" s="12" t="s">
        <v>625</v>
      </c>
      <c r="O1173" s="20"/>
      <c r="P1173" s="35"/>
      <c r="Q1173" s="21"/>
      <c r="R1173" s="38"/>
      <c r="S1173" s="9">
        <f t="shared" si="971"/>
        <v>0</v>
      </c>
      <c r="T1173" s="20"/>
      <c r="U1173" s="35"/>
      <c r="V1173" s="21"/>
      <c r="W1173" s="38"/>
      <c r="X1173" s="9">
        <f t="shared" si="972"/>
        <v>0</v>
      </c>
      <c r="Y1173" s="47">
        <f t="shared" si="973"/>
        <v>0</v>
      </c>
      <c r="Z1173" s="69">
        <v>45332</v>
      </c>
    </row>
    <row r="1174" spans="1:27" ht="14.25" thickBot="1" x14ac:dyDescent="0.2">
      <c r="A1174" s="59" t="s">
        <v>27</v>
      </c>
      <c r="B1174" s="43">
        <v>3</v>
      </c>
      <c r="C1174" s="44">
        <v>1</v>
      </c>
      <c r="D1174" s="45">
        <v>1</v>
      </c>
      <c r="E1174" s="46">
        <v>1</v>
      </c>
      <c r="F1174" s="25">
        <f t="shared" si="959"/>
        <v>6</v>
      </c>
      <c r="G1174" s="43">
        <v>11</v>
      </c>
      <c r="H1174" s="44">
        <v>4</v>
      </c>
      <c r="I1174" s="45">
        <v>2</v>
      </c>
      <c r="J1174" s="46">
        <v>1</v>
      </c>
      <c r="K1174" s="25">
        <f t="shared" si="960"/>
        <v>18</v>
      </c>
      <c r="L1174" s="14">
        <f t="shared" si="945"/>
        <v>24</v>
      </c>
      <c r="M1174" s="69">
        <v>45726</v>
      </c>
      <c r="N1174" s="99" t="s">
        <v>878</v>
      </c>
      <c r="O1174" s="43"/>
      <c r="P1174" s="44"/>
      <c r="Q1174" s="45"/>
      <c r="R1174" s="100"/>
      <c r="S1174" s="10">
        <f t="shared" si="969"/>
        <v>0</v>
      </c>
      <c r="T1174" s="43"/>
      <c r="U1174" s="44"/>
      <c r="V1174" s="45"/>
      <c r="W1174" s="100"/>
      <c r="X1174" s="10">
        <f t="shared" si="970"/>
        <v>0</v>
      </c>
      <c r="Y1174" s="75">
        <f t="shared" si="948"/>
        <v>0</v>
      </c>
      <c r="Z1174" s="162" t="s">
        <v>639</v>
      </c>
    </row>
    <row r="1175" spans="1:27" ht="14.25" thickBot="1" x14ac:dyDescent="0.2">
      <c r="A1175" s="16" t="s">
        <v>9</v>
      </c>
      <c r="B1175" s="28">
        <f>SUM(B1150:B1174)</f>
        <v>24</v>
      </c>
      <c r="C1175" s="36">
        <f>SUM(C1150:C1174)</f>
        <v>30</v>
      </c>
      <c r="D1175" s="29">
        <f>SUM(D1150:D1174)</f>
        <v>5</v>
      </c>
      <c r="E1175" s="30">
        <f>SUM(E1150:E1174)</f>
        <v>11</v>
      </c>
      <c r="F1175" s="26">
        <f>SUM(B1175:E1175)</f>
        <v>70</v>
      </c>
      <c r="G1175" s="28">
        <f>SUM(G1150:G1174)</f>
        <v>18</v>
      </c>
      <c r="H1175" s="36">
        <f>SUM(H1150:H1174)</f>
        <v>18</v>
      </c>
      <c r="I1175" s="29">
        <f>SUM(I1150:I1174)</f>
        <v>23</v>
      </c>
      <c r="J1175" s="30">
        <f>SUM(J1150:J1174)</f>
        <v>2</v>
      </c>
      <c r="K1175" s="26">
        <f>SUM(G1175:J1175)</f>
        <v>61</v>
      </c>
      <c r="L1175" s="27">
        <f t="shared" si="945"/>
        <v>131</v>
      </c>
      <c r="N1175" s="61" t="s">
        <v>9</v>
      </c>
      <c r="O1175" s="28">
        <f>SUM(O1150:O1174)</f>
        <v>70</v>
      </c>
      <c r="P1175" s="36">
        <f t="shared" ref="P1175" si="974">SUM(P1150:P1174)</f>
        <v>82</v>
      </c>
      <c r="Q1175" s="29">
        <f t="shared" ref="Q1175" si="975">SUM(Q1150:Q1174)</f>
        <v>43</v>
      </c>
      <c r="R1175" s="30">
        <f t="shared" ref="R1175" si="976">SUM(R1150:R1174)</f>
        <v>28</v>
      </c>
      <c r="S1175" s="60">
        <f>SUM(O1175:R1175)</f>
        <v>223</v>
      </c>
      <c r="T1175" s="28">
        <f>SUM(T1150:T1174)</f>
        <v>48</v>
      </c>
      <c r="U1175" s="36">
        <f t="shared" ref="U1175" si="977">SUM(U1150:U1174)</f>
        <v>61</v>
      </c>
      <c r="V1175" s="29">
        <f t="shared" ref="V1175" si="978">SUM(V1150:V1174)</f>
        <v>46</v>
      </c>
      <c r="W1175" s="30">
        <f t="shared" ref="W1175" si="979">SUM(W1150:W1174)</f>
        <v>28</v>
      </c>
      <c r="X1175" s="60">
        <f>SUM(T1175:W1175)</f>
        <v>183</v>
      </c>
      <c r="Y1175" s="63">
        <f>S1175+X1175</f>
        <v>406</v>
      </c>
    </row>
    <row r="1176" spans="1:27" ht="14.25" thickBot="1" x14ac:dyDescent="0.2">
      <c r="A1176" s="18" t="s">
        <v>10</v>
      </c>
      <c r="B1176" s="31">
        <f t="shared" ref="B1176:K1176" si="980">B1149-B1175</f>
        <v>24</v>
      </c>
      <c r="C1176" s="37">
        <f t="shared" si="980"/>
        <v>20</v>
      </c>
      <c r="D1176" s="32">
        <f t="shared" si="980"/>
        <v>19</v>
      </c>
      <c r="E1176" s="33">
        <f t="shared" si="980"/>
        <v>21</v>
      </c>
      <c r="F1176" s="42">
        <f t="shared" si="980"/>
        <v>84</v>
      </c>
      <c r="G1176" s="31">
        <f t="shared" si="980"/>
        <v>4</v>
      </c>
      <c r="H1176" s="37">
        <f t="shared" si="980"/>
        <v>2</v>
      </c>
      <c r="I1176" s="32">
        <f t="shared" si="980"/>
        <v>13</v>
      </c>
      <c r="J1176" s="33">
        <f t="shared" si="980"/>
        <v>27</v>
      </c>
      <c r="K1176" s="42">
        <f t="shared" si="980"/>
        <v>46</v>
      </c>
      <c r="L1176" s="17">
        <f t="shared" si="945"/>
        <v>130</v>
      </c>
      <c r="N1176" s="16" t="s">
        <v>10</v>
      </c>
      <c r="O1176" s="31">
        <f>O1149-O1175</f>
        <v>387</v>
      </c>
      <c r="P1176" s="37">
        <f t="shared" ref="P1176" si="981">P1149-P1175</f>
        <v>465</v>
      </c>
      <c r="Q1176" s="32">
        <f t="shared" ref="Q1176" si="982">Q1149-Q1175</f>
        <v>172</v>
      </c>
      <c r="R1176" s="33">
        <f t="shared" ref="R1176" si="983">R1149-R1175</f>
        <v>164</v>
      </c>
      <c r="S1176" s="42">
        <f>S1149-S1175</f>
        <v>1188</v>
      </c>
      <c r="T1176" s="31">
        <f>T1149-T1175</f>
        <v>197</v>
      </c>
      <c r="U1176" s="37">
        <f t="shared" ref="U1176" si="984">U1149-U1175</f>
        <v>253</v>
      </c>
      <c r="V1176" s="32">
        <f t="shared" ref="V1176" si="985">V1149-V1175</f>
        <v>99</v>
      </c>
      <c r="W1176" s="33">
        <f t="shared" ref="W1176" si="986">W1149-W1175</f>
        <v>163</v>
      </c>
      <c r="X1176" s="42">
        <f>X1149-X1175</f>
        <v>712</v>
      </c>
      <c r="Y1176" s="17">
        <f>S1176+X1176</f>
        <v>1900</v>
      </c>
    </row>
    <row r="1177" spans="1:27" x14ac:dyDescent="0.15">
      <c r="O1177" s="87">
        <f>O1176/$S$1176*100</f>
        <v>32.575757575757578</v>
      </c>
      <c r="P1177" s="87">
        <f t="shared" ref="P1177:S1177" si="987">P1176/$S$1176*100</f>
        <v>39.141414141414145</v>
      </c>
      <c r="Q1177" s="87">
        <f t="shared" si="987"/>
        <v>14.478114478114479</v>
      </c>
      <c r="R1177" s="87">
        <f t="shared" si="987"/>
        <v>13.804713804713806</v>
      </c>
      <c r="S1177" s="87">
        <f t="shared" si="987"/>
        <v>100</v>
      </c>
      <c r="T1177" s="87">
        <f>T1176/$X$1176*100</f>
        <v>27.668539325842694</v>
      </c>
      <c r="U1177" s="87">
        <f t="shared" ref="U1177:X1177" si="988">U1176/$X$1176*100</f>
        <v>35.533707865168537</v>
      </c>
      <c r="V1177" s="87">
        <f t="shared" si="988"/>
        <v>13.904494382022472</v>
      </c>
      <c r="W1177" s="87">
        <f t="shared" si="988"/>
        <v>22.893258426966291</v>
      </c>
      <c r="X1177" s="87">
        <f t="shared" si="988"/>
        <v>100</v>
      </c>
    </row>
    <row r="1178" spans="1:27" x14ac:dyDescent="0.15">
      <c r="O1178" s="101">
        <v>26.2</v>
      </c>
      <c r="P1178" s="101">
        <v>36.5</v>
      </c>
      <c r="Q1178" s="101">
        <v>21.9</v>
      </c>
      <c r="R1178" s="101">
        <v>15.4</v>
      </c>
      <c r="S1178" s="101">
        <v>100</v>
      </c>
      <c r="T1178" s="101">
        <v>26.2</v>
      </c>
      <c r="U1178" s="101">
        <v>36.5</v>
      </c>
      <c r="V1178" s="101">
        <v>22.2</v>
      </c>
      <c r="W1178" s="101">
        <v>15.1</v>
      </c>
      <c r="X1178" s="101">
        <v>100</v>
      </c>
    </row>
    <row r="1179" spans="1:27" ht="19.5" thickBot="1" x14ac:dyDescent="0.25">
      <c r="A1179" s="2" t="s">
        <v>17</v>
      </c>
      <c r="B1179" s="2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N1179" s="2" t="s">
        <v>18</v>
      </c>
      <c r="O1179" s="87"/>
      <c r="P1179" s="87"/>
      <c r="Q1179" s="87"/>
      <c r="R1179" s="87"/>
      <c r="S1179" s="87"/>
      <c r="T1179" s="87"/>
      <c r="U1179" s="87"/>
      <c r="V1179" s="87"/>
      <c r="W1179" s="87"/>
      <c r="X1179" s="87"/>
      <c r="Y1179" s="1"/>
    </row>
    <row r="1180" spans="1:27" ht="14.25" thickBot="1" x14ac:dyDescent="0.2">
      <c r="A1180" s="5" t="s">
        <v>0</v>
      </c>
      <c r="B1180" s="244" t="s">
        <v>19</v>
      </c>
      <c r="C1180" s="245"/>
      <c r="D1180" s="245"/>
      <c r="E1180" s="245"/>
      <c r="F1180" s="246"/>
      <c r="G1180" s="247" t="s">
        <v>20</v>
      </c>
      <c r="H1180" s="248"/>
      <c r="I1180" s="248"/>
      <c r="J1180" s="248"/>
      <c r="K1180" s="249"/>
      <c r="L1180" s="250" t="s">
        <v>1</v>
      </c>
      <c r="N1180" s="5" t="s">
        <v>0</v>
      </c>
      <c r="O1180" s="244" t="s">
        <v>19</v>
      </c>
      <c r="P1180" s="245"/>
      <c r="Q1180" s="245"/>
      <c r="R1180" s="245"/>
      <c r="S1180" s="246"/>
      <c r="T1180" s="247" t="s">
        <v>20</v>
      </c>
      <c r="U1180" s="248"/>
      <c r="V1180" s="248"/>
      <c r="W1180" s="248"/>
      <c r="X1180" s="249"/>
      <c r="Y1180" s="250" t="s">
        <v>1</v>
      </c>
    </row>
    <row r="1181" spans="1:27" ht="14.25" thickBot="1" x14ac:dyDescent="0.2">
      <c r="A1181" s="5" t="s">
        <v>2</v>
      </c>
      <c r="B1181" s="3" t="s">
        <v>11</v>
      </c>
      <c r="C1181" s="34" t="s">
        <v>12</v>
      </c>
      <c r="D1181" s="4" t="s">
        <v>13</v>
      </c>
      <c r="E1181" s="19" t="s">
        <v>14</v>
      </c>
      <c r="F1181" s="23" t="s">
        <v>3</v>
      </c>
      <c r="G1181" s="3" t="s">
        <v>11</v>
      </c>
      <c r="H1181" s="34" t="s">
        <v>12</v>
      </c>
      <c r="I1181" s="4" t="s">
        <v>13</v>
      </c>
      <c r="J1181" s="19" t="s">
        <v>14</v>
      </c>
      <c r="K1181" s="23" t="s">
        <v>3</v>
      </c>
      <c r="L1181" s="251"/>
      <c r="N1181" s="5" t="s">
        <v>2</v>
      </c>
      <c r="O1181" s="53" t="s">
        <v>11</v>
      </c>
      <c r="P1181" s="54" t="s">
        <v>12</v>
      </c>
      <c r="Q1181" s="55" t="s">
        <v>13</v>
      </c>
      <c r="R1181" s="56" t="s">
        <v>14</v>
      </c>
      <c r="S1181" s="23" t="s">
        <v>3</v>
      </c>
      <c r="T1181" s="3" t="s">
        <v>11</v>
      </c>
      <c r="U1181" s="34" t="s">
        <v>12</v>
      </c>
      <c r="V1181" s="4" t="s">
        <v>13</v>
      </c>
      <c r="W1181" s="19" t="s">
        <v>14</v>
      </c>
      <c r="X1181" s="23" t="s">
        <v>3</v>
      </c>
      <c r="Y1181" s="251"/>
    </row>
    <row r="1182" spans="1:27" ht="14.25" thickBot="1" x14ac:dyDescent="0.2">
      <c r="A1182" s="18" t="s">
        <v>15</v>
      </c>
      <c r="B1182" s="31">
        <f>B1176</f>
        <v>24</v>
      </c>
      <c r="C1182" s="32">
        <f>C1176</f>
        <v>20</v>
      </c>
      <c r="D1182" s="32">
        <f>D1176</f>
        <v>19</v>
      </c>
      <c r="E1182" s="33">
        <f>E1176</f>
        <v>21</v>
      </c>
      <c r="F1182" s="86">
        <f>SUM(B1182:E1182)</f>
        <v>84</v>
      </c>
      <c r="G1182" s="31">
        <f>G1176</f>
        <v>4</v>
      </c>
      <c r="H1182" s="32">
        <f>H1176</f>
        <v>2</v>
      </c>
      <c r="I1182" s="32">
        <f>I1176</f>
        <v>13</v>
      </c>
      <c r="J1182" s="33">
        <f>J1176</f>
        <v>27</v>
      </c>
      <c r="K1182" s="80">
        <f>SUM(G1182:J1182)</f>
        <v>46</v>
      </c>
      <c r="L1182" s="17">
        <f>F1182+K1182</f>
        <v>130</v>
      </c>
      <c r="N1182" s="18" t="s">
        <v>15</v>
      </c>
      <c r="O1182" s="31">
        <f>O1176</f>
        <v>387</v>
      </c>
      <c r="P1182" s="32">
        <f t="shared" ref="P1182:Y1182" si="989">P1176</f>
        <v>465</v>
      </c>
      <c r="Q1182" s="32">
        <f t="shared" si="989"/>
        <v>172</v>
      </c>
      <c r="R1182" s="33">
        <f t="shared" si="989"/>
        <v>164</v>
      </c>
      <c r="S1182" s="86">
        <f t="shared" si="989"/>
        <v>1188</v>
      </c>
      <c r="T1182" s="31">
        <f t="shared" si="989"/>
        <v>197</v>
      </c>
      <c r="U1182" s="32">
        <f t="shared" si="989"/>
        <v>253</v>
      </c>
      <c r="V1182" s="32">
        <f t="shared" si="989"/>
        <v>99</v>
      </c>
      <c r="W1182" s="33">
        <f t="shared" si="989"/>
        <v>163</v>
      </c>
      <c r="X1182" s="80">
        <f t="shared" si="989"/>
        <v>712</v>
      </c>
      <c r="Y1182" s="17">
        <f t="shared" si="989"/>
        <v>1900</v>
      </c>
    </row>
    <row r="1183" spans="1:27" x14ac:dyDescent="0.15">
      <c r="A1183" s="13" t="s">
        <v>698</v>
      </c>
      <c r="B1183" s="20"/>
      <c r="C1183" s="35"/>
      <c r="D1183" s="21"/>
      <c r="E1183" s="24">
        <v>1</v>
      </c>
      <c r="F1183" s="25">
        <f t="shared" ref="F1183:F1186" si="990">SUM(B1183:E1183)</f>
        <v>1</v>
      </c>
      <c r="G1183" s="20"/>
      <c r="H1183" s="35"/>
      <c r="I1183" s="21"/>
      <c r="J1183" s="24"/>
      <c r="K1183" s="25">
        <f t="shared" ref="K1183:K1186" si="991">SUM(G1183:J1183)</f>
        <v>0</v>
      </c>
      <c r="L1183" s="11">
        <f t="shared" ref="L1183:L1214" si="992">F1183+K1183</f>
        <v>1</v>
      </c>
      <c r="M1183" s="69">
        <v>45729</v>
      </c>
      <c r="N1183" s="59" t="s">
        <v>681</v>
      </c>
      <c r="O1183" s="48"/>
      <c r="P1183" s="49"/>
      <c r="Q1183" s="50"/>
      <c r="R1183" s="51"/>
      <c r="S1183" s="85">
        <f t="shared" ref="S1183:S1185" si="993">SUM(O1183:R1183)</f>
        <v>0</v>
      </c>
      <c r="T1183" s="48"/>
      <c r="U1183" s="49"/>
      <c r="V1183" s="50">
        <v>150</v>
      </c>
      <c r="W1183" s="51"/>
      <c r="X1183" s="74">
        <f t="shared" ref="X1183:X1185" si="994">SUM(T1183:W1183)</f>
        <v>150</v>
      </c>
      <c r="Y1183" s="11">
        <f t="shared" ref="Y1183:Y1212" si="995">S1183+X1183</f>
        <v>150</v>
      </c>
      <c r="Z1183" s="69" t="s">
        <v>711</v>
      </c>
      <c r="AA1183" s="62"/>
    </row>
    <row r="1184" spans="1:27" x14ac:dyDescent="0.15">
      <c r="A1184" s="13" t="s">
        <v>5</v>
      </c>
      <c r="B1184" s="20">
        <v>5</v>
      </c>
      <c r="C1184" s="35">
        <v>10</v>
      </c>
      <c r="D1184" s="21">
        <v>10</v>
      </c>
      <c r="E1184" s="24">
        <v>10</v>
      </c>
      <c r="F1184" s="25">
        <f t="shared" si="990"/>
        <v>35</v>
      </c>
      <c r="G1184" s="20">
        <v>25</v>
      </c>
      <c r="H1184" s="35">
        <v>30</v>
      </c>
      <c r="I1184" s="21">
        <v>20</v>
      </c>
      <c r="J1184" s="24">
        <v>5</v>
      </c>
      <c r="K1184" s="25">
        <f t="shared" si="991"/>
        <v>80</v>
      </c>
      <c r="L1184" s="11">
        <f t="shared" si="992"/>
        <v>115</v>
      </c>
      <c r="M1184" s="69">
        <v>45727</v>
      </c>
      <c r="N1184" s="59" t="s">
        <v>4</v>
      </c>
      <c r="O1184" s="48"/>
      <c r="P1184" s="49"/>
      <c r="Q1184" s="50"/>
      <c r="R1184" s="51"/>
      <c r="S1184" s="85">
        <f t="shared" si="993"/>
        <v>0</v>
      </c>
      <c r="T1184" s="48"/>
      <c r="U1184" s="49"/>
      <c r="V1184" s="50">
        <v>-150</v>
      </c>
      <c r="W1184" s="51"/>
      <c r="X1184" s="74">
        <f t="shared" si="994"/>
        <v>-150</v>
      </c>
      <c r="Y1184" s="11">
        <f t="shared" si="995"/>
        <v>-150</v>
      </c>
      <c r="Z1184" s="41" t="s">
        <v>692</v>
      </c>
      <c r="AA1184" s="162"/>
    </row>
    <row r="1185" spans="1:27" x14ac:dyDescent="0.15">
      <c r="A1185" s="13" t="s">
        <v>296</v>
      </c>
      <c r="B1185" s="20"/>
      <c r="C1185" s="35"/>
      <c r="D1185" s="21"/>
      <c r="E1185" s="24"/>
      <c r="F1185" s="25">
        <f t="shared" si="990"/>
        <v>0</v>
      </c>
      <c r="G1185" s="20">
        <v>1</v>
      </c>
      <c r="H1185" s="35"/>
      <c r="I1185" s="21"/>
      <c r="J1185" s="24"/>
      <c r="K1185" s="25">
        <f t="shared" si="991"/>
        <v>1</v>
      </c>
      <c r="L1185" s="11">
        <f t="shared" si="992"/>
        <v>1</v>
      </c>
      <c r="M1185" s="69">
        <v>45728</v>
      </c>
      <c r="N1185" s="59" t="s">
        <v>5</v>
      </c>
      <c r="O1185" s="48">
        <v>350</v>
      </c>
      <c r="P1185" s="49">
        <v>650</v>
      </c>
      <c r="Q1185" s="50">
        <v>500</v>
      </c>
      <c r="R1185" s="51">
        <v>300</v>
      </c>
      <c r="S1185" s="85">
        <f t="shared" si="993"/>
        <v>1800</v>
      </c>
      <c r="T1185" s="48">
        <v>550</v>
      </c>
      <c r="U1185" s="49">
        <v>800</v>
      </c>
      <c r="V1185" s="50">
        <v>550</v>
      </c>
      <c r="W1185" s="51">
        <v>300</v>
      </c>
      <c r="X1185" s="74">
        <f t="shared" si="994"/>
        <v>2200</v>
      </c>
      <c r="Y1185" s="11">
        <f t="shared" si="995"/>
        <v>4000</v>
      </c>
      <c r="Z1185" s="69" t="s">
        <v>712</v>
      </c>
      <c r="AA1185" s="41"/>
    </row>
    <row r="1186" spans="1:27" ht="14.25" thickBot="1" x14ac:dyDescent="0.2">
      <c r="A1186" s="13" t="s">
        <v>702</v>
      </c>
      <c r="B1186" s="48">
        <v>4</v>
      </c>
      <c r="C1186" s="49">
        <v>4</v>
      </c>
      <c r="D1186" s="50">
        <v>9</v>
      </c>
      <c r="E1186" s="51"/>
      <c r="F1186" s="52">
        <f t="shared" si="990"/>
        <v>17</v>
      </c>
      <c r="G1186" s="48">
        <v>3</v>
      </c>
      <c r="H1186" s="49">
        <v>2</v>
      </c>
      <c r="I1186" s="50">
        <v>1</v>
      </c>
      <c r="J1186" s="51"/>
      <c r="K1186" s="52">
        <f t="shared" si="991"/>
        <v>6</v>
      </c>
      <c r="L1186" s="11">
        <f t="shared" si="992"/>
        <v>23</v>
      </c>
      <c r="M1186" s="71">
        <v>45727</v>
      </c>
      <c r="N1186" s="13" t="s">
        <v>6</v>
      </c>
      <c r="O1186" s="43"/>
      <c r="P1186" s="44"/>
      <c r="Q1186" s="45"/>
      <c r="R1186" s="46"/>
      <c r="S1186" s="58">
        <f>SUM(O1186:R1186)</f>
        <v>0</v>
      </c>
      <c r="T1186" s="35"/>
      <c r="U1186" s="35"/>
      <c r="V1186" s="21"/>
      <c r="W1186" s="38"/>
      <c r="X1186" s="10">
        <f>SUM(T1186:W1186)</f>
        <v>0</v>
      </c>
      <c r="Y1186" s="14">
        <f t="shared" si="995"/>
        <v>0</v>
      </c>
    </row>
    <row r="1187" spans="1:27" ht="14.25" thickBot="1" x14ac:dyDescent="0.2">
      <c r="A1187" s="18" t="s">
        <v>8</v>
      </c>
      <c r="B1187" s="76">
        <f t="shared" ref="B1187:K1187" si="996">SUM(B1182:B1186)</f>
        <v>33</v>
      </c>
      <c r="C1187" s="77">
        <f t="shared" si="996"/>
        <v>34</v>
      </c>
      <c r="D1187" s="78">
        <f t="shared" si="996"/>
        <v>38</v>
      </c>
      <c r="E1187" s="79">
        <f t="shared" si="996"/>
        <v>32</v>
      </c>
      <c r="F1187" s="80">
        <f t="shared" si="996"/>
        <v>137</v>
      </c>
      <c r="G1187" s="76">
        <f t="shared" si="996"/>
        <v>33</v>
      </c>
      <c r="H1187" s="77">
        <f t="shared" si="996"/>
        <v>34</v>
      </c>
      <c r="I1187" s="78">
        <f t="shared" si="996"/>
        <v>34</v>
      </c>
      <c r="J1187" s="79">
        <f t="shared" si="996"/>
        <v>32</v>
      </c>
      <c r="K1187" s="80">
        <f t="shared" si="996"/>
        <v>133</v>
      </c>
      <c r="L1187" s="17">
        <f t="shared" si="992"/>
        <v>270</v>
      </c>
      <c r="N1187" s="16" t="s">
        <v>8</v>
      </c>
      <c r="O1187" s="31">
        <f>SUM(O1182:O1186)</f>
        <v>737</v>
      </c>
      <c r="P1187" s="37">
        <f t="shared" ref="P1187" si="997">SUM(P1182:P1186)</f>
        <v>1115</v>
      </c>
      <c r="Q1187" s="32">
        <f t="shared" ref="Q1187" si="998">SUM(Q1182:Q1186)</f>
        <v>672</v>
      </c>
      <c r="R1187" s="82">
        <f t="shared" ref="R1187" si="999">SUM(R1182:R1186)</f>
        <v>464</v>
      </c>
      <c r="S1187" s="83">
        <f>SUM(S1182:S1186)</f>
        <v>2988</v>
      </c>
      <c r="T1187" s="31">
        <f>SUM(T1182:T1186)</f>
        <v>747</v>
      </c>
      <c r="U1187" s="37">
        <f t="shared" ref="U1187" si="1000">SUM(U1182:U1186)</f>
        <v>1053</v>
      </c>
      <c r="V1187" s="32">
        <f t="shared" ref="V1187" si="1001">SUM(V1182:V1186)</f>
        <v>649</v>
      </c>
      <c r="W1187" s="82">
        <f t="shared" ref="W1187" si="1002">SUM(W1182:W1186)</f>
        <v>463</v>
      </c>
      <c r="X1187" s="83">
        <f>SUM(X1182:X1186)</f>
        <v>2912</v>
      </c>
      <c r="Y1187" s="39">
        <f>S1187+X1187</f>
        <v>5900</v>
      </c>
    </row>
    <row r="1188" spans="1:27" x14ac:dyDescent="0.15">
      <c r="A1188" s="59" t="s">
        <v>27</v>
      </c>
      <c r="B1188" s="20">
        <v>2</v>
      </c>
      <c r="C1188" s="35">
        <v>1</v>
      </c>
      <c r="D1188" s="21"/>
      <c r="E1188" s="24"/>
      <c r="F1188" s="25">
        <f t="shared" ref="F1188:F1212" si="1003">SUM(B1188:E1188)</f>
        <v>3</v>
      </c>
      <c r="G1188" s="20">
        <v>1</v>
      </c>
      <c r="H1188" s="35">
        <f>1+3</f>
        <v>4</v>
      </c>
      <c r="I1188" s="21">
        <v>2</v>
      </c>
      <c r="J1188" s="24"/>
      <c r="K1188" s="25">
        <f t="shared" ref="K1188:K1212" si="1004">SUM(G1188:J1188)</f>
        <v>7</v>
      </c>
      <c r="L1188" s="11">
        <f t="shared" si="992"/>
        <v>10</v>
      </c>
      <c r="M1188" s="71">
        <v>45727</v>
      </c>
      <c r="N1188" s="12" t="s">
        <v>687</v>
      </c>
      <c r="O1188" s="20"/>
      <c r="P1188" s="35"/>
      <c r="Q1188" s="21"/>
      <c r="R1188" s="38"/>
      <c r="S1188" s="9">
        <f t="shared" ref="S1188" si="1005">SUM(O1188:R1188)</f>
        <v>0</v>
      </c>
      <c r="T1188" s="20"/>
      <c r="U1188" s="35"/>
      <c r="V1188" s="21">
        <v>5</v>
      </c>
      <c r="W1188" s="38"/>
      <c r="X1188" s="98">
        <f t="shared" ref="X1188" si="1006">SUM(T1188:W1188)</f>
        <v>5</v>
      </c>
      <c r="Y1188" s="11">
        <f t="shared" si="995"/>
        <v>5</v>
      </c>
      <c r="Z1188" s="69">
        <v>45721</v>
      </c>
    </row>
    <row r="1189" spans="1:27" x14ac:dyDescent="0.15">
      <c r="A1189" s="59" t="s">
        <v>701</v>
      </c>
      <c r="B1189" s="20"/>
      <c r="C1189" s="35">
        <f>1+1</f>
        <v>2</v>
      </c>
      <c r="D1189" s="21"/>
      <c r="E1189" s="24"/>
      <c r="F1189" s="25">
        <f t="shared" si="1003"/>
        <v>2</v>
      </c>
      <c r="G1189" s="20"/>
      <c r="H1189" s="35">
        <f>1+1</f>
        <v>2</v>
      </c>
      <c r="I1189" s="21"/>
      <c r="J1189" s="24"/>
      <c r="K1189" s="25">
        <f t="shared" si="1004"/>
        <v>2</v>
      </c>
      <c r="L1189" s="11">
        <f t="shared" si="992"/>
        <v>4</v>
      </c>
      <c r="M1189" s="69">
        <v>45733</v>
      </c>
      <c r="N1189" s="12" t="s">
        <v>695</v>
      </c>
      <c r="O1189" s="20">
        <v>40</v>
      </c>
      <c r="P1189" s="35">
        <v>60</v>
      </c>
      <c r="Q1189" s="21">
        <v>20</v>
      </c>
      <c r="R1189" s="38">
        <v>30</v>
      </c>
      <c r="S1189" s="9">
        <f t="shared" ref="S1189:S1201" si="1007">SUM(O1189:R1189)</f>
        <v>150</v>
      </c>
      <c r="T1189" s="20">
        <v>40</v>
      </c>
      <c r="U1189" s="35">
        <v>60</v>
      </c>
      <c r="V1189" s="21">
        <v>20</v>
      </c>
      <c r="W1189" s="38">
        <v>30</v>
      </c>
      <c r="X1189" s="9">
        <f t="shared" ref="X1189:X1201" si="1008">SUM(T1189:W1189)</f>
        <v>150</v>
      </c>
      <c r="Y1189" s="11">
        <f t="shared" si="995"/>
        <v>300</v>
      </c>
      <c r="Z1189" s="69">
        <v>45721</v>
      </c>
      <c r="AA1189" s="41"/>
    </row>
    <row r="1190" spans="1:27" x14ac:dyDescent="0.15">
      <c r="A1190" s="12" t="s">
        <v>703</v>
      </c>
      <c r="B1190" s="20">
        <v>5</v>
      </c>
      <c r="C1190" s="35"/>
      <c r="D1190" s="21">
        <v>5</v>
      </c>
      <c r="E1190" s="24"/>
      <c r="F1190" s="25">
        <f t="shared" si="1003"/>
        <v>10</v>
      </c>
      <c r="G1190" s="20">
        <v>5</v>
      </c>
      <c r="H1190" s="35"/>
      <c r="I1190" s="21">
        <v>5</v>
      </c>
      <c r="J1190" s="24"/>
      <c r="K1190" s="25">
        <f t="shared" si="1004"/>
        <v>10</v>
      </c>
      <c r="L1190" s="11">
        <f t="shared" si="992"/>
        <v>20</v>
      </c>
      <c r="M1190" s="69">
        <v>45730</v>
      </c>
      <c r="N1190" s="12" t="s">
        <v>696</v>
      </c>
      <c r="O1190" s="20">
        <v>15</v>
      </c>
      <c r="P1190" s="35"/>
      <c r="Q1190" s="21">
        <v>30</v>
      </c>
      <c r="R1190" s="38">
        <v>15</v>
      </c>
      <c r="S1190" s="9">
        <f t="shared" si="1007"/>
        <v>60</v>
      </c>
      <c r="T1190" s="20">
        <v>15</v>
      </c>
      <c r="U1190" s="35"/>
      <c r="V1190" s="21">
        <v>30</v>
      </c>
      <c r="W1190" s="38">
        <v>15</v>
      </c>
      <c r="X1190" s="9">
        <f t="shared" si="1008"/>
        <v>60</v>
      </c>
      <c r="Y1190" s="11">
        <f t="shared" si="995"/>
        <v>120</v>
      </c>
      <c r="Z1190" s="69">
        <v>45729</v>
      </c>
      <c r="AA1190" s="41"/>
    </row>
    <row r="1191" spans="1:27" x14ac:dyDescent="0.15">
      <c r="A1191" s="59" t="s">
        <v>27</v>
      </c>
      <c r="B1191" s="20">
        <v>1</v>
      </c>
      <c r="C1191" s="35"/>
      <c r="D1191" s="21">
        <v>1</v>
      </c>
      <c r="E1191" s="24"/>
      <c r="F1191" s="25">
        <f t="shared" si="1003"/>
        <v>2</v>
      </c>
      <c r="G1191" s="20">
        <v>1</v>
      </c>
      <c r="H1191" s="35"/>
      <c r="I1191" s="21">
        <v>1</v>
      </c>
      <c r="J1191" s="24"/>
      <c r="K1191" s="25">
        <f t="shared" si="1004"/>
        <v>2</v>
      </c>
      <c r="L1191" s="11">
        <f t="shared" si="992"/>
        <v>4</v>
      </c>
      <c r="M1191" s="69">
        <v>45728</v>
      </c>
      <c r="N1191" s="12" t="s">
        <v>697</v>
      </c>
      <c r="O1191" s="20">
        <v>20</v>
      </c>
      <c r="P1191" s="35"/>
      <c r="Q1191" s="21"/>
      <c r="R1191" s="38">
        <v>10</v>
      </c>
      <c r="S1191" s="9">
        <f t="shared" si="1007"/>
        <v>30</v>
      </c>
      <c r="T1191" s="20">
        <v>20</v>
      </c>
      <c r="U1191" s="35"/>
      <c r="V1191" s="21"/>
      <c r="W1191" s="38">
        <v>10</v>
      </c>
      <c r="X1191" s="9">
        <f t="shared" si="1008"/>
        <v>30</v>
      </c>
      <c r="Y1191" s="11">
        <f t="shared" si="995"/>
        <v>60</v>
      </c>
      <c r="Z1191" s="69">
        <v>45723</v>
      </c>
      <c r="AA1191" s="41"/>
    </row>
    <row r="1192" spans="1:27" x14ac:dyDescent="0.15">
      <c r="A1192" s="59" t="s">
        <v>27</v>
      </c>
      <c r="B1192" s="20"/>
      <c r="C1192" s="35"/>
      <c r="D1192" s="21"/>
      <c r="E1192" s="24">
        <v>1</v>
      </c>
      <c r="F1192" s="25">
        <f t="shared" si="1003"/>
        <v>1</v>
      </c>
      <c r="G1192" s="20"/>
      <c r="H1192" s="35"/>
      <c r="I1192" s="21"/>
      <c r="J1192" s="24">
        <v>1</v>
      </c>
      <c r="K1192" s="25">
        <f t="shared" si="1004"/>
        <v>1</v>
      </c>
      <c r="L1192" s="11">
        <f t="shared" si="992"/>
        <v>2</v>
      </c>
      <c r="M1192" s="69">
        <v>45729</v>
      </c>
      <c r="N1192" s="40" t="s">
        <v>26</v>
      </c>
      <c r="O1192" s="20">
        <v>5</v>
      </c>
      <c r="P1192" s="35">
        <v>10</v>
      </c>
      <c r="Q1192" s="21">
        <v>10</v>
      </c>
      <c r="R1192" s="38">
        <v>10</v>
      </c>
      <c r="S1192" s="9">
        <f t="shared" si="1007"/>
        <v>35</v>
      </c>
      <c r="T1192" s="20">
        <v>25</v>
      </c>
      <c r="U1192" s="35">
        <v>30</v>
      </c>
      <c r="V1192" s="21">
        <v>20</v>
      </c>
      <c r="W1192" s="38">
        <v>5</v>
      </c>
      <c r="X1192" s="9">
        <f t="shared" si="1008"/>
        <v>80</v>
      </c>
      <c r="Y1192" s="11">
        <f t="shared" si="995"/>
        <v>115</v>
      </c>
      <c r="Z1192" s="69">
        <v>45727</v>
      </c>
    </row>
    <row r="1193" spans="1:27" x14ac:dyDescent="0.15">
      <c r="A1193" s="59" t="s">
        <v>27</v>
      </c>
      <c r="B1193" s="20"/>
      <c r="C1193" s="35"/>
      <c r="D1193" s="21">
        <v>1</v>
      </c>
      <c r="E1193" s="24"/>
      <c r="F1193" s="25">
        <f t="shared" si="1003"/>
        <v>1</v>
      </c>
      <c r="G1193" s="20">
        <v>2</v>
      </c>
      <c r="H1193" s="35"/>
      <c r="I1193" s="21">
        <v>1</v>
      </c>
      <c r="J1193" s="24"/>
      <c r="K1193" s="25">
        <f t="shared" si="1004"/>
        <v>3</v>
      </c>
      <c r="L1193" s="11">
        <f t="shared" si="992"/>
        <v>4</v>
      </c>
      <c r="M1193" s="69">
        <v>45731</v>
      </c>
      <c r="N1193" s="12" t="s">
        <v>700</v>
      </c>
      <c r="O1193" s="20">
        <v>10</v>
      </c>
      <c r="P1193" s="35">
        <v>25</v>
      </c>
      <c r="Q1193" s="21">
        <v>10</v>
      </c>
      <c r="R1193" s="38">
        <v>5</v>
      </c>
      <c r="S1193" s="9">
        <f t="shared" si="1007"/>
        <v>50</v>
      </c>
      <c r="T1193" s="20">
        <v>10</v>
      </c>
      <c r="U1193" s="35">
        <v>25</v>
      </c>
      <c r="V1193" s="21">
        <v>10</v>
      </c>
      <c r="W1193" s="38">
        <v>5</v>
      </c>
      <c r="X1193" s="9">
        <f t="shared" si="1008"/>
        <v>50</v>
      </c>
      <c r="Y1193" s="11">
        <f t="shared" si="995"/>
        <v>100</v>
      </c>
      <c r="Z1193" s="69">
        <v>45729</v>
      </c>
    </row>
    <row r="1194" spans="1:27" x14ac:dyDescent="0.15">
      <c r="A1194" s="59" t="s">
        <v>27</v>
      </c>
      <c r="B1194" s="20">
        <v>1</v>
      </c>
      <c r="C1194" s="35">
        <f>1+2</f>
        <v>3</v>
      </c>
      <c r="D1194" s="21"/>
      <c r="E1194" s="24"/>
      <c r="F1194" s="25">
        <f t="shared" si="1003"/>
        <v>4</v>
      </c>
      <c r="G1194" s="20"/>
      <c r="H1194" s="35">
        <f>1+2</f>
        <v>3</v>
      </c>
      <c r="I1194" s="21">
        <v>2</v>
      </c>
      <c r="J1194" s="24"/>
      <c r="K1194" s="25">
        <f t="shared" si="1004"/>
        <v>5</v>
      </c>
      <c r="L1194" s="11">
        <f t="shared" si="992"/>
        <v>9</v>
      </c>
      <c r="M1194" s="71">
        <v>45733</v>
      </c>
      <c r="N1194" s="12" t="s">
        <v>704</v>
      </c>
      <c r="O1194" s="20">
        <v>3</v>
      </c>
      <c r="P1194" s="35">
        <v>35</v>
      </c>
      <c r="Q1194" s="21"/>
      <c r="R1194" s="38">
        <v>5</v>
      </c>
      <c r="S1194" s="9">
        <f t="shared" si="1007"/>
        <v>43</v>
      </c>
      <c r="T1194" s="20">
        <v>3</v>
      </c>
      <c r="U1194" s="35">
        <v>35</v>
      </c>
      <c r="V1194" s="21"/>
      <c r="W1194" s="38">
        <v>5</v>
      </c>
      <c r="X1194" s="9">
        <f t="shared" si="1008"/>
        <v>43</v>
      </c>
      <c r="Y1194" s="11">
        <f t="shared" si="995"/>
        <v>86</v>
      </c>
      <c r="Z1194" s="69">
        <v>45735</v>
      </c>
    </row>
    <row r="1195" spans="1:27" x14ac:dyDescent="0.15">
      <c r="A1195" s="59" t="s">
        <v>27</v>
      </c>
      <c r="B1195" s="20"/>
      <c r="C1195" s="35"/>
      <c r="D1195" s="21"/>
      <c r="E1195" s="24"/>
      <c r="F1195" s="25">
        <f t="shared" si="1003"/>
        <v>0</v>
      </c>
      <c r="G1195" s="20"/>
      <c r="H1195" s="35"/>
      <c r="I1195" s="21">
        <v>1</v>
      </c>
      <c r="J1195" s="24"/>
      <c r="K1195" s="25">
        <f t="shared" si="1004"/>
        <v>1</v>
      </c>
      <c r="L1195" s="11">
        <f t="shared" si="992"/>
        <v>1</v>
      </c>
      <c r="M1195" s="71">
        <v>45734</v>
      </c>
      <c r="N1195" s="12" t="s">
        <v>705</v>
      </c>
      <c r="O1195" s="20"/>
      <c r="P1195" s="35"/>
      <c r="Q1195" s="21">
        <v>2</v>
      </c>
      <c r="R1195" s="38"/>
      <c r="S1195" s="9">
        <f t="shared" si="1007"/>
        <v>2</v>
      </c>
      <c r="T1195" s="20">
        <v>2</v>
      </c>
      <c r="U1195" s="35"/>
      <c r="V1195" s="21">
        <v>5</v>
      </c>
      <c r="W1195" s="38"/>
      <c r="X1195" s="9">
        <f t="shared" si="1008"/>
        <v>7</v>
      </c>
      <c r="Y1195" s="11">
        <f t="shared" si="995"/>
        <v>9</v>
      </c>
      <c r="Z1195" s="69">
        <v>45734</v>
      </c>
    </row>
    <row r="1196" spans="1:27" x14ac:dyDescent="0.15">
      <c r="A1196" s="59" t="s">
        <v>421</v>
      </c>
      <c r="B1196" s="20"/>
      <c r="C1196" s="35">
        <v>1</v>
      </c>
      <c r="D1196" s="21">
        <v>2</v>
      </c>
      <c r="E1196" s="24"/>
      <c r="F1196" s="25">
        <f t="shared" si="1003"/>
        <v>3</v>
      </c>
      <c r="G1196" s="20"/>
      <c r="H1196" s="35">
        <v>2</v>
      </c>
      <c r="I1196" s="21">
        <v>2</v>
      </c>
      <c r="J1196" s="24">
        <v>1</v>
      </c>
      <c r="K1196" s="25">
        <f t="shared" si="1004"/>
        <v>5</v>
      </c>
      <c r="L1196" s="11">
        <f t="shared" si="992"/>
        <v>8</v>
      </c>
      <c r="M1196" s="69">
        <v>45736</v>
      </c>
      <c r="N1196" s="12" t="s">
        <v>706</v>
      </c>
      <c r="O1196" s="20"/>
      <c r="P1196" s="35">
        <v>1</v>
      </c>
      <c r="Q1196" s="21"/>
      <c r="R1196" s="38"/>
      <c r="S1196" s="9">
        <f t="shared" si="1007"/>
        <v>1</v>
      </c>
      <c r="T1196" s="20"/>
      <c r="U1196" s="35">
        <v>1</v>
      </c>
      <c r="V1196" s="21"/>
      <c r="W1196" s="38"/>
      <c r="X1196" s="9">
        <f t="shared" si="1008"/>
        <v>1</v>
      </c>
      <c r="Y1196" s="11">
        <f t="shared" si="995"/>
        <v>2</v>
      </c>
      <c r="Z1196" s="69">
        <v>45740</v>
      </c>
    </row>
    <row r="1197" spans="1:27" x14ac:dyDescent="0.15">
      <c r="A1197" s="59" t="s">
        <v>27</v>
      </c>
      <c r="B1197" s="20">
        <v>2</v>
      </c>
      <c r="C1197" s="35">
        <v>1</v>
      </c>
      <c r="D1197" s="21"/>
      <c r="E1197" s="24"/>
      <c r="F1197" s="25">
        <f t="shared" si="1003"/>
        <v>3</v>
      </c>
      <c r="G1197" s="20"/>
      <c r="H1197" s="35"/>
      <c r="I1197" s="21"/>
      <c r="J1197" s="24"/>
      <c r="K1197" s="25">
        <f t="shared" si="1004"/>
        <v>0</v>
      </c>
      <c r="L1197" s="11">
        <f t="shared" si="992"/>
        <v>3</v>
      </c>
      <c r="M1197" s="69">
        <v>45735</v>
      </c>
      <c r="N1197" s="12" t="s">
        <v>707</v>
      </c>
      <c r="O1197" s="20">
        <v>12</v>
      </c>
      <c r="P1197" s="35">
        <v>10</v>
      </c>
      <c r="Q1197" s="21"/>
      <c r="R1197" s="38">
        <v>5</v>
      </c>
      <c r="S1197" s="9">
        <f t="shared" si="1007"/>
        <v>27</v>
      </c>
      <c r="T1197" s="20">
        <v>12</v>
      </c>
      <c r="U1197" s="35">
        <v>10</v>
      </c>
      <c r="V1197" s="21"/>
      <c r="W1197" s="38">
        <v>5</v>
      </c>
      <c r="X1197" s="9">
        <f t="shared" si="1008"/>
        <v>27</v>
      </c>
      <c r="Y1197" s="11">
        <f t="shared" si="995"/>
        <v>54</v>
      </c>
      <c r="Z1197" s="69">
        <v>45741</v>
      </c>
    </row>
    <row r="1198" spans="1:27" x14ac:dyDescent="0.15">
      <c r="A1198" s="59" t="s">
        <v>27</v>
      </c>
      <c r="B1198" s="20"/>
      <c r="C1198" s="35">
        <v>1</v>
      </c>
      <c r="D1198" s="21"/>
      <c r="E1198" s="24">
        <v>1</v>
      </c>
      <c r="F1198" s="25">
        <f t="shared" si="1003"/>
        <v>2</v>
      </c>
      <c r="G1198" s="20"/>
      <c r="H1198" s="35">
        <f>2+1</f>
        <v>3</v>
      </c>
      <c r="I1198" s="21"/>
      <c r="J1198" s="24">
        <v>1</v>
      </c>
      <c r="K1198" s="25">
        <f t="shared" si="1004"/>
        <v>4</v>
      </c>
      <c r="L1198" s="11">
        <f t="shared" si="992"/>
        <v>6</v>
      </c>
      <c r="M1198" s="71">
        <v>45737</v>
      </c>
      <c r="N1198" s="12" t="s">
        <v>703</v>
      </c>
      <c r="O1198" s="20">
        <v>15</v>
      </c>
      <c r="P1198" s="35">
        <v>20</v>
      </c>
      <c r="Q1198" s="21">
        <v>20</v>
      </c>
      <c r="R1198" s="38">
        <v>15</v>
      </c>
      <c r="S1198" s="9">
        <f t="shared" si="1007"/>
        <v>70</v>
      </c>
      <c r="T1198" s="20">
        <v>15</v>
      </c>
      <c r="U1198" s="35">
        <v>20</v>
      </c>
      <c r="V1198" s="21">
        <v>20</v>
      </c>
      <c r="W1198" s="38">
        <v>15</v>
      </c>
      <c r="X1198" s="9">
        <f t="shared" si="1008"/>
        <v>70</v>
      </c>
      <c r="Y1198" s="11">
        <f t="shared" si="995"/>
        <v>140</v>
      </c>
      <c r="Z1198" s="69">
        <v>45741</v>
      </c>
      <c r="AA1198" s="41"/>
    </row>
    <row r="1199" spans="1:27" x14ac:dyDescent="0.15">
      <c r="A1199" s="59" t="s">
        <v>27</v>
      </c>
      <c r="B1199" s="20"/>
      <c r="C1199" s="35"/>
      <c r="D1199" s="21">
        <f>1+1</f>
        <v>2</v>
      </c>
      <c r="E1199" s="24"/>
      <c r="F1199" s="25">
        <f t="shared" si="1003"/>
        <v>2</v>
      </c>
      <c r="G1199" s="20"/>
      <c r="H1199" s="35">
        <v>1</v>
      </c>
      <c r="I1199" s="21">
        <f>1+3</f>
        <v>4</v>
      </c>
      <c r="J1199" s="24">
        <f>1+1</f>
        <v>2</v>
      </c>
      <c r="K1199" s="25">
        <f t="shared" si="1004"/>
        <v>7</v>
      </c>
      <c r="L1199" s="11">
        <f t="shared" si="992"/>
        <v>9</v>
      </c>
      <c r="M1199" s="71">
        <v>45740</v>
      </c>
      <c r="N1199" s="12" t="s">
        <v>708</v>
      </c>
      <c r="O1199" s="20">
        <v>15</v>
      </c>
      <c r="P1199" s="35">
        <v>5</v>
      </c>
      <c r="Q1199" s="21"/>
      <c r="R1199" s="38">
        <v>3</v>
      </c>
      <c r="S1199" s="9">
        <f t="shared" si="1007"/>
        <v>23</v>
      </c>
      <c r="T1199" s="20">
        <v>15</v>
      </c>
      <c r="U1199" s="35">
        <v>5</v>
      </c>
      <c r="V1199" s="21"/>
      <c r="W1199" s="38">
        <v>3</v>
      </c>
      <c r="X1199" s="9">
        <f t="shared" si="1008"/>
        <v>23</v>
      </c>
      <c r="Y1199" s="11">
        <f t="shared" si="995"/>
        <v>46</v>
      </c>
      <c r="Z1199" s="69">
        <v>45758</v>
      </c>
      <c r="AA1199" s="41"/>
    </row>
    <row r="1200" spans="1:27" x14ac:dyDescent="0.15">
      <c r="A1200" s="59" t="s">
        <v>27</v>
      </c>
      <c r="B1200" s="20">
        <v>2</v>
      </c>
      <c r="C1200" s="35"/>
      <c r="D1200" s="21"/>
      <c r="E1200" s="24"/>
      <c r="F1200" s="25">
        <f t="shared" si="1003"/>
        <v>2</v>
      </c>
      <c r="G1200" s="20">
        <v>3</v>
      </c>
      <c r="H1200" s="35"/>
      <c r="I1200" s="21"/>
      <c r="J1200" s="24">
        <v>4</v>
      </c>
      <c r="K1200" s="25">
        <f t="shared" si="1004"/>
        <v>7</v>
      </c>
      <c r="L1200" s="11">
        <f t="shared" si="992"/>
        <v>9</v>
      </c>
      <c r="M1200" s="71">
        <v>45741</v>
      </c>
      <c r="N1200" s="12" t="s">
        <v>709</v>
      </c>
      <c r="O1200" s="20"/>
      <c r="P1200" s="35"/>
      <c r="Q1200" s="21"/>
      <c r="R1200" s="38">
        <v>5</v>
      </c>
      <c r="S1200" s="9">
        <f t="shared" si="1007"/>
        <v>5</v>
      </c>
      <c r="T1200" s="20"/>
      <c r="U1200" s="35"/>
      <c r="V1200" s="21"/>
      <c r="W1200" s="38"/>
      <c r="X1200" s="9">
        <f t="shared" si="1008"/>
        <v>0</v>
      </c>
      <c r="Y1200" s="11">
        <f t="shared" si="995"/>
        <v>5</v>
      </c>
      <c r="Z1200" s="69">
        <v>45755</v>
      </c>
      <c r="AA1200" s="41"/>
    </row>
    <row r="1201" spans="1:28" x14ac:dyDescent="0.15">
      <c r="A1201" s="59" t="s">
        <v>27</v>
      </c>
      <c r="B1201" s="20">
        <v>2</v>
      </c>
      <c r="C1201" s="35">
        <v>2</v>
      </c>
      <c r="D1201" s="21">
        <v>2</v>
      </c>
      <c r="E1201" s="24"/>
      <c r="F1201" s="25">
        <f t="shared" si="1003"/>
        <v>6</v>
      </c>
      <c r="G1201" s="20">
        <v>2</v>
      </c>
      <c r="H1201" s="35">
        <v>4</v>
      </c>
      <c r="I1201" s="21">
        <v>5</v>
      </c>
      <c r="J1201" s="24"/>
      <c r="K1201" s="25">
        <f t="shared" si="1004"/>
        <v>11</v>
      </c>
      <c r="L1201" s="11">
        <f t="shared" si="992"/>
        <v>17</v>
      </c>
      <c r="M1201" s="71">
        <v>45742</v>
      </c>
      <c r="N1201" s="40" t="s">
        <v>26</v>
      </c>
      <c r="O1201" s="20">
        <v>15</v>
      </c>
      <c r="P1201" s="35">
        <v>10</v>
      </c>
      <c r="Q1201" s="21">
        <v>5</v>
      </c>
      <c r="R1201" s="38"/>
      <c r="S1201" s="9">
        <f t="shared" si="1007"/>
        <v>30</v>
      </c>
      <c r="T1201" s="20">
        <v>10</v>
      </c>
      <c r="U1201" s="35">
        <v>15</v>
      </c>
      <c r="V1201" s="21">
        <v>20</v>
      </c>
      <c r="W1201" s="38">
        <v>5</v>
      </c>
      <c r="X1201" s="9">
        <f t="shared" si="1008"/>
        <v>50</v>
      </c>
      <c r="Y1201" s="11">
        <f t="shared" si="995"/>
        <v>80</v>
      </c>
      <c r="Z1201" s="69">
        <v>45744</v>
      </c>
      <c r="AA1201" s="41"/>
    </row>
    <row r="1202" spans="1:28" x14ac:dyDescent="0.15">
      <c r="A1202" s="59" t="s">
        <v>27</v>
      </c>
      <c r="B1202" s="20"/>
      <c r="C1202" s="35"/>
      <c r="D1202" s="21"/>
      <c r="E1202" s="24">
        <v>1</v>
      </c>
      <c r="F1202" s="25">
        <f t="shared" si="1003"/>
        <v>1</v>
      </c>
      <c r="G1202" s="20"/>
      <c r="H1202" s="35"/>
      <c r="I1202" s="21"/>
      <c r="J1202" s="24"/>
      <c r="K1202" s="25">
        <f t="shared" si="1004"/>
        <v>0</v>
      </c>
      <c r="L1202" s="11">
        <f t="shared" si="992"/>
        <v>1</v>
      </c>
      <c r="M1202" s="71">
        <v>45743</v>
      </c>
      <c r="N1202" s="40" t="s">
        <v>710</v>
      </c>
      <c r="O1202" s="20">
        <v>9</v>
      </c>
      <c r="P1202" s="35">
        <v>5</v>
      </c>
      <c r="Q1202" s="21">
        <v>7</v>
      </c>
      <c r="R1202" s="38"/>
      <c r="S1202" s="9">
        <f t="shared" ref="S1202:S1212" si="1009">SUM(O1202:R1202)</f>
        <v>21</v>
      </c>
      <c r="T1202" s="20">
        <v>7</v>
      </c>
      <c r="U1202" s="35">
        <v>10</v>
      </c>
      <c r="V1202" s="21">
        <v>8</v>
      </c>
      <c r="W1202" s="38"/>
      <c r="X1202" s="9">
        <f t="shared" ref="X1202:X1212" si="1010">SUM(T1202:W1202)</f>
        <v>25</v>
      </c>
      <c r="Y1202" s="11">
        <f t="shared" si="995"/>
        <v>46</v>
      </c>
      <c r="Z1202" s="69">
        <v>45748</v>
      </c>
      <c r="AA1202" s="41"/>
      <c r="AB1202" s="41"/>
    </row>
    <row r="1203" spans="1:28" x14ac:dyDescent="0.15">
      <c r="A1203" s="59" t="s">
        <v>27</v>
      </c>
      <c r="B1203" s="20"/>
      <c r="C1203" s="35"/>
      <c r="D1203" s="21"/>
      <c r="E1203" s="24"/>
      <c r="F1203" s="25">
        <f t="shared" si="1003"/>
        <v>0</v>
      </c>
      <c r="G1203" s="20"/>
      <c r="H1203" s="35">
        <v>2</v>
      </c>
      <c r="I1203" s="21"/>
      <c r="J1203" s="24"/>
      <c r="K1203" s="25">
        <f t="shared" si="1004"/>
        <v>2</v>
      </c>
      <c r="L1203" s="11">
        <f t="shared" si="992"/>
        <v>2</v>
      </c>
      <c r="M1203" s="71">
        <v>45744</v>
      </c>
      <c r="N1203" s="12" t="s">
        <v>714</v>
      </c>
      <c r="O1203" s="20"/>
      <c r="P1203" s="35">
        <v>5</v>
      </c>
      <c r="Q1203" s="21"/>
      <c r="R1203" s="38"/>
      <c r="S1203" s="9">
        <f t="shared" si="1009"/>
        <v>5</v>
      </c>
      <c r="T1203" s="20"/>
      <c r="U1203" s="35">
        <v>5</v>
      </c>
      <c r="V1203" s="21"/>
      <c r="W1203" s="38"/>
      <c r="X1203" s="9">
        <f t="shared" si="1010"/>
        <v>5</v>
      </c>
      <c r="Y1203" s="11">
        <f t="shared" si="995"/>
        <v>10</v>
      </c>
      <c r="Z1203" s="69">
        <v>45765</v>
      </c>
      <c r="AA1203" s="41"/>
      <c r="AB1203" s="41"/>
    </row>
    <row r="1204" spans="1:28" x14ac:dyDescent="0.15">
      <c r="A1204" s="59" t="s">
        <v>27</v>
      </c>
      <c r="B1204" s="20">
        <v>1</v>
      </c>
      <c r="C1204" s="35"/>
      <c r="D1204" s="21"/>
      <c r="E1204" s="24">
        <v>1</v>
      </c>
      <c r="F1204" s="25">
        <f t="shared" si="1003"/>
        <v>2</v>
      </c>
      <c r="G1204" s="20">
        <v>1</v>
      </c>
      <c r="H1204" s="35"/>
      <c r="I1204" s="21"/>
      <c r="J1204" s="24">
        <v>1</v>
      </c>
      <c r="K1204" s="25">
        <f t="shared" si="1004"/>
        <v>2</v>
      </c>
      <c r="L1204" s="11">
        <f t="shared" si="992"/>
        <v>4</v>
      </c>
      <c r="M1204" s="71">
        <v>45745</v>
      </c>
      <c r="N1204" s="40"/>
      <c r="O1204" s="20"/>
      <c r="P1204" s="35"/>
      <c r="Q1204" s="21"/>
      <c r="R1204" s="38"/>
      <c r="S1204" s="9">
        <f t="shared" si="1009"/>
        <v>0</v>
      </c>
      <c r="T1204" s="20"/>
      <c r="U1204" s="35"/>
      <c r="V1204" s="21"/>
      <c r="W1204" s="38"/>
      <c r="X1204" s="9">
        <f t="shared" si="1010"/>
        <v>0</v>
      </c>
      <c r="Y1204" s="11">
        <f t="shared" si="995"/>
        <v>0</v>
      </c>
      <c r="Z1204" s="162"/>
      <c r="AA1204" s="41"/>
      <c r="AB1204" s="41"/>
    </row>
    <row r="1205" spans="1:28" x14ac:dyDescent="0.15">
      <c r="A1205" s="59" t="s">
        <v>27</v>
      </c>
      <c r="B1205" s="20"/>
      <c r="C1205" s="35">
        <v>4</v>
      </c>
      <c r="D1205" s="21"/>
      <c r="E1205" s="24"/>
      <c r="F1205" s="25">
        <f t="shared" si="1003"/>
        <v>4</v>
      </c>
      <c r="G1205" s="20">
        <v>2</v>
      </c>
      <c r="H1205" s="35">
        <v>2</v>
      </c>
      <c r="I1205" s="21"/>
      <c r="J1205" s="24"/>
      <c r="K1205" s="25">
        <f t="shared" si="1004"/>
        <v>4</v>
      </c>
      <c r="L1205" s="11">
        <f t="shared" si="992"/>
        <v>8</v>
      </c>
      <c r="M1205" s="71">
        <v>45747</v>
      </c>
      <c r="N1205" s="40"/>
      <c r="O1205" s="48"/>
      <c r="P1205" s="49"/>
      <c r="Q1205" s="50"/>
      <c r="R1205" s="72"/>
      <c r="S1205" s="74">
        <f t="shared" si="1009"/>
        <v>0</v>
      </c>
      <c r="T1205" s="48"/>
      <c r="U1205" s="49"/>
      <c r="V1205" s="50"/>
      <c r="W1205" s="72"/>
      <c r="X1205" s="74">
        <f t="shared" si="1010"/>
        <v>0</v>
      </c>
      <c r="Y1205" s="11">
        <f t="shared" si="995"/>
        <v>0</v>
      </c>
    </row>
    <row r="1206" spans="1:28" x14ac:dyDescent="0.15">
      <c r="A1206" s="59" t="s">
        <v>737</v>
      </c>
      <c r="B1206" s="20">
        <v>2</v>
      </c>
      <c r="C1206" s="35">
        <v>9</v>
      </c>
      <c r="D1206" s="21"/>
      <c r="E1206" s="24">
        <v>-4</v>
      </c>
      <c r="F1206" s="25">
        <f t="shared" si="1003"/>
        <v>7</v>
      </c>
      <c r="G1206" s="20"/>
      <c r="H1206" s="35"/>
      <c r="I1206" s="21">
        <v>1</v>
      </c>
      <c r="J1206" s="24">
        <v>3</v>
      </c>
      <c r="K1206" s="25">
        <f t="shared" si="1004"/>
        <v>4</v>
      </c>
      <c r="L1206" s="11">
        <f t="shared" si="992"/>
        <v>11</v>
      </c>
      <c r="N1206" s="40"/>
      <c r="O1206" s="48"/>
      <c r="P1206" s="49"/>
      <c r="Q1206" s="50"/>
      <c r="R1206" s="72"/>
      <c r="S1206" s="74">
        <f t="shared" si="1009"/>
        <v>0</v>
      </c>
      <c r="T1206" s="48"/>
      <c r="U1206" s="49"/>
      <c r="V1206" s="50"/>
      <c r="W1206" s="72"/>
      <c r="X1206" s="74">
        <f t="shared" si="1010"/>
        <v>0</v>
      </c>
      <c r="Y1206" s="11">
        <f t="shared" si="995"/>
        <v>0</v>
      </c>
    </row>
    <row r="1207" spans="1:28" x14ac:dyDescent="0.15">
      <c r="A1207" s="59"/>
      <c r="B1207" s="20"/>
      <c r="C1207" s="35"/>
      <c r="D1207" s="21"/>
      <c r="E1207" s="24"/>
      <c r="F1207" s="25">
        <f t="shared" si="1003"/>
        <v>0</v>
      </c>
      <c r="G1207" s="20"/>
      <c r="H1207" s="35"/>
      <c r="I1207" s="21"/>
      <c r="J1207" s="24"/>
      <c r="K1207" s="25">
        <f t="shared" si="1004"/>
        <v>0</v>
      </c>
      <c r="L1207" s="11">
        <f t="shared" si="992"/>
        <v>0</v>
      </c>
      <c r="N1207" s="40"/>
      <c r="O1207" s="48"/>
      <c r="P1207" s="49"/>
      <c r="Q1207" s="50"/>
      <c r="R1207" s="72"/>
      <c r="S1207" s="74">
        <f t="shared" ref="S1207:S1208" si="1011">SUM(O1207:R1207)</f>
        <v>0</v>
      </c>
      <c r="T1207" s="48"/>
      <c r="U1207" s="49"/>
      <c r="V1207" s="50"/>
      <c r="W1207" s="72"/>
      <c r="X1207" s="74">
        <f t="shared" ref="X1207:X1208" si="1012">SUM(T1207:W1207)</f>
        <v>0</v>
      </c>
      <c r="Y1207" s="11">
        <f t="shared" ref="Y1207:Y1208" si="1013">S1207+X1207</f>
        <v>0</v>
      </c>
    </row>
    <row r="1208" spans="1:28" x14ac:dyDescent="0.15">
      <c r="A1208" s="59"/>
      <c r="B1208" s="20"/>
      <c r="C1208" s="35"/>
      <c r="D1208" s="21"/>
      <c r="E1208" s="24"/>
      <c r="F1208" s="25">
        <f t="shared" si="1003"/>
        <v>0</v>
      </c>
      <c r="G1208" s="20"/>
      <c r="H1208" s="35"/>
      <c r="I1208" s="21"/>
      <c r="J1208" s="24"/>
      <c r="K1208" s="25">
        <f t="shared" si="1004"/>
        <v>0</v>
      </c>
      <c r="L1208" s="11">
        <f t="shared" si="992"/>
        <v>0</v>
      </c>
      <c r="N1208" s="40"/>
      <c r="O1208" s="48"/>
      <c r="P1208" s="49"/>
      <c r="Q1208" s="50"/>
      <c r="R1208" s="72"/>
      <c r="S1208" s="74">
        <f t="shared" si="1011"/>
        <v>0</v>
      </c>
      <c r="T1208" s="48"/>
      <c r="U1208" s="49"/>
      <c r="V1208" s="50"/>
      <c r="W1208" s="72"/>
      <c r="X1208" s="74">
        <f t="shared" si="1012"/>
        <v>0</v>
      </c>
      <c r="Y1208" s="11">
        <f t="shared" si="1013"/>
        <v>0</v>
      </c>
    </row>
    <row r="1209" spans="1:28" x14ac:dyDescent="0.15">
      <c r="A1209" s="59"/>
      <c r="B1209" s="20"/>
      <c r="C1209" s="35"/>
      <c r="D1209" s="21"/>
      <c r="E1209" s="24"/>
      <c r="F1209" s="25">
        <f t="shared" si="1003"/>
        <v>0</v>
      </c>
      <c r="G1209" s="20"/>
      <c r="H1209" s="35"/>
      <c r="I1209" s="21"/>
      <c r="J1209" s="24"/>
      <c r="K1209" s="25">
        <f t="shared" si="1004"/>
        <v>0</v>
      </c>
      <c r="L1209" s="11">
        <f t="shared" si="992"/>
        <v>0</v>
      </c>
      <c r="N1209" s="12" t="s">
        <v>658</v>
      </c>
      <c r="O1209" s="20"/>
      <c r="P1209" s="35"/>
      <c r="Q1209" s="21"/>
      <c r="R1209" s="38"/>
      <c r="S1209" s="9">
        <f t="shared" ref="S1209" si="1014">SUM(O1209:R1209)</f>
        <v>0</v>
      </c>
      <c r="T1209" s="20"/>
      <c r="U1209" s="35"/>
      <c r="V1209" s="21"/>
      <c r="W1209" s="38"/>
      <c r="X1209" s="9">
        <f t="shared" ref="X1209" si="1015">SUM(T1209:W1209)</f>
        <v>0</v>
      </c>
      <c r="Y1209" s="47">
        <f t="shared" ref="Y1209" si="1016">S1209+X1209</f>
        <v>0</v>
      </c>
      <c r="Z1209" s="162" t="s">
        <v>579</v>
      </c>
    </row>
    <row r="1210" spans="1:28" x14ac:dyDescent="0.15">
      <c r="A1210" s="59"/>
      <c r="B1210" s="20"/>
      <c r="C1210" s="35"/>
      <c r="D1210" s="21"/>
      <c r="E1210" s="24"/>
      <c r="F1210" s="25">
        <f t="shared" si="1003"/>
        <v>0</v>
      </c>
      <c r="G1210" s="20"/>
      <c r="H1210" s="35"/>
      <c r="I1210" s="21"/>
      <c r="J1210" s="24"/>
      <c r="K1210" s="25">
        <f t="shared" si="1004"/>
        <v>0</v>
      </c>
      <c r="L1210" s="11">
        <f t="shared" si="992"/>
        <v>0</v>
      </c>
      <c r="N1210" s="40" t="s">
        <v>672</v>
      </c>
      <c r="O1210" s="48"/>
      <c r="P1210" s="49"/>
      <c r="Q1210" s="50"/>
      <c r="R1210" s="174"/>
      <c r="S1210" s="74">
        <f t="shared" ref="S1210" si="1017">SUM(O1210:R1210)</f>
        <v>0</v>
      </c>
      <c r="T1210" s="48"/>
      <c r="U1210" s="49"/>
      <c r="V1210" s="50"/>
      <c r="W1210" s="174"/>
      <c r="X1210" s="74">
        <f t="shared" ref="X1210" si="1018">SUM(T1210:W1210)</f>
        <v>0</v>
      </c>
      <c r="Y1210" s="11">
        <f t="shared" ref="Y1210" si="1019">S1210+X1210</f>
        <v>0</v>
      </c>
      <c r="Z1210" s="69">
        <v>45727</v>
      </c>
      <c r="AA1210" s="41"/>
    </row>
    <row r="1211" spans="1:28" x14ac:dyDescent="0.15">
      <c r="A1211" s="59"/>
      <c r="B1211" s="20"/>
      <c r="C1211" s="35"/>
      <c r="D1211" s="21"/>
      <c r="E1211" s="24"/>
      <c r="F1211" s="25">
        <f t="shared" si="1003"/>
        <v>0</v>
      </c>
      <c r="G1211" s="20"/>
      <c r="H1211" s="35"/>
      <c r="I1211" s="21"/>
      <c r="J1211" s="24"/>
      <c r="K1211" s="25">
        <f t="shared" si="1004"/>
        <v>0</v>
      </c>
      <c r="L1211" s="11">
        <f t="shared" si="992"/>
        <v>0</v>
      </c>
      <c r="N1211" s="137" t="s">
        <v>618</v>
      </c>
      <c r="O1211" s="154"/>
      <c r="P1211" s="156"/>
      <c r="Q1211" s="155"/>
      <c r="R1211" s="159"/>
      <c r="S1211" s="158">
        <f t="shared" si="1009"/>
        <v>0</v>
      </c>
      <c r="T1211" s="154"/>
      <c r="U1211" s="156"/>
      <c r="V1211" s="155"/>
      <c r="W1211" s="159"/>
      <c r="X1211" s="158">
        <f t="shared" si="1010"/>
        <v>0</v>
      </c>
      <c r="Y1211" s="160">
        <f t="shared" si="995"/>
        <v>0</v>
      </c>
      <c r="Z1211" s="162"/>
    </row>
    <row r="1212" spans="1:28" ht="14.25" thickBot="1" x14ac:dyDescent="0.2">
      <c r="A1212" s="15"/>
      <c r="B1212" s="43"/>
      <c r="C1212" s="44"/>
      <c r="D1212" s="45"/>
      <c r="E1212" s="46"/>
      <c r="F1212" s="25">
        <f t="shared" si="1003"/>
        <v>0</v>
      </c>
      <c r="G1212" s="43"/>
      <c r="H1212" s="44"/>
      <c r="I1212" s="45"/>
      <c r="J1212" s="46"/>
      <c r="K1212" s="25">
        <f t="shared" si="1004"/>
        <v>0</v>
      </c>
      <c r="L1212" s="14">
        <f t="shared" si="992"/>
        <v>0</v>
      </c>
      <c r="N1212" s="99" t="s">
        <v>617</v>
      </c>
      <c r="O1212" s="43"/>
      <c r="P1212" s="44"/>
      <c r="Q1212" s="45"/>
      <c r="R1212" s="100"/>
      <c r="S1212" s="10">
        <f t="shared" si="1009"/>
        <v>0</v>
      </c>
      <c r="T1212" s="43"/>
      <c r="U1212" s="44"/>
      <c r="V1212" s="45"/>
      <c r="W1212" s="100"/>
      <c r="X1212" s="10">
        <f t="shared" si="1010"/>
        <v>0</v>
      </c>
      <c r="Y1212" s="75">
        <f t="shared" si="995"/>
        <v>0</v>
      </c>
      <c r="Z1212" s="162" t="s">
        <v>619</v>
      </c>
    </row>
    <row r="1213" spans="1:28" ht="14.25" thickBot="1" x14ac:dyDescent="0.2">
      <c r="A1213" s="16" t="s">
        <v>9</v>
      </c>
      <c r="B1213" s="28">
        <f>SUM(B1188:B1212)</f>
        <v>18</v>
      </c>
      <c r="C1213" s="36">
        <f>SUM(C1188:C1212)</f>
        <v>24</v>
      </c>
      <c r="D1213" s="29">
        <f>SUM(D1188:D1212)</f>
        <v>13</v>
      </c>
      <c r="E1213" s="30">
        <f>SUM(E1188:E1212)</f>
        <v>0</v>
      </c>
      <c r="F1213" s="26">
        <f>SUM(B1213:E1213)</f>
        <v>55</v>
      </c>
      <c r="G1213" s="28">
        <f>SUM(G1188:G1212)</f>
        <v>17</v>
      </c>
      <c r="H1213" s="36">
        <f>SUM(H1188:H1212)</f>
        <v>23</v>
      </c>
      <c r="I1213" s="29">
        <f>SUM(I1188:I1212)</f>
        <v>24</v>
      </c>
      <c r="J1213" s="30">
        <f>SUM(J1188:J1212)</f>
        <v>13</v>
      </c>
      <c r="K1213" s="26">
        <f>SUM(G1213:J1213)</f>
        <v>77</v>
      </c>
      <c r="L1213" s="27">
        <f t="shared" si="992"/>
        <v>132</v>
      </c>
      <c r="N1213" s="61" t="s">
        <v>9</v>
      </c>
      <c r="O1213" s="28">
        <f>SUM(O1188:O1212)</f>
        <v>159</v>
      </c>
      <c r="P1213" s="36">
        <f t="shared" ref="P1213" si="1020">SUM(P1188:P1212)</f>
        <v>186</v>
      </c>
      <c r="Q1213" s="29">
        <f t="shared" ref="Q1213" si="1021">SUM(Q1188:Q1212)</f>
        <v>104</v>
      </c>
      <c r="R1213" s="30">
        <f t="shared" ref="R1213" si="1022">SUM(R1188:R1212)</f>
        <v>103</v>
      </c>
      <c r="S1213" s="60">
        <f>SUM(O1213:R1213)</f>
        <v>552</v>
      </c>
      <c r="T1213" s="28">
        <f>SUM(T1188:T1212)</f>
        <v>174</v>
      </c>
      <c r="U1213" s="36">
        <f t="shared" ref="U1213" si="1023">SUM(U1188:U1212)</f>
        <v>216</v>
      </c>
      <c r="V1213" s="29">
        <f t="shared" ref="V1213" si="1024">SUM(V1188:V1212)</f>
        <v>138</v>
      </c>
      <c r="W1213" s="30">
        <f t="shared" ref="W1213" si="1025">SUM(W1188:W1212)</f>
        <v>98</v>
      </c>
      <c r="X1213" s="60">
        <f>SUM(T1213:W1213)</f>
        <v>626</v>
      </c>
      <c r="Y1213" s="63">
        <f>S1213+X1213</f>
        <v>1178</v>
      </c>
    </row>
    <row r="1214" spans="1:28" ht="14.25" thickBot="1" x14ac:dyDescent="0.2">
      <c r="A1214" s="18" t="s">
        <v>10</v>
      </c>
      <c r="B1214" s="31">
        <f t="shared" ref="B1214:K1214" si="1026">B1187-B1213</f>
        <v>15</v>
      </c>
      <c r="C1214" s="37">
        <f t="shared" si="1026"/>
        <v>10</v>
      </c>
      <c r="D1214" s="32">
        <f t="shared" si="1026"/>
        <v>25</v>
      </c>
      <c r="E1214" s="33">
        <f t="shared" si="1026"/>
        <v>32</v>
      </c>
      <c r="F1214" s="42">
        <f t="shared" si="1026"/>
        <v>82</v>
      </c>
      <c r="G1214" s="31">
        <f t="shared" si="1026"/>
        <v>16</v>
      </c>
      <c r="H1214" s="37">
        <f t="shared" si="1026"/>
        <v>11</v>
      </c>
      <c r="I1214" s="32">
        <f t="shared" si="1026"/>
        <v>10</v>
      </c>
      <c r="J1214" s="33">
        <f t="shared" si="1026"/>
        <v>19</v>
      </c>
      <c r="K1214" s="42">
        <f t="shared" si="1026"/>
        <v>56</v>
      </c>
      <c r="L1214" s="17">
        <f t="shared" si="992"/>
        <v>138</v>
      </c>
      <c r="N1214" s="16" t="s">
        <v>10</v>
      </c>
      <c r="O1214" s="31">
        <f>O1187-O1213</f>
        <v>578</v>
      </c>
      <c r="P1214" s="37">
        <f t="shared" ref="P1214" si="1027">P1187-P1213</f>
        <v>929</v>
      </c>
      <c r="Q1214" s="32">
        <f t="shared" ref="Q1214" si="1028">Q1187-Q1213</f>
        <v>568</v>
      </c>
      <c r="R1214" s="33">
        <f t="shared" ref="R1214" si="1029">R1187-R1213</f>
        <v>361</v>
      </c>
      <c r="S1214" s="42">
        <f>S1187-S1213</f>
        <v>2436</v>
      </c>
      <c r="T1214" s="31">
        <f>T1187-T1213</f>
        <v>573</v>
      </c>
      <c r="U1214" s="37">
        <f t="shared" ref="U1214" si="1030">U1187-U1213</f>
        <v>837</v>
      </c>
      <c r="V1214" s="32">
        <f t="shared" ref="V1214" si="1031">V1187-V1213</f>
        <v>511</v>
      </c>
      <c r="W1214" s="33">
        <f t="shared" ref="W1214" si="1032">W1187-W1213</f>
        <v>365</v>
      </c>
      <c r="X1214" s="42">
        <f>X1187-X1213</f>
        <v>2286</v>
      </c>
      <c r="Y1214" s="17">
        <f>S1214+X1214</f>
        <v>4722</v>
      </c>
    </row>
    <row r="1217" spans="1:28" ht="19.5" thickBot="1" x14ac:dyDescent="0.25">
      <c r="A1217" s="2" t="s">
        <v>17</v>
      </c>
      <c r="B1217" s="2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N1217" s="2" t="s">
        <v>18</v>
      </c>
      <c r="O1217" s="87"/>
      <c r="P1217" s="87"/>
      <c r="Q1217" s="87"/>
      <c r="R1217" s="87"/>
      <c r="S1217" s="87"/>
      <c r="T1217" s="87"/>
      <c r="U1217" s="87"/>
      <c r="V1217" s="87"/>
      <c r="W1217" s="87"/>
      <c r="X1217" s="87"/>
      <c r="Y1217" s="1"/>
    </row>
    <row r="1218" spans="1:28" ht="14.25" thickBot="1" x14ac:dyDescent="0.2">
      <c r="A1218" s="5" t="s">
        <v>0</v>
      </c>
      <c r="B1218" s="244" t="s">
        <v>19</v>
      </c>
      <c r="C1218" s="245"/>
      <c r="D1218" s="245"/>
      <c r="E1218" s="245"/>
      <c r="F1218" s="246"/>
      <c r="G1218" s="247" t="s">
        <v>20</v>
      </c>
      <c r="H1218" s="248"/>
      <c r="I1218" s="248"/>
      <c r="J1218" s="248"/>
      <c r="K1218" s="249"/>
      <c r="L1218" s="250" t="s">
        <v>1</v>
      </c>
      <c r="N1218" s="5" t="s">
        <v>0</v>
      </c>
      <c r="O1218" s="244" t="s">
        <v>19</v>
      </c>
      <c r="P1218" s="245"/>
      <c r="Q1218" s="245"/>
      <c r="R1218" s="245"/>
      <c r="S1218" s="246"/>
      <c r="T1218" s="247" t="s">
        <v>20</v>
      </c>
      <c r="U1218" s="248"/>
      <c r="V1218" s="248"/>
      <c r="W1218" s="248"/>
      <c r="X1218" s="249"/>
      <c r="Y1218" s="250" t="s">
        <v>1</v>
      </c>
    </row>
    <row r="1219" spans="1:28" ht="14.25" thickBot="1" x14ac:dyDescent="0.2">
      <c r="A1219" s="5" t="s">
        <v>2</v>
      </c>
      <c r="B1219" s="3" t="s">
        <v>11</v>
      </c>
      <c r="C1219" s="34" t="s">
        <v>12</v>
      </c>
      <c r="D1219" s="4" t="s">
        <v>13</v>
      </c>
      <c r="E1219" s="19" t="s">
        <v>14</v>
      </c>
      <c r="F1219" s="23" t="s">
        <v>3</v>
      </c>
      <c r="G1219" s="3" t="s">
        <v>11</v>
      </c>
      <c r="H1219" s="34" t="s">
        <v>12</v>
      </c>
      <c r="I1219" s="4" t="s">
        <v>13</v>
      </c>
      <c r="J1219" s="19" t="s">
        <v>14</v>
      </c>
      <c r="K1219" s="23" t="s">
        <v>3</v>
      </c>
      <c r="L1219" s="251"/>
      <c r="N1219" s="5" t="s">
        <v>2</v>
      </c>
      <c r="O1219" s="53" t="s">
        <v>11</v>
      </c>
      <c r="P1219" s="54" t="s">
        <v>12</v>
      </c>
      <c r="Q1219" s="55" t="s">
        <v>13</v>
      </c>
      <c r="R1219" s="56" t="s">
        <v>14</v>
      </c>
      <c r="S1219" s="23" t="s">
        <v>3</v>
      </c>
      <c r="T1219" s="3" t="s">
        <v>11</v>
      </c>
      <c r="U1219" s="34" t="s">
        <v>12</v>
      </c>
      <c r="V1219" s="4" t="s">
        <v>13</v>
      </c>
      <c r="W1219" s="19" t="s">
        <v>14</v>
      </c>
      <c r="X1219" s="23" t="s">
        <v>3</v>
      </c>
      <c r="Y1219" s="251"/>
    </row>
    <row r="1220" spans="1:28" ht="14.25" thickBot="1" x14ac:dyDescent="0.2">
      <c r="A1220" s="18" t="s">
        <v>15</v>
      </c>
      <c r="B1220" s="31">
        <f>B1214</f>
        <v>15</v>
      </c>
      <c r="C1220" s="32">
        <f>C1214</f>
        <v>10</v>
      </c>
      <c r="D1220" s="32">
        <f>D1214</f>
        <v>25</v>
      </c>
      <c r="E1220" s="33">
        <f>E1214</f>
        <v>32</v>
      </c>
      <c r="F1220" s="86">
        <f>SUM(B1220:E1220)</f>
        <v>82</v>
      </c>
      <c r="G1220" s="31">
        <f>G1214</f>
        <v>16</v>
      </c>
      <c r="H1220" s="32">
        <f>H1214</f>
        <v>11</v>
      </c>
      <c r="I1220" s="32">
        <f>I1214</f>
        <v>10</v>
      </c>
      <c r="J1220" s="33">
        <f>J1214</f>
        <v>19</v>
      </c>
      <c r="K1220" s="80">
        <f>SUM(G1220:J1220)</f>
        <v>56</v>
      </c>
      <c r="L1220" s="17">
        <f>F1220+K1220</f>
        <v>138</v>
      </c>
      <c r="N1220" s="18" t="s">
        <v>15</v>
      </c>
      <c r="O1220" s="31">
        <f>O1214</f>
        <v>578</v>
      </c>
      <c r="P1220" s="32">
        <f t="shared" ref="P1220:Y1220" si="1033">P1214</f>
        <v>929</v>
      </c>
      <c r="Q1220" s="32">
        <f t="shared" si="1033"/>
        <v>568</v>
      </c>
      <c r="R1220" s="33">
        <f t="shared" si="1033"/>
        <v>361</v>
      </c>
      <c r="S1220" s="86">
        <f t="shared" si="1033"/>
        <v>2436</v>
      </c>
      <c r="T1220" s="31">
        <f t="shared" si="1033"/>
        <v>573</v>
      </c>
      <c r="U1220" s="32">
        <f t="shared" si="1033"/>
        <v>837</v>
      </c>
      <c r="V1220" s="32">
        <f t="shared" si="1033"/>
        <v>511</v>
      </c>
      <c r="W1220" s="33">
        <f t="shared" si="1033"/>
        <v>365</v>
      </c>
      <c r="X1220" s="80">
        <f t="shared" si="1033"/>
        <v>2286</v>
      </c>
      <c r="Y1220" s="17">
        <f t="shared" si="1033"/>
        <v>4722</v>
      </c>
    </row>
    <row r="1221" spans="1:28" x14ac:dyDescent="0.15">
      <c r="A1221" s="13" t="s">
        <v>192</v>
      </c>
      <c r="B1221" s="20"/>
      <c r="C1221" s="35"/>
      <c r="D1221" s="21">
        <v>1</v>
      </c>
      <c r="E1221" s="24"/>
      <c r="F1221" s="25">
        <f t="shared" ref="F1221:F1224" si="1034">SUM(B1221:E1221)</f>
        <v>1</v>
      </c>
      <c r="G1221" s="20"/>
      <c r="H1221" s="35"/>
      <c r="I1221" s="21"/>
      <c r="J1221" s="24">
        <v>1</v>
      </c>
      <c r="K1221" s="25">
        <f t="shared" ref="K1221:K1224" si="1035">SUM(G1221:J1221)</f>
        <v>1</v>
      </c>
      <c r="L1221" s="11">
        <f t="shared" ref="L1221:L1252" si="1036">F1221+K1221</f>
        <v>2</v>
      </c>
      <c r="M1221" s="69">
        <v>45734</v>
      </c>
      <c r="N1221" s="59" t="s">
        <v>296</v>
      </c>
      <c r="O1221" s="48">
        <v>33</v>
      </c>
      <c r="P1221" s="49">
        <v>33</v>
      </c>
      <c r="Q1221" s="50">
        <v>10</v>
      </c>
      <c r="R1221" s="51">
        <v>22</v>
      </c>
      <c r="S1221" s="85">
        <f t="shared" ref="S1221:S1222" si="1037">SUM(O1221:R1221)</f>
        <v>98</v>
      </c>
      <c r="T1221" s="48">
        <v>33</v>
      </c>
      <c r="U1221" s="49">
        <v>33</v>
      </c>
      <c r="V1221" s="50">
        <v>10</v>
      </c>
      <c r="W1221" s="51">
        <v>22</v>
      </c>
      <c r="X1221" s="74">
        <f t="shared" ref="X1221" si="1038">SUM(T1221:W1221)</f>
        <v>98</v>
      </c>
      <c r="Y1221" s="11">
        <f t="shared" ref="Y1221:Y1222" si="1039">S1221+X1221</f>
        <v>196</v>
      </c>
      <c r="Z1221" s="69">
        <v>45751</v>
      </c>
    </row>
    <row r="1222" spans="1:28" x14ac:dyDescent="0.15">
      <c r="A1222" s="13" t="s">
        <v>5</v>
      </c>
      <c r="B1222" s="20">
        <v>15</v>
      </c>
      <c r="C1222" s="35">
        <v>10</v>
      </c>
      <c r="D1222" s="21">
        <v>5</v>
      </c>
      <c r="E1222" s="24"/>
      <c r="F1222" s="25">
        <f t="shared" si="1034"/>
        <v>30</v>
      </c>
      <c r="G1222" s="20">
        <v>10</v>
      </c>
      <c r="H1222" s="35">
        <v>15</v>
      </c>
      <c r="I1222" s="21">
        <v>20</v>
      </c>
      <c r="J1222" s="24">
        <v>5</v>
      </c>
      <c r="K1222" s="25">
        <f t="shared" si="1035"/>
        <v>50</v>
      </c>
      <c r="L1222" s="11">
        <f t="shared" si="1036"/>
        <v>80</v>
      </c>
      <c r="M1222" s="69">
        <v>45744</v>
      </c>
      <c r="N1222" s="13" t="s">
        <v>296</v>
      </c>
      <c r="O1222" s="20">
        <v>9</v>
      </c>
      <c r="P1222" s="35">
        <v>3</v>
      </c>
      <c r="Q1222" s="21">
        <v>7</v>
      </c>
      <c r="R1222" s="24">
        <v>41</v>
      </c>
      <c r="S1222" s="57">
        <f t="shared" si="1037"/>
        <v>60</v>
      </c>
      <c r="T1222" s="20">
        <v>17</v>
      </c>
      <c r="U1222" s="35">
        <v>28</v>
      </c>
      <c r="V1222" s="21">
        <v>8</v>
      </c>
      <c r="W1222" s="24">
        <v>18</v>
      </c>
      <c r="X1222" s="9">
        <f>SUM(T1222:W1222)</f>
        <v>71</v>
      </c>
      <c r="Y1222" s="47">
        <f t="shared" si="1039"/>
        <v>131</v>
      </c>
      <c r="Z1222" s="69">
        <v>45751</v>
      </c>
      <c r="AA1222" s="165"/>
    </row>
    <row r="1223" spans="1:28" x14ac:dyDescent="0.15">
      <c r="A1223" s="13" t="s">
        <v>6</v>
      </c>
      <c r="B1223" s="20">
        <v>5</v>
      </c>
      <c r="C1223" s="35">
        <v>5</v>
      </c>
      <c r="D1223" s="21">
        <v>5</v>
      </c>
      <c r="E1223" s="24">
        <v>5</v>
      </c>
      <c r="F1223" s="25">
        <f t="shared" si="1034"/>
        <v>20</v>
      </c>
      <c r="G1223" s="20">
        <v>5</v>
      </c>
      <c r="H1223" s="35">
        <v>10</v>
      </c>
      <c r="I1223" s="21">
        <v>5</v>
      </c>
      <c r="J1223" s="24">
        <v>5</v>
      </c>
      <c r="K1223" s="25">
        <f t="shared" si="1035"/>
        <v>25</v>
      </c>
      <c r="L1223" s="11">
        <f t="shared" si="1036"/>
        <v>45</v>
      </c>
      <c r="M1223" s="69">
        <v>45757</v>
      </c>
      <c r="N1223" s="59" t="s">
        <v>5</v>
      </c>
      <c r="O1223" s="48"/>
      <c r="P1223" s="49"/>
      <c r="Q1223" s="50"/>
      <c r="R1223" s="51"/>
      <c r="S1223" s="85">
        <f t="shared" ref="S1223" si="1040">SUM(O1223:R1223)</f>
        <v>0</v>
      </c>
      <c r="T1223" s="48"/>
      <c r="U1223" s="49"/>
      <c r="V1223" s="50"/>
      <c r="W1223" s="51"/>
      <c r="X1223" s="74">
        <f t="shared" ref="X1223" si="1041">SUM(T1223:W1223)</f>
        <v>0</v>
      </c>
      <c r="Y1223" s="11">
        <f t="shared" ref="Y1223:Y1247" si="1042">S1223+X1223</f>
        <v>0</v>
      </c>
      <c r="Z1223" s="69"/>
      <c r="AA1223" s="41"/>
    </row>
    <row r="1224" spans="1:28" ht="14.25" thickBot="1" x14ac:dyDescent="0.2">
      <c r="A1224" s="13" t="s">
        <v>728</v>
      </c>
      <c r="B1224" s="48"/>
      <c r="C1224" s="49">
        <v>3</v>
      </c>
      <c r="D1224" s="50">
        <v>2</v>
      </c>
      <c r="E1224" s="51">
        <v>1</v>
      </c>
      <c r="F1224" s="52">
        <f t="shared" si="1034"/>
        <v>6</v>
      </c>
      <c r="G1224" s="48"/>
      <c r="H1224" s="49"/>
      <c r="I1224" s="50">
        <v>2</v>
      </c>
      <c r="J1224" s="51">
        <v>1</v>
      </c>
      <c r="K1224" s="52">
        <f t="shared" si="1035"/>
        <v>3</v>
      </c>
      <c r="L1224" s="11">
        <f t="shared" si="1036"/>
        <v>9</v>
      </c>
      <c r="M1224" s="69">
        <v>45763</v>
      </c>
      <c r="N1224" s="59" t="s">
        <v>6</v>
      </c>
      <c r="O1224" s="48"/>
      <c r="P1224" s="49"/>
      <c r="Q1224" s="50"/>
      <c r="R1224" s="51"/>
      <c r="S1224" s="85">
        <f t="shared" ref="S1224" si="1043">SUM(O1224:R1224)</f>
        <v>0</v>
      </c>
      <c r="T1224" s="48"/>
      <c r="U1224" s="49"/>
      <c r="V1224" s="50"/>
      <c r="W1224" s="51"/>
      <c r="X1224" s="10">
        <f>SUM(T1224:W1224)</f>
        <v>0</v>
      </c>
      <c r="Y1224" s="14">
        <f t="shared" si="1042"/>
        <v>0</v>
      </c>
      <c r="Z1224" s="69"/>
      <c r="AA1224" s="41"/>
    </row>
    <row r="1225" spans="1:28" ht="14.25" thickBot="1" x14ac:dyDescent="0.2">
      <c r="A1225" s="18" t="s">
        <v>8</v>
      </c>
      <c r="B1225" s="76">
        <f t="shared" ref="B1225:K1225" si="1044">SUM(B1220:B1224)</f>
        <v>35</v>
      </c>
      <c r="C1225" s="77">
        <f t="shared" si="1044"/>
        <v>28</v>
      </c>
      <c r="D1225" s="78">
        <f t="shared" si="1044"/>
        <v>38</v>
      </c>
      <c r="E1225" s="79">
        <f t="shared" si="1044"/>
        <v>38</v>
      </c>
      <c r="F1225" s="80">
        <f t="shared" si="1044"/>
        <v>139</v>
      </c>
      <c r="G1225" s="76">
        <f t="shared" si="1044"/>
        <v>31</v>
      </c>
      <c r="H1225" s="77">
        <f t="shared" si="1044"/>
        <v>36</v>
      </c>
      <c r="I1225" s="78">
        <f t="shared" si="1044"/>
        <v>37</v>
      </c>
      <c r="J1225" s="79">
        <f t="shared" si="1044"/>
        <v>31</v>
      </c>
      <c r="K1225" s="80">
        <f t="shared" si="1044"/>
        <v>135</v>
      </c>
      <c r="L1225" s="17">
        <f t="shared" si="1036"/>
        <v>274</v>
      </c>
      <c r="N1225" s="16" t="s">
        <v>8</v>
      </c>
      <c r="O1225" s="31">
        <f>SUM(O1220:O1224)</f>
        <v>620</v>
      </c>
      <c r="P1225" s="37">
        <f t="shared" ref="P1225" si="1045">SUM(P1220:P1224)</f>
        <v>965</v>
      </c>
      <c r="Q1225" s="32">
        <f t="shared" ref="Q1225" si="1046">SUM(Q1220:Q1224)</f>
        <v>585</v>
      </c>
      <c r="R1225" s="82">
        <f t="shared" ref="R1225" si="1047">SUM(R1220:R1224)</f>
        <v>424</v>
      </c>
      <c r="S1225" s="83">
        <f>SUM(S1220:S1224)</f>
        <v>2594</v>
      </c>
      <c r="T1225" s="31">
        <f>SUM(T1220:T1224)</f>
        <v>623</v>
      </c>
      <c r="U1225" s="37">
        <f t="shared" ref="U1225" si="1048">SUM(U1220:U1224)</f>
        <v>898</v>
      </c>
      <c r="V1225" s="32">
        <f t="shared" ref="V1225" si="1049">SUM(V1220:V1224)</f>
        <v>529</v>
      </c>
      <c r="W1225" s="82">
        <f t="shared" ref="W1225" si="1050">SUM(W1220:W1224)</f>
        <v>405</v>
      </c>
      <c r="X1225" s="83">
        <f>SUM(X1220:X1224)</f>
        <v>2455</v>
      </c>
      <c r="Y1225" s="39">
        <f>S1225+X1225</f>
        <v>5049</v>
      </c>
    </row>
    <row r="1226" spans="1:28" x14ac:dyDescent="0.15">
      <c r="A1226" s="59" t="s">
        <v>27</v>
      </c>
      <c r="B1226" s="20">
        <v>1</v>
      </c>
      <c r="C1226" s="35"/>
      <c r="D1226" s="21"/>
      <c r="E1226" s="24"/>
      <c r="F1226" s="25">
        <f t="shared" ref="F1226:F1250" si="1051">SUM(B1226:E1226)</f>
        <v>1</v>
      </c>
      <c r="G1226" s="20"/>
      <c r="H1226" s="35"/>
      <c r="I1226" s="21"/>
      <c r="J1226" s="24"/>
      <c r="K1226" s="25">
        <f t="shared" ref="K1226:K1250" si="1052">SUM(G1226:J1226)</f>
        <v>0</v>
      </c>
      <c r="L1226" s="11">
        <f t="shared" si="1036"/>
        <v>1</v>
      </c>
      <c r="M1226" s="71">
        <v>45748</v>
      </c>
      <c r="N1226" s="136" t="s">
        <v>715</v>
      </c>
      <c r="O1226" s="20">
        <v>20</v>
      </c>
      <c r="P1226" s="35">
        <v>40</v>
      </c>
      <c r="Q1226" s="21">
        <v>20</v>
      </c>
      <c r="R1226" s="38">
        <v>15</v>
      </c>
      <c r="S1226" s="9">
        <f t="shared" ref="S1226:S1240" si="1053">SUM(O1226:R1226)</f>
        <v>95</v>
      </c>
      <c r="T1226" s="20">
        <v>20</v>
      </c>
      <c r="U1226" s="35">
        <v>60</v>
      </c>
      <c r="V1226" s="21">
        <v>20</v>
      </c>
      <c r="W1226" s="38">
        <v>20</v>
      </c>
      <c r="X1226" s="98">
        <f t="shared" ref="X1226:X1240" si="1054">SUM(T1226:W1226)</f>
        <v>120</v>
      </c>
      <c r="Y1226" s="11">
        <f t="shared" si="1042"/>
        <v>215</v>
      </c>
      <c r="Z1226" s="69">
        <v>45754</v>
      </c>
    </row>
    <row r="1227" spans="1:28" x14ac:dyDescent="0.15">
      <c r="A1227" s="59" t="s">
        <v>713</v>
      </c>
      <c r="B1227" s="20">
        <v>1</v>
      </c>
      <c r="C1227" s="35"/>
      <c r="D1227" s="21">
        <v>1</v>
      </c>
      <c r="E1227" s="24"/>
      <c r="F1227" s="25">
        <f t="shared" si="1051"/>
        <v>2</v>
      </c>
      <c r="G1227" s="20">
        <v>1</v>
      </c>
      <c r="H1227" s="35"/>
      <c r="I1227" s="21">
        <v>1</v>
      </c>
      <c r="J1227" s="24">
        <v>1</v>
      </c>
      <c r="K1227" s="25">
        <f t="shared" si="1052"/>
        <v>3</v>
      </c>
      <c r="L1227" s="11">
        <f t="shared" si="1036"/>
        <v>5</v>
      </c>
      <c r="M1227" s="69">
        <v>45750</v>
      </c>
      <c r="N1227" s="12" t="s">
        <v>716</v>
      </c>
      <c r="O1227" s="20">
        <v>5</v>
      </c>
      <c r="P1227" s="35">
        <v>5</v>
      </c>
      <c r="Q1227" s="21"/>
      <c r="R1227" s="38"/>
      <c r="S1227" s="9">
        <f t="shared" si="1053"/>
        <v>10</v>
      </c>
      <c r="T1227" s="20"/>
      <c r="U1227" s="35"/>
      <c r="V1227" s="21"/>
      <c r="W1227" s="38"/>
      <c r="X1227" s="9">
        <f t="shared" si="1054"/>
        <v>0</v>
      </c>
      <c r="Y1227" s="11">
        <f t="shared" si="1042"/>
        <v>10</v>
      </c>
      <c r="Z1227" s="69">
        <v>45757</v>
      </c>
    </row>
    <row r="1228" spans="1:28" x14ac:dyDescent="0.15">
      <c r="A1228" s="59" t="s">
        <v>27</v>
      </c>
      <c r="B1228" s="20"/>
      <c r="C1228" s="35"/>
      <c r="D1228" s="21"/>
      <c r="E1228" s="24"/>
      <c r="F1228" s="25">
        <f t="shared" si="1051"/>
        <v>0</v>
      </c>
      <c r="G1228" s="20"/>
      <c r="H1228" s="35">
        <v>1</v>
      </c>
      <c r="I1228" s="21"/>
      <c r="J1228" s="24"/>
      <c r="K1228" s="25">
        <f t="shared" si="1052"/>
        <v>1</v>
      </c>
      <c r="L1228" s="11">
        <f t="shared" si="1036"/>
        <v>1</v>
      </c>
      <c r="M1228" s="71">
        <v>45749</v>
      </c>
      <c r="N1228" s="40" t="s">
        <v>717</v>
      </c>
      <c r="O1228" s="20"/>
      <c r="P1228" s="35"/>
      <c r="Q1228" s="21">
        <v>15</v>
      </c>
      <c r="R1228" s="38">
        <v>20</v>
      </c>
      <c r="S1228" s="9">
        <f t="shared" si="1053"/>
        <v>35</v>
      </c>
      <c r="T1228" s="20"/>
      <c r="U1228" s="35"/>
      <c r="V1228" s="21"/>
      <c r="W1228" s="38">
        <v>10</v>
      </c>
      <c r="X1228" s="9">
        <f t="shared" si="1054"/>
        <v>10</v>
      </c>
      <c r="Y1228" s="11">
        <f t="shared" si="1042"/>
        <v>45</v>
      </c>
      <c r="Z1228" s="69">
        <v>45756</v>
      </c>
      <c r="AA1228" s="41"/>
    </row>
    <row r="1229" spans="1:28" x14ac:dyDescent="0.15">
      <c r="A1229" s="59" t="s">
        <v>27</v>
      </c>
      <c r="B1229" s="20"/>
      <c r="C1229" s="35"/>
      <c r="D1229" s="21"/>
      <c r="E1229" s="24"/>
      <c r="F1229" s="25">
        <f t="shared" si="1051"/>
        <v>0</v>
      </c>
      <c r="G1229" s="20"/>
      <c r="H1229" s="35">
        <v>2</v>
      </c>
      <c r="I1229" s="21"/>
      <c r="J1229" s="24"/>
      <c r="K1229" s="25">
        <f t="shared" si="1052"/>
        <v>2</v>
      </c>
      <c r="L1229" s="11">
        <f t="shared" si="1036"/>
        <v>2</v>
      </c>
      <c r="M1229" s="71">
        <v>45751</v>
      </c>
      <c r="N1229" s="12" t="s">
        <v>718</v>
      </c>
      <c r="O1229" s="20">
        <v>10</v>
      </c>
      <c r="P1229" s="35">
        <v>25</v>
      </c>
      <c r="Q1229" s="21">
        <v>5</v>
      </c>
      <c r="R1229" s="38"/>
      <c r="S1229" s="9">
        <f t="shared" si="1053"/>
        <v>40</v>
      </c>
      <c r="T1229" s="20">
        <v>10</v>
      </c>
      <c r="U1229" s="35">
        <v>25</v>
      </c>
      <c r="V1229" s="21">
        <v>5</v>
      </c>
      <c r="W1229" s="38"/>
      <c r="X1229" s="9">
        <f t="shared" si="1054"/>
        <v>40</v>
      </c>
      <c r="Y1229" s="11">
        <f t="shared" si="1042"/>
        <v>80</v>
      </c>
      <c r="Z1229" s="69">
        <v>45757</v>
      </c>
      <c r="AA1229" s="41"/>
    </row>
    <row r="1230" spans="1:28" x14ac:dyDescent="0.15">
      <c r="A1230" s="59" t="s">
        <v>27</v>
      </c>
      <c r="B1230" s="20"/>
      <c r="C1230" s="35"/>
      <c r="D1230" s="21"/>
      <c r="E1230" s="24">
        <v>1</v>
      </c>
      <c r="F1230" s="25">
        <f t="shared" si="1051"/>
        <v>1</v>
      </c>
      <c r="G1230" s="20"/>
      <c r="H1230" s="35"/>
      <c r="I1230" s="21"/>
      <c r="J1230" s="24">
        <v>1</v>
      </c>
      <c r="K1230" s="25">
        <f t="shared" si="1052"/>
        <v>1</v>
      </c>
      <c r="L1230" s="11">
        <f t="shared" si="1036"/>
        <v>2</v>
      </c>
      <c r="M1230" s="71">
        <v>45752</v>
      </c>
      <c r="N1230" s="40" t="s">
        <v>722</v>
      </c>
      <c r="O1230" s="20">
        <v>35</v>
      </c>
      <c r="P1230" s="35">
        <v>45</v>
      </c>
      <c r="Q1230" s="21">
        <v>30</v>
      </c>
      <c r="R1230" s="38">
        <v>15</v>
      </c>
      <c r="S1230" s="9">
        <f t="shared" si="1053"/>
        <v>125</v>
      </c>
      <c r="T1230" s="20">
        <v>50</v>
      </c>
      <c r="U1230" s="35">
        <v>15</v>
      </c>
      <c r="V1230" s="21">
        <v>40</v>
      </c>
      <c r="W1230" s="38"/>
      <c r="X1230" s="9">
        <f t="shared" si="1054"/>
        <v>105</v>
      </c>
      <c r="Y1230" s="11">
        <f t="shared" si="1042"/>
        <v>230</v>
      </c>
      <c r="Z1230" s="69">
        <v>45758</v>
      </c>
    </row>
    <row r="1231" spans="1:28" x14ac:dyDescent="0.15">
      <c r="A1231" s="59" t="s">
        <v>27</v>
      </c>
      <c r="B1231" s="20">
        <v>1</v>
      </c>
      <c r="C1231" s="35">
        <v>1</v>
      </c>
      <c r="D1231" s="21">
        <v>1</v>
      </c>
      <c r="E1231" s="24">
        <v>1</v>
      </c>
      <c r="F1231" s="25">
        <f t="shared" si="1051"/>
        <v>4</v>
      </c>
      <c r="G1231" s="20"/>
      <c r="H1231" s="35"/>
      <c r="I1231" s="21">
        <v>2</v>
      </c>
      <c r="J1231" s="24">
        <v>1</v>
      </c>
      <c r="K1231" s="25">
        <f t="shared" si="1052"/>
        <v>3</v>
      </c>
      <c r="L1231" s="11">
        <f t="shared" si="1036"/>
        <v>7</v>
      </c>
      <c r="M1231" s="71">
        <v>45754</v>
      </c>
      <c r="N1231" s="40" t="s">
        <v>26</v>
      </c>
      <c r="O1231" s="20">
        <v>5</v>
      </c>
      <c r="P1231" s="35">
        <v>5</v>
      </c>
      <c r="Q1231" s="21">
        <v>5</v>
      </c>
      <c r="R1231" s="38">
        <v>5</v>
      </c>
      <c r="S1231" s="9">
        <f t="shared" si="1053"/>
        <v>20</v>
      </c>
      <c r="T1231" s="20">
        <v>5</v>
      </c>
      <c r="U1231" s="35">
        <v>10</v>
      </c>
      <c r="V1231" s="21">
        <v>5</v>
      </c>
      <c r="W1231" s="38">
        <v>5</v>
      </c>
      <c r="X1231" s="9">
        <f t="shared" si="1054"/>
        <v>25</v>
      </c>
      <c r="Y1231" s="11">
        <f t="shared" si="1042"/>
        <v>45</v>
      </c>
      <c r="Z1231" s="69">
        <v>45757</v>
      </c>
      <c r="AA1231" s="41"/>
      <c r="AB1231" s="41"/>
    </row>
    <row r="1232" spans="1:28" x14ac:dyDescent="0.15">
      <c r="A1232" s="59" t="s">
        <v>27</v>
      </c>
      <c r="B1232" s="20"/>
      <c r="C1232" s="35"/>
      <c r="D1232" s="21"/>
      <c r="E1232" s="24"/>
      <c r="F1232" s="25">
        <f t="shared" si="1051"/>
        <v>0</v>
      </c>
      <c r="G1232" s="20"/>
      <c r="H1232" s="35">
        <v>2</v>
      </c>
      <c r="I1232" s="21"/>
      <c r="J1232" s="24"/>
      <c r="K1232" s="25">
        <f t="shared" si="1052"/>
        <v>2</v>
      </c>
      <c r="L1232" s="11">
        <f t="shared" si="1036"/>
        <v>2</v>
      </c>
      <c r="M1232" s="69">
        <v>45755</v>
      </c>
      <c r="N1232" s="40" t="s">
        <v>724</v>
      </c>
      <c r="O1232" s="20">
        <v>20</v>
      </c>
      <c r="P1232" s="35">
        <v>20</v>
      </c>
      <c r="Q1232" s="21">
        <v>10</v>
      </c>
      <c r="R1232" s="38"/>
      <c r="S1232" s="9">
        <f t="shared" si="1053"/>
        <v>50</v>
      </c>
      <c r="T1232" s="20"/>
      <c r="U1232" s="35">
        <v>5</v>
      </c>
      <c r="V1232" s="21"/>
      <c r="W1232" s="38">
        <v>20</v>
      </c>
      <c r="X1232" s="9">
        <f t="shared" si="1054"/>
        <v>25</v>
      </c>
      <c r="Y1232" s="11">
        <f t="shared" si="1042"/>
        <v>75</v>
      </c>
      <c r="Z1232" s="69">
        <v>45759</v>
      </c>
      <c r="AA1232" s="41"/>
      <c r="AB1232" s="41"/>
    </row>
    <row r="1233" spans="1:27" x14ac:dyDescent="0.15">
      <c r="A1233" s="59" t="s">
        <v>27</v>
      </c>
      <c r="B1233" s="20"/>
      <c r="C1233" s="35"/>
      <c r="D1233" s="21"/>
      <c r="E1233" s="24"/>
      <c r="F1233" s="25">
        <f t="shared" si="1051"/>
        <v>0</v>
      </c>
      <c r="G1233" s="20"/>
      <c r="H1233" s="35">
        <v>1</v>
      </c>
      <c r="I1233" s="21">
        <v>2</v>
      </c>
      <c r="J1233" s="24"/>
      <c r="K1233" s="25">
        <f t="shared" si="1052"/>
        <v>3</v>
      </c>
      <c r="L1233" s="11">
        <f t="shared" si="1036"/>
        <v>3</v>
      </c>
      <c r="M1233" s="69">
        <v>45756</v>
      </c>
      <c r="N1233" s="12" t="s">
        <v>725</v>
      </c>
      <c r="O1233" s="20"/>
      <c r="P1233" s="35">
        <v>5</v>
      </c>
      <c r="Q1233" s="21"/>
      <c r="R1233" s="38">
        <v>5</v>
      </c>
      <c r="S1233" s="9">
        <f t="shared" si="1053"/>
        <v>10</v>
      </c>
      <c r="T1233" s="20"/>
      <c r="U1233" s="35">
        <v>5</v>
      </c>
      <c r="V1233" s="21"/>
      <c r="W1233" s="38">
        <v>5</v>
      </c>
      <c r="X1233" s="9">
        <f t="shared" si="1054"/>
        <v>10</v>
      </c>
      <c r="Y1233" s="11">
        <f t="shared" si="1042"/>
        <v>20</v>
      </c>
      <c r="Z1233" s="69">
        <v>45761</v>
      </c>
    </row>
    <row r="1234" spans="1:27" x14ac:dyDescent="0.15">
      <c r="A1234" s="59" t="s">
        <v>723</v>
      </c>
      <c r="B1234" s="20"/>
      <c r="C1234" s="35">
        <v>1</v>
      </c>
      <c r="D1234" s="21">
        <v>2</v>
      </c>
      <c r="E1234" s="24"/>
      <c r="F1234" s="25">
        <f t="shared" si="1051"/>
        <v>3</v>
      </c>
      <c r="G1234" s="20"/>
      <c r="H1234" s="35">
        <v>2</v>
      </c>
      <c r="I1234" s="21">
        <v>2</v>
      </c>
      <c r="J1234" s="24"/>
      <c r="K1234" s="25">
        <f t="shared" si="1052"/>
        <v>4</v>
      </c>
      <c r="L1234" s="11">
        <f t="shared" si="1036"/>
        <v>7</v>
      </c>
      <c r="M1234" s="69">
        <v>45758</v>
      </c>
      <c r="N1234" s="12" t="s">
        <v>726</v>
      </c>
      <c r="O1234" s="20">
        <v>5</v>
      </c>
      <c r="P1234" s="35">
        <v>5</v>
      </c>
      <c r="Q1234" s="21">
        <v>5</v>
      </c>
      <c r="R1234" s="38">
        <v>5</v>
      </c>
      <c r="S1234" s="9">
        <f t="shared" si="1053"/>
        <v>20</v>
      </c>
      <c r="T1234" s="20">
        <v>5</v>
      </c>
      <c r="U1234" s="35">
        <v>5</v>
      </c>
      <c r="V1234" s="21">
        <v>5</v>
      </c>
      <c r="W1234" s="38">
        <v>5</v>
      </c>
      <c r="X1234" s="9">
        <f t="shared" si="1054"/>
        <v>20</v>
      </c>
      <c r="Y1234" s="11">
        <f t="shared" si="1042"/>
        <v>40</v>
      </c>
      <c r="Z1234" s="69">
        <v>45765</v>
      </c>
    </row>
    <row r="1235" spans="1:27" x14ac:dyDescent="0.15">
      <c r="A1235" s="59" t="s">
        <v>27</v>
      </c>
      <c r="B1235" s="20">
        <v>4</v>
      </c>
      <c r="C1235" s="35">
        <v>2</v>
      </c>
      <c r="D1235" s="21">
        <v>1</v>
      </c>
      <c r="E1235" s="24"/>
      <c r="F1235" s="25">
        <f t="shared" si="1051"/>
        <v>7</v>
      </c>
      <c r="G1235" s="20"/>
      <c r="H1235" s="35">
        <v>4</v>
      </c>
      <c r="I1235" s="21">
        <v>1</v>
      </c>
      <c r="J1235" s="24"/>
      <c r="K1235" s="25">
        <f t="shared" si="1052"/>
        <v>5</v>
      </c>
      <c r="L1235" s="11">
        <f t="shared" si="1036"/>
        <v>12</v>
      </c>
      <c r="M1235" s="71">
        <v>45757</v>
      </c>
      <c r="N1235" s="40" t="s">
        <v>727</v>
      </c>
      <c r="O1235" s="20"/>
      <c r="P1235" s="35"/>
      <c r="Q1235" s="21"/>
      <c r="R1235" s="38">
        <v>10</v>
      </c>
      <c r="S1235" s="9">
        <f t="shared" si="1053"/>
        <v>10</v>
      </c>
      <c r="T1235" s="20"/>
      <c r="U1235" s="35">
        <v>30</v>
      </c>
      <c r="V1235" s="21"/>
      <c r="W1235" s="38"/>
      <c r="X1235" s="9">
        <f t="shared" si="1054"/>
        <v>30</v>
      </c>
      <c r="Y1235" s="11">
        <f t="shared" si="1042"/>
        <v>40</v>
      </c>
      <c r="Z1235" s="69">
        <v>45762</v>
      </c>
    </row>
    <row r="1236" spans="1:27" x14ac:dyDescent="0.15">
      <c r="A1236" s="59" t="s">
        <v>27</v>
      </c>
      <c r="B1236" s="20"/>
      <c r="C1236" s="35"/>
      <c r="D1236" s="21"/>
      <c r="E1236" s="24"/>
      <c r="F1236" s="25">
        <f t="shared" si="1051"/>
        <v>0</v>
      </c>
      <c r="G1236" s="20"/>
      <c r="H1236" s="35">
        <v>2</v>
      </c>
      <c r="I1236" s="21"/>
      <c r="J1236" s="24"/>
      <c r="K1236" s="25">
        <f t="shared" si="1052"/>
        <v>2</v>
      </c>
      <c r="L1236" s="11">
        <f t="shared" si="1036"/>
        <v>2</v>
      </c>
      <c r="M1236" s="71">
        <v>45758</v>
      </c>
      <c r="N1236" s="12" t="s">
        <v>729</v>
      </c>
      <c r="O1236" s="20">
        <v>15</v>
      </c>
      <c r="P1236" s="35">
        <v>15</v>
      </c>
      <c r="Q1236" s="21">
        <v>15</v>
      </c>
      <c r="R1236" s="38">
        <v>5</v>
      </c>
      <c r="S1236" s="9">
        <f t="shared" si="1053"/>
        <v>50</v>
      </c>
      <c r="T1236" s="20">
        <v>15</v>
      </c>
      <c r="U1236" s="35">
        <v>15</v>
      </c>
      <c r="V1236" s="21">
        <v>15</v>
      </c>
      <c r="W1236" s="38">
        <v>5</v>
      </c>
      <c r="X1236" s="9">
        <f t="shared" si="1054"/>
        <v>50</v>
      </c>
      <c r="Y1236" s="11">
        <f t="shared" si="1042"/>
        <v>100</v>
      </c>
      <c r="Z1236" s="69">
        <v>45770</v>
      </c>
    </row>
    <row r="1237" spans="1:27" x14ac:dyDescent="0.15">
      <c r="A1237" s="59" t="s">
        <v>27</v>
      </c>
      <c r="B1237" s="20"/>
      <c r="C1237" s="35">
        <v>1</v>
      </c>
      <c r="D1237" s="21"/>
      <c r="E1237" s="24"/>
      <c r="F1237" s="25">
        <f t="shared" si="1051"/>
        <v>1</v>
      </c>
      <c r="G1237" s="20"/>
      <c r="H1237" s="35">
        <v>1</v>
      </c>
      <c r="I1237" s="21"/>
      <c r="J1237" s="24"/>
      <c r="K1237" s="25">
        <f t="shared" si="1052"/>
        <v>1</v>
      </c>
      <c r="L1237" s="11">
        <f t="shared" si="1036"/>
        <v>2</v>
      </c>
      <c r="M1237" s="69">
        <v>45761</v>
      </c>
      <c r="N1237" s="40" t="s">
        <v>26</v>
      </c>
      <c r="O1237" s="20"/>
      <c r="P1237" s="35"/>
      <c r="Q1237" s="21"/>
      <c r="R1237" s="38"/>
      <c r="S1237" s="9">
        <f t="shared" si="1053"/>
        <v>0</v>
      </c>
      <c r="T1237" s="20"/>
      <c r="U1237" s="35">
        <v>20</v>
      </c>
      <c r="V1237" s="21"/>
      <c r="W1237" s="38"/>
      <c r="X1237" s="9">
        <f t="shared" si="1054"/>
        <v>20</v>
      </c>
      <c r="Y1237" s="11">
        <f t="shared" si="1042"/>
        <v>20</v>
      </c>
      <c r="Z1237" s="69">
        <v>45766</v>
      </c>
      <c r="AA1237" s="41"/>
    </row>
    <row r="1238" spans="1:27" x14ac:dyDescent="0.15">
      <c r="A1238" s="59" t="s">
        <v>421</v>
      </c>
      <c r="B1238" s="20"/>
      <c r="C1238" s="35">
        <v>1</v>
      </c>
      <c r="D1238" s="21"/>
      <c r="E1238" s="24"/>
      <c r="F1238" s="25">
        <f t="shared" si="1051"/>
        <v>1</v>
      </c>
      <c r="G1238" s="20"/>
      <c r="H1238" s="35">
        <v>1</v>
      </c>
      <c r="I1238" s="21"/>
      <c r="J1238" s="24"/>
      <c r="K1238" s="25">
        <f t="shared" si="1052"/>
        <v>1</v>
      </c>
      <c r="L1238" s="11">
        <f t="shared" si="1036"/>
        <v>2</v>
      </c>
      <c r="M1238" s="69">
        <v>45762</v>
      </c>
      <c r="N1238" s="12" t="s">
        <v>731</v>
      </c>
      <c r="O1238" s="20">
        <v>15</v>
      </c>
      <c r="P1238" s="35">
        <v>25</v>
      </c>
      <c r="Q1238" s="21">
        <v>20</v>
      </c>
      <c r="R1238" s="38">
        <v>5</v>
      </c>
      <c r="S1238" s="9">
        <f t="shared" si="1053"/>
        <v>65</v>
      </c>
      <c r="T1238" s="20">
        <v>15</v>
      </c>
      <c r="U1238" s="35">
        <v>25</v>
      </c>
      <c r="V1238" s="21">
        <v>20</v>
      </c>
      <c r="W1238" s="38">
        <v>5</v>
      </c>
      <c r="X1238" s="9">
        <f t="shared" si="1054"/>
        <v>65</v>
      </c>
      <c r="Y1238" s="11">
        <f t="shared" si="1042"/>
        <v>130</v>
      </c>
      <c r="Z1238" s="69">
        <v>45778</v>
      </c>
      <c r="AA1238" s="41"/>
    </row>
    <row r="1239" spans="1:27" x14ac:dyDescent="0.15">
      <c r="A1239" s="59" t="s">
        <v>27</v>
      </c>
      <c r="B1239" s="20"/>
      <c r="C1239" s="35"/>
      <c r="D1239" s="21"/>
      <c r="E1239" s="24"/>
      <c r="F1239" s="25">
        <f t="shared" si="1051"/>
        <v>0</v>
      </c>
      <c r="G1239" s="20"/>
      <c r="H1239" s="35">
        <v>4</v>
      </c>
      <c r="I1239" s="21"/>
      <c r="J1239" s="24"/>
      <c r="K1239" s="25">
        <f t="shared" si="1052"/>
        <v>4</v>
      </c>
      <c r="L1239" s="11">
        <f t="shared" si="1036"/>
        <v>4</v>
      </c>
      <c r="M1239" s="69">
        <v>45762</v>
      </c>
      <c r="N1239" s="40" t="s">
        <v>26</v>
      </c>
      <c r="O1239" s="20">
        <v>25</v>
      </c>
      <c r="P1239" s="35">
        <v>25</v>
      </c>
      <c r="Q1239" s="21">
        <v>15</v>
      </c>
      <c r="R1239" s="38">
        <v>5</v>
      </c>
      <c r="S1239" s="9">
        <f t="shared" si="1053"/>
        <v>70</v>
      </c>
      <c r="T1239" s="20">
        <v>15</v>
      </c>
      <c r="U1239" s="35">
        <v>20</v>
      </c>
      <c r="V1239" s="21">
        <v>20</v>
      </c>
      <c r="W1239" s="38">
        <v>10</v>
      </c>
      <c r="X1239" s="9">
        <f t="shared" si="1054"/>
        <v>65</v>
      </c>
      <c r="Y1239" s="11">
        <f t="shared" si="1042"/>
        <v>135</v>
      </c>
      <c r="Z1239" s="69">
        <v>45784</v>
      </c>
      <c r="AA1239" s="41"/>
    </row>
    <row r="1240" spans="1:27" x14ac:dyDescent="0.15">
      <c r="A1240" s="59" t="s">
        <v>32</v>
      </c>
      <c r="B1240" s="20"/>
      <c r="C1240" s="35"/>
      <c r="D1240" s="21"/>
      <c r="E1240" s="24">
        <v>1</v>
      </c>
      <c r="F1240" s="25">
        <f t="shared" si="1051"/>
        <v>1</v>
      </c>
      <c r="G1240" s="20"/>
      <c r="H1240" s="35"/>
      <c r="I1240" s="21"/>
      <c r="J1240" s="24">
        <v>2</v>
      </c>
      <c r="K1240" s="25">
        <f t="shared" si="1052"/>
        <v>2</v>
      </c>
      <c r="L1240" s="11">
        <f t="shared" si="1036"/>
        <v>3</v>
      </c>
      <c r="M1240" s="69">
        <v>45763</v>
      </c>
      <c r="N1240" s="40" t="s">
        <v>26</v>
      </c>
      <c r="O1240" s="20"/>
      <c r="P1240" s="35"/>
      <c r="Q1240" s="21"/>
      <c r="R1240" s="38"/>
      <c r="S1240" s="9">
        <f t="shared" si="1053"/>
        <v>0</v>
      </c>
      <c r="T1240" s="20"/>
      <c r="U1240" s="35">
        <v>20</v>
      </c>
      <c r="V1240" s="21"/>
      <c r="W1240" s="38"/>
      <c r="X1240" s="9">
        <f t="shared" si="1054"/>
        <v>20</v>
      </c>
      <c r="Y1240" s="11">
        <f t="shared" si="1042"/>
        <v>20</v>
      </c>
      <c r="Z1240" s="69">
        <v>45790</v>
      </c>
    </row>
    <row r="1241" spans="1:27" x14ac:dyDescent="0.15">
      <c r="A1241" s="59" t="s">
        <v>27</v>
      </c>
      <c r="B1241" s="20"/>
      <c r="C1241" s="35"/>
      <c r="D1241" s="21">
        <v>2</v>
      </c>
      <c r="E1241" s="24"/>
      <c r="F1241" s="25">
        <f t="shared" si="1051"/>
        <v>2</v>
      </c>
      <c r="G1241" s="20"/>
      <c r="H1241" s="35"/>
      <c r="I1241" s="21">
        <v>2</v>
      </c>
      <c r="J1241" s="24"/>
      <c r="K1241" s="25">
        <f t="shared" si="1052"/>
        <v>2</v>
      </c>
      <c r="L1241" s="11">
        <f t="shared" si="1036"/>
        <v>4</v>
      </c>
      <c r="M1241" s="69">
        <v>45762</v>
      </c>
      <c r="N1241" s="12"/>
      <c r="O1241" s="20"/>
      <c r="P1241" s="35"/>
      <c r="Q1241" s="21"/>
      <c r="R1241" s="38"/>
      <c r="S1241" s="9">
        <f t="shared" ref="S1241:S1247" si="1055">SUM(O1241:R1241)</f>
        <v>0</v>
      </c>
      <c r="T1241" s="20"/>
      <c r="U1241" s="35"/>
      <c r="V1241" s="21"/>
      <c r="W1241" s="38"/>
      <c r="X1241" s="9">
        <f t="shared" ref="X1241:X1247" si="1056">SUM(T1241:W1241)</f>
        <v>0</v>
      </c>
      <c r="Y1241" s="11">
        <f t="shared" si="1042"/>
        <v>0</v>
      </c>
      <c r="Z1241" s="162"/>
    </row>
    <row r="1242" spans="1:27" x14ac:dyDescent="0.15">
      <c r="A1242" s="59" t="s">
        <v>27</v>
      </c>
      <c r="B1242" s="20">
        <v>1</v>
      </c>
      <c r="C1242" s="35"/>
      <c r="D1242" s="21">
        <v>1</v>
      </c>
      <c r="E1242" s="24">
        <v>1</v>
      </c>
      <c r="F1242" s="25">
        <f t="shared" si="1051"/>
        <v>3</v>
      </c>
      <c r="G1242" s="20">
        <v>1</v>
      </c>
      <c r="H1242" s="35"/>
      <c r="I1242" s="21">
        <v>1</v>
      </c>
      <c r="J1242" s="24">
        <v>1</v>
      </c>
      <c r="K1242" s="25">
        <f t="shared" si="1052"/>
        <v>3</v>
      </c>
      <c r="L1242" s="11">
        <f t="shared" si="1036"/>
        <v>6</v>
      </c>
      <c r="M1242" s="69">
        <v>45763</v>
      </c>
      <c r="N1242" s="15"/>
      <c r="O1242" s="20"/>
      <c r="P1242" s="35"/>
      <c r="Q1242" s="21"/>
      <c r="R1242" s="38"/>
      <c r="S1242" s="9">
        <f t="shared" ref="S1242:S1244" si="1057">SUM(O1242:R1242)</f>
        <v>0</v>
      </c>
      <c r="T1242" s="20"/>
      <c r="U1242" s="35"/>
      <c r="V1242" s="21"/>
      <c r="W1242" s="38"/>
      <c r="X1242" s="9">
        <f t="shared" ref="X1242:X1244" si="1058">SUM(T1242:W1242)</f>
        <v>0</v>
      </c>
      <c r="Y1242" s="11">
        <f t="shared" ref="Y1242:Y1244" si="1059">S1242+X1242</f>
        <v>0</v>
      </c>
    </row>
    <row r="1243" spans="1:27" x14ac:dyDescent="0.15">
      <c r="A1243" s="59" t="s">
        <v>27</v>
      </c>
      <c r="B1243" s="20"/>
      <c r="C1243" s="35">
        <f>2+1</f>
        <v>3</v>
      </c>
      <c r="D1243" s="21"/>
      <c r="E1243" s="24">
        <v>1</v>
      </c>
      <c r="F1243" s="25">
        <f t="shared" si="1051"/>
        <v>4</v>
      </c>
      <c r="G1243" s="20">
        <v>2</v>
      </c>
      <c r="H1243" s="35">
        <f>4+1</f>
        <v>5</v>
      </c>
      <c r="I1243" s="21">
        <f>1+1</f>
        <v>2</v>
      </c>
      <c r="J1243" s="24">
        <v>1</v>
      </c>
      <c r="K1243" s="25">
        <f t="shared" si="1052"/>
        <v>10</v>
      </c>
      <c r="L1243" s="11">
        <f t="shared" si="1036"/>
        <v>14</v>
      </c>
      <c r="M1243" s="69">
        <v>45764</v>
      </c>
      <c r="N1243" s="15"/>
      <c r="O1243" s="20"/>
      <c r="P1243" s="35"/>
      <c r="Q1243" s="21"/>
      <c r="R1243" s="38"/>
      <c r="S1243" s="9">
        <f t="shared" si="1057"/>
        <v>0</v>
      </c>
      <c r="T1243" s="20"/>
      <c r="U1243" s="35"/>
      <c r="V1243" s="21"/>
      <c r="W1243" s="38"/>
      <c r="X1243" s="9">
        <f t="shared" si="1058"/>
        <v>0</v>
      </c>
      <c r="Y1243" s="11">
        <f t="shared" si="1059"/>
        <v>0</v>
      </c>
    </row>
    <row r="1244" spans="1:27" x14ac:dyDescent="0.15">
      <c r="A1244" s="59" t="s">
        <v>730</v>
      </c>
      <c r="B1244" s="20"/>
      <c r="C1244" s="35"/>
      <c r="D1244" s="21"/>
      <c r="E1244" s="24"/>
      <c r="F1244" s="25">
        <f t="shared" si="1051"/>
        <v>0</v>
      </c>
      <c r="G1244" s="20"/>
      <c r="H1244" s="35">
        <v>-20</v>
      </c>
      <c r="I1244" s="21"/>
      <c r="J1244" s="24"/>
      <c r="K1244" s="25">
        <f t="shared" si="1052"/>
        <v>-20</v>
      </c>
      <c r="L1244" s="11">
        <f t="shared" si="1036"/>
        <v>-20</v>
      </c>
      <c r="M1244" s="69">
        <v>45766</v>
      </c>
      <c r="N1244" s="15"/>
      <c r="O1244" s="20"/>
      <c r="P1244" s="35"/>
      <c r="Q1244" s="21"/>
      <c r="R1244" s="38"/>
      <c r="S1244" s="9">
        <f t="shared" si="1057"/>
        <v>0</v>
      </c>
      <c r="T1244" s="20"/>
      <c r="U1244" s="35"/>
      <c r="V1244" s="21"/>
      <c r="W1244" s="38"/>
      <c r="X1244" s="9">
        <f t="shared" si="1058"/>
        <v>0</v>
      </c>
      <c r="Y1244" s="11">
        <f t="shared" si="1059"/>
        <v>0</v>
      </c>
    </row>
    <row r="1245" spans="1:27" x14ac:dyDescent="0.15">
      <c r="A1245" s="59" t="s">
        <v>27</v>
      </c>
      <c r="B1245" s="20">
        <v>6</v>
      </c>
      <c r="C1245" s="35">
        <v>1</v>
      </c>
      <c r="D1245" s="21">
        <v>3</v>
      </c>
      <c r="E1245" s="24"/>
      <c r="F1245" s="25">
        <f t="shared" si="1051"/>
        <v>10</v>
      </c>
      <c r="G1245" s="20">
        <v>3</v>
      </c>
      <c r="H1245" s="35">
        <v>2</v>
      </c>
      <c r="I1245" s="21">
        <v>3</v>
      </c>
      <c r="J1245" s="24"/>
      <c r="K1245" s="25">
        <f t="shared" si="1052"/>
        <v>8</v>
      </c>
      <c r="L1245" s="11">
        <f t="shared" si="1036"/>
        <v>18</v>
      </c>
      <c r="M1245" s="69">
        <v>45768</v>
      </c>
      <c r="N1245" s="40"/>
      <c r="O1245" s="48"/>
      <c r="P1245" s="49"/>
      <c r="Q1245" s="50"/>
      <c r="R1245" s="72"/>
      <c r="S1245" s="74">
        <f t="shared" ref="S1245" si="1060">SUM(O1245:R1245)</f>
        <v>0</v>
      </c>
      <c r="T1245" s="48"/>
      <c r="U1245" s="49"/>
      <c r="V1245" s="50"/>
      <c r="W1245" s="72"/>
      <c r="X1245" s="74">
        <f t="shared" ref="X1245" si="1061">SUM(T1245:W1245)</f>
        <v>0</v>
      </c>
      <c r="Y1245" s="11">
        <f t="shared" ref="Y1245" si="1062">S1245+X1245</f>
        <v>0</v>
      </c>
      <c r="Z1245" s="162"/>
    </row>
    <row r="1246" spans="1:27" x14ac:dyDescent="0.15">
      <c r="A1246" s="59" t="s">
        <v>421</v>
      </c>
      <c r="B1246" s="20"/>
      <c r="C1246" s="35">
        <v>2</v>
      </c>
      <c r="D1246" s="21"/>
      <c r="E1246" s="24"/>
      <c r="F1246" s="25">
        <f t="shared" si="1051"/>
        <v>2</v>
      </c>
      <c r="G1246" s="20"/>
      <c r="H1246" s="35">
        <v>2</v>
      </c>
      <c r="I1246" s="21">
        <v>2</v>
      </c>
      <c r="J1246" s="24"/>
      <c r="K1246" s="25">
        <f t="shared" si="1052"/>
        <v>4</v>
      </c>
      <c r="L1246" s="11">
        <f t="shared" si="1036"/>
        <v>6</v>
      </c>
      <c r="M1246" s="69">
        <v>45770</v>
      </c>
      <c r="N1246" s="40" t="s">
        <v>675</v>
      </c>
      <c r="O1246" s="48"/>
      <c r="P1246" s="49"/>
      <c r="Q1246" s="50"/>
      <c r="R1246" s="174"/>
      <c r="S1246" s="74">
        <f t="shared" si="1055"/>
        <v>0</v>
      </c>
      <c r="T1246" s="48"/>
      <c r="U1246" s="49"/>
      <c r="V1246" s="50"/>
      <c r="W1246" s="174"/>
      <c r="X1246" s="74">
        <f t="shared" si="1056"/>
        <v>0</v>
      </c>
      <c r="Y1246" s="11">
        <f t="shared" si="1042"/>
        <v>0</v>
      </c>
      <c r="Z1246" s="69">
        <v>45747</v>
      </c>
    </row>
    <row r="1247" spans="1:27" x14ac:dyDescent="0.15">
      <c r="A1247" s="59" t="s">
        <v>27</v>
      </c>
      <c r="B1247" s="20"/>
      <c r="C1247" s="35"/>
      <c r="D1247" s="21">
        <v>1</v>
      </c>
      <c r="E1247" s="24"/>
      <c r="F1247" s="25">
        <f t="shared" si="1051"/>
        <v>1</v>
      </c>
      <c r="G1247" s="20"/>
      <c r="H1247" s="35"/>
      <c r="I1247" s="21"/>
      <c r="J1247" s="24"/>
      <c r="K1247" s="25">
        <f t="shared" si="1052"/>
        <v>0</v>
      </c>
      <c r="L1247" s="11">
        <f t="shared" si="1036"/>
        <v>1</v>
      </c>
      <c r="M1247" s="69">
        <v>45769</v>
      </c>
      <c r="N1247" s="137" t="s">
        <v>666</v>
      </c>
      <c r="O1247" s="138"/>
      <c r="P1247" s="139"/>
      <c r="Q1247" s="140"/>
      <c r="R1247" s="141"/>
      <c r="S1247" s="142">
        <f t="shared" si="1055"/>
        <v>0</v>
      </c>
      <c r="T1247" s="138"/>
      <c r="U1247" s="139"/>
      <c r="V1247" s="140"/>
      <c r="W1247" s="141"/>
      <c r="X1247" s="142">
        <f t="shared" si="1056"/>
        <v>0</v>
      </c>
      <c r="Y1247" s="145">
        <f t="shared" si="1042"/>
        <v>0</v>
      </c>
      <c r="Z1247" s="162"/>
    </row>
    <row r="1248" spans="1:27" x14ac:dyDescent="0.15">
      <c r="A1248" s="59" t="s">
        <v>27</v>
      </c>
      <c r="B1248" s="20"/>
      <c r="C1248" s="35">
        <f>1+1</f>
        <v>2</v>
      </c>
      <c r="D1248" s="21"/>
      <c r="E1248" s="24">
        <v>1</v>
      </c>
      <c r="F1248" s="25">
        <f t="shared" si="1051"/>
        <v>3</v>
      </c>
      <c r="G1248" s="20"/>
      <c r="H1248" s="35">
        <f>1+1</f>
        <v>2</v>
      </c>
      <c r="I1248" s="21"/>
      <c r="J1248" s="24">
        <v>1</v>
      </c>
      <c r="K1248" s="25">
        <f t="shared" si="1052"/>
        <v>3</v>
      </c>
      <c r="L1248" s="11">
        <f t="shared" si="1036"/>
        <v>6</v>
      </c>
      <c r="M1248" s="71">
        <v>45770</v>
      </c>
      <c r="N1248" s="12" t="s">
        <v>879</v>
      </c>
      <c r="O1248" s="48"/>
      <c r="P1248" s="49"/>
      <c r="Q1248" s="50"/>
      <c r="R1248" s="72"/>
      <c r="S1248" s="74">
        <f t="shared" ref="S1248:S1250" si="1063">SUM(O1248:R1248)</f>
        <v>0</v>
      </c>
      <c r="T1248" s="48"/>
      <c r="U1248" s="49"/>
      <c r="V1248" s="50"/>
      <c r="W1248" s="72"/>
      <c r="X1248" s="74">
        <f t="shared" ref="X1248:X1250" si="1064">SUM(T1248:W1248)</f>
        <v>0</v>
      </c>
      <c r="Y1248" s="11">
        <f t="shared" ref="Y1248:Y1250" si="1065">S1248+X1248</f>
        <v>0</v>
      </c>
      <c r="Z1248" s="162" t="s">
        <v>665</v>
      </c>
    </row>
    <row r="1249" spans="1:26" x14ac:dyDescent="0.15">
      <c r="A1249" s="59" t="s">
        <v>27</v>
      </c>
      <c r="B1249" s="20">
        <f>4+2</f>
        <v>6</v>
      </c>
      <c r="C1249" s="35">
        <f>1+2</f>
        <v>3</v>
      </c>
      <c r="D1249" s="21">
        <v>1</v>
      </c>
      <c r="E1249" s="24"/>
      <c r="F1249" s="25">
        <f t="shared" si="1051"/>
        <v>10</v>
      </c>
      <c r="G1249" s="20">
        <v>4</v>
      </c>
      <c r="H1249" s="35">
        <f>1+2+2</f>
        <v>5</v>
      </c>
      <c r="I1249" s="21">
        <v>1</v>
      </c>
      <c r="J1249" s="24">
        <v>2</v>
      </c>
      <c r="K1249" s="25">
        <f t="shared" si="1052"/>
        <v>12</v>
      </c>
      <c r="L1249" s="11">
        <f t="shared" si="1036"/>
        <v>22</v>
      </c>
      <c r="M1249" s="71">
        <v>45772</v>
      </c>
      <c r="N1249" s="104" t="s">
        <v>662</v>
      </c>
      <c r="O1249" s="138"/>
      <c r="P1249" s="139"/>
      <c r="Q1249" s="140"/>
      <c r="R1249" s="141"/>
      <c r="S1249" s="142">
        <f t="shared" si="1063"/>
        <v>0</v>
      </c>
      <c r="T1249" s="138"/>
      <c r="U1249" s="139"/>
      <c r="V1249" s="140"/>
      <c r="W1249" s="141"/>
      <c r="X1249" s="142">
        <f t="shared" si="1064"/>
        <v>0</v>
      </c>
      <c r="Y1249" s="145">
        <f t="shared" si="1065"/>
        <v>0</v>
      </c>
      <c r="Z1249" s="162"/>
    </row>
    <row r="1250" spans="1:26" ht="14.25" thickBot="1" x14ac:dyDescent="0.2">
      <c r="A1250" s="59" t="s">
        <v>27</v>
      </c>
      <c r="B1250" s="43">
        <f>1+2</f>
        <v>3</v>
      </c>
      <c r="C1250" s="44">
        <v>1</v>
      </c>
      <c r="D1250" s="45">
        <f>2+5</f>
        <v>7</v>
      </c>
      <c r="E1250" s="46">
        <v>1</v>
      </c>
      <c r="F1250" s="25">
        <f t="shared" si="1051"/>
        <v>12</v>
      </c>
      <c r="G1250" s="43">
        <f>1+2+1</f>
        <v>4</v>
      </c>
      <c r="H1250" s="44">
        <f>1+3</f>
        <v>4</v>
      </c>
      <c r="I1250" s="45">
        <f>2+1</f>
        <v>3</v>
      </c>
      <c r="J1250" s="46">
        <v>1</v>
      </c>
      <c r="K1250" s="25">
        <f t="shared" si="1052"/>
        <v>12</v>
      </c>
      <c r="L1250" s="14">
        <f t="shared" si="1036"/>
        <v>24</v>
      </c>
      <c r="M1250" s="71">
        <v>45775</v>
      </c>
      <c r="N1250" s="105" t="s">
        <v>663</v>
      </c>
      <c r="O1250" s="43"/>
      <c r="P1250" s="44"/>
      <c r="Q1250" s="45"/>
      <c r="R1250" s="100"/>
      <c r="S1250" s="10">
        <f t="shared" si="1063"/>
        <v>0</v>
      </c>
      <c r="T1250" s="43"/>
      <c r="U1250" s="44"/>
      <c r="V1250" s="45"/>
      <c r="W1250" s="100"/>
      <c r="X1250" s="10">
        <f t="shared" si="1064"/>
        <v>0</v>
      </c>
      <c r="Y1250" s="75">
        <f t="shared" si="1065"/>
        <v>0</v>
      </c>
      <c r="Z1250" s="162" t="s">
        <v>661</v>
      </c>
    </row>
    <row r="1251" spans="1:26" ht="14.25" thickBot="1" x14ac:dyDescent="0.2">
      <c r="A1251" s="16" t="s">
        <v>9</v>
      </c>
      <c r="B1251" s="28">
        <f>SUM(B1226:B1250)</f>
        <v>23</v>
      </c>
      <c r="C1251" s="36">
        <f>SUM(C1226:C1250)</f>
        <v>18</v>
      </c>
      <c r="D1251" s="29">
        <f>SUM(D1226:D1250)</f>
        <v>20</v>
      </c>
      <c r="E1251" s="30">
        <f>SUM(E1226:E1250)</f>
        <v>7</v>
      </c>
      <c r="F1251" s="26">
        <f>SUM(B1251:E1251)</f>
        <v>68</v>
      </c>
      <c r="G1251" s="28">
        <f>SUM(G1226:G1250)</f>
        <v>15</v>
      </c>
      <c r="H1251" s="36">
        <f>SUM(H1226:H1250)</f>
        <v>20</v>
      </c>
      <c r="I1251" s="29">
        <f>SUM(I1226:I1250)</f>
        <v>22</v>
      </c>
      <c r="J1251" s="30">
        <f>SUM(J1226:J1250)</f>
        <v>11</v>
      </c>
      <c r="K1251" s="26">
        <f>SUM(G1251:J1251)</f>
        <v>68</v>
      </c>
      <c r="L1251" s="27">
        <f t="shared" si="1036"/>
        <v>136</v>
      </c>
      <c r="N1251" s="61" t="s">
        <v>9</v>
      </c>
      <c r="O1251" s="28">
        <f>SUM(O1226:O1250)</f>
        <v>155</v>
      </c>
      <c r="P1251" s="36">
        <f t="shared" ref="P1251" si="1066">SUM(P1226:P1250)</f>
        <v>215</v>
      </c>
      <c r="Q1251" s="29">
        <f t="shared" ref="Q1251" si="1067">SUM(Q1226:Q1250)</f>
        <v>140</v>
      </c>
      <c r="R1251" s="30">
        <f t="shared" ref="R1251" si="1068">SUM(R1226:R1250)</f>
        <v>90</v>
      </c>
      <c r="S1251" s="60">
        <f>SUM(O1251:R1251)</f>
        <v>600</v>
      </c>
      <c r="T1251" s="28">
        <f>SUM(T1226:T1250)</f>
        <v>135</v>
      </c>
      <c r="U1251" s="36">
        <f t="shared" ref="U1251" si="1069">SUM(U1226:U1250)</f>
        <v>255</v>
      </c>
      <c r="V1251" s="29">
        <f t="shared" ref="V1251" si="1070">SUM(V1226:V1250)</f>
        <v>130</v>
      </c>
      <c r="W1251" s="30">
        <f t="shared" ref="W1251" si="1071">SUM(W1226:W1250)</f>
        <v>85</v>
      </c>
      <c r="X1251" s="60">
        <f>SUM(T1251:W1251)</f>
        <v>605</v>
      </c>
      <c r="Y1251" s="63">
        <f>S1251+X1251</f>
        <v>1205</v>
      </c>
    </row>
    <row r="1252" spans="1:26" ht="14.25" thickBot="1" x14ac:dyDescent="0.2">
      <c r="A1252" s="18" t="s">
        <v>10</v>
      </c>
      <c r="B1252" s="31">
        <f t="shared" ref="B1252:K1252" si="1072">B1225-B1251</f>
        <v>12</v>
      </c>
      <c r="C1252" s="37">
        <f t="shared" si="1072"/>
        <v>10</v>
      </c>
      <c r="D1252" s="32">
        <f t="shared" si="1072"/>
        <v>18</v>
      </c>
      <c r="E1252" s="33">
        <f t="shared" si="1072"/>
        <v>31</v>
      </c>
      <c r="F1252" s="42">
        <f t="shared" si="1072"/>
        <v>71</v>
      </c>
      <c r="G1252" s="31">
        <f t="shared" si="1072"/>
        <v>16</v>
      </c>
      <c r="H1252" s="37">
        <f t="shared" si="1072"/>
        <v>16</v>
      </c>
      <c r="I1252" s="32">
        <f t="shared" si="1072"/>
        <v>15</v>
      </c>
      <c r="J1252" s="33">
        <f t="shared" si="1072"/>
        <v>20</v>
      </c>
      <c r="K1252" s="42">
        <f t="shared" si="1072"/>
        <v>67</v>
      </c>
      <c r="L1252" s="17">
        <f t="shared" si="1036"/>
        <v>138</v>
      </c>
      <c r="N1252" s="16" t="s">
        <v>10</v>
      </c>
      <c r="O1252" s="31">
        <f>O1225-O1251</f>
        <v>465</v>
      </c>
      <c r="P1252" s="37">
        <f t="shared" ref="P1252" si="1073">P1225-P1251</f>
        <v>750</v>
      </c>
      <c r="Q1252" s="32">
        <f t="shared" ref="Q1252" si="1074">Q1225-Q1251</f>
        <v>445</v>
      </c>
      <c r="R1252" s="33">
        <f t="shared" ref="R1252" si="1075">R1225-R1251</f>
        <v>334</v>
      </c>
      <c r="S1252" s="42">
        <f>S1225-S1251</f>
        <v>1994</v>
      </c>
      <c r="T1252" s="31">
        <f>T1225-T1251</f>
        <v>488</v>
      </c>
      <c r="U1252" s="37">
        <f t="shared" ref="U1252" si="1076">U1225-U1251</f>
        <v>643</v>
      </c>
      <c r="V1252" s="32">
        <f t="shared" ref="V1252" si="1077">V1225-V1251</f>
        <v>399</v>
      </c>
      <c r="W1252" s="33">
        <f t="shared" ref="W1252" si="1078">W1225-W1251</f>
        <v>320</v>
      </c>
      <c r="X1252" s="42">
        <f>X1225-X1251</f>
        <v>1850</v>
      </c>
      <c r="Y1252" s="17">
        <f>S1252+X1252</f>
        <v>3844</v>
      </c>
    </row>
    <row r="1255" spans="1:26" ht="19.5" thickBot="1" x14ac:dyDescent="0.25">
      <c r="A1255" s="2" t="s">
        <v>17</v>
      </c>
      <c r="B1255" s="2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N1255" s="2" t="s">
        <v>18</v>
      </c>
      <c r="O1255" s="87"/>
      <c r="P1255" s="87"/>
      <c r="Q1255" s="87"/>
      <c r="R1255" s="87"/>
      <c r="S1255" s="87"/>
      <c r="T1255" s="87"/>
      <c r="U1255" s="87"/>
      <c r="V1255" s="87"/>
      <c r="W1255" s="87"/>
      <c r="X1255" s="87"/>
      <c r="Y1255" s="1"/>
    </row>
    <row r="1256" spans="1:26" ht="14.25" thickBot="1" x14ac:dyDescent="0.2">
      <c r="A1256" s="5" t="s">
        <v>0</v>
      </c>
      <c r="B1256" s="244" t="s">
        <v>19</v>
      </c>
      <c r="C1256" s="245"/>
      <c r="D1256" s="245"/>
      <c r="E1256" s="245"/>
      <c r="F1256" s="246"/>
      <c r="G1256" s="247" t="s">
        <v>20</v>
      </c>
      <c r="H1256" s="248"/>
      <c r="I1256" s="248"/>
      <c r="J1256" s="248"/>
      <c r="K1256" s="249"/>
      <c r="L1256" s="250" t="s">
        <v>1</v>
      </c>
      <c r="N1256" s="5" t="s">
        <v>0</v>
      </c>
      <c r="O1256" s="244" t="s">
        <v>19</v>
      </c>
      <c r="P1256" s="245"/>
      <c r="Q1256" s="245"/>
      <c r="R1256" s="245"/>
      <c r="S1256" s="246"/>
      <c r="T1256" s="247" t="s">
        <v>20</v>
      </c>
      <c r="U1256" s="248"/>
      <c r="V1256" s="248"/>
      <c r="W1256" s="248"/>
      <c r="X1256" s="249"/>
      <c r="Y1256" s="250" t="s">
        <v>1</v>
      </c>
    </row>
    <row r="1257" spans="1:26" ht="14.25" thickBot="1" x14ac:dyDescent="0.2">
      <c r="A1257" s="5" t="s">
        <v>2</v>
      </c>
      <c r="B1257" s="3" t="s">
        <v>11</v>
      </c>
      <c r="C1257" s="34" t="s">
        <v>12</v>
      </c>
      <c r="D1257" s="4" t="s">
        <v>13</v>
      </c>
      <c r="E1257" s="19" t="s">
        <v>14</v>
      </c>
      <c r="F1257" s="23" t="s">
        <v>3</v>
      </c>
      <c r="G1257" s="3" t="s">
        <v>11</v>
      </c>
      <c r="H1257" s="34" t="s">
        <v>12</v>
      </c>
      <c r="I1257" s="4" t="s">
        <v>13</v>
      </c>
      <c r="J1257" s="19" t="s">
        <v>14</v>
      </c>
      <c r="K1257" s="23" t="s">
        <v>3</v>
      </c>
      <c r="L1257" s="251"/>
      <c r="N1257" s="5" t="s">
        <v>2</v>
      </c>
      <c r="O1257" s="53" t="s">
        <v>11</v>
      </c>
      <c r="P1257" s="54" t="s">
        <v>12</v>
      </c>
      <c r="Q1257" s="55" t="s">
        <v>13</v>
      </c>
      <c r="R1257" s="56" t="s">
        <v>14</v>
      </c>
      <c r="S1257" s="23" t="s">
        <v>3</v>
      </c>
      <c r="T1257" s="3" t="s">
        <v>11</v>
      </c>
      <c r="U1257" s="34" t="s">
        <v>12</v>
      </c>
      <c r="V1257" s="4" t="s">
        <v>13</v>
      </c>
      <c r="W1257" s="19" t="s">
        <v>14</v>
      </c>
      <c r="X1257" s="23" t="s">
        <v>3</v>
      </c>
      <c r="Y1257" s="251"/>
    </row>
    <row r="1258" spans="1:26" ht="14.25" thickBot="1" x14ac:dyDescent="0.2">
      <c r="A1258" s="18" t="s">
        <v>15</v>
      </c>
      <c r="B1258" s="31">
        <f>B1252</f>
        <v>12</v>
      </c>
      <c r="C1258" s="32">
        <f>C1252</f>
        <v>10</v>
      </c>
      <c r="D1258" s="32">
        <f>D1252</f>
        <v>18</v>
      </c>
      <c r="E1258" s="33">
        <f>E1252</f>
        <v>31</v>
      </c>
      <c r="F1258" s="86">
        <f>SUM(B1258:E1258)</f>
        <v>71</v>
      </c>
      <c r="G1258" s="31">
        <f>G1252</f>
        <v>16</v>
      </c>
      <c r="H1258" s="32">
        <f>H1252</f>
        <v>16</v>
      </c>
      <c r="I1258" s="32">
        <f>I1252</f>
        <v>15</v>
      </c>
      <c r="J1258" s="33">
        <f>J1252</f>
        <v>20</v>
      </c>
      <c r="K1258" s="80">
        <f>SUM(G1258:J1258)</f>
        <v>67</v>
      </c>
      <c r="L1258" s="17">
        <f>F1258+K1258</f>
        <v>138</v>
      </c>
      <c r="N1258" s="18" t="s">
        <v>15</v>
      </c>
      <c r="O1258" s="31">
        <f>O1252</f>
        <v>465</v>
      </c>
      <c r="P1258" s="32">
        <f t="shared" ref="P1258:Y1258" si="1079">P1252</f>
        <v>750</v>
      </c>
      <c r="Q1258" s="32">
        <f t="shared" si="1079"/>
        <v>445</v>
      </c>
      <c r="R1258" s="33">
        <f t="shared" si="1079"/>
        <v>334</v>
      </c>
      <c r="S1258" s="86">
        <f t="shared" si="1079"/>
        <v>1994</v>
      </c>
      <c r="T1258" s="31">
        <f t="shared" si="1079"/>
        <v>488</v>
      </c>
      <c r="U1258" s="32">
        <f t="shared" si="1079"/>
        <v>643</v>
      </c>
      <c r="V1258" s="32">
        <f t="shared" si="1079"/>
        <v>399</v>
      </c>
      <c r="W1258" s="33">
        <f t="shared" si="1079"/>
        <v>320</v>
      </c>
      <c r="X1258" s="80">
        <f t="shared" si="1079"/>
        <v>1850</v>
      </c>
      <c r="Y1258" s="17">
        <f t="shared" si="1079"/>
        <v>3844</v>
      </c>
    </row>
    <row r="1259" spans="1:26" x14ac:dyDescent="0.15">
      <c r="A1259" s="13" t="s">
        <v>4</v>
      </c>
      <c r="B1259" s="20">
        <v>25</v>
      </c>
      <c r="C1259" s="35">
        <v>25</v>
      </c>
      <c r="D1259" s="21">
        <v>15</v>
      </c>
      <c r="E1259" s="24">
        <v>5</v>
      </c>
      <c r="F1259" s="25">
        <f t="shared" ref="F1259:F1262" si="1080">SUM(B1259:E1259)</f>
        <v>70</v>
      </c>
      <c r="G1259" s="20">
        <v>15</v>
      </c>
      <c r="H1259" s="35">
        <v>20</v>
      </c>
      <c r="I1259" s="21">
        <v>20</v>
      </c>
      <c r="J1259" s="24">
        <v>10</v>
      </c>
      <c r="K1259" s="25">
        <f t="shared" ref="K1259:K1262" si="1081">SUM(G1259:J1259)</f>
        <v>65</v>
      </c>
      <c r="L1259" s="11">
        <f t="shared" ref="L1259:L1290" si="1082">F1259+K1259</f>
        <v>135</v>
      </c>
      <c r="M1259" s="69">
        <v>45784</v>
      </c>
      <c r="N1259" s="59" t="s">
        <v>16</v>
      </c>
      <c r="O1259" s="48"/>
      <c r="P1259" s="49"/>
      <c r="Q1259" s="50"/>
      <c r="R1259" s="51"/>
      <c r="S1259" s="85">
        <f t="shared" ref="S1259:S1261" si="1083">SUM(O1259:R1259)</f>
        <v>0</v>
      </c>
      <c r="T1259" s="48"/>
      <c r="U1259" s="49"/>
      <c r="V1259" s="50"/>
      <c r="W1259" s="51"/>
      <c r="X1259" s="74">
        <f t="shared" ref="X1259:X1261" si="1084">SUM(T1259:W1259)</f>
        <v>0</v>
      </c>
      <c r="Y1259" s="11">
        <f t="shared" ref="Y1259:Y1283" si="1085">S1259+X1259</f>
        <v>0</v>
      </c>
    </row>
    <row r="1260" spans="1:26" x14ac:dyDescent="0.15">
      <c r="A1260" s="13" t="s">
        <v>5</v>
      </c>
      <c r="B1260" s="20"/>
      <c r="C1260" s="35"/>
      <c r="D1260" s="21"/>
      <c r="E1260" s="24"/>
      <c r="F1260" s="25">
        <f t="shared" si="1080"/>
        <v>0</v>
      </c>
      <c r="G1260" s="20"/>
      <c r="H1260" s="35">
        <v>20</v>
      </c>
      <c r="I1260" s="21"/>
      <c r="J1260" s="24"/>
      <c r="K1260" s="25">
        <f t="shared" si="1081"/>
        <v>20</v>
      </c>
      <c r="L1260" s="11">
        <f t="shared" si="1082"/>
        <v>20</v>
      </c>
      <c r="M1260" s="69">
        <v>45790</v>
      </c>
      <c r="N1260" s="59" t="s">
        <v>4</v>
      </c>
      <c r="O1260" s="48"/>
      <c r="P1260" s="49"/>
      <c r="Q1260" s="50"/>
      <c r="R1260" s="51"/>
      <c r="S1260" s="85">
        <f t="shared" si="1083"/>
        <v>0</v>
      </c>
      <c r="T1260" s="48"/>
      <c r="U1260" s="49"/>
      <c r="V1260" s="50"/>
      <c r="W1260" s="51"/>
      <c r="X1260" s="74">
        <f t="shared" si="1084"/>
        <v>0</v>
      </c>
      <c r="Y1260" s="11">
        <f t="shared" si="1085"/>
        <v>0</v>
      </c>
    </row>
    <row r="1261" spans="1:26" x14ac:dyDescent="0.15">
      <c r="A1261" s="13" t="s">
        <v>6</v>
      </c>
      <c r="B1261" s="20">
        <v>15</v>
      </c>
      <c r="C1261" s="35">
        <v>5</v>
      </c>
      <c r="D1261" s="21">
        <v>5</v>
      </c>
      <c r="E1261" s="24">
        <v>10</v>
      </c>
      <c r="F1261" s="25">
        <f t="shared" si="1080"/>
        <v>35</v>
      </c>
      <c r="G1261" s="20">
        <v>20</v>
      </c>
      <c r="H1261" s="35"/>
      <c r="I1261" s="21">
        <v>5</v>
      </c>
      <c r="J1261" s="24">
        <v>5</v>
      </c>
      <c r="K1261" s="25">
        <f t="shared" si="1081"/>
        <v>30</v>
      </c>
      <c r="L1261" s="11">
        <f t="shared" si="1082"/>
        <v>65</v>
      </c>
      <c r="M1261" s="69">
        <v>45796</v>
      </c>
      <c r="N1261" s="59" t="s">
        <v>5</v>
      </c>
      <c r="O1261" s="48"/>
      <c r="P1261" s="49"/>
      <c r="Q1261" s="50"/>
      <c r="R1261" s="51"/>
      <c r="S1261" s="85">
        <f t="shared" si="1083"/>
        <v>0</v>
      </c>
      <c r="T1261" s="48"/>
      <c r="U1261" s="49"/>
      <c r="V1261" s="50"/>
      <c r="W1261" s="51"/>
      <c r="X1261" s="74">
        <f t="shared" si="1084"/>
        <v>0</v>
      </c>
      <c r="Y1261" s="11">
        <f t="shared" si="1085"/>
        <v>0</v>
      </c>
    </row>
    <row r="1262" spans="1:26" ht="14.25" thickBot="1" x14ac:dyDescent="0.2">
      <c r="A1262" s="13" t="s">
        <v>192</v>
      </c>
      <c r="B1262" s="48"/>
      <c r="C1262" s="49"/>
      <c r="D1262" s="50"/>
      <c r="E1262" s="51">
        <v>1</v>
      </c>
      <c r="F1262" s="52">
        <f t="shared" si="1080"/>
        <v>1</v>
      </c>
      <c r="G1262" s="48">
        <v>1</v>
      </c>
      <c r="H1262" s="49"/>
      <c r="I1262" s="50"/>
      <c r="J1262" s="51"/>
      <c r="K1262" s="52">
        <f t="shared" si="1081"/>
        <v>1</v>
      </c>
      <c r="L1262" s="11">
        <f t="shared" si="1082"/>
        <v>2</v>
      </c>
      <c r="M1262" s="69">
        <v>45796</v>
      </c>
      <c r="N1262" s="13" t="s">
        <v>6</v>
      </c>
      <c r="O1262" s="43"/>
      <c r="P1262" s="44"/>
      <c r="Q1262" s="45"/>
      <c r="R1262" s="46"/>
      <c r="S1262" s="58">
        <f>SUM(O1262:R1262)</f>
        <v>0</v>
      </c>
      <c r="T1262" s="35"/>
      <c r="U1262" s="35"/>
      <c r="V1262" s="21"/>
      <c r="W1262" s="38"/>
      <c r="X1262" s="10">
        <f>SUM(T1262:W1262)</f>
        <v>0</v>
      </c>
      <c r="Y1262" s="14">
        <f t="shared" si="1085"/>
        <v>0</v>
      </c>
    </row>
    <row r="1263" spans="1:26" ht="14.25" thickBot="1" x14ac:dyDescent="0.2">
      <c r="A1263" s="18" t="s">
        <v>8</v>
      </c>
      <c r="B1263" s="76">
        <f t="shared" ref="B1263:K1263" si="1086">SUM(B1258:B1262)</f>
        <v>52</v>
      </c>
      <c r="C1263" s="77">
        <f t="shared" si="1086"/>
        <v>40</v>
      </c>
      <c r="D1263" s="78">
        <f t="shared" si="1086"/>
        <v>38</v>
      </c>
      <c r="E1263" s="79">
        <f t="shared" si="1086"/>
        <v>47</v>
      </c>
      <c r="F1263" s="80">
        <f t="shared" si="1086"/>
        <v>177</v>
      </c>
      <c r="G1263" s="76">
        <f t="shared" si="1086"/>
        <v>52</v>
      </c>
      <c r="H1263" s="77">
        <f t="shared" si="1086"/>
        <v>56</v>
      </c>
      <c r="I1263" s="78">
        <f t="shared" si="1086"/>
        <v>40</v>
      </c>
      <c r="J1263" s="79">
        <f t="shared" si="1086"/>
        <v>35</v>
      </c>
      <c r="K1263" s="80">
        <f t="shared" si="1086"/>
        <v>183</v>
      </c>
      <c r="L1263" s="17">
        <f t="shared" si="1082"/>
        <v>360</v>
      </c>
      <c r="N1263" s="16" t="s">
        <v>8</v>
      </c>
      <c r="O1263" s="31">
        <f>SUM(O1258:O1262)</f>
        <v>465</v>
      </c>
      <c r="P1263" s="37">
        <f t="shared" ref="P1263" si="1087">SUM(P1258:P1262)</f>
        <v>750</v>
      </c>
      <c r="Q1263" s="32">
        <f t="shared" ref="Q1263" si="1088">SUM(Q1258:Q1262)</f>
        <v>445</v>
      </c>
      <c r="R1263" s="82">
        <f t="shared" ref="R1263" si="1089">SUM(R1258:R1262)</f>
        <v>334</v>
      </c>
      <c r="S1263" s="83">
        <f>SUM(S1258:S1262)</f>
        <v>1994</v>
      </c>
      <c r="T1263" s="31">
        <f>SUM(T1258:T1262)</f>
        <v>488</v>
      </c>
      <c r="U1263" s="37">
        <f t="shared" ref="U1263" si="1090">SUM(U1258:U1262)</f>
        <v>643</v>
      </c>
      <c r="V1263" s="32">
        <f t="shared" ref="V1263" si="1091">SUM(V1258:V1262)</f>
        <v>399</v>
      </c>
      <c r="W1263" s="82">
        <f t="shared" ref="W1263" si="1092">SUM(W1258:W1262)</f>
        <v>320</v>
      </c>
      <c r="X1263" s="83">
        <f>SUM(X1258:X1262)</f>
        <v>1850</v>
      </c>
      <c r="Y1263" s="39">
        <f>S1263+X1263</f>
        <v>3844</v>
      </c>
    </row>
    <row r="1264" spans="1:26" x14ac:dyDescent="0.15">
      <c r="A1264" s="59" t="s">
        <v>732</v>
      </c>
      <c r="B1264" s="20"/>
      <c r="C1264" s="35"/>
      <c r="D1264" s="21"/>
      <c r="E1264" s="24">
        <v>2</v>
      </c>
      <c r="F1264" s="25">
        <f t="shared" ref="F1264:F1288" si="1093">SUM(B1264:E1264)</f>
        <v>2</v>
      </c>
      <c r="G1264" s="20"/>
      <c r="H1264" s="35"/>
      <c r="I1264" s="21"/>
      <c r="J1264" s="24"/>
      <c r="K1264" s="25">
        <f t="shared" ref="K1264:K1288" si="1094">SUM(G1264:J1264)</f>
        <v>0</v>
      </c>
      <c r="L1264" s="11">
        <f t="shared" si="1082"/>
        <v>2</v>
      </c>
      <c r="M1264" s="162" t="s">
        <v>733</v>
      </c>
      <c r="N1264" s="12" t="s">
        <v>736</v>
      </c>
      <c r="O1264" s="20"/>
      <c r="P1264" s="35">
        <v>5</v>
      </c>
      <c r="Q1264" s="21"/>
      <c r="R1264" s="38"/>
      <c r="S1264" s="9">
        <f t="shared" ref="S1264:S1277" si="1095">SUM(O1264:R1264)</f>
        <v>5</v>
      </c>
      <c r="T1264" s="20"/>
      <c r="U1264" s="35">
        <v>5</v>
      </c>
      <c r="V1264" s="21"/>
      <c r="W1264" s="38"/>
      <c r="X1264" s="98">
        <f t="shared" ref="X1264:X1277" si="1096">SUM(T1264:W1264)</f>
        <v>5</v>
      </c>
      <c r="Y1264" s="11">
        <f t="shared" si="1085"/>
        <v>10</v>
      </c>
      <c r="Z1264" s="69">
        <v>45793</v>
      </c>
    </row>
    <row r="1265" spans="1:27" x14ac:dyDescent="0.15">
      <c r="A1265" s="12" t="s">
        <v>734</v>
      </c>
      <c r="B1265" s="20"/>
      <c r="C1265" s="35"/>
      <c r="D1265" s="21"/>
      <c r="E1265" s="24">
        <v>1</v>
      </c>
      <c r="F1265" s="25">
        <f t="shared" si="1093"/>
        <v>1</v>
      </c>
      <c r="G1265" s="20"/>
      <c r="H1265" s="35"/>
      <c r="I1265" s="21"/>
      <c r="J1265" s="24">
        <v>1</v>
      </c>
      <c r="K1265" s="25">
        <f t="shared" si="1094"/>
        <v>1</v>
      </c>
      <c r="L1265" s="11">
        <f t="shared" si="1082"/>
        <v>2</v>
      </c>
      <c r="M1265" s="69">
        <v>45779</v>
      </c>
      <c r="N1265" s="12" t="s">
        <v>741</v>
      </c>
      <c r="O1265" s="20">
        <v>5</v>
      </c>
      <c r="P1265" s="35"/>
      <c r="Q1265" s="21"/>
      <c r="R1265" s="38">
        <v>5</v>
      </c>
      <c r="S1265" s="9">
        <f t="shared" si="1095"/>
        <v>10</v>
      </c>
      <c r="T1265" s="20">
        <v>2</v>
      </c>
      <c r="U1265" s="35"/>
      <c r="V1265" s="21"/>
      <c r="W1265" s="38">
        <v>5</v>
      </c>
      <c r="X1265" s="9">
        <f t="shared" si="1096"/>
        <v>7</v>
      </c>
      <c r="Y1265" s="11">
        <f t="shared" si="1085"/>
        <v>17</v>
      </c>
      <c r="Z1265" s="69">
        <v>45797</v>
      </c>
    </row>
    <row r="1266" spans="1:27" x14ac:dyDescent="0.15">
      <c r="A1266" s="59" t="s">
        <v>735</v>
      </c>
      <c r="B1266" s="20"/>
      <c r="C1266" s="35">
        <v>1</v>
      </c>
      <c r="D1266" s="21"/>
      <c r="E1266" s="24"/>
      <c r="F1266" s="25">
        <f t="shared" si="1093"/>
        <v>1</v>
      </c>
      <c r="G1266" s="20"/>
      <c r="H1266" s="35">
        <v>1</v>
      </c>
      <c r="I1266" s="21"/>
      <c r="J1266" s="24"/>
      <c r="K1266" s="25">
        <f t="shared" si="1094"/>
        <v>1</v>
      </c>
      <c r="L1266" s="11">
        <f t="shared" si="1082"/>
        <v>2</v>
      </c>
      <c r="M1266" s="69">
        <v>45778</v>
      </c>
      <c r="N1266" s="12" t="s">
        <v>742</v>
      </c>
      <c r="O1266" s="20"/>
      <c r="P1266" s="35">
        <v>2</v>
      </c>
      <c r="Q1266" s="21"/>
      <c r="R1266" s="38"/>
      <c r="S1266" s="9">
        <f t="shared" si="1095"/>
        <v>2</v>
      </c>
      <c r="T1266" s="20"/>
      <c r="U1266" s="35">
        <v>2</v>
      </c>
      <c r="V1266" s="21"/>
      <c r="W1266" s="38"/>
      <c r="X1266" s="9">
        <f t="shared" si="1096"/>
        <v>2</v>
      </c>
      <c r="Y1266" s="11">
        <f t="shared" si="1085"/>
        <v>4</v>
      </c>
      <c r="Z1266" s="69">
        <v>45793</v>
      </c>
    </row>
    <row r="1267" spans="1:27" x14ac:dyDescent="0.15">
      <c r="A1267" s="59" t="s">
        <v>27</v>
      </c>
      <c r="B1267" s="20">
        <v>2</v>
      </c>
      <c r="C1267" s="35"/>
      <c r="D1267" s="21">
        <v>1</v>
      </c>
      <c r="E1267" s="24"/>
      <c r="F1267" s="25">
        <f t="shared" si="1093"/>
        <v>3</v>
      </c>
      <c r="G1267" s="20"/>
      <c r="H1267" s="35"/>
      <c r="I1267" s="21">
        <f>1+3</f>
        <v>4</v>
      </c>
      <c r="J1267" s="24"/>
      <c r="K1267" s="25">
        <f t="shared" si="1094"/>
        <v>4</v>
      </c>
      <c r="L1267" s="11">
        <f t="shared" si="1082"/>
        <v>7</v>
      </c>
      <c r="M1267" s="69">
        <v>45777</v>
      </c>
      <c r="N1267" s="12" t="s">
        <v>743</v>
      </c>
      <c r="O1267" s="20"/>
      <c r="P1267" s="35">
        <v>5</v>
      </c>
      <c r="Q1267" s="21"/>
      <c r="R1267" s="38"/>
      <c r="S1267" s="9">
        <f t="shared" si="1095"/>
        <v>5</v>
      </c>
      <c r="T1267" s="20"/>
      <c r="U1267" s="35">
        <v>5</v>
      </c>
      <c r="V1267" s="21"/>
      <c r="W1267" s="38"/>
      <c r="X1267" s="9">
        <f t="shared" si="1096"/>
        <v>5</v>
      </c>
      <c r="Y1267" s="11">
        <f t="shared" si="1085"/>
        <v>10</v>
      </c>
      <c r="Z1267" s="69">
        <v>45793</v>
      </c>
    </row>
    <row r="1268" spans="1:27" x14ac:dyDescent="0.15">
      <c r="A1268" s="59" t="s">
        <v>421</v>
      </c>
      <c r="B1268" s="20"/>
      <c r="C1268" s="35">
        <v>1</v>
      </c>
      <c r="D1268" s="21"/>
      <c r="E1268" s="24"/>
      <c r="F1268" s="25">
        <f t="shared" si="1093"/>
        <v>1</v>
      </c>
      <c r="G1268" s="20"/>
      <c r="H1268" s="35">
        <v>2</v>
      </c>
      <c r="I1268" s="21"/>
      <c r="J1268" s="24"/>
      <c r="K1268" s="25">
        <f t="shared" si="1094"/>
        <v>2</v>
      </c>
      <c r="L1268" s="11">
        <f t="shared" si="1082"/>
        <v>3</v>
      </c>
      <c r="M1268" s="69">
        <v>45779</v>
      </c>
      <c r="N1268" s="40" t="s">
        <v>26</v>
      </c>
      <c r="O1268" s="20">
        <v>15</v>
      </c>
      <c r="P1268" s="35">
        <v>5</v>
      </c>
      <c r="Q1268" s="21">
        <v>5</v>
      </c>
      <c r="R1268" s="38">
        <v>10</v>
      </c>
      <c r="S1268" s="9">
        <f t="shared" si="1095"/>
        <v>35</v>
      </c>
      <c r="T1268" s="20">
        <v>20</v>
      </c>
      <c r="U1268" s="35"/>
      <c r="V1268" s="21">
        <v>5</v>
      </c>
      <c r="W1268" s="38">
        <v>5</v>
      </c>
      <c r="X1268" s="9">
        <f t="shared" si="1096"/>
        <v>30</v>
      </c>
      <c r="Y1268" s="11">
        <f t="shared" si="1085"/>
        <v>65</v>
      </c>
      <c r="Z1268" s="69">
        <v>45796</v>
      </c>
      <c r="AA1268" s="41"/>
    </row>
    <row r="1269" spans="1:27" x14ac:dyDescent="0.15">
      <c r="A1269" s="59" t="s">
        <v>27</v>
      </c>
      <c r="B1269" s="20">
        <v>2</v>
      </c>
      <c r="C1269" s="35"/>
      <c r="D1269" s="21"/>
      <c r="E1269" s="24"/>
      <c r="F1269" s="25">
        <f t="shared" si="1093"/>
        <v>2</v>
      </c>
      <c r="G1269" s="20"/>
      <c r="H1269" s="35"/>
      <c r="I1269" s="21"/>
      <c r="J1269" s="24"/>
      <c r="K1269" s="25">
        <f t="shared" si="1094"/>
        <v>0</v>
      </c>
      <c r="L1269" s="11">
        <f t="shared" si="1082"/>
        <v>2</v>
      </c>
      <c r="M1269" s="69">
        <v>45778</v>
      </c>
      <c r="N1269" s="12" t="s">
        <v>744</v>
      </c>
      <c r="O1269" s="20"/>
      <c r="P1269" s="35">
        <v>5</v>
      </c>
      <c r="Q1269" s="21"/>
      <c r="R1269" s="38"/>
      <c r="S1269" s="9">
        <f t="shared" si="1095"/>
        <v>5</v>
      </c>
      <c r="T1269" s="20"/>
      <c r="U1269" s="35">
        <v>5</v>
      </c>
      <c r="V1269" s="21"/>
      <c r="W1269" s="38"/>
      <c r="X1269" s="9">
        <f t="shared" si="1096"/>
        <v>5</v>
      </c>
      <c r="Y1269" s="11">
        <f t="shared" si="1085"/>
        <v>10</v>
      </c>
      <c r="Z1269" s="69">
        <v>45799</v>
      </c>
    </row>
    <row r="1270" spans="1:27" x14ac:dyDescent="0.15">
      <c r="A1270" s="59" t="s">
        <v>27</v>
      </c>
      <c r="B1270" s="20">
        <v>1</v>
      </c>
      <c r="C1270" s="35"/>
      <c r="D1270" s="21"/>
      <c r="E1270" s="24"/>
      <c r="F1270" s="25">
        <f t="shared" si="1093"/>
        <v>1</v>
      </c>
      <c r="G1270" s="20">
        <v>1</v>
      </c>
      <c r="H1270" s="35"/>
      <c r="I1270" s="21"/>
      <c r="J1270" s="24"/>
      <c r="K1270" s="25">
        <f t="shared" si="1094"/>
        <v>1</v>
      </c>
      <c r="L1270" s="11">
        <f t="shared" si="1082"/>
        <v>2</v>
      </c>
      <c r="M1270" s="69">
        <v>45779</v>
      </c>
      <c r="N1270" s="12" t="s">
        <v>745</v>
      </c>
      <c r="O1270" s="20">
        <v>5</v>
      </c>
      <c r="P1270" s="35"/>
      <c r="Q1270" s="21">
        <v>5</v>
      </c>
      <c r="R1270" s="38">
        <v>5</v>
      </c>
      <c r="S1270" s="9">
        <f t="shared" si="1095"/>
        <v>15</v>
      </c>
      <c r="T1270" s="20">
        <v>5</v>
      </c>
      <c r="U1270" s="35"/>
      <c r="V1270" s="21"/>
      <c r="W1270" s="38">
        <v>5</v>
      </c>
      <c r="X1270" s="9">
        <f t="shared" si="1096"/>
        <v>10</v>
      </c>
      <c r="Y1270" s="11">
        <f t="shared" si="1085"/>
        <v>25</v>
      </c>
      <c r="Z1270" s="69">
        <v>45811</v>
      </c>
    </row>
    <row r="1271" spans="1:27" x14ac:dyDescent="0.15">
      <c r="A1271" s="59" t="s">
        <v>421</v>
      </c>
      <c r="B1271" s="20">
        <v>1</v>
      </c>
      <c r="C1271" s="35">
        <v>1</v>
      </c>
      <c r="D1271" s="21"/>
      <c r="E1271" s="24"/>
      <c r="F1271" s="25">
        <f t="shared" si="1093"/>
        <v>2</v>
      </c>
      <c r="G1271" s="20">
        <v>1</v>
      </c>
      <c r="H1271" s="35">
        <v>1</v>
      </c>
      <c r="I1271" s="21">
        <v>1</v>
      </c>
      <c r="J1271" s="24"/>
      <c r="K1271" s="25">
        <f t="shared" si="1094"/>
        <v>3</v>
      </c>
      <c r="L1271" s="11">
        <f t="shared" si="1082"/>
        <v>5</v>
      </c>
      <c r="M1271" s="69">
        <v>45785</v>
      </c>
      <c r="N1271" s="12" t="s">
        <v>746</v>
      </c>
      <c r="O1271" s="20"/>
      <c r="P1271" s="35"/>
      <c r="Q1271" s="21"/>
      <c r="R1271" s="38">
        <v>5</v>
      </c>
      <c r="S1271" s="9">
        <f t="shared" si="1095"/>
        <v>5</v>
      </c>
      <c r="T1271" s="20"/>
      <c r="U1271" s="35"/>
      <c r="V1271" s="21"/>
      <c r="W1271" s="38">
        <v>5</v>
      </c>
      <c r="X1271" s="9">
        <f t="shared" si="1096"/>
        <v>5</v>
      </c>
      <c r="Y1271" s="11">
        <f t="shared" si="1085"/>
        <v>10</v>
      </c>
      <c r="Z1271" s="69">
        <v>45799</v>
      </c>
    </row>
    <row r="1272" spans="1:27" x14ac:dyDescent="0.15">
      <c r="A1272" s="59" t="s">
        <v>27</v>
      </c>
      <c r="B1272" s="20">
        <v>5</v>
      </c>
      <c r="C1272" s="35">
        <f>1+1</f>
        <v>2</v>
      </c>
      <c r="D1272" s="21">
        <v>1</v>
      </c>
      <c r="E1272" s="24">
        <f>1+1</f>
        <v>2</v>
      </c>
      <c r="F1272" s="25">
        <f t="shared" si="1093"/>
        <v>10</v>
      </c>
      <c r="G1272" s="20">
        <v>7</v>
      </c>
      <c r="H1272" s="35">
        <f>1+5</f>
        <v>6</v>
      </c>
      <c r="I1272" s="21">
        <v>1</v>
      </c>
      <c r="J1272" s="24">
        <v>1</v>
      </c>
      <c r="K1272" s="25">
        <f t="shared" si="1094"/>
        <v>15</v>
      </c>
      <c r="L1272" s="11">
        <f t="shared" si="1082"/>
        <v>25</v>
      </c>
      <c r="M1272" s="71">
        <v>45784</v>
      </c>
      <c r="N1272" s="12" t="s">
        <v>747</v>
      </c>
      <c r="O1272" s="20">
        <v>2</v>
      </c>
      <c r="P1272" s="35">
        <v>2</v>
      </c>
      <c r="Q1272" s="21"/>
      <c r="R1272" s="38"/>
      <c r="S1272" s="9">
        <f t="shared" si="1095"/>
        <v>4</v>
      </c>
      <c r="T1272" s="20">
        <v>2</v>
      </c>
      <c r="U1272" s="35">
        <v>2</v>
      </c>
      <c r="V1272" s="21"/>
      <c r="W1272" s="38"/>
      <c r="X1272" s="9">
        <f t="shared" si="1096"/>
        <v>4</v>
      </c>
      <c r="Y1272" s="11">
        <f t="shared" si="1085"/>
        <v>8</v>
      </c>
      <c r="Z1272" s="69">
        <v>45805</v>
      </c>
      <c r="AA1272" s="41"/>
    </row>
    <row r="1273" spans="1:27" x14ac:dyDescent="0.15">
      <c r="A1273" s="59" t="s">
        <v>27</v>
      </c>
      <c r="B1273" s="20"/>
      <c r="C1273" s="35">
        <v>1</v>
      </c>
      <c r="D1273" s="21"/>
      <c r="E1273" s="24"/>
      <c r="F1273" s="25">
        <f t="shared" si="1093"/>
        <v>1</v>
      </c>
      <c r="G1273" s="20"/>
      <c r="H1273" s="35">
        <v>2</v>
      </c>
      <c r="I1273" s="21"/>
      <c r="J1273" s="24"/>
      <c r="K1273" s="25">
        <f t="shared" si="1094"/>
        <v>2</v>
      </c>
      <c r="L1273" s="11">
        <f t="shared" si="1082"/>
        <v>3</v>
      </c>
      <c r="M1273" s="71">
        <v>45785</v>
      </c>
      <c r="N1273" s="12" t="s">
        <v>748</v>
      </c>
      <c r="O1273" s="20"/>
      <c r="P1273" s="35"/>
      <c r="Q1273" s="21">
        <v>10</v>
      </c>
      <c r="R1273" s="38">
        <v>5</v>
      </c>
      <c r="S1273" s="9">
        <f t="shared" si="1095"/>
        <v>15</v>
      </c>
      <c r="T1273" s="20"/>
      <c r="U1273" s="35"/>
      <c r="V1273" s="21">
        <v>10</v>
      </c>
      <c r="W1273" s="38">
        <v>5</v>
      </c>
      <c r="X1273" s="9">
        <f t="shared" si="1096"/>
        <v>15</v>
      </c>
      <c r="Y1273" s="11">
        <f t="shared" si="1085"/>
        <v>30</v>
      </c>
      <c r="Z1273" s="69">
        <v>45803</v>
      </c>
      <c r="AA1273" s="41"/>
    </row>
    <row r="1274" spans="1:27" x14ac:dyDescent="0.15">
      <c r="A1274" s="59" t="s">
        <v>27</v>
      </c>
      <c r="B1274" s="20">
        <v>4</v>
      </c>
      <c r="C1274" s="35">
        <v>3</v>
      </c>
      <c r="D1274" s="21">
        <v>4</v>
      </c>
      <c r="E1274" s="24">
        <v>3</v>
      </c>
      <c r="F1274" s="25">
        <f t="shared" si="1093"/>
        <v>14</v>
      </c>
      <c r="G1274" s="20">
        <v>3</v>
      </c>
      <c r="H1274" s="35">
        <v>12</v>
      </c>
      <c r="I1274" s="21">
        <v>1</v>
      </c>
      <c r="J1274" s="24">
        <v>2</v>
      </c>
      <c r="K1274" s="25">
        <f t="shared" si="1094"/>
        <v>18</v>
      </c>
      <c r="L1274" s="11">
        <f t="shared" si="1082"/>
        <v>32</v>
      </c>
      <c r="M1274" s="71">
        <v>45789</v>
      </c>
      <c r="N1274" s="40" t="s">
        <v>26</v>
      </c>
      <c r="O1274" s="20"/>
      <c r="P1274" s="35"/>
      <c r="Q1274" s="21"/>
      <c r="R1274" s="38"/>
      <c r="S1274" s="9">
        <f t="shared" si="1095"/>
        <v>0</v>
      </c>
      <c r="T1274" s="20">
        <v>15</v>
      </c>
      <c r="U1274" s="35"/>
      <c r="V1274" s="21"/>
      <c r="W1274" s="38"/>
      <c r="X1274" s="9">
        <f t="shared" si="1096"/>
        <v>15</v>
      </c>
      <c r="Y1274" s="11">
        <f t="shared" si="1085"/>
        <v>15</v>
      </c>
      <c r="Z1274" s="69">
        <v>45805</v>
      </c>
      <c r="AA1274" s="41"/>
    </row>
    <row r="1275" spans="1:27" x14ac:dyDescent="0.15">
      <c r="A1275" s="59" t="s">
        <v>421</v>
      </c>
      <c r="B1275" s="20"/>
      <c r="C1275" s="35"/>
      <c r="D1275" s="21"/>
      <c r="E1275" s="24">
        <v>1</v>
      </c>
      <c r="F1275" s="25">
        <f t="shared" si="1093"/>
        <v>1</v>
      </c>
      <c r="G1275" s="20"/>
      <c r="H1275" s="35"/>
      <c r="I1275" s="21"/>
      <c r="J1275" s="24">
        <v>1</v>
      </c>
      <c r="K1275" s="25">
        <f t="shared" si="1094"/>
        <v>1</v>
      </c>
      <c r="L1275" s="11">
        <f t="shared" si="1082"/>
        <v>2</v>
      </c>
      <c r="M1275" s="69">
        <v>45790</v>
      </c>
      <c r="N1275" s="12" t="s">
        <v>750</v>
      </c>
      <c r="O1275" s="20">
        <v>5</v>
      </c>
      <c r="P1275" s="35">
        <v>5</v>
      </c>
      <c r="Q1275" s="21">
        <v>5</v>
      </c>
      <c r="R1275" s="38"/>
      <c r="S1275" s="9">
        <f t="shared" si="1095"/>
        <v>15</v>
      </c>
      <c r="T1275" s="20">
        <v>5</v>
      </c>
      <c r="U1275" s="35">
        <v>5</v>
      </c>
      <c r="V1275" s="21">
        <v>5</v>
      </c>
      <c r="W1275" s="38"/>
      <c r="X1275" s="9">
        <f t="shared" si="1096"/>
        <v>15</v>
      </c>
      <c r="Y1275" s="11">
        <f t="shared" si="1085"/>
        <v>30</v>
      </c>
      <c r="Z1275" s="69">
        <v>45810</v>
      </c>
      <c r="AA1275" s="41"/>
    </row>
    <row r="1276" spans="1:27" x14ac:dyDescent="0.15">
      <c r="A1276" s="59" t="s">
        <v>27</v>
      </c>
      <c r="B1276" s="20">
        <v>2</v>
      </c>
      <c r="C1276" s="35"/>
      <c r="D1276" s="21"/>
      <c r="E1276" s="24"/>
      <c r="F1276" s="25">
        <f t="shared" si="1093"/>
        <v>2</v>
      </c>
      <c r="G1276" s="20"/>
      <c r="H1276" s="35"/>
      <c r="I1276" s="21"/>
      <c r="J1276" s="24"/>
      <c r="K1276" s="25">
        <f t="shared" si="1094"/>
        <v>0</v>
      </c>
      <c r="L1276" s="11">
        <f t="shared" si="1082"/>
        <v>2</v>
      </c>
      <c r="M1276" s="71">
        <v>45790</v>
      </c>
      <c r="N1276" s="40" t="s">
        <v>26</v>
      </c>
      <c r="O1276" s="20">
        <v>5</v>
      </c>
      <c r="P1276" s="35">
        <v>10</v>
      </c>
      <c r="Q1276" s="21">
        <v>10</v>
      </c>
      <c r="R1276" s="38"/>
      <c r="S1276" s="9">
        <f t="shared" si="1095"/>
        <v>25</v>
      </c>
      <c r="T1276" s="20"/>
      <c r="U1276" s="35">
        <v>10</v>
      </c>
      <c r="V1276" s="21">
        <v>10</v>
      </c>
      <c r="W1276" s="38">
        <v>5</v>
      </c>
      <c r="X1276" s="9">
        <f t="shared" si="1096"/>
        <v>25</v>
      </c>
      <c r="Y1276" s="11">
        <f t="shared" si="1085"/>
        <v>50</v>
      </c>
      <c r="Z1276" s="69">
        <v>45808</v>
      </c>
    </row>
    <row r="1277" spans="1:27" x14ac:dyDescent="0.15">
      <c r="A1277" s="59" t="s">
        <v>27</v>
      </c>
      <c r="B1277" s="20"/>
      <c r="C1277" s="35"/>
      <c r="D1277" s="21"/>
      <c r="E1277" s="24">
        <v>1</v>
      </c>
      <c r="F1277" s="25">
        <f t="shared" si="1093"/>
        <v>1</v>
      </c>
      <c r="G1277" s="20">
        <v>1</v>
      </c>
      <c r="H1277" s="35"/>
      <c r="I1277" s="21">
        <v>1</v>
      </c>
      <c r="J1277" s="24">
        <v>1</v>
      </c>
      <c r="K1277" s="25">
        <f t="shared" si="1094"/>
        <v>3</v>
      </c>
      <c r="L1277" s="11">
        <f t="shared" si="1082"/>
        <v>4</v>
      </c>
      <c r="M1277" s="71">
        <v>45791</v>
      </c>
      <c r="N1277" s="40" t="s">
        <v>26</v>
      </c>
      <c r="O1277" s="20">
        <v>5</v>
      </c>
      <c r="P1277" s="35">
        <v>5</v>
      </c>
      <c r="Q1277" s="21">
        <v>5</v>
      </c>
      <c r="R1277" s="38">
        <v>5</v>
      </c>
      <c r="S1277" s="9">
        <f t="shared" si="1095"/>
        <v>20</v>
      </c>
      <c r="T1277" s="20">
        <v>10</v>
      </c>
      <c r="U1277" s="35">
        <v>10</v>
      </c>
      <c r="V1277" s="21">
        <v>15</v>
      </c>
      <c r="W1277" s="38">
        <v>5</v>
      </c>
      <c r="X1277" s="9">
        <f t="shared" si="1096"/>
        <v>40</v>
      </c>
      <c r="Y1277" s="11">
        <f t="shared" si="1085"/>
        <v>60</v>
      </c>
      <c r="Z1277" s="69">
        <v>45821</v>
      </c>
    </row>
    <row r="1278" spans="1:27" x14ac:dyDescent="0.15">
      <c r="A1278" s="59" t="s">
        <v>27</v>
      </c>
      <c r="B1278" s="20">
        <v>1</v>
      </c>
      <c r="C1278" s="35"/>
      <c r="D1278" s="21">
        <v>1</v>
      </c>
      <c r="E1278" s="24"/>
      <c r="F1278" s="25">
        <f t="shared" si="1093"/>
        <v>2</v>
      </c>
      <c r="G1278" s="20">
        <v>4</v>
      </c>
      <c r="H1278" s="35"/>
      <c r="I1278" s="21">
        <v>1</v>
      </c>
      <c r="J1278" s="24"/>
      <c r="K1278" s="25">
        <f t="shared" si="1094"/>
        <v>5</v>
      </c>
      <c r="L1278" s="11">
        <f t="shared" si="1082"/>
        <v>7</v>
      </c>
      <c r="M1278" s="71">
        <v>45792</v>
      </c>
      <c r="N1278" s="12" t="s">
        <v>757</v>
      </c>
      <c r="O1278" s="20">
        <v>5</v>
      </c>
      <c r="P1278" s="35">
        <v>5</v>
      </c>
      <c r="Q1278" s="21"/>
      <c r="R1278" s="38"/>
      <c r="S1278" s="9">
        <f t="shared" ref="S1278:S1283" si="1097">SUM(O1278:R1278)</f>
        <v>10</v>
      </c>
      <c r="T1278" s="20">
        <v>5</v>
      </c>
      <c r="U1278" s="35">
        <v>5</v>
      </c>
      <c r="V1278" s="21"/>
      <c r="W1278" s="38"/>
      <c r="X1278" s="9">
        <f t="shared" ref="X1278:X1283" si="1098">SUM(T1278:W1278)</f>
        <v>10</v>
      </c>
      <c r="Y1278" s="11">
        <f t="shared" si="1085"/>
        <v>20</v>
      </c>
      <c r="Z1278" s="69">
        <v>45827</v>
      </c>
    </row>
    <row r="1279" spans="1:27" x14ac:dyDescent="0.15">
      <c r="A1279" s="59" t="s">
        <v>27</v>
      </c>
      <c r="B1279" s="20">
        <v>3</v>
      </c>
      <c r="C1279" s="35"/>
      <c r="D1279" s="21">
        <v>1</v>
      </c>
      <c r="E1279" s="24"/>
      <c r="F1279" s="25">
        <f t="shared" si="1093"/>
        <v>4</v>
      </c>
      <c r="G1279" s="20">
        <v>2</v>
      </c>
      <c r="H1279" s="35"/>
      <c r="I1279" s="21">
        <v>1</v>
      </c>
      <c r="J1279" s="24"/>
      <c r="K1279" s="25">
        <f t="shared" si="1094"/>
        <v>3</v>
      </c>
      <c r="L1279" s="11">
        <f t="shared" si="1082"/>
        <v>7</v>
      </c>
      <c r="M1279" s="71">
        <v>45793</v>
      </c>
      <c r="N1279" s="15"/>
      <c r="O1279" s="20"/>
      <c r="P1279" s="35"/>
      <c r="Q1279" s="21"/>
      <c r="R1279" s="38"/>
      <c r="S1279" s="9">
        <f t="shared" si="1097"/>
        <v>0</v>
      </c>
      <c r="T1279" s="20"/>
      <c r="U1279" s="35"/>
      <c r="V1279" s="21"/>
      <c r="W1279" s="38"/>
      <c r="X1279" s="9">
        <f t="shared" si="1098"/>
        <v>0</v>
      </c>
      <c r="Y1279" s="11">
        <f t="shared" si="1085"/>
        <v>0</v>
      </c>
      <c r="Z1279" s="162"/>
    </row>
    <row r="1280" spans="1:27" x14ac:dyDescent="0.15">
      <c r="A1280" s="59" t="s">
        <v>27</v>
      </c>
      <c r="B1280" s="20">
        <v>2</v>
      </c>
      <c r="C1280" s="35">
        <v>1</v>
      </c>
      <c r="D1280" s="21"/>
      <c r="E1280" s="24"/>
      <c r="F1280" s="25">
        <f t="shared" si="1093"/>
        <v>3</v>
      </c>
      <c r="G1280" s="20">
        <v>4</v>
      </c>
      <c r="H1280" s="35">
        <v>1</v>
      </c>
      <c r="I1280" s="21">
        <v>1</v>
      </c>
      <c r="J1280" s="24"/>
      <c r="K1280" s="25">
        <f t="shared" si="1094"/>
        <v>6</v>
      </c>
      <c r="L1280" s="11">
        <f t="shared" si="1082"/>
        <v>9</v>
      </c>
      <c r="M1280" s="69">
        <v>45796</v>
      </c>
      <c r="N1280" s="15"/>
      <c r="O1280" s="20"/>
      <c r="P1280" s="35"/>
      <c r="Q1280" s="21"/>
      <c r="R1280" s="38"/>
      <c r="S1280" s="9">
        <f t="shared" si="1097"/>
        <v>0</v>
      </c>
      <c r="T1280" s="20"/>
      <c r="U1280" s="35"/>
      <c r="V1280" s="21"/>
      <c r="W1280" s="38"/>
      <c r="X1280" s="9">
        <f t="shared" si="1098"/>
        <v>0</v>
      </c>
      <c r="Y1280" s="11">
        <f t="shared" si="1085"/>
        <v>0</v>
      </c>
    </row>
    <row r="1281" spans="1:27" x14ac:dyDescent="0.15">
      <c r="A1281" s="59" t="s">
        <v>27</v>
      </c>
      <c r="B1281" s="20"/>
      <c r="C1281" s="35"/>
      <c r="D1281" s="21"/>
      <c r="E1281" s="24"/>
      <c r="F1281" s="25">
        <f t="shared" si="1093"/>
        <v>0</v>
      </c>
      <c r="G1281" s="20">
        <v>1</v>
      </c>
      <c r="H1281" s="35"/>
      <c r="I1281" s="21"/>
      <c r="J1281" s="24">
        <v>2</v>
      </c>
      <c r="K1281" s="25">
        <f t="shared" si="1094"/>
        <v>3</v>
      </c>
      <c r="L1281" s="11">
        <f t="shared" si="1082"/>
        <v>3</v>
      </c>
      <c r="M1281" s="69">
        <v>45797</v>
      </c>
      <c r="N1281" s="15"/>
      <c r="O1281" s="20"/>
      <c r="P1281" s="35"/>
      <c r="Q1281" s="21"/>
      <c r="R1281" s="38"/>
      <c r="S1281" s="9">
        <f t="shared" si="1097"/>
        <v>0</v>
      </c>
      <c r="T1281" s="20"/>
      <c r="U1281" s="35"/>
      <c r="V1281" s="21"/>
      <c r="W1281" s="38"/>
      <c r="X1281" s="9">
        <f t="shared" si="1098"/>
        <v>0</v>
      </c>
      <c r="Y1281" s="11">
        <f t="shared" si="1085"/>
        <v>0</v>
      </c>
    </row>
    <row r="1282" spans="1:27" x14ac:dyDescent="0.15">
      <c r="A1282" s="59" t="s">
        <v>421</v>
      </c>
      <c r="B1282" s="20">
        <v>2</v>
      </c>
      <c r="C1282" s="35"/>
      <c r="D1282" s="21">
        <v>1</v>
      </c>
      <c r="E1282" s="24"/>
      <c r="F1282" s="25">
        <f t="shared" si="1093"/>
        <v>3</v>
      </c>
      <c r="G1282" s="20">
        <v>2</v>
      </c>
      <c r="H1282" s="35"/>
      <c r="I1282" s="21">
        <v>2</v>
      </c>
      <c r="J1282" s="24"/>
      <c r="K1282" s="25">
        <f t="shared" si="1094"/>
        <v>4</v>
      </c>
      <c r="L1282" s="11">
        <f t="shared" si="1082"/>
        <v>7</v>
      </c>
      <c r="M1282" s="69">
        <v>45799</v>
      </c>
      <c r="N1282" s="15"/>
      <c r="O1282" s="20"/>
      <c r="P1282" s="35"/>
      <c r="Q1282" s="21"/>
      <c r="R1282" s="38"/>
      <c r="S1282" s="9">
        <f t="shared" si="1097"/>
        <v>0</v>
      </c>
      <c r="T1282" s="20"/>
      <c r="U1282" s="35"/>
      <c r="V1282" s="21"/>
      <c r="W1282" s="38"/>
      <c r="X1282" s="9">
        <f t="shared" si="1098"/>
        <v>0</v>
      </c>
      <c r="Y1282" s="11">
        <f t="shared" si="1085"/>
        <v>0</v>
      </c>
    </row>
    <row r="1283" spans="1:27" x14ac:dyDescent="0.15">
      <c r="A1283" s="59" t="s">
        <v>27</v>
      </c>
      <c r="B1283" s="20"/>
      <c r="C1283" s="35"/>
      <c r="D1283" s="21"/>
      <c r="E1283" s="24"/>
      <c r="F1283" s="25">
        <f t="shared" si="1093"/>
        <v>0</v>
      </c>
      <c r="G1283" s="20">
        <v>2</v>
      </c>
      <c r="H1283" s="35"/>
      <c r="I1283" s="21"/>
      <c r="J1283" s="24"/>
      <c r="K1283" s="25">
        <f t="shared" si="1094"/>
        <v>2</v>
      </c>
      <c r="L1283" s="11">
        <f t="shared" si="1082"/>
        <v>2</v>
      </c>
      <c r="M1283" s="71">
        <v>45799</v>
      </c>
      <c r="N1283" s="40"/>
      <c r="O1283" s="48"/>
      <c r="P1283" s="49"/>
      <c r="Q1283" s="50"/>
      <c r="R1283" s="72"/>
      <c r="S1283" s="74">
        <f t="shared" si="1097"/>
        <v>0</v>
      </c>
      <c r="T1283" s="48"/>
      <c r="U1283" s="49"/>
      <c r="V1283" s="50"/>
      <c r="W1283" s="72"/>
      <c r="X1283" s="74">
        <f t="shared" si="1098"/>
        <v>0</v>
      </c>
      <c r="Y1283" s="11">
        <f t="shared" si="1085"/>
        <v>0</v>
      </c>
    </row>
    <row r="1284" spans="1:27" x14ac:dyDescent="0.15">
      <c r="A1284" s="59" t="s">
        <v>27</v>
      </c>
      <c r="B1284" s="20"/>
      <c r="C1284" s="35">
        <v>1</v>
      </c>
      <c r="D1284" s="21"/>
      <c r="E1284" s="24"/>
      <c r="F1284" s="25">
        <f t="shared" si="1093"/>
        <v>1</v>
      </c>
      <c r="G1284" s="20">
        <v>1</v>
      </c>
      <c r="H1284" s="35">
        <v>1</v>
      </c>
      <c r="I1284" s="21"/>
      <c r="J1284" s="24"/>
      <c r="K1284" s="25">
        <f t="shared" si="1094"/>
        <v>2</v>
      </c>
      <c r="L1284" s="11">
        <f t="shared" si="1082"/>
        <v>3</v>
      </c>
      <c r="M1284" s="71">
        <v>45800</v>
      </c>
      <c r="N1284" s="40"/>
      <c r="O1284" s="48"/>
      <c r="P1284" s="49"/>
      <c r="Q1284" s="50"/>
      <c r="R1284" s="72"/>
      <c r="S1284" s="74">
        <f t="shared" ref="S1284:S1285" si="1099">SUM(O1284:R1284)</f>
        <v>0</v>
      </c>
      <c r="T1284" s="48"/>
      <c r="U1284" s="49"/>
      <c r="V1284" s="50"/>
      <c r="W1284" s="72"/>
      <c r="X1284" s="74">
        <f t="shared" ref="X1284:X1285" si="1100">SUM(T1284:W1284)</f>
        <v>0</v>
      </c>
      <c r="Y1284" s="11">
        <f t="shared" ref="Y1284:Y1285" si="1101">S1284+X1284</f>
        <v>0</v>
      </c>
    </row>
    <row r="1285" spans="1:27" x14ac:dyDescent="0.15">
      <c r="A1285" s="59" t="s">
        <v>27</v>
      </c>
      <c r="B1285" s="20">
        <v>4</v>
      </c>
      <c r="C1285" s="35">
        <f>3+1+1</f>
        <v>5</v>
      </c>
      <c r="D1285" s="21">
        <f>1+5</f>
        <v>6</v>
      </c>
      <c r="E1285" s="24">
        <v>1</v>
      </c>
      <c r="F1285" s="25">
        <f t="shared" si="1093"/>
        <v>16</v>
      </c>
      <c r="G1285" s="20">
        <f>1+7</f>
        <v>8</v>
      </c>
      <c r="H1285" s="35">
        <f>1+2+1+1</f>
        <v>5</v>
      </c>
      <c r="I1285" s="21">
        <v>5</v>
      </c>
      <c r="J1285" s="24">
        <v>2</v>
      </c>
      <c r="K1285" s="25">
        <f t="shared" si="1094"/>
        <v>20</v>
      </c>
      <c r="L1285" s="11">
        <f t="shared" si="1082"/>
        <v>36</v>
      </c>
      <c r="M1285" s="69">
        <v>45803</v>
      </c>
      <c r="N1285" s="40"/>
      <c r="O1285" s="48"/>
      <c r="P1285" s="49"/>
      <c r="Q1285" s="50"/>
      <c r="R1285" s="72"/>
      <c r="S1285" s="74">
        <f t="shared" si="1099"/>
        <v>0</v>
      </c>
      <c r="T1285" s="48"/>
      <c r="U1285" s="49"/>
      <c r="V1285" s="50"/>
      <c r="W1285" s="72"/>
      <c r="X1285" s="74">
        <f t="shared" si="1100"/>
        <v>0</v>
      </c>
      <c r="Y1285" s="11">
        <f t="shared" si="1101"/>
        <v>0</v>
      </c>
    </row>
    <row r="1286" spans="1:27" x14ac:dyDescent="0.15">
      <c r="A1286" s="59" t="s">
        <v>27</v>
      </c>
      <c r="B1286" s="20"/>
      <c r="C1286" s="35">
        <v>1</v>
      </c>
      <c r="D1286" s="21"/>
      <c r="E1286" s="24"/>
      <c r="F1286" s="25">
        <f t="shared" si="1093"/>
        <v>1</v>
      </c>
      <c r="G1286" s="20"/>
      <c r="H1286" s="35">
        <v>1</v>
      </c>
      <c r="I1286" s="21"/>
      <c r="J1286" s="24"/>
      <c r="K1286" s="25">
        <f t="shared" si="1094"/>
        <v>1</v>
      </c>
      <c r="L1286" s="11">
        <f t="shared" si="1082"/>
        <v>2</v>
      </c>
      <c r="M1286" s="69">
        <v>45804</v>
      </c>
      <c r="N1286" s="40"/>
      <c r="O1286" s="48"/>
      <c r="P1286" s="49"/>
      <c r="Q1286" s="50"/>
      <c r="R1286" s="72"/>
      <c r="S1286" s="74">
        <f t="shared" ref="S1286:S1287" si="1102">SUM(O1286:R1286)</f>
        <v>0</v>
      </c>
      <c r="T1286" s="48"/>
      <c r="U1286" s="49"/>
      <c r="V1286" s="50"/>
      <c r="W1286" s="72"/>
      <c r="X1286" s="74">
        <f t="shared" ref="X1286:X1287" si="1103">SUM(T1286:W1286)</f>
        <v>0</v>
      </c>
      <c r="Y1286" s="11">
        <f t="shared" ref="Y1286:Y1287" si="1104">S1286+X1286</f>
        <v>0</v>
      </c>
    </row>
    <row r="1287" spans="1:27" x14ac:dyDescent="0.15">
      <c r="A1287" s="59" t="s">
        <v>749</v>
      </c>
      <c r="B1287" s="20"/>
      <c r="C1287" s="35"/>
      <c r="D1287" s="21"/>
      <c r="E1287" s="24"/>
      <c r="F1287" s="25">
        <f t="shared" si="1093"/>
        <v>0</v>
      </c>
      <c r="G1287" s="20">
        <v>-15</v>
      </c>
      <c r="H1287" s="35"/>
      <c r="I1287" s="21"/>
      <c r="J1287" s="24"/>
      <c r="K1287" s="25">
        <f t="shared" si="1094"/>
        <v>-15</v>
      </c>
      <c r="L1287" s="11">
        <f t="shared" si="1082"/>
        <v>-15</v>
      </c>
      <c r="M1287" s="69">
        <v>45805</v>
      </c>
      <c r="N1287" s="12"/>
      <c r="O1287" s="20"/>
      <c r="P1287" s="35"/>
      <c r="Q1287" s="21"/>
      <c r="R1287" s="38"/>
      <c r="S1287" s="9">
        <f t="shared" si="1102"/>
        <v>0</v>
      </c>
      <c r="T1287" s="20"/>
      <c r="U1287" s="35"/>
      <c r="V1287" s="21"/>
      <c r="W1287" s="38"/>
      <c r="X1287" s="9">
        <f t="shared" si="1103"/>
        <v>0</v>
      </c>
      <c r="Y1287" s="47">
        <f t="shared" si="1104"/>
        <v>0</v>
      </c>
      <c r="Z1287" s="162"/>
      <c r="AA1287" s="41"/>
    </row>
    <row r="1288" spans="1:27" ht="14.25" thickBot="1" x14ac:dyDescent="0.2">
      <c r="A1288" s="59" t="s">
        <v>27</v>
      </c>
      <c r="B1288" s="43"/>
      <c r="C1288" s="44"/>
      <c r="D1288" s="45"/>
      <c r="E1288" s="46"/>
      <c r="F1288" s="25">
        <f t="shared" si="1093"/>
        <v>0</v>
      </c>
      <c r="G1288" s="43"/>
      <c r="H1288" s="44"/>
      <c r="I1288" s="45"/>
      <c r="J1288" s="46">
        <v>1</v>
      </c>
      <c r="K1288" s="25">
        <f t="shared" si="1094"/>
        <v>1</v>
      </c>
      <c r="L1288" s="14">
        <f t="shared" si="1082"/>
        <v>1</v>
      </c>
      <c r="M1288" s="71">
        <v>45805</v>
      </c>
      <c r="N1288" s="99" t="s">
        <v>753</v>
      </c>
      <c r="O1288" s="43">
        <f>10-5-5</f>
        <v>0</v>
      </c>
      <c r="P1288" s="44">
        <f>10-5-5</f>
        <v>0</v>
      </c>
      <c r="Q1288" s="45">
        <f>10-5-5</f>
        <v>0</v>
      </c>
      <c r="R1288" s="100">
        <f>10-5-5</f>
        <v>0</v>
      </c>
      <c r="S1288" s="10">
        <f t="shared" ref="S1288" si="1105">SUM(O1288:R1288)</f>
        <v>0</v>
      </c>
      <c r="T1288" s="43">
        <f>10-5-5</f>
        <v>0</v>
      </c>
      <c r="U1288" s="44">
        <f>10-5-5</f>
        <v>0</v>
      </c>
      <c r="V1288" s="45">
        <f>10-5-5</f>
        <v>0</v>
      </c>
      <c r="W1288" s="100">
        <f>10-5-5</f>
        <v>0</v>
      </c>
      <c r="X1288" s="10">
        <f t="shared" ref="X1288" si="1106">SUM(T1288:W1288)</f>
        <v>0</v>
      </c>
      <c r="Y1288" s="75">
        <f t="shared" ref="Y1288" si="1107">S1288+X1288</f>
        <v>0</v>
      </c>
      <c r="Z1288" s="162" t="s">
        <v>694</v>
      </c>
      <c r="AA1288" s="41"/>
    </row>
    <row r="1289" spans="1:27" ht="14.25" thickBot="1" x14ac:dyDescent="0.2">
      <c r="A1289" s="16" t="s">
        <v>9</v>
      </c>
      <c r="B1289" s="28">
        <f>SUM(B1264:B1288)</f>
        <v>29</v>
      </c>
      <c r="C1289" s="36">
        <f>SUM(C1264:C1288)</f>
        <v>17</v>
      </c>
      <c r="D1289" s="29">
        <f>SUM(D1264:D1288)</f>
        <v>15</v>
      </c>
      <c r="E1289" s="30">
        <f>SUM(E1264:E1288)</f>
        <v>11</v>
      </c>
      <c r="F1289" s="26">
        <f>SUM(B1289:E1289)</f>
        <v>72</v>
      </c>
      <c r="G1289" s="28">
        <f>SUM(G1264:G1288)</f>
        <v>22</v>
      </c>
      <c r="H1289" s="36">
        <f>SUM(H1264:H1288)</f>
        <v>32</v>
      </c>
      <c r="I1289" s="29">
        <f>SUM(I1264:I1288)</f>
        <v>18</v>
      </c>
      <c r="J1289" s="30">
        <f>SUM(J1264:J1288)</f>
        <v>11</v>
      </c>
      <c r="K1289" s="26">
        <f>SUM(G1289:J1289)</f>
        <v>83</v>
      </c>
      <c r="L1289" s="27">
        <f t="shared" si="1082"/>
        <v>155</v>
      </c>
      <c r="N1289" s="105" t="s">
        <v>9</v>
      </c>
      <c r="O1289" s="28">
        <f>SUM(O1264:O1288)</f>
        <v>47</v>
      </c>
      <c r="P1289" s="36">
        <f t="shared" ref="P1289" si="1108">SUM(P1264:P1288)</f>
        <v>49</v>
      </c>
      <c r="Q1289" s="29">
        <f t="shared" ref="Q1289" si="1109">SUM(Q1264:Q1288)</f>
        <v>40</v>
      </c>
      <c r="R1289" s="30">
        <f t="shared" ref="R1289" si="1110">SUM(R1264:R1288)</f>
        <v>35</v>
      </c>
      <c r="S1289" s="60">
        <f>SUM(O1289:R1289)</f>
        <v>171</v>
      </c>
      <c r="T1289" s="28">
        <f>SUM(T1264:T1288)</f>
        <v>64</v>
      </c>
      <c r="U1289" s="36">
        <f t="shared" ref="U1289" si="1111">SUM(U1264:U1288)</f>
        <v>49</v>
      </c>
      <c r="V1289" s="29">
        <f t="shared" ref="V1289" si="1112">SUM(V1264:V1288)</f>
        <v>45</v>
      </c>
      <c r="W1289" s="30">
        <f t="shared" ref="W1289" si="1113">SUM(W1264:W1288)</f>
        <v>35</v>
      </c>
      <c r="X1289" s="60">
        <f>SUM(T1289:W1289)</f>
        <v>193</v>
      </c>
      <c r="Y1289" s="63">
        <f>S1289+X1289</f>
        <v>364</v>
      </c>
      <c r="Z1289" s="162"/>
      <c r="AA1289" s="41"/>
    </row>
    <row r="1290" spans="1:27" ht="14.25" thickBot="1" x14ac:dyDescent="0.2">
      <c r="A1290" s="18" t="s">
        <v>10</v>
      </c>
      <c r="B1290" s="31">
        <f t="shared" ref="B1290:K1290" si="1114">B1263-B1289</f>
        <v>23</v>
      </c>
      <c r="C1290" s="37">
        <f t="shared" si="1114"/>
        <v>23</v>
      </c>
      <c r="D1290" s="32">
        <f t="shared" si="1114"/>
        <v>23</v>
      </c>
      <c r="E1290" s="33">
        <f t="shared" si="1114"/>
        <v>36</v>
      </c>
      <c r="F1290" s="42">
        <f t="shared" si="1114"/>
        <v>105</v>
      </c>
      <c r="G1290" s="31">
        <f t="shared" si="1114"/>
        <v>30</v>
      </c>
      <c r="H1290" s="37">
        <f t="shared" si="1114"/>
        <v>24</v>
      </c>
      <c r="I1290" s="32">
        <f t="shared" si="1114"/>
        <v>22</v>
      </c>
      <c r="J1290" s="33">
        <f t="shared" si="1114"/>
        <v>24</v>
      </c>
      <c r="K1290" s="42">
        <f t="shared" si="1114"/>
        <v>100</v>
      </c>
      <c r="L1290" s="17">
        <f t="shared" si="1082"/>
        <v>205</v>
      </c>
      <c r="N1290" s="16" t="s">
        <v>10</v>
      </c>
      <c r="O1290" s="31">
        <f>O1263-O1289</f>
        <v>418</v>
      </c>
      <c r="P1290" s="37">
        <f t="shared" ref="P1290" si="1115">P1263-P1289</f>
        <v>701</v>
      </c>
      <c r="Q1290" s="32">
        <f t="shared" ref="Q1290" si="1116">Q1263-Q1289</f>
        <v>405</v>
      </c>
      <c r="R1290" s="33">
        <f t="shared" ref="R1290" si="1117">R1263-R1289</f>
        <v>299</v>
      </c>
      <c r="S1290" s="42">
        <f>S1263-S1289</f>
        <v>1823</v>
      </c>
      <c r="T1290" s="31">
        <f>T1263-T1289</f>
        <v>424</v>
      </c>
      <c r="U1290" s="37">
        <f t="shared" ref="U1290" si="1118">U1263-U1289</f>
        <v>594</v>
      </c>
      <c r="V1290" s="32">
        <f t="shared" ref="V1290" si="1119">V1263-V1289</f>
        <v>354</v>
      </c>
      <c r="W1290" s="33">
        <f t="shared" ref="W1290" si="1120">W1263-W1289</f>
        <v>285</v>
      </c>
      <c r="X1290" s="42">
        <f>X1263-X1289</f>
        <v>1657</v>
      </c>
      <c r="Y1290" s="17">
        <f>S1290+X1290</f>
        <v>3480</v>
      </c>
    </row>
    <row r="1293" spans="1:27" ht="19.5" thickBot="1" x14ac:dyDescent="0.25">
      <c r="A1293" s="2" t="s">
        <v>17</v>
      </c>
      <c r="B1293" s="2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N1293" s="2" t="s">
        <v>18</v>
      </c>
      <c r="O1293" s="87"/>
      <c r="P1293" s="87"/>
      <c r="Q1293" s="87"/>
      <c r="R1293" s="87"/>
      <c r="S1293" s="87"/>
      <c r="T1293" s="87"/>
      <c r="U1293" s="87"/>
      <c r="V1293" s="87"/>
      <c r="W1293" s="87"/>
      <c r="X1293" s="87"/>
      <c r="Y1293" s="1"/>
    </row>
    <row r="1294" spans="1:27" ht="14.25" thickBot="1" x14ac:dyDescent="0.2">
      <c r="A1294" s="5" t="s">
        <v>0</v>
      </c>
      <c r="B1294" s="244" t="s">
        <v>19</v>
      </c>
      <c r="C1294" s="245"/>
      <c r="D1294" s="245"/>
      <c r="E1294" s="245"/>
      <c r="F1294" s="246"/>
      <c r="G1294" s="247" t="s">
        <v>20</v>
      </c>
      <c r="H1294" s="248"/>
      <c r="I1294" s="248"/>
      <c r="J1294" s="248"/>
      <c r="K1294" s="249"/>
      <c r="L1294" s="250" t="s">
        <v>1</v>
      </c>
      <c r="N1294" s="5" t="s">
        <v>0</v>
      </c>
      <c r="O1294" s="244" t="s">
        <v>19</v>
      </c>
      <c r="P1294" s="245"/>
      <c r="Q1294" s="245"/>
      <c r="R1294" s="245"/>
      <c r="S1294" s="246"/>
      <c r="T1294" s="247" t="s">
        <v>20</v>
      </c>
      <c r="U1294" s="248"/>
      <c r="V1294" s="248"/>
      <c r="W1294" s="248"/>
      <c r="X1294" s="249"/>
      <c r="Y1294" s="250" t="s">
        <v>1</v>
      </c>
    </row>
    <row r="1295" spans="1:27" ht="14.25" thickBot="1" x14ac:dyDescent="0.2">
      <c r="A1295" s="5" t="s">
        <v>2</v>
      </c>
      <c r="B1295" s="3" t="s">
        <v>11</v>
      </c>
      <c r="C1295" s="34" t="s">
        <v>12</v>
      </c>
      <c r="D1295" s="4" t="s">
        <v>13</v>
      </c>
      <c r="E1295" s="19" t="s">
        <v>14</v>
      </c>
      <c r="F1295" s="23" t="s">
        <v>3</v>
      </c>
      <c r="G1295" s="3" t="s">
        <v>11</v>
      </c>
      <c r="H1295" s="34" t="s">
        <v>12</v>
      </c>
      <c r="I1295" s="4" t="s">
        <v>13</v>
      </c>
      <c r="J1295" s="19" t="s">
        <v>14</v>
      </c>
      <c r="K1295" s="23" t="s">
        <v>3</v>
      </c>
      <c r="L1295" s="251"/>
      <c r="N1295" s="5" t="s">
        <v>2</v>
      </c>
      <c r="O1295" s="53" t="s">
        <v>11</v>
      </c>
      <c r="P1295" s="54" t="s">
        <v>12</v>
      </c>
      <c r="Q1295" s="55" t="s">
        <v>13</v>
      </c>
      <c r="R1295" s="56" t="s">
        <v>14</v>
      </c>
      <c r="S1295" s="23" t="s">
        <v>3</v>
      </c>
      <c r="T1295" s="3" t="s">
        <v>11</v>
      </c>
      <c r="U1295" s="34" t="s">
        <v>12</v>
      </c>
      <c r="V1295" s="4" t="s">
        <v>13</v>
      </c>
      <c r="W1295" s="19" t="s">
        <v>14</v>
      </c>
      <c r="X1295" s="23" t="s">
        <v>3</v>
      </c>
      <c r="Y1295" s="251"/>
    </row>
    <row r="1296" spans="1:27" ht="14.25" thickBot="1" x14ac:dyDescent="0.2">
      <c r="A1296" s="18" t="s">
        <v>15</v>
      </c>
      <c r="B1296" s="31">
        <f>B1290</f>
        <v>23</v>
      </c>
      <c r="C1296" s="32">
        <f>C1290</f>
        <v>23</v>
      </c>
      <c r="D1296" s="32">
        <f>D1290</f>
        <v>23</v>
      </c>
      <c r="E1296" s="33">
        <f>E1290</f>
        <v>36</v>
      </c>
      <c r="F1296" s="86">
        <f>SUM(B1296:E1296)</f>
        <v>105</v>
      </c>
      <c r="G1296" s="31">
        <f>G1290</f>
        <v>30</v>
      </c>
      <c r="H1296" s="32">
        <f>H1290</f>
        <v>24</v>
      </c>
      <c r="I1296" s="32">
        <f>I1290</f>
        <v>22</v>
      </c>
      <c r="J1296" s="33">
        <f>J1290</f>
        <v>24</v>
      </c>
      <c r="K1296" s="80">
        <f>SUM(G1296:J1296)</f>
        <v>100</v>
      </c>
      <c r="L1296" s="17">
        <f>F1296+K1296</f>
        <v>205</v>
      </c>
      <c r="N1296" s="18" t="s">
        <v>15</v>
      </c>
      <c r="O1296" s="31">
        <f>O1290</f>
        <v>418</v>
      </c>
      <c r="P1296" s="32">
        <f t="shared" ref="P1296:Y1296" si="1121">P1290</f>
        <v>701</v>
      </c>
      <c r="Q1296" s="32">
        <f t="shared" si="1121"/>
        <v>405</v>
      </c>
      <c r="R1296" s="33">
        <f t="shared" si="1121"/>
        <v>299</v>
      </c>
      <c r="S1296" s="86">
        <f t="shared" si="1121"/>
        <v>1823</v>
      </c>
      <c r="T1296" s="31">
        <f t="shared" si="1121"/>
        <v>424</v>
      </c>
      <c r="U1296" s="32">
        <f t="shared" si="1121"/>
        <v>594</v>
      </c>
      <c r="V1296" s="32">
        <f t="shared" si="1121"/>
        <v>354</v>
      </c>
      <c r="W1296" s="33">
        <f t="shared" si="1121"/>
        <v>285</v>
      </c>
      <c r="X1296" s="80">
        <f t="shared" si="1121"/>
        <v>1657</v>
      </c>
      <c r="Y1296" s="17">
        <f t="shared" si="1121"/>
        <v>3480</v>
      </c>
    </row>
    <row r="1297" spans="1:26" x14ac:dyDescent="0.15">
      <c r="A1297" s="13" t="s">
        <v>4</v>
      </c>
      <c r="B1297" s="20">
        <v>5</v>
      </c>
      <c r="C1297" s="35">
        <v>10</v>
      </c>
      <c r="D1297" s="21">
        <v>10</v>
      </c>
      <c r="E1297" s="24"/>
      <c r="F1297" s="25">
        <f t="shared" ref="F1297:F1300" si="1122">SUM(B1297:E1297)</f>
        <v>25</v>
      </c>
      <c r="G1297" s="20"/>
      <c r="H1297" s="35">
        <v>10</v>
      </c>
      <c r="I1297" s="21">
        <v>10</v>
      </c>
      <c r="J1297" s="24">
        <v>5</v>
      </c>
      <c r="K1297" s="25">
        <f t="shared" ref="K1297:K1300" si="1123">SUM(G1297:J1297)</f>
        <v>25</v>
      </c>
      <c r="L1297" s="11">
        <f t="shared" ref="L1297:L1328" si="1124">F1297+K1297</f>
        <v>50</v>
      </c>
      <c r="M1297" s="69">
        <v>45808</v>
      </c>
      <c r="N1297" s="59" t="s">
        <v>16</v>
      </c>
      <c r="O1297" s="48"/>
      <c r="P1297" s="49"/>
      <c r="Q1297" s="50"/>
      <c r="R1297" s="51"/>
      <c r="S1297" s="85">
        <f t="shared" ref="S1297:S1299" si="1125">SUM(O1297:R1297)</f>
        <v>0</v>
      </c>
      <c r="T1297" s="48"/>
      <c r="U1297" s="49"/>
      <c r="V1297" s="50"/>
      <c r="W1297" s="51"/>
      <c r="X1297" s="74">
        <f t="shared" ref="X1297:X1299" si="1126">SUM(T1297:W1297)</f>
        <v>0</v>
      </c>
      <c r="Y1297" s="11">
        <f t="shared" ref="Y1297:Y1321" si="1127">S1297+X1297</f>
        <v>0</v>
      </c>
    </row>
    <row r="1298" spans="1:26" x14ac:dyDescent="0.15">
      <c r="A1298" s="13" t="s">
        <v>5</v>
      </c>
      <c r="B1298" s="20">
        <v>5</v>
      </c>
      <c r="C1298" s="35">
        <v>5</v>
      </c>
      <c r="D1298" s="21">
        <v>5</v>
      </c>
      <c r="E1298" s="24">
        <v>5</v>
      </c>
      <c r="F1298" s="25">
        <f t="shared" si="1122"/>
        <v>20</v>
      </c>
      <c r="G1298" s="20">
        <v>10</v>
      </c>
      <c r="H1298" s="35">
        <v>10</v>
      </c>
      <c r="I1298" s="21">
        <v>15</v>
      </c>
      <c r="J1298" s="24">
        <v>5</v>
      </c>
      <c r="K1298" s="25">
        <f t="shared" si="1123"/>
        <v>40</v>
      </c>
      <c r="L1298" s="11">
        <f t="shared" si="1124"/>
        <v>60</v>
      </c>
      <c r="M1298" s="69">
        <v>45821</v>
      </c>
      <c r="N1298" s="59" t="s">
        <v>4</v>
      </c>
      <c r="O1298" s="48"/>
      <c r="P1298" s="49"/>
      <c r="Q1298" s="50"/>
      <c r="R1298" s="51"/>
      <c r="S1298" s="85">
        <f t="shared" si="1125"/>
        <v>0</v>
      </c>
      <c r="T1298" s="48"/>
      <c r="U1298" s="49"/>
      <c r="V1298" s="50"/>
      <c r="W1298" s="51"/>
      <c r="X1298" s="74">
        <f t="shared" si="1126"/>
        <v>0</v>
      </c>
      <c r="Y1298" s="11">
        <f t="shared" si="1127"/>
        <v>0</v>
      </c>
    </row>
    <row r="1299" spans="1:26" x14ac:dyDescent="0.15">
      <c r="A1299" s="59" t="s">
        <v>759</v>
      </c>
      <c r="B1299" s="20">
        <v>1</v>
      </c>
      <c r="C1299" s="35"/>
      <c r="D1299" s="21"/>
      <c r="E1299" s="24"/>
      <c r="F1299" s="25">
        <f t="shared" si="1122"/>
        <v>1</v>
      </c>
      <c r="G1299" s="20">
        <v>1</v>
      </c>
      <c r="H1299" s="35"/>
      <c r="I1299" s="21"/>
      <c r="J1299" s="24"/>
      <c r="K1299" s="25">
        <f t="shared" si="1123"/>
        <v>1</v>
      </c>
      <c r="L1299" s="11">
        <f t="shared" si="1124"/>
        <v>2</v>
      </c>
      <c r="M1299" s="71">
        <v>45826</v>
      </c>
      <c r="N1299" s="59" t="s">
        <v>5</v>
      </c>
      <c r="O1299" s="48"/>
      <c r="P1299" s="49"/>
      <c r="Q1299" s="50"/>
      <c r="R1299" s="51"/>
      <c r="S1299" s="85">
        <f t="shared" si="1125"/>
        <v>0</v>
      </c>
      <c r="T1299" s="48"/>
      <c r="U1299" s="49"/>
      <c r="V1299" s="50"/>
      <c r="W1299" s="51"/>
      <c r="X1299" s="74">
        <f t="shared" si="1126"/>
        <v>0</v>
      </c>
      <c r="Y1299" s="11">
        <f t="shared" si="1127"/>
        <v>0</v>
      </c>
    </row>
    <row r="1300" spans="1:26" ht="14.25" thickBot="1" x14ac:dyDescent="0.2">
      <c r="A1300" s="13" t="s">
        <v>192</v>
      </c>
      <c r="B1300" s="48"/>
      <c r="C1300" s="49"/>
      <c r="D1300" s="50">
        <v>3</v>
      </c>
      <c r="E1300" s="51">
        <v>2</v>
      </c>
      <c r="F1300" s="52">
        <f t="shared" si="1122"/>
        <v>5</v>
      </c>
      <c r="G1300" s="48">
        <v>3</v>
      </c>
      <c r="H1300" s="49">
        <v>2</v>
      </c>
      <c r="I1300" s="50"/>
      <c r="J1300" s="51">
        <v>1</v>
      </c>
      <c r="K1300" s="52">
        <f t="shared" si="1123"/>
        <v>6</v>
      </c>
      <c r="L1300" s="11">
        <f t="shared" si="1124"/>
        <v>11</v>
      </c>
      <c r="M1300" s="71">
        <v>45825</v>
      </c>
      <c r="N1300" s="13" t="s">
        <v>6</v>
      </c>
      <c r="O1300" s="43"/>
      <c r="P1300" s="44"/>
      <c r="Q1300" s="45"/>
      <c r="R1300" s="46"/>
      <c r="S1300" s="58">
        <f>SUM(O1300:R1300)</f>
        <v>0</v>
      </c>
      <c r="T1300" s="35"/>
      <c r="U1300" s="35"/>
      <c r="V1300" s="21"/>
      <c r="W1300" s="38"/>
      <c r="X1300" s="10">
        <f>SUM(T1300:W1300)</f>
        <v>0</v>
      </c>
      <c r="Y1300" s="14">
        <f t="shared" si="1127"/>
        <v>0</v>
      </c>
    </row>
    <row r="1301" spans="1:26" ht="14.25" thickBot="1" x14ac:dyDescent="0.2">
      <c r="A1301" s="18" t="s">
        <v>8</v>
      </c>
      <c r="B1301" s="76">
        <f t="shared" ref="B1301:K1301" si="1128">SUM(B1296:B1300)</f>
        <v>34</v>
      </c>
      <c r="C1301" s="77">
        <f t="shared" si="1128"/>
        <v>38</v>
      </c>
      <c r="D1301" s="78">
        <f t="shared" si="1128"/>
        <v>41</v>
      </c>
      <c r="E1301" s="79">
        <f t="shared" si="1128"/>
        <v>43</v>
      </c>
      <c r="F1301" s="80">
        <f t="shared" si="1128"/>
        <v>156</v>
      </c>
      <c r="G1301" s="76">
        <f t="shared" si="1128"/>
        <v>44</v>
      </c>
      <c r="H1301" s="77">
        <f t="shared" si="1128"/>
        <v>46</v>
      </c>
      <c r="I1301" s="78">
        <f t="shared" si="1128"/>
        <v>47</v>
      </c>
      <c r="J1301" s="79">
        <f t="shared" si="1128"/>
        <v>35</v>
      </c>
      <c r="K1301" s="80">
        <f t="shared" si="1128"/>
        <v>172</v>
      </c>
      <c r="L1301" s="17">
        <f t="shared" si="1124"/>
        <v>328</v>
      </c>
      <c r="N1301" s="16" t="s">
        <v>8</v>
      </c>
      <c r="O1301" s="31">
        <f>SUM(O1296:O1300)</f>
        <v>418</v>
      </c>
      <c r="P1301" s="37">
        <f t="shared" ref="P1301" si="1129">SUM(P1296:P1300)</f>
        <v>701</v>
      </c>
      <c r="Q1301" s="32">
        <f t="shared" ref="Q1301" si="1130">SUM(Q1296:Q1300)</f>
        <v>405</v>
      </c>
      <c r="R1301" s="82">
        <f t="shared" ref="R1301" si="1131">SUM(R1296:R1300)</f>
        <v>299</v>
      </c>
      <c r="S1301" s="83">
        <f>SUM(S1296:S1300)</f>
        <v>1823</v>
      </c>
      <c r="T1301" s="31">
        <f>SUM(T1296:T1300)</f>
        <v>424</v>
      </c>
      <c r="U1301" s="37">
        <f t="shared" ref="U1301" si="1132">SUM(U1296:U1300)</f>
        <v>594</v>
      </c>
      <c r="V1301" s="32">
        <f t="shared" ref="V1301" si="1133">SUM(V1296:V1300)</f>
        <v>354</v>
      </c>
      <c r="W1301" s="82">
        <f t="shared" ref="W1301" si="1134">SUM(W1296:W1300)</f>
        <v>285</v>
      </c>
      <c r="X1301" s="83">
        <f>SUM(X1296:X1300)</f>
        <v>1657</v>
      </c>
      <c r="Y1301" s="39">
        <f>S1301+X1301</f>
        <v>3480</v>
      </c>
    </row>
    <row r="1302" spans="1:26" x14ac:dyDescent="0.15">
      <c r="A1302" s="59" t="s">
        <v>27</v>
      </c>
      <c r="B1302" s="20"/>
      <c r="C1302" s="35">
        <v>2</v>
      </c>
      <c r="D1302" s="21"/>
      <c r="E1302" s="24"/>
      <c r="F1302" s="25">
        <f t="shared" ref="F1302:F1326" si="1135">SUM(B1302:E1302)</f>
        <v>2</v>
      </c>
      <c r="G1302" s="20"/>
      <c r="H1302" s="35">
        <v>2</v>
      </c>
      <c r="I1302" s="21"/>
      <c r="J1302" s="24"/>
      <c r="K1302" s="25">
        <f t="shared" ref="K1302:K1326" si="1136">SUM(G1302:J1302)</f>
        <v>2</v>
      </c>
      <c r="L1302" s="11">
        <f t="shared" si="1124"/>
        <v>4</v>
      </c>
      <c r="M1302" s="69">
        <v>45806</v>
      </c>
      <c r="N1302" s="12" t="s">
        <v>760</v>
      </c>
      <c r="O1302" s="20"/>
      <c r="P1302" s="35">
        <v>4</v>
      </c>
      <c r="Q1302" s="21"/>
      <c r="R1302" s="38"/>
      <c r="S1302" s="9">
        <f t="shared" ref="S1302" si="1137">SUM(O1302:R1302)</f>
        <v>4</v>
      </c>
      <c r="T1302" s="20"/>
      <c r="U1302" s="35">
        <v>4</v>
      </c>
      <c r="V1302" s="21"/>
      <c r="W1302" s="38"/>
      <c r="X1302" s="9">
        <f t="shared" ref="X1302" si="1138">SUM(T1302:W1302)</f>
        <v>4</v>
      </c>
      <c r="Y1302" s="11">
        <f t="shared" ref="Y1302" si="1139">S1302+X1302</f>
        <v>8</v>
      </c>
      <c r="Z1302" s="69">
        <v>45847</v>
      </c>
    </row>
    <row r="1303" spans="1:26" x14ac:dyDescent="0.15">
      <c r="A1303" s="59" t="s">
        <v>27</v>
      </c>
      <c r="B1303" s="20">
        <v>1</v>
      </c>
      <c r="C1303" s="35">
        <f>1+1</f>
        <v>2</v>
      </c>
      <c r="D1303" s="21"/>
      <c r="E1303" s="24"/>
      <c r="F1303" s="25">
        <f t="shared" si="1135"/>
        <v>3</v>
      </c>
      <c r="G1303" s="20">
        <v>1</v>
      </c>
      <c r="H1303" s="35">
        <v>1</v>
      </c>
      <c r="I1303" s="21"/>
      <c r="J1303" s="24"/>
      <c r="K1303" s="25">
        <f t="shared" si="1136"/>
        <v>2</v>
      </c>
      <c r="L1303" s="11">
        <f t="shared" si="1124"/>
        <v>5</v>
      </c>
      <c r="M1303" s="69">
        <v>45807</v>
      </c>
      <c r="N1303" s="12" t="s">
        <v>770</v>
      </c>
      <c r="O1303" s="20">
        <v>20</v>
      </c>
      <c r="P1303" s="35">
        <v>50</v>
      </c>
      <c r="Q1303" s="21">
        <v>20</v>
      </c>
      <c r="R1303" s="38"/>
      <c r="S1303" s="9">
        <f t="shared" ref="S1303:S1314" si="1140">SUM(O1303:R1303)</f>
        <v>90</v>
      </c>
      <c r="T1303" s="20"/>
      <c r="U1303" s="35">
        <v>50</v>
      </c>
      <c r="V1303" s="21">
        <v>20</v>
      </c>
      <c r="W1303" s="38">
        <v>20</v>
      </c>
      <c r="X1303" s="9">
        <f t="shared" ref="X1303:X1314" si="1141">SUM(T1303:W1303)</f>
        <v>90</v>
      </c>
      <c r="Y1303" s="11">
        <f t="shared" si="1127"/>
        <v>180</v>
      </c>
      <c r="Z1303" s="69">
        <v>45845</v>
      </c>
    </row>
    <row r="1304" spans="1:26" x14ac:dyDescent="0.15">
      <c r="A1304" s="59" t="s">
        <v>27</v>
      </c>
      <c r="B1304" s="20"/>
      <c r="C1304" s="35"/>
      <c r="D1304" s="21"/>
      <c r="E1304" s="24">
        <v>1</v>
      </c>
      <c r="F1304" s="25">
        <f t="shared" si="1135"/>
        <v>1</v>
      </c>
      <c r="G1304" s="20"/>
      <c r="H1304" s="35"/>
      <c r="I1304" s="21"/>
      <c r="J1304" s="24">
        <v>1</v>
      </c>
      <c r="K1304" s="25">
        <f t="shared" si="1136"/>
        <v>1</v>
      </c>
      <c r="L1304" s="11">
        <f t="shared" si="1124"/>
        <v>2</v>
      </c>
      <c r="M1304" s="69">
        <v>45808</v>
      </c>
      <c r="N1304" s="40" t="s">
        <v>26</v>
      </c>
      <c r="O1304" s="20">
        <v>5</v>
      </c>
      <c r="P1304" s="35">
        <v>10</v>
      </c>
      <c r="Q1304" s="21">
        <v>5</v>
      </c>
      <c r="R1304" s="38">
        <v>5</v>
      </c>
      <c r="S1304" s="9">
        <f t="shared" si="1140"/>
        <v>25</v>
      </c>
      <c r="T1304" s="20">
        <v>5</v>
      </c>
      <c r="U1304" s="35">
        <v>5</v>
      </c>
      <c r="V1304" s="21">
        <v>5</v>
      </c>
      <c r="W1304" s="38">
        <v>10</v>
      </c>
      <c r="X1304" s="9">
        <f t="shared" si="1141"/>
        <v>25</v>
      </c>
      <c r="Y1304" s="11">
        <f t="shared" si="1127"/>
        <v>50</v>
      </c>
      <c r="Z1304" s="69">
        <v>45843</v>
      </c>
    </row>
    <row r="1305" spans="1:26" x14ac:dyDescent="0.15">
      <c r="A1305" s="59" t="s">
        <v>27</v>
      </c>
      <c r="B1305" s="20">
        <v>1</v>
      </c>
      <c r="C1305" s="35"/>
      <c r="D1305" s="21">
        <v>1</v>
      </c>
      <c r="E1305" s="24"/>
      <c r="F1305" s="25">
        <f t="shared" si="1135"/>
        <v>2</v>
      </c>
      <c r="G1305" s="20">
        <v>3</v>
      </c>
      <c r="H1305" s="35">
        <v>2</v>
      </c>
      <c r="I1305" s="21">
        <v>1</v>
      </c>
      <c r="J1305" s="24"/>
      <c r="K1305" s="25">
        <f t="shared" si="1136"/>
        <v>6</v>
      </c>
      <c r="L1305" s="11">
        <f t="shared" si="1124"/>
        <v>8</v>
      </c>
      <c r="M1305" s="69">
        <v>45810</v>
      </c>
      <c r="N1305" s="12" t="s">
        <v>776</v>
      </c>
      <c r="O1305" s="20"/>
      <c r="P1305" s="35"/>
      <c r="Q1305" s="21">
        <v>35</v>
      </c>
      <c r="R1305" s="38">
        <v>15</v>
      </c>
      <c r="S1305" s="9">
        <f t="shared" si="1140"/>
        <v>50</v>
      </c>
      <c r="T1305" s="20"/>
      <c r="U1305" s="35"/>
      <c r="V1305" s="21"/>
      <c r="W1305" s="38"/>
      <c r="X1305" s="9">
        <f t="shared" si="1141"/>
        <v>0</v>
      </c>
      <c r="Y1305" s="11">
        <f t="shared" si="1127"/>
        <v>50</v>
      </c>
      <c r="Z1305" s="69">
        <v>45849</v>
      </c>
    </row>
    <row r="1306" spans="1:26" x14ac:dyDescent="0.15">
      <c r="A1306" s="59" t="s">
        <v>27</v>
      </c>
      <c r="B1306" s="20"/>
      <c r="C1306" s="35"/>
      <c r="D1306" s="21"/>
      <c r="E1306" s="24"/>
      <c r="F1306" s="25">
        <f t="shared" si="1135"/>
        <v>0</v>
      </c>
      <c r="G1306" s="20"/>
      <c r="H1306" s="35"/>
      <c r="I1306" s="21">
        <v>1</v>
      </c>
      <c r="J1306" s="24"/>
      <c r="K1306" s="25">
        <f t="shared" si="1136"/>
        <v>1</v>
      </c>
      <c r="L1306" s="11">
        <f t="shared" si="1124"/>
        <v>1</v>
      </c>
      <c r="M1306" s="69">
        <v>45812</v>
      </c>
      <c r="N1306" s="12" t="s">
        <v>777</v>
      </c>
      <c r="O1306" s="20"/>
      <c r="P1306" s="35"/>
      <c r="Q1306" s="21"/>
      <c r="R1306" s="38"/>
      <c r="S1306" s="9">
        <f t="shared" si="1140"/>
        <v>0</v>
      </c>
      <c r="T1306" s="20">
        <v>15</v>
      </c>
      <c r="U1306" s="35"/>
      <c r="V1306" s="21"/>
      <c r="W1306" s="38"/>
      <c r="X1306" s="9">
        <f t="shared" si="1141"/>
        <v>15</v>
      </c>
      <c r="Y1306" s="11">
        <f t="shared" si="1127"/>
        <v>15</v>
      </c>
      <c r="Z1306" s="69">
        <v>45852</v>
      </c>
    </row>
    <row r="1307" spans="1:26" x14ac:dyDescent="0.15">
      <c r="A1307" s="59" t="s">
        <v>27</v>
      </c>
      <c r="B1307" s="20"/>
      <c r="C1307" s="35"/>
      <c r="D1307" s="21">
        <v>1</v>
      </c>
      <c r="E1307" s="24"/>
      <c r="F1307" s="25">
        <f t="shared" si="1135"/>
        <v>1</v>
      </c>
      <c r="G1307" s="20"/>
      <c r="H1307" s="35"/>
      <c r="I1307" s="21">
        <v>2</v>
      </c>
      <c r="J1307" s="24">
        <v>2</v>
      </c>
      <c r="K1307" s="25">
        <f t="shared" si="1136"/>
        <v>4</v>
      </c>
      <c r="L1307" s="11">
        <f t="shared" si="1124"/>
        <v>5</v>
      </c>
      <c r="M1307" s="69">
        <v>45813</v>
      </c>
      <c r="N1307" s="12" t="s">
        <v>778</v>
      </c>
      <c r="O1307" s="20">
        <v>20</v>
      </c>
      <c r="P1307" s="35">
        <v>10</v>
      </c>
      <c r="Q1307" s="21"/>
      <c r="R1307" s="38"/>
      <c r="S1307" s="9">
        <f t="shared" si="1140"/>
        <v>30</v>
      </c>
      <c r="T1307" s="20"/>
      <c r="U1307" s="35"/>
      <c r="V1307" s="21"/>
      <c r="W1307" s="38">
        <v>15</v>
      </c>
      <c r="X1307" s="9">
        <f t="shared" si="1141"/>
        <v>15</v>
      </c>
      <c r="Y1307" s="11">
        <f t="shared" si="1127"/>
        <v>45</v>
      </c>
      <c r="Z1307" s="69">
        <v>45852</v>
      </c>
    </row>
    <row r="1308" spans="1:26" x14ac:dyDescent="0.15">
      <c r="A1308" s="59" t="s">
        <v>27</v>
      </c>
      <c r="B1308" s="20">
        <v>1</v>
      </c>
      <c r="C1308" s="35">
        <v>2</v>
      </c>
      <c r="D1308" s="21"/>
      <c r="E1308" s="24"/>
      <c r="F1308" s="25">
        <f t="shared" si="1135"/>
        <v>3</v>
      </c>
      <c r="G1308" s="20">
        <v>3</v>
      </c>
      <c r="H1308" s="35">
        <v>3</v>
      </c>
      <c r="I1308" s="21">
        <v>1</v>
      </c>
      <c r="J1308" s="24"/>
      <c r="K1308" s="25">
        <f t="shared" si="1136"/>
        <v>7</v>
      </c>
      <c r="L1308" s="11">
        <f t="shared" si="1124"/>
        <v>10</v>
      </c>
      <c r="M1308" s="71">
        <v>45814</v>
      </c>
      <c r="N1308" s="12" t="s">
        <v>779</v>
      </c>
      <c r="O1308" s="20"/>
      <c r="P1308" s="35">
        <v>5</v>
      </c>
      <c r="Q1308" s="21">
        <v>5</v>
      </c>
      <c r="R1308" s="38"/>
      <c r="S1308" s="9">
        <f t="shared" si="1140"/>
        <v>10</v>
      </c>
      <c r="T1308" s="20"/>
      <c r="U1308" s="35">
        <v>5</v>
      </c>
      <c r="V1308" s="21">
        <v>5</v>
      </c>
      <c r="W1308" s="38"/>
      <c r="X1308" s="9">
        <f t="shared" si="1141"/>
        <v>10</v>
      </c>
      <c r="Y1308" s="11">
        <f t="shared" si="1127"/>
        <v>20</v>
      </c>
      <c r="Z1308" s="69">
        <v>45854</v>
      </c>
    </row>
    <row r="1309" spans="1:26" x14ac:dyDescent="0.15">
      <c r="A1309" s="59" t="s">
        <v>421</v>
      </c>
      <c r="B1309" s="20">
        <v>1</v>
      </c>
      <c r="C1309" s="35"/>
      <c r="D1309" s="21">
        <v>1</v>
      </c>
      <c r="E1309" s="24"/>
      <c r="F1309" s="25">
        <f t="shared" si="1135"/>
        <v>2</v>
      </c>
      <c r="G1309" s="20"/>
      <c r="H1309" s="35"/>
      <c r="I1309" s="21">
        <v>1</v>
      </c>
      <c r="J1309" s="24"/>
      <c r="K1309" s="25">
        <f t="shared" si="1136"/>
        <v>1</v>
      </c>
      <c r="L1309" s="11">
        <f t="shared" si="1124"/>
        <v>3</v>
      </c>
      <c r="M1309" s="69">
        <v>45815</v>
      </c>
      <c r="N1309" s="40" t="s">
        <v>26</v>
      </c>
      <c r="O1309" s="20"/>
      <c r="P1309" s="35"/>
      <c r="Q1309" s="21"/>
      <c r="R1309" s="38"/>
      <c r="S1309" s="9">
        <f t="shared" si="1140"/>
        <v>0</v>
      </c>
      <c r="T1309" s="20"/>
      <c r="U1309" s="35">
        <v>10</v>
      </c>
      <c r="V1309" s="21">
        <v>15</v>
      </c>
      <c r="W1309" s="38"/>
      <c r="X1309" s="9">
        <f t="shared" si="1141"/>
        <v>25</v>
      </c>
      <c r="Y1309" s="11">
        <f t="shared" si="1127"/>
        <v>25</v>
      </c>
      <c r="Z1309" s="69">
        <v>45852</v>
      </c>
    </row>
    <row r="1310" spans="1:26" x14ac:dyDescent="0.15">
      <c r="A1310" s="59" t="s">
        <v>27</v>
      </c>
      <c r="B1310" s="20">
        <v>1</v>
      </c>
      <c r="C1310" s="35"/>
      <c r="D1310" s="21"/>
      <c r="E1310" s="24"/>
      <c r="F1310" s="25">
        <f t="shared" si="1135"/>
        <v>1</v>
      </c>
      <c r="G1310" s="20"/>
      <c r="H1310" s="35"/>
      <c r="I1310" s="21">
        <v>2</v>
      </c>
      <c r="J1310" s="24"/>
      <c r="K1310" s="25">
        <f t="shared" si="1136"/>
        <v>2</v>
      </c>
      <c r="L1310" s="11">
        <f t="shared" si="1124"/>
        <v>3</v>
      </c>
      <c r="M1310" s="69">
        <v>45815</v>
      </c>
      <c r="N1310" s="40"/>
      <c r="O1310" s="20"/>
      <c r="P1310" s="35"/>
      <c r="Q1310" s="21"/>
      <c r="R1310" s="38"/>
      <c r="S1310" s="9">
        <f t="shared" si="1140"/>
        <v>0</v>
      </c>
      <c r="T1310" s="20"/>
      <c r="U1310" s="35"/>
      <c r="V1310" s="21"/>
      <c r="W1310" s="38"/>
      <c r="X1310" s="9">
        <f t="shared" si="1141"/>
        <v>0</v>
      </c>
      <c r="Y1310" s="11">
        <f t="shared" si="1127"/>
        <v>0</v>
      </c>
      <c r="Z1310" s="162"/>
    </row>
    <row r="1311" spans="1:26" x14ac:dyDescent="0.15">
      <c r="A1311" s="59" t="s">
        <v>27</v>
      </c>
      <c r="B1311" s="20"/>
      <c r="C1311" s="35">
        <v>1</v>
      </c>
      <c r="D1311" s="21">
        <f>1+2</f>
        <v>3</v>
      </c>
      <c r="E1311" s="24"/>
      <c r="F1311" s="25">
        <f t="shared" si="1135"/>
        <v>4</v>
      </c>
      <c r="G1311" s="20">
        <v>2</v>
      </c>
      <c r="H1311" s="35">
        <v>1</v>
      </c>
      <c r="I1311" s="21">
        <f>1+3</f>
        <v>4</v>
      </c>
      <c r="J1311" s="24"/>
      <c r="K1311" s="25">
        <f t="shared" si="1136"/>
        <v>7</v>
      </c>
      <c r="L1311" s="11">
        <f t="shared" si="1124"/>
        <v>11</v>
      </c>
      <c r="M1311" s="69">
        <v>45817</v>
      </c>
      <c r="N1311" s="40"/>
      <c r="O1311" s="20"/>
      <c r="P1311" s="35"/>
      <c r="Q1311" s="21"/>
      <c r="R1311" s="38"/>
      <c r="S1311" s="9">
        <f t="shared" si="1140"/>
        <v>0</v>
      </c>
      <c r="T1311" s="20"/>
      <c r="U1311" s="35"/>
      <c r="V1311" s="21"/>
      <c r="W1311" s="38"/>
      <c r="X1311" s="9">
        <f t="shared" si="1141"/>
        <v>0</v>
      </c>
      <c r="Y1311" s="11">
        <f t="shared" si="1127"/>
        <v>0</v>
      </c>
    </row>
    <row r="1312" spans="1:26" x14ac:dyDescent="0.15">
      <c r="A1312" s="59" t="s">
        <v>755</v>
      </c>
      <c r="B1312" s="20"/>
      <c r="C1312" s="35"/>
      <c r="D1312" s="21"/>
      <c r="E1312" s="24">
        <v>1</v>
      </c>
      <c r="F1312" s="25">
        <f t="shared" si="1135"/>
        <v>1</v>
      </c>
      <c r="G1312" s="20"/>
      <c r="H1312" s="35"/>
      <c r="I1312" s="21"/>
      <c r="J1312" s="24"/>
      <c r="K1312" s="25">
        <f t="shared" si="1136"/>
        <v>0</v>
      </c>
      <c r="L1312" s="11">
        <f t="shared" si="1124"/>
        <v>1</v>
      </c>
      <c r="M1312" s="69">
        <v>45818</v>
      </c>
      <c r="N1312" s="40"/>
      <c r="O1312" s="20"/>
      <c r="P1312" s="35"/>
      <c r="Q1312" s="21"/>
      <c r="R1312" s="38"/>
      <c r="S1312" s="9">
        <f t="shared" si="1140"/>
        <v>0</v>
      </c>
      <c r="T1312" s="20"/>
      <c r="U1312" s="35"/>
      <c r="V1312" s="21"/>
      <c r="W1312" s="38"/>
      <c r="X1312" s="9">
        <f t="shared" si="1141"/>
        <v>0</v>
      </c>
      <c r="Y1312" s="11">
        <f t="shared" si="1127"/>
        <v>0</v>
      </c>
    </row>
    <row r="1313" spans="1:26" x14ac:dyDescent="0.15">
      <c r="A1313" s="59" t="s">
        <v>27</v>
      </c>
      <c r="B1313" s="20"/>
      <c r="C1313" s="35">
        <v>1</v>
      </c>
      <c r="D1313" s="21"/>
      <c r="E1313" s="24">
        <v>1</v>
      </c>
      <c r="F1313" s="25">
        <f t="shared" si="1135"/>
        <v>2</v>
      </c>
      <c r="G1313" s="20"/>
      <c r="H1313" s="35">
        <v>3</v>
      </c>
      <c r="I1313" s="21">
        <v>1</v>
      </c>
      <c r="J1313" s="24">
        <f>1+1</f>
        <v>2</v>
      </c>
      <c r="K1313" s="25">
        <f t="shared" si="1136"/>
        <v>6</v>
      </c>
      <c r="L1313" s="11">
        <f t="shared" si="1124"/>
        <v>8</v>
      </c>
      <c r="M1313" s="69">
        <v>45818</v>
      </c>
      <c r="N1313" s="40"/>
      <c r="O1313" s="20"/>
      <c r="P1313" s="35"/>
      <c r="Q1313" s="21"/>
      <c r="R1313" s="38"/>
      <c r="S1313" s="9">
        <f t="shared" si="1140"/>
        <v>0</v>
      </c>
      <c r="T1313" s="20"/>
      <c r="U1313" s="35"/>
      <c r="V1313" s="21"/>
      <c r="W1313" s="38"/>
      <c r="X1313" s="9">
        <f t="shared" si="1141"/>
        <v>0</v>
      </c>
      <c r="Y1313" s="11">
        <f t="shared" si="1127"/>
        <v>0</v>
      </c>
    </row>
    <row r="1314" spans="1:26" x14ac:dyDescent="0.15">
      <c r="A1314" s="59" t="s">
        <v>27</v>
      </c>
      <c r="B1314" s="20"/>
      <c r="C1314" s="35">
        <v>1</v>
      </c>
      <c r="D1314" s="21">
        <v>3</v>
      </c>
      <c r="E1314" s="24">
        <v>3</v>
      </c>
      <c r="F1314" s="25">
        <f t="shared" si="1135"/>
        <v>7</v>
      </c>
      <c r="G1314" s="20">
        <v>2</v>
      </c>
      <c r="H1314" s="35">
        <v>1</v>
      </c>
      <c r="I1314" s="21">
        <v>3</v>
      </c>
      <c r="J1314" s="24"/>
      <c r="K1314" s="25">
        <f t="shared" si="1136"/>
        <v>6</v>
      </c>
      <c r="L1314" s="11">
        <f t="shared" si="1124"/>
        <v>13</v>
      </c>
      <c r="M1314" s="69">
        <v>45819</v>
      </c>
      <c r="N1314" s="40"/>
      <c r="O1314" s="20"/>
      <c r="P1314" s="35"/>
      <c r="Q1314" s="21"/>
      <c r="R1314" s="38"/>
      <c r="S1314" s="9">
        <f t="shared" si="1140"/>
        <v>0</v>
      </c>
      <c r="T1314" s="20"/>
      <c r="U1314" s="35"/>
      <c r="V1314" s="21"/>
      <c r="W1314" s="38"/>
      <c r="X1314" s="9">
        <f t="shared" si="1141"/>
        <v>0</v>
      </c>
      <c r="Y1314" s="11">
        <f t="shared" si="1127"/>
        <v>0</v>
      </c>
    </row>
    <row r="1315" spans="1:26" x14ac:dyDescent="0.15">
      <c r="A1315" s="59" t="s">
        <v>755</v>
      </c>
      <c r="B1315" s="20"/>
      <c r="C1315" s="35">
        <v>1</v>
      </c>
      <c r="D1315" s="21"/>
      <c r="E1315" s="24"/>
      <c r="F1315" s="25">
        <f t="shared" si="1135"/>
        <v>1</v>
      </c>
      <c r="G1315" s="20"/>
      <c r="H1315" s="35">
        <v>1</v>
      </c>
      <c r="I1315" s="21"/>
      <c r="J1315" s="24"/>
      <c r="K1315" s="25">
        <f t="shared" si="1136"/>
        <v>1</v>
      </c>
      <c r="L1315" s="11">
        <f t="shared" si="1124"/>
        <v>2</v>
      </c>
      <c r="M1315" s="69">
        <v>45821</v>
      </c>
      <c r="N1315" s="12"/>
      <c r="O1315" s="20"/>
      <c r="P1315" s="35"/>
      <c r="Q1315" s="21"/>
      <c r="R1315" s="38"/>
      <c r="S1315" s="9">
        <f>SUM(O1315:R1315)</f>
        <v>0</v>
      </c>
      <c r="T1315" s="20"/>
      <c r="U1315" s="35"/>
      <c r="V1315" s="21"/>
      <c r="W1315" s="38"/>
      <c r="X1315" s="9">
        <f>SUM(T1315:W1315)</f>
        <v>0</v>
      </c>
      <c r="Y1315" s="11">
        <f t="shared" si="1127"/>
        <v>0</v>
      </c>
    </row>
    <row r="1316" spans="1:26" x14ac:dyDescent="0.15">
      <c r="A1316" s="59" t="s">
        <v>27</v>
      </c>
      <c r="B1316" s="20"/>
      <c r="C1316" s="35"/>
      <c r="D1316" s="21"/>
      <c r="E1316" s="24"/>
      <c r="F1316" s="25">
        <f t="shared" si="1135"/>
        <v>0</v>
      </c>
      <c r="G1316" s="20"/>
      <c r="H1316" s="35">
        <v>2</v>
      </c>
      <c r="I1316" s="21"/>
      <c r="J1316" s="24"/>
      <c r="K1316" s="25">
        <f t="shared" si="1136"/>
        <v>2</v>
      </c>
      <c r="L1316" s="11">
        <f t="shared" si="1124"/>
        <v>2</v>
      </c>
      <c r="M1316" s="69">
        <v>45821</v>
      </c>
      <c r="N1316" s="40"/>
      <c r="O1316" s="20"/>
      <c r="P1316" s="35"/>
      <c r="Q1316" s="21"/>
      <c r="R1316" s="38"/>
      <c r="S1316" s="9">
        <f t="shared" ref="S1316:S1321" si="1142">SUM(O1316:R1316)</f>
        <v>0</v>
      </c>
      <c r="T1316" s="20"/>
      <c r="U1316" s="35"/>
      <c r="V1316" s="21"/>
      <c r="W1316" s="38"/>
      <c r="X1316" s="9">
        <f t="shared" ref="X1316:X1321" si="1143">SUM(T1316:W1316)</f>
        <v>0</v>
      </c>
      <c r="Y1316" s="11">
        <f t="shared" si="1127"/>
        <v>0</v>
      </c>
    </row>
    <row r="1317" spans="1:26" x14ac:dyDescent="0.15">
      <c r="A1317" s="59" t="s">
        <v>421</v>
      </c>
      <c r="B1317" s="20"/>
      <c r="C1317" s="35"/>
      <c r="D1317" s="21"/>
      <c r="E1317" s="24">
        <v>4</v>
      </c>
      <c r="F1317" s="25">
        <f t="shared" si="1135"/>
        <v>4</v>
      </c>
      <c r="G1317" s="20"/>
      <c r="H1317" s="35"/>
      <c r="I1317" s="21"/>
      <c r="J1317" s="24"/>
      <c r="K1317" s="25">
        <f t="shared" si="1136"/>
        <v>0</v>
      </c>
      <c r="L1317" s="11">
        <f t="shared" si="1124"/>
        <v>4</v>
      </c>
      <c r="M1317" s="69">
        <v>45822</v>
      </c>
      <c r="N1317" s="15"/>
      <c r="O1317" s="20"/>
      <c r="P1317" s="35"/>
      <c r="Q1317" s="21"/>
      <c r="R1317" s="38"/>
      <c r="S1317" s="9">
        <f t="shared" si="1142"/>
        <v>0</v>
      </c>
      <c r="T1317" s="20"/>
      <c r="U1317" s="35"/>
      <c r="V1317" s="21"/>
      <c r="W1317" s="38"/>
      <c r="X1317" s="9">
        <f t="shared" si="1143"/>
        <v>0</v>
      </c>
      <c r="Y1317" s="11">
        <f t="shared" si="1127"/>
        <v>0</v>
      </c>
    </row>
    <row r="1318" spans="1:26" x14ac:dyDescent="0.15">
      <c r="A1318" s="59" t="s">
        <v>756</v>
      </c>
      <c r="B1318" s="20"/>
      <c r="C1318" s="35"/>
      <c r="D1318" s="21">
        <v>1</v>
      </c>
      <c r="E1318" s="24"/>
      <c r="F1318" s="25">
        <f t="shared" si="1135"/>
        <v>1</v>
      </c>
      <c r="G1318" s="20"/>
      <c r="H1318" s="35"/>
      <c r="I1318" s="21"/>
      <c r="J1318" s="24"/>
      <c r="K1318" s="25">
        <f t="shared" si="1136"/>
        <v>0</v>
      </c>
      <c r="L1318" s="11">
        <f t="shared" si="1124"/>
        <v>1</v>
      </c>
      <c r="M1318" s="69">
        <v>45824</v>
      </c>
      <c r="N1318" s="15"/>
      <c r="O1318" s="20"/>
      <c r="P1318" s="35"/>
      <c r="Q1318" s="21"/>
      <c r="R1318" s="38"/>
      <c r="S1318" s="9">
        <f t="shared" si="1142"/>
        <v>0</v>
      </c>
      <c r="T1318" s="20"/>
      <c r="U1318" s="35"/>
      <c r="V1318" s="21"/>
      <c r="W1318" s="38"/>
      <c r="X1318" s="9">
        <f t="shared" si="1143"/>
        <v>0</v>
      </c>
      <c r="Y1318" s="11">
        <f t="shared" si="1127"/>
        <v>0</v>
      </c>
    </row>
    <row r="1319" spans="1:26" x14ac:dyDescent="0.15">
      <c r="A1319" s="59" t="s">
        <v>27</v>
      </c>
      <c r="B1319" s="20"/>
      <c r="C1319" s="35"/>
      <c r="D1319" s="21"/>
      <c r="E1319" s="24">
        <f>1+2</f>
        <v>3</v>
      </c>
      <c r="F1319" s="25">
        <f t="shared" si="1135"/>
        <v>3</v>
      </c>
      <c r="G1319" s="20">
        <v>1</v>
      </c>
      <c r="H1319" s="35"/>
      <c r="I1319" s="21">
        <v>2</v>
      </c>
      <c r="J1319" s="24">
        <f>1+2</f>
        <v>3</v>
      </c>
      <c r="K1319" s="25">
        <f t="shared" si="1136"/>
        <v>6</v>
      </c>
      <c r="L1319" s="11">
        <f t="shared" si="1124"/>
        <v>9</v>
      </c>
      <c r="M1319" s="69">
        <v>45824</v>
      </c>
      <c r="N1319" s="15"/>
      <c r="O1319" s="20"/>
      <c r="P1319" s="35"/>
      <c r="Q1319" s="21"/>
      <c r="R1319" s="38"/>
      <c r="S1319" s="9">
        <f t="shared" si="1142"/>
        <v>0</v>
      </c>
      <c r="T1319" s="20"/>
      <c r="U1319" s="35"/>
      <c r="V1319" s="21"/>
      <c r="W1319" s="38"/>
      <c r="X1319" s="9">
        <f t="shared" si="1143"/>
        <v>0</v>
      </c>
      <c r="Y1319" s="11">
        <f t="shared" si="1127"/>
        <v>0</v>
      </c>
    </row>
    <row r="1320" spans="1:26" x14ac:dyDescent="0.15">
      <c r="A1320" s="59" t="s">
        <v>421</v>
      </c>
      <c r="B1320" s="20"/>
      <c r="C1320" s="35">
        <v>1</v>
      </c>
      <c r="D1320" s="21"/>
      <c r="E1320" s="24"/>
      <c r="F1320" s="25">
        <f t="shared" si="1135"/>
        <v>1</v>
      </c>
      <c r="G1320" s="20"/>
      <c r="H1320" s="35">
        <v>1</v>
      </c>
      <c r="I1320" s="21"/>
      <c r="J1320" s="24"/>
      <c r="K1320" s="25">
        <f t="shared" si="1136"/>
        <v>1</v>
      </c>
      <c r="L1320" s="11">
        <f t="shared" si="1124"/>
        <v>2</v>
      </c>
      <c r="M1320" s="69">
        <v>45825</v>
      </c>
      <c r="N1320" s="15"/>
      <c r="O1320" s="20"/>
      <c r="P1320" s="35"/>
      <c r="Q1320" s="21"/>
      <c r="R1320" s="38"/>
      <c r="S1320" s="9">
        <f t="shared" si="1142"/>
        <v>0</v>
      </c>
      <c r="T1320" s="20"/>
      <c r="U1320" s="35"/>
      <c r="V1320" s="21"/>
      <c r="W1320" s="38"/>
      <c r="X1320" s="9">
        <f t="shared" si="1143"/>
        <v>0</v>
      </c>
      <c r="Y1320" s="11">
        <f t="shared" si="1127"/>
        <v>0</v>
      </c>
    </row>
    <row r="1321" spans="1:26" x14ac:dyDescent="0.15">
      <c r="A1321" s="59" t="s">
        <v>758</v>
      </c>
      <c r="B1321" s="20"/>
      <c r="C1321" s="35"/>
      <c r="D1321" s="21"/>
      <c r="E1321" s="24">
        <v>1</v>
      </c>
      <c r="F1321" s="25">
        <f t="shared" si="1135"/>
        <v>1</v>
      </c>
      <c r="G1321" s="20"/>
      <c r="H1321" s="35"/>
      <c r="I1321" s="21"/>
      <c r="J1321" s="24">
        <v>1</v>
      </c>
      <c r="K1321" s="25">
        <f t="shared" si="1136"/>
        <v>1</v>
      </c>
      <c r="L1321" s="11">
        <f t="shared" si="1124"/>
        <v>2</v>
      </c>
      <c r="M1321" s="69">
        <v>45825</v>
      </c>
      <c r="N1321" s="40"/>
      <c r="O1321" s="48"/>
      <c r="P1321" s="49"/>
      <c r="Q1321" s="50"/>
      <c r="R1321" s="72"/>
      <c r="S1321" s="74">
        <f t="shared" si="1142"/>
        <v>0</v>
      </c>
      <c r="T1321" s="48"/>
      <c r="U1321" s="49"/>
      <c r="V1321" s="50"/>
      <c r="W1321" s="72"/>
      <c r="X1321" s="74">
        <f t="shared" si="1143"/>
        <v>0</v>
      </c>
      <c r="Y1321" s="11">
        <f t="shared" si="1127"/>
        <v>0</v>
      </c>
    </row>
    <row r="1322" spans="1:26" x14ac:dyDescent="0.15">
      <c r="A1322" s="59" t="s">
        <v>27</v>
      </c>
      <c r="B1322" s="20"/>
      <c r="C1322" s="35"/>
      <c r="D1322" s="21">
        <v>1</v>
      </c>
      <c r="E1322" s="24"/>
      <c r="F1322" s="25">
        <f t="shared" si="1135"/>
        <v>1</v>
      </c>
      <c r="G1322" s="20"/>
      <c r="H1322" s="35"/>
      <c r="I1322" s="21">
        <v>1</v>
      </c>
      <c r="J1322" s="24"/>
      <c r="K1322" s="25">
        <f t="shared" si="1136"/>
        <v>1</v>
      </c>
      <c r="L1322" s="11">
        <f t="shared" si="1124"/>
        <v>2</v>
      </c>
      <c r="M1322" s="69">
        <v>45826</v>
      </c>
      <c r="N1322" s="40"/>
      <c r="O1322" s="48"/>
      <c r="P1322" s="49"/>
      <c r="Q1322" s="50"/>
      <c r="R1322" s="72"/>
      <c r="S1322" s="74">
        <f t="shared" ref="S1322" si="1144">SUM(O1322:R1322)</f>
        <v>0</v>
      </c>
      <c r="T1322" s="48"/>
      <c r="U1322" s="49"/>
      <c r="V1322" s="50"/>
      <c r="W1322" s="72"/>
      <c r="X1322" s="74">
        <f t="shared" ref="X1322" si="1145">SUM(T1322:W1322)</f>
        <v>0</v>
      </c>
      <c r="Y1322" s="11">
        <f t="shared" ref="Y1322" si="1146">S1322+X1322</f>
        <v>0</v>
      </c>
    </row>
    <row r="1323" spans="1:26" x14ac:dyDescent="0.15">
      <c r="A1323" s="59" t="s">
        <v>27</v>
      </c>
      <c r="B1323" s="20"/>
      <c r="C1323" s="35">
        <v>1</v>
      </c>
      <c r="D1323" s="21"/>
      <c r="E1323" s="24"/>
      <c r="F1323" s="25">
        <f t="shared" si="1135"/>
        <v>1</v>
      </c>
      <c r="G1323" s="20"/>
      <c r="H1323" s="35"/>
      <c r="I1323" s="21"/>
      <c r="J1323" s="24"/>
      <c r="K1323" s="25">
        <f t="shared" si="1136"/>
        <v>0</v>
      </c>
      <c r="L1323" s="11">
        <f t="shared" si="1124"/>
        <v>1</v>
      </c>
      <c r="M1323" s="69">
        <v>45828</v>
      </c>
      <c r="N1323" s="40"/>
      <c r="O1323" s="48"/>
      <c r="P1323" s="49"/>
      <c r="Q1323" s="50"/>
      <c r="R1323" s="72"/>
      <c r="S1323" s="74">
        <f t="shared" ref="S1323:S1324" si="1147">SUM(O1323:R1323)</f>
        <v>0</v>
      </c>
      <c r="T1323" s="48"/>
      <c r="U1323" s="49"/>
      <c r="V1323" s="50"/>
      <c r="W1323" s="72"/>
      <c r="X1323" s="74">
        <f t="shared" ref="X1323:X1324" si="1148">SUM(T1323:W1323)</f>
        <v>0</v>
      </c>
      <c r="Y1323" s="11">
        <f t="shared" ref="Y1323:Y1324" si="1149">S1323+X1323</f>
        <v>0</v>
      </c>
    </row>
    <row r="1324" spans="1:26" x14ac:dyDescent="0.15">
      <c r="A1324" s="59" t="s">
        <v>27</v>
      </c>
      <c r="B1324" s="20">
        <v>1</v>
      </c>
      <c r="C1324" s="35">
        <v>1</v>
      </c>
      <c r="D1324" s="21"/>
      <c r="E1324" s="24"/>
      <c r="F1324" s="25">
        <f t="shared" si="1135"/>
        <v>2</v>
      </c>
      <c r="G1324" s="20"/>
      <c r="H1324" s="35">
        <v>1</v>
      </c>
      <c r="I1324" s="21"/>
      <c r="J1324" s="24"/>
      <c r="K1324" s="25">
        <f t="shared" si="1136"/>
        <v>1</v>
      </c>
      <c r="L1324" s="11">
        <f t="shared" si="1124"/>
        <v>3</v>
      </c>
      <c r="M1324" s="71">
        <v>45829</v>
      </c>
      <c r="N1324" s="40"/>
      <c r="O1324" s="48"/>
      <c r="P1324" s="49"/>
      <c r="Q1324" s="50"/>
      <c r="R1324" s="72"/>
      <c r="S1324" s="74">
        <f t="shared" si="1147"/>
        <v>0</v>
      </c>
      <c r="T1324" s="48"/>
      <c r="U1324" s="49"/>
      <c r="V1324" s="50"/>
      <c r="W1324" s="72"/>
      <c r="X1324" s="74">
        <f t="shared" si="1148"/>
        <v>0</v>
      </c>
      <c r="Y1324" s="11">
        <f t="shared" si="1149"/>
        <v>0</v>
      </c>
    </row>
    <row r="1325" spans="1:26" x14ac:dyDescent="0.15">
      <c r="A1325" s="59" t="s">
        <v>27</v>
      </c>
      <c r="B1325" s="20"/>
      <c r="C1325" s="35"/>
      <c r="D1325" s="21"/>
      <c r="E1325" s="24"/>
      <c r="F1325" s="25">
        <f t="shared" si="1135"/>
        <v>0</v>
      </c>
      <c r="G1325" s="20"/>
      <c r="H1325" s="35">
        <v>1</v>
      </c>
      <c r="I1325" s="21"/>
      <c r="J1325" s="24"/>
      <c r="K1325" s="25">
        <f t="shared" si="1136"/>
        <v>1</v>
      </c>
      <c r="L1325" s="11">
        <f t="shared" si="1124"/>
        <v>1</v>
      </c>
      <c r="M1325" s="69">
        <v>45831</v>
      </c>
      <c r="N1325" s="137" t="s">
        <v>719</v>
      </c>
      <c r="O1325" s="138"/>
      <c r="P1325" s="139"/>
      <c r="Q1325" s="140"/>
      <c r="R1325" s="141"/>
      <c r="S1325" s="142">
        <f t="shared" ref="S1325:S1326" si="1150">SUM(O1325:R1325)</f>
        <v>0</v>
      </c>
      <c r="T1325" s="138"/>
      <c r="U1325" s="139"/>
      <c r="V1325" s="140"/>
      <c r="W1325" s="141"/>
      <c r="X1325" s="142">
        <f t="shared" ref="X1325:X1326" si="1151">SUM(T1325:W1325)</f>
        <v>0</v>
      </c>
      <c r="Y1325" s="145">
        <f t="shared" ref="Y1325:Y1326" si="1152">S1325+X1325</f>
        <v>0</v>
      </c>
      <c r="Z1325" s="162"/>
    </row>
    <row r="1326" spans="1:26" ht="14.25" thickBot="1" x14ac:dyDescent="0.2">
      <c r="A1326" s="15" t="s">
        <v>421</v>
      </c>
      <c r="B1326" s="43"/>
      <c r="C1326" s="44"/>
      <c r="D1326" s="45">
        <v>1</v>
      </c>
      <c r="E1326" s="46">
        <v>1</v>
      </c>
      <c r="F1326" s="25">
        <f t="shared" si="1135"/>
        <v>2</v>
      </c>
      <c r="G1326" s="43"/>
      <c r="H1326" s="44"/>
      <c r="I1326" s="45">
        <v>1</v>
      </c>
      <c r="J1326" s="46">
        <v>1</v>
      </c>
      <c r="K1326" s="25">
        <f t="shared" si="1136"/>
        <v>2</v>
      </c>
      <c r="L1326" s="14">
        <f t="shared" si="1124"/>
        <v>4</v>
      </c>
      <c r="M1326" s="69">
        <v>45833</v>
      </c>
      <c r="N1326" s="99" t="s">
        <v>720</v>
      </c>
      <c r="O1326" s="43"/>
      <c r="P1326" s="44"/>
      <c r="Q1326" s="45"/>
      <c r="R1326" s="100"/>
      <c r="S1326" s="10">
        <f t="shared" si="1150"/>
        <v>0</v>
      </c>
      <c r="T1326" s="43"/>
      <c r="U1326" s="44"/>
      <c r="V1326" s="45"/>
      <c r="W1326" s="100"/>
      <c r="X1326" s="10">
        <f t="shared" si="1151"/>
        <v>0</v>
      </c>
      <c r="Y1326" s="75">
        <f t="shared" si="1152"/>
        <v>0</v>
      </c>
      <c r="Z1326" s="162" t="s">
        <v>721</v>
      </c>
    </row>
    <row r="1327" spans="1:26" ht="14.25" thickBot="1" x14ac:dyDescent="0.2">
      <c r="A1327" s="16" t="s">
        <v>9</v>
      </c>
      <c r="B1327" s="28">
        <f>SUM(B1302:B1326)</f>
        <v>6</v>
      </c>
      <c r="C1327" s="36">
        <f>SUM(C1302:C1326)</f>
        <v>13</v>
      </c>
      <c r="D1327" s="29">
        <f>SUM(D1302:D1326)</f>
        <v>12</v>
      </c>
      <c r="E1327" s="30">
        <f>SUM(E1302:E1326)</f>
        <v>15</v>
      </c>
      <c r="F1327" s="26">
        <f>SUM(B1327:E1327)</f>
        <v>46</v>
      </c>
      <c r="G1327" s="28">
        <f>SUM(G1302:G1326)</f>
        <v>12</v>
      </c>
      <c r="H1327" s="36">
        <f>SUM(H1302:H1326)</f>
        <v>19</v>
      </c>
      <c r="I1327" s="29">
        <f>SUM(I1302:I1326)</f>
        <v>20</v>
      </c>
      <c r="J1327" s="30">
        <f>SUM(J1302:J1326)</f>
        <v>10</v>
      </c>
      <c r="K1327" s="26">
        <f>SUM(G1327:J1327)</f>
        <v>61</v>
      </c>
      <c r="L1327" s="27">
        <f t="shared" si="1124"/>
        <v>107</v>
      </c>
      <c r="N1327" s="61" t="s">
        <v>9</v>
      </c>
      <c r="O1327" s="28">
        <f>SUM(O1302:O1326)</f>
        <v>45</v>
      </c>
      <c r="P1327" s="36">
        <f t="shared" ref="P1327" si="1153">SUM(P1302:P1326)</f>
        <v>79</v>
      </c>
      <c r="Q1327" s="29">
        <f t="shared" ref="Q1327" si="1154">SUM(Q1302:Q1326)</f>
        <v>65</v>
      </c>
      <c r="R1327" s="30">
        <f t="shared" ref="R1327" si="1155">SUM(R1302:R1326)</f>
        <v>20</v>
      </c>
      <c r="S1327" s="60">
        <f>SUM(O1327:R1327)</f>
        <v>209</v>
      </c>
      <c r="T1327" s="28">
        <f>SUM(T1302:T1326)</f>
        <v>20</v>
      </c>
      <c r="U1327" s="36">
        <f t="shared" ref="U1327" si="1156">SUM(U1302:U1326)</f>
        <v>74</v>
      </c>
      <c r="V1327" s="29">
        <f t="shared" ref="V1327" si="1157">SUM(V1302:V1326)</f>
        <v>45</v>
      </c>
      <c r="W1327" s="30">
        <f t="shared" ref="W1327" si="1158">SUM(W1302:W1326)</f>
        <v>45</v>
      </c>
      <c r="X1327" s="60">
        <f>SUM(T1327:W1327)</f>
        <v>184</v>
      </c>
      <c r="Y1327" s="63">
        <f>S1327+X1327</f>
        <v>393</v>
      </c>
    </row>
    <row r="1328" spans="1:26" ht="14.25" thickBot="1" x14ac:dyDescent="0.2">
      <c r="A1328" s="18" t="s">
        <v>10</v>
      </c>
      <c r="B1328" s="31">
        <f t="shared" ref="B1328:K1328" si="1159">B1301-B1327</f>
        <v>28</v>
      </c>
      <c r="C1328" s="37">
        <f t="shared" si="1159"/>
        <v>25</v>
      </c>
      <c r="D1328" s="32">
        <f t="shared" si="1159"/>
        <v>29</v>
      </c>
      <c r="E1328" s="33">
        <f t="shared" si="1159"/>
        <v>28</v>
      </c>
      <c r="F1328" s="42">
        <f t="shared" si="1159"/>
        <v>110</v>
      </c>
      <c r="G1328" s="31">
        <f t="shared" si="1159"/>
        <v>32</v>
      </c>
      <c r="H1328" s="37">
        <f t="shared" si="1159"/>
        <v>27</v>
      </c>
      <c r="I1328" s="32">
        <f t="shared" si="1159"/>
        <v>27</v>
      </c>
      <c r="J1328" s="33">
        <f t="shared" si="1159"/>
        <v>25</v>
      </c>
      <c r="K1328" s="42">
        <f t="shared" si="1159"/>
        <v>111</v>
      </c>
      <c r="L1328" s="17">
        <f t="shared" si="1124"/>
        <v>221</v>
      </c>
      <c r="N1328" s="16" t="s">
        <v>10</v>
      </c>
      <c r="O1328" s="31">
        <f>O1301-O1327</f>
        <v>373</v>
      </c>
      <c r="P1328" s="37">
        <f t="shared" ref="P1328" si="1160">P1301-P1327</f>
        <v>622</v>
      </c>
      <c r="Q1328" s="32">
        <f t="shared" ref="Q1328" si="1161">Q1301-Q1327</f>
        <v>340</v>
      </c>
      <c r="R1328" s="33">
        <f t="shared" ref="R1328" si="1162">R1301-R1327</f>
        <v>279</v>
      </c>
      <c r="S1328" s="42">
        <f>S1301-S1327</f>
        <v>1614</v>
      </c>
      <c r="T1328" s="31">
        <f>T1301-T1327</f>
        <v>404</v>
      </c>
      <c r="U1328" s="37">
        <f t="shared" ref="U1328" si="1163">U1301-U1327</f>
        <v>520</v>
      </c>
      <c r="V1328" s="32">
        <f t="shared" ref="V1328" si="1164">V1301-V1327</f>
        <v>309</v>
      </c>
      <c r="W1328" s="33">
        <f t="shared" ref="W1328" si="1165">W1301-W1327</f>
        <v>240</v>
      </c>
      <c r="X1328" s="42">
        <f>X1301-X1327</f>
        <v>1473</v>
      </c>
      <c r="Y1328" s="17">
        <f>S1328+X1328</f>
        <v>3087</v>
      </c>
    </row>
    <row r="1329" spans="1:27" x14ac:dyDescent="0.15">
      <c r="N1329" s="180" t="s">
        <v>774</v>
      </c>
      <c r="O1329" s="62">
        <f>O1327+O1289+O1251+O1213+O1175+O1137+O1099+O1061+O1025</f>
        <v>2789</v>
      </c>
      <c r="P1329" s="62">
        <f t="shared" ref="P1329:Y1329" si="1166">P1327+P1289+P1251+P1213+P1175+P1137+P1099+P1061+P1025</f>
        <v>3754</v>
      </c>
      <c r="Q1329" s="62">
        <f t="shared" si="1166"/>
        <v>2295</v>
      </c>
      <c r="R1329" s="62">
        <f t="shared" si="1166"/>
        <v>1629</v>
      </c>
      <c r="S1329" s="62">
        <f t="shared" si="1166"/>
        <v>10467</v>
      </c>
      <c r="T1329" s="62">
        <f t="shared" si="1166"/>
        <v>2828</v>
      </c>
      <c r="U1329" s="62">
        <f t="shared" si="1166"/>
        <v>3975</v>
      </c>
      <c r="V1329" s="62">
        <f t="shared" si="1166"/>
        <v>2437</v>
      </c>
      <c r="W1329" s="62">
        <f t="shared" si="1166"/>
        <v>1674</v>
      </c>
      <c r="X1329" s="62">
        <f t="shared" si="1166"/>
        <v>10914</v>
      </c>
      <c r="Y1329" s="62">
        <f t="shared" si="1166"/>
        <v>21381</v>
      </c>
    </row>
    <row r="1330" spans="1:27" x14ac:dyDescent="0.15">
      <c r="O1330" s="101">
        <f>O1329/$S$1329*100</f>
        <v>26.645648227763445</v>
      </c>
      <c r="P1330" s="101">
        <f t="shared" ref="P1330:S1330" si="1167">P1329/$S$1329*100</f>
        <v>35.865099837584793</v>
      </c>
      <c r="Q1330" s="101">
        <f t="shared" si="1167"/>
        <v>21.926053310404129</v>
      </c>
      <c r="R1330" s="101">
        <f t="shared" si="1167"/>
        <v>15.563198624247635</v>
      </c>
      <c r="S1330" s="101">
        <f t="shared" si="1167"/>
        <v>100</v>
      </c>
      <c r="T1330" s="101">
        <f>T1329/$X$1329*100</f>
        <v>25.911673080447134</v>
      </c>
      <c r="U1330" s="101">
        <f t="shared" ref="U1330:X1330" si="1168">U1329/$X$1329*100</f>
        <v>36.421110500274878</v>
      </c>
      <c r="V1330" s="101">
        <f t="shared" si="1168"/>
        <v>22.329118563313173</v>
      </c>
      <c r="W1330" s="101">
        <f t="shared" si="1168"/>
        <v>15.338097855964817</v>
      </c>
      <c r="X1330" s="101">
        <f t="shared" si="1168"/>
        <v>100</v>
      </c>
    </row>
    <row r="1331" spans="1:27" ht="19.5" thickBot="1" x14ac:dyDescent="0.25">
      <c r="A1331" s="2" t="s">
        <v>17</v>
      </c>
      <c r="B1331" s="2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N1331" s="2" t="s">
        <v>18</v>
      </c>
      <c r="O1331" s="87"/>
      <c r="P1331" s="87"/>
      <c r="Q1331" s="87"/>
      <c r="R1331" s="87"/>
      <c r="S1331" s="87">
        <v>48.9</v>
      </c>
      <c r="T1331" s="87"/>
      <c r="U1331" s="87"/>
      <c r="V1331" s="87"/>
      <c r="W1331" s="87"/>
      <c r="X1331" s="87">
        <v>51.1</v>
      </c>
      <c r="Y1331" s="1"/>
    </row>
    <row r="1332" spans="1:27" ht="14.25" thickBot="1" x14ac:dyDescent="0.2">
      <c r="A1332" s="5" t="s">
        <v>0</v>
      </c>
      <c r="B1332" s="244" t="s">
        <v>19</v>
      </c>
      <c r="C1332" s="245"/>
      <c r="D1332" s="245"/>
      <c r="E1332" s="245"/>
      <c r="F1332" s="246"/>
      <c r="G1332" s="247" t="s">
        <v>20</v>
      </c>
      <c r="H1332" s="248"/>
      <c r="I1332" s="248"/>
      <c r="J1332" s="248"/>
      <c r="K1332" s="249"/>
      <c r="L1332" s="250" t="s">
        <v>1</v>
      </c>
      <c r="N1332" s="5" t="s">
        <v>0</v>
      </c>
      <c r="O1332" s="244" t="s">
        <v>19</v>
      </c>
      <c r="P1332" s="245"/>
      <c r="Q1332" s="245"/>
      <c r="R1332" s="245"/>
      <c r="S1332" s="246"/>
      <c r="T1332" s="247" t="s">
        <v>20</v>
      </c>
      <c r="U1332" s="248"/>
      <c r="V1332" s="248"/>
      <c r="W1332" s="248"/>
      <c r="X1332" s="249"/>
      <c r="Y1332" s="250" t="s">
        <v>1</v>
      </c>
    </row>
    <row r="1333" spans="1:27" ht="14.25" thickBot="1" x14ac:dyDescent="0.2">
      <c r="A1333" s="5" t="s">
        <v>2</v>
      </c>
      <c r="B1333" s="3" t="s">
        <v>11</v>
      </c>
      <c r="C1333" s="34" t="s">
        <v>12</v>
      </c>
      <c r="D1333" s="4" t="s">
        <v>13</v>
      </c>
      <c r="E1333" s="19" t="s">
        <v>14</v>
      </c>
      <c r="F1333" s="23" t="s">
        <v>3</v>
      </c>
      <c r="G1333" s="3" t="s">
        <v>11</v>
      </c>
      <c r="H1333" s="34" t="s">
        <v>12</v>
      </c>
      <c r="I1333" s="4" t="s">
        <v>13</v>
      </c>
      <c r="J1333" s="19" t="s">
        <v>14</v>
      </c>
      <c r="K1333" s="23" t="s">
        <v>3</v>
      </c>
      <c r="L1333" s="251"/>
      <c r="N1333" s="5" t="s">
        <v>2</v>
      </c>
      <c r="O1333" s="53" t="s">
        <v>11</v>
      </c>
      <c r="P1333" s="54" t="s">
        <v>12</v>
      </c>
      <c r="Q1333" s="55" t="s">
        <v>13</v>
      </c>
      <c r="R1333" s="56" t="s">
        <v>14</v>
      </c>
      <c r="S1333" s="23" t="s">
        <v>3</v>
      </c>
      <c r="T1333" s="3" t="s">
        <v>11</v>
      </c>
      <c r="U1333" s="34" t="s">
        <v>12</v>
      </c>
      <c r="V1333" s="4" t="s">
        <v>13</v>
      </c>
      <c r="W1333" s="19" t="s">
        <v>14</v>
      </c>
      <c r="X1333" s="23" t="s">
        <v>3</v>
      </c>
      <c r="Y1333" s="251"/>
    </row>
    <row r="1334" spans="1:27" ht="14.25" thickBot="1" x14ac:dyDescent="0.2">
      <c r="A1334" s="18" t="s">
        <v>15</v>
      </c>
      <c r="B1334" s="31">
        <f>B1328</f>
        <v>28</v>
      </c>
      <c r="C1334" s="32">
        <f>C1328</f>
        <v>25</v>
      </c>
      <c r="D1334" s="32">
        <f>D1328</f>
        <v>29</v>
      </c>
      <c r="E1334" s="33">
        <f>E1328</f>
        <v>28</v>
      </c>
      <c r="F1334" s="86">
        <f>SUM(B1334:E1334)</f>
        <v>110</v>
      </c>
      <c r="G1334" s="31">
        <f>G1328</f>
        <v>32</v>
      </c>
      <c r="H1334" s="32">
        <f>H1328</f>
        <v>27</v>
      </c>
      <c r="I1334" s="32">
        <f>I1328</f>
        <v>27</v>
      </c>
      <c r="J1334" s="33">
        <f>J1328</f>
        <v>25</v>
      </c>
      <c r="K1334" s="80">
        <f>SUM(G1334:J1334)</f>
        <v>111</v>
      </c>
      <c r="L1334" s="17">
        <f>F1334+K1334</f>
        <v>221</v>
      </c>
      <c r="N1334" s="18" t="s">
        <v>15</v>
      </c>
      <c r="O1334" s="31">
        <f>O1328</f>
        <v>373</v>
      </c>
      <c r="P1334" s="32">
        <f t="shared" ref="P1334:Y1334" si="1169">P1328</f>
        <v>622</v>
      </c>
      <c r="Q1334" s="32">
        <f t="shared" si="1169"/>
        <v>340</v>
      </c>
      <c r="R1334" s="33">
        <f t="shared" si="1169"/>
        <v>279</v>
      </c>
      <c r="S1334" s="86">
        <f t="shared" si="1169"/>
        <v>1614</v>
      </c>
      <c r="T1334" s="31">
        <f t="shared" si="1169"/>
        <v>404</v>
      </c>
      <c r="U1334" s="32">
        <f t="shared" si="1169"/>
        <v>520</v>
      </c>
      <c r="V1334" s="32">
        <f t="shared" si="1169"/>
        <v>309</v>
      </c>
      <c r="W1334" s="33">
        <f t="shared" si="1169"/>
        <v>240</v>
      </c>
      <c r="X1334" s="80">
        <f t="shared" si="1169"/>
        <v>1473</v>
      </c>
      <c r="Y1334" s="17">
        <f t="shared" si="1169"/>
        <v>3087</v>
      </c>
    </row>
    <row r="1335" spans="1:27" x14ac:dyDescent="0.15">
      <c r="A1335" s="13" t="s">
        <v>4</v>
      </c>
      <c r="B1335" s="20">
        <v>5</v>
      </c>
      <c r="C1335" s="35">
        <v>10</v>
      </c>
      <c r="D1335" s="21">
        <v>5</v>
      </c>
      <c r="E1335" s="24">
        <v>5</v>
      </c>
      <c r="F1335" s="25">
        <f t="shared" ref="F1335:F1338" si="1170">SUM(B1335:E1335)</f>
        <v>25</v>
      </c>
      <c r="G1335" s="20">
        <v>5</v>
      </c>
      <c r="H1335" s="35">
        <v>5</v>
      </c>
      <c r="I1335" s="21">
        <v>5</v>
      </c>
      <c r="J1335" s="24">
        <v>10</v>
      </c>
      <c r="K1335" s="25">
        <f t="shared" ref="K1335:K1338" si="1171">SUM(G1335:J1335)</f>
        <v>25</v>
      </c>
      <c r="L1335" s="11">
        <f t="shared" ref="L1335:L1366" si="1172">F1335+K1335</f>
        <v>50</v>
      </c>
      <c r="M1335" s="69">
        <v>45843</v>
      </c>
      <c r="N1335" s="59" t="s">
        <v>16</v>
      </c>
      <c r="O1335" s="48"/>
      <c r="P1335" s="49"/>
      <c r="Q1335" s="50"/>
      <c r="R1335" s="51"/>
      <c r="S1335" s="85">
        <f t="shared" ref="S1335:S1337" si="1173">SUM(O1335:R1335)</f>
        <v>0</v>
      </c>
      <c r="T1335" s="48"/>
      <c r="U1335" s="49"/>
      <c r="V1335" s="50"/>
      <c r="W1335" s="51"/>
      <c r="X1335" s="74">
        <f t="shared" ref="X1335:X1337" si="1174">SUM(T1335:W1335)</f>
        <v>0</v>
      </c>
      <c r="Y1335" s="11">
        <f t="shared" ref="Y1335:Y1359" si="1175">S1335+X1335</f>
        <v>0</v>
      </c>
    </row>
    <row r="1336" spans="1:27" x14ac:dyDescent="0.15">
      <c r="A1336" s="59" t="s">
        <v>771</v>
      </c>
      <c r="B1336" s="20"/>
      <c r="C1336" s="35"/>
      <c r="D1336" s="21">
        <f>1-1</f>
        <v>0</v>
      </c>
      <c r="E1336" s="24"/>
      <c r="F1336" s="25">
        <f t="shared" si="1170"/>
        <v>0</v>
      </c>
      <c r="G1336" s="20"/>
      <c r="H1336" s="35">
        <v>1</v>
      </c>
      <c r="I1336" s="21"/>
      <c r="J1336" s="24">
        <v>1</v>
      </c>
      <c r="K1336" s="25">
        <f t="shared" si="1171"/>
        <v>2</v>
      </c>
      <c r="L1336" s="11">
        <f t="shared" si="1172"/>
        <v>2</v>
      </c>
      <c r="M1336" s="69">
        <v>45843</v>
      </c>
      <c r="N1336" s="59" t="s">
        <v>4</v>
      </c>
      <c r="O1336" s="48"/>
      <c r="P1336" s="49"/>
      <c r="Q1336" s="50"/>
      <c r="R1336" s="51"/>
      <c r="S1336" s="85">
        <f t="shared" si="1173"/>
        <v>0</v>
      </c>
      <c r="T1336" s="48"/>
      <c r="U1336" s="49"/>
      <c r="V1336" s="50"/>
      <c r="W1336" s="51"/>
      <c r="X1336" s="74">
        <f t="shared" si="1174"/>
        <v>0</v>
      </c>
      <c r="Y1336" s="11">
        <f t="shared" si="1175"/>
        <v>0</v>
      </c>
    </row>
    <row r="1337" spans="1:27" x14ac:dyDescent="0.15">
      <c r="A1337" s="13" t="s">
        <v>6</v>
      </c>
      <c r="B1337" s="20"/>
      <c r="C1337" s="35"/>
      <c r="D1337" s="21"/>
      <c r="E1337" s="24"/>
      <c r="F1337" s="25">
        <f t="shared" si="1170"/>
        <v>0</v>
      </c>
      <c r="G1337" s="20"/>
      <c r="H1337" s="35">
        <v>10</v>
      </c>
      <c r="I1337" s="21">
        <v>15</v>
      </c>
      <c r="J1337" s="24"/>
      <c r="K1337" s="25">
        <f t="shared" si="1171"/>
        <v>25</v>
      </c>
      <c r="L1337" s="11">
        <f t="shared" si="1172"/>
        <v>25</v>
      </c>
      <c r="M1337" s="69">
        <v>45852</v>
      </c>
      <c r="N1337" s="59" t="s">
        <v>5</v>
      </c>
      <c r="O1337" s="48"/>
      <c r="P1337" s="49"/>
      <c r="Q1337" s="50"/>
      <c r="R1337" s="51"/>
      <c r="S1337" s="85">
        <f t="shared" si="1173"/>
        <v>0</v>
      </c>
      <c r="T1337" s="48"/>
      <c r="U1337" s="49"/>
      <c r="V1337" s="50"/>
      <c r="W1337" s="51"/>
      <c r="X1337" s="74">
        <f t="shared" si="1174"/>
        <v>0</v>
      </c>
      <c r="Y1337" s="11">
        <f t="shared" si="1175"/>
        <v>0</v>
      </c>
    </row>
    <row r="1338" spans="1:27" ht="14.25" thickBot="1" x14ac:dyDescent="0.2">
      <c r="A1338" s="13" t="s">
        <v>781</v>
      </c>
      <c r="B1338" s="48"/>
      <c r="C1338" s="49"/>
      <c r="D1338" s="50">
        <v>3</v>
      </c>
      <c r="E1338" s="51">
        <v>2</v>
      </c>
      <c r="F1338" s="52">
        <f t="shared" si="1170"/>
        <v>5</v>
      </c>
      <c r="G1338" s="48"/>
      <c r="H1338" s="49"/>
      <c r="I1338" s="50">
        <v>3</v>
      </c>
      <c r="J1338" s="51">
        <v>2</v>
      </c>
      <c r="K1338" s="52">
        <f t="shared" si="1171"/>
        <v>5</v>
      </c>
      <c r="L1338" s="11">
        <f t="shared" si="1172"/>
        <v>10</v>
      </c>
      <c r="M1338" s="69">
        <v>45860</v>
      </c>
      <c r="N1338" s="13" t="s">
        <v>6</v>
      </c>
      <c r="O1338" s="43"/>
      <c r="P1338" s="44"/>
      <c r="Q1338" s="45"/>
      <c r="R1338" s="46"/>
      <c r="S1338" s="58">
        <f>SUM(O1338:R1338)</f>
        <v>0</v>
      </c>
      <c r="T1338" s="35"/>
      <c r="U1338" s="35"/>
      <c r="V1338" s="21"/>
      <c r="W1338" s="38"/>
      <c r="X1338" s="10">
        <f>SUM(T1338:W1338)</f>
        <v>0</v>
      </c>
      <c r="Y1338" s="14">
        <f t="shared" si="1175"/>
        <v>0</v>
      </c>
    </row>
    <row r="1339" spans="1:27" ht="14.25" thickBot="1" x14ac:dyDescent="0.2">
      <c r="A1339" s="18" t="s">
        <v>8</v>
      </c>
      <c r="B1339" s="76">
        <f t="shared" ref="B1339:K1339" si="1176">SUM(B1334:B1338)</f>
        <v>33</v>
      </c>
      <c r="C1339" s="77">
        <f t="shared" si="1176"/>
        <v>35</v>
      </c>
      <c r="D1339" s="78">
        <f t="shared" si="1176"/>
        <v>37</v>
      </c>
      <c r="E1339" s="79">
        <f t="shared" si="1176"/>
        <v>35</v>
      </c>
      <c r="F1339" s="80">
        <f t="shared" si="1176"/>
        <v>140</v>
      </c>
      <c r="G1339" s="76">
        <f t="shared" si="1176"/>
        <v>37</v>
      </c>
      <c r="H1339" s="77">
        <f t="shared" si="1176"/>
        <v>43</v>
      </c>
      <c r="I1339" s="78">
        <f t="shared" si="1176"/>
        <v>50</v>
      </c>
      <c r="J1339" s="79">
        <f t="shared" si="1176"/>
        <v>38</v>
      </c>
      <c r="K1339" s="80">
        <f t="shared" si="1176"/>
        <v>168</v>
      </c>
      <c r="L1339" s="17">
        <f t="shared" si="1172"/>
        <v>308</v>
      </c>
      <c r="N1339" s="16" t="s">
        <v>8</v>
      </c>
      <c r="O1339" s="31">
        <f>SUM(O1334:O1338)</f>
        <v>373</v>
      </c>
      <c r="P1339" s="37">
        <f t="shared" ref="P1339" si="1177">SUM(P1334:P1338)</f>
        <v>622</v>
      </c>
      <c r="Q1339" s="32">
        <f t="shared" ref="Q1339" si="1178">SUM(Q1334:Q1338)</f>
        <v>340</v>
      </c>
      <c r="R1339" s="82">
        <f t="shared" ref="R1339" si="1179">SUM(R1334:R1338)</f>
        <v>279</v>
      </c>
      <c r="S1339" s="83">
        <f>SUM(S1334:S1338)</f>
        <v>1614</v>
      </c>
      <c r="T1339" s="31">
        <f>SUM(T1334:T1338)</f>
        <v>404</v>
      </c>
      <c r="U1339" s="37">
        <f t="shared" ref="U1339" si="1180">SUM(U1334:U1338)</f>
        <v>520</v>
      </c>
      <c r="V1339" s="32">
        <f t="shared" ref="V1339" si="1181">SUM(V1334:V1338)</f>
        <v>309</v>
      </c>
      <c r="W1339" s="82">
        <f t="shared" ref="W1339" si="1182">SUM(W1334:W1338)</f>
        <v>240</v>
      </c>
      <c r="X1339" s="83">
        <f>SUM(X1334:X1338)</f>
        <v>1473</v>
      </c>
      <c r="Y1339" s="39">
        <f>S1339+X1339</f>
        <v>3087</v>
      </c>
    </row>
    <row r="1340" spans="1:27" x14ac:dyDescent="0.15">
      <c r="A1340" s="59" t="s">
        <v>27</v>
      </c>
      <c r="B1340" s="20"/>
      <c r="C1340" s="35">
        <v>1</v>
      </c>
      <c r="D1340" s="21"/>
      <c r="E1340" s="24"/>
      <c r="F1340" s="25">
        <f t="shared" ref="F1340:F1343" si="1183">SUM(B1340:E1340)</f>
        <v>1</v>
      </c>
      <c r="G1340" s="20"/>
      <c r="H1340" s="35">
        <v>1</v>
      </c>
      <c r="I1340" s="21"/>
      <c r="J1340" s="24"/>
      <c r="K1340" s="25">
        <f t="shared" ref="K1340:K1343" si="1184">SUM(G1340:J1340)</f>
        <v>1</v>
      </c>
      <c r="L1340" s="11">
        <f t="shared" ref="L1340:L1343" si="1185">F1340+K1340</f>
        <v>2</v>
      </c>
      <c r="M1340" s="71">
        <v>45832</v>
      </c>
      <c r="N1340" s="136" t="s">
        <v>782</v>
      </c>
      <c r="O1340" s="20">
        <v>3</v>
      </c>
      <c r="P1340" s="35">
        <v>3</v>
      </c>
      <c r="Q1340" s="21">
        <v>3</v>
      </c>
      <c r="R1340" s="38">
        <v>3</v>
      </c>
      <c r="S1340" s="9">
        <f t="shared" ref="S1340:S1352" si="1186">SUM(O1340:R1340)</f>
        <v>12</v>
      </c>
      <c r="T1340" s="20">
        <v>3</v>
      </c>
      <c r="U1340" s="35">
        <v>3</v>
      </c>
      <c r="V1340" s="21">
        <v>3</v>
      </c>
      <c r="W1340" s="38">
        <v>3</v>
      </c>
      <c r="X1340" s="9">
        <f t="shared" ref="X1340:X1352" si="1187">SUM(T1340:W1340)</f>
        <v>12</v>
      </c>
      <c r="Y1340" s="11">
        <f t="shared" si="1175"/>
        <v>24</v>
      </c>
      <c r="Z1340" s="69">
        <v>45869</v>
      </c>
    </row>
    <row r="1341" spans="1:27" x14ac:dyDescent="0.15">
      <c r="A1341" s="59" t="s">
        <v>27</v>
      </c>
      <c r="B1341" s="20">
        <v>1</v>
      </c>
      <c r="C1341" s="35">
        <v>1</v>
      </c>
      <c r="D1341" s="21"/>
      <c r="E1341" s="24"/>
      <c r="F1341" s="25">
        <f t="shared" si="1183"/>
        <v>2</v>
      </c>
      <c r="G1341" s="20">
        <v>1</v>
      </c>
      <c r="H1341" s="35">
        <v>1</v>
      </c>
      <c r="I1341" s="21"/>
      <c r="J1341" s="24"/>
      <c r="K1341" s="25">
        <f t="shared" si="1184"/>
        <v>2</v>
      </c>
      <c r="L1341" s="11">
        <f t="shared" si="1185"/>
        <v>4</v>
      </c>
      <c r="M1341" s="71">
        <v>45833</v>
      </c>
      <c r="N1341" s="12" t="s">
        <v>789</v>
      </c>
      <c r="O1341" s="20">
        <v>5</v>
      </c>
      <c r="P1341" s="35">
        <v>15</v>
      </c>
      <c r="Q1341" s="21"/>
      <c r="R1341" s="38">
        <v>5</v>
      </c>
      <c r="S1341" s="9">
        <f t="shared" si="1186"/>
        <v>25</v>
      </c>
      <c r="T1341" s="20">
        <v>5</v>
      </c>
      <c r="U1341" s="35">
        <v>15</v>
      </c>
      <c r="V1341" s="21"/>
      <c r="W1341" s="38">
        <v>5</v>
      </c>
      <c r="X1341" s="9">
        <f t="shared" si="1187"/>
        <v>25</v>
      </c>
      <c r="Y1341" s="11">
        <f t="shared" si="1175"/>
        <v>50</v>
      </c>
      <c r="Z1341" s="69">
        <v>45875</v>
      </c>
    </row>
    <row r="1342" spans="1:27" x14ac:dyDescent="0.15">
      <c r="A1342" s="59" t="s">
        <v>27</v>
      </c>
      <c r="B1342" s="20">
        <v>1</v>
      </c>
      <c r="C1342" s="35"/>
      <c r="D1342" s="21">
        <v>1</v>
      </c>
      <c r="E1342" s="24"/>
      <c r="F1342" s="25">
        <f t="shared" si="1183"/>
        <v>2</v>
      </c>
      <c r="G1342" s="20">
        <v>1</v>
      </c>
      <c r="H1342" s="35"/>
      <c r="I1342" s="21">
        <v>1</v>
      </c>
      <c r="J1342" s="24"/>
      <c r="K1342" s="25">
        <f t="shared" si="1184"/>
        <v>2</v>
      </c>
      <c r="L1342" s="11">
        <f t="shared" si="1185"/>
        <v>4</v>
      </c>
      <c r="M1342" s="71">
        <v>45835</v>
      </c>
      <c r="N1342" s="12" t="s">
        <v>455</v>
      </c>
      <c r="O1342" s="20"/>
      <c r="P1342" s="35">
        <v>5</v>
      </c>
      <c r="Q1342" s="21"/>
      <c r="R1342" s="38"/>
      <c r="S1342" s="9">
        <f t="shared" si="1186"/>
        <v>5</v>
      </c>
      <c r="T1342" s="20"/>
      <c r="U1342" s="35"/>
      <c r="V1342" s="21"/>
      <c r="W1342" s="38"/>
      <c r="X1342" s="9">
        <f t="shared" si="1187"/>
        <v>0</v>
      </c>
      <c r="Y1342" s="11">
        <f t="shared" si="1175"/>
        <v>5</v>
      </c>
      <c r="Z1342" s="69">
        <v>45870</v>
      </c>
      <c r="AA1342" s="41"/>
    </row>
    <row r="1343" spans="1:27" x14ac:dyDescent="0.15">
      <c r="A1343" s="59" t="s">
        <v>27</v>
      </c>
      <c r="B1343" s="20"/>
      <c r="C1343" s="35">
        <v>1</v>
      </c>
      <c r="D1343" s="21">
        <v>1</v>
      </c>
      <c r="E1343" s="24"/>
      <c r="F1343" s="25">
        <f t="shared" si="1183"/>
        <v>2</v>
      </c>
      <c r="G1343" s="20"/>
      <c r="H1343" s="35">
        <v>1</v>
      </c>
      <c r="I1343" s="21">
        <v>1</v>
      </c>
      <c r="J1343" s="24"/>
      <c r="K1343" s="25">
        <f t="shared" si="1184"/>
        <v>2</v>
      </c>
      <c r="L1343" s="11">
        <f t="shared" si="1185"/>
        <v>4</v>
      </c>
      <c r="M1343" s="69">
        <v>45838</v>
      </c>
      <c r="N1343" s="40" t="s">
        <v>26</v>
      </c>
      <c r="O1343" s="20">
        <v>5</v>
      </c>
      <c r="P1343" s="35">
        <v>10</v>
      </c>
      <c r="Q1343" s="21">
        <v>10</v>
      </c>
      <c r="R1343" s="38">
        <v>5</v>
      </c>
      <c r="S1343" s="9">
        <f t="shared" si="1186"/>
        <v>30</v>
      </c>
      <c r="T1343" s="20">
        <v>15</v>
      </c>
      <c r="U1343" s="35">
        <v>5</v>
      </c>
      <c r="V1343" s="21">
        <v>5</v>
      </c>
      <c r="W1343" s="38"/>
      <c r="X1343" s="9">
        <f t="shared" si="1187"/>
        <v>25</v>
      </c>
      <c r="Y1343" s="11">
        <f t="shared" si="1175"/>
        <v>55</v>
      </c>
      <c r="Z1343" s="69">
        <v>45871</v>
      </c>
    </row>
    <row r="1344" spans="1:27" x14ac:dyDescent="0.15">
      <c r="A1344" s="59" t="s">
        <v>27</v>
      </c>
      <c r="B1344" s="20"/>
      <c r="C1344" s="35"/>
      <c r="D1344" s="21"/>
      <c r="E1344" s="24">
        <v>2</v>
      </c>
      <c r="F1344" s="25">
        <f t="shared" ref="F1344:F1364" si="1188">SUM(B1344:E1344)</f>
        <v>2</v>
      </c>
      <c r="G1344" s="20"/>
      <c r="H1344" s="35"/>
      <c r="I1344" s="21"/>
      <c r="J1344" s="24">
        <v>2</v>
      </c>
      <c r="K1344" s="25">
        <f t="shared" ref="K1344:K1364" si="1189">SUM(G1344:J1344)</f>
        <v>2</v>
      </c>
      <c r="L1344" s="11">
        <f t="shared" si="1172"/>
        <v>4</v>
      </c>
      <c r="M1344" s="69">
        <v>45839</v>
      </c>
      <c r="N1344" s="12" t="s">
        <v>790</v>
      </c>
      <c r="O1344" s="20">
        <v>5</v>
      </c>
      <c r="P1344" s="35">
        <v>5</v>
      </c>
      <c r="Q1344" s="21"/>
      <c r="R1344" s="38"/>
      <c r="S1344" s="9">
        <f t="shared" si="1186"/>
        <v>10</v>
      </c>
      <c r="T1344" s="20">
        <v>5</v>
      </c>
      <c r="U1344" s="35">
        <v>5</v>
      </c>
      <c r="V1344" s="21"/>
      <c r="W1344" s="38"/>
      <c r="X1344" s="9">
        <f t="shared" si="1187"/>
        <v>10</v>
      </c>
      <c r="Y1344" s="11">
        <f t="shared" si="1175"/>
        <v>20</v>
      </c>
      <c r="Z1344" s="69">
        <v>45877</v>
      </c>
    </row>
    <row r="1345" spans="1:27" x14ac:dyDescent="0.15">
      <c r="A1345" s="59" t="s">
        <v>769</v>
      </c>
      <c r="B1345" s="20"/>
      <c r="C1345" s="35"/>
      <c r="D1345" s="21">
        <v>1</v>
      </c>
      <c r="E1345" s="24"/>
      <c r="F1345" s="25">
        <f t="shared" si="1188"/>
        <v>1</v>
      </c>
      <c r="G1345" s="20"/>
      <c r="H1345" s="35"/>
      <c r="I1345" s="21">
        <v>1</v>
      </c>
      <c r="J1345" s="24"/>
      <c r="K1345" s="25">
        <f t="shared" si="1189"/>
        <v>1</v>
      </c>
      <c r="L1345" s="11">
        <f t="shared" si="1172"/>
        <v>2</v>
      </c>
      <c r="M1345" s="69">
        <v>45840</v>
      </c>
      <c r="N1345" s="12" t="s">
        <v>791</v>
      </c>
      <c r="O1345" s="20">
        <v>5</v>
      </c>
      <c r="P1345" s="35">
        <v>5</v>
      </c>
      <c r="Q1345" s="21"/>
      <c r="R1345" s="38"/>
      <c r="S1345" s="9">
        <f t="shared" si="1186"/>
        <v>10</v>
      </c>
      <c r="T1345" s="20">
        <v>5</v>
      </c>
      <c r="U1345" s="35">
        <v>5</v>
      </c>
      <c r="V1345" s="21"/>
      <c r="W1345" s="38"/>
      <c r="X1345" s="9">
        <f t="shared" si="1187"/>
        <v>10</v>
      </c>
      <c r="Y1345" s="11">
        <f t="shared" si="1175"/>
        <v>20</v>
      </c>
      <c r="Z1345" s="69">
        <v>45889</v>
      </c>
    </row>
    <row r="1346" spans="1:27" x14ac:dyDescent="0.15">
      <c r="A1346" s="59" t="s">
        <v>27</v>
      </c>
      <c r="B1346" s="20"/>
      <c r="C1346" s="35"/>
      <c r="D1346" s="21"/>
      <c r="E1346" s="24">
        <v>1</v>
      </c>
      <c r="F1346" s="25">
        <f t="shared" si="1188"/>
        <v>1</v>
      </c>
      <c r="G1346" s="20">
        <v>2</v>
      </c>
      <c r="H1346" s="35"/>
      <c r="I1346" s="21">
        <v>1</v>
      </c>
      <c r="J1346" s="24">
        <v>1</v>
      </c>
      <c r="K1346" s="25">
        <f t="shared" si="1189"/>
        <v>4</v>
      </c>
      <c r="L1346" s="11">
        <f t="shared" si="1172"/>
        <v>5</v>
      </c>
      <c r="M1346" s="69">
        <v>45840</v>
      </c>
      <c r="N1346" s="12" t="s">
        <v>456</v>
      </c>
      <c r="O1346" s="20"/>
      <c r="P1346" s="35"/>
      <c r="Q1346" s="21"/>
      <c r="R1346" s="38">
        <v>5</v>
      </c>
      <c r="S1346" s="9">
        <f t="shared" si="1186"/>
        <v>5</v>
      </c>
      <c r="T1346" s="20"/>
      <c r="U1346" s="35">
        <v>2</v>
      </c>
      <c r="V1346" s="21"/>
      <c r="W1346" s="38">
        <v>10</v>
      </c>
      <c r="X1346" s="9">
        <f t="shared" si="1187"/>
        <v>12</v>
      </c>
      <c r="Y1346" s="11">
        <f t="shared" si="1175"/>
        <v>17</v>
      </c>
      <c r="Z1346" s="69">
        <v>45890</v>
      </c>
    </row>
    <row r="1347" spans="1:27" x14ac:dyDescent="0.15">
      <c r="A1347" s="59" t="s">
        <v>27</v>
      </c>
      <c r="B1347" s="20"/>
      <c r="C1347" s="35">
        <v>1</v>
      </c>
      <c r="D1347" s="21"/>
      <c r="E1347" s="24"/>
      <c r="F1347" s="25">
        <f t="shared" si="1188"/>
        <v>1</v>
      </c>
      <c r="G1347" s="20">
        <v>1</v>
      </c>
      <c r="H1347" s="35"/>
      <c r="I1347" s="21"/>
      <c r="J1347" s="24"/>
      <c r="K1347" s="25">
        <f t="shared" si="1189"/>
        <v>1</v>
      </c>
      <c r="L1347" s="11">
        <f t="shared" si="1172"/>
        <v>2</v>
      </c>
      <c r="M1347" s="69">
        <v>45841</v>
      </c>
      <c r="N1347" s="40" t="s">
        <v>792</v>
      </c>
      <c r="O1347" s="20">
        <v>60</v>
      </c>
      <c r="P1347" s="35">
        <v>130</v>
      </c>
      <c r="Q1347" s="21">
        <v>60</v>
      </c>
      <c r="R1347" s="38">
        <v>40</v>
      </c>
      <c r="S1347" s="9">
        <f t="shared" si="1186"/>
        <v>290</v>
      </c>
      <c r="T1347" s="20">
        <v>60</v>
      </c>
      <c r="U1347" s="35">
        <v>130</v>
      </c>
      <c r="V1347" s="21">
        <v>60</v>
      </c>
      <c r="W1347" s="38">
        <v>40</v>
      </c>
      <c r="X1347" s="9">
        <f t="shared" si="1187"/>
        <v>290</v>
      </c>
      <c r="Y1347" s="11">
        <f t="shared" si="1175"/>
        <v>580</v>
      </c>
      <c r="Z1347" s="69">
        <v>45878</v>
      </c>
      <c r="AA1347" s="41"/>
    </row>
    <row r="1348" spans="1:27" x14ac:dyDescent="0.15">
      <c r="A1348" s="59" t="s">
        <v>27</v>
      </c>
      <c r="B1348" s="20"/>
      <c r="C1348" s="35"/>
      <c r="D1348" s="21"/>
      <c r="E1348" s="24">
        <v>1</v>
      </c>
      <c r="F1348" s="25">
        <f t="shared" si="1188"/>
        <v>1</v>
      </c>
      <c r="G1348" s="20">
        <v>2</v>
      </c>
      <c r="H1348" s="35">
        <v>2</v>
      </c>
      <c r="I1348" s="21"/>
      <c r="J1348" s="24">
        <v>1</v>
      </c>
      <c r="K1348" s="25">
        <f t="shared" si="1189"/>
        <v>5</v>
      </c>
      <c r="L1348" s="11">
        <f t="shared" si="1172"/>
        <v>6</v>
      </c>
      <c r="M1348" s="69">
        <v>45843</v>
      </c>
      <c r="N1348" s="40" t="s">
        <v>26</v>
      </c>
      <c r="O1348" s="20">
        <v>15</v>
      </c>
      <c r="P1348" s="35">
        <v>15</v>
      </c>
      <c r="Q1348" s="21"/>
      <c r="R1348" s="38">
        <v>10</v>
      </c>
      <c r="S1348" s="9">
        <f t="shared" si="1186"/>
        <v>40</v>
      </c>
      <c r="T1348" s="20">
        <v>15</v>
      </c>
      <c r="U1348" s="35">
        <v>10</v>
      </c>
      <c r="V1348" s="21">
        <v>5</v>
      </c>
      <c r="W1348" s="38">
        <v>10</v>
      </c>
      <c r="X1348" s="9">
        <f t="shared" si="1187"/>
        <v>40</v>
      </c>
      <c r="Y1348" s="11">
        <f t="shared" si="1175"/>
        <v>80</v>
      </c>
      <c r="Z1348" s="69">
        <v>45890</v>
      </c>
      <c r="AA1348" s="41"/>
    </row>
    <row r="1349" spans="1:27" x14ac:dyDescent="0.15">
      <c r="A1349" s="59" t="s">
        <v>27</v>
      </c>
      <c r="B1349" s="20"/>
      <c r="C1349" s="35">
        <v>1</v>
      </c>
      <c r="D1349" s="21">
        <v>1</v>
      </c>
      <c r="E1349" s="24"/>
      <c r="F1349" s="25">
        <f t="shared" si="1188"/>
        <v>2</v>
      </c>
      <c r="G1349" s="20">
        <v>1</v>
      </c>
      <c r="H1349" s="35">
        <v>1</v>
      </c>
      <c r="I1349" s="21">
        <f>2+3+1</f>
        <v>6</v>
      </c>
      <c r="J1349" s="24"/>
      <c r="K1349" s="25">
        <f t="shared" si="1189"/>
        <v>8</v>
      </c>
      <c r="L1349" s="11">
        <f t="shared" si="1172"/>
        <v>10</v>
      </c>
      <c r="M1349" s="69">
        <v>45845</v>
      </c>
      <c r="N1349" s="40" t="s">
        <v>26</v>
      </c>
      <c r="O1349" s="20">
        <v>15</v>
      </c>
      <c r="P1349" s="35">
        <v>10</v>
      </c>
      <c r="Q1349" s="21">
        <v>15</v>
      </c>
      <c r="R1349" s="38"/>
      <c r="S1349" s="9">
        <f t="shared" si="1186"/>
        <v>40</v>
      </c>
      <c r="T1349" s="20">
        <v>25</v>
      </c>
      <c r="U1349" s="35">
        <v>15</v>
      </c>
      <c r="V1349" s="21">
        <v>15</v>
      </c>
      <c r="W1349" s="38"/>
      <c r="X1349" s="9">
        <f t="shared" si="1187"/>
        <v>55</v>
      </c>
      <c r="Y1349" s="11">
        <f t="shared" si="1175"/>
        <v>95</v>
      </c>
      <c r="Z1349" s="69">
        <v>45898</v>
      </c>
      <c r="AA1349" s="41"/>
    </row>
    <row r="1350" spans="1:27" x14ac:dyDescent="0.15">
      <c r="A1350" s="59" t="s">
        <v>27</v>
      </c>
      <c r="B1350" s="20"/>
      <c r="C1350" s="35">
        <v>1</v>
      </c>
      <c r="D1350" s="21"/>
      <c r="E1350" s="24">
        <v>1</v>
      </c>
      <c r="F1350" s="25">
        <f t="shared" si="1188"/>
        <v>2</v>
      </c>
      <c r="G1350" s="20"/>
      <c r="H1350" s="35">
        <v>1</v>
      </c>
      <c r="I1350" s="21"/>
      <c r="J1350" s="24">
        <v>1</v>
      </c>
      <c r="K1350" s="25">
        <f t="shared" si="1189"/>
        <v>2</v>
      </c>
      <c r="L1350" s="11">
        <f t="shared" si="1172"/>
        <v>4</v>
      </c>
      <c r="M1350" s="71">
        <v>45846</v>
      </c>
      <c r="N1350" s="40" t="s">
        <v>26</v>
      </c>
      <c r="O1350" s="20">
        <v>5</v>
      </c>
      <c r="P1350" s="35">
        <v>15</v>
      </c>
      <c r="Q1350" s="21"/>
      <c r="R1350" s="38">
        <v>5</v>
      </c>
      <c r="S1350" s="9">
        <f t="shared" si="1186"/>
        <v>25</v>
      </c>
      <c r="T1350" s="20"/>
      <c r="U1350" s="35"/>
      <c r="V1350" s="21"/>
      <c r="W1350" s="38"/>
      <c r="X1350" s="9">
        <f t="shared" si="1187"/>
        <v>0</v>
      </c>
      <c r="Y1350" s="11">
        <f t="shared" si="1175"/>
        <v>25</v>
      </c>
      <c r="Z1350" s="69">
        <v>45899</v>
      </c>
    </row>
    <row r="1351" spans="1:27" x14ac:dyDescent="0.15">
      <c r="A1351" s="59" t="s">
        <v>27</v>
      </c>
      <c r="B1351" s="20">
        <v>1</v>
      </c>
      <c r="C1351" s="35">
        <v>1</v>
      </c>
      <c r="D1351" s="21"/>
      <c r="E1351" s="24"/>
      <c r="F1351" s="25">
        <f t="shared" si="1188"/>
        <v>2</v>
      </c>
      <c r="G1351" s="20"/>
      <c r="H1351" s="35">
        <v>1</v>
      </c>
      <c r="I1351" s="21"/>
      <c r="J1351" s="24"/>
      <c r="K1351" s="25">
        <f t="shared" si="1189"/>
        <v>1</v>
      </c>
      <c r="L1351" s="11">
        <f t="shared" si="1172"/>
        <v>3</v>
      </c>
      <c r="M1351" s="71">
        <v>45847</v>
      </c>
      <c r="N1351" s="40"/>
      <c r="O1351" s="20"/>
      <c r="P1351" s="35"/>
      <c r="Q1351" s="21"/>
      <c r="R1351" s="38"/>
      <c r="S1351" s="9">
        <f t="shared" si="1186"/>
        <v>0</v>
      </c>
      <c r="T1351" s="20"/>
      <c r="U1351" s="35"/>
      <c r="V1351" s="21"/>
      <c r="W1351" s="38"/>
      <c r="X1351" s="9">
        <f t="shared" si="1187"/>
        <v>0</v>
      </c>
      <c r="Y1351" s="11">
        <f t="shared" si="1175"/>
        <v>0</v>
      </c>
      <c r="Z1351" s="162"/>
    </row>
    <row r="1352" spans="1:27" x14ac:dyDescent="0.15">
      <c r="A1352" s="59" t="s">
        <v>27</v>
      </c>
      <c r="B1352" s="20"/>
      <c r="C1352" s="35"/>
      <c r="D1352" s="21">
        <v>1</v>
      </c>
      <c r="E1352" s="24">
        <v>1</v>
      </c>
      <c r="F1352" s="25">
        <f t="shared" si="1188"/>
        <v>2</v>
      </c>
      <c r="G1352" s="20"/>
      <c r="H1352" s="35">
        <v>2</v>
      </c>
      <c r="I1352" s="21">
        <v>5</v>
      </c>
      <c r="J1352" s="24">
        <v>1</v>
      </c>
      <c r="K1352" s="25">
        <f t="shared" si="1189"/>
        <v>8</v>
      </c>
      <c r="L1352" s="11">
        <f t="shared" si="1172"/>
        <v>10</v>
      </c>
      <c r="M1352" s="69">
        <v>45848</v>
      </c>
      <c r="N1352" s="40"/>
      <c r="O1352" s="20"/>
      <c r="P1352" s="35"/>
      <c r="Q1352" s="21"/>
      <c r="R1352" s="38"/>
      <c r="S1352" s="9">
        <f t="shared" si="1186"/>
        <v>0</v>
      </c>
      <c r="T1352" s="20"/>
      <c r="U1352" s="35"/>
      <c r="V1352" s="21"/>
      <c r="W1352" s="38"/>
      <c r="X1352" s="9">
        <f t="shared" si="1187"/>
        <v>0</v>
      </c>
      <c r="Y1352" s="11">
        <f t="shared" si="1175"/>
        <v>0</v>
      </c>
    </row>
    <row r="1353" spans="1:27" x14ac:dyDescent="0.15">
      <c r="A1353" s="59" t="s">
        <v>27</v>
      </c>
      <c r="B1353" s="20"/>
      <c r="C1353" s="35">
        <v>1</v>
      </c>
      <c r="D1353" s="21">
        <v>1</v>
      </c>
      <c r="E1353" s="24"/>
      <c r="F1353" s="25">
        <f t="shared" si="1188"/>
        <v>2</v>
      </c>
      <c r="G1353" s="20"/>
      <c r="H1353" s="35">
        <v>3</v>
      </c>
      <c r="I1353" s="21"/>
      <c r="J1353" s="24"/>
      <c r="K1353" s="25">
        <f t="shared" si="1189"/>
        <v>3</v>
      </c>
      <c r="L1353" s="11">
        <f t="shared" si="1172"/>
        <v>5</v>
      </c>
      <c r="M1353" s="69">
        <v>45849</v>
      </c>
      <c r="N1353" s="12"/>
      <c r="O1353" s="20"/>
      <c r="P1353" s="35"/>
      <c r="Q1353" s="21"/>
      <c r="R1353" s="38"/>
      <c r="S1353" s="9">
        <f>SUM(O1353:R1353)</f>
        <v>0</v>
      </c>
      <c r="T1353" s="20"/>
      <c r="U1353" s="35"/>
      <c r="V1353" s="21"/>
      <c r="W1353" s="38"/>
      <c r="X1353" s="9">
        <f>SUM(T1353:W1353)</f>
        <v>0</v>
      </c>
      <c r="Y1353" s="11">
        <f t="shared" si="1175"/>
        <v>0</v>
      </c>
    </row>
    <row r="1354" spans="1:27" x14ac:dyDescent="0.15">
      <c r="A1354" s="59" t="s">
        <v>421</v>
      </c>
      <c r="B1354" s="20"/>
      <c r="C1354" s="35"/>
      <c r="D1354" s="21"/>
      <c r="E1354" s="24">
        <v>1</v>
      </c>
      <c r="F1354" s="25">
        <f t="shared" si="1188"/>
        <v>1</v>
      </c>
      <c r="G1354" s="20"/>
      <c r="H1354" s="35">
        <v>1</v>
      </c>
      <c r="I1354" s="21"/>
      <c r="J1354" s="24">
        <v>1</v>
      </c>
      <c r="K1354" s="25">
        <f t="shared" si="1189"/>
        <v>2</v>
      </c>
      <c r="L1354" s="11">
        <f t="shared" si="1172"/>
        <v>3</v>
      </c>
      <c r="M1354" s="69">
        <v>45853</v>
      </c>
      <c r="N1354" s="40"/>
      <c r="O1354" s="20"/>
      <c r="P1354" s="35"/>
      <c r="Q1354" s="21"/>
      <c r="R1354" s="38"/>
      <c r="S1354" s="9">
        <f t="shared" ref="S1354:S1359" si="1190">SUM(O1354:R1354)</f>
        <v>0</v>
      </c>
      <c r="T1354" s="20"/>
      <c r="U1354" s="35"/>
      <c r="V1354" s="21"/>
      <c r="W1354" s="38"/>
      <c r="X1354" s="9">
        <f t="shared" ref="X1354:X1359" si="1191">SUM(T1354:W1354)</f>
        <v>0</v>
      </c>
      <c r="Y1354" s="11">
        <f t="shared" si="1175"/>
        <v>0</v>
      </c>
    </row>
    <row r="1355" spans="1:27" x14ac:dyDescent="0.15">
      <c r="A1355" s="59" t="s">
        <v>27</v>
      </c>
      <c r="B1355" s="20">
        <v>1</v>
      </c>
      <c r="C1355" s="35"/>
      <c r="D1355" s="21"/>
      <c r="E1355" s="24"/>
      <c r="F1355" s="25">
        <f t="shared" si="1188"/>
        <v>1</v>
      </c>
      <c r="G1355" s="20">
        <v>1</v>
      </c>
      <c r="H1355" s="35">
        <v>1</v>
      </c>
      <c r="I1355" s="21"/>
      <c r="J1355" s="24"/>
      <c r="K1355" s="25">
        <f t="shared" si="1189"/>
        <v>2</v>
      </c>
      <c r="L1355" s="11">
        <f t="shared" si="1172"/>
        <v>3</v>
      </c>
      <c r="M1355" s="71">
        <v>45852</v>
      </c>
      <c r="N1355" s="15"/>
      <c r="O1355" s="20"/>
      <c r="P1355" s="35"/>
      <c r="Q1355" s="21"/>
      <c r="R1355" s="38"/>
      <c r="S1355" s="9">
        <f t="shared" si="1190"/>
        <v>0</v>
      </c>
      <c r="T1355" s="20"/>
      <c r="U1355" s="35"/>
      <c r="V1355" s="21"/>
      <c r="W1355" s="38"/>
      <c r="X1355" s="9">
        <f t="shared" si="1191"/>
        <v>0</v>
      </c>
      <c r="Y1355" s="11">
        <f t="shared" si="1175"/>
        <v>0</v>
      </c>
    </row>
    <row r="1356" spans="1:27" x14ac:dyDescent="0.15">
      <c r="A1356" s="59" t="s">
        <v>27</v>
      </c>
      <c r="B1356" s="20"/>
      <c r="C1356" s="35"/>
      <c r="D1356" s="21"/>
      <c r="E1356" s="24">
        <v>1</v>
      </c>
      <c r="F1356" s="25">
        <f t="shared" si="1188"/>
        <v>1</v>
      </c>
      <c r="G1356" s="20"/>
      <c r="H1356" s="35"/>
      <c r="I1356" s="21"/>
      <c r="J1356" s="24">
        <v>1</v>
      </c>
      <c r="K1356" s="25">
        <f t="shared" si="1189"/>
        <v>1</v>
      </c>
      <c r="L1356" s="11">
        <f t="shared" si="1172"/>
        <v>2</v>
      </c>
      <c r="M1356" s="71">
        <v>45853</v>
      </c>
      <c r="N1356" s="15"/>
      <c r="O1356" s="20"/>
      <c r="P1356" s="35"/>
      <c r="Q1356" s="21"/>
      <c r="R1356" s="38"/>
      <c r="S1356" s="9">
        <f t="shared" si="1190"/>
        <v>0</v>
      </c>
      <c r="T1356" s="20"/>
      <c r="U1356" s="35"/>
      <c r="V1356" s="21"/>
      <c r="W1356" s="38"/>
      <c r="X1356" s="9">
        <f t="shared" si="1191"/>
        <v>0</v>
      </c>
      <c r="Y1356" s="11">
        <f t="shared" si="1175"/>
        <v>0</v>
      </c>
    </row>
    <row r="1357" spans="1:27" x14ac:dyDescent="0.15">
      <c r="A1357" s="59" t="s">
        <v>780</v>
      </c>
      <c r="B1357" s="20"/>
      <c r="C1357" s="35"/>
      <c r="D1357" s="21">
        <v>1</v>
      </c>
      <c r="E1357" s="24"/>
      <c r="F1357" s="25">
        <f t="shared" si="1188"/>
        <v>1</v>
      </c>
      <c r="G1357" s="20"/>
      <c r="H1357" s="35"/>
      <c r="I1357" s="21"/>
      <c r="J1357" s="24"/>
      <c r="K1357" s="25">
        <f t="shared" si="1189"/>
        <v>0</v>
      </c>
      <c r="L1357" s="11">
        <f t="shared" si="1172"/>
        <v>1</v>
      </c>
      <c r="M1357" s="69">
        <v>45854</v>
      </c>
      <c r="N1357" s="15"/>
      <c r="O1357" s="20"/>
      <c r="P1357" s="35"/>
      <c r="Q1357" s="21"/>
      <c r="R1357" s="38"/>
      <c r="S1357" s="9">
        <f t="shared" si="1190"/>
        <v>0</v>
      </c>
      <c r="T1357" s="20"/>
      <c r="U1357" s="35"/>
      <c r="V1357" s="21"/>
      <c r="W1357" s="38"/>
      <c r="X1357" s="9">
        <f t="shared" si="1191"/>
        <v>0</v>
      </c>
      <c r="Y1357" s="11">
        <f t="shared" si="1175"/>
        <v>0</v>
      </c>
    </row>
    <row r="1358" spans="1:27" x14ac:dyDescent="0.15">
      <c r="A1358" s="59" t="s">
        <v>27</v>
      </c>
      <c r="B1358" s="20"/>
      <c r="C1358" s="35"/>
      <c r="D1358" s="21"/>
      <c r="E1358" s="24"/>
      <c r="F1358" s="25">
        <f t="shared" si="1188"/>
        <v>0</v>
      </c>
      <c r="G1358" s="20">
        <v>2</v>
      </c>
      <c r="H1358" s="35"/>
      <c r="I1358" s="21">
        <v>1</v>
      </c>
      <c r="J1358" s="24"/>
      <c r="K1358" s="25">
        <f t="shared" si="1189"/>
        <v>3</v>
      </c>
      <c r="L1358" s="11">
        <f t="shared" si="1172"/>
        <v>3</v>
      </c>
      <c r="M1358" s="69">
        <v>45854</v>
      </c>
      <c r="N1358" s="15"/>
      <c r="O1358" s="20"/>
      <c r="P1358" s="35"/>
      <c r="Q1358" s="21"/>
      <c r="R1358" s="38"/>
      <c r="S1358" s="9">
        <f t="shared" si="1190"/>
        <v>0</v>
      </c>
      <c r="T1358" s="20"/>
      <c r="U1358" s="35"/>
      <c r="V1358" s="21"/>
      <c r="W1358" s="38"/>
      <c r="X1358" s="9">
        <f t="shared" si="1191"/>
        <v>0</v>
      </c>
      <c r="Y1358" s="11">
        <f t="shared" si="1175"/>
        <v>0</v>
      </c>
    </row>
    <row r="1359" spans="1:27" x14ac:dyDescent="0.15">
      <c r="A1359" s="59" t="s">
        <v>27</v>
      </c>
      <c r="B1359" s="20"/>
      <c r="C1359" s="35"/>
      <c r="D1359" s="21">
        <v>1</v>
      </c>
      <c r="E1359" s="24"/>
      <c r="F1359" s="25">
        <f t="shared" si="1188"/>
        <v>1</v>
      </c>
      <c r="G1359" s="20"/>
      <c r="H1359" s="35"/>
      <c r="I1359" s="21">
        <v>1</v>
      </c>
      <c r="J1359" s="24"/>
      <c r="K1359" s="25">
        <f t="shared" si="1189"/>
        <v>1</v>
      </c>
      <c r="L1359" s="11">
        <f t="shared" si="1172"/>
        <v>2</v>
      </c>
      <c r="M1359" s="69">
        <v>45855</v>
      </c>
      <c r="N1359" s="40"/>
      <c r="O1359" s="48"/>
      <c r="P1359" s="49"/>
      <c r="Q1359" s="50"/>
      <c r="R1359" s="72"/>
      <c r="S1359" s="74">
        <f t="shared" si="1190"/>
        <v>0</v>
      </c>
      <c r="T1359" s="48"/>
      <c r="U1359" s="49"/>
      <c r="V1359" s="50"/>
      <c r="W1359" s="72"/>
      <c r="X1359" s="74">
        <f t="shared" si="1191"/>
        <v>0</v>
      </c>
      <c r="Y1359" s="11">
        <f t="shared" si="1175"/>
        <v>0</v>
      </c>
    </row>
    <row r="1360" spans="1:27" x14ac:dyDescent="0.15">
      <c r="A1360" s="59" t="s">
        <v>27</v>
      </c>
      <c r="B1360" s="20">
        <v>1</v>
      </c>
      <c r="C1360" s="35"/>
      <c r="D1360" s="21"/>
      <c r="E1360" s="24"/>
      <c r="F1360" s="25">
        <f t="shared" si="1188"/>
        <v>1</v>
      </c>
      <c r="G1360" s="20">
        <v>1</v>
      </c>
      <c r="H1360" s="35"/>
      <c r="I1360" s="21"/>
      <c r="J1360" s="24"/>
      <c r="K1360" s="25">
        <f t="shared" si="1189"/>
        <v>1</v>
      </c>
      <c r="L1360" s="11">
        <f t="shared" si="1172"/>
        <v>2</v>
      </c>
      <c r="M1360" s="71">
        <v>45856</v>
      </c>
      <c r="N1360" s="40"/>
      <c r="O1360" s="48"/>
      <c r="P1360" s="49"/>
      <c r="Q1360" s="50"/>
      <c r="R1360" s="72"/>
      <c r="S1360" s="74">
        <f t="shared" ref="S1360:S1362" si="1192">SUM(O1360:R1360)</f>
        <v>0</v>
      </c>
      <c r="T1360" s="48"/>
      <c r="U1360" s="49"/>
      <c r="V1360" s="50"/>
      <c r="W1360" s="72"/>
      <c r="X1360" s="74">
        <f t="shared" ref="X1360:X1362" si="1193">SUM(T1360:W1360)</f>
        <v>0</v>
      </c>
      <c r="Y1360" s="11">
        <f t="shared" ref="Y1360:Y1362" si="1194">S1360+X1360</f>
        <v>0</v>
      </c>
    </row>
    <row r="1361" spans="1:26" x14ac:dyDescent="0.15">
      <c r="A1361" s="59" t="s">
        <v>27</v>
      </c>
      <c r="B1361" s="20">
        <v>1</v>
      </c>
      <c r="C1361" s="35"/>
      <c r="D1361" s="21"/>
      <c r="E1361" s="24"/>
      <c r="F1361" s="25">
        <f t="shared" si="1188"/>
        <v>1</v>
      </c>
      <c r="G1361" s="20">
        <v>4</v>
      </c>
      <c r="H1361" s="35"/>
      <c r="I1361" s="21">
        <v>2</v>
      </c>
      <c r="J1361" s="24"/>
      <c r="K1361" s="25">
        <f t="shared" si="1189"/>
        <v>6</v>
      </c>
      <c r="L1361" s="11">
        <f t="shared" si="1172"/>
        <v>7</v>
      </c>
      <c r="M1361" s="71">
        <v>45860</v>
      </c>
      <c r="N1361" s="137" t="s">
        <v>754</v>
      </c>
      <c r="O1361" s="138"/>
      <c r="P1361" s="139"/>
      <c r="Q1361" s="140"/>
      <c r="R1361" s="141"/>
      <c r="S1361" s="142">
        <f t="shared" si="1192"/>
        <v>0</v>
      </c>
      <c r="T1361" s="138"/>
      <c r="U1361" s="139"/>
      <c r="V1361" s="140"/>
      <c r="W1361" s="141"/>
      <c r="X1361" s="142">
        <f t="shared" si="1193"/>
        <v>0</v>
      </c>
      <c r="Y1361" s="145">
        <f t="shared" si="1194"/>
        <v>0</v>
      </c>
      <c r="Z1361" s="167"/>
    </row>
    <row r="1362" spans="1:26" x14ac:dyDescent="0.15">
      <c r="A1362" s="59" t="s">
        <v>421</v>
      </c>
      <c r="B1362" s="20">
        <v>1</v>
      </c>
      <c r="C1362" s="35"/>
      <c r="D1362" s="21"/>
      <c r="E1362" s="24"/>
      <c r="F1362" s="25">
        <f t="shared" si="1188"/>
        <v>1</v>
      </c>
      <c r="G1362" s="20"/>
      <c r="H1362" s="35"/>
      <c r="I1362" s="21"/>
      <c r="J1362" s="24"/>
      <c r="K1362" s="25">
        <f t="shared" si="1189"/>
        <v>0</v>
      </c>
      <c r="L1362" s="11">
        <f t="shared" si="1172"/>
        <v>1</v>
      </c>
      <c r="M1362" s="69">
        <v>45862</v>
      </c>
      <c r="N1362" s="40" t="s">
        <v>752</v>
      </c>
      <c r="O1362" s="48"/>
      <c r="P1362" s="49"/>
      <c r="Q1362" s="50"/>
      <c r="R1362" s="72"/>
      <c r="S1362" s="74">
        <f t="shared" si="1192"/>
        <v>0</v>
      </c>
      <c r="T1362" s="48"/>
      <c r="U1362" s="49"/>
      <c r="V1362" s="50"/>
      <c r="W1362" s="72"/>
      <c r="X1362" s="74">
        <f t="shared" si="1193"/>
        <v>0</v>
      </c>
      <c r="Y1362" s="11">
        <f t="shared" si="1194"/>
        <v>0</v>
      </c>
      <c r="Z1362" s="162" t="s">
        <v>751</v>
      </c>
    </row>
    <row r="1363" spans="1:26" x14ac:dyDescent="0.15">
      <c r="A1363" s="59" t="s">
        <v>27</v>
      </c>
      <c r="B1363" s="20">
        <v>1</v>
      </c>
      <c r="C1363" s="35">
        <v>1</v>
      </c>
      <c r="D1363" s="21"/>
      <c r="E1363" s="24"/>
      <c r="F1363" s="25">
        <f t="shared" si="1188"/>
        <v>2</v>
      </c>
      <c r="G1363" s="20">
        <v>2</v>
      </c>
      <c r="H1363" s="35">
        <v>1</v>
      </c>
      <c r="I1363" s="21"/>
      <c r="J1363" s="24"/>
      <c r="K1363" s="25">
        <f t="shared" si="1189"/>
        <v>3</v>
      </c>
      <c r="L1363" s="11">
        <f t="shared" si="1172"/>
        <v>5</v>
      </c>
      <c r="M1363" s="71">
        <v>45862</v>
      </c>
      <c r="N1363" s="137" t="s">
        <v>738</v>
      </c>
      <c r="O1363" s="138"/>
      <c r="P1363" s="139"/>
      <c r="Q1363" s="140"/>
      <c r="R1363" s="141"/>
      <c r="S1363" s="142">
        <f t="shared" ref="S1363:S1364" si="1195">SUM(O1363:R1363)</f>
        <v>0</v>
      </c>
      <c r="T1363" s="138"/>
      <c r="U1363" s="139"/>
      <c r="V1363" s="140"/>
      <c r="W1363" s="141"/>
      <c r="X1363" s="142">
        <f t="shared" ref="X1363:X1364" si="1196">SUM(T1363:W1363)</f>
        <v>0</v>
      </c>
      <c r="Y1363" s="145">
        <f t="shared" ref="Y1363:Y1364" si="1197">S1363+X1363</f>
        <v>0</v>
      </c>
      <c r="Z1363" s="162"/>
    </row>
    <row r="1364" spans="1:26" ht="14.25" thickBot="1" x14ac:dyDescent="0.2">
      <c r="A1364" s="59" t="s">
        <v>27</v>
      </c>
      <c r="B1364" s="43"/>
      <c r="C1364" s="44"/>
      <c r="D1364" s="45"/>
      <c r="E1364" s="46"/>
      <c r="F1364" s="25">
        <f t="shared" si="1188"/>
        <v>0</v>
      </c>
      <c r="G1364" s="43">
        <v>1</v>
      </c>
      <c r="H1364" s="44"/>
      <c r="I1364" s="45"/>
      <c r="J1364" s="46"/>
      <c r="K1364" s="25">
        <f t="shared" si="1189"/>
        <v>1</v>
      </c>
      <c r="L1364" s="14">
        <f t="shared" si="1172"/>
        <v>1</v>
      </c>
      <c r="M1364" s="71">
        <v>45863</v>
      </c>
      <c r="N1364" s="99" t="s">
        <v>739</v>
      </c>
      <c r="O1364" s="43"/>
      <c r="P1364" s="44"/>
      <c r="Q1364" s="45"/>
      <c r="R1364" s="100"/>
      <c r="S1364" s="10">
        <f t="shared" si="1195"/>
        <v>0</v>
      </c>
      <c r="T1364" s="43"/>
      <c r="U1364" s="44"/>
      <c r="V1364" s="45"/>
      <c r="W1364" s="100"/>
      <c r="X1364" s="10">
        <f t="shared" si="1196"/>
        <v>0</v>
      </c>
      <c r="Y1364" s="75">
        <f t="shared" si="1197"/>
        <v>0</v>
      </c>
      <c r="Z1364" s="162" t="s">
        <v>740</v>
      </c>
    </row>
    <row r="1365" spans="1:26" ht="14.25" thickBot="1" x14ac:dyDescent="0.2">
      <c r="A1365" s="16" t="s">
        <v>9</v>
      </c>
      <c r="B1365" s="28">
        <f>SUM(B1340:B1364)</f>
        <v>8</v>
      </c>
      <c r="C1365" s="36">
        <f>SUM(C1340:C1364)</f>
        <v>9</v>
      </c>
      <c r="D1365" s="29">
        <f>SUM(D1340:D1364)</f>
        <v>8</v>
      </c>
      <c r="E1365" s="30">
        <f>SUM(E1340:E1364)</f>
        <v>8</v>
      </c>
      <c r="F1365" s="26">
        <f>SUM(B1365:E1365)</f>
        <v>33</v>
      </c>
      <c r="G1365" s="28">
        <f>SUM(G1340:G1364)</f>
        <v>19</v>
      </c>
      <c r="H1365" s="36">
        <f>SUM(H1340:H1364)</f>
        <v>16</v>
      </c>
      <c r="I1365" s="29">
        <f>SUM(I1340:I1364)</f>
        <v>19</v>
      </c>
      <c r="J1365" s="30">
        <f>SUM(J1340:J1364)</f>
        <v>8</v>
      </c>
      <c r="K1365" s="26">
        <f>SUM(G1365:J1365)</f>
        <v>62</v>
      </c>
      <c r="L1365" s="27">
        <f t="shared" si="1172"/>
        <v>95</v>
      </c>
      <c r="N1365" s="61" t="s">
        <v>9</v>
      </c>
      <c r="O1365" s="28">
        <f>SUM(O1340:O1364)</f>
        <v>118</v>
      </c>
      <c r="P1365" s="36">
        <f t="shared" ref="P1365" si="1198">SUM(P1340:P1364)</f>
        <v>213</v>
      </c>
      <c r="Q1365" s="29">
        <f t="shared" ref="Q1365" si="1199">SUM(Q1340:Q1364)</f>
        <v>88</v>
      </c>
      <c r="R1365" s="30">
        <f t="shared" ref="R1365" si="1200">SUM(R1340:R1364)</f>
        <v>73</v>
      </c>
      <c r="S1365" s="60">
        <f>SUM(O1365:R1365)</f>
        <v>492</v>
      </c>
      <c r="T1365" s="28">
        <f>SUM(T1340:T1364)</f>
        <v>133</v>
      </c>
      <c r="U1365" s="36">
        <f t="shared" ref="U1365" si="1201">SUM(U1340:U1364)</f>
        <v>190</v>
      </c>
      <c r="V1365" s="29">
        <f t="shared" ref="V1365" si="1202">SUM(V1340:V1364)</f>
        <v>88</v>
      </c>
      <c r="W1365" s="30">
        <f t="shared" ref="W1365" si="1203">SUM(W1340:W1364)</f>
        <v>68</v>
      </c>
      <c r="X1365" s="60">
        <f>SUM(T1365:W1365)</f>
        <v>479</v>
      </c>
      <c r="Y1365" s="63">
        <f>S1365+X1365</f>
        <v>971</v>
      </c>
    </row>
    <row r="1366" spans="1:26" ht="14.25" thickBot="1" x14ac:dyDescent="0.2">
      <c r="A1366" s="18" t="s">
        <v>10</v>
      </c>
      <c r="B1366" s="31">
        <f t="shared" ref="B1366:K1366" si="1204">B1339-B1365</f>
        <v>25</v>
      </c>
      <c r="C1366" s="37">
        <f t="shared" si="1204"/>
        <v>26</v>
      </c>
      <c r="D1366" s="32">
        <f t="shared" si="1204"/>
        <v>29</v>
      </c>
      <c r="E1366" s="33">
        <f t="shared" si="1204"/>
        <v>27</v>
      </c>
      <c r="F1366" s="42">
        <f t="shared" si="1204"/>
        <v>107</v>
      </c>
      <c r="G1366" s="31">
        <f t="shared" si="1204"/>
        <v>18</v>
      </c>
      <c r="H1366" s="37">
        <f t="shared" si="1204"/>
        <v>27</v>
      </c>
      <c r="I1366" s="32">
        <f t="shared" si="1204"/>
        <v>31</v>
      </c>
      <c r="J1366" s="33">
        <f t="shared" si="1204"/>
        <v>30</v>
      </c>
      <c r="K1366" s="42">
        <f t="shared" si="1204"/>
        <v>106</v>
      </c>
      <c r="L1366" s="17">
        <f t="shared" si="1172"/>
        <v>213</v>
      </c>
      <c r="N1366" s="16" t="s">
        <v>10</v>
      </c>
      <c r="O1366" s="31">
        <f>O1339-O1365</f>
        <v>255</v>
      </c>
      <c r="P1366" s="37">
        <f t="shared" ref="P1366" si="1205">P1339-P1365</f>
        <v>409</v>
      </c>
      <c r="Q1366" s="32">
        <f t="shared" ref="Q1366" si="1206">Q1339-Q1365</f>
        <v>252</v>
      </c>
      <c r="R1366" s="33">
        <f t="shared" ref="R1366" si="1207">R1339-R1365</f>
        <v>206</v>
      </c>
      <c r="S1366" s="42">
        <f>S1339-S1365</f>
        <v>1122</v>
      </c>
      <c r="T1366" s="31">
        <f>T1339-T1365</f>
        <v>271</v>
      </c>
      <c r="U1366" s="37">
        <f t="shared" ref="U1366" si="1208">U1339-U1365</f>
        <v>330</v>
      </c>
      <c r="V1366" s="32">
        <f t="shared" ref="V1366" si="1209">V1339-V1365</f>
        <v>221</v>
      </c>
      <c r="W1366" s="33">
        <f t="shared" ref="W1366" si="1210">W1339-W1365</f>
        <v>172</v>
      </c>
      <c r="X1366" s="42">
        <f>X1339-X1365</f>
        <v>994</v>
      </c>
      <c r="Y1366" s="17">
        <f>S1366+X1366</f>
        <v>2116</v>
      </c>
    </row>
    <row r="1369" spans="1:26" ht="19.5" thickBot="1" x14ac:dyDescent="0.25">
      <c r="A1369" s="2" t="s">
        <v>17</v>
      </c>
      <c r="B1369" s="2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N1369" s="2" t="s">
        <v>18</v>
      </c>
      <c r="O1369" s="87"/>
      <c r="P1369" s="87"/>
      <c r="Q1369" s="87"/>
      <c r="R1369" s="87"/>
      <c r="S1369" s="87"/>
      <c r="T1369" s="87"/>
      <c r="U1369" s="87"/>
      <c r="V1369" s="87"/>
      <c r="W1369" s="87"/>
      <c r="X1369" s="87"/>
      <c r="Y1369" s="1"/>
    </row>
    <row r="1370" spans="1:26" ht="14.25" thickBot="1" x14ac:dyDescent="0.2">
      <c r="A1370" s="5" t="s">
        <v>0</v>
      </c>
      <c r="B1370" s="244" t="s">
        <v>19</v>
      </c>
      <c r="C1370" s="245"/>
      <c r="D1370" s="245"/>
      <c r="E1370" s="245"/>
      <c r="F1370" s="246"/>
      <c r="G1370" s="247" t="s">
        <v>20</v>
      </c>
      <c r="H1370" s="248"/>
      <c r="I1370" s="248"/>
      <c r="J1370" s="248"/>
      <c r="K1370" s="249"/>
      <c r="L1370" s="250" t="s">
        <v>1</v>
      </c>
      <c r="N1370" s="5" t="s">
        <v>0</v>
      </c>
      <c r="O1370" s="244" t="s">
        <v>19</v>
      </c>
      <c r="P1370" s="245"/>
      <c r="Q1370" s="245"/>
      <c r="R1370" s="245"/>
      <c r="S1370" s="246"/>
      <c r="T1370" s="247" t="s">
        <v>20</v>
      </c>
      <c r="U1370" s="248"/>
      <c r="V1370" s="248"/>
      <c r="W1370" s="248"/>
      <c r="X1370" s="249"/>
      <c r="Y1370" s="250" t="s">
        <v>1</v>
      </c>
    </row>
    <row r="1371" spans="1:26" ht="14.25" thickBot="1" x14ac:dyDescent="0.2">
      <c r="A1371" s="5" t="s">
        <v>2</v>
      </c>
      <c r="B1371" s="3" t="s">
        <v>11</v>
      </c>
      <c r="C1371" s="34" t="s">
        <v>12</v>
      </c>
      <c r="D1371" s="4" t="s">
        <v>13</v>
      </c>
      <c r="E1371" s="19" t="s">
        <v>14</v>
      </c>
      <c r="F1371" s="23" t="s">
        <v>3</v>
      </c>
      <c r="G1371" s="3" t="s">
        <v>11</v>
      </c>
      <c r="H1371" s="34" t="s">
        <v>12</v>
      </c>
      <c r="I1371" s="4" t="s">
        <v>13</v>
      </c>
      <c r="J1371" s="19" t="s">
        <v>14</v>
      </c>
      <c r="K1371" s="23" t="s">
        <v>3</v>
      </c>
      <c r="L1371" s="251"/>
      <c r="N1371" s="5" t="s">
        <v>2</v>
      </c>
      <c r="O1371" s="53" t="s">
        <v>11</v>
      </c>
      <c r="P1371" s="54" t="s">
        <v>12</v>
      </c>
      <c r="Q1371" s="55" t="s">
        <v>13</v>
      </c>
      <c r="R1371" s="56" t="s">
        <v>14</v>
      </c>
      <c r="S1371" s="23" t="s">
        <v>3</v>
      </c>
      <c r="T1371" s="3" t="s">
        <v>11</v>
      </c>
      <c r="U1371" s="34" t="s">
        <v>12</v>
      </c>
      <c r="V1371" s="4" t="s">
        <v>13</v>
      </c>
      <c r="W1371" s="19" t="s">
        <v>14</v>
      </c>
      <c r="X1371" s="23" t="s">
        <v>3</v>
      </c>
      <c r="Y1371" s="251"/>
    </row>
    <row r="1372" spans="1:26" ht="14.25" thickBot="1" x14ac:dyDescent="0.2">
      <c r="A1372" s="18" t="s">
        <v>15</v>
      </c>
      <c r="B1372" s="31">
        <f>B1366</f>
        <v>25</v>
      </c>
      <c r="C1372" s="32">
        <f>C1366</f>
        <v>26</v>
      </c>
      <c r="D1372" s="32">
        <f>D1366</f>
        <v>29</v>
      </c>
      <c r="E1372" s="33">
        <f>E1366</f>
        <v>27</v>
      </c>
      <c r="F1372" s="86">
        <f>SUM(B1372:E1372)</f>
        <v>107</v>
      </c>
      <c r="G1372" s="31">
        <f>G1366</f>
        <v>18</v>
      </c>
      <c r="H1372" s="32">
        <f>H1366</f>
        <v>27</v>
      </c>
      <c r="I1372" s="32">
        <f>I1366</f>
        <v>31</v>
      </c>
      <c r="J1372" s="33">
        <f>J1366</f>
        <v>30</v>
      </c>
      <c r="K1372" s="80">
        <f>SUM(G1372:J1372)</f>
        <v>106</v>
      </c>
      <c r="L1372" s="17">
        <f>F1372+K1372</f>
        <v>213</v>
      </c>
      <c r="N1372" s="18" t="s">
        <v>15</v>
      </c>
      <c r="O1372" s="31">
        <f>O1366</f>
        <v>255</v>
      </c>
      <c r="P1372" s="32">
        <f t="shared" ref="P1372:Y1372" si="1211">P1366</f>
        <v>409</v>
      </c>
      <c r="Q1372" s="32">
        <f t="shared" si="1211"/>
        <v>252</v>
      </c>
      <c r="R1372" s="33">
        <f t="shared" si="1211"/>
        <v>206</v>
      </c>
      <c r="S1372" s="86">
        <f t="shared" si="1211"/>
        <v>1122</v>
      </c>
      <c r="T1372" s="31">
        <f t="shared" si="1211"/>
        <v>271</v>
      </c>
      <c r="U1372" s="32">
        <f t="shared" si="1211"/>
        <v>330</v>
      </c>
      <c r="V1372" s="32">
        <f t="shared" si="1211"/>
        <v>221</v>
      </c>
      <c r="W1372" s="33">
        <f t="shared" si="1211"/>
        <v>172</v>
      </c>
      <c r="X1372" s="80">
        <f t="shared" si="1211"/>
        <v>994</v>
      </c>
      <c r="Y1372" s="17">
        <f t="shared" si="1211"/>
        <v>2116</v>
      </c>
    </row>
    <row r="1373" spans="1:26" x14ac:dyDescent="0.15">
      <c r="A1373" s="13" t="s">
        <v>4</v>
      </c>
      <c r="B1373" s="20">
        <v>5</v>
      </c>
      <c r="C1373" s="35"/>
      <c r="D1373" s="21">
        <v>10</v>
      </c>
      <c r="E1373" s="24">
        <v>5</v>
      </c>
      <c r="F1373" s="25">
        <f t="shared" ref="F1373:F1376" si="1212">SUM(B1373:E1373)</f>
        <v>20</v>
      </c>
      <c r="G1373" s="20">
        <v>15</v>
      </c>
      <c r="H1373" s="35">
        <v>10</v>
      </c>
      <c r="I1373" s="21">
        <v>5</v>
      </c>
      <c r="J1373" s="24"/>
      <c r="K1373" s="25">
        <f t="shared" ref="K1373:K1376" si="1213">SUM(G1373:J1373)</f>
        <v>30</v>
      </c>
      <c r="L1373" s="11">
        <f t="shared" ref="L1373:L1404" si="1214">F1373+K1373</f>
        <v>50</v>
      </c>
      <c r="M1373" s="69">
        <v>45871</v>
      </c>
      <c r="N1373" s="59" t="s">
        <v>16</v>
      </c>
      <c r="O1373" s="48"/>
      <c r="P1373" s="49"/>
      <c r="Q1373" s="50"/>
      <c r="R1373" s="51"/>
      <c r="S1373" s="85">
        <f t="shared" ref="S1373:S1375" si="1215">SUM(O1373:R1373)</f>
        <v>0</v>
      </c>
      <c r="T1373" s="48"/>
      <c r="U1373" s="49"/>
      <c r="V1373" s="50"/>
      <c r="W1373" s="51"/>
      <c r="X1373" s="74">
        <f t="shared" ref="X1373:X1375" si="1216">SUM(T1373:W1373)</f>
        <v>0</v>
      </c>
      <c r="Y1373" s="11">
        <f t="shared" ref="Y1373:Y1396" si="1217">S1373+X1373</f>
        <v>0</v>
      </c>
    </row>
    <row r="1374" spans="1:26" x14ac:dyDescent="0.15">
      <c r="A1374" s="13" t="s">
        <v>140</v>
      </c>
      <c r="B1374" s="48">
        <v>2</v>
      </c>
      <c r="C1374" s="49">
        <v>1</v>
      </c>
      <c r="D1374" s="50">
        <v>0</v>
      </c>
      <c r="E1374" s="51">
        <v>0</v>
      </c>
      <c r="F1374" s="52">
        <f t="shared" ref="F1374" si="1218">SUM(B1374:E1374)</f>
        <v>3</v>
      </c>
      <c r="G1374" s="48">
        <v>-2</v>
      </c>
      <c r="H1374" s="49">
        <v>0</v>
      </c>
      <c r="I1374" s="50">
        <v>-3</v>
      </c>
      <c r="J1374" s="51">
        <v>-2</v>
      </c>
      <c r="K1374" s="25">
        <f t="shared" si="1213"/>
        <v>-7</v>
      </c>
      <c r="L1374" s="11">
        <f t="shared" si="1214"/>
        <v>-4</v>
      </c>
      <c r="M1374" s="69">
        <v>45888</v>
      </c>
      <c r="N1374" s="59" t="s">
        <v>4</v>
      </c>
      <c r="O1374" s="48"/>
      <c r="P1374" s="49"/>
      <c r="Q1374" s="50"/>
      <c r="R1374" s="51"/>
      <c r="S1374" s="85">
        <f t="shared" si="1215"/>
        <v>0</v>
      </c>
      <c r="T1374" s="48"/>
      <c r="U1374" s="49"/>
      <c r="V1374" s="50"/>
      <c r="W1374" s="51"/>
      <c r="X1374" s="74">
        <f t="shared" si="1216"/>
        <v>0</v>
      </c>
      <c r="Y1374" s="11">
        <f t="shared" si="1217"/>
        <v>0</v>
      </c>
    </row>
    <row r="1375" spans="1:26" x14ac:dyDescent="0.15">
      <c r="A1375" s="13" t="s">
        <v>6</v>
      </c>
      <c r="B1375" s="20">
        <v>15</v>
      </c>
      <c r="C1375" s="35">
        <v>15</v>
      </c>
      <c r="D1375" s="21"/>
      <c r="E1375" s="24">
        <v>10</v>
      </c>
      <c r="F1375" s="25">
        <f t="shared" si="1212"/>
        <v>40</v>
      </c>
      <c r="G1375" s="20">
        <v>15</v>
      </c>
      <c r="H1375" s="35">
        <v>10</v>
      </c>
      <c r="I1375" s="21">
        <v>5</v>
      </c>
      <c r="J1375" s="24">
        <v>10</v>
      </c>
      <c r="K1375" s="25">
        <f t="shared" si="1213"/>
        <v>40</v>
      </c>
      <c r="L1375" s="11">
        <f t="shared" si="1214"/>
        <v>80</v>
      </c>
      <c r="M1375" s="69">
        <v>45890</v>
      </c>
      <c r="N1375" s="59" t="s">
        <v>5</v>
      </c>
      <c r="O1375" s="48"/>
      <c r="P1375" s="49"/>
      <c r="Q1375" s="50"/>
      <c r="R1375" s="51"/>
      <c r="S1375" s="85">
        <f t="shared" si="1215"/>
        <v>0</v>
      </c>
      <c r="T1375" s="48"/>
      <c r="U1375" s="49"/>
      <c r="V1375" s="50"/>
      <c r="W1375" s="51"/>
      <c r="X1375" s="74">
        <f t="shared" si="1216"/>
        <v>0</v>
      </c>
      <c r="Y1375" s="11">
        <f t="shared" si="1217"/>
        <v>0</v>
      </c>
    </row>
    <row r="1376" spans="1:26" ht="14.25" thickBot="1" x14ac:dyDescent="0.2">
      <c r="A1376" s="13" t="s">
        <v>7</v>
      </c>
      <c r="B1376" s="48">
        <v>15</v>
      </c>
      <c r="C1376" s="49">
        <v>10</v>
      </c>
      <c r="D1376" s="50">
        <v>15</v>
      </c>
      <c r="E1376" s="51"/>
      <c r="F1376" s="52">
        <f t="shared" si="1212"/>
        <v>40</v>
      </c>
      <c r="G1376" s="48">
        <v>25</v>
      </c>
      <c r="H1376" s="49">
        <v>15</v>
      </c>
      <c r="I1376" s="50">
        <v>15</v>
      </c>
      <c r="J1376" s="51"/>
      <c r="K1376" s="52">
        <f t="shared" si="1213"/>
        <v>55</v>
      </c>
      <c r="L1376" s="11">
        <f t="shared" si="1214"/>
        <v>95</v>
      </c>
      <c r="M1376" s="69">
        <v>45898</v>
      </c>
      <c r="N1376" s="13" t="s">
        <v>6</v>
      </c>
      <c r="O1376" s="43"/>
      <c r="P1376" s="44"/>
      <c r="Q1376" s="45"/>
      <c r="R1376" s="46"/>
      <c r="S1376" s="58">
        <f>SUM(O1376:R1376)</f>
        <v>0</v>
      </c>
      <c r="T1376" s="35"/>
      <c r="U1376" s="35"/>
      <c r="V1376" s="21"/>
      <c r="W1376" s="38"/>
      <c r="X1376" s="10">
        <f>SUM(T1376:W1376)</f>
        <v>0</v>
      </c>
      <c r="Y1376" s="14">
        <f t="shared" si="1217"/>
        <v>0</v>
      </c>
    </row>
    <row r="1377" spans="1:26" ht="14.25" thickBot="1" x14ac:dyDescent="0.2">
      <c r="A1377" s="18" t="s">
        <v>8</v>
      </c>
      <c r="B1377" s="76">
        <f t="shared" ref="B1377:K1377" si="1219">SUM(B1372:B1376)</f>
        <v>62</v>
      </c>
      <c r="C1377" s="77">
        <f t="shared" si="1219"/>
        <v>52</v>
      </c>
      <c r="D1377" s="78">
        <f t="shared" si="1219"/>
        <v>54</v>
      </c>
      <c r="E1377" s="79">
        <f t="shared" si="1219"/>
        <v>42</v>
      </c>
      <c r="F1377" s="80">
        <f t="shared" si="1219"/>
        <v>210</v>
      </c>
      <c r="G1377" s="76">
        <f t="shared" si="1219"/>
        <v>71</v>
      </c>
      <c r="H1377" s="77">
        <f t="shared" si="1219"/>
        <v>62</v>
      </c>
      <c r="I1377" s="78">
        <f t="shared" si="1219"/>
        <v>53</v>
      </c>
      <c r="J1377" s="79">
        <f t="shared" si="1219"/>
        <v>38</v>
      </c>
      <c r="K1377" s="80">
        <f t="shared" si="1219"/>
        <v>224</v>
      </c>
      <c r="L1377" s="17">
        <f t="shared" si="1214"/>
        <v>434</v>
      </c>
      <c r="N1377" s="16" t="s">
        <v>8</v>
      </c>
      <c r="O1377" s="31">
        <f>SUM(O1372:O1376)</f>
        <v>255</v>
      </c>
      <c r="P1377" s="37">
        <f t="shared" ref="P1377" si="1220">SUM(P1372:P1376)</f>
        <v>409</v>
      </c>
      <c r="Q1377" s="32">
        <f t="shared" ref="Q1377" si="1221">SUM(Q1372:Q1376)</f>
        <v>252</v>
      </c>
      <c r="R1377" s="82">
        <f t="shared" ref="R1377" si="1222">SUM(R1372:R1376)</f>
        <v>206</v>
      </c>
      <c r="S1377" s="83">
        <f>SUM(S1372:S1376)</f>
        <v>1122</v>
      </c>
      <c r="T1377" s="31">
        <f>SUM(T1372:T1376)</f>
        <v>271</v>
      </c>
      <c r="U1377" s="37">
        <f t="shared" ref="U1377" si="1223">SUM(U1372:U1376)</f>
        <v>330</v>
      </c>
      <c r="V1377" s="32">
        <f t="shared" ref="V1377" si="1224">SUM(V1372:V1376)</f>
        <v>221</v>
      </c>
      <c r="W1377" s="82">
        <f t="shared" ref="W1377" si="1225">SUM(W1372:W1376)</f>
        <v>172</v>
      </c>
      <c r="X1377" s="83">
        <f>SUM(X1372:X1376)</f>
        <v>994</v>
      </c>
      <c r="Y1377" s="39">
        <f>S1377+X1377</f>
        <v>2116</v>
      </c>
    </row>
    <row r="1378" spans="1:26" x14ac:dyDescent="0.15">
      <c r="A1378" s="59" t="s">
        <v>27</v>
      </c>
      <c r="B1378" s="20"/>
      <c r="C1378" s="35">
        <v>2</v>
      </c>
      <c r="D1378" s="21">
        <v>1</v>
      </c>
      <c r="E1378" s="24"/>
      <c r="F1378" s="25">
        <f t="shared" ref="F1378:F1379" si="1226">SUM(B1378:E1378)</f>
        <v>3</v>
      </c>
      <c r="G1378" s="20"/>
      <c r="H1378" s="35">
        <v>2</v>
      </c>
      <c r="I1378" s="21">
        <v>3</v>
      </c>
      <c r="J1378" s="24"/>
      <c r="K1378" s="25">
        <f t="shared" ref="K1378:K1379" si="1227">SUM(G1378:J1378)</f>
        <v>5</v>
      </c>
      <c r="L1378" s="11">
        <f t="shared" ref="L1378:L1379" si="1228">F1378+K1378</f>
        <v>8</v>
      </c>
      <c r="M1378" s="71">
        <v>45866</v>
      </c>
      <c r="N1378" s="40"/>
      <c r="O1378" s="20"/>
      <c r="P1378" s="35"/>
      <c r="Q1378" s="21"/>
      <c r="R1378" s="38"/>
      <c r="S1378" s="9">
        <f t="shared" ref="S1378:S1379" si="1229">SUM(O1378:R1378)</f>
        <v>0</v>
      </c>
      <c r="T1378" s="20"/>
      <c r="U1378" s="35"/>
      <c r="V1378" s="21"/>
      <c r="W1378" s="38"/>
      <c r="X1378" s="9">
        <f t="shared" ref="X1378:X1379" si="1230">SUM(T1378:W1378)</f>
        <v>0</v>
      </c>
      <c r="Y1378" s="11">
        <f t="shared" ref="Y1378:Y1379" si="1231">S1378+X1378</f>
        <v>0</v>
      </c>
      <c r="Z1378" s="162"/>
    </row>
    <row r="1379" spans="1:26" x14ac:dyDescent="0.15">
      <c r="A1379" s="59" t="s">
        <v>421</v>
      </c>
      <c r="B1379" s="20"/>
      <c r="C1379" s="35">
        <v>1</v>
      </c>
      <c r="D1379" s="21"/>
      <c r="E1379" s="24"/>
      <c r="F1379" s="25">
        <f t="shared" si="1226"/>
        <v>1</v>
      </c>
      <c r="G1379" s="20"/>
      <c r="H1379" s="35">
        <v>1</v>
      </c>
      <c r="I1379" s="21"/>
      <c r="J1379" s="24"/>
      <c r="K1379" s="25">
        <f t="shared" si="1227"/>
        <v>1</v>
      </c>
      <c r="L1379" s="11">
        <f t="shared" si="1228"/>
        <v>2</v>
      </c>
      <c r="M1379" s="69">
        <v>45869</v>
      </c>
      <c r="N1379" s="40"/>
      <c r="O1379" s="20"/>
      <c r="P1379" s="35"/>
      <c r="Q1379" s="21"/>
      <c r="R1379" s="38"/>
      <c r="S1379" s="9">
        <f t="shared" si="1229"/>
        <v>0</v>
      </c>
      <c r="T1379" s="20"/>
      <c r="U1379" s="35"/>
      <c r="V1379" s="21"/>
      <c r="W1379" s="38"/>
      <c r="X1379" s="9">
        <f t="shared" si="1230"/>
        <v>0</v>
      </c>
      <c r="Y1379" s="11">
        <f t="shared" si="1231"/>
        <v>0</v>
      </c>
      <c r="Z1379" s="162"/>
    </row>
    <row r="1380" spans="1:26" x14ac:dyDescent="0.15">
      <c r="A1380" s="59" t="s">
        <v>788</v>
      </c>
      <c r="B1380" s="20"/>
      <c r="C1380" s="35">
        <v>2</v>
      </c>
      <c r="D1380" s="21">
        <v>2</v>
      </c>
      <c r="E1380" s="24"/>
      <c r="F1380" s="25">
        <f t="shared" ref="F1380:F1402" si="1232">SUM(B1380:E1380)</f>
        <v>4</v>
      </c>
      <c r="G1380" s="20">
        <v>3</v>
      </c>
      <c r="H1380" s="35"/>
      <c r="I1380" s="21"/>
      <c r="J1380" s="24"/>
      <c r="K1380" s="25">
        <f t="shared" ref="K1380:K1402" si="1233">SUM(G1380:J1380)</f>
        <v>3</v>
      </c>
      <c r="L1380" s="11">
        <f t="shared" si="1214"/>
        <v>7</v>
      </c>
      <c r="M1380" s="69">
        <v>45869</v>
      </c>
      <c r="N1380" s="40"/>
      <c r="O1380" s="20"/>
      <c r="P1380" s="35"/>
      <c r="Q1380" s="21"/>
      <c r="R1380" s="38"/>
      <c r="S1380" s="9">
        <f t="shared" ref="S1380:S1390" si="1234">SUM(O1380:R1380)</f>
        <v>0</v>
      </c>
      <c r="T1380" s="20"/>
      <c r="U1380" s="35"/>
      <c r="V1380" s="21"/>
      <c r="W1380" s="38"/>
      <c r="X1380" s="9">
        <f t="shared" ref="X1380:X1390" si="1235">SUM(T1380:W1380)</f>
        <v>0</v>
      </c>
      <c r="Y1380" s="11">
        <f t="shared" si="1217"/>
        <v>0</v>
      </c>
      <c r="Z1380" s="162"/>
    </row>
    <row r="1381" spans="1:26" x14ac:dyDescent="0.15">
      <c r="A1381" s="59" t="s">
        <v>27</v>
      </c>
      <c r="B1381" s="20"/>
      <c r="C1381" s="35"/>
      <c r="D1381" s="21">
        <f>1+1</f>
        <v>2</v>
      </c>
      <c r="E1381" s="24"/>
      <c r="F1381" s="25">
        <f t="shared" si="1232"/>
        <v>2</v>
      </c>
      <c r="G1381" s="20"/>
      <c r="H1381" s="35"/>
      <c r="I1381" s="21">
        <v>1</v>
      </c>
      <c r="J1381" s="24"/>
      <c r="K1381" s="25">
        <f t="shared" si="1233"/>
        <v>1</v>
      </c>
      <c r="L1381" s="11">
        <f t="shared" si="1214"/>
        <v>3</v>
      </c>
      <c r="M1381" s="69">
        <v>45869</v>
      </c>
      <c r="N1381" s="40"/>
      <c r="O1381" s="20"/>
      <c r="P1381" s="35"/>
      <c r="Q1381" s="21"/>
      <c r="R1381" s="38"/>
      <c r="S1381" s="9">
        <f t="shared" si="1234"/>
        <v>0</v>
      </c>
      <c r="T1381" s="20"/>
      <c r="U1381" s="35"/>
      <c r="V1381" s="21"/>
      <c r="W1381" s="38"/>
      <c r="X1381" s="9">
        <f t="shared" si="1235"/>
        <v>0</v>
      </c>
      <c r="Y1381" s="11">
        <f t="shared" si="1217"/>
        <v>0</v>
      </c>
    </row>
    <row r="1382" spans="1:26" x14ac:dyDescent="0.15">
      <c r="A1382" s="59" t="s">
        <v>421</v>
      </c>
      <c r="B1382" s="20">
        <v>1</v>
      </c>
      <c r="C1382" s="35">
        <v>1</v>
      </c>
      <c r="D1382" s="21"/>
      <c r="E1382" s="24"/>
      <c r="F1382" s="25">
        <f t="shared" si="1232"/>
        <v>2</v>
      </c>
      <c r="G1382" s="20">
        <v>1</v>
      </c>
      <c r="H1382" s="35"/>
      <c r="I1382" s="21"/>
      <c r="J1382" s="24"/>
      <c r="K1382" s="25">
        <f t="shared" si="1233"/>
        <v>1</v>
      </c>
      <c r="L1382" s="11">
        <f t="shared" si="1214"/>
        <v>3</v>
      </c>
      <c r="M1382" s="69">
        <v>45874</v>
      </c>
      <c r="N1382" s="40"/>
      <c r="O1382" s="20"/>
      <c r="P1382" s="35"/>
      <c r="Q1382" s="21"/>
      <c r="R1382" s="38"/>
      <c r="S1382" s="9">
        <f t="shared" si="1234"/>
        <v>0</v>
      </c>
      <c r="T1382" s="20"/>
      <c r="U1382" s="35"/>
      <c r="V1382" s="21"/>
      <c r="W1382" s="38"/>
      <c r="X1382" s="9">
        <f t="shared" si="1235"/>
        <v>0</v>
      </c>
      <c r="Y1382" s="11">
        <f t="shared" si="1217"/>
        <v>0</v>
      </c>
    </row>
    <row r="1383" spans="1:26" x14ac:dyDescent="0.15">
      <c r="A1383" s="59" t="s">
        <v>27</v>
      </c>
      <c r="B1383" s="20"/>
      <c r="C1383" s="35"/>
      <c r="D1383" s="21"/>
      <c r="E1383" s="24"/>
      <c r="F1383" s="25">
        <f t="shared" si="1232"/>
        <v>0</v>
      </c>
      <c r="G1383" s="20"/>
      <c r="H1383" s="35">
        <v>1</v>
      </c>
      <c r="I1383" s="21"/>
      <c r="J1383" s="24"/>
      <c r="K1383" s="25">
        <f t="shared" si="1233"/>
        <v>1</v>
      </c>
      <c r="L1383" s="11">
        <f t="shared" si="1214"/>
        <v>1</v>
      </c>
      <c r="M1383" s="69">
        <v>45873</v>
      </c>
      <c r="N1383" s="40"/>
      <c r="O1383" s="20"/>
      <c r="P1383" s="35"/>
      <c r="Q1383" s="21"/>
      <c r="R1383" s="38"/>
      <c r="S1383" s="9">
        <f t="shared" si="1234"/>
        <v>0</v>
      </c>
      <c r="T1383" s="20"/>
      <c r="U1383" s="35"/>
      <c r="V1383" s="21"/>
      <c r="W1383" s="38"/>
      <c r="X1383" s="9">
        <f t="shared" si="1235"/>
        <v>0</v>
      </c>
      <c r="Y1383" s="11">
        <f t="shared" si="1217"/>
        <v>0</v>
      </c>
    </row>
    <row r="1384" spans="1:26" x14ac:dyDescent="0.15">
      <c r="A1384" s="59" t="s">
        <v>27</v>
      </c>
      <c r="B1384" s="20"/>
      <c r="C1384" s="35">
        <v>1</v>
      </c>
      <c r="D1384" s="21"/>
      <c r="E1384" s="24"/>
      <c r="F1384" s="25">
        <f t="shared" si="1232"/>
        <v>1</v>
      </c>
      <c r="G1384" s="20"/>
      <c r="H1384" s="35">
        <v>1</v>
      </c>
      <c r="I1384" s="21"/>
      <c r="J1384" s="24"/>
      <c r="K1384" s="25">
        <f t="shared" si="1233"/>
        <v>1</v>
      </c>
      <c r="L1384" s="11">
        <f t="shared" si="1214"/>
        <v>2</v>
      </c>
      <c r="M1384" s="71">
        <v>45874</v>
      </c>
      <c r="N1384" s="40"/>
      <c r="O1384" s="20"/>
      <c r="P1384" s="35"/>
      <c r="Q1384" s="21"/>
      <c r="R1384" s="38"/>
      <c r="S1384" s="9">
        <f t="shared" si="1234"/>
        <v>0</v>
      </c>
      <c r="T1384" s="20"/>
      <c r="U1384" s="35"/>
      <c r="V1384" s="21"/>
      <c r="W1384" s="38"/>
      <c r="X1384" s="9">
        <f t="shared" si="1235"/>
        <v>0</v>
      </c>
      <c r="Y1384" s="11">
        <f t="shared" si="1217"/>
        <v>0</v>
      </c>
    </row>
    <row r="1385" spans="1:26" x14ac:dyDescent="0.15">
      <c r="A1385" s="59" t="s">
        <v>27</v>
      </c>
      <c r="B1385" s="20"/>
      <c r="C1385" s="35"/>
      <c r="D1385" s="21">
        <v>1</v>
      </c>
      <c r="E1385" s="24">
        <v>3</v>
      </c>
      <c r="F1385" s="25">
        <f t="shared" si="1232"/>
        <v>4</v>
      </c>
      <c r="G1385" s="20">
        <v>1</v>
      </c>
      <c r="H1385" s="35">
        <v>1</v>
      </c>
      <c r="I1385" s="21"/>
      <c r="J1385" s="24">
        <v>2</v>
      </c>
      <c r="K1385" s="25">
        <f t="shared" si="1233"/>
        <v>4</v>
      </c>
      <c r="L1385" s="11">
        <f t="shared" si="1214"/>
        <v>8</v>
      </c>
      <c r="M1385" s="71">
        <v>45875</v>
      </c>
      <c r="N1385" s="40"/>
      <c r="O1385" s="20"/>
      <c r="P1385" s="35"/>
      <c r="Q1385" s="21"/>
      <c r="R1385" s="38"/>
      <c r="S1385" s="9">
        <f t="shared" si="1234"/>
        <v>0</v>
      </c>
      <c r="T1385" s="20"/>
      <c r="U1385" s="35"/>
      <c r="V1385" s="21"/>
      <c r="W1385" s="38"/>
      <c r="X1385" s="9">
        <f t="shared" si="1235"/>
        <v>0</v>
      </c>
      <c r="Y1385" s="11">
        <f t="shared" si="1217"/>
        <v>0</v>
      </c>
    </row>
    <row r="1386" spans="1:26" x14ac:dyDescent="0.15">
      <c r="A1386" s="59" t="s">
        <v>27</v>
      </c>
      <c r="B1386" s="20"/>
      <c r="C1386" s="35"/>
      <c r="D1386" s="21"/>
      <c r="E1386" s="24"/>
      <c r="F1386" s="25">
        <f t="shared" si="1232"/>
        <v>0</v>
      </c>
      <c r="G1386" s="20"/>
      <c r="H1386" s="35"/>
      <c r="I1386" s="21"/>
      <c r="J1386" s="24">
        <v>1</v>
      </c>
      <c r="K1386" s="25">
        <f t="shared" si="1233"/>
        <v>1</v>
      </c>
      <c r="L1386" s="11">
        <f t="shared" si="1214"/>
        <v>1</v>
      </c>
      <c r="M1386" s="71">
        <v>45877</v>
      </c>
      <c r="N1386" s="40"/>
      <c r="O1386" s="20"/>
      <c r="P1386" s="35"/>
      <c r="Q1386" s="21"/>
      <c r="R1386" s="38"/>
      <c r="S1386" s="9">
        <f t="shared" si="1234"/>
        <v>0</v>
      </c>
      <c r="T1386" s="20"/>
      <c r="U1386" s="35"/>
      <c r="V1386" s="21"/>
      <c r="W1386" s="38"/>
      <c r="X1386" s="9">
        <f t="shared" si="1235"/>
        <v>0</v>
      </c>
      <c r="Y1386" s="11">
        <f t="shared" si="1217"/>
        <v>0</v>
      </c>
    </row>
    <row r="1387" spans="1:26" x14ac:dyDescent="0.15">
      <c r="A1387" s="59" t="s">
        <v>27</v>
      </c>
      <c r="B1387" s="20">
        <f>1+1</f>
        <v>2</v>
      </c>
      <c r="C1387" s="35"/>
      <c r="D1387" s="21"/>
      <c r="E1387" s="24"/>
      <c r="F1387" s="25">
        <f t="shared" si="1232"/>
        <v>2</v>
      </c>
      <c r="G1387" s="20">
        <f>1+1</f>
        <v>2</v>
      </c>
      <c r="H1387" s="35"/>
      <c r="I1387" s="21"/>
      <c r="J1387" s="24"/>
      <c r="K1387" s="25">
        <f t="shared" si="1233"/>
        <v>2</v>
      </c>
      <c r="L1387" s="11">
        <f t="shared" si="1214"/>
        <v>4</v>
      </c>
      <c r="M1387" s="69">
        <v>45878</v>
      </c>
      <c r="N1387" s="40"/>
      <c r="O1387" s="20"/>
      <c r="P1387" s="35"/>
      <c r="Q1387" s="21"/>
      <c r="R1387" s="38"/>
      <c r="S1387" s="9">
        <f t="shared" si="1234"/>
        <v>0</v>
      </c>
      <c r="T1387" s="20"/>
      <c r="U1387" s="35"/>
      <c r="V1387" s="21"/>
      <c r="W1387" s="38"/>
      <c r="X1387" s="9">
        <f t="shared" si="1235"/>
        <v>0</v>
      </c>
      <c r="Y1387" s="11">
        <f t="shared" si="1217"/>
        <v>0</v>
      </c>
    </row>
    <row r="1388" spans="1:26" x14ac:dyDescent="0.15">
      <c r="A1388" s="40" t="s">
        <v>793</v>
      </c>
      <c r="B1388" s="20">
        <v>6</v>
      </c>
      <c r="C1388" s="35"/>
      <c r="D1388" s="21"/>
      <c r="E1388" s="24"/>
      <c r="F1388" s="25">
        <f t="shared" si="1232"/>
        <v>6</v>
      </c>
      <c r="G1388" s="20">
        <v>6</v>
      </c>
      <c r="H1388" s="35"/>
      <c r="I1388" s="21"/>
      <c r="J1388" s="24"/>
      <c r="K1388" s="25">
        <f t="shared" si="1233"/>
        <v>6</v>
      </c>
      <c r="L1388" s="11">
        <f t="shared" si="1214"/>
        <v>12</v>
      </c>
      <c r="M1388" s="69">
        <v>45888</v>
      </c>
      <c r="N1388" s="40"/>
      <c r="O1388" s="20"/>
      <c r="P1388" s="35"/>
      <c r="Q1388" s="21"/>
      <c r="R1388" s="38"/>
      <c r="S1388" s="9">
        <f t="shared" si="1234"/>
        <v>0</v>
      </c>
      <c r="T1388" s="20"/>
      <c r="U1388" s="35"/>
      <c r="V1388" s="21"/>
      <c r="W1388" s="38"/>
      <c r="X1388" s="9">
        <f t="shared" si="1235"/>
        <v>0</v>
      </c>
      <c r="Y1388" s="11">
        <f t="shared" si="1217"/>
        <v>0</v>
      </c>
    </row>
    <row r="1389" spans="1:26" x14ac:dyDescent="0.15">
      <c r="A1389" s="59" t="s">
        <v>27</v>
      </c>
      <c r="B1389" s="20">
        <f>2+4</f>
        <v>6</v>
      </c>
      <c r="C1389" s="35">
        <f>1+2</f>
        <v>3</v>
      </c>
      <c r="D1389" s="21">
        <v>1</v>
      </c>
      <c r="E1389" s="24">
        <f>1+5</f>
        <v>6</v>
      </c>
      <c r="F1389" s="25">
        <f t="shared" si="1232"/>
        <v>16</v>
      </c>
      <c r="G1389" s="20">
        <f>2+2</f>
        <v>4</v>
      </c>
      <c r="H1389" s="35">
        <f>1+4</f>
        <v>5</v>
      </c>
      <c r="I1389" s="21">
        <v>1</v>
      </c>
      <c r="J1389" s="24">
        <f>1+1</f>
        <v>2</v>
      </c>
      <c r="K1389" s="25">
        <f t="shared" si="1233"/>
        <v>12</v>
      </c>
      <c r="L1389" s="11">
        <f t="shared" si="1214"/>
        <v>28</v>
      </c>
      <c r="M1389" s="69">
        <v>45887</v>
      </c>
      <c r="N1389" s="40"/>
      <c r="O1389" s="20"/>
      <c r="P1389" s="35"/>
      <c r="Q1389" s="21"/>
      <c r="R1389" s="38"/>
      <c r="S1389" s="9">
        <f t="shared" si="1234"/>
        <v>0</v>
      </c>
      <c r="T1389" s="20"/>
      <c r="U1389" s="35"/>
      <c r="V1389" s="21"/>
      <c r="W1389" s="38"/>
      <c r="X1389" s="9">
        <f t="shared" si="1235"/>
        <v>0</v>
      </c>
      <c r="Y1389" s="11">
        <f t="shared" si="1217"/>
        <v>0</v>
      </c>
    </row>
    <row r="1390" spans="1:26" x14ac:dyDescent="0.15">
      <c r="A1390" s="59" t="s">
        <v>27</v>
      </c>
      <c r="B1390" s="20"/>
      <c r="C1390" s="35">
        <v>1</v>
      </c>
      <c r="D1390" s="21"/>
      <c r="E1390" s="24"/>
      <c r="F1390" s="25">
        <f t="shared" si="1232"/>
        <v>1</v>
      </c>
      <c r="G1390" s="20"/>
      <c r="H1390" s="35">
        <v>1</v>
      </c>
      <c r="I1390" s="21"/>
      <c r="J1390" s="24"/>
      <c r="K1390" s="25">
        <f t="shared" si="1233"/>
        <v>1</v>
      </c>
      <c r="L1390" s="11">
        <f t="shared" si="1214"/>
        <v>2</v>
      </c>
      <c r="M1390" s="69">
        <v>45889</v>
      </c>
      <c r="N1390" s="40"/>
      <c r="O1390" s="20"/>
      <c r="P1390" s="35"/>
      <c r="Q1390" s="21"/>
      <c r="R1390" s="38"/>
      <c r="S1390" s="9">
        <f t="shared" si="1234"/>
        <v>0</v>
      </c>
      <c r="T1390" s="20"/>
      <c r="U1390" s="35"/>
      <c r="V1390" s="21"/>
      <c r="W1390" s="38"/>
      <c r="X1390" s="9">
        <f t="shared" si="1235"/>
        <v>0</v>
      </c>
      <c r="Y1390" s="11">
        <f t="shared" si="1217"/>
        <v>0</v>
      </c>
    </row>
    <row r="1391" spans="1:26" x14ac:dyDescent="0.15">
      <c r="A1391" s="59" t="s">
        <v>801</v>
      </c>
      <c r="B1391" s="20"/>
      <c r="C1391" s="35"/>
      <c r="D1391" s="21">
        <v>-1</v>
      </c>
      <c r="E1391" s="24"/>
      <c r="F1391" s="25">
        <f t="shared" si="1232"/>
        <v>-1</v>
      </c>
      <c r="G1391" s="20"/>
      <c r="H1391" s="35"/>
      <c r="I1391" s="21"/>
      <c r="J1391" s="24"/>
      <c r="K1391" s="25">
        <f t="shared" si="1233"/>
        <v>0</v>
      </c>
      <c r="L1391" s="11">
        <f t="shared" si="1214"/>
        <v>-1</v>
      </c>
      <c r="M1391" s="71">
        <v>45887</v>
      </c>
      <c r="N1391" s="12"/>
      <c r="O1391" s="20"/>
      <c r="P1391" s="35"/>
      <c r="Q1391" s="21"/>
      <c r="R1391" s="38"/>
      <c r="S1391" s="9">
        <f>SUM(O1391:R1391)</f>
        <v>0</v>
      </c>
      <c r="T1391" s="20"/>
      <c r="U1391" s="35"/>
      <c r="V1391" s="21"/>
      <c r="W1391" s="38"/>
      <c r="X1391" s="9">
        <f>SUM(T1391:W1391)</f>
        <v>0</v>
      </c>
      <c r="Y1391" s="11">
        <f t="shared" si="1217"/>
        <v>0</v>
      </c>
    </row>
    <row r="1392" spans="1:26" x14ac:dyDescent="0.15">
      <c r="A1392" s="59" t="s">
        <v>802</v>
      </c>
      <c r="B1392" s="20">
        <v>2</v>
      </c>
      <c r="C1392" s="35">
        <v>2</v>
      </c>
      <c r="D1392" s="21">
        <v>2</v>
      </c>
      <c r="E1392" s="24">
        <v>2</v>
      </c>
      <c r="F1392" s="25">
        <f t="shared" si="1232"/>
        <v>8</v>
      </c>
      <c r="G1392" s="20">
        <v>2</v>
      </c>
      <c r="H1392" s="35">
        <v>2</v>
      </c>
      <c r="I1392" s="21">
        <v>2</v>
      </c>
      <c r="J1392" s="24">
        <v>2</v>
      </c>
      <c r="K1392" s="25">
        <f t="shared" si="1233"/>
        <v>8</v>
      </c>
      <c r="L1392" s="11">
        <f t="shared" si="1214"/>
        <v>16</v>
      </c>
      <c r="M1392" s="69">
        <v>45891</v>
      </c>
      <c r="N1392" s="40"/>
      <c r="O1392" s="20"/>
      <c r="P1392" s="35"/>
      <c r="Q1392" s="21"/>
      <c r="R1392" s="38"/>
      <c r="S1392" s="9">
        <f t="shared" ref="S1392:S1396" si="1236">SUM(O1392:R1392)</f>
        <v>0</v>
      </c>
      <c r="T1392" s="20"/>
      <c r="U1392" s="35"/>
      <c r="V1392" s="21"/>
      <c r="W1392" s="38"/>
      <c r="X1392" s="9">
        <f t="shared" ref="X1392:X1396" si="1237">SUM(T1392:W1392)</f>
        <v>0</v>
      </c>
      <c r="Y1392" s="11">
        <f t="shared" si="1217"/>
        <v>0</v>
      </c>
    </row>
    <row r="1393" spans="1:25" x14ac:dyDescent="0.15">
      <c r="A1393" s="59" t="s">
        <v>421</v>
      </c>
      <c r="B1393" s="20">
        <v>1</v>
      </c>
      <c r="C1393" s="35">
        <v>1</v>
      </c>
      <c r="D1393" s="21"/>
      <c r="E1393" s="24"/>
      <c r="F1393" s="25">
        <f t="shared" si="1232"/>
        <v>2</v>
      </c>
      <c r="G1393" s="20"/>
      <c r="H1393" s="35">
        <v>1</v>
      </c>
      <c r="I1393" s="21"/>
      <c r="J1393" s="24"/>
      <c r="K1393" s="25">
        <f t="shared" si="1233"/>
        <v>1</v>
      </c>
      <c r="L1393" s="11">
        <f t="shared" si="1214"/>
        <v>3</v>
      </c>
      <c r="M1393" s="69">
        <v>45891</v>
      </c>
      <c r="N1393" s="15"/>
      <c r="O1393" s="20"/>
      <c r="P1393" s="35"/>
      <c r="Q1393" s="21"/>
      <c r="R1393" s="38"/>
      <c r="S1393" s="9">
        <f t="shared" si="1236"/>
        <v>0</v>
      </c>
      <c r="T1393" s="20"/>
      <c r="U1393" s="35"/>
      <c r="V1393" s="21"/>
      <c r="W1393" s="38"/>
      <c r="X1393" s="9">
        <f t="shared" si="1237"/>
        <v>0</v>
      </c>
      <c r="Y1393" s="11">
        <f t="shared" si="1217"/>
        <v>0</v>
      </c>
    </row>
    <row r="1394" spans="1:25" x14ac:dyDescent="0.15">
      <c r="A1394" s="59" t="s">
        <v>27</v>
      </c>
      <c r="B1394" s="20"/>
      <c r="C1394" s="35"/>
      <c r="D1394" s="21"/>
      <c r="E1394" s="24"/>
      <c r="F1394" s="25">
        <f t="shared" si="1232"/>
        <v>0</v>
      </c>
      <c r="G1394" s="20"/>
      <c r="H1394" s="35">
        <v>1</v>
      </c>
      <c r="I1394" s="21">
        <v>1</v>
      </c>
      <c r="J1394" s="24"/>
      <c r="K1394" s="25">
        <f t="shared" si="1233"/>
        <v>2</v>
      </c>
      <c r="L1394" s="11">
        <f t="shared" si="1214"/>
        <v>2</v>
      </c>
      <c r="M1394" s="69">
        <v>45890</v>
      </c>
      <c r="N1394" s="15"/>
      <c r="O1394" s="20"/>
      <c r="P1394" s="35"/>
      <c r="Q1394" s="21"/>
      <c r="R1394" s="38"/>
      <c r="S1394" s="9">
        <f t="shared" si="1236"/>
        <v>0</v>
      </c>
      <c r="T1394" s="20"/>
      <c r="U1394" s="35"/>
      <c r="V1394" s="21"/>
      <c r="W1394" s="38"/>
      <c r="X1394" s="9">
        <f t="shared" si="1237"/>
        <v>0</v>
      </c>
      <c r="Y1394" s="11">
        <f t="shared" si="1217"/>
        <v>0</v>
      </c>
    </row>
    <row r="1395" spans="1:25" x14ac:dyDescent="0.15">
      <c r="A1395" s="59" t="s">
        <v>802</v>
      </c>
      <c r="B1395" s="20"/>
      <c r="C1395" s="35"/>
      <c r="D1395" s="21">
        <v>6</v>
      </c>
      <c r="E1395" s="24"/>
      <c r="F1395" s="25">
        <f t="shared" si="1232"/>
        <v>6</v>
      </c>
      <c r="G1395" s="20"/>
      <c r="H1395" s="35"/>
      <c r="I1395" s="21">
        <v>6</v>
      </c>
      <c r="J1395" s="24"/>
      <c r="K1395" s="25">
        <f t="shared" si="1233"/>
        <v>6</v>
      </c>
      <c r="L1395" s="11">
        <f t="shared" si="1214"/>
        <v>12</v>
      </c>
      <c r="M1395" s="69">
        <v>45894</v>
      </c>
      <c r="N1395" s="15"/>
      <c r="O1395" s="20"/>
      <c r="P1395" s="35"/>
      <c r="Q1395" s="21"/>
      <c r="R1395" s="38"/>
      <c r="S1395" s="9">
        <f t="shared" si="1236"/>
        <v>0</v>
      </c>
      <c r="T1395" s="20"/>
      <c r="U1395" s="35"/>
      <c r="V1395" s="21"/>
      <c r="W1395" s="38"/>
      <c r="X1395" s="9">
        <f t="shared" si="1237"/>
        <v>0</v>
      </c>
      <c r="Y1395" s="11">
        <f t="shared" si="1217"/>
        <v>0</v>
      </c>
    </row>
    <row r="1396" spans="1:25" x14ac:dyDescent="0.15">
      <c r="A1396" s="59" t="s">
        <v>27</v>
      </c>
      <c r="B1396" s="20"/>
      <c r="C1396" s="35">
        <v>3</v>
      </c>
      <c r="D1396" s="21"/>
      <c r="E1396" s="24"/>
      <c r="F1396" s="25">
        <f t="shared" si="1232"/>
        <v>3</v>
      </c>
      <c r="G1396" s="20">
        <v>3</v>
      </c>
      <c r="H1396" s="35"/>
      <c r="I1396" s="21"/>
      <c r="J1396" s="24"/>
      <c r="K1396" s="25">
        <f t="shared" si="1233"/>
        <v>3</v>
      </c>
      <c r="L1396" s="11">
        <f t="shared" si="1214"/>
        <v>6</v>
      </c>
      <c r="M1396" s="69">
        <v>45891</v>
      </c>
      <c r="N1396" s="15"/>
      <c r="O1396" s="20"/>
      <c r="P1396" s="35"/>
      <c r="Q1396" s="21"/>
      <c r="R1396" s="38"/>
      <c r="S1396" s="9">
        <f t="shared" si="1236"/>
        <v>0</v>
      </c>
      <c r="T1396" s="20"/>
      <c r="U1396" s="35"/>
      <c r="V1396" s="21"/>
      <c r="W1396" s="38"/>
      <c r="X1396" s="9">
        <f t="shared" si="1237"/>
        <v>0</v>
      </c>
      <c r="Y1396" s="11">
        <f t="shared" si="1217"/>
        <v>0</v>
      </c>
    </row>
    <row r="1397" spans="1:25" x14ac:dyDescent="0.15">
      <c r="A1397" s="59" t="s">
        <v>27</v>
      </c>
      <c r="B1397" s="20"/>
      <c r="C1397" s="35">
        <v>1</v>
      </c>
      <c r="D1397" s="21">
        <v>2</v>
      </c>
      <c r="E1397" s="24">
        <v>1</v>
      </c>
      <c r="F1397" s="25">
        <f t="shared" si="1232"/>
        <v>4</v>
      </c>
      <c r="G1397" s="20">
        <v>2</v>
      </c>
      <c r="H1397" s="35">
        <v>1</v>
      </c>
      <c r="I1397" s="21">
        <f>2+2</f>
        <v>4</v>
      </c>
      <c r="J1397" s="24">
        <v>1</v>
      </c>
      <c r="K1397" s="25">
        <f t="shared" si="1233"/>
        <v>8</v>
      </c>
      <c r="L1397" s="11">
        <f t="shared" si="1214"/>
        <v>12</v>
      </c>
      <c r="M1397" s="69">
        <v>45894</v>
      </c>
      <c r="N1397" s="15"/>
      <c r="O1397" s="20"/>
      <c r="P1397" s="35"/>
      <c r="Q1397" s="21"/>
      <c r="R1397" s="38"/>
      <c r="S1397" s="9">
        <f t="shared" ref="S1397:S1402" si="1238">SUM(O1397:R1397)</f>
        <v>0</v>
      </c>
      <c r="T1397" s="20"/>
      <c r="U1397" s="35"/>
      <c r="V1397" s="21"/>
      <c r="W1397" s="38"/>
      <c r="X1397" s="9">
        <f t="shared" ref="X1397:X1402" si="1239">SUM(T1397:W1397)</f>
        <v>0</v>
      </c>
      <c r="Y1397" s="11">
        <f t="shared" ref="Y1397:Y1402" si="1240">S1397+X1397</f>
        <v>0</v>
      </c>
    </row>
    <row r="1398" spans="1:25" x14ac:dyDescent="0.15">
      <c r="A1398" s="59" t="s">
        <v>802</v>
      </c>
      <c r="B1398" s="20">
        <v>6</v>
      </c>
      <c r="C1398" s="35">
        <v>4</v>
      </c>
      <c r="D1398" s="21"/>
      <c r="E1398" s="24"/>
      <c r="F1398" s="25">
        <f t="shared" si="1232"/>
        <v>10</v>
      </c>
      <c r="G1398" s="20">
        <v>6</v>
      </c>
      <c r="H1398" s="35">
        <v>4</v>
      </c>
      <c r="I1398" s="21"/>
      <c r="J1398" s="24"/>
      <c r="K1398" s="25">
        <f t="shared" si="1233"/>
        <v>10</v>
      </c>
      <c r="L1398" s="11">
        <f t="shared" si="1214"/>
        <v>20</v>
      </c>
      <c r="M1398" s="69">
        <v>45897</v>
      </c>
      <c r="N1398" s="15"/>
      <c r="O1398" s="20"/>
      <c r="P1398" s="35"/>
      <c r="Q1398" s="21"/>
      <c r="R1398" s="38"/>
      <c r="S1398" s="9">
        <f t="shared" si="1238"/>
        <v>0</v>
      </c>
      <c r="T1398" s="20"/>
      <c r="U1398" s="35"/>
      <c r="V1398" s="21"/>
      <c r="W1398" s="38"/>
      <c r="X1398" s="9">
        <f t="shared" si="1239"/>
        <v>0</v>
      </c>
      <c r="Y1398" s="11">
        <f t="shared" si="1240"/>
        <v>0</v>
      </c>
    </row>
    <row r="1399" spans="1:25" x14ac:dyDescent="0.15">
      <c r="A1399" s="59" t="s">
        <v>27</v>
      </c>
      <c r="B1399" s="20">
        <v>1</v>
      </c>
      <c r="C1399" s="35"/>
      <c r="D1399" s="21"/>
      <c r="E1399" s="24"/>
      <c r="F1399" s="25">
        <f t="shared" si="1232"/>
        <v>1</v>
      </c>
      <c r="G1399" s="20">
        <v>1</v>
      </c>
      <c r="H1399" s="35"/>
      <c r="I1399" s="21"/>
      <c r="J1399" s="24"/>
      <c r="K1399" s="25">
        <f t="shared" si="1233"/>
        <v>1</v>
      </c>
      <c r="L1399" s="11">
        <f t="shared" si="1214"/>
        <v>2</v>
      </c>
      <c r="M1399" s="69">
        <v>45895</v>
      </c>
      <c r="N1399" s="15"/>
      <c r="O1399" s="20"/>
      <c r="P1399" s="35"/>
      <c r="Q1399" s="21"/>
      <c r="R1399" s="38"/>
      <c r="S1399" s="9">
        <f t="shared" si="1238"/>
        <v>0</v>
      </c>
      <c r="T1399" s="20"/>
      <c r="U1399" s="35"/>
      <c r="V1399" s="21"/>
      <c r="W1399" s="38"/>
      <c r="X1399" s="9">
        <f t="shared" si="1239"/>
        <v>0</v>
      </c>
      <c r="Y1399" s="11">
        <f t="shared" si="1240"/>
        <v>0</v>
      </c>
    </row>
    <row r="1400" spans="1:25" x14ac:dyDescent="0.15">
      <c r="A1400" s="59" t="s">
        <v>802</v>
      </c>
      <c r="B1400" s="20">
        <v>1</v>
      </c>
      <c r="C1400" s="35">
        <v>3</v>
      </c>
      <c r="D1400" s="21"/>
      <c r="E1400" s="24"/>
      <c r="F1400" s="25">
        <f t="shared" si="1232"/>
        <v>4</v>
      </c>
      <c r="G1400" s="20">
        <v>1</v>
      </c>
      <c r="H1400" s="35">
        <v>3</v>
      </c>
      <c r="I1400" s="21"/>
      <c r="J1400" s="24"/>
      <c r="K1400" s="25">
        <f t="shared" si="1233"/>
        <v>4</v>
      </c>
      <c r="L1400" s="11">
        <f t="shared" si="1214"/>
        <v>8</v>
      </c>
      <c r="M1400" s="69">
        <v>45898</v>
      </c>
      <c r="N1400" s="15"/>
      <c r="O1400" s="20"/>
      <c r="P1400" s="35"/>
      <c r="Q1400" s="21"/>
      <c r="R1400" s="38"/>
      <c r="S1400" s="9">
        <f t="shared" si="1238"/>
        <v>0</v>
      </c>
      <c r="T1400" s="20"/>
      <c r="U1400" s="35"/>
      <c r="V1400" s="21"/>
      <c r="W1400" s="38"/>
      <c r="X1400" s="9">
        <f t="shared" si="1239"/>
        <v>0</v>
      </c>
      <c r="Y1400" s="11">
        <f t="shared" si="1240"/>
        <v>0</v>
      </c>
    </row>
    <row r="1401" spans="1:25" x14ac:dyDescent="0.15">
      <c r="A1401" s="59" t="s">
        <v>27</v>
      </c>
      <c r="B1401" s="20"/>
      <c r="C1401" s="35"/>
      <c r="D1401" s="21"/>
      <c r="E1401" s="24"/>
      <c r="F1401" s="25">
        <f t="shared" si="1232"/>
        <v>0</v>
      </c>
      <c r="G1401" s="20"/>
      <c r="H1401" s="35">
        <v>2</v>
      </c>
      <c r="I1401" s="21">
        <v>2</v>
      </c>
      <c r="J1401" s="24"/>
      <c r="K1401" s="25">
        <f t="shared" si="1233"/>
        <v>4</v>
      </c>
      <c r="L1401" s="11">
        <f t="shared" si="1214"/>
        <v>4</v>
      </c>
      <c r="M1401" s="71">
        <v>45896</v>
      </c>
      <c r="N1401" s="15"/>
      <c r="O1401" s="20"/>
      <c r="P1401" s="35"/>
      <c r="Q1401" s="21"/>
      <c r="R1401" s="38"/>
      <c r="S1401" s="9">
        <f t="shared" si="1238"/>
        <v>0</v>
      </c>
      <c r="T1401" s="20"/>
      <c r="U1401" s="35"/>
      <c r="V1401" s="21"/>
      <c r="W1401" s="38"/>
      <c r="X1401" s="9">
        <f t="shared" si="1239"/>
        <v>0</v>
      </c>
      <c r="Y1401" s="11">
        <f t="shared" si="1240"/>
        <v>0</v>
      </c>
    </row>
    <row r="1402" spans="1:25" ht="14.25" thickBot="1" x14ac:dyDescent="0.2">
      <c r="A1402" s="59" t="s">
        <v>802</v>
      </c>
      <c r="B1402" s="43">
        <v>7</v>
      </c>
      <c r="C1402" s="44">
        <v>7</v>
      </c>
      <c r="D1402" s="45">
        <v>5</v>
      </c>
      <c r="E1402" s="46">
        <v>3</v>
      </c>
      <c r="F1402" s="25">
        <f t="shared" si="1232"/>
        <v>22</v>
      </c>
      <c r="G1402" s="43">
        <v>7</v>
      </c>
      <c r="H1402" s="44">
        <v>7</v>
      </c>
      <c r="I1402" s="45">
        <v>5</v>
      </c>
      <c r="J1402" s="46">
        <v>3</v>
      </c>
      <c r="K1402" s="25">
        <f t="shared" si="1233"/>
        <v>22</v>
      </c>
      <c r="L1402" s="14">
        <f t="shared" si="1214"/>
        <v>44</v>
      </c>
      <c r="M1402" s="69">
        <v>45898</v>
      </c>
      <c r="N1402" s="192"/>
      <c r="O1402" s="147"/>
      <c r="P1402" s="148"/>
      <c r="Q1402" s="149"/>
      <c r="R1402" s="193"/>
      <c r="S1402" s="194">
        <f t="shared" si="1238"/>
        <v>0</v>
      </c>
      <c r="T1402" s="147"/>
      <c r="U1402" s="148"/>
      <c r="V1402" s="149"/>
      <c r="W1402" s="193"/>
      <c r="X1402" s="194">
        <f t="shared" si="1239"/>
        <v>0</v>
      </c>
      <c r="Y1402" s="14">
        <f t="shared" si="1240"/>
        <v>0</v>
      </c>
    </row>
    <row r="1403" spans="1:25" ht="14.25" thickBot="1" x14ac:dyDescent="0.2">
      <c r="A1403" s="16" t="s">
        <v>9</v>
      </c>
      <c r="B1403" s="28">
        <f>SUM(B1378:B1402)</f>
        <v>33</v>
      </c>
      <c r="C1403" s="36">
        <f>SUM(C1378:C1402)</f>
        <v>32</v>
      </c>
      <c r="D1403" s="29">
        <f>SUM(D1378:D1402)</f>
        <v>21</v>
      </c>
      <c r="E1403" s="30">
        <f>SUM(E1378:E1402)</f>
        <v>15</v>
      </c>
      <c r="F1403" s="26">
        <f>SUM(B1403:E1403)</f>
        <v>101</v>
      </c>
      <c r="G1403" s="28">
        <f>SUM(G1378:G1402)</f>
        <v>39</v>
      </c>
      <c r="H1403" s="36">
        <f>SUM(H1378:H1402)</f>
        <v>33</v>
      </c>
      <c r="I1403" s="29">
        <f>SUM(I1378:I1402)</f>
        <v>25</v>
      </c>
      <c r="J1403" s="30">
        <f>SUM(J1378:J1402)</f>
        <v>11</v>
      </c>
      <c r="K1403" s="26">
        <f>SUM(G1403:J1403)</f>
        <v>108</v>
      </c>
      <c r="L1403" s="27">
        <f t="shared" si="1214"/>
        <v>209</v>
      </c>
      <c r="N1403" s="16" t="s">
        <v>9</v>
      </c>
      <c r="O1403" s="188">
        <f>SUM(O1378:O1402)</f>
        <v>0</v>
      </c>
      <c r="P1403" s="189">
        <f t="shared" ref="P1403" si="1241">SUM(P1378:P1402)</f>
        <v>0</v>
      </c>
      <c r="Q1403" s="190">
        <f t="shared" ref="Q1403" si="1242">SUM(Q1378:Q1402)</f>
        <v>0</v>
      </c>
      <c r="R1403" s="191">
        <f t="shared" ref="R1403" si="1243">SUM(R1378:R1402)</f>
        <v>0</v>
      </c>
      <c r="S1403" s="26">
        <f>SUM(O1403:R1403)</f>
        <v>0</v>
      </c>
      <c r="T1403" s="188">
        <f>SUM(T1378:T1402)</f>
        <v>0</v>
      </c>
      <c r="U1403" s="189">
        <f t="shared" ref="U1403" si="1244">SUM(U1378:U1402)</f>
        <v>0</v>
      </c>
      <c r="V1403" s="190">
        <f t="shared" ref="V1403" si="1245">SUM(V1378:V1402)</f>
        <v>0</v>
      </c>
      <c r="W1403" s="191">
        <f t="shared" ref="W1403" si="1246">SUM(W1378:W1402)</f>
        <v>0</v>
      </c>
      <c r="X1403" s="26">
        <f>SUM(T1403:W1403)</f>
        <v>0</v>
      </c>
      <c r="Y1403" s="27">
        <f>S1403+X1403</f>
        <v>0</v>
      </c>
    </row>
    <row r="1404" spans="1:25" ht="14.25" thickBot="1" x14ac:dyDescent="0.2">
      <c r="A1404" s="18" t="s">
        <v>10</v>
      </c>
      <c r="B1404" s="31">
        <f t="shared" ref="B1404:K1404" si="1247">B1377-B1403</f>
        <v>29</v>
      </c>
      <c r="C1404" s="37">
        <f t="shared" si="1247"/>
        <v>20</v>
      </c>
      <c r="D1404" s="32">
        <f t="shared" si="1247"/>
        <v>33</v>
      </c>
      <c r="E1404" s="33">
        <f t="shared" si="1247"/>
        <v>27</v>
      </c>
      <c r="F1404" s="42">
        <f t="shared" si="1247"/>
        <v>109</v>
      </c>
      <c r="G1404" s="31">
        <f t="shared" si="1247"/>
        <v>32</v>
      </c>
      <c r="H1404" s="37">
        <f t="shared" si="1247"/>
        <v>29</v>
      </c>
      <c r="I1404" s="32">
        <f t="shared" si="1247"/>
        <v>28</v>
      </c>
      <c r="J1404" s="33">
        <f t="shared" si="1247"/>
        <v>27</v>
      </c>
      <c r="K1404" s="42">
        <f t="shared" si="1247"/>
        <v>116</v>
      </c>
      <c r="L1404" s="17">
        <f t="shared" si="1214"/>
        <v>225</v>
      </c>
      <c r="N1404" s="16" t="s">
        <v>10</v>
      </c>
      <c r="O1404" s="31">
        <f>O1377-O1403</f>
        <v>255</v>
      </c>
      <c r="P1404" s="37">
        <f t="shared" ref="P1404" si="1248">P1377-P1403</f>
        <v>409</v>
      </c>
      <c r="Q1404" s="32">
        <f t="shared" ref="Q1404" si="1249">Q1377-Q1403</f>
        <v>252</v>
      </c>
      <c r="R1404" s="33">
        <f t="shared" ref="R1404" si="1250">R1377-R1403</f>
        <v>206</v>
      </c>
      <c r="S1404" s="42">
        <f>S1377-S1403</f>
        <v>1122</v>
      </c>
      <c r="T1404" s="31">
        <f>T1377-T1403</f>
        <v>271</v>
      </c>
      <c r="U1404" s="37">
        <f t="shared" ref="U1404" si="1251">U1377-U1403</f>
        <v>330</v>
      </c>
      <c r="V1404" s="32">
        <f t="shared" ref="V1404" si="1252">V1377-V1403</f>
        <v>221</v>
      </c>
      <c r="W1404" s="33">
        <f t="shared" ref="W1404" si="1253">W1377-W1403</f>
        <v>172</v>
      </c>
      <c r="X1404" s="42">
        <f>X1377-X1403</f>
        <v>994</v>
      </c>
      <c r="Y1404" s="17">
        <f>S1404+X1404</f>
        <v>2116</v>
      </c>
    </row>
    <row r="1407" spans="1:25" ht="19.5" thickBot="1" x14ac:dyDescent="0.25">
      <c r="A1407" s="2" t="s">
        <v>17</v>
      </c>
      <c r="B1407" s="2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N1407" s="2" t="s">
        <v>18</v>
      </c>
      <c r="O1407" s="87"/>
      <c r="P1407" s="87"/>
      <c r="Q1407" s="87"/>
      <c r="R1407" s="87"/>
      <c r="S1407" s="87"/>
      <c r="T1407" s="87"/>
      <c r="U1407" s="87"/>
      <c r="V1407" s="87"/>
      <c r="W1407" s="87"/>
      <c r="X1407" s="87"/>
      <c r="Y1407" s="1"/>
    </row>
    <row r="1408" spans="1:25" ht="14.25" thickBot="1" x14ac:dyDescent="0.2">
      <c r="A1408" s="5" t="s">
        <v>0</v>
      </c>
      <c r="B1408" s="244" t="s">
        <v>19</v>
      </c>
      <c r="C1408" s="245"/>
      <c r="D1408" s="245"/>
      <c r="E1408" s="245"/>
      <c r="F1408" s="246"/>
      <c r="G1408" s="247" t="s">
        <v>20</v>
      </c>
      <c r="H1408" s="248"/>
      <c r="I1408" s="248"/>
      <c r="J1408" s="248"/>
      <c r="K1408" s="249"/>
      <c r="L1408" s="250" t="s">
        <v>1</v>
      </c>
      <c r="N1408" s="5" t="s">
        <v>0</v>
      </c>
      <c r="O1408" s="244" t="s">
        <v>19</v>
      </c>
      <c r="P1408" s="245"/>
      <c r="Q1408" s="245"/>
      <c r="R1408" s="245"/>
      <c r="S1408" s="246"/>
      <c r="T1408" s="247" t="s">
        <v>20</v>
      </c>
      <c r="U1408" s="248"/>
      <c r="V1408" s="248"/>
      <c r="W1408" s="248"/>
      <c r="X1408" s="249"/>
      <c r="Y1408" s="250" t="s">
        <v>1</v>
      </c>
    </row>
    <row r="1409" spans="1:27" ht="14.25" thickBot="1" x14ac:dyDescent="0.2">
      <c r="A1409" s="5" t="s">
        <v>2</v>
      </c>
      <c r="B1409" s="3" t="s">
        <v>11</v>
      </c>
      <c r="C1409" s="34" t="s">
        <v>12</v>
      </c>
      <c r="D1409" s="4" t="s">
        <v>13</v>
      </c>
      <c r="E1409" s="19" t="s">
        <v>14</v>
      </c>
      <c r="F1409" s="23" t="s">
        <v>3</v>
      </c>
      <c r="G1409" s="3" t="s">
        <v>11</v>
      </c>
      <c r="H1409" s="34" t="s">
        <v>12</v>
      </c>
      <c r="I1409" s="4" t="s">
        <v>13</v>
      </c>
      <c r="J1409" s="19" t="s">
        <v>14</v>
      </c>
      <c r="K1409" s="23" t="s">
        <v>3</v>
      </c>
      <c r="L1409" s="251"/>
      <c r="N1409" s="5" t="s">
        <v>2</v>
      </c>
      <c r="O1409" s="53" t="s">
        <v>11</v>
      </c>
      <c r="P1409" s="54" t="s">
        <v>12</v>
      </c>
      <c r="Q1409" s="55" t="s">
        <v>13</v>
      </c>
      <c r="R1409" s="56" t="s">
        <v>14</v>
      </c>
      <c r="S1409" s="23" t="s">
        <v>3</v>
      </c>
      <c r="T1409" s="3" t="s">
        <v>11</v>
      </c>
      <c r="U1409" s="34" t="s">
        <v>12</v>
      </c>
      <c r="V1409" s="4" t="s">
        <v>13</v>
      </c>
      <c r="W1409" s="19" t="s">
        <v>14</v>
      </c>
      <c r="X1409" s="23" t="s">
        <v>3</v>
      </c>
      <c r="Y1409" s="251"/>
    </row>
    <row r="1410" spans="1:27" ht="14.25" thickBot="1" x14ac:dyDescent="0.2">
      <c r="A1410" s="18" t="s">
        <v>15</v>
      </c>
      <c r="B1410" s="31">
        <f>B1404</f>
        <v>29</v>
      </c>
      <c r="C1410" s="32">
        <f>C1404</f>
        <v>20</v>
      </c>
      <c r="D1410" s="32">
        <f>D1404</f>
        <v>33</v>
      </c>
      <c r="E1410" s="33">
        <f>E1404</f>
        <v>27</v>
      </c>
      <c r="F1410" s="86">
        <f>SUM(B1410:E1410)</f>
        <v>109</v>
      </c>
      <c r="G1410" s="31">
        <f>G1404</f>
        <v>32</v>
      </c>
      <c r="H1410" s="32">
        <f>H1404</f>
        <v>29</v>
      </c>
      <c r="I1410" s="32">
        <f>I1404</f>
        <v>28</v>
      </c>
      <c r="J1410" s="33">
        <f>J1404</f>
        <v>27</v>
      </c>
      <c r="K1410" s="80">
        <f>SUM(G1410:J1410)</f>
        <v>116</v>
      </c>
      <c r="L1410" s="17">
        <f>F1410+K1410</f>
        <v>225</v>
      </c>
      <c r="N1410" s="18" t="s">
        <v>15</v>
      </c>
      <c r="O1410" s="31">
        <f>O1404</f>
        <v>255</v>
      </c>
      <c r="P1410" s="32">
        <f t="shared" ref="P1410:Y1410" si="1254">P1404</f>
        <v>409</v>
      </c>
      <c r="Q1410" s="32">
        <f t="shared" si="1254"/>
        <v>252</v>
      </c>
      <c r="R1410" s="33">
        <f t="shared" si="1254"/>
        <v>206</v>
      </c>
      <c r="S1410" s="86">
        <f t="shared" si="1254"/>
        <v>1122</v>
      </c>
      <c r="T1410" s="31">
        <f t="shared" si="1254"/>
        <v>271</v>
      </c>
      <c r="U1410" s="32">
        <f t="shared" si="1254"/>
        <v>330</v>
      </c>
      <c r="V1410" s="32">
        <f t="shared" si="1254"/>
        <v>221</v>
      </c>
      <c r="W1410" s="33">
        <f t="shared" si="1254"/>
        <v>172</v>
      </c>
      <c r="X1410" s="80">
        <f t="shared" si="1254"/>
        <v>994</v>
      </c>
      <c r="Y1410" s="17">
        <f t="shared" si="1254"/>
        <v>2116</v>
      </c>
    </row>
    <row r="1411" spans="1:27" x14ac:dyDescent="0.15">
      <c r="A1411" s="13" t="s">
        <v>4</v>
      </c>
      <c r="B1411" s="20">
        <v>5</v>
      </c>
      <c r="C1411" s="35">
        <v>15</v>
      </c>
      <c r="D1411" s="21"/>
      <c r="E1411" s="24">
        <v>5</v>
      </c>
      <c r="F1411" s="25">
        <f t="shared" ref="F1411:F1414" si="1255">SUM(B1411:E1411)</f>
        <v>25</v>
      </c>
      <c r="G1411" s="20"/>
      <c r="H1411" s="35"/>
      <c r="I1411" s="21"/>
      <c r="J1411" s="24"/>
      <c r="K1411" s="25">
        <f t="shared" ref="K1411:K1414" si="1256">SUM(G1411:J1411)</f>
        <v>0</v>
      </c>
      <c r="L1411" s="11">
        <f t="shared" ref="L1411:L1442" si="1257">F1411+K1411</f>
        <v>25</v>
      </c>
      <c r="M1411" s="69">
        <v>45899</v>
      </c>
      <c r="N1411" s="59" t="s">
        <v>16</v>
      </c>
      <c r="O1411" s="48"/>
      <c r="P1411" s="49"/>
      <c r="Q1411" s="50"/>
      <c r="R1411" s="51"/>
      <c r="S1411" s="85">
        <f t="shared" ref="S1411:S1413" si="1258">SUM(O1411:R1411)</f>
        <v>0</v>
      </c>
      <c r="T1411" s="48"/>
      <c r="U1411" s="49"/>
      <c r="V1411" s="50"/>
      <c r="W1411" s="51"/>
      <c r="X1411" s="74">
        <f t="shared" ref="X1411:X1413" si="1259">SUM(T1411:W1411)</f>
        <v>0</v>
      </c>
      <c r="Y1411" s="11">
        <f t="shared" ref="Y1411:Y1414" si="1260">S1411+X1411</f>
        <v>0</v>
      </c>
    </row>
    <row r="1412" spans="1:27" x14ac:dyDescent="0.15">
      <c r="A1412" s="13" t="s">
        <v>5</v>
      </c>
      <c r="B1412" s="20"/>
      <c r="C1412" s="35">
        <v>20</v>
      </c>
      <c r="D1412" s="21"/>
      <c r="E1412" s="24"/>
      <c r="F1412" s="25">
        <f t="shared" si="1255"/>
        <v>20</v>
      </c>
      <c r="G1412" s="20"/>
      <c r="H1412" s="35">
        <v>10</v>
      </c>
      <c r="I1412" s="21"/>
      <c r="J1412" s="24"/>
      <c r="K1412" s="25">
        <f t="shared" si="1256"/>
        <v>10</v>
      </c>
      <c r="L1412" s="11">
        <f t="shared" si="1257"/>
        <v>30</v>
      </c>
      <c r="M1412" s="69">
        <v>45905</v>
      </c>
      <c r="N1412" s="59" t="s">
        <v>4</v>
      </c>
      <c r="O1412" s="48"/>
      <c r="P1412" s="49"/>
      <c r="Q1412" s="50"/>
      <c r="R1412" s="51"/>
      <c r="S1412" s="85">
        <f t="shared" si="1258"/>
        <v>0</v>
      </c>
      <c r="T1412" s="48"/>
      <c r="U1412" s="49"/>
      <c r="V1412" s="50"/>
      <c r="W1412" s="51"/>
      <c r="X1412" s="74">
        <f t="shared" si="1259"/>
        <v>0</v>
      </c>
      <c r="Y1412" s="11">
        <f t="shared" si="1260"/>
        <v>0</v>
      </c>
    </row>
    <row r="1413" spans="1:27" x14ac:dyDescent="0.15">
      <c r="A1413" s="13" t="s">
        <v>6</v>
      </c>
      <c r="B1413" s="20">
        <v>10</v>
      </c>
      <c r="C1413" s="35">
        <v>10</v>
      </c>
      <c r="D1413" s="21">
        <v>5</v>
      </c>
      <c r="E1413" s="24">
        <v>5</v>
      </c>
      <c r="F1413" s="25">
        <f t="shared" si="1255"/>
        <v>30</v>
      </c>
      <c r="G1413" s="20">
        <v>10</v>
      </c>
      <c r="H1413" s="35">
        <v>10</v>
      </c>
      <c r="I1413" s="21">
        <v>15</v>
      </c>
      <c r="J1413" s="24">
        <v>15</v>
      </c>
      <c r="K1413" s="25">
        <f t="shared" si="1256"/>
        <v>50</v>
      </c>
      <c r="L1413" s="11">
        <f t="shared" si="1257"/>
        <v>80</v>
      </c>
      <c r="M1413" s="69">
        <v>45916</v>
      </c>
      <c r="N1413" s="59" t="s">
        <v>5</v>
      </c>
      <c r="O1413" s="48"/>
      <c r="P1413" s="49"/>
      <c r="Q1413" s="50"/>
      <c r="R1413" s="51"/>
      <c r="S1413" s="85">
        <f t="shared" si="1258"/>
        <v>0</v>
      </c>
      <c r="T1413" s="48"/>
      <c r="U1413" s="49"/>
      <c r="V1413" s="50"/>
      <c r="W1413" s="51"/>
      <c r="X1413" s="74">
        <f t="shared" si="1259"/>
        <v>0</v>
      </c>
      <c r="Y1413" s="11">
        <f t="shared" si="1260"/>
        <v>0</v>
      </c>
    </row>
    <row r="1414" spans="1:27" ht="14.25" thickBot="1" x14ac:dyDescent="0.2">
      <c r="A1414" s="13" t="s">
        <v>7</v>
      </c>
      <c r="B1414" s="48"/>
      <c r="C1414" s="49"/>
      <c r="D1414" s="50"/>
      <c r="E1414" s="51"/>
      <c r="F1414" s="52">
        <f t="shared" si="1255"/>
        <v>0</v>
      </c>
      <c r="G1414" s="48"/>
      <c r="H1414" s="49"/>
      <c r="I1414" s="50"/>
      <c r="J1414" s="51"/>
      <c r="K1414" s="52">
        <f t="shared" si="1256"/>
        <v>0</v>
      </c>
      <c r="L1414" s="11">
        <f t="shared" si="1257"/>
        <v>0</v>
      </c>
      <c r="N1414" s="13" t="s">
        <v>6</v>
      </c>
      <c r="O1414" s="43"/>
      <c r="P1414" s="44"/>
      <c r="Q1414" s="45"/>
      <c r="R1414" s="46"/>
      <c r="S1414" s="58">
        <f>SUM(O1414:R1414)</f>
        <v>0</v>
      </c>
      <c r="T1414" s="35"/>
      <c r="U1414" s="35"/>
      <c r="V1414" s="21"/>
      <c r="W1414" s="38"/>
      <c r="X1414" s="10">
        <f>SUM(T1414:W1414)</f>
        <v>0</v>
      </c>
      <c r="Y1414" s="14">
        <f t="shared" si="1260"/>
        <v>0</v>
      </c>
    </row>
    <row r="1415" spans="1:27" ht="14.25" thickBot="1" x14ac:dyDescent="0.2">
      <c r="A1415" s="18" t="s">
        <v>8</v>
      </c>
      <c r="B1415" s="76">
        <f t="shared" ref="B1415:K1415" si="1261">SUM(B1410:B1414)</f>
        <v>44</v>
      </c>
      <c r="C1415" s="77">
        <f t="shared" si="1261"/>
        <v>65</v>
      </c>
      <c r="D1415" s="78">
        <f t="shared" si="1261"/>
        <v>38</v>
      </c>
      <c r="E1415" s="79">
        <f t="shared" si="1261"/>
        <v>37</v>
      </c>
      <c r="F1415" s="80">
        <f t="shared" si="1261"/>
        <v>184</v>
      </c>
      <c r="G1415" s="76">
        <f t="shared" si="1261"/>
        <v>42</v>
      </c>
      <c r="H1415" s="77">
        <f t="shared" si="1261"/>
        <v>49</v>
      </c>
      <c r="I1415" s="78">
        <f t="shared" si="1261"/>
        <v>43</v>
      </c>
      <c r="J1415" s="79">
        <f t="shared" si="1261"/>
        <v>42</v>
      </c>
      <c r="K1415" s="80">
        <f t="shared" si="1261"/>
        <v>176</v>
      </c>
      <c r="L1415" s="17">
        <f t="shared" si="1257"/>
        <v>360</v>
      </c>
      <c r="N1415" s="16" t="s">
        <v>8</v>
      </c>
      <c r="O1415" s="31">
        <f>SUM(O1410:O1414)</f>
        <v>255</v>
      </c>
      <c r="P1415" s="37">
        <f t="shared" ref="P1415" si="1262">SUM(P1410:P1414)</f>
        <v>409</v>
      </c>
      <c r="Q1415" s="32">
        <f t="shared" ref="Q1415" si="1263">SUM(Q1410:Q1414)</f>
        <v>252</v>
      </c>
      <c r="R1415" s="82">
        <f t="shared" ref="R1415" si="1264">SUM(R1410:R1414)</f>
        <v>206</v>
      </c>
      <c r="S1415" s="83">
        <f>SUM(S1410:S1414)</f>
        <v>1122</v>
      </c>
      <c r="T1415" s="31">
        <f>SUM(T1410:T1414)</f>
        <v>271</v>
      </c>
      <c r="U1415" s="37">
        <f t="shared" ref="U1415" si="1265">SUM(U1410:U1414)</f>
        <v>330</v>
      </c>
      <c r="V1415" s="32">
        <f t="shared" ref="V1415" si="1266">SUM(V1410:V1414)</f>
        <v>221</v>
      </c>
      <c r="W1415" s="82">
        <f t="shared" ref="W1415" si="1267">SUM(W1410:W1414)</f>
        <v>172</v>
      </c>
      <c r="X1415" s="83">
        <f>SUM(X1410:X1414)</f>
        <v>994</v>
      </c>
      <c r="Y1415" s="39">
        <f>S1415+X1415</f>
        <v>2116</v>
      </c>
    </row>
    <row r="1416" spans="1:27" x14ac:dyDescent="0.15">
      <c r="A1416" s="59" t="s">
        <v>27</v>
      </c>
      <c r="B1416" s="20">
        <v>1</v>
      </c>
      <c r="C1416" s="35"/>
      <c r="D1416" s="21"/>
      <c r="E1416" s="24"/>
      <c r="F1416" s="25">
        <f t="shared" ref="F1416:F1440" si="1268">SUM(B1416:E1416)</f>
        <v>1</v>
      </c>
      <c r="G1416" s="20">
        <v>1</v>
      </c>
      <c r="H1416" s="35"/>
      <c r="I1416" s="21"/>
      <c r="J1416" s="24"/>
      <c r="K1416" s="25">
        <f t="shared" ref="K1416:K1440" si="1269">SUM(G1416:J1416)</f>
        <v>1</v>
      </c>
      <c r="L1416" s="11">
        <f t="shared" si="1257"/>
        <v>2</v>
      </c>
      <c r="M1416" s="71">
        <v>45897</v>
      </c>
      <c r="N1416" s="40" t="s">
        <v>26</v>
      </c>
      <c r="O1416" s="20"/>
      <c r="P1416" s="35">
        <v>20</v>
      </c>
      <c r="Q1416" s="21"/>
      <c r="R1416" s="38"/>
      <c r="S1416" s="9">
        <f t="shared" ref="S1416" si="1270">SUM(O1416:R1416)</f>
        <v>20</v>
      </c>
      <c r="T1416" s="20"/>
      <c r="U1416" s="35">
        <v>10</v>
      </c>
      <c r="V1416" s="21"/>
      <c r="W1416" s="38"/>
      <c r="X1416" s="9">
        <f t="shared" ref="X1416" si="1271">SUM(T1416:W1416)</f>
        <v>10</v>
      </c>
      <c r="Y1416" s="11">
        <f t="shared" ref="Y1416" si="1272">S1416+X1416</f>
        <v>30</v>
      </c>
      <c r="Z1416" s="69">
        <v>45905</v>
      </c>
    </row>
    <row r="1417" spans="1:27" x14ac:dyDescent="0.15">
      <c r="A1417" s="59" t="s">
        <v>806</v>
      </c>
      <c r="B1417" s="20">
        <v>1</v>
      </c>
      <c r="C1417" s="35"/>
      <c r="D1417" s="21"/>
      <c r="E1417" s="24"/>
      <c r="F1417" s="25">
        <f t="shared" si="1268"/>
        <v>1</v>
      </c>
      <c r="G1417" s="20">
        <v>1</v>
      </c>
      <c r="H1417" s="35"/>
      <c r="I1417" s="21"/>
      <c r="J1417" s="24"/>
      <c r="K1417" s="25">
        <f t="shared" si="1269"/>
        <v>1</v>
      </c>
      <c r="L1417" s="11">
        <f t="shared" si="1257"/>
        <v>2</v>
      </c>
      <c r="M1417" s="69">
        <v>45898</v>
      </c>
      <c r="N1417" s="12" t="s">
        <v>457</v>
      </c>
      <c r="O1417" s="20">
        <v>5</v>
      </c>
      <c r="P1417" s="35"/>
      <c r="Q1417" s="21"/>
      <c r="R1417" s="38"/>
      <c r="S1417" s="9">
        <f t="shared" ref="S1417:S1428" si="1273">SUM(O1417:R1417)</f>
        <v>5</v>
      </c>
      <c r="T1417" s="20"/>
      <c r="U1417" s="35"/>
      <c r="V1417" s="21"/>
      <c r="W1417" s="38"/>
      <c r="X1417" s="9">
        <f t="shared" ref="X1417:X1428" si="1274">SUM(T1417:W1417)</f>
        <v>0</v>
      </c>
      <c r="Y1417" s="11">
        <f t="shared" ref="Y1417:Y1440" si="1275">S1417+X1417</f>
        <v>5</v>
      </c>
      <c r="Z1417" s="69">
        <v>45918</v>
      </c>
    </row>
    <row r="1418" spans="1:27" x14ac:dyDescent="0.15">
      <c r="A1418" s="59" t="s">
        <v>802</v>
      </c>
      <c r="B1418" s="20">
        <v>1</v>
      </c>
      <c r="C1418" s="35">
        <v>2</v>
      </c>
      <c r="D1418" s="21"/>
      <c r="E1418" s="24"/>
      <c r="F1418" s="25">
        <f t="shared" si="1268"/>
        <v>3</v>
      </c>
      <c r="G1418" s="20">
        <v>1</v>
      </c>
      <c r="H1418" s="35">
        <v>2</v>
      </c>
      <c r="I1418" s="21"/>
      <c r="J1418" s="24"/>
      <c r="K1418" s="25">
        <f t="shared" si="1269"/>
        <v>3</v>
      </c>
      <c r="L1418" s="11">
        <f t="shared" si="1257"/>
        <v>6</v>
      </c>
      <c r="M1418" s="69">
        <v>45901</v>
      </c>
      <c r="N1418" s="12" t="s">
        <v>810</v>
      </c>
      <c r="O1418" s="20"/>
      <c r="P1418" s="35"/>
      <c r="Q1418" s="21"/>
      <c r="R1418" s="38">
        <v>5</v>
      </c>
      <c r="S1418" s="9">
        <f t="shared" si="1273"/>
        <v>5</v>
      </c>
      <c r="T1418" s="20"/>
      <c r="U1418" s="35"/>
      <c r="V1418" s="21"/>
      <c r="W1418" s="38">
        <v>5</v>
      </c>
      <c r="X1418" s="9">
        <f t="shared" si="1274"/>
        <v>5</v>
      </c>
      <c r="Y1418" s="11">
        <f t="shared" si="1275"/>
        <v>10</v>
      </c>
      <c r="Z1418" s="69">
        <v>45917</v>
      </c>
      <c r="AA1418" s="41"/>
    </row>
    <row r="1419" spans="1:27" x14ac:dyDescent="0.15">
      <c r="A1419" s="59" t="s">
        <v>802</v>
      </c>
      <c r="B1419" s="20"/>
      <c r="C1419" s="35">
        <v>3</v>
      </c>
      <c r="D1419" s="21">
        <v>1</v>
      </c>
      <c r="E1419" s="24">
        <v>3</v>
      </c>
      <c r="F1419" s="25">
        <f t="shared" si="1268"/>
        <v>7</v>
      </c>
      <c r="G1419" s="20"/>
      <c r="H1419" s="35">
        <v>3</v>
      </c>
      <c r="I1419" s="21">
        <v>1</v>
      </c>
      <c r="J1419" s="24">
        <v>3</v>
      </c>
      <c r="K1419" s="25">
        <f t="shared" si="1269"/>
        <v>7</v>
      </c>
      <c r="L1419" s="11">
        <f t="shared" si="1257"/>
        <v>14</v>
      </c>
      <c r="M1419" s="69">
        <v>45903</v>
      </c>
      <c r="N1419" s="12" t="s">
        <v>811</v>
      </c>
      <c r="O1419" s="20"/>
      <c r="P1419" s="35">
        <v>5</v>
      </c>
      <c r="Q1419" s="21">
        <v>5</v>
      </c>
      <c r="R1419" s="38">
        <v>5</v>
      </c>
      <c r="S1419" s="9">
        <f t="shared" si="1273"/>
        <v>15</v>
      </c>
      <c r="T1419" s="20"/>
      <c r="U1419" s="35">
        <v>5</v>
      </c>
      <c r="V1419" s="21">
        <v>5</v>
      </c>
      <c r="W1419" s="38">
        <v>5</v>
      </c>
      <c r="X1419" s="9">
        <f t="shared" si="1274"/>
        <v>15</v>
      </c>
      <c r="Y1419" s="11">
        <f t="shared" si="1275"/>
        <v>30</v>
      </c>
      <c r="Z1419" s="69">
        <v>45918</v>
      </c>
      <c r="AA1419" s="41"/>
    </row>
    <row r="1420" spans="1:27" x14ac:dyDescent="0.15">
      <c r="A1420" s="59" t="s">
        <v>807</v>
      </c>
      <c r="B1420" s="20"/>
      <c r="C1420" s="35"/>
      <c r="D1420" s="21"/>
      <c r="E1420" s="24">
        <v>1</v>
      </c>
      <c r="F1420" s="25">
        <f t="shared" si="1268"/>
        <v>1</v>
      </c>
      <c r="G1420" s="20"/>
      <c r="H1420" s="35"/>
      <c r="I1420" s="21"/>
      <c r="J1420" s="24">
        <v>1</v>
      </c>
      <c r="K1420" s="25">
        <f t="shared" si="1269"/>
        <v>1</v>
      </c>
      <c r="L1420" s="11">
        <f t="shared" si="1257"/>
        <v>2</v>
      </c>
      <c r="M1420" s="69">
        <v>45902</v>
      </c>
      <c r="N1420" s="40" t="s">
        <v>26</v>
      </c>
      <c r="O1420" s="20">
        <v>10</v>
      </c>
      <c r="P1420" s="35">
        <v>10</v>
      </c>
      <c r="Q1420" s="21">
        <v>5</v>
      </c>
      <c r="R1420" s="38">
        <v>5</v>
      </c>
      <c r="S1420" s="9">
        <f t="shared" si="1273"/>
        <v>30</v>
      </c>
      <c r="T1420" s="20">
        <v>10</v>
      </c>
      <c r="U1420" s="35">
        <v>10</v>
      </c>
      <c r="V1420" s="21">
        <v>15</v>
      </c>
      <c r="W1420" s="38">
        <v>15</v>
      </c>
      <c r="X1420" s="9">
        <f t="shared" si="1274"/>
        <v>50</v>
      </c>
      <c r="Y1420" s="11">
        <f t="shared" si="1275"/>
        <v>80</v>
      </c>
      <c r="Z1420" s="69">
        <v>45916</v>
      </c>
      <c r="AA1420" s="41"/>
    </row>
    <row r="1421" spans="1:27" x14ac:dyDescent="0.15">
      <c r="A1421" s="59" t="s">
        <v>27</v>
      </c>
      <c r="B1421" s="20"/>
      <c r="C1421" s="35"/>
      <c r="D1421" s="21"/>
      <c r="E1421" s="24"/>
      <c r="F1421" s="25">
        <f t="shared" si="1268"/>
        <v>0</v>
      </c>
      <c r="G1421" s="20">
        <v>1</v>
      </c>
      <c r="H1421" s="35">
        <v>2</v>
      </c>
      <c r="I1421" s="21"/>
      <c r="J1421" s="24">
        <v>1</v>
      </c>
      <c r="K1421" s="25">
        <f t="shared" si="1269"/>
        <v>4</v>
      </c>
      <c r="L1421" s="11">
        <f t="shared" si="1257"/>
        <v>4</v>
      </c>
      <c r="M1421" s="69">
        <v>45901</v>
      </c>
      <c r="N1421" s="12" t="s">
        <v>812</v>
      </c>
      <c r="O1421" s="20"/>
      <c r="P1421" s="35">
        <v>5</v>
      </c>
      <c r="Q1421" s="21"/>
      <c r="R1421" s="38"/>
      <c r="S1421" s="9">
        <f t="shared" si="1273"/>
        <v>5</v>
      </c>
      <c r="T1421" s="20"/>
      <c r="U1421" s="35">
        <v>5</v>
      </c>
      <c r="V1421" s="21"/>
      <c r="W1421" s="38"/>
      <c r="X1421" s="9">
        <f t="shared" si="1274"/>
        <v>5</v>
      </c>
      <c r="Y1421" s="11">
        <f t="shared" si="1275"/>
        <v>10</v>
      </c>
      <c r="Z1421" s="69">
        <v>45918</v>
      </c>
      <c r="AA1421" s="41"/>
    </row>
    <row r="1422" spans="1:27" x14ac:dyDescent="0.15">
      <c r="A1422" s="59" t="s">
        <v>802</v>
      </c>
      <c r="B1422" s="20"/>
      <c r="C1422" s="35">
        <v>6</v>
      </c>
      <c r="D1422" s="21">
        <v>2</v>
      </c>
      <c r="E1422" s="24"/>
      <c r="F1422" s="25">
        <f t="shared" si="1268"/>
        <v>8</v>
      </c>
      <c r="G1422" s="20"/>
      <c r="H1422" s="35">
        <v>6</v>
      </c>
      <c r="I1422" s="21">
        <v>2</v>
      </c>
      <c r="J1422" s="24"/>
      <c r="K1422" s="25">
        <f t="shared" si="1269"/>
        <v>8</v>
      </c>
      <c r="L1422" s="11">
        <f t="shared" si="1257"/>
        <v>16</v>
      </c>
      <c r="M1422" s="69">
        <v>45904</v>
      </c>
      <c r="N1422" s="12" t="s">
        <v>814</v>
      </c>
      <c r="O1422" s="20"/>
      <c r="P1422" s="35"/>
      <c r="Q1422" s="21">
        <v>5</v>
      </c>
      <c r="R1422" s="38"/>
      <c r="S1422" s="9">
        <f t="shared" si="1273"/>
        <v>5</v>
      </c>
      <c r="T1422" s="20"/>
      <c r="U1422" s="35"/>
      <c r="V1422" s="21">
        <v>5</v>
      </c>
      <c r="W1422" s="38"/>
      <c r="X1422" s="9">
        <f t="shared" si="1274"/>
        <v>5</v>
      </c>
      <c r="Y1422" s="11">
        <f t="shared" si="1275"/>
        <v>10</v>
      </c>
      <c r="Z1422" s="69">
        <v>45922</v>
      </c>
      <c r="AA1422" s="41"/>
    </row>
    <row r="1423" spans="1:27" x14ac:dyDescent="0.15">
      <c r="A1423" s="59" t="s">
        <v>32</v>
      </c>
      <c r="B1423" s="20"/>
      <c r="C1423" s="35"/>
      <c r="D1423" s="21"/>
      <c r="E1423" s="24"/>
      <c r="F1423" s="25">
        <f t="shared" si="1268"/>
        <v>0</v>
      </c>
      <c r="G1423" s="20">
        <v>2</v>
      </c>
      <c r="H1423" s="35">
        <v>2</v>
      </c>
      <c r="I1423" s="21"/>
      <c r="J1423" s="24"/>
      <c r="K1423" s="25">
        <f t="shared" si="1269"/>
        <v>4</v>
      </c>
      <c r="L1423" s="11">
        <f t="shared" si="1257"/>
        <v>4</v>
      </c>
      <c r="M1423" s="69">
        <v>45903</v>
      </c>
      <c r="N1423" s="40" t="s">
        <v>26</v>
      </c>
      <c r="O1423" s="20"/>
      <c r="P1423" s="35">
        <v>10</v>
      </c>
      <c r="Q1423" s="21">
        <v>10</v>
      </c>
      <c r="R1423" s="38">
        <v>5</v>
      </c>
      <c r="S1423" s="9">
        <f t="shared" si="1273"/>
        <v>25</v>
      </c>
      <c r="T1423" s="20">
        <v>10</v>
      </c>
      <c r="U1423" s="35">
        <v>10</v>
      </c>
      <c r="V1423" s="21">
        <v>15</v>
      </c>
      <c r="W1423" s="38">
        <v>5</v>
      </c>
      <c r="X1423" s="9">
        <f t="shared" si="1274"/>
        <v>40</v>
      </c>
      <c r="Y1423" s="11">
        <f t="shared" si="1275"/>
        <v>65</v>
      </c>
      <c r="Z1423" s="69">
        <v>45929</v>
      </c>
    </row>
    <row r="1424" spans="1:27" x14ac:dyDescent="0.15">
      <c r="A1424" s="59" t="s">
        <v>802</v>
      </c>
      <c r="B1424" s="20">
        <v>3</v>
      </c>
      <c r="C1424" s="35">
        <v>4</v>
      </c>
      <c r="D1424" s="21">
        <v>1</v>
      </c>
      <c r="E1424" s="24">
        <v>1</v>
      </c>
      <c r="F1424" s="25">
        <f t="shared" si="1268"/>
        <v>9</v>
      </c>
      <c r="G1424" s="20">
        <v>3</v>
      </c>
      <c r="H1424" s="35">
        <v>4</v>
      </c>
      <c r="I1424" s="21">
        <v>1</v>
      </c>
      <c r="J1424" s="24">
        <v>1</v>
      </c>
      <c r="K1424" s="25">
        <f t="shared" si="1269"/>
        <v>9</v>
      </c>
      <c r="L1424" s="11">
        <f t="shared" si="1257"/>
        <v>18</v>
      </c>
      <c r="M1424" s="69">
        <v>45905</v>
      </c>
      <c r="N1424" s="40"/>
      <c r="O1424" s="20"/>
      <c r="P1424" s="35"/>
      <c r="Q1424" s="21"/>
      <c r="R1424" s="38"/>
      <c r="S1424" s="9">
        <f t="shared" si="1273"/>
        <v>0</v>
      </c>
      <c r="T1424" s="20"/>
      <c r="U1424" s="35"/>
      <c r="V1424" s="21"/>
      <c r="W1424" s="38"/>
      <c r="X1424" s="9">
        <f t="shared" si="1274"/>
        <v>0</v>
      </c>
      <c r="Y1424" s="11">
        <f t="shared" si="1275"/>
        <v>0</v>
      </c>
      <c r="Z1424" s="162"/>
    </row>
    <row r="1425" spans="1:26" x14ac:dyDescent="0.15">
      <c r="A1425" s="59" t="s">
        <v>27</v>
      </c>
      <c r="B1425" s="20"/>
      <c r="C1425" s="35">
        <v>1</v>
      </c>
      <c r="D1425" s="21"/>
      <c r="E1425" s="24"/>
      <c r="F1425" s="25">
        <f t="shared" si="1268"/>
        <v>1</v>
      </c>
      <c r="G1425" s="20"/>
      <c r="H1425" s="35">
        <v>1</v>
      </c>
      <c r="I1425" s="21"/>
      <c r="J1425" s="24"/>
      <c r="K1425" s="25">
        <f t="shared" si="1269"/>
        <v>1</v>
      </c>
      <c r="L1425" s="11">
        <f t="shared" si="1257"/>
        <v>2</v>
      </c>
      <c r="M1425" s="69">
        <v>45903</v>
      </c>
      <c r="N1425" s="40"/>
      <c r="O1425" s="20"/>
      <c r="P1425" s="35"/>
      <c r="Q1425" s="21"/>
      <c r="R1425" s="38"/>
      <c r="S1425" s="9">
        <f t="shared" si="1273"/>
        <v>0</v>
      </c>
      <c r="T1425" s="20"/>
      <c r="U1425" s="35"/>
      <c r="V1425" s="21"/>
      <c r="W1425" s="38"/>
      <c r="X1425" s="9">
        <f t="shared" si="1274"/>
        <v>0</v>
      </c>
      <c r="Y1425" s="11">
        <f t="shared" si="1275"/>
        <v>0</v>
      </c>
    </row>
    <row r="1426" spans="1:26" x14ac:dyDescent="0.15">
      <c r="A1426" s="59" t="s">
        <v>802</v>
      </c>
      <c r="B1426" s="20"/>
      <c r="C1426" s="35"/>
      <c r="D1426" s="21">
        <v>2</v>
      </c>
      <c r="E1426" s="24"/>
      <c r="F1426" s="25">
        <f t="shared" si="1268"/>
        <v>2</v>
      </c>
      <c r="G1426" s="20"/>
      <c r="H1426" s="35"/>
      <c r="I1426" s="21">
        <v>2</v>
      </c>
      <c r="J1426" s="24"/>
      <c r="K1426" s="25">
        <f t="shared" si="1269"/>
        <v>2</v>
      </c>
      <c r="L1426" s="11">
        <f t="shared" si="1257"/>
        <v>4</v>
      </c>
      <c r="M1426" s="69">
        <v>45905</v>
      </c>
      <c r="N1426" s="40"/>
      <c r="O1426" s="20"/>
      <c r="P1426" s="35"/>
      <c r="Q1426" s="21"/>
      <c r="R1426" s="38"/>
      <c r="S1426" s="9">
        <f t="shared" si="1273"/>
        <v>0</v>
      </c>
      <c r="T1426" s="20"/>
      <c r="U1426" s="35"/>
      <c r="V1426" s="21"/>
      <c r="W1426" s="38"/>
      <c r="X1426" s="9">
        <f t="shared" si="1274"/>
        <v>0</v>
      </c>
      <c r="Y1426" s="11">
        <f t="shared" si="1275"/>
        <v>0</v>
      </c>
    </row>
    <row r="1427" spans="1:26" x14ac:dyDescent="0.15">
      <c r="A1427" s="59" t="s">
        <v>27</v>
      </c>
      <c r="B1427" s="20"/>
      <c r="C1427" s="35"/>
      <c r="D1427" s="21"/>
      <c r="E1427" s="24"/>
      <c r="F1427" s="25">
        <f t="shared" si="1268"/>
        <v>0</v>
      </c>
      <c r="G1427" s="20"/>
      <c r="H1427" s="35"/>
      <c r="I1427" s="21"/>
      <c r="J1427" s="24">
        <v>1</v>
      </c>
      <c r="K1427" s="25">
        <f t="shared" si="1269"/>
        <v>1</v>
      </c>
      <c r="L1427" s="11">
        <f t="shared" si="1257"/>
        <v>1</v>
      </c>
      <c r="M1427" s="69">
        <v>45904</v>
      </c>
      <c r="N1427" s="40"/>
      <c r="O1427" s="20"/>
      <c r="P1427" s="35"/>
      <c r="Q1427" s="21"/>
      <c r="R1427" s="38"/>
      <c r="S1427" s="9">
        <f t="shared" si="1273"/>
        <v>0</v>
      </c>
      <c r="T1427" s="20"/>
      <c r="U1427" s="35"/>
      <c r="V1427" s="21"/>
      <c r="W1427" s="38"/>
      <c r="X1427" s="9">
        <f t="shared" si="1274"/>
        <v>0</v>
      </c>
      <c r="Y1427" s="11">
        <f t="shared" si="1275"/>
        <v>0</v>
      </c>
    </row>
    <row r="1428" spans="1:26" x14ac:dyDescent="0.15">
      <c r="A1428" s="59" t="s">
        <v>802</v>
      </c>
      <c r="B1428" s="20"/>
      <c r="C1428" s="35"/>
      <c r="D1428" s="21"/>
      <c r="E1428" s="24">
        <v>1</v>
      </c>
      <c r="F1428" s="25">
        <f t="shared" si="1268"/>
        <v>1</v>
      </c>
      <c r="G1428" s="20"/>
      <c r="H1428" s="35"/>
      <c r="I1428" s="21"/>
      <c r="J1428" s="24">
        <v>1</v>
      </c>
      <c r="K1428" s="25">
        <f t="shared" si="1269"/>
        <v>1</v>
      </c>
      <c r="L1428" s="11">
        <f t="shared" si="1257"/>
        <v>2</v>
      </c>
      <c r="M1428" s="69">
        <v>45908</v>
      </c>
      <c r="N1428" s="40"/>
      <c r="O1428" s="20"/>
      <c r="P1428" s="35"/>
      <c r="Q1428" s="21"/>
      <c r="R1428" s="38"/>
      <c r="S1428" s="9">
        <f t="shared" si="1273"/>
        <v>0</v>
      </c>
      <c r="T1428" s="20"/>
      <c r="U1428" s="35"/>
      <c r="V1428" s="21"/>
      <c r="W1428" s="38"/>
      <c r="X1428" s="9">
        <f t="shared" si="1274"/>
        <v>0</v>
      </c>
      <c r="Y1428" s="11">
        <f t="shared" si="1275"/>
        <v>0</v>
      </c>
    </row>
    <row r="1429" spans="1:26" x14ac:dyDescent="0.15">
      <c r="A1429" s="59" t="s">
        <v>27</v>
      </c>
      <c r="B1429" s="20">
        <f>1+1</f>
        <v>2</v>
      </c>
      <c r="C1429" s="35">
        <v>2</v>
      </c>
      <c r="D1429" s="21"/>
      <c r="E1429" s="24"/>
      <c r="F1429" s="25">
        <f t="shared" si="1268"/>
        <v>4</v>
      </c>
      <c r="G1429" s="20">
        <f>1+1</f>
        <v>2</v>
      </c>
      <c r="H1429" s="35">
        <v>2</v>
      </c>
      <c r="I1429" s="21"/>
      <c r="J1429" s="24"/>
      <c r="K1429" s="25">
        <f t="shared" si="1269"/>
        <v>4</v>
      </c>
      <c r="L1429" s="11">
        <f t="shared" si="1257"/>
        <v>8</v>
      </c>
      <c r="M1429" s="69">
        <v>45906</v>
      </c>
      <c r="N1429" s="12"/>
      <c r="O1429" s="20"/>
      <c r="P1429" s="35"/>
      <c r="Q1429" s="21"/>
      <c r="R1429" s="38"/>
      <c r="S1429" s="9">
        <f>SUM(O1429:R1429)</f>
        <v>0</v>
      </c>
      <c r="T1429" s="20"/>
      <c r="U1429" s="35"/>
      <c r="V1429" s="21"/>
      <c r="W1429" s="38"/>
      <c r="X1429" s="9">
        <f>SUM(T1429:W1429)</f>
        <v>0</v>
      </c>
      <c r="Y1429" s="11">
        <f t="shared" si="1275"/>
        <v>0</v>
      </c>
    </row>
    <row r="1430" spans="1:26" x14ac:dyDescent="0.15">
      <c r="A1430" s="59" t="s">
        <v>802</v>
      </c>
      <c r="B1430" s="20"/>
      <c r="C1430" s="35"/>
      <c r="D1430" s="21">
        <v>1</v>
      </c>
      <c r="E1430" s="24">
        <v>1</v>
      </c>
      <c r="F1430" s="25">
        <f t="shared" si="1268"/>
        <v>2</v>
      </c>
      <c r="G1430" s="20"/>
      <c r="H1430" s="35"/>
      <c r="I1430" s="21">
        <v>1</v>
      </c>
      <c r="J1430" s="24">
        <v>1</v>
      </c>
      <c r="K1430" s="25">
        <f t="shared" si="1269"/>
        <v>2</v>
      </c>
      <c r="L1430" s="11">
        <f t="shared" si="1257"/>
        <v>4</v>
      </c>
      <c r="M1430" s="69">
        <v>45910</v>
      </c>
      <c r="N1430" s="40"/>
      <c r="O1430" s="20"/>
      <c r="P1430" s="35"/>
      <c r="Q1430" s="21"/>
      <c r="R1430" s="38"/>
      <c r="S1430" s="9">
        <f t="shared" ref="S1430:S1440" si="1276">SUM(O1430:R1430)</f>
        <v>0</v>
      </c>
      <c r="T1430" s="20"/>
      <c r="U1430" s="35"/>
      <c r="V1430" s="21"/>
      <c r="W1430" s="38"/>
      <c r="X1430" s="9">
        <f t="shared" ref="X1430:X1440" si="1277">SUM(T1430:W1430)</f>
        <v>0</v>
      </c>
      <c r="Y1430" s="11">
        <f t="shared" si="1275"/>
        <v>0</v>
      </c>
    </row>
    <row r="1431" spans="1:26" x14ac:dyDescent="0.15">
      <c r="A1431" s="59" t="s">
        <v>421</v>
      </c>
      <c r="B1431" s="20"/>
      <c r="C1431" s="35">
        <v>1</v>
      </c>
      <c r="D1431" s="21"/>
      <c r="E1431" s="24"/>
      <c r="F1431" s="25">
        <f t="shared" si="1268"/>
        <v>1</v>
      </c>
      <c r="G1431" s="20"/>
      <c r="H1431" s="35"/>
      <c r="I1431" s="21"/>
      <c r="J1431" s="24"/>
      <c r="K1431" s="25">
        <f t="shared" si="1269"/>
        <v>0</v>
      </c>
      <c r="L1431" s="11">
        <f t="shared" si="1257"/>
        <v>1</v>
      </c>
      <c r="M1431" s="69">
        <v>45909</v>
      </c>
      <c r="N1431" s="15"/>
      <c r="O1431" s="20"/>
      <c r="P1431" s="35"/>
      <c r="Q1431" s="21"/>
      <c r="R1431" s="38"/>
      <c r="S1431" s="9">
        <f t="shared" si="1276"/>
        <v>0</v>
      </c>
      <c r="T1431" s="20"/>
      <c r="U1431" s="35"/>
      <c r="V1431" s="21"/>
      <c r="W1431" s="38"/>
      <c r="X1431" s="9">
        <f t="shared" si="1277"/>
        <v>0</v>
      </c>
      <c r="Y1431" s="11">
        <f t="shared" si="1275"/>
        <v>0</v>
      </c>
    </row>
    <row r="1432" spans="1:26" x14ac:dyDescent="0.15">
      <c r="A1432" s="59" t="s">
        <v>27</v>
      </c>
      <c r="B1432" s="20">
        <v>1</v>
      </c>
      <c r="C1432" s="35"/>
      <c r="D1432" s="21">
        <v>1</v>
      </c>
      <c r="E1432" s="24"/>
      <c r="F1432" s="25">
        <f t="shared" si="1268"/>
        <v>2</v>
      </c>
      <c r="G1432" s="20"/>
      <c r="H1432" s="35"/>
      <c r="I1432" s="21">
        <f>1+1</f>
        <v>2</v>
      </c>
      <c r="J1432" s="24"/>
      <c r="K1432" s="25">
        <f t="shared" si="1269"/>
        <v>2</v>
      </c>
      <c r="L1432" s="11">
        <f t="shared" si="1257"/>
        <v>4</v>
      </c>
      <c r="M1432" s="69">
        <v>45908</v>
      </c>
      <c r="N1432" s="15"/>
      <c r="O1432" s="20"/>
      <c r="P1432" s="35"/>
      <c r="Q1432" s="21"/>
      <c r="R1432" s="38"/>
      <c r="S1432" s="9">
        <f t="shared" si="1276"/>
        <v>0</v>
      </c>
      <c r="T1432" s="20"/>
      <c r="U1432" s="35"/>
      <c r="V1432" s="21"/>
      <c r="W1432" s="38"/>
      <c r="X1432" s="9">
        <f t="shared" si="1277"/>
        <v>0</v>
      </c>
      <c r="Y1432" s="11">
        <f t="shared" si="1275"/>
        <v>0</v>
      </c>
    </row>
    <row r="1433" spans="1:26" x14ac:dyDescent="0.15">
      <c r="A1433" s="59" t="s">
        <v>802</v>
      </c>
      <c r="B1433" s="20">
        <v>1</v>
      </c>
      <c r="C1433" s="35"/>
      <c r="D1433" s="21"/>
      <c r="E1433" s="24"/>
      <c r="F1433" s="25">
        <f t="shared" si="1268"/>
        <v>1</v>
      </c>
      <c r="G1433" s="20">
        <v>1</v>
      </c>
      <c r="H1433" s="35"/>
      <c r="I1433" s="21"/>
      <c r="J1433" s="24"/>
      <c r="K1433" s="25">
        <f t="shared" si="1269"/>
        <v>1</v>
      </c>
      <c r="L1433" s="11">
        <f t="shared" si="1257"/>
        <v>2</v>
      </c>
      <c r="M1433" s="69">
        <v>45911</v>
      </c>
      <c r="N1433" s="15"/>
      <c r="O1433" s="20"/>
      <c r="P1433" s="35"/>
      <c r="Q1433" s="21"/>
      <c r="R1433" s="38"/>
      <c r="S1433" s="9">
        <f t="shared" si="1276"/>
        <v>0</v>
      </c>
      <c r="T1433" s="20"/>
      <c r="U1433" s="35"/>
      <c r="V1433" s="21"/>
      <c r="W1433" s="38"/>
      <c r="X1433" s="9">
        <f t="shared" si="1277"/>
        <v>0</v>
      </c>
      <c r="Y1433" s="11">
        <f t="shared" si="1275"/>
        <v>0</v>
      </c>
    </row>
    <row r="1434" spans="1:26" x14ac:dyDescent="0.15">
      <c r="A1434" s="59" t="s">
        <v>27</v>
      </c>
      <c r="B1434" s="20"/>
      <c r="C1434" s="35">
        <v>1</v>
      </c>
      <c r="D1434" s="21"/>
      <c r="E1434" s="24"/>
      <c r="F1434" s="25">
        <f t="shared" si="1268"/>
        <v>1</v>
      </c>
      <c r="G1434" s="20"/>
      <c r="H1434" s="35">
        <v>2</v>
      </c>
      <c r="I1434" s="21"/>
      <c r="J1434" s="24"/>
      <c r="K1434" s="25">
        <f t="shared" si="1269"/>
        <v>2</v>
      </c>
      <c r="L1434" s="11">
        <f t="shared" si="1257"/>
        <v>3</v>
      </c>
      <c r="M1434" s="71">
        <v>45909</v>
      </c>
      <c r="N1434" s="15"/>
      <c r="O1434" s="20"/>
      <c r="P1434" s="35"/>
      <c r="Q1434" s="21"/>
      <c r="R1434" s="38"/>
      <c r="S1434" s="9">
        <f t="shared" si="1276"/>
        <v>0</v>
      </c>
      <c r="T1434" s="20"/>
      <c r="U1434" s="35"/>
      <c r="V1434" s="21"/>
      <c r="W1434" s="38"/>
      <c r="X1434" s="9">
        <f t="shared" si="1277"/>
        <v>0</v>
      </c>
      <c r="Y1434" s="11">
        <f t="shared" si="1275"/>
        <v>0</v>
      </c>
    </row>
    <row r="1435" spans="1:26" x14ac:dyDescent="0.15">
      <c r="A1435" s="59" t="s">
        <v>27</v>
      </c>
      <c r="B1435" s="20"/>
      <c r="C1435" s="35"/>
      <c r="D1435" s="21"/>
      <c r="E1435" s="24"/>
      <c r="F1435" s="25">
        <f t="shared" si="1268"/>
        <v>0</v>
      </c>
      <c r="G1435" s="20"/>
      <c r="H1435" s="35">
        <v>2</v>
      </c>
      <c r="I1435" s="21"/>
      <c r="J1435" s="24"/>
      <c r="K1435" s="25">
        <f t="shared" si="1269"/>
        <v>2</v>
      </c>
      <c r="L1435" s="11">
        <f t="shared" si="1257"/>
        <v>2</v>
      </c>
      <c r="M1435" s="69">
        <v>45910</v>
      </c>
      <c r="N1435" s="40"/>
      <c r="O1435" s="48"/>
      <c r="P1435" s="49"/>
      <c r="Q1435" s="50"/>
      <c r="R1435" s="72"/>
      <c r="S1435" s="74">
        <f t="shared" si="1276"/>
        <v>0</v>
      </c>
      <c r="T1435" s="48"/>
      <c r="U1435" s="49"/>
      <c r="V1435" s="50"/>
      <c r="W1435" s="72"/>
      <c r="X1435" s="74">
        <f t="shared" si="1277"/>
        <v>0</v>
      </c>
      <c r="Y1435" s="11">
        <f t="shared" si="1275"/>
        <v>0</v>
      </c>
    </row>
    <row r="1436" spans="1:26" x14ac:dyDescent="0.15">
      <c r="A1436" s="59" t="s">
        <v>802</v>
      </c>
      <c r="B1436" s="20">
        <v>1</v>
      </c>
      <c r="C1436" s="35"/>
      <c r="D1436" s="21"/>
      <c r="E1436" s="24"/>
      <c r="F1436" s="25">
        <f t="shared" si="1268"/>
        <v>1</v>
      </c>
      <c r="G1436" s="20">
        <v>1</v>
      </c>
      <c r="H1436" s="35"/>
      <c r="I1436" s="21"/>
      <c r="J1436" s="24"/>
      <c r="K1436" s="25">
        <f t="shared" si="1269"/>
        <v>1</v>
      </c>
      <c r="L1436" s="11">
        <f t="shared" si="1257"/>
        <v>2</v>
      </c>
      <c r="M1436" s="69">
        <v>45912</v>
      </c>
      <c r="N1436" s="40"/>
      <c r="O1436" s="48"/>
      <c r="P1436" s="49"/>
      <c r="Q1436" s="50"/>
      <c r="R1436" s="72"/>
      <c r="S1436" s="74">
        <f t="shared" si="1276"/>
        <v>0</v>
      </c>
      <c r="T1436" s="48"/>
      <c r="U1436" s="49"/>
      <c r="V1436" s="50"/>
      <c r="W1436" s="72"/>
      <c r="X1436" s="74">
        <f t="shared" si="1277"/>
        <v>0</v>
      </c>
      <c r="Y1436" s="11">
        <f t="shared" si="1275"/>
        <v>0</v>
      </c>
      <c r="Z1436" s="162"/>
    </row>
    <row r="1437" spans="1:26" x14ac:dyDescent="0.15">
      <c r="A1437" s="59" t="s">
        <v>421</v>
      </c>
      <c r="B1437" s="20"/>
      <c r="C1437" s="35">
        <v>1</v>
      </c>
      <c r="D1437" s="21"/>
      <c r="E1437" s="24">
        <v>2</v>
      </c>
      <c r="F1437" s="25">
        <f t="shared" si="1268"/>
        <v>3</v>
      </c>
      <c r="G1437" s="20"/>
      <c r="H1437" s="35"/>
      <c r="I1437" s="21"/>
      <c r="J1437" s="24"/>
      <c r="K1437" s="25">
        <f t="shared" si="1269"/>
        <v>0</v>
      </c>
      <c r="L1437" s="11">
        <f t="shared" si="1257"/>
        <v>3</v>
      </c>
      <c r="M1437" s="69">
        <v>45912</v>
      </c>
      <c r="N1437" s="40" t="s">
        <v>767</v>
      </c>
      <c r="O1437" s="48"/>
      <c r="P1437" s="49"/>
      <c r="Q1437" s="50"/>
      <c r="R1437" s="72"/>
      <c r="S1437" s="74">
        <f t="shared" si="1276"/>
        <v>0</v>
      </c>
      <c r="T1437" s="48"/>
      <c r="U1437" s="49"/>
      <c r="V1437" s="50"/>
      <c r="W1437" s="72"/>
      <c r="X1437" s="74">
        <f t="shared" si="1277"/>
        <v>0</v>
      </c>
      <c r="Y1437" s="11">
        <f t="shared" si="1275"/>
        <v>0</v>
      </c>
      <c r="Z1437" s="162" t="s">
        <v>768</v>
      </c>
    </row>
    <row r="1438" spans="1:26" x14ac:dyDescent="0.15">
      <c r="A1438" s="59" t="s">
        <v>27</v>
      </c>
      <c r="B1438" s="20"/>
      <c r="C1438" s="35"/>
      <c r="D1438" s="21">
        <v>1</v>
      </c>
      <c r="E1438" s="24"/>
      <c r="F1438" s="25">
        <f t="shared" si="1268"/>
        <v>1</v>
      </c>
      <c r="G1438" s="20"/>
      <c r="H1438" s="35">
        <v>1</v>
      </c>
      <c r="I1438" s="21">
        <v>1</v>
      </c>
      <c r="J1438" s="24"/>
      <c r="K1438" s="25">
        <f t="shared" si="1269"/>
        <v>2</v>
      </c>
      <c r="L1438" s="11">
        <f t="shared" si="1257"/>
        <v>3</v>
      </c>
      <c r="M1438" s="71">
        <v>45911</v>
      </c>
      <c r="N1438" s="137" t="s">
        <v>761</v>
      </c>
      <c r="O1438" s="138"/>
      <c r="P1438" s="139"/>
      <c r="Q1438" s="140"/>
      <c r="R1438" s="141"/>
      <c r="S1438" s="142">
        <f t="shared" si="1276"/>
        <v>0</v>
      </c>
      <c r="T1438" s="138"/>
      <c r="U1438" s="139"/>
      <c r="V1438" s="140"/>
      <c r="W1438" s="141"/>
      <c r="X1438" s="142">
        <f t="shared" si="1277"/>
        <v>0</v>
      </c>
      <c r="Y1438" s="145">
        <f t="shared" si="1275"/>
        <v>0</v>
      </c>
      <c r="Z1438" s="162"/>
    </row>
    <row r="1439" spans="1:26" x14ac:dyDescent="0.15">
      <c r="A1439" s="59" t="s">
        <v>27</v>
      </c>
      <c r="B1439" s="20"/>
      <c r="C1439" s="35"/>
      <c r="D1439" s="21">
        <v>1</v>
      </c>
      <c r="E1439" s="24"/>
      <c r="F1439" s="25">
        <f t="shared" si="1268"/>
        <v>1</v>
      </c>
      <c r="G1439" s="20"/>
      <c r="H1439" s="35"/>
      <c r="I1439" s="21">
        <v>1</v>
      </c>
      <c r="J1439" s="24"/>
      <c r="K1439" s="25">
        <f t="shared" si="1269"/>
        <v>1</v>
      </c>
      <c r="L1439" s="11">
        <f t="shared" si="1257"/>
        <v>2</v>
      </c>
      <c r="M1439" s="71">
        <v>45912</v>
      </c>
      <c r="N1439" s="12" t="s">
        <v>762</v>
      </c>
      <c r="O1439" s="20"/>
      <c r="P1439" s="35"/>
      <c r="Q1439" s="21"/>
      <c r="R1439" s="38"/>
      <c r="S1439" s="9">
        <f t="shared" si="1276"/>
        <v>0</v>
      </c>
      <c r="T1439" s="20"/>
      <c r="U1439" s="35"/>
      <c r="V1439" s="21"/>
      <c r="W1439" s="38"/>
      <c r="X1439" s="9">
        <f t="shared" si="1277"/>
        <v>0</v>
      </c>
      <c r="Y1439" s="47">
        <f t="shared" si="1275"/>
        <v>0</v>
      </c>
      <c r="Z1439" s="162" t="s">
        <v>763</v>
      </c>
    </row>
    <row r="1440" spans="1:26" ht="14.25" thickBot="1" x14ac:dyDescent="0.2">
      <c r="A1440" s="15" t="s">
        <v>813</v>
      </c>
      <c r="B1440" s="43"/>
      <c r="C1440" s="44">
        <v>-1</v>
      </c>
      <c r="D1440" s="45"/>
      <c r="E1440" s="46"/>
      <c r="F1440" s="25">
        <f t="shared" si="1268"/>
        <v>-1</v>
      </c>
      <c r="G1440" s="43">
        <v>-3</v>
      </c>
      <c r="H1440" s="44">
        <v>-1</v>
      </c>
      <c r="I1440" s="45">
        <v>-3</v>
      </c>
      <c r="J1440" s="46"/>
      <c r="K1440" s="25">
        <f t="shared" si="1269"/>
        <v>-7</v>
      </c>
      <c r="L1440" s="14">
        <f t="shared" si="1257"/>
        <v>-8</v>
      </c>
      <c r="M1440" s="71">
        <v>45910</v>
      </c>
      <c r="N1440" s="196" t="s">
        <v>803</v>
      </c>
      <c r="O1440" s="28"/>
      <c r="P1440" s="36"/>
      <c r="Q1440" s="29"/>
      <c r="R1440" s="30"/>
      <c r="S1440" s="197">
        <f t="shared" si="1276"/>
        <v>0</v>
      </c>
      <c r="T1440" s="28"/>
      <c r="U1440" s="36"/>
      <c r="V1440" s="29"/>
      <c r="W1440" s="30"/>
      <c r="X1440" s="197">
        <f t="shared" si="1277"/>
        <v>0</v>
      </c>
      <c r="Y1440" s="14">
        <f t="shared" si="1275"/>
        <v>0</v>
      </c>
      <c r="Z1440" s="162" t="s">
        <v>804</v>
      </c>
    </row>
    <row r="1441" spans="1:26" ht="14.25" thickBot="1" x14ac:dyDescent="0.2">
      <c r="A1441" s="16" t="s">
        <v>9</v>
      </c>
      <c r="B1441" s="28">
        <f>SUM(B1416:B1440)</f>
        <v>11</v>
      </c>
      <c r="C1441" s="36">
        <f>SUM(C1416:C1440)</f>
        <v>20</v>
      </c>
      <c r="D1441" s="29">
        <f>SUM(D1416:D1440)</f>
        <v>10</v>
      </c>
      <c r="E1441" s="30">
        <f>SUM(E1416:E1440)</f>
        <v>9</v>
      </c>
      <c r="F1441" s="26">
        <f>SUM(B1441:E1441)</f>
        <v>50</v>
      </c>
      <c r="G1441" s="28">
        <f>SUM(G1416:G1440)</f>
        <v>10</v>
      </c>
      <c r="H1441" s="36">
        <f>SUM(H1416:H1440)</f>
        <v>26</v>
      </c>
      <c r="I1441" s="29">
        <f>SUM(I1416:I1440)</f>
        <v>8</v>
      </c>
      <c r="J1441" s="30">
        <f>SUM(J1416:J1440)</f>
        <v>9</v>
      </c>
      <c r="K1441" s="26">
        <f>SUM(G1441:J1441)</f>
        <v>53</v>
      </c>
      <c r="L1441" s="27">
        <f t="shared" si="1257"/>
        <v>103</v>
      </c>
      <c r="N1441" s="16" t="s">
        <v>9</v>
      </c>
      <c r="O1441" s="188">
        <f>SUM(O1416:O1440)</f>
        <v>15</v>
      </c>
      <c r="P1441" s="189">
        <f t="shared" ref="P1441" si="1278">SUM(P1416:P1440)</f>
        <v>50</v>
      </c>
      <c r="Q1441" s="190">
        <f t="shared" ref="Q1441" si="1279">SUM(Q1416:Q1440)</f>
        <v>25</v>
      </c>
      <c r="R1441" s="191">
        <f t="shared" ref="R1441" si="1280">SUM(R1416:R1440)</f>
        <v>20</v>
      </c>
      <c r="S1441" s="26">
        <f>SUM(O1441:R1441)</f>
        <v>110</v>
      </c>
      <c r="T1441" s="188">
        <f>SUM(T1416:T1440)</f>
        <v>20</v>
      </c>
      <c r="U1441" s="189">
        <f t="shared" ref="U1441" si="1281">SUM(U1416:U1440)</f>
        <v>40</v>
      </c>
      <c r="V1441" s="190">
        <f t="shared" ref="V1441" si="1282">SUM(V1416:V1440)</f>
        <v>40</v>
      </c>
      <c r="W1441" s="191">
        <f t="shared" ref="W1441" si="1283">SUM(W1416:W1440)</f>
        <v>30</v>
      </c>
      <c r="X1441" s="26">
        <f>SUM(T1441:W1441)</f>
        <v>130</v>
      </c>
      <c r="Y1441" s="27">
        <f>S1441+X1441</f>
        <v>240</v>
      </c>
    </row>
    <row r="1442" spans="1:26" ht="14.25" thickBot="1" x14ac:dyDescent="0.2">
      <c r="A1442" s="18" t="s">
        <v>10</v>
      </c>
      <c r="B1442" s="31">
        <f t="shared" ref="B1442:K1442" si="1284">B1415-B1441</f>
        <v>33</v>
      </c>
      <c r="C1442" s="37">
        <f t="shared" si="1284"/>
        <v>45</v>
      </c>
      <c r="D1442" s="32">
        <f t="shared" si="1284"/>
        <v>28</v>
      </c>
      <c r="E1442" s="33">
        <f t="shared" si="1284"/>
        <v>28</v>
      </c>
      <c r="F1442" s="42">
        <f t="shared" si="1284"/>
        <v>134</v>
      </c>
      <c r="G1442" s="31">
        <f t="shared" si="1284"/>
        <v>32</v>
      </c>
      <c r="H1442" s="37">
        <f t="shared" si="1284"/>
        <v>23</v>
      </c>
      <c r="I1442" s="32">
        <f t="shared" si="1284"/>
        <v>35</v>
      </c>
      <c r="J1442" s="33">
        <f t="shared" si="1284"/>
        <v>33</v>
      </c>
      <c r="K1442" s="42">
        <f t="shared" si="1284"/>
        <v>123</v>
      </c>
      <c r="L1442" s="17">
        <f t="shared" si="1257"/>
        <v>257</v>
      </c>
      <c r="N1442" s="16" t="s">
        <v>10</v>
      </c>
      <c r="O1442" s="31">
        <f>O1415-O1441</f>
        <v>240</v>
      </c>
      <c r="P1442" s="37">
        <f t="shared" ref="P1442" si="1285">P1415-P1441</f>
        <v>359</v>
      </c>
      <c r="Q1442" s="32">
        <f t="shared" ref="Q1442" si="1286">Q1415-Q1441</f>
        <v>227</v>
      </c>
      <c r="R1442" s="33">
        <f t="shared" ref="R1442" si="1287">R1415-R1441</f>
        <v>186</v>
      </c>
      <c r="S1442" s="42">
        <f>S1415-S1441</f>
        <v>1012</v>
      </c>
      <c r="T1442" s="31">
        <f>T1415-T1441</f>
        <v>251</v>
      </c>
      <c r="U1442" s="37">
        <f t="shared" ref="U1442" si="1288">U1415-U1441</f>
        <v>290</v>
      </c>
      <c r="V1442" s="32">
        <f t="shared" ref="V1442" si="1289">V1415-V1441</f>
        <v>181</v>
      </c>
      <c r="W1442" s="33">
        <f t="shared" ref="W1442" si="1290">W1415-W1441</f>
        <v>142</v>
      </c>
      <c r="X1442" s="42">
        <f>X1415-X1441</f>
        <v>864</v>
      </c>
      <c r="Y1442" s="17">
        <f>S1442+X1442</f>
        <v>1876</v>
      </c>
    </row>
    <row r="1445" spans="1:26" ht="19.5" thickBot="1" x14ac:dyDescent="0.25">
      <c r="A1445" s="2" t="s">
        <v>17</v>
      </c>
      <c r="B1445" s="2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N1445" s="2" t="s">
        <v>18</v>
      </c>
      <c r="O1445" s="87"/>
      <c r="P1445" s="87"/>
      <c r="Q1445" s="87"/>
      <c r="R1445" s="87"/>
      <c r="S1445" s="87"/>
      <c r="T1445" s="87"/>
      <c r="U1445" s="87"/>
      <c r="V1445" s="87"/>
      <c r="W1445" s="87"/>
      <c r="X1445" s="87"/>
      <c r="Y1445" s="1"/>
    </row>
    <row r="1446" spans="1:26" ht="14.25" thickBot="1" x14ac:dyDescent="0.2">
      <c r="A1446" s="5" t="s">
        <v>0</v>
      </c>
      <c r="B1446" s="244" t="s">
        <v>19</v>
      </c>
      <c r="C1446" s="245"/>
      <c r="D1446" s="245"/>
      <c r="E1446" s="245"/>
      <c r="F1446" s="246"/>
      <c r="G1446" s="247" t="s">
        <v>20</v>
      </c>
      <c r="H1446" s="248"/>
      <c r="I1446" s="248"/>
      <c r="J1446" s="248"/>
      <c r="K1446" s="249"/>
      <c r="L1446" s="250" t="s">
        <v>1</v>
      </c>
      <c r="N1446" s="5" t="s">
        <v>0</v>
      </c>
      <c r="O1446" s="244" t="s">
        <v>19</v>
      </c>
      <c r="P1446" s="245"/>
      <c r="Q1446" s="245"/>
      <c r="R1446" s="245"/>
      <c r="S1446" s="246"/>
      <c r="T1446" s="247" t="s">
        <v>20</v>
      </c>
      <c r="U1446" s="248"/>
      <c r="V1446" s="248"/>
      <c r="W1446" s="248"/>
      <c r="X1446" s="249"/>
      <c r="Y1446" s="250" t="s">
        <v>1</v>
      </c>
    </row>
    <row r="1447" spans="1:26" ht="14.25" thickBot="1" x14ac:dyDescent="0.2">
      <c r="A1447" s="5" t="s">
        <v>2</v>
      </c>
      <c r="B1447" s="3" t="s">
        <v>11</v>
      </c>
      <c r="C1447" s="34" t="s">
        <v>12</v>
      </c>
      <c r="D1447" s="4" t="s">
        <v>13</v>
      </c>
      <c r="E1447" s="19" t="s">
        <v>14</v>
      </c>
      <c r="F1447" s="23" t="s">
        <v>3</v>
      </c>
      <c r="G1447" s="3" t="s">
        <v>11</v>
      </c>
      <c r="H1447" s="34" t="s">
        <v>12</v>
      </c>
      <c r="I1447" s="4" t="s">
        <v>13</v>
      </c>
      <c r="J1447" s="19" t="s">
        <v>14</v>
      </c>
      <c r="K1447" s="23" t="s">
        <v>3</v>
      </c>
      <c r="L1447" s="251"/>
      <c r="N1447" s="5" t="s">
        <v>2</v>
      </c>
      <c r="O1447" s="53" t="s">
        <v>11</v>
      </c>
      <c r="P1447" s="54" t="s">
        <v>12</v>
      </c>
      <c r="Q1447" s="55" t="s">
        <v>13</v>
      </c>
      <c r="R1447" s="56" t="s">
        <v>14</v>
      </c>
      <c r="S1447" s="23" t="s">
        <v>3</v>
      </c>
      <c r="T1447" s="3" t="s">
        <v>11</v>
      </c>
      <c r="U1447" s="34" t="s">
        <v>12</v>
      </c>
      <c r="V1447" s="4" t="s">
        <v>13</v>
      </c>
      <c r="W1447" s="19" t="s">
        <v>14</v>
      </c>
      <c r="X1447" s="23" t="s">
        <v>3</v>
      </c>
      <c r="Y1447" s="251"/>
    </row>
    <row r="1448" spans="1:26" ht="14.25" thickBot="1" x14ac:dyDescent="0.2">
      <c r="A1448" s="18" t="s">
        <v>15</v>
      </c>
      <c r="B1448" s="31">
        <f>B1442</f>
        <v>33</v>
      </c>
      <c r="C1448" s="32">
        <f>C1442</f>
        <v>45</v>
      </c>
      <c r="D1448" s="32">
        <f>D1442</f>
        <v>28</v>
      </c>
      <c r="E1448" s="33">
        <f>E1442</f>
        <v>28</v>
      </c>
      <c r="F1448" s="86">
        <f>SUM(B1448:E1448)</f>
        <v>134</v>
      </c>
      <c r="G1448" s="31">
        <f>G1442</f>
        <v>32</v>
      </c>
      <c r="H1448" s="32">
        <f>H1442</f>
        <v>23</v>
      </c>
      <c r="I1448" s="32">
        <f>I1442</f>
        <v>35</v>
      </c>
      <c r="J1448" s="33">
        <f>J1442</f>
        <v>33</v>
      </c>
      <c r="K1448" s="80">
        <f>SUM(G1448:J1448)</f>
        <v>123</v>
      </c>
      <c r="L1448" s="17">
        <f>F1448+K1448</f>
        <v>257</v>
      </c>
      <c r="N1448" s="18" t="s">
        <v>15</v>
      </c>
      <c r="O1448" s="31">
        <f>O1442</f>
        <v>240</v>
      </c>
      <c r="P1448" s="32">
        <f t="shared" ref="P1448:Y1448" si="1291">P1442</f>
        <v>359</v>
      </c>
      <c r="Q1448" s="32">
        <f t="shared" si="1291"/>
        <v>227</v>
      </c>
      <c r="R1448" s="33">
        <f t="shared" si="1291"/>
        <v>186</v>
      </c>
      <c r="S1448" s="86">
        <f t="shared" si="1291"/>
        <v>1012</v>
      </c>
      <c r="T1448" s="31">
        <f t="shared" si="1291"/>
        <v>251</v>
      </c>
      <c r="U1448" s="32">
        <f t="shared" si="1291"/>
        <v>290</v>
      </c>
      <c r="V1448" s="32">
        <f t="shared" si="1291"/>
        <v>181</v>
      </c>
      <c r="W1448" s="33">
        <f t="shared" si="1291"/>
        <v>142</v>
      </c>
      <c r="X1448" s="80">
        <f t="shared" si="1291"/>
        <v>864</v>
      </c>
      <c r="Y1448" s="17">
        <f t="shared" si="1291"/>
        <v>1876</v>
      </c>
    </row>
    <row r="1449" spans="1:26" x14ac:dyDescent="0.15">
      <c r="A1449" s="13" t="s">
        <v>4</v>
      </c>
      <c r="B1449" s="20"/>
      <c r="C1449" s="35">
        <v>10</v>
      </c>
      <c r="D1449" s="21">
        <v>10</v>
      </c>
      <c r="E1449" s="24">
        <v>5</v>
      </c>
      <c r="F1449" s="25">
        <f t="shared" ref="F1449:F1452" si="1292">SUM(B1449:E1449)</f>
        <v>25</v>
      </c>
      <c r="G1449" s="20">
        <v>10</v>
      </c>
      <c r="H1449" s="35">
        <v>10</v>
      </c>
      <c r="I1449" s="21">
        <v>15</v>
      </c>
      <c r="J1449" s="24">
        <v>5</v>
      </c>
      <c r="K1449" s="25">
        <f t="shared" ref="K1449:K1452" si="1293">SUM(G1449:J1449)</f>
        <v>40</v>
      </c>
      <c r="L1449" s="11">
        <f t="shared" ref="L1449:L1480" si="1294">F1449+K1449</f>
        <v>65</v>
      </c>
      <c r="M1449" s="69">
        <v>45929</v>
      </c>
      <c r="N1449" s="59" t="s">
        <v>16</v>
      </c>
      <c r="O1449" s="48"/>
      <c r="P1449" s="49"/>
      <c r="Q1449" s="50"/>
      <c r="R1449" s="51"/>
      <c r="S1449" s="85">
        <f t="shared" ref="S1449:S1451" si="1295">SUM(O1449:R1449)</f>
        <v>0</v>
      </c>
      <c r="T1449" s="48"/>
      <c r="U1449" s="49"/>
      <c r="V1449" s="50"/>
      <c r="W1449" s="51"/>
      <c r="X1449" s="74">
        <f t="shared" ref="X1449:X1451" si="1296">SUM(T1449:W1449)</f>
        <v>0</v>
      </c>
      <c r="Y1449" s="11">
        <f t="shared" ref="Y1449:Y1452" si="1297">S1449+X1449</f>
        <v>0</v>
      </c>
    </row>
    <row r="1450" spans="1:26" x14ac:dyDescent="0.15">
      <c r="A1450" s="59" t="s">
        <v>835</v>
      </c>
      <c r="B1450" s="20">
        <v>1</v>
      </c>
      <c r="C1450" s="35"/>
      <c r="D1450" s="21"/>
      <c r="E1450" s="24"/>
      <c r="F1450" s="25">
        <f t="shared" si="1292"/>
        <v>1</v>
      </c>
      <c r="G1450" s="20">
        <v>1</v>
      </c>
      <c r="H1450" s="35"/>
      <c r="I1450" s="21"/>
      <c r="J1450" s="24"/>
      <c r="K1450" s="25">
        <f t="shared" si="1293"/>
        <v>1</v>
      </c>
      <c r="L1450" s="11">
        <f t="shared" si="1294"/>
        <v>2</v>
      </c>
      <c r="M1450" s="69">
        <v>45898</v>
      </c>
      <c r="N1450" s="59" t="s">
        <v>4</v>
      </c>
      <c r="O1450" s="48"/>
      <c r="P1450" s="49"/>
      <c r="Q1450" s="50"/>
      <c r="R1450" s="51"/>
      <c r="S1450" s="85">
        <f t="shared" si="1295"/>
        <v>0</v>
      </c>
      <c r="T1450" s="48"/>
      <c r="U1450" s="49"/>
      <c r="V1450" s="50"/>
      <c r="W1450" s="51"/>
      <c r="X1450" s="74">
        <f t="shared" si="1296"/>
        <v>0</v>
      </c>
      <c r="Y1450" s="11">
        <f t="shared" si="1297"/>
        <v>0</v>
      </c>
    </row>
    <row r="1451" spans="1:26" x14ac:dyDescent="0.15">
      <c r="A1451" s="13" t="s">
        <v>6</v>
      </c>
      <c r="B1451" s="20"/>
      <c r="C1451" s="35"/>
      <c r="D1451" s="21"/>
      <c r="E1451" s="24"/>
      <c r="F1451" s="25">
        <f t="shared" si="1292"/>
        <v>0</v>
      </c>
      <c r="G1451" s="20"/>
      <c r="H1451" s="35"/>
      <c r="I1451" s="21"/>
      <c r="J1451" s="24"/>
      <c r="K1451" s="25">
        <f t="shared" si="1293"/>
        <v>0</v>
      </c>
      <c r="L1451" s="11">
        <f t="shared" si="1294"/>
        <v>0</v>
      </c>
      <c r="M1451" s="71">
        <v>45948</v>
      </c>
      <c r="N1451" s="59" t="s">
        <v>5</v>
      </c>
      <c r="O1451" s="48"/>
      <c r="P1451" s="49"/>
      <c r="Q1451" s="50"/>
      <c r="R1451" s="51"/>
      <c r="S1451" s="85">
        <f t="shared" si="1295"/>
        <v>0</v>
      </c>
      <c r="T1451" s="48"/>
      <c r="U1451" s="49"/>
      <c r="V1451" s="50"/>
      <c r="W1451" s="51"/>
      <c r="X1451" s="74">
        <f t="shared" si="1296"/>
        <v>0</v>
      </c>
      <c r="Y1451" s="11">
        <f t="shared" si="1297"/>
        <v>0</v>
      </c>
    </row>
    <row r="1452" spans="1:26" ht="14.25" thickBot="1" x14ac:dyDescent="0.2">
      <c r="A1452" s="13" t="s">
        <v>7</v>
      </c>
      <c r="B1452" s="48"/>
      <c r="C1452" s="49"/>
      <c r="D1452" s="50"/>
      <c r="E1452" s="51"/>
      <c r="F1452" s="52">
        <f t="shared" si="1292"/>
        <v>0</v>
      </c>
      <c r="G1452" s="48"/>
      <c r="H1452" s="49"/>
      <c r="I1452" s="50"/>
      <c r="J1452" s="51"/>
      <c r="K1452" s="52">
        <f t="shared" si="1293"/>
        <v>0</v>
      </c>
      <c r="L1452" s="11">
        <f t="shared" si="1294"/>
        <v>0</v>
      </c>
      <c r="N1452" s="13" t="s">
        <v>6</v>
      </c>
      <c r="O1452" s="43"/>
      <c r="P1452" s="44"/>
      <c r="Q1452" s="45"/>
      <c r="R1452" s="46"/>
      <c r="S1452" s="58">
        <f>SUM(O1452:R1452)</f>
        <v>0</v>
      </c>
      <c r="T1452" s="35"/>
      <c r="U1452" s="35"/>
      <c r="V1452" s="21"/>
      <c r="W1452" s="38"/>
      <c r="X1452" s="10">
        <f>SUM(T1452:W1452)</f>
        <v>0</v>
      </c>
      <c r="Y1452" s="14">
        <f t="shared" si="1297"/>
        <v>0</v>
      </c>
    </row>
    <row r="1453" spans="1:26" ht="14.25" thickBot="1" x14ac:dyDescent="0.2">
      <c r="A1453" s="18" t="s">
        <v>8</v>
      </c>
      <c r="B1453" s="76">
        <f t="shared" ref="B1453:K1453" si="1298">SUM(B1448:B1452)</f>
        <v>34</v>
      </c>
      <c r="C1453" s="77">
        <f t="shared" si="1298"/>
        <v>55</v>
      </c>
      <c r="D1453" s="78">
        <f t="shared" si="1298"/>
        <v>38</v>
      </c>
      <c r="E1453" s="79">
        <f t="shared" si="1298"/>
        <v>33</v>
      </c>
      <c r="F1453" s="80">
        <f t="shared" si="1298"/>
        <v>160</v>
      </c>
      <c r="G1453" s="76">
        <f t="shared" si="1298"/>
        <v>43</v>
      </c>
      <c r="H1453" s="77">
        <f t="shared" si="1298"/>
        <v>33</v>
      </c>
      <c r="I1453" s="78">
        <f t="shared" si="1298"/>
        <v>50</v>
      </c>
      <c r="J1453" s="79">
        <f t="shared" si="1298"/>
        <v>38</v>
      </c>
      <c r="K1453" s="80">
        <f t="shared" si="1298"/>
        <v>164</v>
      </c>
      <c r="L1453" s="17">
        <f t="shared" si="1294"/>
        <v>324</v>
      </c>
      <c r="N1453" s="16" t="s">
        <v>8</v>
      </c>
      <c r="O1453" s="31">
        <f>SUM(O1448:O1452)</f>
        <v>240</v>
      </c>
      <c r="P1453" s="37">
        <f t="shared" ref="P1453" si="1299">SUM(P1448:P1452)</f>
        <v>359</v>
      </c>
      <c r="Q1453" s="32">
        <f t="shared" ref="Q1453" si="1300">SUM(Q1448:Q1452)</f>
        <v>227</v>
      </c>
      <c r="R1453" s="82">
        <f t="shared" ref="R1453" si="1301">SUM(R1448:R1452)</f>
        <v>186</v>
      </c>
      <c r="S1453" s="83">
        <f>SUM(S1448:S1452)</f>
        <v>1012</v>
      </c>
      <c r="T1453" s="31">
        <f>SUM(T1448:T1452)</f>
        <v>251</v>
      </c>
      <c r="U1453" s="37">
        <f t="shared" ref="U1453" si="1302">SUM(U1448:U1452)</f>
        <v>290</v>
      </c>
      <c r="V1453" s="32">
        <f t="shared" ref="V1453" si="1303">SUM(V1448:V1452)</f>
        <v>181</v>
      </c>
      <c r="W1453" s="82">
        <f t="shared" ref="W1453" si="1304">SUM(W1448:W1452)</f>
        <v>142</v>
      </c>
      <c r="X1453" s="83">
        <f>SUM(X1448:X1452)</f>
        <v>864</v>
      </c>
      <c r="Y1453" s="39">
        <f>S1453+X1453</f>
        <v>1876</v>
      </c>
    </row>
    <row r="1454" spans="1:26" x14ac:dyDescent="0.15">
      <c r="A1454" s="59" t="s">
        <v>27</v>
      </c>
      <c r="B1454" s="127">
        <v>1</v>
      </c>
      <c r="C1454" s="169">
        <v>1</v>
      </c>
      <c r="D1454" s="128">
        <v>2</v>
      </c>
      <c r="E1454" s="170"/>
      <c r="F1454" s="195">
        <f t="shared" ref="F1454:F1477" si="1305">SUM(B1454:E1454)</f>
        <v>4</v>
      </c>
      <c r="G1454" s="127">
        <v>1</v>
      </c>
      <c r="H1454" s="169">
        <v>1</v>
      </c>
      <c r="I1454" s="128">
        <v>4</v>
      </c>
      <c r="J1454" s="170">
        <v>2</v>
      </c>
      <c r="K1454" s="195">
        <f t="shared" ref="K1454:K1477" si="1306">SUM(G1454:J1454)</f>
        <v>8</v>
      </c>
      <c r="L1454" s="135">
        <f t="shared" si="1294"/>
        <v>12</v>
      </c>
      <c r="M1454" s="71">
        <v>45916</v>
      </c>
      <c r="N1454" s="136" t="s">
        <v>816</v>
      </c>
      <c r="O1454" s="20">
        <v>30</v>
      </c>
      <c r="P1454" s="35"/>
      <c r="Q1454" s="21">
        <v>5</v>
      </c>
      <c r="R1454" s="38">
        <v>5</v>
      </c>
      <c r="S1454" s="9">
        <f t="shared" ref="S1454:S1466" si="1307">SUM(O1454:R1454)</f>
        <v>40</v>
      </c>
      <c r="T1454" s="20">
        <v>30</v>
      </c>
      <c r="U1454" s="35"/>
      <c r="V1454" s="21">
        <v>5</v>
      </c>
      <c r="W1454" s="38">
        <v>5</v>
      </c>
      <c r="X1454" s="9">
        <f t="shared" ref="X1454:X1466" si="1308">SUM(T1454:W1454)</f>
        <v>40</v>
      </c>
      <c r="Y1454" s="11">
        <f t="shared" ref="Y1454:Y1478" si="1309">S1454+X1454</f>
        <v>80</v>
      </c>
      <c r="Z1454" s="69">
        <v>45931</v>
      </c>
    </row>
    <row r="1455" spans="1:26" x14ac:dyDescent="0.15">
      <c r="A1455" s="59" t="s">
        <v>802</v>
      </c>
      <c r="B1455" s="20">
        <v>1</v>
      </c>
      <c r="C1455" s="35"/>
      <c r="D1455" s="21">
        <v>1</v>
      </c>
      <c r="E1455" s="24"/>
      <c r="F1455" s="25">
        <f t="shared" si="1305"/>
        <v>2</v>
      </c>
      <c r="G1455" s="20">
        <v>1</v>
      </c>
      <c r="H1455" s="35"/>
      <c r="I1455" s="21">
        <v>1</v>
      </c>
      <c r="J1455" s="24"/>
      <c r="K1455" s="25">
        <f t="shared" si="1306"/>
        <v>2</v>
      </c>
      <c r="L1455" s="11">
        <f t="shared" si="1294"/>
        <v>4</v>
      </c>
      <c r="M1455" s="69">
        <v>45919</v>
      </c>
      <c r="N1455" s="40" t="s">
        <v>817</v>
      </c>
      <c r="O1455" s="20">
        <v>10</v>
      </c>
      <c r="P1455" s="35">
        <v>10</v>
      </c>
      <c r="Q1455" s="21">
        <v>20</v>
      </c>
      <c r="R1455" s="38">
        <v>15</v>
      </c>
      <c r="S1455" s="9">
        <f t="shared" si="1307"/>
        <v>55</v>
      </c>
      <c r="T1455" s="20">
        <v>10</v>
      </c>
      <c r="U1455" s="35">
        <v>10</v>
      </c>
      <c r="V1455" s="21">
        <v>20</v>
      </c>
      <c r="W1455" s="38">
        <v>15</v>
      </c>
      <c r="X1455" s="9">
        <f t="shared" si="1308"/>
        <v>55</v>
      </c>
      <c r="Y1455" s="11">
        <f t="shared" si="1309"/>
        <v>110</v>
      </c>
      <c r="Z1455" s="69">
        <v>45932</v>
      </c>
    </row>
    <row r="1456" spans="1:26" x14ac:dyDescent="0.15">
      <c r="A1456" s="59" t="s">
        <v>27</v>
      </c>
      <c r="B1456" s="20">
        <v>2</v>
      </c>
      <c r="C1456" s="35"/>
      <c r="D1456" s="21"/>
      <c r="E1456" s="24">
        <v>1</v>
      </c>
      <c r="F1456" s="25">
        <f t="shared" si="1305"/>
        <v>3</v>
      </c>
      <c r="G1456" s="20"/>
      <c r="H1456" s="35"/>
      <c r="I1456" s="21"/>
      <c r="J1456" s="24"/>
      <c r="K1456" s="25">
        <f t="shared" si="1306"/>
        <v>0</v>
      </c>
      <c r="L1456" s="11">
        <f t="shared" si="1294"/>
        <v>3</v>
      </c>
      <c r="M1456" s="69">
        <v>45918</v>
      </c>
      <c r="N1456" s="40" t="s">
        <v>818</v>
      </c>
      <c r="O1456" s="20">
        <v>20</v>
      </c>
      <c r="P1456" s="35">
        <v>25</v>
      </c>
      <c r="Q1456" s="21">
        <v>20</v>
      </c>
      <c r="R1456" s="38">
        <v>5</v>
      </c>
      <c r="S1456" s="9">
        <f t="shared" si="1307"/>
        <v>70</v>
      </c>
      <c r="T1456" s="20">
        <v>20</v>
      </c>
      <c r="U1456" s="35">
        <v>25</v>
      </c>
      <c r="V1456" s="21">
        <v>20</v>
      </c>
      <c r="W1456" s="38">
        <v>5</v>
      </c>
      <c r="X1456" s="9">
        <f t="shared" si="1308"/>
        <v>70</v>
      </c>
      <c r="Y1456" s="11">
        <f t="shared" si="1309"/>
        <v>140</v>
      </c>
      <c r="Z1456" s="71">
        <v>45934</v>
      </c>
    </row>
    <row r="1457" spans="1:26" x14ac:dyDescent="0.15">
      <c r="A1457" s="59" t="s">
        <v>27</v>
      </c>
      <c r="B1457" s="20"/>
      <c r="C1457" s="35"/>
      <c r="D1457" s="21">
        <v>1</v>
      </c>
      <c r="E1457" s="24">
        <v>1</v>
      </c>
      <c r="F1457" s="25">
        <f t="shared" si="1305"/>
        <v>2</v>
      </c>
      <c r="G1457" s="20"/>
      <c r="H1457" s="35">
        <v>1</v>
      </c>
      <c r="I1457" s="21">
        <v>3</v>
      </c>
      <c r="J1457" s="24">
        <v>2</v>
      </c>
      <c r="K1457" s="25">
        <f t="shared" si="1306"/>
        <v>6</v>
      </c>
      <c r="L1457" s="11">
        <f t="shared" si="1294"/>
        <v>8</v>
      </c>
      <c r="M1457" s="71">
        <v>45922</v>
      </c>
      <c r="N1457" s="40" t="s">
        <v>819</v>
      </c>
      <c r="O1457" s="20">
        <v>20</v>
      </c>
      <c r="P1457" s="35">
        <v>10</v>
      </c>
      <c r="Q1457" s="21">
        <v>20</v>
      </c>
      <c r="R1457" s="38">
        <v>15</v>
      </c>
      <c r="S1457" s="9">
        <f t="shared" si="1307"/>
        <v>65</v>
      </c>
      <c r="T1457" s="20">
        <v>20</v>
      </c>
      <c r="U1457" s="35">
        <v>10</v>
      </c>
      <c r="V1457" s="21">
        <v>20</v>
      </c>
      <c r="W1457" s="38">
        <v>15</v>
      </c>
      <c r="X1457" s="9">
        <f t="shared" si="1308"/>
        <v>65</v>
      </c>
      <c r="Y1457" s="11">
        <f t="shared" si="1309"/>
        <v>130</v>
      </c>
      <c r="Z1457" s="69">
        <v>45934</v>
      </c>
    </row>
    <row r="1458" spans="1:26" x14ac:dyDescent="0.15">
      <c r="A1458" s="59" t="s">
        <v>802</v>
      </c>
      <c r="B1458" s="20"/>
      <c r="C1458" s="35">
        <v>2</v>
      </c>
      <c r="D1458" s="21">
        <v>1</v>
      </c>
      <c r="E1458" s="24"/>
      <c r="F1458" s="25">
        <f t="shared" si="1305"/>
        <v>3</v>
      </c>
      <c r="G1458" s="20"/>
      <c r="H1458" s="35">
        <v>2</v>
      </c>
      <c r="I1458" s="21">
        <v>1</v>
      </c>
      <c r="J1458" s="24"/>
      <c r="K1458" s="25">
        <f t="shared" si="1306"/>
        <v>3</v>
      </c>
      <c r="L1458" s="11">
        <f t="shared" si="1294"/>
        <v>6</v>
      </c>
      <c r="M1458" s="69">
        <v>45926</v>
      </c>
      <c r="N1458" s="12" t="s">
        <v>820</v>
      </c>
      <c r="O1458" s="20"/>
      <c r="P1458" s="35"/>
      <c r="Q1458" s="21">
        <v>10</v>
      </c>
      <c r="R1458" s="38"/>
      <c r="S1458" s="9">
        <f t="shared" si="1307"/>
        <v>10</v>
      </c>
      <c r="T1458" s="20"/>
      <c r="U1458" s="35"/>
      <c r="V1458" s="21">
        <v>10</v>
      </c>
      <c r="W1458" s="38"/>
      <c r="X1458" s="9">
        <f t="shared" si="1308"/>
        <v>10</v>
      </c>
      <c r="Y1458" s="11">
        <f t="shared" si="1309"/>
        <v>20</v>
      </c>
      <c r="Z1458" s="69">
        <v>45939</v>
      </c>
    </row>
    <row r="1459" spans="1:26" x14ac:dyDescent="0.15">
      <c r="A1459" s="59" t="s">
        <v>815</v>
      </c>
      <c r="B1459" s="20">
        <v>2</v>
      </c>
      <c r="C1459" s="35"/>
      <c r="D1459" s="21">
        <v>1</v>
      </c>
      <c r="E1459" s="24"/>
      <c r="F1459" s="25">
        <f t="shared" si="1305"/>
        <v>3</v>
      </c>
      <c r="G1459" s="20">
        <v>2</v>
      </c>
      <c r="H1459" s="35"/>
      <c r="I1459" s="21">
        <v>2</v>
      </c>
      <c r="J1459" s="24"/>
      <c r="K1459" s="25">
        <f t="shared" si="1306"/>
        <v>4</v>
      </c>
      <c r="L1459" s="11">
        <f t="shared" si="1294"/>
        <v>7</v>
      </c>
      <c r="M1459" s="69">
        <v>45925</v>
      </c>
      <c r="N1459" s="40" t="s">
        <v>821</v>
      </c>
      <c r="O1459" s="20">
        <v>10</v>
      </c>
      <c r="P1459" s="35"/>
      <c r="Q1459" s="21">
        <v>10</v>
      </c>
      <c r="R1459" s="38"/>
      <c r="S1459" s="9">
        <f t="shared" si="1307"/>
        <v>20</v>
      </c>
      <c r="T1459" s="20"/>
      <c r="U1459" s="35">
        <v>25</v>
      </c>
      <c r="V1459" s="21">
        <v>10</v>
      </c>
      <c r="W1459" s="38"/>
      <c r="X1459" s="9">
        <f t="shared" si="1308"/>
        <v>35</v>
      </c>
      <c r="Y1459" s="11">
        <f t="shared" si="1309"/>
        <v>55</v>
      </c>
      <c r="Z1459" s="69">
        <v>45940</v>
      </c>
    </row>
    <row r="1460" spans="1:26" x14ac:dyDescent="0.15">
      <c r="A1460" s="59" t="s">
        <v>27</v>
      </c>
      <c r="B1460" s="20"/>
      <c r="C1460" s="35">
        <v>4</v>
      </c>
      <c r="D1460" s="21">
        <v>1</v>
      </c>
      <c r="E1460" s="24">
        <v>1</v>
      </c>
      <c r="F1460" s="25">
        <f t="shared" si="1305"/>
        <v>6</v>
      </c>
      <c r="G1460" s="20"/>
      <c r="H1460" s="35">
        <f>1+2</f>
        <v>3</v>
      </c>
      <c r="I1460" s="21">
        <v>1</v>
      </c>
      <c r="J1460" s="24">
        <v>1</v>
      </c>
      <c r="K1460" s="25">
        <f t="shared" si="1306"/>
        <v>5</v>
      </c>
      <c r="L1460" s="11">
        <f t="shared" si="1294"/>
        <v>11</v>
      </c>
      <c r="M1460" s="69">
        <v>45924</v>
      </c>
      <c r="N1460" s="40" t="s">
        <v>822</v>
      </c>
      <c r="O1460" s="20">
        <v>6</v>
      </c>
      <c r="P1460" s="35">
        <v>10</v>
      </c>
      <c r="Q1460" s="21">
        <v>10</v>
      </c>
      <c r="R1460" s="38">
        <v>8</v>
      </c>
      <c r="S1460" s="9">
        <f t="shared" si="1307"/>
        <v>34</v>
      </c>
      <c r="T1460" s="20">
        <v>10</v>
      </c>
      <c r="U1460" s="35">
        <v>18</v>
      </c>
      <c r="V1460" s="21">
        <v>6</v>
      </c>
      <c r="W1460" s="38">
        <v>8</v>
      </c>
      <c r="X1460" s="9">
        <f t="shared" si="1308"/>
        <v>42</v>
      </c>
      <c r="Y1460" s="11">
        <f t="shared" si="1309"/>
        <v>76</v>
      </c>
      <c r="Z1460" s="69">
        <v>45944</v>
      </c>
    </row>
    <row r="1461" spans="1:26" x14ac:dyDescent="0.15">
      <c r="A1461" s="59" t="s">
        <v>27</v>
      </c>
      <c r="B1461" s="20"/>
      <c r="C1461" s="35">
        <v>2</v>
      </c>
      <c r="D1461" s="21"/>
      <c r="E1461" s="24"/>
      <c r="F1461" s="25">
        <f t="shared" si="1305"/>
        <v>2</v>
      </c>
      <c r="G1461" s="20"/>
      <c r="H1461" s="35"/>
      <c r="I1461" s="21">
        <v>2</v>
      </c>
      <c r="J1461" s="24"/>
      <c r="K1461" s="25">
        <f t="shared" si="1306"/>
        <v>2</v>
      </c>
      <c r="L1461" s="11">
        <f t="shared" si="1294"/>
        <v>4</v>
      </c>
      <c r="M1461" s="69">
        <v>45925</v>
      </c>
      <c r="N1461" s="12" t="s">
        <v>458</v>
      </c>
      <c r="O1461" s="20"/>
      <c r="P1461" s="35">
        <v>5</v>
      </c>
      <c r="Q1461" s="21"/>
      <c r="R1461" s="38"/>
      <c r="S1461" s="9">
        <f t="shared" si="1307"/>
        <v>5</v>
      </c>
      <c r="T1461" s="20"/>
      <c r="U1461" s="35"/>
      <c r="V1461" s="21"/>
      <c r="W1461" s="38"/>
      <c r="X1461" s="9">
        <f t="shared" si="1308"/>
        <v>0</v>
      </c>
      <c r="Y1461" s="11">
        <f t="shared" si="1309"/>
        <v>5</v>
      </c>
      <c r="Z1461" s="69">
        <v>45950</v>
      </c>
    </row>
    <row r="1462" spans="1:26" x14ac:dyDescent="0.15">
      <c r="A1462" s="59" t="s">
        <v>802</v>
      </c>
      <c r="B1462" s="20">
        <v>1</v>
      </c>
      <c r="C1462" s="35"/>
      <c r="D1462" s="21"/>
      <c r="E1462" s="24"/>
      <c r="F1462" s="25">
        <f t="shared" si="1305"/>
        <v>1</v>
      </c>
      <c r="G1462" s="20">
        <v>1</v>
      </c>
      <c r="H1462" s="35"/>
      <c r="I1462" s="21"/>
      <c r="J1462" s="24"/>
      <c r="K1462" s="25">
        <f t="shared" si="1306"/>
        <v>1</v>
      </c>
      <c r="L1462" s="11">
        <f t="shared" si="1294"/>
        <v>2</v>
      </c>
      <c r="M1462" s="69">
        <v>45929</v>
      </c>
      <c r="N1462" s="40" t="s">
        <v>824</v>
      </c>
      <c r="O1462" s="20"/>
      <c r="P1462" s="35">
        <v>5</v>
      </c>
      <c r="Q1462" s="21"/>
      <c r="R1462" s="38"/>
      <c r="S1462" s="9">
        <f t="shared" si="1307"/>
        <v>5</v>
      </c>
      <c r="T1462" s="20"/>
      <c r="U1462" s="35">
        <v>5</v>
      </c>
      <c r="V1462" s="21"/>
      <c r="W1462" s="38"/>
      <c r="X1462" s="9">
        <f t="shared" si="1308"/>
        <v>5</v>
      </c>
      <c r="Y1462" s="11">
        <f t="shared" si="1309"/>
        <v>10</v>
      </c>
      <c r="Z1462" s="69">
        <v>45950</v>
      </c>
    </row>
    <row r="1463" spans="1:26" x14ac:dyDescent="0.15">
      <c r="A1463" s="59" t="s">
        <v>27</v>
      </c>
      <c r="B1463" s="20"/>
      <c r="C1463" s="35">
        <v>3</v>
      </c>
      <c r="D1463" s="21"/>
      <c r="E1463" s="24"/>
      <c r="F1463" s="25">
        <f t="shared" si="1305"/>
        <v>3</v>
      </c>
      <c r="G1463" s="20"/>
      <c r="H1463" s="35">
        <v>3</v>
      </c>
      <c r="I1463" s="21"/>
      <c r="J1463" s="24"/>
      <c r="K1463" s="25">
        <f t="shared" si="1306"/>
        <v>3</v>
      </c>
      <c r="L1463" s="11">
        <f t="shared" si="1294"/>
        <v>6</v>
      </c>
      <c r="M1463" s="69">
        <v>45924</v>
      </c>
      <c r="N1463" s="40" t="s">
        <v>827</v>
      </c>
      <c r="O1463" s="20"/>
      <c r="P1463" s="35">
        <v>5</v>
      </c>
      <c r="Q1463" s="21">
        <v>5</v>
      </c>
      <c r="R1463" s="38">
        <v>10</v>
      </c>
      <c r="S1463" s="9">
        <f t="shared" si="1307"/>
        <v>20</v>
      </c>
      <c r="T1463" s="20">
        <v>10</v>
      </c>
      <c r="U1463" s="35"/>
      <c r="V1463" s="21"/>
      <c r="W1463" s="38"/>
      <c r="X1463" s="9">
        <f t="shared" si="1308"/>
        <v>10</v>
      </c>
      <c r="Y1463" s="11">
        <f t="shared" si="1309"/>
        <v>30</v>
      </c>
      <c r="Z1463" s="69">
        <v>45946</v>
      </c>
    </row>
    <row r="1464" spans="1:26" x14ac:dyDescent="0.15">
      <c r="A1464" s="59" t="s">
        <v>802</v>
      </c>
      <c r="B1464" s="20">
        <v>1</v>
      </c>
      <c r="C1464" s="35"/>
      <c r="D1464" s="21">
        <v>1</v>
      </c>
      <c r="E1464" s="24">
        <v>1</v>
      </c>
      <c r="F1464" s="25">
        <f t="shared" si="1305"/>
        <v>3</v>
      </c>
      <c r="G1464" s="20">
        <v>1</v>
      </c>
      <c r="H1464" s="35"/>
      <c r="I1464" s="21">
        <v>1</v>
      </c>
      <c r="J1464" s="24">
        <v>1</v>
      </c>
      <c r="K1464" s="25">
        <f t="shared" si="1306"/>
        <v>3</v>
      </c>
      <c r="L1464" s="11">
        <f t="shared" si="1294"/>
        <v>6</v>
      </c>
      <c r="M1464" s="69">
        <v>45931</v>
      </c>
      <c r="N1464" s="40" t="s">
        <v>828</v>
      </c>
      <c r="O1464" s="20">
        <v>5</v>
      </c>
      <c r="P1464" s="35"/>
      <c r="Q1464" s="21"/>
      <c r="R1464" s="38"/>
      <c r="S1464" s="9">
        <f t="shared" si="1307"/>
        <v>5</v>
      </c>
      <c r="T1464" s="20">
        <v>5</v>
      </c>
      <c r="U1464" s="35"/>
      <c r="V1464" s="21"/>
      <c r="W1464" s="38"/>
      <c r="X1464" s="9">
        <f t="shared" si="1308"/>
        <v>5</v>
      </c>
      <c r="Y1464" s="11">
        <f t="shared" si="1309"/>
        <v>10</v>
      </c>
      <c r="Z1464" s="69">
        <v>45950</v>
      </c>
    </row>
    <row r="1465" spans="1:26" x14ac:dyDescent="0.15">
      <c r="A1465" s="59" t="s">
        <v>421</v>
      </c>
      <c r="B1465" s="20"/>
      <c r="C1465" s="35"/>
      <c r="D1465" s="21"/>
      <c r="E1465" s="24">
        <v>1</v>
      </c>
      <c r="F1465" s="25">
        <f t="shared" si="1305"/>
        <v>1</v>
      </c>
      <c r="G1465" s="20"/>
      <c r="H1465" s="35"/>
      <c r="I1465" s="21"/>
      <c r="J1465" s="24"/>
      <c r="K1465" s="25">
        <f t="shared" si="1306"/>
        <v>0</v>
      </c>
      <c r="L1465" s="11">
        <f t="shared" si="1294"/>
        <v>1</v>
      </c>
      <c r="M1465" s="69">
        <v>45930</v>
      </c>
      <c r="N1465" s="40" t="s">
        <v>829</v>
      </c>
      <c r="O1465" s="20"/>
      <c r="P1465" s="35">
        <v>3</v>
      </c>
      <c r="Q1465" s="21">
        <v>3</v>
      </c>
      <c r="R1465" s="38">
        <v>3</v>
      </c>
      <c r="S1465" s="9">
        <f t="shared" si="1307"/>
        <v>9</v>
      </c>
      <c r="T1465" s="20">
        <v>2</v>
      </c>
      <c r="U1465" s="35">
        <v>2</v>
      </c>
      <c r="V1465" s="21">
        <v>12</v>
      </c>
      <c r="W1465" s="38"/>
      <c r="X1465" s="9">
        <f t="shared" si="1308"/>
        <v>16</v>
      </c>
      <c r="Y1465" s="11">
        <f t="shared" si="1309"/>
        <v>25</v>
      </c>
      <c r="Z1465" s="69">
        <v>45947</v>
      </c>
    </row>
    <row r="1466" spans="1:26" x14ac:dyDescent="0.15">
      <c r="A1466" s="59" t="s">
        <v>27</v>
      </c>
      <c r="B1466" s="20"/>
      <c r="C1466" s="35"/>
      <c r="D1466" s="21">
        <f>1+2</f>
        <v>3</v>
      </c>
      <c r="E1466" s="24"/>
      <c r="F1466" s="25">
        <f t="shared" si="1305"/>
        <v>3</v>
      </c>
      <c r="G1466" s="20"/>
      <c r="H1466" s="35"/>
      <c r="I1466" s="21">
        <f>1+2</f>
        <v>3</v>
      </c>
      <c r="J1466" s="24"/>
      <c r="K1466" s="25">
        <f t="shared" si="1306"/>
        <v>3</v>
      </c>
      <c r="L1466" s="11">
        <f t="shared" si="1294"/>
        <v>6</v>
      </c>
      <c r="M1466" s="69">
        <v>45929</v>
      </c>
      <c r="N1466" s="40" t="s">
        <v>830</v>
      </c>
      <c r="O1466" s="20">
        <v>2</v>
      </c>
      <c r="P1466" s="35">
        <v>3</v>
      </c>
      <c r="Q1466" s="21"/>
      <c r="R1466" s="38"/>
      <c r="S1466" s="9">
        <f t="shared" si="1307"/>
        <v>5</v>
      </c>
      <c r="T1466" s="20"/>
      <c r="U1466" s="35"/>
      <c r="V1466" s="21">
        <v>3</v>
      </c>
      <c r="W1466" s="38">
        <v>4</v>
      </c>
      <c r="X1466" s="9">
        <f t="shared" si="1308"/>
        <v>7</v>
      </c>
      <c r="Y1466" s="11">
        <f t="shared" si="1309"/>
        <v>12</v>
      </c>
      <c r="Z1466" s="69">
        <v>45948</v>
      </c>
    </row>
    <row r="1467" spans="1:26" x14ac:dyDescent="0.15">
      <c r="A1467" s="59" t="s">
        <v>802</v>
      </c>
      <c r="B1467" s="20">
        <v>4</v>
      </c>
      <c r="C1467" s="35">
        <v>1</v>
      </c>
      <c r="D1467" s="21"/>
      <c r="E1467" s="24"/>
      <c r="F1467" s="25">
        <f t="shared" si="1305"/>
        <v>5</v>
      </c>
      <c r="G1467" s="20">
        <v>4</v>
      </c>
      <c r="H1467" s="35">
        <v>1</v>
      </c>
      <c r="I1467" s="21"/>
      <c r="J1467" s="24"/>
      <c r="K1467" s="25">
        <f t="shared" si="1306"/>
        <v>5</v>
      </c>
      <c r="L1467" s="11">
        <f t="shared" si="1294"/>
        <v>10</v>
      </c>
      <c r="M1467" s="69">
        <v>45932</v>
      </c>
      <c r="N1467" s="12"/>
      <c r="O1467" s="20"/>
      <c r="P1467" s="35"/>
      <c r="Q1467" s="21"/>
      <c r="R1467" s="38"/>
      <c r="S1467" s="9">
        <f>SUM(O1467:R1467)</f>
        <v>0</v>
      </c>
      <c r="T1467" s="20"/>
      <c r="U1467" s="35"/>
      <c r="V1467" s="21"/>
      <c r="W1467" s="38"/>
      <c r="X1467" s="9">
        <f>SUM(T1467:W1467)</f>
        <v>0</v>
      </c>
      <c r="Y1467" s="11">
        <f t="shared" si="1309"/>
        <v>0</v>
      </c>
    </row>
    <row r="1468" spans="1:26" x14ac:dyDescent="0.15">
      <c r="A1468" s="59" t="s">
        <v>27</v>
      </c>
      <c r="B1468" s="20"/>
      <c r="C1468" s="35">
        <v>1</v>
      </c>
      <c r="D1468" s="21">
        <v>1</v>
      </c>
      <c r="E1468" s="24"/>
      <c r="F1468" s="25">
        <f t="shared" si="1305"/>
        <v>2</v>
      </c>
      <c r="G1468" s="20"/>
      <c r="H1468" s="35">
        <v>1</v>
      </c>
      <c r="I1468" s="21">
        <v>1</v>
      </c>
      <c r="J1468" s="24"/>
      <c r="K1468" s="25">
        <f t="shared" si="1306"/>
        <v>2</v>
      </c>
      <c r="L1468" s="11">
        <f t="shared" si="1294"/>
        <v>4</v>
      </c>
      <c r="M1468" s="69">
        <v>45930</v>
      </c>
      <c r="N1468" s="40"/>
      <c r="O1468" s="20"/>
      <c r="P1468" s="35"/>
      <c r="Q1468" s="21"/>
      <c r="R1468" s="38"/>
      <c r="S1468" s="9">
        <f t="shared" ref="S1468:S1478" si="1310">SUM(O1468:R1468)</f>
        <v>0</v>
      </c>
      <c r="T1468" s="20"/>
      <c r="U1468" s="35"/>
      <c r="V1468" s="21"/>
      <c r="W1468" s="38"/>
      <c r="X1468" s="9">
        <f t="shared" ref="X1468:X1478" si="1311">SUM(T1468:W1468)</f>
        <v>0</v>
      </c>
      <c r="Y1468" s="11">
        <f t="shared" si="1309"/>
        <v>0</v>
      </c>
    </row>
    <row r="1469" spans="1:26" x14ac:dyDescent="0.15">
      <c r="A1469" s="59" t="s">
        <v>802</v>
      </c>
      <c r="B1469" s="20"/>
      <c r="C1469" s="35"/>
      <c r="D1469" s="21">
        <v>2</v>
      </c>
      <c r="E1469" s="24"/>
      <c r="F1469" s="25">
        <f t="shared" si="1305"/>
        <v>2</v>
      </c>
      <c r="G1469" s="20"/>
      <c r="H1469" s="35"/>
      <c r="I1469" s="21">
        <v>2</v>
      </c>
      <c r="J1469" s="24"/>
      <c r="K1469" s="25">
        <f t="shared" si="1306"/>
        <v>2</v>
      </c>
      <c r="L1469" s="11">
        <f t="shared" si="1294"/>
        <v>4</v>
      </c>
      <c r="M1469" s="69">
        <v>45933</v>
      </c>
      <c r="N1469" s="15"/>
      <c r="O1469" s="20"/>
      <c r="P1469" s="35"/>
      <c r="Q1469" s="21"/>
      <c r="R1469" s="38"/>
      <c r="S1469" s="9">
        <f t="shared" si="1310"/>
        <v>0</v>
      </c>
      <c r="T1469" s="20"/>
      <c r="U1469" s="35"/>
      <c r="V1469" s="21"/>
      <c r="W1469" s="38"/>
      <c r="X1469" s="9">
        <f t="shared" si="1311"/>
        <v>0</v>
      </c>
      <c r="Y1469" s="11">
        <f t="shared" si="1309"/>
        <v>0</v>
      </c>
    </row>
    <row r="1470" spans="1:26" x14ac:dyDescent="0.15">
      <c r="A1470" s="59" t="s">
        <v>27</v>
      </c>
      <c r="B1470" s="20"/>
      <c r="C1470" s="35"/>
      <c r="D1470" s="21">
        <v>2</v>
      </c>
      <c r="E1470" s="24"/>
      <c r="F1470" s="25">
        <f t="shared" si="1305"/>
        <v>2</v>
      </c>
      <c r="G1470" s="20">
        <v>2</v>
      </c>
      <c r="H1470" s="35">
        <v>2</v>
      </c>
      <c r="I1470" s="21"/>
      <c r="J1470" s="24"/>
      <c r="K1470" s="25">
        <f t="shared" si="1306"/>
        <v>4</v>
      </c>
      <c r="L1470" s="11">
        <f t="shared" si="1294"/>
        <v>6</v>
      </c>
      <c r="M1470" s="71">
        <v>45931</v>
      </c>
      <c r="N1470" s="15"/>
      <c r="O1470" s="20"/>
      <c r="P1470" s="35"/>
      <c r="Q1470" s="21"/>
      <c r="R1470" s="38"/>
      <c r="S1470" s="9">
        <f t="shared" si="1310"/>
        <v>0</v>
      </c>
      <c r="T1470" s="20"/>
      <c r="U1470" s="35"/>
      <c r="V1470" s="21"/>
      <c r="W1470" s="38"/>
      <c r="X1470" s="9">
        <f t="shared" si="1311"/>
        <v>0</v>
      </c>
      <c r="Y1470" s="11">
        <f t="shared" si="1309"/>
        <v>0</v>
      </c>
    </row>
    <row r="1471" spans="1:26" x14ac:dyDescent="0.15">
      <c r="A1471" s="59" t="s">
        <v>802</v>
      </c>
      <c r="B1471" s="20"/>
      <c r="C1471" s="35">
        <v>1</v>
      </c>
      <c r="D1471" s="21"/>
      <c r="E1471" s="24"/>
      <c r="F1471" s="25">
        <f t="shared" si="1305"/>
        <v>1</v>
      </c>
      <c r="G1471" s="20"/>
      <c r="H1471" s="35">
        <v>1</v>
      </c>
      <c r="I1471" s="21"/>
      <c r="J1471" s="24"/>
      <c r="K1471" s="25">
        <f t="shared" si="1306"/>
        <v>1</v>
      </c>
      <c r="L1471" s="11">
        <f t="shared" si="1294"/>
        <v>2</v>
      </c>
      <c r="M1471" s="69">
        <v>45933</v>
      </c>
      <c r="N1471" s="15"/>
      <c r="O1471" s="20"/>
      <c r="P1471" s="35"/>
      <c r="Q1471" s="21"/>
      <c r="R1471" s="38"/>
      <c r="S1471" s="9">
        <f t="shared" ref="S1471:S1472" si="1312">SUM(O1471:R1471)</f>
        <v>0</v>
      </c>
      <c r="T1471" s="20"/>
      <c r="U1471" s="35"/>
      <c r="V1471" s="21"/>
      <c r="W1471" s="38"/>
      <c r="X1471" s="9">
        <f t="shared" ref="X1471:X1472" si="1313">SUM(T1471:W1471)</f>
        <v>0</v>
      </c>
      <c r="Y1471" s="11">
        <f t="shared" ref="Y1471:Y1472" si="1314">S1471+X1471</f>
        <v>0</v>
      </c>
    </row>
    <row r="1472" spans="1:26" x14ac:dyDescent="0.15">
      <c r="A1472" s="59" t="s">
        <v>27</v>
      </c>
      <c r="B1472" s="20"/>
      <c r="C1472" s="35"/>
      <c r="D1472" s="21"/>
      <c r="E1472" s="24">
        <v>1</v>
      </c>
      <c r="F1472" s="25">
        <f t="shared" si="1305"/>
        <v>1</v>
      </c>
      <c r="G1472" s="20"/>
      <c r="H1472" s="35"/>
      <c r="I1472" s="21"/>
      <c r="J1472" s="24">
        <v>1</v>
      </c>
      <c r="K1472" s="25">
        <f t="shared" si="1306"/>
        <v>1</v>
      </c>
      <c r="L1472" s="11">
        <f t="shared" si="1294"/>
        <v>2</v>
      </c>
      <c r="M1472" s="71">
        <v>45932</v>
      </c>
      <c r="N1472" s="15"/>
      <c r="O1472" s="20"/>
      <c r="P1472" s="35"/>
      <c r="Q1472" s="21"/>
      <c r="R1472" s="38"/>
      <c r="S1472" s="9">
        <f t="shared" si="1312"/>
        <v>0</v>
      </c>
      <c r="T1472" s="20"/>
      <c r="U1472" s="35"/>
      <c r="V1472" s="21"/>
      <c r="W1472" s="38"/>
      <c r="X1472" s="9">
        <f t="shared" si="1313"/>
        <v>0</v>
      </c>
      <c r="Y1472" s="11">
        <f t="shared" si="1314"/>
        <v>0</v>
      </c>
    </row>
    <row r="1473" spans="1:26" x14ac:dyDescent="0.15">
      <c r="A1473" s="59" t="s">
        <v>802</v>
      </c>
      <c r="B1473" s="20">
        <v>1</v>
      </c>
      <c r="C1473" s="35">
        <v>2</v>
      </c>
      <c r="D1473" s="21">
        <v>2</v>
      </c>
      <c r="E1473" s="24"/>
      <c r="F1473" s="25">
        <f t="shared" si="1305"/>
        <v>5</v>
      </c>
      <c r="G1473" s="20">
        <v>1</v>
      </c>
      <c r="H1473" s="35">
        <v>2</v>
      </c>
      <c r="I1473" s="21">
        <v>2</v>
      </c>
      <c r="J1473" s="24"/>
      <c r="K1473" s="25">
        <f t="shared" si="1306"/>
        <v>5</v>
      </c>
      <c r="L1473" s="11">
        <f t="shared" si="1294"/>
        <v>10</v>
      </c>
      <c r="M1473" s="69">
        <v>45936</v>
      </c>
      <c r="N1473" s="137" t="s">
        <v>797</v>
      </c>
      <c r="O1473" s="138"/>
      <c r="P1473" s="139"/>
      <c r="Q1473" s="140"/>
      <c r="R1473" s="141"/>
      <c r="S1473" s="142">
        <f t="shared" si="1310"/>
        <v>0</v>
      </c>
      <c r="T1473" s="138"/>
      <c r="U1473" s="139"/>
      <c r="V1473" s="140"/>
      <c r="W1473" s="141"/>
      <c r="X1473" s="142">
        <f t="shared" si="1311"/>
        <v>0</v>
      </c>
      <c r="Y1473" s="145">
        <f t="shared" si="1309"/>
        <v>0</v>
      </c>
      <c r="Z1473" s="162"/>
    </row>
    <row r="1474" spans="1:26" x14ac:dyDescent="0.15">
      <c r="A1474" s="59" t="s">
        <v>421</v>
      </c>
      <c r="B1474" s="20"/>
      <c r="C1474" s="35"/>
      <c r="D1474" s="21"/>
      <c r="E1474" s="24"/>
      <c r="F1474" s="25">
        <f t="shared" si="1305"/>
        <v>0</v>
      </c>
      <c r="G1474" s="20"/>
      <c r="H1474" s="35"/>
      <c r="I1474" s="21">
        <v>1</v>
      </c>
      <c r="J1474" s="24">
        <v>2</v>
      </c>
      <c r="K1474" s="25">
        <f t="shared" si="1306"/>
        <v>3</v>
      </c>
      <c r="L1474" s="11">
        <f t="shared" si="1294"/>
        <v>3</v>
      </c>
      <c r="M1474" s="69">
        <v>45934</v>
      </c>
      <c r="N1474" s="40" t="s">
        <v>798</v>
      </c>
      <c r="O1474" s="48"/>
      <c r="P1474" s="49"/>
      <c r="Q1474" s="50"/>
      <c r="R1474" s="72"/>
      <c r="S1474" s="74">
        <f t="shared" si="1310"/>
        <v>0</v>
      </c>
      <c r="T1474" s="48"/>
      <c r="U1474" s="49"/>
      <c r="V1474" s="50"/>
      <c r="W1474" s="72"/>
      <c r="X1474" s="74">
        <f t="shared" si="1311"/>
        <v>0</v>
      </c>
      <c r="Y1474" s="11">
        <f t="shared" si="1309"/>
        <v>0</v>
      </c>
      <c r="Z1474" s="69" t="s">
        <v>799</v>
      </c>
    </row>
    <row r="1475" spans="1:26" x14ac:dyDescent="0.15">
      <c r="A1475" s="59" t="s">
        <v>27</v>
      </c>
      <c r="B1475" s="20"/>
      <c r="C1475" s="35"/>
      <c r="D1475" s="21"/>
      <c r="E1475" s="24"/>
      <c r="F1475" s="25">
        <f t="shared" si="1305"/>
        <v>0</v>
      </c>
      <c r="G1475" s="20"/>
      <c r="H1475" s="35">
        <v>2</v>
      </c>
      <c r="I1475" s="21"/>
      <c r="J1475" s="24"/>
      <c r="K1475" s="25">
        <f t="shared" si="1306"/>
        <v>2</v>
      </c>
      <c r="L1475" s="11">
        <f t="shared" si="1294"/>
        <v>2</v>
      </c>
      <c r="M1475" s="71">
        <v>45933</v>
      </c>
      <c r="N1475" s="137" t="s">
        <v>783</v>
      </c>
      <c r="O1475" s="138"/>
      <c r="P1475" s="139"/>
      <c r="Q1475" s="140"/>
      <c r="R1475" s="141"/>
      <c r="S1475" s="142">
        <f t="shared" si="1310"/>
        <v>0</v>
      </c>
      <c r="T1475" s="138"/>
      <c r="U1475" s="139"/>
      <c r="V1475" s="140"/>
      <c r="W1475" s="141"/>
      <c r="X1475" s="142">
        <f t="shared" si="1311"/>
        <v>0</v>
      </c>
      <c r="Y1475" s="145">
        <f t="shared" si="1309"/>
        <v>0</v>
      </c>
      <c r="Z1475" s="162"/>
    </row>
    <row r="1476" spans="1:26" x14ac:dyDescent="0.15">
      <c r="A1476" s="59" t="s">
        <v>27</v>
      </c>
      <c r="B1476" s="20"/>
      <c r="C1476" s="35">
        <v>1</v>
      </c>
      <c r="D1476" s="21"/>
      <c r="E1476" s="24"/>
      <c r="F1476" s="25">
        <f t="shared" si="1305"/>
        <v>1</v>
      </c>
      <c r="G1476" s="20"/>
      <c r="H1476" s="35"/>
      <c r="I1476" s="21"/>
      <c r="J1476" s="24"/>
      <c r="K1476" s="25">
        <f t="shared" si="1306"/>
        <v>0</v>
      </c>
      <c r="L1476" s="11">
        <f t="shared" si="1294"/>
        <v>1</v>
      </c>
      <c r="M1476" s="71">
        <v>45934</v>
      </c>
      <c r="N1476" s="12" t="s">
        <v>784</v>
      </c>
      <c r="O1476" s="48"/>
      <c r="P1476" s="49"/>
      <c r="Q1476" s="50"/>
      <c r="R1476" s="72"/>
      <c r="S1476" s="74">
        <f t="shared" si="1310"/>
        <v>0</v>
      </c>
      <c r="T1476" s="48"/>
      <c r="U1476" s="49"/>
      <c r="V1476" s="50"/>
      <c r="W1476" s="72"/>
      <c r="X1476" s="74">
        <f t="shared" si="1311"/>
        <v>0</v>
      </c>
      <c r="Y1476" s="11">
        <f t="shared" si="1309"/>
        <v>0</v>
      </c>
      <c r="Z1476" s="162" t="s">
        <v>785</v>
      </c>
    </row>
    <row r="1477" spans="1:26" x14ac:dyDescent="0.15">
      <c r="A1477" s="59" t="s">
        <v>27</v>
      </c>
      <c r="B1477" s="20">
        <v>3</v>
      </c>
      <c r="C1477" s="35">
        <v>5</v>
      </c>
      <c r="D1477" s="21">
        <v>1</v>
      </c>
      <c r="E1477" s="24"/>
      <c r="F1477" s="25">
        <f t="shared" si="1305"/>
        <v>9</v>
      </c>
      <c r="G1477" s="20">
        <v>4</v>
      </c>
      <c r="H1477" s="35">
        <v>7</v>
      </c>
      <c r="I1477" s="21">
        <v>5</v>
      </c>
      <c r="J1477" s="24"/>
      <c r="K1477" s="25">
        <f t="shared" si="1306"/>
        <v>16</v>
      </c>
      <c r="L1477" s="11">
        <f t="shared" si="1294"/>
        <v>25</v>
      </c>
      <c r="M1477" s="69">
        <v>45936</v>
      </c>
      <c r="N1477" s="137" t="s">
        <v>764</v>
      </c>
      <c r="O1477" s="138"/>
      <c r="P1477" s="139"/>
      <c r="Q1477" s="140"/>
      <c r="R1477" s="141"/>
      <c r="S1477" s="142">
        <f t="shared" si="1310"/>
        <v>0</v>
      </c>
      <c r="T1477" s="138"/>
      <c r="U1477" s="139"/>
      <c r="V1477" s="140"/>
      <c r="W1477" s="141"/>
      <c r="X1477" s="142">
        <f t="shared" si="1311"/>
        <v>0</v>
      </c>
      <c r="Y1477" s="145">
        <f t="shared" si="1309"/>
        <v>0</v>
      </c>
      <c r="Z1477" s="162"/>
    </row>
    <row r="1478" spans="1:26" ht="14.25" thickBot="1" x14ac:dyDescent="0.2">
      <c r="A1478" s="99" t="s">
        <v>802</v>
      </c>
      <c r="B1478" s="43">
        <v>1</v>
      </c>
      <c r="C1478" s="44"/>
      <c r="D1478" s="45"/>
      <c r="E1478" s="46"/>
      <c r="F1478" s="106">
        <f t="shared" ref="F1478" si="1315">SUM(B1478:E1478)</f>
        <v>1</v>
      </c>
      <c r="G1478" s="43">
        <v>1</v>
      </c>
      <c r="H1478" s="44"/>
      <c r="I1478" s="45"/>
      <c r="J1478" s="46"/>
      <c r="K1478" s="106">
        <f t="shared" ref="K1478" si="1316">SUM(G1478:J1478)</f>
        <v>1</v>
      </c>
      <c r="L1478" s="63">
        <f t="shared" ref="L1478" si="1317">F1478+K1478</f>
        <v>2</v>
      </c>
      <c r="M1478" s="69">
        <v>45939</v>
      </c>
      <c r="N1478" s="99" t="s">
        <v>765</v>
      </c>
      <c r="O1478" s="43"/>
      <c r="P1478" s="44"/>
      <c r="Q1478" s="45"/>
      <c r="R1478" s="100"/>
      <c r="S1478" s="10">
        <f t="shared" si="1310"/>
        <v>0</v>
      </c>
      <c r="T1478" s="43"/>
      <c r="U1478" s="44"/>
      <c r="V1478" s="45"/>
      <c r="W1478" s="100"/>
      <c r="X1478" s="10">
        <f t="shared" si="1311"/>
        <v>0</v>
      </c>
      <c r="Y1478" s="75">
        <f t="shared" si="1309"/>
        <v>0</v>
      </c>
      <c r="Z1478" s="162" t="s">
        <v>766</v>
      </c>
    </row>
    <row r="1479" spans="1:26" ht="14.25" thickBot="1" x14ac:dyDescent="0.2">
      <c r="A1479" s="61" t="s">
        <v>9</v>
      </c>
      <c r="B1479" s="28">
        <f>SUM(B1454:B1478)</f>
        <v>17</v>
      </c>
      <c r="C1479" s="36">
        <f>SUM(C1454:C1478)</f>
        <v>23</v>
      </c>
      <c r="D1479" s="29">
        <f>SUM(D1454:D1478)</f>
        <v>19</v>
      </c>
      <c r="E1479" s="30">
        <f>SUM(E1454:E1478)</f>
        <v>6</v>
      </c>
      <c r="F1479" s="60">
        <f>SUM(B1479:E1479)</f>
        <v>65</v>
      </c>
      <c r="G1479" s="28">
        <f>SUM(G1454:G1478)</f>
        <v>18</v>
      </c>
      <c r="H1479" s="36">
        <f>SUM(H1454:H1478)</f>
        <v>26</v>
      </c>
      <c r="I1479" s="29">
        <f>SUM(I1454:I1478)</f>
        <v>29</v>
      </c>
      <c r="J1479" s="30">
        <f>SUM(J1454:J1478)</f>
        <v>9</v>
      </c>
      <c r="K1479" s="60">
        <f>SUM(G1479:J1479)</f>
        <v>82</v>
      </c>
      <c r="L1479" s="63">
        <f t="shared" si="1294"/>
        <v>147</v>
      </c>
      <c r="N1479" s="61" t="s">
        <v>9</v>
      </c>
      <c r="O1479" s="28">
        <f>SUM(O1454:O1478)</f>
        <v>103</v>
      </c>
      <c r="P1479" s="36">
        <f t="shared" ref="P1479" si="1318">SUM(P1454:P1478)</f>
        <v>76</v>
      </c>
      <c r="Q1479" s="29">
        <f t="shared" ref="Q1479" si="1319">SUM(Q1454:Q1478)</f>
        <v>103</v>
      </c>
      <c r="R1479" s="30">
        <f t="shared" ref="R1479" si="1320">SUM(R1454:R1478)</f>
        <v>61</v>
      </c>
      <c r="S1479" s="60">
        <f>SUM(O1479:R1479)</f>
        <v>343</v>
      </c>
      <c r="T1479" s="28">
        <f>SUM(T1454:T1478)</f>
        <v>107</v>
      </c>
      <c r="U1479" s="36">
        <f t="shared" ref="U1479" si="1321">SUM(U1454:U1478)</f>
        <v>95</v>
      </c>
      <c r="V1479" s="29">
        <f t="shared" ref="V1479" si="1322">SUM(V1454:V1478)</f>
        <v>106</v>
      </c>
      <c r="W1479" s="30">
        <f t="shared" ref="W1479" si="1323">SUM(W1454:W1478)</f>
        <v>52</v>
      </c>
      <c r="X1479" s="60">
        <f>SUM(T1479:W1479)</f>
        <v>360</v>
      </c>
      <c r="Y1479" s="63">
        <f>S1479+X1479</f>
        <v>703</v>
      </c>
    </row>
    <row r="1480" spans="1:26" ht="14.25" thickBot="1" x14ac:dyDescent="0.2">
      <c r="A1480" s="18" t="s">
        <v>10</v>
      </c>
      <c r="B1480" s="31">
        <f t="shared" ref="B1480:K1480" si="1324">B1453-B1479</f>
        <v>17</v>
      </c>
      <c r="C1480" s="37">
        <f t="shared" si="1324"/>
        <v>32</v>
      </c>
      <c r="D1480" s="32">
        <f t="shared" si="1324"/>
        <v>19</v>
      </c>
      <c r="E1480" s="33">
        <f t="shared" si="1324"/>
        <v>27</v>
      </c>
      <c r="F1480" s="42">
        <f t="shared" si="1324"/>
        <v>95</v>
      </c>
      <c r="G1480" s="31">
        <f t="shared" si="1324"/>
        <v>25</v>
      </c>
      <c r="H1480" s="37">
        <f t="shared" si="1324"/>
        <v>7</v>
      </c>
      <c r="I1480" s="32">
        <f t="shared" si="1324"/>
        <v>21</v>
      </c>
      <c r="J1480" s="33">
        <f t="shared" si="1324"/>
        <v>29</v>
      </c>
      <c r="K1480" s="42">
        <f t="shared" si="1324"/>
        <v>82</v>
      </c>
      <c r="L1480" s="17">
        <f t="shared" si="1294"/>
        <v>177</v>
      </c>
      <c r="N1480" s="16" t="s">
        <v>10</v>
      </c>
      <c r="O1480" s="31">
        <f>O1453-O1479</f>
        <v>137</v>
      </c>
      <c r="P1480" s="37">
        <f t="shared" ref="P1480" si="1325">P1453-P1479</f>
        <v>283</v>
      </c>
      <c r="Q1480" s="32">
        <f t="shared" ref="Q1480" si="1326">Q1453-Q1479</f>
        <v>124</v>
      </c>
      <c r="R1480" s="33">
        <f t="shared" ref="R1480" si="1327">R1453-R1479</f>
        <v>125</v>
      </c>
      <c r="S1480" s="42">
        <f>S1453-S1479</f>
        <v>669</v>
      </c>
      <c r="T1480" s="31">
        <f>T1453-T1479</f>
        <v>144</v>
      </c>
      <c r="U1480" s="37">
        <f t="shared" ref="U1480" si="1328">U1453-U1479</f>
        <v>195</v>
      </c>
      <c r="V1480" s="32">
        <f t="shared" ref="V1480" si="1329">V1453-V1479</f>
        <v>75</v>
      </c>
      <c r="W1480" s="33">
        <f t="shared" ref="W1480" si="1330">W1453-W1479</f>
        <v>90</v>
      </c>
      <c r="X1480" s="42">
        <f>X1453-X1479</f>
        <v>504</v>
      </c>
      <c r="Y1480" s="17">
        <f>S1480+X1480</f>
        <v>1173</v>
      </c>
    </row>
    <row r="1483" spans="1:26" ht="19.5" thickBot="1" x14ac:dyDescent="0.25">
      <c r="A1483" s="2" t="s">
        <v>17</v>
      </c>
      <c r="B1483" s="2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N1483" s="2" t="s">
        <v>18</v>
      </c>
      <c r="O1483" s="87"/>
      <c r="P1483" s="87"/>
      <c r="Q1483" s="87"/>
      <c r="R1483" s="87"/>
      <c r="S1483" s="87"/>
      <c r="T1483" s="87"/>
      <c r="U1483" s="87"/>
      <c r="V1483" s="87"/>
      <c r="W1483" s="87"/>
      <c r="X1483" s="87"/>
      <c r="Y1483" s="1"/>
    </row>
    <row r="1484" spans="1:26" ht="14.25" thickBot="1" x14ac:dyDescent="0.2">
      <c r="A1484" s="5" t="s">
        <v>0</v>
      </c>
      <c r="B1484" s="244" t="s">
        <v>19</v>
      </c>
      <c r="C1484" s="245"/>
      <c r="D1484" s="245"/>
      <c r="E1484" s="245"/>
      <c r="F1484" s="246"/>
      <c r="G1484" s="247" t="s">
        <v>20</v>
      </c>
      <c r="H1484" s="248"/>
      <c r="I1484" s="248"/>
      <c r="J1484" s="248"/>
      <c r="K1484" s="249"/>
      <c r="L1484" s="250" t="s">
        <v>1</v>
      </c>
      <c r="N1484" s="5" t="s">
        <v>0</v>
      </c>
      <c r="O1484" s="244" t="s">
        <v>19</v>
      </c>
      <c r="P1484" s="245"/>
      <c r="Q1484" s="245"/>
      <c r="R1484" s="245"/>
      <c r="S1484" s="246"/>
      <c r="T1484" s="247" t="s">
        <v>20</v>
      </c>
      <c r="U1484" s="248"/>
      <c r="V1484" s="248"/>
      <c r="W1484" s="248"/>
      <c r="X1484" s="249"/>
      <c r="Y1484" s="250" t="s">
        <v>1</v>
      </c>
    </row>
    <row r="1485" spans="1:26" ht="14.25" thickBot="1" x14ac:dyDescent="0.2">
      <c r="A1485" s="5" t="s">
        <v>2</v>
      </c>
      <c r="B1485" s="3" t="s">
        <v>11</v>
      </c>
      <c r="C1485" s="34" t="s">
        <v>12</v>
      </c>
      <c r="D1485" s="4" t="s">
        <v>13</v>
      </c>
      <c r="E1485" s="19" t="s">
        <v>14</v>
      </c>
      <c r="F1485" s="23" t="s">
        <v>3</v>
      </c>
      <c r="G1485" s="3" t="s">
        <v>11</v>
      </c>
      <c r="H1485" s="34" t="s">
        <v>12</v>
      </c>
      <c r="I1485" s="4" t="s">
        <v>13</v>
      </c>
      <c r="J1485" s="19" t="s">
        <v>14</v>
      </c>
      <c r="K1485" s="23" t="s">
        <v>3</v>
      </c>
      <c r="L1485" s="251"/>
      <c r="N1485" s="5" t="s">
        <v>2</v>
      </c>
      <c r="O1485" s="53" t="s">
        <v>11</v>
      </c>
      <c r="P1485" s="54" t="s">
        <v>12</v>
      </c>
      <c r="Q1485" s="55" t="s">
        <v>13</v>
      </c>
      <c r="R1485" s="56" t="s">
        <v>14</v>
      </c>
      <c r="S1485" s="23" t="s">
        <v>3</v>
      </c>
      <c r="T1485" s="3" t="s">
        <v>11</v>
      </c>
      <c r="U1485" s="34" t="s">
        <v>12</v>
      </c>
      <c r="V1485" s="4" t="s">
        <v>13</v>
      </c>
      <c r="W1485" s="19" t="s">
        <v>14</v>
      </c>
      <c r="X1485" s="23" t="s">
        <v>3</v>
      </c>
      <c r="Y1485" s="251"/>
    </row>
    <row r="1486" spans="1:26" ht="14.25" thickBot="1" x14ac:dyDescent="0.2">
      <c r="A1486" s="18" t="s">
        <v>15</v>
      </c>
      <c r="B1486" s="31">
        <f>B1480</f>
        <v>17</v>
      </c>
      <c r="C1486" s="32">
        <f>C1480</f>
        <v>32</v>
      </c>
      <c r="D1486" s="32">
        <f>D1480</f>
        <v>19</v>
      </c>
      <c r="E1486" s="33">
        <f>E1480</f>
        <v>27</v>
      </c>
      <c r="F1486" s="86">
        <f>SUM(B1486:E1486)</f>
        <v>95</v>
      </c>
      <c r="G1486" s="31">
        <f>G1480</f>
        <v>25</v>
      </c>
      <c r="H1486" s="32">
        <f>H1480</f>
        <v>7</v>
      </c>
      <c r="I1486" s="32">
        <f>I1480</f>
        <v>21</v>
      </c>
      <c r="J1486" s="33">
        <f>J1480</f>
        <v>29</v>
      </c>
      <c r="K1486" s="80">
        <f>SUM(G1486:J1486)</f>
        <v>82</v>
      </c>
      <c r="L1486" s="17">
        <f>F1486+K1486</f>
        <v>177</v>
      </c>
      <c r="N1486" s="18" t="s">
        <v>15</v>
      </c>
      <c r="O1486" s="31">
        <f>O1480</f>
        <v>137</v>
      </c>
      <c r="P1486" s="32">
        <f t="shared" ref="P1486:Y1486" si="1331">P1480</f>
        <v>283</v>
      </c>
      <c r="Q1486" s="32">
        <f t="shared" si="1331"/>
        <v>124</v>
      </c>
      <c r="R1486" s="33">
        <f t="shared" si="1331"/>
        <v>125</v>
      </c>
      <c r="S1486" s="86">
        <f t="shared" si="1331"/>
        <v>669</v>
      </c>
      <c r="T1486" s="31">
        <f t="shared" si="1331"/>
        <v>144</v>
      </c>
      <c r="U1486" s="32">
        <f t="shared" si="1331"/>
        <v>195</v>
      </c>
      <c r="V1486" s="32">
        <f t="shared" si="1331"/>
        <v>75</v>
      </c>
      <c r="W1486" s="33">
        <f t="shared" si="1331"/>
        <v>90</v>
      </c>
      <c r="X1486" s="80">
        <f t="shared" si="1331"/>
        <v>504</v>
      </c>
      <c r="Y1486" s="17">
        <f t="shared" si="1331"/>
        <v>1173</v>
      </c>
    </row>
    <row r="1487" spans="1:26" x14ac:dyDescent="0.15">
      <c r="A1487" s="13" t="s">
        <v>4</v>
      </c>
      <c r="B1487" s="20">
        <v>10</v>
      </c>
      <c r="C1487" s="35"/>
      <c r="D1487" s="21">
        <v>10</v>
      </c>
      <c r="E1487" s="24"/>
      <c r="F1487" s="25">
        <f t="shared" ref="F1487:F1490" si="1332">SUM(B1487:E1487)</f>
        <v>20</v>
      </c>
      <c r="G1487" s="20"/>
      <c r="H1487" s="35">
        <v>25</v>
      </c>
      <c r="I1487" s="21">
        <v>10</v>
      </c>
      <c r="J1487" s="24"/>
      <c r="K1487" s="25">
        <f t="shared" ref="K1487:K1490" si="1333">SUM(G1487:J1487)</f>
        <v>35</v>
      </c>
      <c r="L1487" s="11">
        <f t="shared" ref="L1487:L1518" si="1334">F1487+K1487</f>
        <v>55</v>
      </c>
      <c r="M1487" s="69">
        <v>45940</v>
      </c>
      <c r="N1487" s="59" t="s">
        <v>16</v>
      </c>
      <c r="O1487" s="48"/>
      <c r="P1487" s="49"/>
      <c r="Q1487" s="50"/>
      <c r="R1487" s="51"/>
      <c r="S1487" s="85">
        <f t="shared" ref="S1487:S1489" si="1335">SUM(O1487:R1487)</f>
        <v>0</v>
      </c>
      <c r="T1487" s="48"/>
      <c r="U1487" s="49"/>
      <c r="V1487" s="50"/>
      <c r="W1487" s="51"/>
      <c r="X1487" s="74">
        <f t="shared" ref="X1487:X1489" si="1336">SUM(T1487:W1487)</f>
        <v>0</v>
      </c>
      <c r="Y1487" s="11">
        <f t="shared" ref="Y1487:Y1490" si="1337">S1487+X1487</f>
        <v>0</v>
      </c>
    </row>
    <row r="1488" spans="1:26" x14ac:dyDescent="0.15">
      <c r="A1488" s="13" t="s">
        <v>5</v>
      </c>
      <c r="B1488" s="20">
        <v>10</v>
      </c>
      <c r="C1488" s="35">
        <v>5</v>
      </c>
      <c r="D1488" s="21">
        <v>5</v>
      </c>
      <c r="E1488" s="24"/>
      <c r="F1488" s="25">
        <f t="shared" si="1332"/>
        <v>20</v>
      </c>
      <c r="G1488" s="20">
        <v>10</v>
      </c>
      <c r="H1488" s="35">
        <v>10</v>
      </c>
      <c r="I1488" s="21">
        <v>5</v>
      </c>
      <c r="J1488" s="24"/>
      <c r="K1488" s="25">
        <f t="shared" si="1333"/>
        <v>25</v>
      </c>
      <c r="L1488" s="11">
        <f t="shared" si="1334"/>
        <v>45</v>
      </c>
      <c r="M1488" s="69">
        <v>45948</v>
      </c>
      <c r="N1488" s="59" t="s">
        <v>808</v>
      </c>
      <c r="O1488" s="48">
        <v>150</v>
      </c>
      <c r="P1488" s="49">
        <v>100</v>
      </c>
      <c r="Q1488" s="50">
        <v>150</v>
      </c>
      <c r="R1488" s="51">
        <v>100</v>
      </c>
      <c r="S1488" s="85">
        <f t="shared" si="1335"/>
        <v>500</v>
      </c>
      <c r="T1488" s="48">
        <v>100</v>
      </c>
      <c r="U1488" s="49">
        <v>150</v>
      </c>
      <c r="V1488" s="50">
        <v>150</v>
      </c>
      <c r="W1488" s="51">
        <v>100</v>
      </c>
      <c r="X1488" s="74">
        <f t="shared" si="1336"/>
        <v>500</v>
      </c>
      <c r="Y1488" s="11">
        <f t="shared" si="1337"/>
        <v>1000</v>
      </c>
      <c r="Z1488" s="69" t="s">
        <v>853</v>
      </c>
    </row>
    <row r="1489" spans="1:26" x14ac:dyDescent="0.15">
      <c r="A1489" s="13" t="s">
        <v>6</v>
      </c>
      <c r="B1489" s="20"/>
      <c r="C1489" s="35">
        <v>15</v>
      </c>
      <c r="D1489" s="21"/>
      <c r="E1489" s="24"/>
      <c r="F1489" s="25">
        <f t="shared" si="1332"/>
        <v>15</v>
      </c>
      <c r="G1489" s="20"/>
      <c r="H1489" s="35">
        <v>10</v>
      </c>
      <c r="I1489" s="21"/>
      <c r="J1489" s="24"/>
      <c r="K1489" s="25">
        <f t="shared" si="1333"/>
        <v>10</v>
      </c>
      <c r="L1489" s="11">
        <f t="shared" si="1334"/>
        <v>25</v>
      </c>
      <c r="M1489" s="69">
        <v>45954</v>
      </c>
      <c r="N1489" s="59" t="s">
        <v>5</v>
      </c>
      <c r="O1489" s="48"/>
      <c r="P1489" s="49"/>
      <c r="Q1489" s="50"/>
      <c r="R1489" s="51"/>
      <c r="S1489" s="85">
        <f t="shared" si="1335"/>
        <v>0</v>
      </c>
      <c r="T1489" s="48"/>
      <c r="U1489" s="49"/>
      <c r="V1489" s="50"/>
      <c r="W1489" s="51"/>
      <c r="X1489" s="74">
        <f t="shared" si="1336"/>
        <v>0</v>
      </c>
      <c r="Y1489" s="11">
        <f t="shared" si="1337"/>
        <v>0</v>
      </c>
      <c r="Z1489" s="162" t="s">
        <v>809</v>
      </c>
    </row>
    <row r="1490" spans="1:26" ht="14.25" thickBot="1" x14ac:dyDescent="0.2">
      <c r="A1490" s="13" t="s">
        <v>7</v>
      </c>
      <c r="B1490" s="48"/>
      <c r="C1490" s="49"/>
      <c r="D1490" s="50"/>
      <c r="E1490" s="51"/>
      <c r="F1490" s="52">
        <f t="shared" si="1332"/>
        <v>0</v>
      </c>
      <c r="G1490" s="48"/>
      <c r="H1490" s="49"/>
      <c r="I1490" s="50"/>
      <c r="J1490" s="51"/>
      <c r="K1490" s="52">
        <f t="shared" si="1333"/>
        <v>0</v>
      </c>
      <c r="L1490" s="11">
        <f t="shared" si="1334"/>
        <v>0</v>
      </c>
      <c r="N1490" s="13" t="s">
        <v>6</v>
      </c>
      <c r="O1490" s="43"/>
      <c r="P1490" s="44"/>
      <c r="Q1490" s="45"/>
      <c r="R1490" s="46"/>
      <c r="S1490" s="58">
        <f>SUM(O1490:R1490)</f>
        <v>0</v>
      </c>
      <c r="T1490" s="35"/>
      <c r="U1490" s="35"/>
      <c r="V1490" s="21"/>
      <c r="W1490" s="38"/>
      <c r="X1490" s="10">
        <f>SUM(T1490:W1490)</f>
        <v>0</v>
      </c>
      <c r="Y1490" s="14">
        <f t="shared" si="1337"/>
        <v>0</v>
      </c>
    </row>
    <row r="1491" spans="1:26" ht="14.25" thickBot="1" x14ac:dyDescent="0.2">
      <c r="A1491" s="18" t="s">
        <v>8</v>
      </c>
      <c r="B1491" s="76">
        <f t="shared" ref="B1491:K1491" si="1338">SUM(B1486:B1490)</f>
        <v>37</v>
      </c>
      <c r="C1491" s="77">
        <f t="shared" si="1338"/>
        <v>52</v>
      </c>
      <c r="D1491" s="78">
        <f t="shared" si="1338"/>
        <v>34</v>
      </c>
      <c r="E1491" s="79">
        <f t="shared" si="1338"/>
        <v>27</v>
      </c>
      <c r="F1491" s="80">
        <f t="shared" si="1338"/>
        <v>150</v>
      </c>
      <c r="G1491" s="76">
        <f t="shared" si="1338"/>
        <v>35</v>
      </c>
      <c r="H1491" s="77">
        <f t="shared" si="1338"/>
        <v>52</v>
      </c>
      <c r="I1491" s="78">
        <f t="shared" si="1338"/>
        <v>36</v>
      </c>
      <c r="J1491" s="79">
        <f t="shared" si="1338"/>
        <v>29</v>
      </c>
      <c r="K1491" s="80">
        <f t="shared" si="1338"/>
        <v>152</v>
      </c>
      <c r="L1491" s="17">
        <f t="shared" si="1334"/>
        <v>302</v>
      </c>
      <c r="N1491" s="16" t="s">
        <v>8</v>
      </c>
      <c r="O1491" s="31">
        <f>SUM(O1486:O1490)</f>
        <v>287</v>
      </c>
      <c r="P1491" s="37">
        <f t="shared" ref="P1491" si="1339">SUM(P1486:P1490)</f>
        <v>383</v>
      </c>
      <c r="Q1491" s="32">
        <f t="shared" ref="Q1491" si="1340">SUM(Q1486:Q1490)</f>
        <v>274</v>
      </c>
      <c r="R1491" s="82">
        <f t="shared" ref="R1491" si="1341">SUM(R1486:R1490)</f>
        <v>225</v>
      </c>
      <c r="S1491" s="83">
        <f>SUM(S1486:S1490)</f>
        <v>1169</v>
      </c>
      <c r="T1491" s="31">
        <f>SUM(T1486:T1490)</f>
        <v>244</v>
      </c>
      <c r="U1491" s="37">
        <f t="shared" ref="U1491" si="1342">SUM(U1486:U1490)</f>
        <v>345</v>
      </c>
      <c r="V1491" s="32">
        <f t="shared" ref="V1491" si="1343">SUM(V1486:V1490)</f>
        <v>225</v>
      </c>
      <c r="W1491" s="82">
        <f t="shared" ref="W1491" si="1344">SUM(W1486:W1490)</f>
        <v>190</v>
      </c>
      <c r="X1491" s="83">
        <f>SUM(X1486:X1490)</f>
        <v>1004</v>
      </c>
      <c r="Y1491" s="39">
        <f>S1491+X1491</f>
        <v>2173</v>
      </c>
    </row>
    <row r="1492" spans="1:26" x14ac:dyDescent="0.15">
      <c r="A1492" s="59" t="s">
        <v>27</v>
      </c>
      <c r="B1492" s="20"/>
      <c r="C1492" s="35">
        <v>1</v>
      </c>
      <c r="D1492" s="21"/>
      <c r="E1492" s="24"/>
      <c r="F1492" s="25">
        <f t="shared" ref="F1492:F1515" si="1345">SUM(B1492:E1492)</f>
        <v>1</v>
      </c>
      <c r="G1492" s="20"/>
      <c r="H1492" s="35"/>
      <c r="I1492" s="21"/>
      <c r="J1492" s="24"/>
      <c r="K1492" s="25">
        <f t="shared" ref="K1492:K1515" si="1346">SUM(G1492:J1492)</f>
        <v>0</v>
      </c>
      <c r="L1492" s="11">
        <f t="shared" si="1334"/>
        <v>1</v>
      </c>
      <c r="M1492" s="71">
        <v>45937</v>
      </c>
      <c r="N1492" s="40" t="s">
        <v>834</v>
      </c>
      <c r="O1492" s="20">
        <v>10</v>
      </c>
      <c r="P1492" s="35">
        <v>5</v>
      </c>
      <c r="Q1492" s="21">
        <v>5</v>
      </c>
      <c r="R1492" s="38"/>
      <c r="S1492" s="9">
        <f t="shared" ref="S1492:S1504" si="1347">SUM(O1492:R1492)</f>
        <v>20</v>
      </c>
      <c r="T1492" s="20">
        <v>10</v>
      </c>
      <c r="U1492" s="35">
        <v>10</v>
      </c>
      <c r="V1492" s="21">
        <v>5</v>
      </c>
      <c r="W1492" s="38"/>
      <c r="X1492" s="9">
        <f t="shared" ref="X1492:X1504" si="1348">SUM(T1492:W1492)</f>
        <v>25</v>
      </c>
      <c r="Y1492" s="11">
        <f t="shared" ref="Y1492:Y1516" si="1349">S1492+X1492</f>
        <v>45</v>
      </c>
      <c r="Z1492" s="69">
        <v>45948</v>
      </c>
    </row>
    <row r="1493" spans="1:26" x14ac:dyDescent="0.15">
      <c r="A1493" s="59" t="s">
        <v>802</v>
      </c>
      <c r="B1493" s="20"/>
      <c r="C1493" s="35"/>
      <c r="D1493" s="21">
        <v>2</v>
      </c>
      <c r="E1493" s="24"/>
      <c r="F1493" s="25">
        <f t="shared" si="1345"/>
        <v>2</v>
      </c>
      <c r="G1493" s="20"/>
      <c r="H1493" s="35"/>
      <c r="I1493" s="21">
        <v>2</v>
      </c>
      <c r="J1493" s="24"/>
      <c r="K1493" s="25">
        <f t="shared" si="1346"/>
        <v>2</v>
      </c>
      <c r="L1493" s="11">
        <f t="shared" si="1334"/>
        <v>4</v>
      </c>
      <c r="M1493" s="69">
        <v>45940</v>
      </c>
      <c r="N1493" s="12" t="s">
        <v>837</v>
      </c>
      <c r="O1493" s="20"/>
      <c r="P1493" s="35">
        <v>10</v>
      </c>
      <c r="Q1493" s="21"/>
      <c r="R1493" s="38"/>
      <c r="S1493" s="9">
        <f t="shared" si="1347"/>
        <v>10</v>
      </c>
      <c r="T1493" s="20">
        <v>15</v>
      </c>
      <c r="U1493" s="35"/>
      <c r="V1493" s="21">
        <v>10</v>
      </c>
      <c r="W1493" s="38"/>
      <c r="X1493" s="9">
        <f t="shared" si="1348"/>
        <v>25</v>
      </c>
      <c r="Y1493" s="11">
        <f t="shared" si="1349"/>
        <v>35</v>
      </c>
      <c r="Z1493" s="69">
        <v>45952</v>
      </c>
    </row>
    <row r="1494" spans="1:26" x14ac:dyDescent="0.15">
      <c r="A1494" s="59" t="s">
        <v>27</v>
      </c>
      <c r="B1494" s="20"/>
      <c r="C1494" s="35">
        <v>2</v>
      </c>
      <c r="D1494" s="21"/>
      <c r="E1494" s="24"/>
      <c r="F1494" s="25">
        <f t="shared" si="1345"/>
        <v>2</v>
      </c>
      <c r="G1494" s="20"/>
      <c r="H1494" s="35">
        <v>3</v>
      </c>
      <c r="I1494" s="21"/>
      <c r="J1494" s="24"/>
      <c r="K1494" s="25">
        <f t="shared" si="1346"/>
        <v>3</v>
      </c>
      <c r="L1494" s="11">
        <f t="shared" si="1334"/>
        <v>5</v>
      </c>
      <c r="M1494" s="71">
        <v>45938</v>
      </c>
      <c r="N1494" s="12" t="s">
        <v>842</v>
      </c>
      <c r="O1494" s="20"/>
      <c r="P1494" s="35"/>
      <c r="Q1494" s="21">
        <v>5</v>
      </c>
      <c r="R1494" s="38"/>
      <c r="S1494" s="9">
        <f t="shared" si="1347"/>
        <v>5</v>
      </c>
      <c r="T1494" s="20">
        <v>25</v>
      </c>
      <c r="U1494" s="35">
        <v>90</v>
      </c>
      <c r="V1494" s="21"/>
      <c r="W1494" s="38">
        <v>40</v>
      </c>
      <c r="X1494" s="9">
        <f t="shared" si="1348"/>
        <v>155</v>
      </c>
      <c r="Y1494" s="11">
        <f t="shared" si="1349"/>
        <v>160</v>
      </c>
      <c r="Z1494" s="69">
        <v>45953</v>
      </c>
    </row>
    <row r="1495" spans="1:26" x14ac:dyDescent="0.15">
      <c r="A1495" s="59" t="s">
        <v>802</v>
      </c>
      <c r="B1495" s="20"/>
      <c r="C1495" s="35">
        <v>1</v>
      </c>
      <c r="D1495" s="21"/>
      <c r="E1495" s="24"/>
      <c r="F1495" s="25">
        <f t="shared" si="1345"/>
        <v>1</v>
      </c>
      <c r="G1495" s="20"/>
      <c r="H1495" s="35">
        <v>1</v>
      </c>
      <c r="I1495" s="21"/>
      <c r="J1495" s="24"/>
      <c r="K1495" s="25">
        <f t="shared" si="1346"/>
        <v>1</v>
      </c>
      <c r="L1495" s="11">
        <f t="shared" si="1334"/>
        <v>2</v>
      </c>
      <c r="M1495" s="69">
        <v>45940</v>
      </c>
      <c r="N1495" s="40" t="s">
        <v>844</v>
      </c>
      <c r="O1495" s="20"/>
      <c r="P1495" s="35">
        <v>15</v>
      </c>
      <c r="Q1495" s="21"/>
      <c r="R1495" s="38"/>
      <c r="S1495" s="9">
        <f t="shared" si="1347"/>
        <v>15</v>
      </c>
      <c r="T1495" s="20"/>
      <c r="U1495" s="35">
        <v>10</v>
      </c>
      <c r="V1495" s="21"/>
      <c r="W1495" s="38"/>
      <c r="X1495" s="9">
        <f t="shared" si="1348"/>
        <v>10</v>
      </c>
      <c r="Y1495" s="11">
        <f t="shared" si="1349"/>
        <v>25</v>
      </c>
      <c r="Z1495" s="69">
        <v>45954</v>
      </c>
    </row>
    <row r="1496" spans="1:26" x14ac:dyDescent="0.15">
      <c r="A1496" s="59" t="s">
        <v>802</v>
      </c>
      <c r="B1496" s="20">
        <v>1</v>
      </c>
      <c r="C1496" s="35">
        <v>1</v>
      </c>
      <c r="D1496" s="21"/>
      <c r="E1496" s="24"/>
      <c r="F1496" s="25">
        <f t="shared" si="1345"/>
        <v>2</v>
      </c>
      <c r="G1496" s="20">
        <v>1</v>
      </c>
      <c r="H1496" s="35">
        <v>1</v>
      </c>
      <c r="I1496" s="21"/>
      <c r="J1496" s="24"/>
      <c r="K1496" s="25">
        <f t="shared" si="1346"/>
        <v>2</v>
      </c>
      <c r="L1496" s="11">
        <f t="shared" si="1334"/>
        <v>4</v>
      </c>
      <c r="M1496" s="69">
        <v>45944</v>
      </c>
      <c r="N1496" s="12" t="s">
        <v>847</v>
      </c>
      <c r="O1496" s="20"/>
      <c r="P1496" s="35">
        <v>30</v>
      </c>
      <c r="Q1496" s="21">
        <v>15</v>
      </c>
      <c r="R1496" s="38"/>
      <c r="S1496" s="9">
        <f t="shared" si="1347"/>
        <v>45</v>
      </c>
      <c r="T1496" s="20"/>
      <c r="U1496" s="35"/>
      <c r="V1496" s="21">
        <v>10</v>
      </c>
      <c r="W1496" s="38"/>
      <c r="X1496" s="9">
        <f t="shared" si="1348"/>
        <v>10</v>
      </c>
      <c r="Y1496" s="11">
        <f t="shared" si="1349"/>
        <v>55</v>
      </c>
      <c r="Z1496" s="69">
        <v>45955</v>
      </c>
    </row>
    <row r="1497" spans="1:26" x14ac:dyDescent="0.15">
      <c r="A1497" s="59" t="s">
        <v>27</v>
      </c>
      <c r="B1497" s="20"/>
      <c r="C1497" s="35"/>
      <c r="D1497" s="21">
        <v>1</v>
      </c>
      <c r="E1497" s="24"/>
      <c r="F1497" s="25">
        <f t="shared" si="1345"/>
        <v>1</v>
      </c>
      <c r="G1497" s="20"/>
      <c r="H1497" s="35"/>
      <c r="I1497" s="21">
        <v>1</v>
      </c>
      <c r="J1497" s="24"/>
      <c r="K1497" s="25">
        <f t="shared" si="1346"/>
        <v>1</v>
      </c>
      <c r="L1497" s="11">
        <f t="shared" si="1334"/>
        <v>2</v>
      </c>
      <c r="M1497" s="71">
        <v>45939</v>
      </c>
      <c r="N1497" s="216" t="s">
        <v>26</v>
      </c>
      <c r="O1497" s="209">
        <v>10</v>
      </c>
      <c r="P1497" s="210"/>
      <c r="Q1497" s="211"/>
      <c r="R1497" s="217"/>
      <c r="S1497" s="218">
        <f t="shared" si="1347"/>
        <v>10</v>
      </c>
      <c r="T1497" s="209">
        <v>5</v>
      </c>
      <c r="U1497" s="210">
        <v>5</v>
      </c>
      <c r="V1497" s="211"/>
      <c r="W1497" s="217"/>
      <c r="X1497" s="218">
        <f t="shared" si="1348"/>
        <v>10</v>
      </c>
      <c r="Y1497" s="214">
        <f t="shared" si="1349"/>
        <v>20</v>
      </c>
      <c r="Z1497" s="215">
        <v>45959</v>
      </c>
    </row>
    <row r="1498" spans="1:26" x14ac:dyDescent="0.15">
      <c r="A1498" s="59" t="s">
        <v>802</v>
      </c>
      <c r="B1498" s="20">
        <v>1</v>
      </c>
      <c r="C1498" s="35">
        <v>1</v>
      </c>
      <c r="D1498" s="21"/>
      <c r="E1498" s="24"/>
      <c r="F1498" s="25">
        <f t="shared" si="1345"/>
        <v>2</v>
      </c>
      <c r="G1498" s="20">
        <v>1</v>
      </c>
      <c r="H1498" s="35">
        <v>1</v>
      </c>
      <c r="I1498" s="21"/>
      <c r="J1498" s="24"/>
      <c r="K1498" s="25">
        <f t="shared" si="1346"/>
        <v>2</v>
      </c>
      <c r="L1498" s="11">
        <f t="shared" si="1334"/>
        <v>4</v>
      </c>
      <c r="M1498" s="69">
        <v>45946</v>
      </c>
      <c r="N1498" s="40"/>
      <c r="O1498" s="20"/>
      <c r="P1498" s="35"/>
      <c r="Q1498" s="21"/>
      <c r="R1498" s="38"/>
      <c r="S1498" s="9">
        <f t="shared" si="1347"/>
        <v>0</v>
      </c>
      <c r="T1498" s="20"/>
      <c r="U1498" s="35"/>
      <c r="V1498" s="21"/>
      <c r="W1498" s="38"/>
      <c r="X1498" s="9">
        <f t="shared" si="1348"/>
        <v>0</v>
      </c>
      <c r="Y1498" s="11">
        <f t="shared" si="1349"/>
        <v>0</v>
      </c>
    </row>
    <row r="1499" spans="1:26" x14ac:dyDescent="0.15">
      <c r="A1499" s="59" t="s">
        <v>823</v>
      </c>
      <c r="B1499" s="20"/>
      <c r="C1499" s="35">
        <v>1</v>
      </c>
      <c r="D1499" s="21">
        <v>1</v>
      </c>
      <c r="E1499" s="24"/>
      <c r="F1499" s="25">
        <f t="shared" si="1345"/>
        <v>2</v>
      </c>
      <c r="G1499" s="20"/>
      <c r="H1499" s="35">
        <v>1</v>
      </c>
      <c r="I1499" s="21">
        <v>1</v>
      </c>
      <c r="J1499" s="24"/>
      <c r="K1499" s="25">
        <f t="shared" si="1346"/>
        <v>2</v>
      </c>
      <c r="L1499" s="11">
        <f t="shared" si="1334"/>
        <v>4</v>
      </c>
      <c r="M1499" s="69">
        <v>45945</v>
      </c>
      <c r="N1499" s="40"/>
      <c r="O1499" s="20"/>
      <c r="P1499" s="35"/>
      <c r="Q1499" s="21"/>
      <c r="R1499" s="38"/>
      <c r="S1499" s="9">
        <f t="shared" si="1347"/>
        <v>0</v>
      </c>
      <c r="T1499" s="20"/>
      <c r="U1499" s="35"/>
      <c r="V1499" s="21"/>
      <c r="W1499" s="38"/>
      <c r="X1499" s="9">
        <f t="shared" si="1348"/>
        <v>0</v>
      </c>
      <c r="Y1499" s="11">
        <f t="shared" si="1349"/>
        <v>0</v>
      </c>
    </row>
    <row r="1500" spans="1:26" x14ac:dyDescent="0.15">
      <c r="A1500" s="59" t="s">
        <v>27</v>
      </c>
      <c r="B1500" s="20">
        <v>1</v>
      </c>
      <c r="C1500" s="35">
        <v>1</v>
      </c>
      <c r="D1500" s="21">
        <v>1</v>
      </c>
      <c r="E1500" s="24"/>
      <c r="F1500" s="25">
        <f t="shared" si="1345"/>
        <v>3</v>
      </c>
      <c r="G1500" s="20">
        <v>1</v>
      </c>
      <c r="H1500" s="35">
        <v>1</v>
      </c>
      <c r="I1500" s="21">
        <f>2+1</f>
        <v>3</v>
      </c>
      <c r="J1500" s="24"/>
      <c r="K1500" s="25">
        <f t="shared" si="1346"/>
        <v>5</v>
      </c>
      <c r="L1500" s="11">
        <f t="shared" si="1334"/>
        <v>8</v>
      </c>
      <c r="M1500" s="71">
        <v>45944</v>
      </c>
      <c r="N1500" s="40"/>
      <c r="O1500" s="20"/>
      <c r="P1500" s="35"/>
      <c r="Q1500" s="21"/>
      <c r="R1500" s="38"/>
      <c r="S1500" s="9">
        <f t="shared" si="1347"/>
        <v>0</v>
      </c>
      <c r="T1500" s="20"/>
      <c r="U1500" s="35"/>
      <c r="V1500" s="21"/>
      <c r="W1500" s="38"/>
      <c r="X1500" s="9">
        <f t="shared" si="1348"/>
        <v>0</v>
      </c>
      <c r="Y1500" s="11">
        <f t="shared" si="1349"/>
        <v>0</v>
      </c>
    </row>
    <row r="1501" spans="1:26" x14ac:dyDescent="0.15">
      <c r="A1501" s="59" t="s">
        <v>27</v>
      </c>
      <c r="B1501" s="20">
        <v>1</v>
      </c>
      <c r="C1501" s="35"/>
      <c r="D1501" s="21"/>
      <c r="E1501" s="24"/>
      <c r="F1501" s="25">
        <f t="shared" si="1345"/>
        <v>1</v>
      </c>
      <c r="G1501" s="20"/>
      <c r="H1501" s="35">
        <v>1</v>
      </c>
      <c r="I1501" s="21">
        <v>1</v>
      </c>
      <c r="J1501" s="24"/>
      <c r="K1501" s="25">
        <f t="shared" si="1346"/>
        <v>2</v>
      </c>
      <c r="L1501" s="11">
        <f t="shared" si="1334"/>
        <v>3</v>
      </c>
      <c r="M1501" s="69">
        <v>45945</v>
      </c>
      <c r="N1501" s="40"/>
      <c r="O1501" s="20"/>
      <c r="P1501" s="35"/>
      <c r="Q1501" s="21"/>
      <c r="R1501" s="38"/>
      <c r="S1501" s="9">
        <f t="shared" si="1347"/>
        <v>0</v>
      </c>
      <c r="T1501" s="20"/>
      <c r="U1501" s="35"/>
      <c r="V1501" s="21"/>
      <c r="W1501" s="38"/>
      <c r="X1501" s="9">
        <f t="shared" si="1348"/>
        <v>0</v>
      </c>
      <c r="Y1501" s="11">
        <f t="shared" si="1349"/>
        <v>0</v>
      </c>
    </row>
    <row r="1502" spans="1:26" x14ac:dyDescent="0.15">
      <c r="A1502" s="59" t="s">
        <v>802</v>
      </c>
      <c r="B1502" s="20">
        <v>1</v>
      </c>
      <c r="C1502" s="35">
        <v>1</v>
      </c>
      <c r="D1502" s="21"/>
      <c r="E1502" s="24"/>
      <c r="F1502" s="25">
        <f t="shared" si="1345"/>
        <v>2</v>
      </c>
      <c r="G1502" s="20">
        <v>1</v>
      </c>
      <c r="H1502" s="35">
        <v>1</v>
      </c>
      <c r="I1502" s="21"/>
      <c r="J1502" s="24"/>
      <c r="K1502" s="25">
        <f t="shared" si="1346"/>
        <v>2</v>
      </c>
      <c r="L1502" s="11">
        <f t="shared" si="1334"/>
        <v>4</v>
      </c>
      <c r="M1502" s="69">
        <v>45947</v>
      </c>
      <c r="N1502" s="40"/>
      <c r="O1502" s="20"/>
      <c r="P1502" s="35"/>
      <c r="Q1502" s="21"/>
      <c r="R1502" s="38"/>
      <c r="S1502" s="9">
        <f t="shared" si="1347"/>
        <v>0</v>
      </c>
      <c r="T1502" s="20"/>
      <c r="U1502" s="35"/>
      <c r="V1502" s="21"/>
      <c r="W1502" s="38"/>
      <c r="X1502" s="9">
        <f t="shared" si="1348"/>
        <v>0</v>
      </c>
      <c r="Y1502" s="11">
        <f t="shared" si="1349"/>
        <v>0</v>
      </c>
    </row>
    <row r="1503" spans="1:26" x14ac:dyDescent="0.15">
      <c r="A1503" s="59" t="s">
        <v>421</v>
      </c>
      <c r="B1503" s="20">
        <v>1</v>
      </c>
      <c r="C1503" s="35"/>
      <c r="D1503" s="21"/>
      <c r="E1503" s="24">
        <v>1</v>
      </c>
      <c r="F1503" s="25">
        <f t="shared" si="1345"/>
        <v>2</v>
      </c>
      <c r="G1503" s="20">
        <v>1</v>
      </c>
      <c r="H1503" s="35"/>
      <c r="I1503" s="21"/>
      <c r="J1503" s="24">
        <v>1</v>
      </c>
      <c r="K1503" s="25">
        <f t="shared" si="1346"/>
        <v>2</v>
      </c>
      <c r="L1503" s="11">
        <f t="shared" si="1334"/>
        <v>4</v>
      </c>
      <c r="M1503" s="69">
        <v>45947</v>
      </c>
      <c r="N1503" s="40"/>
      <c r="O1503" s="20"/>
      <c r="P1503" s="35"/>
      <c r="Q1503" s="21"/>
      <c r="R1503" s="38"/>
      <c r="S1503" s="9">
        <f t="shared" si="1347"/>
        <v>0</v>
      </c>
      <c r="T1503" s="20"/>
      <c r="U1503" s="35"/>
      <c r="V1503" s="21"/>
      <c r="W1503" s="38"/>
      <c r="X1503" s="9">
        <f t="shared" si="1348"/>
        <v>0</v>
      </c>
      <c r="Y1503" s="11">
        <f t="shared" si="1349"/>
        <v>0</v>
      </c>
    </row>
    <row r="1504" spans="1:26" x14ac:dyDescent="0.15">
      <c r="A1504" s="59" t="s">
        <v>27</v>
      </c>
      <c r="B1504" s="20">
        <v>1</v>
      </c>
      <c r="C1504" s="35"/>
      <c r="D1504" s="21"/>
      <c r="E1504" s="24"/>
      <c r="F1504" s="25">
        <f t="shared" si="1345"/>
        <v>1</v>
      </c>
      <c r="G1504" s="20">
        <v>1</v>
      </c>
      <c r="H1504" s="35">
        <v>1</v>
      </c>
      <c r="I1504" s="21"/>
      <c r="J1504" s="24"/>
      <c r="K1504" s="25">
        <f t="shared" si="1346"/>
        <v>2</v>
      </c>
      <c r="L1504" s="11">
        <f t="shared" si="1334"/>
        <v>3</v>
      </c>
      <c r="M1504" s="69">
        <v>45946</v>
      </c>
      <c r="N1504" s="40"/>
      <c r="O1504" s="20"/>
      <c r="P1504" s="35"/>
      <c r="Q1504" s="21"/>
      <c r="R1504" s="38"/>
      <c r="S1504" s="9">
        <f t="shared" si="1347"/>
        <v>0</v>
      </c>
      <c r="T1504" s="20"/>
      <c r="U1504" s="35"/>
      <c r="V1504" s="21"/>
      <c r="W1504" s="38"/>
      <c r="X1504" s="9">
        <f t="shared" si="1348"/>
        <v>0</v>
      </c>
      <c r="Y1504" s="11">
        <f t="shared" si="1349"/>
        <v>0</v>
      </c>
    </row>
    <row r="1505" spans="1:27" x14ac:dyDescent="0.15">
      <c r="A1505" s="59" t="s">
        <v>802</v>
      </c>
      <c r="B1505" s="20">
        <v>1</v>
      </c>
      <c r="C1505" s="35"/>
      <c r="D1505" s="21">
        <v>1</v>
      </c>
      <c r="E1505" s="24"/>
      <c r="F1505" s="25">
        <f t="shared" si="1345"/>
        <v>2</v>
      </c>
      <c r="G1505" s="20">
        <v>1</v>
      </c>
      <c r="H1505" s="35"/>
      <c r="I1505" s="21">
        <v>1</v>
      </c>
      <c r="J1505" s="24"/>
      <c r="K1505" s="25">
        <f t="shared" si="1346"/>
        <v>2</v>
      </c>
      <c r="L1505" s="11">
        <f t="shared" si="1334"/>
        <v>4</v>
      </c>
      <c r="M1505" s="69">
        <v>45950</v>
      </c>
      <c r="N1505" s="12"/>
      <c r="O1505" s="20"/>
      <c r="P1505" s="35"/>
      <c r="Q1505" s="21"/>
      <c r="R1505" s="38"/>
      <c r="S1505" s="9">
        <f>SUM(O1505:R1505)</f>
        <v>0</v>
      </c>
      <c r="T1505" s="20"/>
      <c r="U1505" s="35"/>
      <c r="V1505" s="21"/>
      <c r="W1505" s="38"/>
      <c r="X1505" s="9">
        <f>SUM(T1505:W1505)</f>
        <v>0</v>
      </c>
      <c r="Y1505" s="11">
        <f t="shared" si="1349"/>
        <v>0</v>
      </c>
    </row>
    <row r="1506" spans="1:27" x14ac:dyDescent="0.15">
      <c r="A1506" s="59" t="s">
        <v>27</v>
      </c>
      <c r="B1506" s="20">
        <v>1</v>
      </c>
      <c r="C1506" s="35">
        <f>2+1</f>
        <v>3</v>
      </c>
      <c r="D1506" s="21"/>
      <c r="E1506" s="24">
        <v>1</v>
      </c>
      <c r="F1506" s="25">
        <f t="shared" si="1345"/>
        <v>5</v>
      </c>
      <c r="G1506" s="20">
        <v>1</v>
      </c>
      <c r="H1506" s="35">
        <f>2+1</f>
        <v>3</v>
      </c>
      <c r="I1506" s="21"/>
      <c r="J1506" s="24">
        <v>1</v>
      </c>
      <c r="K1506" s="25">
        <f t="shared" si="1346"/>
        <v>5</v>
      </c>
      <c r="L1506" s="11">
        <f t="shared" si="1334"/>
        <v>10</v>
      </c>
      <c r="M1506" s="69">
        <v>45947</v>
      </c>
      <c r="N1506" s="40"/>
      <c r="O1506" s="20"/>
      <c r="P1506" s="35"/>
      <c r="Q1506" s="21"/>
      <c r="R1506" s="38"/>
      <c r="S1506" s="9">
        <f t="shared" ref="S1506:S1516" si="1350">SUM(O1506:R1506)</f>
        <v>0</v>
      </c>
      <c r="T1506" s="20"/>
      <c r="U1506" s="35"/>
      <c r="V1506" s="21"/>
      <c r="W1506" s="38"/>
      <c r="X1506" s="9">
        <f t="shared" ref="X1506:X1516" si="1351">SUM(T1506:W1506)</f>
        <v>0</v>
      </c>
      <c r="Y1506" s="11">
        <f t="shared" si="1349"/>
        <v>0</v>
      </c>
    </row>
    <row r="1507" spans="1:27" x14ac:dyDescent="0.15">
      <c r="A1507" s="59" t="s">
        <v>27</v>
      </c>
      <c r="B1507" s="20"/>
      <c r="C1507" s="35">
        <v>1</v>
      </c>
      <c r="D1507" s="21"/>
      <c r="E1507" s="24"/>
      <c r="F1507" s="25">
        <f t="shared" si="1345"/>
        <v>1</v>
      </c>
      <c r="G1507" s="20"/>
      <c r="H1507" s="35"/>
      <c r="I1507" s="21"/>
      <c r="J1507" s="24"/>
      <c r="K1507" s="25">
        <f t="shared" si="1346"/>
        <v>0</v>
      </c>
      <c r="L1507" s="11">
        <f t="shared" si="1334"/>
        <v>1</v>
      </c>
      <c r="M1507" s="69">
        <v>45948</v>
      </c>
      <c r="N1507" s="15"/>
      <c r="O1507" s="20"/>
      <c r="P1507" s="35"/>
      <c r="Q1507" s="21"/>
      <c r="R1507" s="38"/>
      <c r="S1507" s="9">
        <f t="shared" si="1350"/>
        <v>0</v>
      </c>
      <c r="T1507" s="20"/>
      <c r="U1507" s="35"/>
      <c r="V1507" s="21"/>
      <c r="W1507" s="38"/>
      <c r="X1507" s="9">
        <f t="shared" si="1351"/>
        <v>0</v>
      </c>
      <c r="Y1507" s="11">
        <f t="shared" si="1349"/>
        <v>0</v>
      </c>
    </row>
    <row r="1508" spans="1:27" x14ac:dyDescent="0.15">
      <c r="A1508" s="59" t="s">
        <v>802</v>
      </c>
      <c r="B1508" s="20"/>
      <c r="C1508" s="35">
        <v>1</v>
      </c>
      <c r="D1508" s="21">
        <v>1</v>
      </c>
      <c r="E1508" s="24"/>
      <c r="F1508" s="25">
        <f t="shared" si="1345"/>
        <v>2</v>
      </c>
      <c r="G1508" s="20"/>
      <c r="H1508" s="35">
        <v>1</v>
      </c>
      <c r="I1508" s="21">
        <v>1</v>
      </c>
      <c r="J1508" s="24"/>
      <c r="K1508" s="25">
        <f t="shared" si="1346"/>
        <v>2</v>
      </c>
      <c r="L1508" s="11">
        <f t="shared" si="1334"/>
        <v>4</v>
      </c>
      <c r="M1508" s="69">
        <v>45952</v>
      </c>
      <c r="N1508" s="15"/>
      <c r="O1508" s="20"/>
      <c r="P1508" s="35"/>
      <c r="Q1508" s="21"/>
      <c r="R1508" s="38"/>
      <c r="S1508" s="9">
        <f t="shared" si="1350"/>
        <v>0</v>
      </c>
      <c r="T1508" s="20"/>
      <c r="U1508" s="35"/>
      <c r="V1508" s="21"/>
      <c r="W1508" s="38"/>
      <c r="X1508" s="9">
        <f t="shared" si="1351"/>
        <v>0</v>
      </c>
      <c r="Y1508" s="11">
        <f t="shared" si="1349"/>
        <v>0</v>
      </c>
    </row>
    <row r="1509" spans="1:27" x14ac:dyDescent="0.15">
      <c r="A1509" s="40" t="s">
        <v>836</v>
      </c>
      <c r="B1509" s="20">
        <v>2</v>
      </c>
      <c r="C1509" s="35"/>
      <c r="D1509" s="21"/>
      <c r="E1509" s="24"/>
      <c r="F1509" s="25">
        <f t="shared" si="1345"/>
        <v>2</v>
      </c>
      <c r="G1509" s="20"/>
      <c r="H1509" s="35">
        <v>3</v>
      </c>
      <c r="I1509" s="21"/>
      <c r="J1509" s="24"/>
      <c r="K1509" s="25">
        <f t="shared" si="1346"/>
        <v>3</v>
      </c>
      <c r="L1509" s="11">
        <f t="shared" si="1334"/>
        <v>5</v>
      </c>
      <c r="M1509" s="69">
        <v>45951</v>
      </c>
      <c r="N1509" s="15"/>
      <c r="O1509" s="20"/>
      <c r="P1509" s="35"/>
      <c r="Q1509" s="21"/>
      <c r="R1509" s="38"/>
      <c r="S1509" s="9">
        <f t="shared" si="1350"/>
        <v>0</v>
      </c>
      <c r="T1509" s="20"/>
      <c r="U1509" s="35"/>
      <c r="V1509" s="21"/>
      <c r="W1509" s="38"/>
      <c r="X1509" s="9">
        <f t="shared" si="1351"/>
        <v>0</v>
      </c>
      <c r="Y1509" s="11">
        <f t="shared" si="1349"/>
        <v>0</v>
      </c>
    </row>
    <row r="1510" spans="1:27" x14ac:dyDescent="0.15">
      <c r="A1510" s="59" t="s">
        <v>27</v>
      </c>
      <c r="B1510" s="20">
        <v>2</v>
      </c>
      <c r="C1510" s="35">
        <v>2</v>
      </c>
      <c r="D1510" s="21">
        <v>1</v>
      </c>
      <c r="E1510" s="24"/>
      <c r="F1510" s="25">
        <f t="shared" si="1345"/>
        <v>5</v>
      </c>
      <c r="G1510" s="20"/>
      <c r="H1510" s="35">
        <v>1</v>
      </c>
      <c r="I1510" s="21">
        <v>1</v>
      </c>
      <c r="J1510" s="24">
        <v>1</v>
      </c>
      <c r="K1510" s="25">
        <f t="shared" si="1346"/>
        <v>3</v>
      </c>
      <c r="L1510" s="11">
        <f t="shared" si="1334"/>
        <v>8</v>
      </c>
      <c r="M1510" s="71">
        <v>45950</v>
      </c>
      <c r="N1510" s="15"/>
      <c r="O1510" s="20"/>
      <c r="P1510" s="35"/>
      <c r="Q1510" s="21"/>
      <c r="R1510" s="38"/>
      <c r="S1510" s="9">
        <f t="shared" si="1350"/>
        <v>0</v>
      </c>
      <c r="T1510" s="20"/>
      <c r="U1510" s="35"/>
      <c r="V1510" s="21"/>
      <c r="W1510" s="38"/>
      <c r="X1510" s="9">
        <f t="shared" si="1351"/>
        <v>0</v>
      </c>
      <c r="Y1510" s="11">
        <f t="shared" si="1349"/>
        <v>0</v>
      </c>
    </row>
    <row r="1511" spans="1:27" x14ac:dyDescent="0.15">
      <c r="A1511" s="59" t="s">
        <v>27</v>
      </c>
      <c r="B1511" s="20"/>
      <c r="C1511" s="35">
        <v>1</v>
      </c>
      <c r="D1511" s="21"/>
      <c r="E1511" s="24"/>
      <c r="F1511" s="25">
        <f t="shared" si="1345"/>
        <v>1</v>
      </c>
      <c r="G1511" s="20"/>
      <c r="H1511" s="35">
        <v>1</v>
      </c>
      <c r="I1511" s="21"/>
      <c r="J1511" s="24"/>
      <c r="K1511" s="25">
        <f t="shared" si="1346"/>
        <v>1</v>
      </c>
      <c r="L1511" s="11">
        <f t="shared" si="1334"/>
        <v>2</v>
      </c>
      <c r="M1511" s="71">
        <v>45951</v>
      </c>
      <c r="N1511" s="40"/>
      <c r="O1511" s="48"/>
      <c r="P1511" s="49"/>
      <c r="Q1511" s="50"/>
      <c r="R1511" s="72"/>
      <c r="S1511" s="74">
        <f t="shared" si="1350"/>
        <v>0</v>
      </c>
      <c r="T1511" s="48"/>
      <c r="U1511" s="49"/>
      <c r="V1511" s="50"/>
      <c r="W1511" s="72"/>
      <c r="X1511" s="74">
        <f t="shared" si="1351"/>
        <v>0</v>
      </c>
      <c r="Y1511" s="11">
        <f t="shared" si="1349"/>
        <v>0</v>
      </c>
    </row>
    <row r="1512" spans="1:27" x14ac:dyDescent="0.15">
      <c r="A1512" s="40" t="s">
        <v>838</v>
      </c>
      <c r="B1512" s="20"/>
      <c r="C1512" s="35">
        <v>5</v>
      </c>
      <c r="D1512" s="21"/>
      <c r="E1512" s="24"/>
      <c r="F1512" s="25">
        <f t="shared" si="1345"/>
        <v>5</v>
      </c>
      <c r="G1512" s="20"/>
      <c r="H1512" s="35">
        <v>5</v>
      </c>
      <c r="I1512" s="21"/>
      <c r="J1512" s="24"/>
      <c r="K1512" s="25">
        <f t="shared" si="1346"/>
        <v>5</v>
      </c>
      <c r="L1512" s="11">
        <f t="shared" si="1334"/>
        <v>10</v>
      </c>
      <c r="M1512" s="69">
        <v>45954</v>
      </c>
      <c r="N1512" s="40"/>
      <c r="O1512" s="48"/>
      <c r="P1512" s="49"/>
      <c r="Q1512" s="50"/>
      <c r="R1512" s="72"/>
      <c r="S1512" s="74">
        <f t="shared" si="1350"/>
        <v>0</v>
      </c>
      <c r="T1512" s="48"/>
      <c r="U1512" s="49"/>
      <c r="V1512" s="50"/>
      <c r="W1512" s="72"/>
      <c r="X1512" s="74">
        <f t="shared" si="1351"/>
        <v>0</v>
      </c>
      <c r="Y1512" s="11">
        <f t="shared" si="1349"/>
        <v>0</v>
      </c>
    </row>
    <row r="1513" spans="1:27" x14ac:dyDescent="0.15">
      <c r="A1513" s="59" t="s">
        <v>841</v>
      </c>
      <c r="B1513" s="20">
        <v>-1</v>
      </c>
      <c r="C1513" s="35"/>
      <c r="D1513" s="21"/>
      <c r="E1513" s="24"/>
      <c r="F1513" s="25">
        <f t="shared" si="1345"/>
        <v>-1</v>
      </c>
      <c r="G1513" s="20">
        <v>-1</v>
      </c>
      <c r="H1513" s="35"/>
      <c r="I1513" s="21"/>
      <c r="J1513" s="24"/>
      <c r="K1513" s="25">
        <f t="shared" si="1346"/>
        <v>-1</v>
      </c>
      <c r="L1513" s="11">
        <f t="shared" si="1334"/>
        <v>-2</v>
      </c>
      <c r="M1513" s="69">
        <v>45951</v>
      </c>
      <c r="N1513" s="40"/>
      <c r="O1513" s="48"/>
      <c r="P1513" s="49"/>
      <c r="Q1513" s="50"/>
      <c r="R1513" s="72"/>
      <c r="S1513" s="74">
        <f t="shared" si="1350"/>
        <v>0</v>
      </c>
      <c r="T1513" s="48"/>
      <c r="U1513" s="49"/>
      <c r="V1513" s="50"/>
      <c r="W1513" s="72"/>
      <c r="X1513" s="74">
        <f t="shared" si="1351"/>
        <v>0</v>
      </c>
      <c r="Y1513" s="11">
        <f t="shared" si="1349"/>
        <v>0</v>
      </c>
    </row>
    <row r="1514" spans="1:27" x14ac:dyDescent="0.15">
      <c r="A1514" s="59" t="s">
        <v>843</v>
      </c>
      <c r="B1514" s="20"/>
      <c r="C1514" s="35"/>
      <c r="D1514" s="21">
        <v>1</v>
      </c>
      <c r="E1514" s="24">
        <v>-1</v>
      </c>
      <c r="F1514" s="25">
        <f t="shared" si="1345"/>
        <v>0</v>
      </c>
      <c r="G1514" s="20"/>
      <c r="H1514" s="35"/>
      <c r="I1514" s="21">
        <v>1</v>
      </c>
      <c r="J1514" s="24">
        <v>-1</v>
      </c>
      <c r="K1514" s="25">
        <f t="shared" si="1346"/>
        <v>0</v>
      </c>
      <c r="L1514" s="11">
        <f t="shared" si="1334"/>
        <v>0</v>
      </c>
      <c r="M1514" s="71">
        <v>45952</v>
      </c>
      <c r="N1514" s="40"/>
      <c r="O1514" s="48"/>
      <c r="P1514" s="49"/>
      <c r="Q1514" s="50"/>
      <c r="R1514" s="72"/>
      <c r="S1514" s="74">
        <f t="shared" si="1350"/>
        <v>0</v>
      </c>
      <c r="T1514" s="48"/>
      <c r="U1514" s="49"/>
      <c r="V1514" s="50"/>
      <c r="W1514" s="72"/>
      <c r="X1514" s="74">
        <f t="shared" si="1351"/>
        <v>0</v>
      </c>
      <c r="Y1514" s="11">
        <f t="shared" si="1349"/>
        <v>0</v>
      </c>
    </row>
    <row r="1515" spans="1:27" x14ac:dyDescent="0.15">
      <c r="A1515" s="59" t="s">
        <v>802</v>
      </c>
      <c r="B1515" s="20"/>
      <c r="C1515" s="35">
        <v>1</v>
      </c>
      <c r="D1515" s="21"/>
      <c r="E1515" s="24"/>
      <c r="F1515" s="25">
        <f t="shared" si="1345"/>
        <v>1</v>
      </c>
      <c r="G1515" s="20"/>
      <c r="H1515" s="35">
        <v>1</v>
      </c>
      <c r="I1515" s="21"/>
      <c r="J1515" s="24"/>
      <c r="K1515" s="25">
        <f t="shared" si="1346"/>
        <v>1</v>
      </c>
      <c r="L1515" s="11">
        <f t="shared" si="1334"/>
        <v>2</v>
      </c>
      <c r="M1515" s="69">
        <v>45954</v>
      </c>
      <c r="N1515" s="104" t="s">
        <v>800</v>
      </c>
      <c r="O1515" s="138"/>
      <c r="P1515" s="139"/>
      <c r="Q1515" s="140"/>
      <c r="R1515" s="141"/>
      <c r="S1515" s="142">
        <f t="shared" si="1350"/>
        <v>0</v>
      </c>
      <c r="T1515" s="138"/>
      <c r="U1515" s="139"/>
      <c r="V1515" s="140"/>
      <c r="W1515" s="141"/>
      <c r="X1515" s="142">
        <f t="shared" si="1351"/>
        <v>0</v>
      </c>
      <c r="Y1515" s="145">
        <f t="shared" si="1349"/>
        <v>0</v>
      </c>
      <c r="Z1515" s="167"/>
    </row>
    <row r="1516" spans="1:27" ht="14.25" thickBot="1" x14ac:dyDescent="0.2">
      <c r="A1516" s="198" t="s">
        <v>27</v>
      </c>
      <c r="B1516" s="43">
        <v>1</v>
      </c>
      <c r="C1516" s="44">
        <v>1</v>
      </c>
      <c r="D1516" s="45"/>
      <c r="E1516" s="46"/>
      <c r="F1516" s="106">
        <f t="shared" ref="F1516" si="1352">SUM(B1516:E1516)</f>
        <v>2</v>
      </c>
      <c r="G1516" s="43">
        <v>1</v>
      </c>
      <c r="H1516" s="44">
        <v>1</v>
      </c>
      <c r="I1516" s="45"/>
      <c r="J1516" s="46"/>
      <c r="K1516" s="106">
        <f t="shared" ref="K1516" si="1353">SUM(G1516:J1516)</f>
        <v>2</v>
      </c>
      <c r="L1516" s="75">
        <f t="shared" ref="L1516" si="1354">F1516+K1516</f>
        <v>4</v>
      </c>
      <c r="M1516" s="69">
        <v>45953</v>
      </c>
      <c r="N1516" s="99" t="s">
        <v>786</v>
      </c>
      <c r="O1516" s="43"/>
      <c r="P1516" s="44"/>
      <c r="Q1516" s="45"/>
      <c r="R1516" s="100"/>
      <c r="S1516" s="10">
        <f t="shared" si="1350"/>
        <v>0</v>
      </c>
      <c r="T1516" s="43"/>
      <c r="U1516" s="44"/>
      <c r="V1516" s="45"/>
      <c r="W1516" s="100"/>
      <c r="X1516" s="10">
        <f t="shared" si="1351"/>
        <v>0</v>
      </c>
      <c r="Y1516" s="75">
        <f t="shared" si="1349"/>
        <v>0</v>
      </c>
      <c r="Z1516" s="162" t="s">
        <v>787</v>
      </c>
    </row>
    <row r="1517" spans="1:27" ht="14.25" thickBot="1" x14ac:dyDescent="0.2">
      <c r="A1517" s="61" t="s">
        <v>9</v>
      </c>
      <c r="B1517" s="28">
        <f>SUM(B1492:B1516)</f>
        <v>13</v>
      </c>
      <c r="C1517" s="36">
        <f>SUM(C1492:C1516)</f>
        <v>24</v>
      </c>
      <c r="D1517" s="29">
        <f>SUM(D1492:D1516)</f>
        <v>9</v>
      </c>
      <c r="E1517" s="30">
        <f>SUM(E1492:E1516)</f>
        <v>1</v>
      </c>
      <c r="F1517" s="60">
        <f>SUM(B1517:E1517)</f>
        <v>47</v>
      </c>
      <c r="G1517" s="28">
        <f>SUM(G1492:G1516)</f>
        <v>8</v>
      </c>
      <c r="H1517" s="36">
        <f>SUM(H1492:H1516)</f>
        <v>27</v>
      </c>
      <c r="I1517" s="29">
        <f>SUM(I1492:I1516)</f>
        <v>12</v>
      </c>
      <c r="J1517" s="30">
        <f>SUM(J1492:J1516)</f>
        <v>2</v>
      </c>
      <c r="K1517" s="60">
        <f>SUM(G1517:J1517)</f>
        <v>49</v>
      </c>
      <c r="L1517" s="63">
        <f t="shared" si="1334"/>
        <v>96</v>
      </c>
      <c r="N1517" s="61" t="s">
        <v>9</v>
      </c>
      <c r="O1517" s="28">
        <f>SUM(O1492:O1516)</f>
        <v>20</v>
      </c>
      <c r="P1517" s="36">
        <f t="shared" ref="P1517" si="1355">SUM(P1492:P1516)</f>
        <v>60</v>
      </c>
      <c r="Q1517" s="29">
        <f t="shared" ref="Q1517" si="1356">SUM(Q1492:Q1516)</f>
        <v>25</v>
      </c>
      <c r="R1517" s="30">
        <f t="shared" ref="R1517" si="1357">SUM(R1492:R1516)</f>
        <v>0</v>
      </c>
      <c r="S1517" s="60">
        <f>SUM(O1517:R1517)</f>
        <v>105</v>
      </c>
      <c r="T1517" s="28">
        <f>SUM(T1492:T1516)</f>
        <v>55</v>
      </c>
      <c r="U1517" s="36">
        <f t="shared" ref="U1517" si="1358">SUM(U1492:U1516)</f>
        <v>115</v>
      </c>
      <c r="V1517" s="29">
        <f t="shared" ref="V1517" si="1359">SUM(V1492:V1516)</f>
        <v>25</v>
      </c>
      <c r="W1517" s="30">
        <f t="shared" ref="W1517" si="1360">SUM(W1492:W1516)</f>
        <v>40</v>
      </c>
      <c r="X1517" s="60">
        <f>SUM(T1517:W1517)</f>
        <v>235</v>
      </c>
      <c r="Y1517" s="63">
        <f>S1517+X1517</f>
        <v>340</v>
      </c>
    </row>
    <row r="1518" spans="1:27" ht="14.25" thickBot="1" x14ac:dyDescent="0.2">
      <c r="A1518" s="18" t="s">
        <v>10</v>
      </c>
      <c r="B1518" s="31">
        <f t="shared" ref="B1518:K1518" si="1361">B1491-B1517</f>
        <v>24</v>
      </c>
      <c r="C1518" s="37">
        <f t="shared" si="1361"/>
        <v>28</v>
      </c>
      <c r="D1518" s="32">
        <f t="shared" si="1361"/>
        <v>25</v>
      </c>
      <c r="E1518" s="33">
        <f t="shared" si="1361"/>
        <v>26</v>
      </c>
      <c r="F1518" s="42">
        <f t="shared" si="1361"/>
        <v>103</v>
      </c>
      <c r="G1518" s="31">
        <f t="shared" si="1361"/>
        <v>27</v>
      </c>
      <c r="H1518" s="37">
        <f t="shared" si="1361"/>
        <v>25</v>
      </c>
      <c r="I1518" s="32">
        <f t="shared" si="1361"/>
        <v>24</v>
      </c>
      <c r="J1518" s="33">
        <f t="shared" si="1361"/>
        <v>27</v>
      </c>
      <c r="K1518" s="42">
        <f t="shared" si="1361"/>
        <v>103</v>
      </c>
      <c r="L1518" s="17">
        <f t="shared" si="1334"/>
        <v>206</v>
      </c>
      <c r="N1518" s="16" t="s">
        <v>10</v>
      </c>
      <c r="O1518" s="31">
        <f>O1491-O1517</f>
        <v>267</v>
      </c>
      <c r="P1518" s="37">
        <f t="shared" ref="P1518" si="1362">P1491-P1517</f>
        <v>323</v>
      </c>
      <c r="Q1518" s="32">
        <f t="shared" ref="Q1518" si="1363">Q1491-Q1517</f>
        <v>249</v>
      </c>
      <c r="R1518" s="33">
        <f t="shared" ref="R1518" si="1364">R1491-R1517</f>
        <v>225</v>
      </c>
      <c r="S1518" s="42">
        <f>S1491-S1517</f>
        <v>1064</v>
      </c>
      <c r="T1518" s="31">
        <f>T1491-T1517</f>
        <v>189</v>
      </c>
      <c r="U1518" s="37">
        <f t="shared" ref="U1518" si="1365">U1491-U1517</f>
        <v>230</v>
      </c>
      <c r="V1518" s="32">
        <f t="shared" ref="V1518" si="1366">V1491-V1517</f>
        <v>200</v>
      </c>
      <c r="W1518" s="33">
        <f t="shared" ref="W1518" si="1367">W1491-W1517</f>
        <v>150</v>
      </c>
      <c r="X1518" s="42">
        <f>X1491-X1517</f>
        <v>769</v>
      </c>
      <c r="Y1518" s="17">
        <f>S1518+X1518</f>
        <v>1833</v>
      </c>
      <c r="AA1518" t="s">
        <v>805</v>
      </c>
    </row>
    <row r="1519" spans="1:27" x14ac:dyDescent="0.15">
      <c r="N1519" s="180"/>
      <c r="O1519" s="87"/>
      <c r="P1519" s="87"/>
      <c r="Q1519" s="87"/>
      <c r="R1519" s="87"/>
      <c r="S1519" s="87"/>
      <c r="T1519" s="182"/>
      <c r="U1519" s="182"/>
      <c r="V1519" s="182"/>
      <c r="W1519" s="182"/>
      <c r="X1519" s="182"/>
    </row>
    <row r="1520" spans="1:27" x14ac:dyDescent="0.15">
      <c r="N1520" s="181"/>
      <c r="O1520" s="101"/>
      <c r="P1520" s="101"/>
      <c r="Q1520" s="101"/>
      <c r="R1520" s="101"/>
      <c r="S1520" s="101"/>
      <c r="T1520" s="101"/>
      <c r="U1520" s="101"/>
      <c r="V1520" s="101"/>
      <c r="W1520" s="101"/>
      <c r="X1520" s="101"/>
    </row>
    <row r="1521" spans="1:26" ht="19.5" thickBot="1" x14ac:dyDescent="0.25">
      <c r="A1521" s="2" t="s">
        <v>17</v>
      </c>
      <c r="B1521" s="2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N1521" s="2" t="s">
        <v>18</v>
      </c>
      <c r="O1521" s="87"/>
      <c r="P1521" s="87"/>
      <c r="Q1521" s="87"/>
      <c r="R1521" s="87"/>
      <c r="S1521" s="87"/>
      <c r="T1521" s="87"/>
      <c r="U1521" s="87"/>
      <c r="V1521" s="87"/>
      <c r="W1521" s="87"/>
      <c r="X1521" s="87"/>
      <c r="Y1521" s="1"/>
    </row>
    <row r="1522" spans="1:26" ht="14.25" thickBot="1" x14ac:dyDescent="0.2">
      <c r="A1522" s="5" t="s">
        <v>0</v>
      </c>
      <c r="B1522" s="244" t="s">
        <v>19</v>
      </c>
      <c r="C1522" s="245"/>
      <c r="D1522" s="245"/>
      <c r="E1522" s="245"/>
      <c r="F1522" s="246"/>
      <c r="G1522" s="247" t="s">
        <v>20</v>
      </c>
      <c r="H1522" s="248"/>
      <c r="I1522" s="248"/>
      <c r="J1522" s="248"/>
      <c r="K1522" s="249"/>
      <c r="L1522" s="250" t="s">
        <v>1</v>
      </c>
      <c r="N1522" s="5" t="s">
        <v>0</v>
      </c>
      <c r="O1522" s="244" t="s">
        <v>19</v>
      </c>
      <c r="P1522" s="245"/>
      <c r="Q1522" s="245"/>
      <c r="R1522" s="245"/>
      <c r="S1522" s="246"/>
      <c r="T1522" s="247" t="s">
        <v>20</v>
      </c>
      <c r="U1522" s="248"/>
      <c r="V1522" s="248"/>
      <c r="W1522" s="248"/>
      <c r="X1522" s="249"/>
      <c r="Y1522" s="250" t="s">
        <v>1</v>
      </c>
    </row>
    <row r="1523" spans="1:26" ht="14.25" thickBot="1" x14ac:dyDescent="0.2">
      <c r="A1523" s="5" t="s">
        <v>2</v>
      </c>
      <c r="B1523" s="3" t="s">
        <v>11</v>
      </c>
      <c r="C1523" s="34" t="s">
        <v>12</v>
      </c>
      <c r="D1523" s="4" t="s">
        <v>13</v>
      </c>
      <c r="E1523" s="19" t="s">
        <v>14</v>
      </c>
      <c r="F1523" s="23" t="s">
        <v>3</v>
      </c>
      <c r="G1523" s="3" t="s">
        <v>11</v>
      </c>
      <c r="H1523" s="34" t="s">
        <v>12</v>
      </c>
      <c r="I1523" s="4" t="s">
        <v>13</v>
      </c>
      <c r="J1523" s="19" t="s">
        <v>14</v>
      </c>
      <c r="K1523" s="23" t="s">
        <v>3</v>
      </c>
      <c r="L1523" s="251"/>
      <c r="N1523" s="5" t="s">
        <v>2</v>
      </c>
      <c r="O1523" s="53" t="s">
        <v>11</v>
      </c>
      <c r="P1523" s="54" t="s">
        <v>12</v>
      </c>
      <c r="Q1523" s="55" t="s">
        <v>13</v>
      </c>
      <c r="R1523" s="56" t="s">
        <v>14</v>
      </c>
      <c r="S1523" s="23" t="s">
        <v>3</v>
      </c>
      <c r="T1523" s="3" t="s">
        <v>11</v>
      </c>
      <c r="U1523" s="34" t="s">
        <v>12</v>
      </c>
      <c r="V1523" s="4" t="s">
        <v>13</v>
      </c>
      <c r="W1523" s="19" t="s">
        <v>14</v>
      </c>
      <c r="X1523" s="23" t="s">
        <v>3</v>
      </c>
      <c r="Y1523" s="251"/>
    </row>
    <row r="1524" spans="1:26" ht="14.25" thickBot="1" x14ac:dyDescent="0.2">
      <c r="A1524" s="18" t="s">
        <v>15</v>
      </c>
      <c r="B1524" s="31">
        <f>B1518</f>
        <v>24</v>
      </c>
      <c r="C1524" s="32">
        <f>C1518</f>
        <v>28</v>
      </c>
      <c r="D1524" s="32">
        <f>D1518</f>
        <v>25</v>
      </c>
      <c r="E1524" s="33">
        <f>E1518</f>
        <v>26</v>
      </c>
      <c r="F1524" s="86">
        <f>SUM(B1524:E1524)</f>
        <v>103</v>
      </c>
      <c r="G1524" s="31">
        <f>G1518</f>
        <v>27</v>
      </c>
      <c r="H1524" s="32">
        <f>H1518</f>
        <v>25</v>
      </c>
      <c r="I1524" s="32">
        <f>I1518</f>
        <v>24</v>
      </c>
      <c r="J1524" s="33">
        <f>J1518</f>
        <v>27</v>
      </c>
      <c r="K1524" s="80">
        <f>SUM(G1524:J1524)</f>
        <v>103</v>
      </c>
      <c r="L1524" s="17">
        <f>F1524+K1524</f>
        <v>206</v>
      </c>
      <c r="N1524" s="18" t="s">
        <v>15</v>
      </c>
      <c r="O1524" s="31">
        <f>O1518</f>
        <v>267</v>
      </c>
      <c r="P1524" s="32">
        <f t="shared" ref="P1524:Y1524" si="1368">P1518</f>
        <v>323</v>
      </c>
      <c r="Q1524" s="32">
        <f t="shared" si="1368"/>
        <v>249</v>
      </c>
      <c r="R1524" s="33">
        <f t="shared" si="1368"/>
        <v>225</v>
      </c>
      <c r="S1524" s="86">
        <f t="shared" si="1368"/>
        <v>1064</v>
      </c>
      <c r="T1524" s="31">
        <f t="shared" si="1368"/>
        <v>189</v>
      </c>
      <c r="U1524" s="32">
        <f t="shared" si="1368"/>
        <v>230</v>
      </c>
      <c r="V1524" s="32">
        <f t="shared" si="1368"/>
        <v>200</v>
      </c>
      <c r="W1524" s="33">
        <f t="shared" si="1368"/>
        <v>150</v>
      </c>
      <c r="X1524" s="80">
        <f t="shared" si="1368"/>
        <v>769</v>
      </c>
      <c r="Y1524" s="17">
        <f t="shared" si="1368"/>
        <v>1833</v>
      </c>
    </row>
    <row r="1525" spans="1:26" x14ac:dyDescent="0.15">
      <c r="A1525" s="13" t="s">
        <v>4</v>
      </c>
      <c r="B1525" s="20">
        <v>10</v>
      </c>
      <c r="C1525" s="35"/>
      <c r="D1525" s="21"/>
      <c r="E1525" s="24"/>
      <c r="F1525" s="25">
        <f t="shared" ref="F1525:F1528" si="1369">SUM(B1525:E1525)</f>
        <v>10</v>
      </c>
      <c r="G1525" s="20">
        <v>5</v>
      </c>
      <c r="H1525" s="35">
        <v>5</v>
      </c>
      <c r="I1525" s="21"/>
      <c r="J1525" s="24"/>
      <c r="K1525" s="25">
        <f t="shared" ref="K1525:K1528" si="1370">SUM(G1525:J1525)</f>
        <v>10</v>
      </c>
      <c r="L1525" s="11">
        <f t="shared" ref="L1525:L1556" si="1371">F1525+K1525</f>
        <v>20</v>
      </c>
      <c r="M1525" s="69">
        <v>45959</v>
      </c>
      <c r="N1525" s="59" t="s">
        <v>16</v>
      </c>
      <c r="O1525" s="48"/>
      <c r="P1525" s="49"/>
      <c r="Q1525" s="50"/>
      <c r="R1525" s="51"/>
      <c r="S1525" s="85">
        <f t="shared" ref="S1525:S1526" si="1372">SUM(O1525:R1525)</f>
        <v>0</v>
      </c>
      <c r="T1525" s="48"/>
      <c r="U1525" s="49"/>
      <c r="V1525" s="50"/>
      <c r="W1525" s="51"/>
      <c r="X1525" s="74">
        <f t="shared" ref="X1525:X1526" si="1373">SUM(T1525:W1525)</f>
        <v>0</v>
      </c>
      <c r="Y1525" s="11">
        <f t="shared" ref="Y1525:Y1528" si="1374">S1525+X1525</f>
        <v>0</v>
      </c>
    </row>
    <row r="1526" spans="1:26" x14ac:dyDescent="0.15">
      <c r="A1526" s="13" t="s">
        <v>5</v>
      </c>
      <c r="B1526" s="20"/>
      <c r="C1526" s="35">
        <v>5</v>
      </c>
      <c r="D1526" s="21">
        <v>5</v>
      </c>
      <c r="E1526" s="24">
        <v>5</v>
      </c>
      <c r="F1526" s="25">
        <f t="shared" si="1369"/>
        <v>15</v>
      </c>
      <c r="G1526" s="20">
        <v>5</v>
      </c>
      <c r="H1526" s="35">
        <v>5</v>
      </c>
      <c r="I1526" s="21">
        <v>5</v>
      </c>
      <c r="J1526" s="24"/>
      <c r="K1526" s="25">
        <f t="shared" si="1370"/>
        <v>15</v>
      </c>
      <c r="L1526" s="11">
        <f t="shared" si="1371"/>
        <v>30</v>
      </c>
      <c r="M1526" s="69">
        <v>45962</v>
      </c>
      <c r="N1526" s="59" t="s">
        <v>775</v>
      </c>
      <c r="O1526" s="48">
        <v>550</v>
      </c>
      <c r="P1526" s="49">
        <v>650</v>
      </c>
      <c r="Q1526" s="50">
        <v>400</v>
      </c>
      <c r="R1526" s="51">
        <v>250</v>
      </c>
      <c r="S1526" s="85">
        <f t="shared" si="1372"/>
        <v>1850</v>
      </c>
      <c r="T1526" s="48">
        <v>550</v>
      </c>
      <c r="U1526" s="49">
        <v>800</v>
      </c>
      <c r="V1526" s="50">
        <v>500</v>
      </c>
      <c r="W1526" s="51">
        <v>350</v>
      </c>
      <c r="X1526" s="74">
        <f t="shared" si="1373"/>
        <v>2200</v>
      </c>
      <c r="Y1526" s="11">
        <f t="shared" si="1374"/>
        <v>4050</v>
      </c>
      <c r="Z1526" s="69" t="s">
        <v>869</v>
      </c>
    </row>
    <row r="1527" spans="1:26" x14ac:dyDescent="0.15">
      <c r="A1527" s="13" t="s">
        <v>72</v>
      </c>
      <c r="B1527" s="20"/>
      <c r="C1527" s="35"/>
      <c r="D1527" s="21">
        <v>1</v>
      </c>
      <c r="E1527" s="24"/>
      <c r="F1527" s="25">
        <f t="shared" si="1369"/>
        <v>1</v>
      </c>
      <c r="G1527" s="20"/>
      <c r="H1527" s="35"/>
      <c r="I1527" s="21">
        <v>1</v>
      </c>
      <c r="J1527" s="24"/>
      <c r="K1527" s="25">
        <f t="shared" si="1370"/>
        <v>1</v>
      </c>
      <c r="L1527" s="11">
        <f t="shared" si="1371"/>
        <v>2</v>
      </c>
      <c r="M1527" s="71">
        <v>45966</v>
      </c>
      <c r="N1527" s="59" t="s">
        <v>5</v>
      </c>
      <c r="O1527" s="48">
        <v>-150</v>
      </c>
      <c r="P1527" s="49">
        <v>-100</v>
      </c>
      <c r="Q1527" s="50">
        <v>-150</v>
      </c>
      <c r="R1527" s="51">
        <v>-100</v>
      </c>
      <c r="S1527" s="85">
        <f t="shared" ref="S1527" si="1375">SUM(O1527:R1527)</f>
        <v>-500</v>
      </c>
      <c r="T1527" s="48">
        <v>-100</v>
      </c>
      <c r="U1527" s="49">
        <v>-150</v>
      </c>
      <c r="V1527" s="50">
        <v>-150</v>
      </c>
      <c r="W1527" s="51">
        <v>-100</v>
      </c>
      <c r="X1527" s="74">
        <f t="shared" ref="X1527" si="1376">SUM(T1527:W1527)</f>
        <v>-500</v>
      </c>
      <c r="Y1527" s="11">
        <f t="shared" ref="Y1527" si="1377">S1527+X1527</f>
        <v>-1000</v>
      </c>
      <c r="Z1527" s="162" t="s">
        <v>855</v>
      </c>
    </row>
    <row r="1528" spans="1:26" ht="14.25" thickBot="1" x14ac:dyDescent="0.2">
      <c r="A1528" s="13" t="s">
        <v>7</v>
      </c>
      <c r="B1528" s="48">
        <v>5</v>
      </c>
      <c r="C1528" s="49">
        <v>5</v>
      </c>
      <c r="D1528" s="50"/>
      <c r="E1528" s="51"/>
      <c r="F1528" s="52">
        <f t="shared" si="1369"/>
        <v>10</v>
      </c>
      <c r="G1528" s="48">
        <v>5</v>
      </c>
      <c r="H1528" s="49">
        <v>5</v>
      </c>
      <c r="I1528" s="50"/>
      <c r="J1528" s="51"/>
      <c r="K1528" s="52">
        <f t="shared" si="1370"/>
        <v>10</v>
      </c>
      <c r="L1528" s="11">
        <f t="shared" si="1371"/>
        <v>20</v>
      </c>
      <c r="M1528" s="69">
        <v>45968</v>
      </c>
      <c r="N1528" s="59" t="s">
        <v>6</v>
      </c>
      <c r="O1528" s="43"/>
      <c r="P1528" s="44"/>
      <c r="Q1528" s="45"/>
      <c r="R1528" s="46"/>
      <c r="S1528" s="58">
        <f>SUM(O1528:R1528)</f>
        <v>0</v>
      </c>
      <c r="T1528" s="35"/>
      <c r="U1528" s="35"/>
      <c r="V1528" s="21"/>
      <c r="W1528" s="38"/>
      <c r="X1528" s="10">
        <f>SUM(T1528:W1528)</f>
        <v>0</v>
      </c>
      <c r="Y1528" s="14">
        <f t="shared" si="1374"/>
        <v>0</v>
      </c>
      <c r="Z1528" s="69"/>
    </row>
    <row r="1529" spans="1:26" ht="14.25" thickBot="1" x14ac:dyDescent="0.2">
      <c r="A1529" s="18" t="s">
        <v>8</v>
      </c>
      <c r="B1529" s="76">
        <f t="shared" ref="B1529:K1529" si="1378">SUM(B1524:B1528)</f>
        <v>39</v>
      </c>
      <c r="C1529" s="77">
        <f t="shared" si="1378"/>
        <v>38</v>
      </c>
      <c r="D1529" s="78">
        <f t="shared" si="1378"/>
        <v>31</v>
      </c>
      <c r="E1529" s="79">
        <f t="shared" si="1378"/>
        <v>31</v>
      </c>
      <c r="F1529" s="80">
        <f t="shared" si="1378"/>
        <v>139</v>
      </c>
      <c r="G1529" s="76">
        <f t="shared" si="1378"/>
        <v>42</v>
      </c>
      <c r="H1529" s="77">
        <f t="shared" si="1378"/>
        <v>40</v>
      </c>
      <c r="I1529" s="78">
        <f t="shared" si="1378"/>
        <v>30</v>
      </c>
      <c r="J1529" s="79">
        <f t="shared" si="1378"/>
        <v>27</v>
      </c>
      <c r="K1529" s="80">
        <f t="shared" si="1378"/>
        <v>139</v>
      </c>
      <c r="L1529" s="17">
        <f t="shared" si="1371"/>
        <v>278</v>
      </c>
      <c r="N1529" s="16" t="s">
        <v>8</v>
      </c>
      <c r="O1529" s="31">
        <f>SUM(O1524:O1528)</f>
        <v>667</v>
      </c>
      <c r="P1529" s="37">
        <f t="shared" ref="P1529:R1529" si="1379">SUM(P1524:P1528)</f>
        <v>873</v>
      </c>
      <c r="Q1529" s="32">
        <f t="shared" si="1379"/>
        <v>499</v>
      </c>
      <c r="R1529" s="82">
        <f t="shared" si="1379"/>
        <v>375</v>
      </c>
      <c r="S1529" s="83">
        <f>SUM(S1524:S1528)</f>
        <v>2414</v>
      </c>
      <c r="T1529" s="31">
        <f>SUM(T1524:T1528)</f>
        <v>639</v>
      </c>
      <c r="U1529" s="37">
        <f t="shared" ref="U1529:W1529" si="1380">SUM(U1524:U1528)</f>
        <v>880</v>
      </c>
      <c r="V1529" s="32">
        <f t="shared" si="1380"/>
        <v>550</v>
      </c>
      <c r="W1529" s="82">
        <f t="shared" si="1380"/>
        <v>400</v>
      </c>
      <c r="X1529" s="83">
        <f>SUM(X1524:X1528)</f>
        <v>2469</v>
      </c>
      <c r="Y1529" s="39">
        <f>S1529+X1529</f>
        <v>4883</v>
      </c>
    </row>
    <row r="1530" spans="1:26" x14ac:dyDescent="0.15">
      <c r="A1530" s="59" t="s">
        <v>27</v>
      </c>
      <c r="B1530" s="20"/>
      <c r="C1530" s="35">
        <v>1</v>
      </c>
      <c r="D1530" s="21"/>
      <c r="E1530" s="24"/>
      <c r="F1530" s="25">
        <f t="shared" ref="F1530:F1553" si="1381">SUM(B1530:E1530)</f>
        <v>1</v>
      </c>
      <c r="G1530" s="20"/>
      <c r="H1530" s="35">
        <v>1</v>
      </c>
      <c r="I1530" s="21"/>
      <c r="J1530" s="24"/>
      <c r="K1530" s="25">
        <f t="shared" ref="K1530:K1553" si="1382">SUM(G1530:J1530)</f>
        <v>1</v>
      </c>
      <c r="L1530" s="11">
        <f t="shared" si="1371"/>
        <v>2</v>
      </c>
      <c r="M1530" s="71">
        <v>45954</v>
      </c>
      <c r="N1530" s="12" t="s">
        <v>459</v>
      </c>
      <c r="O1530" s="20"/>
      <c r="P1530" s="35"/>
      <c r="Q1530" s="21"/>
      <c r="R1530" s="38"/>
      <c r="S1530" s="9">
        <f t="shared" ref="S1530:S1542" si="1383">SUM(O1530:R1530)</f>
        <v>0</v>
      </c>
      <c r="T1530" s="20"/>
      <c r="U1530" s="35">
        <v>5</v>
      </c>
      <c r="V1530" s="21">
        <v>5</v>
      </c>
      <c r="W1530" s="38"/>
      <c r="X1530" s="9">
        <f t="shared" ref="X1530:X1542" si="1384">SUM(T1530:W1530)</f>
        <v>10</v>
      </c>
      <c r="Y1530" s="11">
        <f t="shared" ref="Y1530:Y1554" si="1385">S1530+X1530</f>
        <v>10</v>
      </c>
      <c r="Z1530" s="69">
        <v>45967</v>
      </c>
    </row>
    <row r="1531" spans="1:26" x14ac:dyDescent="0.15">
      <c r="A1531" s="59" t="s">
        <v>848</v>
      </c>
      <c r="B1531" s="20">
        <v>2</v>
      </c>
      <c r="C1531" s="35">
        <v>2</v>
      </c>
      <c r="D1531" s="21">
        <v>1</v>
      </c>
      <c r="E1531" s="24">
        <v>2</v>
      </c>
      <c r="F1531" s="25">
        <f t="shared" si="1381"/>
        <v>7</v>
      </c>
      <c r="G1531" s="20">
        <v>2</v>
      </c>
      <c r="H1531" s="35">
        <v>2</v>
      </c>
      <c r="I1531" s="21">
        <v>1</v>
      </c>
      <c r="J1531" s="24">
        <v>2</v>
      </c>
      <c r="K1531" s="25">
        <f t="shared" si="1382"/>
        <v>7</v>
      </c>
      <c r="L1531" s="11">
        <f t="shared" si="1371"/>
        <v>14</v>
      </c>
      <c r="M1531" s="69">
        <v>45958</v>
      </c>
      <c r="N1531" s="40" t="s">
        <v>854</v>
      </c>
      <c r="O1531" s="20"/>
      <c r="P1531" s="35">
        <v>5</v>
      </c>
      <c r="Q1531" s="21">
        <v>5</v>
      </c>
      <c r="R1531" s="38">
        <v>5</v>
      </c>
      <c r="S1531" s="9">
        <f t="shared" si="1383"/>
        <v>15</v>
      </c>
      <c r="T1531" s="20">
        <v>5</v>
      </c>
      <c r="U1531" s="35">
        <v>5</v>
      </c>
      <c r="V1531" s="21">
        <v>5</v>
      </c>
      <c r="W1531" s="38"/>
      <c r="X1531" s="9">
        <f t="shared" si="1384"/>
        <v>15</v>
      </c>
      <c r="Y1531" s="11">
        <f t="shared" si="1385"/>
        <v>30</v>
      </c>
      <c r="Z1531" s="69">
        <v>45962</v>
      </c>
    </row>
    <row r="1532" spans="1:26" x14ac:dyDescent="0.15">
      <c r="A1532" s="59" t="s">
        <v>27</v>
      </c>
      <c r="B1532" s="20">
        <v>3</v>
      </c>
      <c r="C1532" s="35">
        <v>4</v>
      </c>
      <c r="D1532" s="21">
        <v>1</v>
      </c>
      <c r="E1532" s="24"/>
      <c r="F1532" s="25">
        <f t="shared" si="1381"/>
        <v>8</v>
      </c>
      <c r="G1532" s="20">
        <v>3</v>
      </c>
      <c r="H1532" s="35">
        <v>4</v>
      </c>
      <c r="I1532" s="21">
        <v>1</v>
      </c>
      <c r="J1532" s="24">
        <v>2</v>
      </c>
      <c r="K1532" s="25">
        <f t="shared" si="1382"/>
        <v>10</v>
      </c>
      <c r="L1532" s="11">
        <f t="shared" si="1371"/>
        <v>18</v>
      </c>
      <c r="M1532" s="71">
        <v>45957</v>
      </c>
      <c r="N1532" s="40" t="s">
        <v>26</v>
      </c>
      <c r="O1532" s="20">
        <v>5</v>
      </c>
      <c r="P1532" s="35">
        <v>5</v>
      </c>
      <c r="Q1532" s="21"/>
      <c r="R1532" s="38"/>
      <c r="S1532" s="9">
        <f t="shared" si="1383"/>
        <v>10</v>
      </c>
      <c r="T1532" s="20">
        <v>5</v>
      </c>
      <c r="U1532" s="35">
        <v>5</v>
      </c>
      <c r="V1532" s="21"/>
      <c r="W1532" s="38"/>
      <c r="X1532" s="9">
        <f t="shared" si="1384"/>
        <v>10</v>
      </c>
      <c r="Y1532" s="11">
        <f t="shared" si="1385"/>
        <v>20</v>
      </c>
      <c r="Z1532" s="69">
        <v>45968</v>
      </c>
    </row>
    <row r="1533" spans="1:26" x14ac:dyDescent="0.15">
      <c r="A1533" s="59" t="s">
        <v>802</v>
      </c>
      <c r="B1533" s="20">
        <v>3</v>
      </c>
      <c r="C1533" s="35"/>
      <c r="D1533" s="21"/>
      <c r="E1533" s="24"/>
      <c r="F1533" s="25">
        <f t="shared" si="1381"/>
        <v>3</v>
      </c>
      <c r="G1533" s="20">
        <v>3</v>
      </c>
      <c r="H1533" s="35"/>
      <c r="I1533" s="21"/>
      <c r="J1533" s="24"/>
      <c r="K1533" s="25">
        <f t="shared" si="1382"/>
        <v>3</v>
      </c>
      <c r="L1533" s="11">
        <f t="shared" si="1371"/>
        <v>6</v>
      </c>
      <c r="M1533" s="69">
        <v>45960</v>
      </c>
      <c r="N1533" s="12" t="s">
        <v>460</v>
      </c>
      <c r="O1533" s="20"/>
      <c r="P1533" s="35"/>
      <c r="Q1533" s="21">
        <v>5</v>
      </c>
      <c r="R1533" s="38"/>
      <c r="S1533" s="9">
        <f t="shared" si="1383"/>
        <v>5</v>
      </c>
      <c r="T1533" s="20"/>
      <c r="U1533" s="35"/>
      <c r="V1533" s="21"/>
      <c r="W1533" s="38"/>
      <c r="X1533" s="9">
        <f t="shared" si="1384"/>
        <v>0</v>
      </c>
      <c r="Y1533" s="11">
        <f t="shared" si="1385"/>
        <v>5</v>
      </c>
      <c r="Z1533" s="69">
        <v>45975</v>
      </c>
    </row>
    <row r="1534" spans="1:26" x14ac:dyDescent="0.15">
      <c r="A1534" s="59" t="s">
        <v>27</v>
      </c>
      <c r="B1534" s="20"/>
      <c r="C1534" s="35"/>
      <c r="D1534" s="21"/>
      <c r="E1534" s="24">
        <v>3</v>
      </c>
      <c r="F1534" s="25">
        <f t="shared" si="1381"/>
        <v>3</v>
      </c>
      <c r="G1534" s="20"/>
      <c r="H1534" s="35">
        <v>2</v>
      </c>
      <c r="I1534" s="21"/>
      <c r="J1534" s="24"/>
      <c r="K1534" s="25">
        <f t="shared" si="1382"/>
        <v>2</v>
      </c>
      <c r="L1534" s="11">
        <f t="shared" si="1371"/>
        <v>5</v>
      </c>
      <c r="M1534" s="71">
        <v>45959</v>
      </c>
      <c r="N1534" s="40" t="s">
        <v>838</v>
      </c>
      <c r="O1534" s="20">
        <v>5</v>
      </c>
      <c r="P1534" s="35">
        <v>5</v>
      </c>
      <c r="Q1534" s="21"/>
      <c r="R1534" s="38"/>
      <c r="S1534" s="9">
        <f t="shared" si="1383"/>
        <v>10</v>
      </c>
      <c r="T1534" s="20">
        <v>5</v>
      </c>
      <c r="U1534" s="35">
        <v>5</v>
      </c>
      <c r="V1534" s="21"/>
      <c r="W1534" s="38"/>
      <c r="X1534" s="9">
        <f t="shared" si="1384"/>
        <v>10</v>
      </c>
      <c r="Y1534" s="11">
        <f t="shared" si="1385"/>
        <v>20</v>
      </c>
      <c r="Z1534" s="69">
        <v>45974</v>
      </c>
    </row>
    <row r="1535" spans="1:26" x14ac:dyDescent="0.15">
      <c r="A1535" s="219" t="s">
        <v>850</v>
      </c>
      <c r="B1535" s="209"/>
      <c r="C1535" s="210"/>
      <c r="D1535" s="211"/>
      <c r="E1535" s="212"/>
      <c r="F1535" s="213">
        <f t="shared" si="1381"/>
        <v>0</v>
      </c>
      <c r="G1535" s="209"/>
      <c r="H1535" s="210">
        <v>2</v>
      </c>
      <c r="I1535" s="211"/>
      <c r="J1535" s="212"/>
      <c r="K1535" s="213">
        <f t="shared" si="1382"/>
        <v>2</v>
      </c>
      <c r="L1535" s="214">
        <f t="shared" si="1371"/>
        <v>2</v>
      </c>
      <c r="M1535" s="215">
        <v>45959</v>
      </c>
      <c r="N1535" s="12" t="s">
        <v>860</v>
      </c>
      <c r="O1535" s="20"/>
      <c r="P1535" s="35">
        <v>12</v>
      </c>
      <c r="Q1535" s="21"/>
      <c r="R1535" s="38"/>
      <c r="S1535" s="9">
        <f t="shared" si="1383"/>
        <v>12</v>
      </c>
      <c r="T1535" s="20"/>
      <c r="U1535" s="35">
        <v>12</v>
      </c>
      <c r="V1535" s="21"/>
      <c r="W1535" s="38"/>
      <c r="X1535" s="9">
        <f t="shared" si="1384"/>
        <v>12</v>
      </c>
      <c r="Y1535" s="11">
        <f t="shared" si="1385"/>
        <v>24</v>
      </c>
      <c r="Z1535" s="69">
        <v>45980</v>
      </c>
    </row>
    <row r="1536" spans="1:26" x14ac:dyDescent="0.15">
      <c r="A1536" s="59" t="s">
        <v>851</v>
      </c>
      <c r="B1536" s="20">
        <v>1</v>
      </c>
      <c r="C1536" s="35"/>
      <c r="D1536" s="21"/>
      <c r="E1536" s="24"/>
      <c r="F1536" s="25">
        <f t="shared" si="1381"/>
        <v>1</v>
      </c>
      <c r="G1536" s="20">
        <v>1</v>
      </c>
      <c r="H1536" s="35"/>
      <c r="I1536" s="21"/>
      <c r="J1536" s="24"/>
      <c r="K1536" s="25">
        <f t="shared" si="1382"/>
        <v>1</v>
      </c>
      <c r="L1536" s="11">
        <f t="shared" si="1371"/>
        <v>2</v>
      </c>
      <c r="M1536" s="69">
        <v>45961</v>
      </c>
      <c r="N1536" s="12" t="s">
        <v>861</v>
      </c>
      <c r="O1536" s="20">
        <v>45</v>
      </c>
      <c r="P1536" s="35">
        <v>40</v>
      </c>
      <c r="Q1536" s="21"/>
      <c r="R1536" s="38">
        <v>40</v>
      </c>
      <c r="S1536" s="9">
        <f t="shared" si="1383"/>
        <v>125</v>
      </c>
      <c r="T1536" s="20">
        <v>45</v>
      </c>
      <c r="U1536" s="35">
        <v>40</v>
      </c>
      <c r="V1536" s="21"/>
      <c r="W1536" s="38">
        <v>40</v>
      </c>
      <c r="X1536" s="9">
        <f t="shared" si="1384"/>
        <v>125</v>
      </c>
      <c r="Y1536" s="11">
        <f t="shared" si="1385"/>
        <v>250</v>
      </c>
      <c r="Z1536" s="69">
        <v>45980</v>
      </c>
    </row>
    <row r="1537" spans="1:26" x14ac:dyDescent="0.15">
      <c r="A1537" s="59" t="s">
        <v>27</v>
      </c>
      <c r="B1537" s="20"/>
      <c r="C1537" s="35"/>
      <c r="D1537" s="21">
        <v>1</v>
      </c>
      <c r="E1537" s="24"/>
      <c r="F1537" s="25">
        <f t="shared" si="1381"/>
        <v>1</v>
      </c>
      <c r="G1537" s="20"/>
      <c r="H1537" s="35"/>
      <c r="I1537" s="21">
        <v>1</v>
      </c>
      <c r="J1537" s="24"/>
      <c r="K1537" s="25">
        <f t="shared" si="1382"/>
        <v>1</v>
      </c>
      <c r="L1537" s="11">
        <f t="shared" si="1371"/>
        <v>2</v>
      </c>
      <c r="M1537" s="71">
        <v>45960</v>
      </c>
      <c r="N1537" s="12" t="s">
        <v>862</v>
      </c>
      <c r="O1537" s="20"/>
      <c r="P1537" s="35"/>
      <c r="Q1537" s="21">
        <v>15</v>
      </c>
      <c r="R1537" s="38"/>
      <c r="S1537" s="9">
        <f t="shared" si="1383"/>
        <v>15</v>
      </c>
      <c r="T1537" s="20"/>
      <c r="U1537" s="35"/>
      <c r="V1537" s="21">
        <v>15</v>
      </c>
      <c r="W1537" s="38"/>
      <c r="X1537" s="9">
        <f t="shared" si="1384"/>
        <v>15</v>
      </c>
      <c r="Y1537" s="11">
        <f t="shared" si="1385"/>
        <v>30</v>
      </c>
      <c r="Z1537" s="69">
        <v>45982</v>
      </c>
    </row>
    <row r="1538" spans="1:26" x14ac:dyDescent="0.15">
      <c r="A1538" s="59" t="s">
        <v>852</v>
      </c>
      <c r="B1538" s="20"/>
      <c r="C1538" s="35"/>
      <c r="D1538" s="21"/>
      <c r="E1538" s="24"/>
      <c r="F1538" s="25">
        <f t="shared" si="1381"/>
        <v>0</v>
      </c>
      <c r="G1538" s="20">
        <v>2</v>
      </c>
      <c r="H1538" s="35"/>
      <c r="I1538" s="21"/>
      <c r="J1538" s="24"/>
      <c r="K1538" s="25">
        <f t="shared" si="1382"/>
        <v>2</v>
      </c>
      <c r="L1538" s="11">
        <f t="shared" si="1371"/>
        <v>2</v>
      </c>
      <c r="M1538" s="71">
        <v>45960</v>
      </c>
      <c r="N1538" s="12" t="s">
        <v>864</v>
      </c>
      <c r="O1538" s="20">
        <v>15</v>
      </c>
      <c r="P1538" s="35">
        <v>60</v>
      </c>
      <c r="Q1538" s="21">
        <v>20</v>
      </c>
      <c r="R1538" s="38">
        <v>15</v>
      </c>
      <c r="S1538" s="9">
        <f t="shared" si="1383"/>
        <v>110</v>
      </c>
      <c r="T1538" s="20">
        <v>15</v>
      </c>
      <c r="U1538" s="35">
        <v>60</v>
      </c>
      <c r="V1538" s="21">
        <v>20</v>
      </c>
      <c r="W1538" s="38">
        <v>15</v>
      </c>
      <c r="X1538" s="9">
        <f t="shared" si="1384"/>
        <v>110</v>
      </c>
      <c r="Y1538" s="11">
        <f t="shared" si="1385"/>
        <v>220</v>
      </c>
      <c r="Z1538" s="69">
        <v>45982</v>
      </c>
    </row>
    <row r="1539" spans="1:26" x14ac:dyDescent="0.15">
      <c r="A1539" s="59" t="s">
        <v>27</v>
      </c>
      <c r="B1539" s="20"/>
      <c r="C1539" s="35">
        <v>1</v>
      </c>
      <c r="D1539" s="21">
        <v>2</v>
      </c>
      <c r="E1539" s="24"/>
      <c r="F1539" s="25">
        <f t="shared" si="1381"/>
        <v>3</v>
      </c>
      <c r="G1539" s="20"/>
      <c r="H1539" s="35"/>
      <c r="I1539" s="21">
        <v>1</v>
      </c>
      <c r="J1539" s="24"/>
      <c r="K1539" s="25">
        <f t="shared" si="1382"/>
        <v>1</v>
      </c>
      <c r="L1539" s="11">
        <f t="shared" si="1371"/>
        <v>4</v>
      </c>
      <c r="M1539" s="71">
        <v>45961</v>
      </c>
      <c r="N1539" s="40"/>
      <c r="O1539" s="20"/>
      <c r="P1539" s="35"/>
      <c r="Q1539" s="21"/>
      <c r="R1539" s="38"/>
      <c r="S1539" s="9">
        <f t="shared" si="1383"/>
        <v>0</v>
      </c>
      <c r="T1539" s="20"/>
      <c r="U1539" s="35"/>
      <c r="V1539" s="21"/>
      <c r="W1539" s="38"/>
      <c r="X1539" s="9">
        <f t="shared" si="1384"/>
        <v>0</v>
      </c>
      <c r="Y1539" s="11">
        <f t="shared" si="1385"/>
        <v>0</v>
      </c>
    </row>
    <row r="1540" spans="1:26" x14ac:dyDescent="0.15">
      <c r="A1540" s="59" t="s">
        <v>851</v>
      </c>
      <c r="B1540" s="20"/>
      <c r="C1540" s="35">
        <v>1</v>
      </c>
      <c r="D1540" s="21"/>
      <c r="E1540" s="24"/>
      <c r="F1540" s="25">
        <f t="shared" si="1381"/>
        <v>1</v>
      </c>
      <c r="G1540" s="20"/>
      <c r="H1540" s="35">
        <v>1</v>
      </c>
      <c r="I1540" s="21"/>
      <c r="J1540" s="24"/>
      <c r="K1540" s="25">
        <f t="shared" si="1382"/>
        <v>1</v>
      </c>
      <c r="L1540" s="11">
        <f t="shared" si="1371"/>
        <v>2</v>
      </c>
      <c r="M1540" s="69">
        <v>45967</v>
      </c>
      <c r="N1540" s="40"/>
      <c r="O1540" s="20"/>
      <c r="P1540" s="35"/>
      <c r="Q1540" s="21"/>
      <c r="R1540" s="38"/>
      <c r="S1540" s="9">
        <f t="shared" si="1383"/>
        <v>0</v>
      </c>
      <c r="T1540" s="20"/>
      <c r="U1540" s="35"/>
      <c r="V1540" s="21"/>
      <c r="W1540" s="38"/>
      <c r="X1540" s="9">
        <f t="shared" si="1384"/>
        <v>0</v>
      </c>
      <c r="Y1540" s="11">
        <f t="shared" si="1385"/>
        <v>0</v>
      </c>
    </row>
    <row r="1541" spans="1:26" x14ac:dyDescent="0.15">
      <c r="A1541" s="59" t="s">
        <v>27</v>
      </c>
      <c r="B1541" s="20"/>
      <c r="C1541" s="35">
        <v>1</v>
      </c>
      <c r="D1541" s="21"/>
      <c r="E1541" s="24">
        <v>1</v>
      </c>
      <c r="F1541" s="25">
        <f t="shared" si="1381"/>
        <v>2</v>
      </c>
      <c r="G1541" s="20"/>
      <c r="H1541" s="35">
        <v>2</v>
      </c>
      <c r="I1541" s="21"/>
      <c r="J1541" s="24"/>
      <c r="K1541" s="25">
        <f t="shared" si="1382"/>
        <v>2</v>
      </c>
      <c r="L1541" s="11">
        <f t="shared" si="1371"/>
        <v>4</v>
      </c>
      <c r="M1541" s="71">
        <v>45965</v>
      </c>
      <c r="N1541" s="40"/>
      <c r="O1541" s="20"/>
      <c r="P1541" s="35"/>
      <c r="Q1541" s="21"/>
      <c r="R1541" s="38"/>
      <c r="S1541" s="9">
        <f t="shared" si="1383"/>
        <v>0</v>
      </c>
      <c r="T1541" s="20"/>
      <c r="U1541" s="35"/>
      <c r="V1541" s="21"/>
      <c r="W1541" s="38"/>
      <c r="X1541" s="9">
        <f t="shared" si="1384"/>
        <v>0</v>
      </c>
      <c r="Y1541" s="11">
        <f t="shared" si="1385"/>
        <v>0</v>
      </c>
    </row>
    <row r="1542" spans="1:26" x14ac:dyDescent="0.15">
      <c r="A1542" s="59" t="s">
        <v>851</v>
      </c>
      <c r="B1542" s="20">
        <v>1</v>
      </c>
      <c r="C1542" s="35"/>
      <c r="D1542" s="21"/>
      <c r="E1542" s="24"/>
      <c r="F1542" s="25">
        <f t="shared" si="1381"/>
        <v>1</v>
      </c>
      <c r="G1542" s="20">
        <v>1</v>
      </c>
      <c r="H1542" s="35"/>
      <c r="I1542" s="21"/>
      <c r="J1542" s="24"/>
      <c r="K1542" s="25">
        <f t="shared" si="1382"/>
        <v>1</v>
      </c>
      <c r="L1542" s="11">
        <f t="shared" si="1371"/>
        <v>2</v>
      </c>
      <c r="M1542" s="69">
        <v>45968</v>
      </c>
      <c r="N1542" s="40"/>
      <c r="O1542" s="20"/>
      <c r="P1542" s="35"/>
      <c r="Q1542" s="21"/>
      <c r="R1542" s="38"/>
      <c r="S1542" s="9">
        <f t="shared" si="1383"/>
        <v>0</v>
      </c>
      <c r="T1542" s="20"/>
      <c r="U1542" s="35"/>
      <c r="V1542" s="21"/>
      <c r="W1542" s="38"/>
      <c r="X1542" s="9">
        <f t="shared" si="1384"/>
        <v>0</v>
      </c>
      <c r="Y1542" s="11">
        <f t="shared" si="1385"/>
        <v>0</v>
      </c>
    </row>
    <row r="1543" spans="1:26" x14ac:dyDescent="0.15">
      <c r="A1543" s="59" t="s">
        <v>851</v>
      </c>
      <c r="B1543" s="20">
        <v>1</v>
      </c>
      <c r="C1543" s="35"/>
      <c r="D1543" s="21"/>
      <c r="E1543" s="24"/>
      <c r="F1543" s="25">
        <f t="shared" si="1381"/>
        <v>1</v>
      </c>
      <c r="G1543" s="20">
        <v>1</v>
      </c>
      <c r="H1543" s="35"/>
      <c r="I1543" s="21"/>
      <c r="J1543" s="24"/>
      <c r="K1543" s="25">
        <f t="shared" si="1382"/>
        <v>1</v>
      </c>
      <c r="L1543" s="11">
        <f t="shared" si="1371"/>
        <v>2</v>
      </c>
      <c r="M1543" s="69">
        <v>45968</v>
      </c>
      <c r="N1543" s="12"/>
      <c r="O1543" s="20"/>
      <c r="P1543" s="35"/>
      <c r="Q1543" s="21"/>
      <c r="R1543" s="38"/>
      <c r="S1543" s="9">
        <f>SUM(O1543:R1543)</f>
        <v>0</v>
      </c>
      <c r="T1543" s="20"/>
      <c r="U1543" s="35"/>
      <c r="V1543" s="21"/>
      <c r="W1543" s="38"/>
      <c r="X1543" s="9">
        <f>SUM(T1543:W1543)</f>
        <v>0</v>
      </c>
      <c r="Y1543" s="11">
        <f t="shared" si="1385"/>
        <v>0</v>
      </c>
    </row>
    <row r="1544" spans="1:26" x14ac:dyDescent="0.15">
      <c r="A1544" s="59" t="s">
        <v>27</v>
      </c>
      <c r="B1544" s="20"/>
      <c r="C1544" s="35">
        <v>3</v>
      </c>
      <c r="D1544" s="21"/>
      <c r="E1544" s="24">
        <v>2</v>
      </c>
      <c r="F1544" s="25">
        <f t="shared" si="1381"/>
        <v>5</v>
      </c>
      <c r="G1544" s="20"/>
      <c r="H1544" s="35">
        <v>3</v>
      </c>
      <c r="I1544" s="21"/>
      <c r="J1544" s="24"/>
      <c r="K1544" s="25">
        <f t="shared" si="1382"/>
        <v>3</v>
      </c>
      <c r="L1544" s="11">
        <f t="shared" si="1371"/>
        <v>8</v>
      </c>
      <c r="M1544" s="71">
        <v>45967</v>
      </c>
      <c r="N1544" s="40"/>
      <c r="O1544" s="20"/>
      <c r="P1544" s="35"/>
      <c r="Q1544" s="21"/>
      <c r="R1544" s="38"/>
      <c r="S1544" s="9">
        <f t="shared" ref="S1544:S1554" si="1386">SUM(O1544:R1544)</f>
        <v>0</v>
      </c>
      <c r="T1544" s="20"/>
      <c r="U1544" s="35"/>
      <c r="V1544" s="21"/>
      <c r="W1544" s="38"/>
      <c r="X1544" s="9">
        <f t="shared" ref="X1544:X1554" si="1387">SUM(T1544:W1544)</f>
        <v>0</v>
      </c>
      <c r="Y1544" s="11">
        <f t="shared" si="1385"/>
        <v>0</v>
      </c>
    </row>
    <row r="1545" spans="1:26" x14ac:dyDescent="0.15">
      <c r="A1545" s="59" t="s">
        <v>851</v>
      </c>
      <c r="B1545" s="20">
        <v>1</v>
      </c>
      <c r="C1545" s="35"/>
      <c r="D1545" s="21"/>
      <c r="E1545" s="24">
        <v>1</v>
      </c>
      <c r="F1545" s="25">
        <f t="shared" si="1381"/>
        <v>2</v>
      </c>
      <c r="G1545" s="20">
        <v>1</v>
      </c>
      <c r="H1545" s="35"/>
      <c r="I1545" s="21"/>
      <c r="J1545" s="24">
        <v>1</v>
      </c>
      <c r="K1545" s="25">
        <f t="shared" si="1382"/>
        <v>2</v>
      </c>
      <c r="L1545" s="11">
        <f t="shared" si="1371"/>
        <v>4</v>
      </c>
      <c r="M1545" s="69">
        <v>45971</v>
      </c>
      <c r="N1545" s="15"/>
      <c r="O1545" s="20"/>
      <c r="P1545" s="35"/>
      <c r="Q1545" s="21"/>
      <c r="R1545" s="38"/>
      <c r="S1545" s="9">
        <f t="shared" si="1386"/>
        <v>0</v>
      </c>
      <c r="T1545" s="20"/>
      <c r="U1545" s="35"/>
      <c r="V1545" s="21"/>
      <c r="W1545" s="38"/>
      <c r="X1545" s="9">
        <f t="shared" si="1387"/>
        <v>0</v>
      </c>
      <c r="Y1545" s="11">
        <f t="shared" si="1385"/>
        <v>0</v>
      </c>
    </row>
    <row r="1546" spans="1:26" x14ac:dyDescent="0.15">
      <c r="A1546" s="59" t="s">
        <v>27</v>
      </c>
      <c r="B1546" s="20"/>
      <c r="C1546" s="35"/>
      <c r="D1546" s="21"/>
      <c r="E1546" s="24"/>
      <c r="F1546" s="25">
        <f t="shared" si="1381"/>
        <v>0</v>
      </c>
      <c r="G1546" s="20"/>
      <c r="H1546" s="35"/>
      <c r="I1546" s="21">
        <v>2</v>
      </c>
      <c r="J1546" s="24"/>
      <c r="K1546" s="25">
        <f t="shared" si="1382"/>
        <v>2</v>
      </c>
      <c r="L1546" s="11">
        <f t="shared" si="1371"/>
        <v>2</v>
      </c>
      <c r="M1546" s="71">
        <v>45968</v>
      </c>
      <c r="N1546" s="15"/>
      <c r="O1546" s="20"/>
      <c r="P1546" s="35"/>
      <c r="Q1546" s="21"/>
      <c r="R1546" s="38"/>
      <c r="S1546" s="9">
        <f t="shared" si="1386"/>
        <v>0</v>
      </c>
      <c r="T1546" s="20"/>
      <c r="U1546" s="35"/>
      <c r="V1546" s="21"/>
      <c r="W1546" s="38"/>
      <c r="X1546" s="9">
        <f t="shared" si="1387"/>
        <v>0</v>
      </c>
      <c r="Y1546" s="11">
        <f t="shared" si="1385"/>
        <v>0</v>
      </c>
    </row>
    <row r="1547" spans="1:26" x14ac:dyDescent="0.15">
      <c r="A1547" s="59" t="s">
        <v>27</v>
      </c>
      <c r="B1547" s="20">
        <v>2</v>
      </c>
      <c r="C1547" s="35"/>
      <c r="D1547" s="21"/>
      <c r="E1547" s="24"/>
      <c r="F1547" s="25">
        <f t="shared" si="1381"/>
        <v>2</v>
      </c>
      <c r="G1547" s="20"/>
      <c r="H1547" s="35"/>
      <c r="I1547" s="21">
        <v>2</v>
      </c>
      <c r="J1547" s="24"/>
      <c r="K1547" s="25">
        <f t="shared" si="1382"/>
        <v>2</v>
      </c>
      <c r="L1547" s="11">
        <f t="shared" si="1371"/>
        <v>4</v>
      </c>
      <c r="M1547" s="71">
        <v>45971</v>
      </c>
      <c r="N1547" s="15"/>
      <c r="O1547" s="20"/>
      <c r="P1547" s="35"/>
      <c r="Q1547" s="21"/>
      <c r="R1547" s="38"/>
      <c r="S1547" s="9">
        <f t="shared" si="1386"/>
        <v>0</v>
      </c>
      <c r="T1547" s="20"/>
      <c r="U1547" s="35"/>
      <c r="V1547" s="21"/>
      <c r="W1547" s="38"/>
      <c r="X1547" s="9">
        <f t="shared" si="1387"/>
        <v>0</v>
      </c>
      <c r="Y1547" s="11">
        <f t="shared" si="1385"/>
        <v>0</v>
      </c>
    </row>
    <row r="1548" spans="1:26" x14ac:dyDescent="0.15">
      <c r="A1548" s="59" t="s">
        <v>421</v>
      </c>
      <c r="B1548" s="20"/>
      <c r="C1548" s="35">
        <v>1</v>
      </c>
      <c r="D1548" s="21"/>
      <c r="E1548" s="24"/>
      <c r="F1548" s="25">
        <f t="shared" si="1381"/>
        <v>1</v>
      </c>
      <c r="G1548" s="20"/>
      <c r="H1548" s="35">
        <v>1</v>
      </c>
      <c r="I1548" s="21"/>
      <c r="J1548" s="24"/>
      <c r="K1548" s="25">
        <f t="shared" si="1382"/>
        <v>1</v>
      </c>
      <c r="L1548" s="11">
        <f t="shared" si="1371"/>
        <v>2</v>
      </c>
      <c r="M1548" s="69">
        <v>45972</v>
      </c>
      <c r="N1548" s="15"/>
      <c r="O1548" s="20"/>
      <c r="P1548" s="35"/>
      <c r="Q1548" s="21"/>
      <c r="R1548" s="38"/>
      <c r="S1548" s="9">
        <f t="shared" si="1386"/>
        <v>0</v>
      </c>
      <c r="T1548" s="20"/>
      <c r="U1548" s="35"/>
      <c r="V1548" s="21"/>
      <c r="W1548" s="38"/>
      <c r="X1548" s="9">
        <f t="shared" si="1387"/>
        <v>0</v>
      </c>
      <c r="Y1548" s="11">
        <f t="shared" si="1385"/>
        <v>0</v>
      </c>
    </row>
    <row r="1549" spans="1:26" x14ac:dyDescent="0.15">
      <c r="A1549" s="59" t="s">
        <v>851</v>
      </c>
      <c r="B1549" s="20">
        <v>1</v>
      </c>
      <c r="C1549" s="35"/>
      <c r="D1549" s="21"/>
      <c r="E1549" s="24"/>
      <c r="F1549" s="25">
        <f t="shared" si="1381"/>
        <v>1</v>
      </c>
      <c r="G1549" s="20">
        <v>1</v>
      </c>
      <c r="H1549" s="35"/>
      <c r="I1549" s="21"/>
      <c r="J1549" s="24"/>
      <c r="K1549" s="25">
        <f t="shared" si="1382"/>
        <v>1</v>
      </c>
      <c r="L1549" s="11">
        <f t="shared" si="1371"/>
        <v>2</v>
      </c>
      <c r="M1549" s="69">
        <v>45974</v>
      </c>
      <c r="N1549" s="40"/>
      <c r="O1549" s="48"/>
      <c r="P1549" s="49"/>
      <c r="Q1549" s="50"/>
      <c r="R1549" s="72"/>
      <c r="S1549" s="74">
        <f t="shared" si="1386"/>
        <v>0</v>
      </c>
      <c r="T1549" s="48"/>
      <c r="U1549" s="49"/>
      <c r="V1549" s="50"/>
      <c r="W1549" s="72"/>
      <c r="X1549" s="74">
        <f t="shared" si="1387"/>
        <v>0</v>
      </c>
      <c r="Y1549" s="11">
        <f t="shared" si="1385"/>
        <v>0</v>
      </c>
    </row>
    <row r="1550" spans="1:26" x14ac:dyDescent="0.15">
      <c r="A1550" s="59" t="s">
        <v>27</v>
      </c>
      <c r="B1550" s="20"/>
      <c r="C1550" s="35">
        <v>3</v>
      </c>
      <c r="D1550" s="21">
        <v>1</v>
      </c>
      <c r="E1550" s="24"/>
      <c r="F1550" s="25">
        <f t="shared" si="1381"/>
        <v>4</v>
      </c>
      <c r="G1550" s="20"/>
      <c r="H1550" s="35">
        <v>3</v>
      </c>
      <c r="I1550" s="21"/>
      <c r="J1550" s="24"/>
      <c r="K1550" s="25">
        <f t="shared" si="1382"/>
        <v>3</v>
      </c>
      <c r="L1550" s="11">
        <f t="shared" si="1371"/>
        <v>7</v>
      </c>
      <c r="M1550" s="71">
        <v>45972</v>
      </c>
      <c r="N1550" s="40"/>
      <c r="O1550" s="48"/>
      <c r="P1550" s="49"/>
      <c r="Q1550" s="50"/>
      <c r="R1550" s="72"/>
      <c r="S1550" s="74">
        <f t="shared" si="1386"/>
        <v>0</v>
      </c>
      <c r="T1550" s="48"/>
      <c r="U1550" s="49"/>
      <c r="V1550" s="50"/>
      <c r="W1550" s="72"/>
      <c r="X1550" s="74">
        <f t="shared" si="1387"/>
        <v>0</v>
      </c>
      <c r="Y1550" s="11">
        <f t="shared" si="1385"/>
        <v>0</v>
      </c>
    </row>
    <row r="1551" spans="1:26" x14ac:dyDescent="0.15">
      <c r="A1551" s="59" t="s">
        <v>27</v>
      </c>
      <c r="B1551" s="20"/>
      <c r="C1551" s="35"/>
      <c r="D1551" s="21"/>
      <c r="E1551" s="24">
        <v>1</v>
      </c>
      <c r="F1551" s="25">
        <f t="shared" si="1381"/>
        <v>1</v>
      </c>
      <c r="G1551" s="20">
        <v>2</v>
      </c>
      <c r="H1551" s="35"/>
      <c r="I1551" s="21"/>
      <c r="J1551" s="24">
        <v>1</v>
      </c>
      <c r="K1551" s="25">
        <f t="shared" si="1382"/>
        <v>3</v>
      </c>
      <c r="L1551" s="11">
        <f t="shared" si="1371"/>
        <v>4</v>
      </c>
      <c r="M1551" s="71">
        <v>45973</v>
      </c>
      <c r="N1551" s="40"/>
      <c r="O1551" s="48"/>
      <c r="P1551" s="49"/>
      <c r="Q1551" s="50"/>
      <c r="R1551" s="72"/>
      <c r="S1551" s="74">
        <f t="shared" si="1386"/>
        <v>0</v>
      </c>
      <c r="T1551" s="48"/>
      <c r="U1551" s="49"/>
      <c r="V1551" s="50"/>
      <c r="W1551" s="72"/>
      <c r="X1551" s="74">
        <f t="shared" si="1387"/>
        <v>0</v>
      </c>
      <c r="Y1551" s="11">
        <f t="shared" si="1385"/>
        <v>0</v>
      </c>
    </row>
    <row r="1552" spans="1:26" x14ac:dyDescent="0.15">
      <c r="A1552" s="59" t="s">
        <v>851</v>
      </c>
      <c r="B1552" s="20">
        <v>1</v>
      </c>
      <c r="C1552" s="35"/>
      <c r="D1552" s="21"/>
      <c r="E1552" s="24"/>
      <c r="F1552" s="25">
        <f t="shared" si="1381"/>
        <v>1</v>
      </c>
      <c r="G1552" s="20">
        <v>1</v>
      </c>
      <c r="H1552" s="35"/>
      <c r="I1552" s="21"/>
      <c r="J1552" s="24"/>
      <c r="K1552" s="25">
        <f t="shared" si="1382"/>
        <v>1</v>
      </c>
      <c r="L1552" s="11">
        <f t="shared" si="1371"/>
        <v>2</v>
      </c>
      <c r="M1552" s="69">
        <v>45978</v>
      </c>
      <c r="N1552" s="40"/>
      <c r="O1552" s="48"/>
      <c r="P1552" s="49"/>
      <c r="Q1552" s="50"/>
      <c r="R1552" s="72"/>
      <c r="S1552" s="74">
        <f t="shared" si="1386"/>
        <v>0</v>
      </c>
      <c r="T1552" s="48"/>
      <c r="U1552" s="49"/>
      <c r="V1552" s="50"/>
      <c r="W1552" s="72"/>
      <c r="X1552" s="74">
        <f t="shared" si="1387"/>
        <v>0</v>
      </c>
      <c r="Y1552" s="11">
        <f t="shared" si="1385"/>
        <v>0</v>
      </c>
    </row>
    <row r="1553" spans="1:26" x14ac:dyDescent="0.15">
      <c r="A1553" s="59" t="s">
        <v>27</v>
      </c>
      <c r="B1553" s="20">
        <v>1</v>
      </c>
      <c r="C1553" s="35">
        <v>1</v>
      </c>
      <c r="D1553" s="21"/>
      <c r="E1553" s="24"/>
      <c r="F1553" s="25">
        <f t="shared" si="1381"/>
        <v>2</v>
      </c>
      <c r="G1553" s="20">
        <v>1</v>
      </c>
      <c r="H1553" s="35">
        <v>1</v>
      </c>
      <c r="I1553" s="21"/>
      <c r="J1553" s="24"/>
      <c r="K1553" s="25">
        <f t="shared" si="1382"/>
        <v>2</v>
      </c>
      <c r="L1553" s="11">
        <f t="shared" si="1371"/>
        <v>4</v>
      </c>
      <c r="M1553" s="71">
        <v>45975</v>
      </c>
      <c r="N1553" s="104" t="s">
        <v>794</v>
      </c>
      <c r="O1553" s="138"/>
      <c r="P1553" s="139"/>
      <c r="Q1553" s="140"/>
      <c r="R1553" s="141"/>
      <c r="S1553" s="142">
        <f t="shared" si="1386"/>
        <v>0</v>
      </c>
      <c r="T1553" s="138"/>
      <c r="U1553" s="139"/>
      <c r="V1553" s="140"/>
      <c r="W1553" s="141"/>
      <c r="X1553" s="142">
        <f t="shared" si="1387"/>
        <v>0</v>
      </c>
      <c r="Y1553" s="145">
        <f t="shared" si="1385"/>
        <v>0</v>
      </c>
      <c r="Z1553" s="167"/>
    </row>
    <row r="1554" spans="1:26" ht="14.25" thickBot="1" x14ac:dyDescent="0.2">
      <c r="A1554" s="13" t="s">
        <v>192</v>
      </c>
      <c r="B1554" s="43"/>
      <c r="C1554" s="44"/>
      <c r="D1554" s="45"/>
      <c r="E1554" s="46"/>
      <c r="F1554" s="58">
        <f>SUM(B1554:E1554)</f>
        <v>0</v>
      </c>
      <c r="G1554" s="35"/>
      <c r="H1554" s="35">
        <v>-1</v>
      </c>
      <c r="I1554" s="21"/>
      <c r="J1554" s="38"/>
      <c r="K1554" s="10">
        <f>SUM(G1554:J1554)</f>
        <v>-1</v>
      </c>
      <c r="L1554" s="14">
        <f t="shared" si="1371"/>
        <v>-1</v>
      </c>
      <c r="M1554" s="69">
        <v>45979</v>
      </c>
      <c r="N1554" s="105" t="s">
        <v>795</v>
      </c>
      <c r="O1554" s="43"/>
      <c r="P1554" s="44"/>
      <c r="Q1554" s="45"/>
      <c r="R1554" s="100"/>
      <c r="S1554" s="10">
        <f t="shared" si="1386"/>
        <v>0</v>
      </c>
      <c r="T1554" s="43"/>
      <c r="U1554" s="44"/>
      <c r="V1554" s="45"/>
      <c r="W1554" s="100"/>
      <c r="X1554" s="10">
        <f t="shared" si="1387"/>
        <v>0</v>
      </c>
      <c r="Y1554" s="75">
        <f t="shared" si="1385"/>
        <v>0</v>
      </c>
      <c r="Z1554" s="162" t="s">
        <v>796</v>
      </c>
    </row>
    <row r="1555" spans="1:26" ht="14.25" thickBot="1" x14ac:dyDescent="0.2">
      <c r="A1555" s="16" t="s">
        <v>9</v>
      </c>
      <c r="B1555" s="28">
        <f>SUM(B1530:B1554)</f>
        <v>17</v>
      </c>
      <c r="C1555" s="36">
        <f>SUM(C1530:C1554)</f>
        <v>18</v>
      </c>
      <c r="D1555" s="29">
        <f>SUM(D1530:D1554)</f>
        <v>6</v>
      </c>
      <c r="E1555" s="30">
        <f>SUM(E1530:E1554)</f>
        <v>10</v>
      </c>
      <c r="F1555" s="26">
        <f>SUM(B1555:E1555)</f>
        <v>51</v>
      </c>
      <c r="G1555" s="28">
        <f>SUM(G1530:G1554)</f>
        <v>19</v>
      </c>
      <c r="H1555" s="36">
        <f>SUM(H1530:H1554)</f>
        <v>21</v>
      </c>
      <c r="I1555" s="29">
        <f>SUM(I1530:I1554)</f>
        <v>8</v>
      </c>
      <c r="J1555" s="30">
        <f>SUM(J1530:J1554)</f>
        <v>6</v>
      </c>
      <c r="K1555" s="26">
        <f>SUM(G1555:J1555)</f>
        <v>54</v>
      </c>
      <c r="L1555" s="27">
        <f t="shared" si="1371"/>
        <v>105</v>
      </c>
      <c r="N1555" s="61" t="s">
        <v>9</v>
      </c>
      <c r="O1555" s="28">
        <f>SUM(O1530:O1554)</f>
        <v>70</v>
      </c>
      <c r="P1555" s="36">
        <f t="shared" ref="P1555:R1555" si="1388">SUM(P1530:P1554)</f>
        <v>127</v>
      </c>
      <c r="Q1555" s="29">
        <f t="shared" si="1388"/>
        <v>45</v>
      </c>
      <c r="R1555" s="30">
        <f t="shared" si="1388"/>
        <v>60</v>
      </c>
      <c r="S1555" s="60">
        <f>SUM(O1555:R1555)</f>
        <v>302</v>
      </c>
      <c r="T1555" s="28">
        <f>SUM(T1530:T1554)</f>
        <v>75</v>
      </c>
      <c r="U1555" s="36">
        <f t="shared" ref="U1555:W1555" si="1389">SUM(U1530:U1554)</f>
        <v>132</v>
      </c>
      <c r="V1555" s="29">
        <f t="shared" si="1389"/>
        <v>45</v>
      </c>
      <c r="W1555" s="30">
        <f t="shared" si="1389"/>
        <v>55</v>
      </c>
      <c r="X1555" s="60">
        <f>SUM(T1555:W1555)</f>
        <v>307</v>
      </c>
      <c r="Y1555" s="63">
        <f>S1555+X1555</f>
        <v>609</v>
      </c>
    </row>
    <row r="1556" spans="1:26" ht="14.25" thickBot="1" x14ac:dyDescent="0.2">
      <c r="A1556" s="18" t="s">
        <v>10</v>
      </c>
      <c r="B1556" s="31">
        <f t="shared" ref="B1556:K1556" si="1390">B1529-B1555</f>
        <v>22</v>
      </c>
      <c r="C1556" s="37">
        <f t="shared" si="1390"/>
        <v>20</v>
      </c>
      <c r="D1556" s="32">
        <f t="shared" si="1390"/>
        <v>25</v>
      </c>
      <c r="E1556" s="33">
        <f t="shared" si="1390"/>
        <v>21</v>
      </c>
      <c r="F1556" s="42">
        <f t="shared" si="1390"/>
        <v>88</v>
      </c>
      <c r="G1556" s="31">
        <f t="shared" si="1390"/>
        <v>23</v>
      </c>
      <c r="H1556" s="37">
        <f t="shared" si="1390"/>
        <v>19</v>
      </c>
      <c r="I1556" s="32">
        <f t="shared" si="1390"/>
        <v>22</v>
      </c>
      <c r="J1556" s="33">
        <f t="shared" si="1390"/>
        <v>21</v>
      </c>
      <c r="K1556" s="42">
        <f t="shared" si="1390"/>
        <v>85</v>
      </c>
      <c r="L1556" s="17">
        <f t="shared" si="1371"/>
        <v>173</v>
      </c>
      <c r="N1556" s="16" t="s">
        <v>10</v>
      </c>
      <c r="O1556" s="31">
        <f>O1529-O1555</f>
        <v>597</v>
      </c>
      <c r="P1556" s="37">
        <f t="shared" ref="P1556:R1556" si="1391">P1529-P1555</f>
        <v>746</v>
      </c>
      <c r="Q1556" s="32">
        <f t="shared" si="1391"/>
        <v>454</v>
      </c>
      <c r="R1556" s="33">
        <f t="shared" si="1391"/>
        <v>315</v>
      </c>
      <c r="S1556" s="42">
        <f>S1529-S1555</f>
        <v>2112</v>
      </c>
      <c r="T1556" s="31">
        <f>T1529-T1555</f>
        <v>564</v>
      </c>
      <c r="U1556" s="37">
        <f t="shared" ref="U1556:W1556" si="1392">U1529-U1555</f>
        <v>748</v>
      </c>
      <c r="V1556" s="32">
        <f t="shared" si="1392"/>
        <v>505</v>
      </c>
      <c r="W1556" s="33">
        <f t="shared" si="1392"/>
        <v>345</v>
      </c>
      <c r="X1556" s="42">
        <f>X1529-X1555</f>
        <v>2162</v>
      </c>
      <c r="Y1556" s="17">
        <f>S1556+X1556</f>
        <v>4274</v>
      </c>
    </row>
    <row r="1557" spans="1:26" x14ac:dyDescent="0.15">
      <c r="N1557" s="180" t="s">
        <v>773</v>
      </c>
      <c r="O1557" s="87">
        <f>O1556/$S$1556*100</f>
        <v>28.267045454545453</v>
      </c>
      <c r="P1557" s="87">
        <f t="shared" ref="P1557:S1557" si="1393">P1556/$S$1556*100</f>
        <v>35.321969696969695</v>
      </c>
      <c r="Q1557" s="87">
        <f t="shared" si="1393"/>
        <v>21.496212121212121</v>
      </c>
      <c r="R1557" s="87">
        <f t="shared" si="1393"/>
        <v>14.914772727272727</v>
      </c>
      <c r="S1557" s="87">
        <f t="shared" si="1393"/>
        <v>100</v>
      </c>
      <c r="T1557" s="182">
        <f>T1556/$X$1556*100</f>
        <v>26.086956521739129</v>
      </c>
      <c r="U1557" s="182">
        <f t="shared" ref="U1557:X1557" si="1394">U1556/$X$1556*100</f>
        <v>34.597594819611473</v>
      </c>
      <c r="V1557" s="182">
        <f t="shared" si="1394"/>
        <v>23.358001850138759</v>
      </c>
      <c r="W1557" s="182">
        <f t="shared" si="1394"/>
        <v>15.957446808510639</v>
      </c>
      <c r="X1557" s="182">
        <f t="shared" si="1394"/>
        <v>100</v>
      </c>
    </row>
    <row r="1558" spans="1:26" x14ac:dyDescent="0.15">
      <c r="N1558" s="181" t="s">
        <v>772</v>
      </c>
      <c r="O1558" s="101">
        <v>26.7</v>
      </c>
      <c r="P1558" s="101">
        <v>36</v>
      </c>
      <c r="Q1558" s="101">
        <v>21.7</v>
      </c>
      <c r="R1558" s="101">
        <v>15.6</v>
      </c>
      <c r="S1558" s="101">
        <f>SUM(O1558:R1558)</f>
        <v>100</v>
      </c>
      <c r="T1558" s="101">
        <v>25.9</v>
      </c>
      <c r="U1558" s="101">
        <v>36.5</v>
      </c>
      <c r="V1558" s="101">
        <v>22.3</v>
      </c>
      <c r="W1558" s="101">
        <v>15.3</v>
      </c>
      <c r="X1558" s="101">
        <f>SUM(T1558:W1558)</f>
        <v>100</v>
      </c>
    </row>
    <row r="1559" spans="1:26" ht="19.5" thickBot="1" x14ac:dyDescent="0.25">
      <c r="A1559" s="2" t="s">
        <v>17</v>
      </c>
      <c r="B1559" s="2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N1559" s="2" t="s">
        <v>18</v>
      </c>
      <c r="O1559" s="87"/>
      <c r="P1559" s="87"/>
      <c r="Q1559" s="87"/>
      <c r="R1559" s="87"/>
      <c r="S1559" s="87"/>
      <c r="T1559" s="87"/>
      <c r="U1559" s="87"/>
      <c r="V1559" s="87"/>
      <c r="W1559" s="87"/>
      <c r="X1559" s="87"/>
      <c r="Y1559" s="1"/>
    </row>
    <row r="1560" spans="1:26" ht="14.25" thickBot="1" x14ac:dyDescent="0.2">
      <c r="A1560" s="5" t="s">
        <v>0</v>
      </c>
      <c r="B1560" s="244" t="s">
        <v>19</v>
      </c>
      <c r="C1560" s="245"/>
      <c r="D1560" s="245"/>
      <c r="E1560" s="245"/>
      <c r="F1560" s="246"/>
      <c r="G1560" s="247" t="s">
        <v>20</v>
      </c>
      <c r="H1560" s="248"/>
      <c r="I1560" s="248"/>
      <c r="J1560" s="248"/>
      <c r="K1560" s="249"/>
      <c r="L1560" s="250" t="s">
        <v>1</v>
      </c>
      <c r="N1560" s="5" t="s">
        <v>0</v>
      </c>
      <c r="O1560" s="244" t="s">
        <v>19</v>
      </c>
      <c r="P1560" s="245"/>
      <c r="Q1560" s="245"/>
      <c r="R1560" s="245"/>
      <c r="S1560" s="246"/>
      <c r="T1560" s="247" t="s">
        <v>20</v>
      </c>
      <c r="U1560" s="248"/>
      <c r="V1560" s="248"/>
      <c r="W1560" s="248"/>
      <c r="X1560" s="249"/>
      <c r="Y1560" s="250" t="s">
        <v>1</v>
      </c>
    </row>
    <row r="1561" spans="1:26" ht="14.25" thickBot="1" x14ac:dyDescent="0.2">
      <c r="A1561" s="5" t="s">
        <v>2</v>
      </c>
      <c r="B1561" s="3" t="s">
        <v>11</v>
      </c>
      <c r="C1561" s="34" t="s">
        <v>12</v>
      </c>
      <c r="D1561" s="4" t="s">
        <v>13</v>
      </c>
      <c r="E1561" s="19" t="s">
        <v>14</v>
      </c>
      <c r="F1561" s="23" t="s">
        <v>3</v>
      </c>
      <c r="G1561" s="3" t="s">
        <v>11</v>
      </c>
      <c r="H1561" s="34" t="s">
        <v>12</v>
      </c>
      <c r="I1561" s="4" t="s">
        <v>13</v>
      </c>
      <c r="J1561" s="19" t="s">
        <v>14</v>
      </c>
      <c r="K1561" s="23" t="s">
        <v>3</v>
      </c>
      <c r="L1561" s="251"/>
      <c r="N1561" s="5" t="s">
        <v>2</v>
      </c>
      <c r="O1561" s="53" t="s">
        <v>11</v>
      </c>
      <c r="P1561" s="54" t="s">
        <v>12</v>
      </c>
      <c r="Q1561" s="55" t="s">
        <v>13</v>
      </c>
      <c r="R1561" s="56" t="s">
        <v>14</v>
      </c>
      <c r="S1561" s="23" t="s">
        <v>3</v>
      </c>
      <c r="T1561" s="3" t="s">
        <v>11</v>
      </c>
      <c r="U1561" s="34" t="s">
        <v>12</v>
      </c>
      <c r="V1561" s="4" t="s">
        <v>13</v>
      </c>
      <c r="W1561" s="19" t="s">
        <v>14</v>
      </c>
      <c r="X1561" s="23" t="s">
        <v>3</v>
      </c>
      <c r="Y1561" s="251"/>
    </row>
    <row r="1562" spans="1:26" ht="14.25" thickBot="1" x14ac:dyDescent="0.2">
      <c r="A1562" s="18" t="s">
        <v>15</v>
      </c>
      <c r="B1562" s="31">
        <f>B1556</f>
        <v>22</v>
      </c>
      <c r="C1562" s="32">
        <f>C1556</f>
        <v>20</v>
      </c>
      <c r="D1562" s="32">
        <f>D1556</f>
        <v>25</v>
      </c>
      <c r="E1562" s="33">
        <f>E1556</f>
        <v>21</v>
      </c>
      <c r="F1562" s="86">
        <f>SUM(B1562:E1562)</f>
        <v>88</v>
      </c>
      <c r="G1562" s="31">
        <f>G1556</f>
        <v>23</v>
      </c>
      <c r="H1562" s="32">
        <f>H1556</f>
        <v>19</v>
      </c>
      <c r="I1562" s="32">
        <f>I1556</f>
        <v>22</v>
      </c>
      <c r="J1562" s="33">
        <f>J1556</f>
        <v>21</v>
      </c>
      <c r="K1562" s="80">
        <f>SUM(G1562:J1562)</f>
        <v>85</v>
      </c>
      <c r="L1562" s="17">
        <f>F1562+K1562</f>
        <v>173</v>
      </c>
      <c r="N1562" s="18" t="s">
        <v>15</v>
      </c>
      <c r="O1562" s="31">
        <f>O1556</f>
        <v>597</v>
      </c>
      <c r="P1562" s="32">
        <f t="shared" ref="P1562:Y1562" si="1395">P1556</f>
        <v>746</v>
      </c>
      <c r="Q1562" s="32">
        <f t="shared" si="1395"/>
        <v>454</v>
      </c>
      <c r="R1562" s="33">
        <f t="shared" si="1395"/>
        <v>315</v>
      </c>
      <c r="S1562" s="86">
        <f t="shared" si="1395"/>
        <v>2112</v>
      </c>
      <c r="T1562" s="31">
        <f t="shared" si="1395"/>
        <v>564</v>
      </c>
      <c r="U1562" s="32">
        <f t="shared" si="1395"/>
        <v>748</v>
      </c>
      <c r="V1562" s="32">
        <f t="shared" si="1395"/>
        <v>505</v>
      </c>
      <c r="W1562" s="33">
        <f t="shared" si="1395"/>
        <v>345</v>
      </c>
      <c r="X1562" s="80">
        <f t="shared" si="1395"/>
        <v>2162</v>
      </c>
      <c r="Y1562" s="17">
        <f t="shared" si="1395"/>
        <v>4274</v>
      </c>
    </row>
    <row r="1563" spans="1:26" x14ac:dyDescent="0.15">
      <c r="A1563" s="13" t="s">
        <v>4</v>
      </c>
      <c r="B1563" s="20">
        <v>5</v>
      </c>
      <c r="C1563" s="35">
        <v>5</v>
      </c>
      <c r="D1563" s="21"/>
      <c r="E1563" s="24"/>
      <c r="F1563" s="25">
        <f t="shared" ref="F1563:F1566" si="1396">SUM(B1563:E1563)</f>
        <v>10</v>
      </c>
      <c r="G1563" s="20"/>
      <c r="H1563" s="35">
        <v>5</v>
      </c>
      <c r="I1563" s="21"/>
      <c r="J1563" s="24"/>
      <c r="K1563" s="25">
        <f t="shared" ref="K1563:K1566" si="1397">SUM(G1563:J1563)</f>
        <v>5</v>
      </c>
      <c r="L1563" s="11">
        <f t="shared" ref="L1563:L1594" si="1398">F1563+K1563</f>
        <v>15</v>
      </c>
      <c r="M1563" s="69">
        <v>45976</v>
      </c>
      <c r="N1563" s="59" t="s">
        <v>16</v>
      </c>
      <c r="O1563" s="48"/>
      <c r="P1563" s="49"/>
      <c r="Q1563" s="50"/>
      <c r="R1563" s="51"/>
      <c r="S1563" s="85">
        <f t="shared" ref="S1563" si="1399">SUM(O1563:R1563)</f>
        <v>0</v>
      </c>
      <c r="T1563" s="48"/>
      <c r="U1563" s="49"/>
      <c r="V1563" s="50"/>
      <c r="W1563" s="51"/>
      <c r="X1563" s="74">
        <f t="shared" ref="X1563" si="1400">SUM(T1563:W1563)</f>
        <v>0</v>
      </c>
      <c r="Y1563" s="11">
        <f t="shared" ref="Y1563:Y1566" si="1401">S1563+X1563</f>
        <v>0</v>
      </c>
    </row>
    <row r="1564" spans="1:26" x14ac:dyDescent="0.15">
      <c r="A1564" s="13" t="s">
        <v>5</v>
      </c>
      <c r="B1564" s="20"/>
      <c r="C1564" s="35"/>
      <c r="D1564" s="21"/>
      <c r="E1564" s="24">
        <v>5</v>
      </c>
      <c r="F1564" s="25">
        <f t="shared" si="1396"/>
        <v>5</v>
      </c>
      <c r="G1564" s="20">
        <v>5</v>
      </c>
      <c r="H1564" s="35">
        <v>5</v>
      </c>
      <c r="I1564" s="21">
        <v>5</v>
      </c>
      <c r="J1564" s="24">
        <v>5</v>
      </c>
      <c r="K1564" s="25">
        <f t="shared" si="1397"/>
        <v>20</v>
      </c>
      <c r="L1564" s="11">
        <f t="shared" si="1398"/>
        <v>25</v>
      </c>
      <c r="M1564" s="69">
        <v>45986</v>
      </c>
      <c r="N1564" s="59" t="s">
        <v>4</v>
      </c>
      <c r="O1564" s="48"/>
      <c r="P1564" s="49"/>
      <c r="Q1564" s="50"/>
      <c r="R1564" s="51"/>
      <c r="S1564" s="85">
        <f t="shared" ref="S1564:S1565" si="1402">SUM(O1564:R1564)</f>
        <v>0</v>
      </c>
      <c r="T1564" s="48"/>
      <c r="U1564" s="49"/>
      <c r="V1564" s="50"/>
      <c r="W1564" s="51"/>
      <c r="X1564" s="74">
        <f t="shared" ref="X1564:X1565" si="1403">SUM(T1564:W1564)</f>
        <v>0</v>
      </c>
      <c r="Y1564" s="11">
        <f t="shared" ref="Y1564:Y1565" si="1404">S1564+X1564</f>
        <v>0</v>
      </c>
    </row>
    <row r="1565" spans="1:26" x14ac:dyDescent="0.15">
      <c r="A1565" s="13" t="s">
        <v>6</v>
      </c>
      <c r="B1565" s="20">
        <v>10</v>
      </c>
      <c r="C1565" s="35">
        <v>10</v>
      </c>
      <c r="D1565" s="21">
        <v>5</v>
      </c>
      <c r="E1565" s="24">
        <v>5</v>
      </c>
      <c r="F1565" s="25">
        <f t="shared" si="1396"/>
        <v>30</v>
      </c>
      <c r="G1565" s="20">
        <v>15</v>
      </c>
      <c r="H1565" s="35">
        <v>10</v>
      </c>
      <c r="I1565" s="21">
        <v>10</v>
      </c>
      <c r="J1565" s="24">
        <v>5</v>
      </c>
      <c r="K1565" s="25">
        <f t="shared" si="1397"/>
        <v>40</v>
      </c>
      <c r="L1565" s="11">
        <f t="shared" si="1398"/>
        <v>70</v>
      </c>
      <c r="M1565" s="69">
        <v>45987</v>
      </c>
      <c r="N1565" s="59" t="s">
        <v>5</v>
      </c>
      <c r="O1565" s="48"/>
      <c r="P1565" s="49"/>
      <c r="Q1565" s="50"/>
      <c r="R1565" s="51"/>
      <c r="S1565" s="85">
        <f t="shared" si="1402"/>
        <v>0</v>
      </c>
      <c r="T1565" s="48"/>
      <c r="U1565" s="49"/>
      <c r="V1565" s="50"/>
      <c r="W1565" s="51"/>
      <c r="X1565" s="74">
        <f t="shared" si="1403"/>
        <v>0</v>
      </c>
      <c r="Y1565" s="11">
        <f t="shared" si="1404"/>
        <v>0</v>
      </c>
    </row>
    <row r="1566" spans="1:26" ht="14.25" thickBot="1" x14ac:dyDescent="0.2">
      <c r="A1566" s="13" t="s">
        <v>7</v>
      </c>
      <c r="B1566" s="48"/>
      <c r="C1566" s="49">
        <v>5</v>
      </c>
      <c r="D1566" s="50"/>
      <c r="E1566" s="51"/>
      <c r="F1566" s="52">
        <f t="shared" si="1396"/>
        <v>5</v>
      </c>
      <c r="G1566" s="48"/>
      <c r="H1566" s="49">
        <v>5</v>
      </c>
      <c r="I1566" s="50"/>
      <c r="J1566" s="51"/>
      <c r="K1566" s="52">
        <f t="shared" si="1397"/>
        <v>5</v>
      </c>
      <c r="L1566" s="11">
        <f t="shared" si="1398"/>
        <v>10</v>
      </c>
      <c r="M1566" s="69">
        <v>45996</v>
      </c>
      <c r="N1566" s="13" t="s">
        <v>6</v>
      </c>
      <c r="O1566" s="43"/>
      <c r="P1566" s="44"/>
      <c r="Q1566" s="45"/>
      <c r="R1566" s="46"/>
      <c r="S1566" s="58">
        <f>SUM(O1566:R1566)</f>
        <v>0</v>
      </c>
      <c r="T1566" s="35"/>
      <c r="U1566" s="35"/>
      <c r="V1566" s="21"/>
      <c r="W1566" s="38"/>
      <c r="X1566" s="10">
        <f>SUM(T1566:W1566)</f>
        <v>0</v>
      </c>
      <c r="Y1566" s="14">
        <f t="shared" si="1401"/>
        <v>0</v>
      </c>
    </row>
    <row r="1567" spans="1:26" ht="14.25" thickBot="1" x14ac:dyDescent="0.2">
      <c r="A1567" s="18" t="s">
        <v>8</v>
      </c>
      <c r="B1567" s="76">
        <f t="shared" ref="B1567:K1567" si="1405">SUM(B1562:B1566)</f>
        <v>37</v>
      </c>
      <c r="C1567" s="77">
        <f t="shared" si="1405"/>
        <v>40</v>
      </c>
      <c r="D1567" s="78">
        <f t="shared" si="1405"/>
        <v>30</v>
      </c>
      <c r="E1567" s="79">
        <f t="shared" si="1405"/>
        <v>31</v>
      </c>
      <c r="F1567" s="80">
        <f t="shared" si="1405"/>
        <v>138</v>
      </c>
      <c r="G1567" s="76">
        <f t="shared" si="1405"/>
        <v>43</v>
      </c>
      <c r="H1567" s="77">
        <f t="shared" si="1405"/>
        <v>44</v>
      </c>
      <c r="I1567" s="78">
        <f t="shared" si="1405"/>
        <v>37</v>
      </c>
      <c r="J1567" s="79">
        <f t="shared" si="1405"/>
        <v>31</v>
      </c>
      <c r="K1567" s="80">
        <f t="shared" si="1405"/>
        <v>155</v>
      </c>
      <c r="L1567" s="17">
        <f t="shared" si="1398"/>
        <v>293</v>
      </c>
      <c r="N1567" s="16" t="s">
        <v>8</v>
      </c>
      <c r="O1567" s="31">
        <f>SUM(O1562:O1566)</f>
        <v>597</v>
      </c>
      <c r="P1567" s="37">
        <f t="shared" ref="P1567:R1567" si="1406">SUM(P1562:P1566)</f>
        <v>746</v>
      </c>
      <c r="Q1567" s="32">
        <f t="shared" si="1406"/>
        <v>454</v>
      </c>
      <c r="R1567" s="82">
        <f t="shared" si="1406"/>
        <v>315</v>
      </c>
      <c r="S1567" s="83">
        <f>SUM(S1562:S1566)</f>
        <v>2112</v>
      </c>
      <c r="T1567" s="31">
        <f>SUM(T1562:T1566)</f>
        <v>564</v>
      </c>
      <c r="U1567" s="37">
        <f t="shared" ref="U1567:W1567" si="1407">SUM(U1562:U1566)</f>
        <v>748</v>
      </c>
      <c r="V1567" s="32">
        <f t="shared" si="1407"/>
        <v>505</v>
      </c>
      <c r="W1567" s="82">
        <f t="shared" si="1407"/>
        <v>345</v>
      </c>
      <c r="X1567" s="83">
        <f>SUM(X1562:X1566)</f>
        <v>2162</v>
      </c>
      <c r="Y1567" s="39">
        <f>S1567+X1567</f>
        <v>4274</v>
      </c>
    </row>
    <row r="1568" spans="1:26" x14ac:dyDescent="0.15">
      <c r="A1568" s="59" t="s">
        <v>851</v>
      </c>
      <c r="B1568" s="20"/>
      <c r="C1568" s="35"/>
      <c r="D1568" s="21">
        <v>1</v>
      </c>
      <c r="E1568" s="24"/>
      <c r="F1568" s="25">
        <f t="shared" ref="F1568:F1592" si="1408">SUM(B1568:E1568)</f>
        <v>1</v>
      </c>
      <c r="G1568" s="20"/>
      <c r="H1568" s="35"/>
      <c r="I1568" s="21">
        <v>1</v>
      </c>
      <c r="J1568" s="24"/>
      <c r="K1568" s="25">
        <f t="shared" ref="K1568:K1592" si="1409">SUM(G1568:J1568)</f>
        <v>1</v>
      </c>
      <c r="L1568" s="11">
        <f t="shared" si="1398"/>
        <v>2</v>
      </c>
      <c r="M1568" s="69">
        <v>45980</v>
      </c>
      <c r="N1568" s="216" t="s">
        <v>856</v>
      </c>
      <c r="O1568" s="209">
        <v>5</v>
      </c>
      <c r="P1568" s="210">
        <v>5</v>
      </c>
      <c r="Q1568" s="211"/>
      <c r="R1568" s="217"/>
      <c r="S1568" s="218">
        <f t="shared" ref="S1568:S1580" si="1410">SUM(O1568:R1568)</f>
        <v>10</v>
      </c>
      <c r="T1568" s="209"/>
      <c r="U1568" s="210">
        <v>5</v>
      </c>
      <c r="V1568" s="211"/>
      <c r="W1568" s="217"/>
      <c r="X1568" s="218">
        <f t="shared" ref="X1568:X1580" si="1411">SUM(T1568:W1568)</f>
        <v>5</v>
      </c>
      <c r="Y1568" s="214">
        <f t="shared" ref="Y1568:Y1584" si="1412">S1568+X1568</f>
        <v>15</v>
      </c>
      <c r="Z1568" s="215">
        <v>45976</v>
      </c>
    </row>
    <row r="1569" spans="1:27" x14ac:dyDescent="0.15">
      <c r="A1569" s="59" t="s">
        <v>421</v>
      </c>
      <c r="B1569" s="20">
        <v>2</v>
      </c>
      <c r="C1569" s="35">
        <v>3</v>
      </c>
      <c r="D1569" s="21">
        <v>1</v>
      </c>
      <c r="E1569" s="24"/>
      <c r="F1569" s="25">
        <f t="shared" si="1408"/>
        <v>6</v>
      </c>
      <c r="G1569" s="20">
        <v>2</v>
      </c>
      <c r="H1569" s="35">
        <v>3</v>
      </c>
      <c r="I1569" s="21">
        <v>1</v>
      </c>
      <c r="J1569" s="24"/>
      <c r="K1569" s="25">
        <f t="shared" si="1409"/>
        <v>6</v>
      </c>
      <c r="L1569" s="11">
        <f t="shared" si="1398"/>
        <v>12</v>
      </c>
      <c r="M1569" s="69">
        <v>45979</v>
      </c>
      <c r="N1569" s="216" t="s">
        <v>863</v>
      </c>
      <c r="O1569" s="209"/>
      <c r="P1569" s="210"/>
      <c r="Q1569" s="211"/>
      <c r="R1569" s="217">
        <v>5</v>
      </c>
      <c r="S1569" s="218">
        <f t="shared" si="1410"/>
        <v>5</v>
      </c>
      <c r="T1569" s="209">
        <v>5</v>
      </c>
      <c r="U1569" s="210">
        <v>5</v>
      </c>
      <c r="V1569" s="211">
        <v>5</v>
      </c>
      <c r="W1569" s="217">
        <v>5</v>
      </c>
      <c r="X1569" s="218">
        <f t="shared" si="1411"/>
        <v>20</v>
      </c>
      <c r="Y1569" s="214">
        <f t="shared" si="1412"/>
        <v>25</v>
      </c>
      <c r="Z1569" s="215">
        <v>45986</v>
      </c>
    </row>
    <row r="1570" spans="1:27" x14ac:dyDescent="0.15">
      <c r="A1570" s="59" t="s">
        <v>27</v>
      </c>
      <c r="B1570" s="20">
        <v>1</v>
      </c>
      <c r="C1570" s="35"/>
      <c r="D1570" s="21"/>
      <c r="E1570" s="24"/>
      <c r="F1570" s="25">
        <f t="shared" si="1408"/>
        <v>1</v>
      </c>
      <c r="G1570" s="20">
        <v>1</v>
      </c>
      <c r="H1570" s="35"/>
      <c r="I1570" s="21">
        <v>3</v>
      </c>
      <c r="J1570" s="24"/>
      <c r="K1570" s="25">
        <f t="shared" si="1409"/>
        <v>4</v>
      </c>
      <c r="L1570" s="11">
        <f t="shared" si="1398"/>
        <v>5</v>
      </c>
      <c r="M1570" s="71">
        <v>45978</v>
      </c>
      <c r="N1570" s="40" t="s">
        <v>863</v>
      </c>
      <c r="O1570" s="20">
        <v>10</v>
      </c>
      <c r="P1570" s="35">
        <v>10</v>
      </c>
      <c r="Q1570" s="21">
        <v>5</v>
      </c>
      <c r="R1570" s="38">
        <v>5</v>
      </c>
      <c r="S1570" s="9">
        <f t="shared" si="1410"/>
        <v>30</v>
      </c>
      <c r="T1570" s="20">
        <v>15</v>
      </c>
      <c r="U1570" s="35">
        <v>10</v>
      </c>
      <c r="V1570" s="21">
        <v>10</v>
      </c>
      <c r="W1570" s="38">
        <v>5</v>
      </c>
      <c r="X1570" s="9">
        <f t="shared" si="1411"/>
        <v>40</v>
      </c>
      <c r="Y1570" s="11">
        <f t="shared" si="1412"/>
        <v>70</v>
      </c>
      <c r="Z1570" s="69">
        <v>45987</v>
      </c>
      <c r="AA1570" s="41"/>
    </row>
    <row r="1571" spans="1:27" x14ac:dyDescent="0.15">
      <c r="A1571" s="59" t="s">
        <v>802</v>
      </c>
      <c r="B1571" s="20"/>
      <c r="C1571" s="35"/>
      <c r="D1571" s="21"/>
      <c r="E1571" s="24">
        <v>1</v>
      </c>
      <c r="F1571" s="25">
        <f t="shared" si="1408"/>
        <v>1</v>
      </c>
      <c r="G1571" s="20"/>
      <c r="H1571" s="35"/>
      <c r="I1571" s="21"/>
      <c r="J1571" s="24">
        <v>1</v>
      </c>
      <c r="K1571" s="25">
        <f t="shared" si="1409"/>
        <v>1</v>
      </c>
      <c r="L1571" s="11">
        <f t="shared" si="1398"/>
        <v>2</v>
      </c>
      <c r="M1571" s="69">
        <v>45981</v>
      </c>
      <c r="N1571" s="40" t="s">
        <v>863</v>
      </c>
      <c r="O1571" s="20"/>
      <c r="P1571" s="35">
        <v>5</v>
      </c>
      <c r="Q1571" s="21"/>
      <c r="R1571" s="38"/>
      <c r="S1571" s="9">
        <f t="shared" si="1410"/>
        <v>5</v>
      </c>
      <c r="T1571" s="20"/>
      <c r="U1571" s="35">
        <v>5</v>
      </c>
      <c r="V1571" s="21"/>
      <c r="W1571" s="38"/>
      <c r="X1571" s="9">
        <f t="shared" si="1411"/>
        <v>5</v>
      </c>
      <c r="Y1571" s="11">
        <f t="shared" si="1412"/>
        <v>10</v>
      </c>
      <c r="Z1571" s="69">
        <v>45996</v>
      </c>
      <c r="AA1571" s="41"/>
    </row>
    <row r="1572" spans="1:27" x14ac:dyDescent="0.15">
      <c r="A1572" s="59" t="s">
        <v>27</v>
      </c>
      <c r="B1572" s="20"/>
      <c r="C1572" s="35">
        <v>1</v>
      </c>
      <c r="D1572" s="21"/>
      <c r="E1572" s="24">
        <v>1</v>
      </c>
      <c r="F1572" s="25">
        <f t="shared" si="1408"/>
        <v>2</v>
      </c>
      <c r="G1572" s="20"/>
      <c r="H1572" s="35">
        <v>1</v>
      </c>
      <c r="I1572" s="21"/>
      <c r="J1572" s="24">
        <v>1</v>
      </c>
      <c r="K1572" s="25">
        <f t="shared" si="1409"/>
        <v>2</v>
      </c>
      <c r="L1572" s="11">
        <f t="shared" si="1398"/>
        <v>4</v>
      </c>
      <c r="M1572" s="71">
        <v>45980</v>
      </c>
      <c r="N1572" s="40"/>
      <c r="O1572" s="20"/>
      <c r="P1572" s="35"/>
      <c r="Q1572" s="21"/>
      <c r="R1572" s="38"/>
      <c r="S1572" s="9">
        <f t="shared" si="1410"/>
        <v>0</v>
      </c>
      <c r="T1572" s="20"/>
      <c r="U1572" s="35"/>
      <c r="V1572" s="21"/>
      <c r="W1572" s="38"/>
      <c r="X1572" s="9">
        <f t="shared" si="1411"/>
        <v>0</v>
      </c>
      <c r="Y1572" s="11">
        <f t="shared" si="1412"/>
        <v>0</v>
      </c>
    </row>
    <row r="1573" spans="1:27" x14ac:dyDescent="0.15">
      <c r="A1573" s="59" t="s">
        <v>27</v>
      </c>
      <c r="B1573" s="20">
        <v>2</v>
      </c>
      <c r="C1573" s="35"/>
      <c r="D1573" s="21"/>
      <c r="E1573" s="24"/>
      <c r="F1573" s="25">
        <f t="shared" si="1408"/>
        <v>2</v>
      </c>
      <c r="G1573" s="20">
        <v>3</v>
      </c>
      <c r="H1573" s="35"/>
      <c r="I1573" s="21"/>
      <c r="J1573" s="24"/>
      <c r="K1573" s="25">
        <f t="shared" si="1409"/>
        <v>3</v>
      </c>
      <c r="L1573" s="11">
        <f t="shared" si="1398"/>
        <v>5</v>
      </c>
      <c r="M1573" s="71">
        <v>45981</v>
      </c>
      <c r="N1573" s="40"/>
      <c r="O1573" s="20"/>
      <c r="P1573" s="35"/>
      <c r="Q1573" s="21"/>
      <c r="R1573" s="38"/>
      <c r="S1573" s="9">
        <f t="shared" si="1410"/>
        <v>0</v>
      </c>
      <c r="T1573" s="20"/>
      <c r="U1573" s="35"/>
      <c r="V1573" s="21"/>
      <c r="W1573" s="38"/>
      <c r="X1573" s="9">
        <f t="shared" si="1411"/>
        <v>0</v>
      </c>
      <c r="Y1573" s="11">
        <f t="shared" si="1412"/>
        <v>0</v>
      </c>
    </row>
    <row r="1574" spans="1:27" x14ac:dyDescent="0.15">
      <c r="A1574" s="59" t="s">
        <v>27</v>
      </c>
      <c r="B1574" s="20">
        <v>1</v>
      </c>
      <c r="C1574" s="35"/>
      <c r="D1574" s="21"/>
      <c r="E1574" s="24"/>
      <c r="F1574" s="25">
        <f t="shared" si="1408"/>
        <v>1</v>
      </c>
      <c r="G1574" s="20">
        <v>2</v>
      </c>
      <c r="H1574" s="35"/>
      <c r="I1574" s="21"/>
      <c r="J1574" s="24"/>
      <c r="K1574" s="25">
        <f t="shared" si="1409"/>
        <v>2</v>
      </c>
      <c r="L1574" s="11">
        <f t="shared" si="1398"/>
        <v>3</v>
      </c>
      <c r="M1574" s="69">
        <v>45982</v>
      </c>
      <c r="N1574" s="40"/>
      <c r="O1574" s="20"/>
      <c r="P1574" s="35"/>
      <c r="Q1574" s="21"/>
      <c r="R1574" s="38"/>
      <c r="S1574" s="9">
        <f t="shared" si="1410"/>
        <v>0</v>
      </c>
      <c r="T1574" s="20"/>
      <c r="U1574" s="35"/>
      <c r="V1574" s="21"/>
      <c r="W1574" s="38"/>
      <c r="X1574" s="9">
        <f t="shared" si="1411"/>
        <v>0</v>
      </c>
      <c r="Y1574" s="11">
        <f t="shared" si="1412"/>
        <v>0</v>
      </c>
    </row>
    <row r="1575" spans="1:27" x14ac:dyDescent="0.15">
      <c r="A1575" s="59" t="s">
        <v>421</v>
      </c>
      <c r="B1575" s="20"/>
      <c r="C1575" s="35"/>
      <c r="D1575" s="21"/>
      <c r="E1575" s="24">
        <v>2</v>
      </c>
      <c r="F1575" s="25">
        <f t="shared" si="1408"/>
        <v>2</v>
      </c>
      <c r="G1575" s="20">
        <v>1</v>
      </c>
      <c r="H1575" s="35"/>
      <c r="I1575" s="21"/>
      <c r="J1575" s="24">
        <v>2</v>
      </c>
      <c r="K1575" s="25">
        <f t="shared" si="1409"/>
        <v>3</v>
      </c>
      <c r="L1575" s="11">
        <f t="shared" si="1398"/>
        <v>5</v>
      </c>
      <c r="M1575" s="69">
        <v>45983</v>
      </c>
      <c r="N1575" s="40"/>
      <c r="O1575" s="20"/>
      <c r="P1575" s="35"/>
      <c r="Q1575" s="21"/>
      <c r="R1575" s="38"/>
      <c r="S1575" s="9">
        <f t="shared" si="1410"/>
        <v>0</v>
      </c>
      <c r="T1575" s="20"/>
      <c r="U1575" s="35"/>
      <c r="V1575" s="21"/>
      <c r="W1575" s="38"/>
      <c r="X1575" s="9">
        <f t="shared" si="1411"/>
        <v>0</v>
      </c>
      <c r="Y1575" s="11">
        <f t="shared" si="1412"/>
        <v>0</v>
      </c>
    </row>
    <row r="1576" spans="1:27" x14ac:dyDescent="0.15">
      <c r="A1576" s="59" t="s">
        <v>27</v>
      </c>
      <c r="B1576" s="20">
        <v>2</v>
      </c>
      <c r="C1576" s="35">
        <v>2</v>
      </c>
      <c r="D1576" s="21">
        <v>2</v>
      </c>
      <c r="E1576" s="24">
        <v>1</v>
      </c>
      <c r="F1576" s="25">
        <f t="shared" si="1408"/>
        <v>7</v>
      </c>
      <c r="G1576" s="20">
        <v>6</v>
      </c>
      <c r="H1576" s="35">
        <v>5</v>
      </c>
      <c r="I1576" s="21">
        <v>4</v>
      </c>
      <c r="J1576" s="24"/>
      <c r="K1576" s="25">
        <f t="shared" si="1409"/>
        <v>15</v>
      </c>
      <c r="L1576" s="11">
        <f t="shared" si="1398"/>
        <v>22</v>
      </c>
      <c r="M1576" s="69">
        <v>45986</v>
      </c>
      <c r="N1576" s="40"/>
      <c r="O1576" s="20"/>
      <c r="P1576" s="35"/>
      <c r="Q1576" s="21"/>
      <c r="R1576" s="38"/>
      <c r="S1576" s="9">
        <f t="shared" si="1410"/>
        <v>0</v>
      </c>
      <c r="T1576" s="20"/>
      <c r="U1576" s="35"/>
      <c r="V1576" s="21"/>
      <c r="W1576" s="38"/>
      <c r="X1576" s="9">
        <f t="shared" si="1411"/>
        <v>0</v>
      </c>
      <c r="Y1576" s="11">
        <f t="shared" si="1412"/>
        <v>0</v>
      </c>
    </row>
    <row r="1577" spans="1:27" x14ac:dyDescent="0.15">
      <c r="A1577" s="59" t="s">
        <v>421</v>
      </c>
      <c r="B1577" s="20">
        <v>2</v>
      </c>
      <c r="C1577" s="35">
        <v>1</v>
      </c>
      <c r="D1577" s="21">
        <v>1</v>
      </c>
      <c r="E1577" s="24"/>
      <c r="F1577" s="25">
        <f t="shared" si="1408"/>
        <v>4</v>
      </c>
      <c r="G1577" s="20">
        <v>2</v>
      </c>
      <c r="H1577" s="35"/>
      <c r="I1577" s="21">
        <v>1</v>
      </c>
      <c r="J1577" s="24"/>
      <c r="K1577" s="25">
        <f t="shared" si="1409"/>
        <v>3</v>
      </c>
      <c r="L1577" s="11">
        <f t="shared" si="1398"/>
        <v>7</v>
      </c>
      <c r="M1577" s="69">
        <v>45987</v>
      </c>
      <c r="N1577" s="40"/>
      <c r="O1577" s="20"/>
      <c r="P1577" s="35"/>
      <c r="Q1577" s="21"/>
      <c r="R1577" s="38"/>
      <c r="S1577" s="9">
        <f t="shared" si="1410"/>
        <v>0</v>
      </c>
      <c r="T1577" s="20"/>
      <c r="U1577" s="35"/>
      <c r="V1577" s="21"/>
      <c r="W1577" s="38"/>
      <c r="X1577" s="9">
        <f t="shared" si="1411"/>
        <v>0</v>
      </c>
      <c r="Y1577" s="11">
        <f t="shared" si="1412"/>
        <v>0</v>
      </c>
    </row>
    <row r="1578" spans="1:27" x14ac:dyDescent="0.15">
      <c r="A1578" s="59" t="s">
        <v>802</v>
      </c>
      <c r="B1578" s="20">
        <v>1</v>
      </c>
      <c r="C1578" s="35"/>
      <c r="D1578" s="21"/>
      <c r="E1578" s="24"/>
      <c r="F1578" s="25">
        <f t="shared" si="1408"/>
        <v>1</v>
      </c>
      <c r="G1578" s="20">
        <v>1</v>
      </c>
      <c r="H1578" s="35"/>
      <c r="I1578" s="21"/>
      <c r="J1578" s="24"/>
      <c r="K1578" s="25">
        <f t="shared" si="1409"/>
        <v>1</v>
      </c>
      <c r="L1578" s="11">
        <f t="shared" si="1398"/>
        <v>2</v>
      </c>
      <c r="M1578" s="69">
        <v>45989</v>
      </c>
      <c r="N1578" s="40"/>
      <c r="O1578" s="20"/>
      <c r="P1578" s="35"/>
      <c r="Q1578" s="21"/>
      <c r="R1578" s="38"/>
      <c r="S1578" s="9">
        <f t="shared" si="1410"/>
        <v>0</v>
      </c>
      <c r="T1578" s="20"/>
      <c r="U1578" s="35"/>
      <c r="V1578" s="21"/>
      <c r="W1578" s="38"/>
      <c r="X1578" s="9">
        <f t="shared" si="1411"/>
        <v>0</v>
      </c>
      <c r="Y1578" s="11">
        <f t="shared" si="1412"/>
        <v>0</v>
      </c>
    </row>
    <row r="1579" spans="1:27" x14ac:dyDescent="0.15">
      <c r="A1579" s="59" t="s">
        <v>421</v>
      </c>
      <c r="B1579" s="20"/>
      <c r="C1579" s="35">
        <v>1</v>
      </c>
      <c r="D1579" s="21">
        <v>1</v>
      </c>
      <c r="E1579" s="24"/>
      <c r="F1579" s="25">
        <f t="shared" si="1408"/>
        <v>2</v>
      </c>
      <c r="G1579" s="20">
        <v>1</v>
      </c>
      <c r="H1579" s="35">
        <v>1</v>
      </c>
      <c r="I1579" s="21">
        <v>1</v>
      </c>
      <c r="J1579" s="24">
        <v>1</v>
      </c>
      <c r="K1579" s="25">
        <f t="shared" si="1409"/>
        <v>4</v>
      </c>
      <c r="L1579" s="11">
        <f t="shared" si="1398"/>
        <v>6</v>
      </c>
      <c r="M1579" s="69">
        <v>45988</v>
      </c>
      <c r="N1579" s="40"/>
      <c r="O1579" s="20"/>
      <c r="P1579" s="35"/>
      <c r="Q1579" s="21"/>
      <c r="R1579" s="38"/>
      <c r="S1579" s="9">
        <f t="shared" si="1410"/>
        <v>0</v>
      </c>
      <c r="T1579" s="20"/>
      <c r="U1579" s="35"/>
      <c r="V1579" s="21"/>
      <c r="W1579" s="38"/>
      <c r="X1579" s="9">
        <f t="shared" si="1411"/>
        <v>0</v>
      </c>
      <c r="Y1579" s="11">
        <f t="shared" si="1412"/>
        <v>0</v>
      </c>
    </row>
    <row r="1580" spans="1:27" x14ac:dyDescent="0.15">
      <c r="A1580" s="59" t="s">
        <v>27</v>
      </c>
      <c r="B1580" s="20"/>
      <c r="C1580" s="35"/>
      <c r="D1580" s="21"/>
      <c r="E1580" s="24"/>
      <c r="F1580" s="25">
        <f t="shared" si="1408"/>
        <v>0</v>
      </c>
      <c r="G1580" s="20">
        <v>3</v>
      </c>
      <c r="H1580" s="35"/>
      <c r="I1580" s="21"/>
      <c r="J1580" s="24"/>
      <c r="K1580" s="25">
        <f t="shared" si="1409"/>
        <v>3</v>
      </c>
      <c r="L1580" s="11">
        <f t="shared" si="1398"/>
        <v>3</v>
      </c>
      <c r="M1580" s="71">
        <v>45987</v>
      </c>
      <c r="N1580" s="40"/>
      <c r="O1580" s="20"/>
      <c r="P1580" s="35"/>
      <c r="Q1580" s="21"/>
      <c r="R1580" s="38"/>
      <c r="S1580" s="9">
        <f t="shared" si="1410"/>
        <v>0</v>
      </c>
      <c r="T1580" s="20"/>
      <c r="U1580" s="35"/>
      <c r="V1580" s="21"/>
      <c r="W1580" s="38"/>
      <c r="X1580" s="9">
        <f t="shared" si="1411"/>
        <v>0</v>
      </c>
      <c r="Y1580" s="11">
        <f t="shared" si="1412"/>
        <v>0</v>
      </c>
    </row>
    <row r="1581" spans="1:27" x14ac:dyDescent="0.15">
      <c r="A1581" s="59" t="s">
        <v>802</v>
      </c>
      <c r="B1581" s="20"/>
      <c r="C1581" s="35"/>
      <c r="D1581" s="21"/>
      <c r="E1581" s="24">
        <v>1</v>
      </c>
      <c r="F1581" s="25">
        <f t="shared" si="1408"/>
        <v>1</v>
      </c>
      <c r="G1581" s="20"/>
      <c r="H1581" s="35"/>
      <c r="I1581" s="21"/>
      <c r="J1581" s="24">
        <v>1</v>
      </c>
      <c r="K1581" s="25">
        <f t="shared" si="1409"/>
        <v>1</v>
      </c>
      <c r="L1581" s="11">
        <f t="shared" si="1398"/>
        <v>2</v>
      </c>
      <c r="M1581" s="69">
        <v>45989</v>
      </c>
      <c r="N1581" s="12"/>
      <c r="O1581" s="20"/>
      <c r="P1581" s="35"/>
      <c r="Q1581" s="21"/>
      <c r="R1581" s="38"/>
      <c r="S1581" s="9">
        <f>SUM(O1581:R1581)</f>
        <v>0</v>
      </c>
      <c r="T1581" s="20"/>
      <c r="U1581" s="35"/>
      <c r="V1581" s="21"/>
      <c r="W1581" s="38"/>
      <c r="X1581" s="9">
        <f>SUM(T1581:W1581)</f>
        <v>0</v>
      </c>
      <c r="Y1581" s="11">
        <f t="shared" si="1412"/>
        <v>0</v>
      </c>
    </row>
    <row r="1582" spans="1:27" x14ac:dyDescent="0.15">
      <c r="A1582" s="59" t="s">
        <v>27</v>
      </c>
      <c r="B1582" s="20"/>
      <c r="C1582" s="35"/>
      <c r="D1582" s="21">
        <v>2</v>
      </c>
      <c r="E1582" s="24"/>
      <c r="F1582" s="25">
        <f t="shared" si="1408"/>
        <v>2</v>
      </c>
      <c r="G1582" s="20"/>
      <c r="H1582" s="35">
        <v>2</v>
      </c>
      <c r="I1582" s="21">
        <v>2</v>
      </c>
      <c r="J1582" s="24"/>
      <c r="K1582" s="25">
        <f t="shared" si="1409"/>
        <v>4</v>
      </c>
      <c r="L1582" s="11">
        <f t="shared" si="1398"/>
        <v>6</v>
      </c>
      <c r="M1582" s="71">
        <v>45988</v>
      </c>
      <c r="N1582" s="40"/>
      <c r="O1582" s="20"/>
      <c r="P1582" s="35"/>
      <c r="Q1582" s="21"/>
      <c r="R1582" s="38"/>
      <c r="S1582" s="9">
        <f t="shared" ref="S1582:S1584" si="1413">SUM(O1582:R1582)</f>
        <v>0</v>
      </c>
      <c r="T1582" s="20"/>
      <c r="U1582" s="35"/>
      <c r="V1582" s="21"/>
      <c r="W1582" s="38"/>
      <c r="X1582" s="9">
        <f t="shared" ref="X1582:X1584" si="1414">SUM(T1582:W1582)</f>
        <v>0</v>
      </c>
      <c r="Y1582" s="11">
        <f t="shared" si="1412"/>
        <v>0</v>
      </c>
    </row>
    <row r="1583" spans="1:27" x14ac:dyDescent="0.15">
      <c r="A1583" s="59" t="s">
        <v>27</v>
      </c>
      <c r="B1583" s="20">
        <v>1</v>
      </c>
      <c r="C1583" s="35"/>
      <c r="D1583" s="21"/>
      <c r="E1583" s="24"/>
      <c r="F1583" s="25">
        <f t="shared" si="1408"/>
        <v>1</v>
      </c>
      <c r="G1583" s="20"/>
      <c r="H1583" s="35"/>
      <c r="I1583" s="21">
        <v>1</v>
      </c>
      <c r="J1583" s="24"/>
      <c r="K1583" s="25">
        <f t="shared" si="1409"/>
        <v>1</v>
      </c>
      <c r="L1583" s="11">
        <f t="shared" si="1398"/>
        <v>2</v>
      </c>
      <c r="M1583" s="71">
        <v>45989</v>
      </c>
      <c r="N1583" s="15"/>
      <c r="O1583" s="20"/>
      <c r="P1583" s="35"/>
      <c r="Q1583" s="21"/>
      <c r="R1583" s="38"/>
      <c r="S1583" s="9">
        <f t="shared" si="1413"/>
        <v>0</v>
      </c>
      <c r="T1583" s="20"/>
      <c r="U1583" s="35"/>
      <c r="V1583" s="21"/>
      <c r="W1583" s="38"/>
      <c r="X1583" s="9">
        <f t="shared" si="1414"/>
        <v>0</v>
      </c>
      <c r="Y1583" s="11">
        <f t="shared" si="1412"/>
        <v>0</v>
      </c>
    </row>
    <row r="1584" spans="1:27" x14ac:dyDescent="0.15">
      <c r="A1584" s="59" t="s">
        <v>27</v>
      </c>
      <c r="B1584" s="20"/>
      <c r="C1584" s="35">
        <v>1</v>
      </c>
      <c r="D1584" s="21"/>
      <c r="E1584" s="24"/>
      <c r="F1584" s="25">
        <f t="shared" si="1408"/>
        <v>1</v>
      </c>
      <c r="G1584" s="20"/>
      <c r="H1584" s="35">
        <v>1</v>
      </c>
      <c r="I1584" s="21">
        <v>4</v>
      </c>
      <c r="J1584" s="24"/>
      <c r="K1584" s="25">
        <f t="shared" si="1409"/>
        <v>5</v>
      </c>
      <c r="L1584" s="11">
        <f t="shared" si="1398"/>
        <v>6</v>
      </c>
      <c r="M1584" s="69">
        <v>45990</v>
      </c>
      <c r="N1584" s="15"/>
      <c r="O1584" s="20"/>
      <c r="P1584" s="35"/>
      <c r="Q1584" s="21"/>
      <c r="R1584" s="38"/>
      <c r="S1584" s="9">
        <f t="shared" si="1413"/>
        <v>0</v>
      </c>
      <c r="T1584" s="20"/>
      <c r="U1584" s="35"/>
      <c r="V1584" s="21"/>
      <c r="W1584" s="38"/>
      <c r="X1584" s="9">
        <f t="shared" si="1414"/>
        <v>0</v>
      </c>
      <c r="Y1584" s="11">
        <f t="shared" si="1412"/>
        <v>0</v>
      </c>
    </row>
    <row r="1585" spans="1:25" x14ac:dyDescent="0.15">
      <c r="A1585" s="59" t="s">
        <v>802</v>
      </c>
      <c r="B1585" s="20">
        <v>2</v>
      </c>
      <c r="C1585" s="35"/>
      <c r="D1585" s="21"/>
      <c r="E1585" s="24"/>
      <c r="F1585" s="25">
        <f t="shared" si="1408"/>
        <v>2</v>
      </c>
      <c r="G1585" s="20">
        <v>2</v>
      </c>
      <c r="H1585" s="35"/>
      <c r="I1585" s="21"/>
      <c r="J1585" s="24"/>
      <c r="K1585" s="25">
        <f t="shared" si="1409"/>
        <v>2</v>
      </c>
      <c r="L1585" s="11">
        <f t="shared" si="1398"/>
        <v>4</v>
      </c>
      <c r="M1585" s="69">
        <v>45994</v>
      </c>
      <c r="N1585" s="15"/>
      <c r="O1585" s="20"/>
      <c r="P1585" s="35"/>
      <c r="Q1585" s="21"/>
      <c r="R1585" s="38"/>
      <c r="S1585" s="9">
        <f t="shared" ref="S1585:S1590" si="1415">SUM(O1585:R1585)</f>
        <v>0</v>
      </c>
      <c r="T1585" s="20"/>
      <c r="U1585" s="35"/>
      <c r="V1585" s="21"/>
      <c r="W1585" s="38"/>
      <c r="X1585" s="9">
        <f t="shared" ref="X1585:X1590" si="1416">SUM(T1585:W1585)</f>
        <v>0</v>
      </c>
      <c r="Y1585" s="11">
        <f t="shared" ref="Y1585:Y1590" si="1417">S1585+X1585</f>
        <v>0</v>
      </c>
    </row>
    <row r="1586" spans="1:25" x14ac:dyDescent="0.15">
      <c r="A1586" s="59" t="s">
        <v>27</v>
      </c>
      <c r="B1586" s="20">
        <v>1</v>
      </c>
      <c r="C1586" s="35"/>
      <c r="D1586" s="21">
        <v>1</v>
      </c>
      <c r="E1586" s="24">
        <v>1</v>
      </c>
      <c r="F1586" s="25">
        <f t="shared" si="1408"/>
        <v>3</v>
      </c>
      <c r="G1586" s="20">
        <v>1</v>
      </c>
      <c r="H1586" s="35"/>
      <c r="I1586" s="21">
        <v>1</v>
      </c>
      <c r="J1586" s="24">
        <v>1</v>
      </c>
      <c r="K1586" s="25">
        <f t="shared" si="1409"/>
        <v>3</v>
      </c>
      <c r="L1586" s="11">
        <f t="shared" si="1398"/>
        <v>6</v>
      </c>
      <c r="M1586" s="71">
        <v>45992</v>
      </c>
      <c r="N1586" s="15"/>
      <c r="O1586" s="20"/>
      <c r="P1586" s="35"/>
      <c r="Q1586" s="21"/>
      <c r="R1586" s="38"/>
      <c r="S1586" s="9">
        <f t="shared" si="1415"/>
        <v>0</v>
      </c>
      <c r="T1586" s="20"/>
      <c r="U1586" s="35"/>
      <c r="V1586" s="21"/>
      <c r="W1586" s="38"/>
      <c r="X1586" s="9">
        <f t="shared" si="1416"/>
        <v>0</v>
      </c>
      <c r="Y1586" s="11">
        <f t="shared" si="1417"/>
        <v>0</v>
      </c>
    </row>
    <row r="1587" spans="1:25" x14ac:dyDescent="0.15">
      <c r="A1587" s="59" t="s">
        <v>421</v>
      </c>
      <c r="B1587" s="20"/>
      <c r="C1587" s="35">
        <v>1</v>
      </c>
      <c r="D1587" s="21"/>
      <c r="E1587" s="24"/>
      <c r="F1587" s="25">
        <f t="shared" si="1408"/>
        <v>1</v>
      </c>
      <c r="G1587" s="20"/>
      <c r="H1587" s="35"/>
      <c r="I1587" s="21"/>
      <c r="J1587" s="24"/>
      <c r="K1587" s="25">
        <f t="shared" si="1409"/>
        <v>0</v>
      </c>
      <c r="L1587" s="11">
        <f t="shared" si="1398"/>
        <v>1</v>
      </c>
      <c r="M1587" s="69">
        <v>45993</v>
      </c>
      <c r="N1587" s="15"/>
      <c r="O1587" s="20"/>
      <c r="P1587" s="35"/>
      <c r="Q1587" s="21"/>
      <c r="R1587" s="38"/>
      <c r="S1587" s="9">
        <f t="shared" si="1415"/>
        <v>0</v>
      </c>
      <c r="T1587" s="20"/>
      <c r="U1587" s="35"/>
      <c r="V1587" s="21"/>
      <c r="W1587" s="38"/>
      <c r="X1587" s="9">
        <f t="shared" si="1416"/>
        <v>0</v>
      </c>
      <c r="Y1587" s="11">
        <f t="shared" si="1417"/>
        <v>0</v>
      </c>
    </row>
    <row r="1588" spans="1:25" x14ac:dyDescent="0.15">
      <c r="A1588" s="40" t="s">
        <v>868</v>
      </c>
      <c r="B1588" s="20"/>
      <c r="C1588" s="35">
        <v>5</v>
      </c>
      <c r="D1588" s="21"/>
      <c r="E1588" s="24"/>
      <c r="F1588" s="25">
        <f t="shared" si="1408"/>
        <v>5</v>
      </c>
      <c r="G1588" s="20"/>
      <c r="H1588" s="35">
        <v>5</v>
      </c>
      <c r="I1588" s="21"/>
      <c r="J1588" s="24"/>
      <c r="K1588" s="25">
        <f t="shared" si="1409"/>
        <v>5</v>
      </c>
      <c r="L1588" s="11">
        <f t="shared" si="1398"/>
        <v>10</v>
      </c>
      <c r="M1588" s="69">
        <v>45996</v>
      </c>
      <c r="N1588" s="15"/>
      <c r="O1588" s="20"/>
      <c r="P1588" s="35"/>
      <c r="Q1588" s="21"/>
      <c r="R1588" s="38"/>
      <c r="S1588" s="9">
        <f t="shared" si="1415"/>
        <v>0</v>
      </c>
      <c r="T1588" s="20"/>
      <c r="U1588" s="35"/>
      <c r="V1588" s="21"/>
      <c r="W1588" s="38"/>
      <c r="X1588" s="9">
        <f t="shared" si="1416"/>
        <v>0</v>
      </c>
      <c r="Y1588" s="11">
        <f t="shared" si="1417"/>
        <v>0</v>
      </c>
    </row>
    <row r="1589" spans="1:25" x14ac:dyDescent="0.15">
      <c r="A1589" s="59" t="s">
        <v>27</v>
      </c>
      <c r="B1589" s="20"/>
      <c r="C1589" s="35">
        <v>2</v>
      </c>
      <c r="D1589" s="21"/>
      <c r="E1589" s="24"/>
      <c r="F1589" s="25">
        <f t="shared" si="1408"/>
        <v>2</v>
      </c>
      <c r="G1589" s="20"/>
      <c r="H1589" s="35">
        <v>6</v>
      </c>
      <c r="I1589" s="21"/>
      <c r="J1589" s="24"/>
      <c r="K1589" s="25">
        <f t="shared" si="1409"/>
        <v>6</v>
      </c>
      <c r="L1589" s="11">
        <f t="shared" si="1398"/>
        <v>8</v>
      </c>
      <c r="M1589" s="71">
        <v>45993</v>
      </c>
      <c r="N1589" s="15"/>
      <c r="O1589" s="20"/>
      <c r="P1589" s="35"/>
      <c r="Q1589" s="21"/>
      <c r="R1589" s="38"/>
      <c r="S1589" s="9">
        <f t="shared" si="1415"/>
        <v>0</v>
      </c>
      <c r="T1589" s="20"/>
      <c r="U1589" s="35"/>
      <c r="V1589" s="21"/>
      <c r="W1589" s="38"/>
      <c r="X1589" s="9">
        <f t="shared" si="1416"/>
        <v>0</v>
      </c>
      <c r="Y1589" s="11">
        <f t="shared" si="1417"/>
        <v>0</v>
      </c>
    </row>
    <row r="1590" spans="1:25" x14ac:dyDescent="0.15">
      <c r="A1590" s="59" t="s">
        <v>27</v>
      </c>
      <c r="B1590" s="20">
        <v>1</v>
      </c>
      <c r="C1590" s="35"/>
      <c r="D1590" s="21">
        <v>1</v>
      </c>
      <c r="E1590" s="24"/>
      <c r="F1590" s="25">
        <f t="shared" si="1408"/>
        <v>2</v>
      </c>
      <c r="G1590" s="20"/>
      <c r="H1590" s="35">
        <v>1</v>
      </c>
      <c r="I1590" s="21"/>
      <c r="J1590" s="24"/>
      <c r="K1590" s="25">
        <f t="shared" si="1409"/>
        <v>1</v>
      </c>
      <c r="L1590" s="11">
        <f t="shared" si="1398"/>
        <v>3</v>
      </c>
      <c r="M1590" s="71">
        <v>45994</v>
      </c>
      <c r="N1590" s="15"/>
      <c r="O1590" s="20"/>
      <c r="P1590" s="35"/>
      <c r="Q1590" s="21"/>
      <c r="R1590" s="38"/>
      <c r="S1590" s="9">
        <f t="shared" si="1415"/>
        <v>0</v>
      </c>
      <c r="T1590" s="20"/>
      <c r="U1590" s="35"/>
      <c r="V1590" s="21"/>
      <c r="W1590" s="38"/>
      <c r="X1590" s="9">
        <f t="shared" si="1416"/>
        <v>0</v>
      </c>
      <c r="Y1590" s="11">
        <f t="shared" si="1417"/>
        <v>0</v>
      </c>
    </row>
    <row r="1591" spans="1:25" x14ac:dyDescent="0.15">
      <c r="A1591" s="59" t="s">
        <v>421</v>
      </c>
      <c r="B1591" s="20">
        <v>1</v>
      </c>
      <c r="C1591" s="35"/>
      <c r="D1591" s="21"/>
      <c r="E1591" s="24"/>
      <c r="F1591" s="25">
        <f t="shared" si="1408"/>
        <v>1</v>
      </c>
      <c r="G1591" s="20"/>
      <c r="H1591" s="35"/>
      <c r="I1591" s="21"/>
      <c r="J1591" s="24"/>
      <c r="K1591" s="25">
        <f t="shared" si="1409"/>
        <v>0</v>
      </c>
      <c r="L1591" s="11">
        <f t="shared" si="1398"/>
        <v>1</v>
      </c>
      <c r="M1591" s="69">
        <v>45996</v>
      </c>
      <c r="N1591" s="15"/>
      <c r="O1591" s="20"/>
      <c r="P1591" s="35"/>
      <c r="Q1591" s="21"/>
      <c r="R1591" s="38"/>
      <c r="S1591" s="9">
        <f t="shared" ref="S1591:S1592" si="1418">SUM(O1591:R1591)</f>
        <v>0</v>
      </c>
      <c r="T1591" s="20"/>
      <c r="U1591" s="35"/>
      <c r="V1591" s="21"/>
      <c r="W1591" s="38"/>
      <c r="X1591" s="9">
        <f t="shared" ref="X1591:X1592" si="1419">SUM(T1591:W1591)</f>
        <v>0</v>
      </c>
      <c r="Y1591" s="11">
        <f t="shared" ref="Y1591:Y1592" si="1420">S1591+X1591</f>
        <v>0</v>
      </c>
    </row>
    <row r="1592" spans="1:25" ht="14.25" thickBot="1" x14ac:dyDescent="0.2">
      <c r="A1592" s="15" t="s">
        <v>27</v>
      </c>
      <c r="B1592" s="43"/>
      <c r="C1592" s="44"/>
      <c r="D1592" s="45"/>
      <c r="E1592" s="46"/>
      <c r="F1592" s="25">
        <f t="shared" si="1408"/>
        <v>0</v>
      </c>
      <c r="G1592" s="43">
        <v>2</v>
      </c>
      <c r="H1592" s="44"/>
      <c r="I1592" s="45"/>
      <c r="J1592" s="46"/>
      <c r="K1592" s="25">
        <f t="shared" si="1409"/>
        <v>2</v>
      </c>
      <c r="L1592" s="14">
        <f t="shared" si="1398"/>
        <v>2</v>
      </c>
      <c r="M1592" s="71">
        <v>45995</v>
      </c>
      <c r="N1592" s="221"/>
      <c r="O1592" s="43"/>
      <c r="P1592" s="44"/>
      <c r="Q1592" s="45"/>
      <c r="R1592" s="100"/>
      <c r="S1592" s="10">
        <f t="shared" si="1418"/>
        <v>0</v>
      </c>
      <c r="T1592" s="43"/>
      <c r="U1592" s="44"/>
      <c r="V1592" s="45"/>
      <c r="W1592" s="100"/>
      <c r="X1592" s="10">
        <f t="shared" si="1419"/>
        <v>0</v>
      </c>
      <c r="Y1592" s="75">
        <f t="shared" si="1420"/>
        <v>0</v>
      </c>
    </row>
    <row r="1593" spans="1:25" ht="14.25" thickBot="1" x14ac:dyDescent="0.2">
      <c r="A1593" s="16" t="s">
        <v>9</v>
      </c>
      <c r="B1593" s="28">
        <f>SUM(B1568:B1592)</f>
        <v>17</v>
      </c>
      <c r="C1593" s="36">
        <f>SUM(C1568:C1592)</f>
        <v>17</v>
      </c>
      <c r="D1593" s="29">
        <f>SUM(D1568:D1592)</f>
        <v>10</v>
      </c>
      <c r="E1593" s="30">
        <f>SUM(E1568:E1592)</f>
        <v>7</v>
      </c>
      <c r="F1593" s="26">
        <f>SUM(B1593:E1593)</f>
        <v>51</v>
      </c>
      <c r="G1593" s="28">
        <f>SUM(G1568:G1592)</f>
        <v>27</v>
      </c>
      <c r="H1593" s="36">
        <f>SUM(H1568:H1592)</f>
        <v>25</v>
      </c>
      <c r="I1593" s="29">
        <f>SUM(I1568:I1592)</f>
        <v>19</v>
      </c>
      <c r="J1593" s="30">
        <f>SUM(J1568:J1592)</f>
        <v>7</v>
      </c>
      <c r="K1593" s="26">
        <f>SUM(G1593:J1593)</f>
        <v>78</v>
      </c>
      <c r="L1593" s="27">
        <f t="shared" si="1398"/>
        <v>129</v>
      </c>
      <c r="N1593" s="61" t="s">
        <v>9</v>
      </c>
      <c r="O1593" s="28">
        <f>SUM(O1568:O1592)</f>
        <v>15</v>
      </c>
      <c r="P1593" s="36">
        <f t="shared" ref="P1593:R1593" si="1421">SUM(P1568:P1592)</f>
        <v>20</v>
      </c>
      <c r="Q1593" s="29">
        <f t="shared" si="1421"/>
        <v>5</v>
      </c>
      <c r="R1593" s="30">
        <f t="shared" si="1421"/>
        <v>10</v>
      </c>
      <c r="S1593" s="60">
        <f>SUM(O1593:R1593)</f>
        <v>50</v>
      </c>
      <c r="T1593" s="28">
        <f>SUM(T1568:T1592)</f>
        <v>20</v>
      </c>
      <c r="U1593" s="36">
        <f t="shared" ref="U1593:W1593" si="1422">SUM(U1568:U1592)</f>
        <v>25</v>
      </c>
      <c r="V1593" s="29">
        <f t="shared" si="1422"/>
        <v>15</v>
      </c>
      <c r="W1593" s="30">
        <f t="shared" si="1422"/>
        <v>10</v>
      </c>
      <c r="X1593" s="60">
        <f>SUM(T1593:W1593)</f>
        <v>70</v>
      </c>
      <c r="Y1593" s="63">
        <f>S1593+X1593</f>
        <v>120</v>
      </c>
    </row>
    <row r="1594" spans="1:25" ht="14.25" thickBot="1" x14ac:dyDescent="0.2">
      <c r="A1594" s="18" t="s">
        <v>10</v>
      </c>
      <c r="B1594" s="31">
        <f t="shared" ref="B1594:K1594" si="1423">B1567-B1593</f>
        <v>20</v>
      </c>
      <c r="C1594" s="37">
        <f t="shared" si="1423"/>
        <v>23</v>
      </c>
      <c r="D1594" s="32">
        <f t="shared" si="1423"/>
        <v>20</v>
      </c>
      <c r="E1594" s="33">
        <f t="shared" si="1423"/>
        <v>24</v>
      </c>
      <c r="F1594" s="42">
        <f t="shared" si="1423"/>
        <v>87</v>
      </c>
      <c r="G1594" s="31">
        <f t="shared" si="1423"/>
        <v>16</v>
      </c>
      <c r="H1594" s="37">
        <f t="shared" si="1423"/>
        <v>19</v>
      </c>
      <c r="I1594" s="32">
        <f t="shared" si="1423"/>
        <v>18</v>
      </c>
      <c r="J1594" s="33">
        <f t="shared" si="1423"/>
        <v>24</v>
      </c>
      <c r="K1594" s="42">
        <f t="shared" si="1423"/>
        <v>77</v>
      </c>
      <c r="L1594" s="17">
        <f t="shared" si="1398"/>
        <v>164</v>
      </c>
      <c r="N1594" s="16" t="s">
        <v>10</v>
      </c>
      <c r="O1594" s="31">
        <f>O1567-O1593</f>
        <v>582</v>
      </c>
      <c r="P1594" s="37">
        <f t="shared" ref="P1594:R1594" si="1424">P1567-P1593</f>
        <v>726</v>
      </c>
      <c r="Q1594" s="32">
        <f t="shared" si="1424"/>
        <v>449</v>
      </c>
      <c r="R1594" s="33">
        <f t="shared" si="1424"/>
        <v>305</v>
      </c>
      <c r="S1594" s="42">
        <f>S1567-S1593</f>
        <v>2062</v>
      </c>
      <c r="T1594" s="31">
        <f>T1567-T1593</f>
        <v>544</v>
      </c>
      <c r="U1594" s="37">
        <f t="shared" ref="U1594:W1594" si="1425">U1567-U1593</f>
        <v>723</v>
      </c>
      <c r="V1594" s="32">
        <f t="shared" si="1425"/>
        <v>490</v>
      </c>
      <c r="W1594" s="33">
        <f t="shared" si="1425"/>
        <v>335</v>
      </c>
      <c r="X1594" s="42">
        <f>X1567-X1593</f>
        <v>2092</v>
      </c>
      <c r="Y1594" s="17">
        <f>S1594+X1594</f>
        <v>4154</v>
      </c>
    </row>
    <row r="1595" spans="1:25" x14ac:dyDescent="0.15">
      <c r="N1595" s="180" t="s">
        <v>773</v>
      </c>
      <c r="O1595" s="87">
        <f>O1594/$S$1594*100</f>
        <v>28.225024248302621</v>
      </c>
      <c r="P1595" s="87">
        <f t="shared" ref="P1595:S1595" si="1426">P1594/$S$1594*100</f>
        <v>35.208535402521825</v>
      </c>
      <c r="Q1595" s="87">
        <f t="shared" si="1426"/>
        <v>21.774975751697383</v>
      </c>
      <c r="R1595" s="87">
        <f t="shared" si="1426"/>
        <v>14.791464597478177</v>
      </c>
      <c r="S1595" s="87">
        <f t="shared" si="1426"/>
        <v>100</v>
      </c>
      <c r="T1595" s="182">
        <f>T1594/$X$1594*100</f>
        <v>26.003824091778206</v>
      </c>
      <c r="U1595" s="182">
        <f t="shared" ref="U1595:X1595" si="1427">U1594/$X$1594*100</f>
        <v>34.560229445506693</v>
      </c>
      <c r="V1595" s="182">
        <f t="shared" si="1427"/>
        <v>23.422562141491397</v>
      </c>
      <c r="W1595" s="182">
        <f t="shared" si="1427"/>
        <v>16.013384321223707</v>
      </c>
      <c r="X1595" s="182">
        <f t="shared" si="1427"/>
        <v>100</v>
      </c>
    </row>
    <row r="1596" spans="1:25" x14ac:dyDescent="0.15">
      <c r="N1596" s="181" t="s">
        <v>772</v>
      </c>
      <c r="O1596" s="101">
        <v>26.7</v>
      </c>
      <c r="P1596" s="101">
        <v>36</v>
      </c>
      <c r="Q1596" s="101">
        <v>21.7</v>
      </c>
      <c r="R1596" s="101">
        <v>15.6</v>
      </c>
      <c r="S1596" s="101">
        <f>SUM(O1596:R1596)</f>
        <v>100</v>
      </c>
      <c r="T1596" s="101">
        <v>25.9</v>
      </c>
      <c r="U1596" s="101">
        <v>36.5</v>
      </c>
      <c r="V1596" s="101">
        <v>22.3</v>
      </c>
      <c r="W1596" s="101">
        <v>15.3</v>
      </c>
      <c r="X1596" s="101">
        <f>SUM(T1596:W1596)</f>
        <v>100</v>
      </c>
    </row>
    <row r="1597" spans="1:25" ht="19.5" thickBot="1" x14ac:dyDescent="0.25">
      <c r="A1597" s="2" t="s">
        <v>17</v>
      </c>
      <c r="B1597" s="2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N1597" s="2" t="s">
        <v>18</v>
      </c>
      <c r="O1597" s="87"/>
      <c r="P1597" s="87"/>
      <c r="Q1597" s="87"/>
      <c r="R1597" s="87"/>
      <c r="S1597" s="87"/>
      <c r="T1597" s="87"/>
      <c r="U1597" s="87"/>
      <c r="V1597" s="87"/>
      <c r="W1597" s="87"/>
      <c r="X1597" s="87"/>
      <c r="Y1597" s="1"/>
    </row>
    <row r="1598" spans="1:25" ht="14.25" thickBot="1" x14ac:dyDescent="0.2">
      <c r="A1598" s="5" t="s">
        <v>0</v>
      </c>
      <c r="B1598" s="244" t="s">
        <v>19</v>
      </c>
      <c r="C1598" s="245"/>
      <c r="D1598" s="245"/>
      <c r="E1598" s="245"/>
      <c r="F1598" s="246"/>
      <c r="G1598" s="247" t="s">
        <v>20</v>
      </c>
      <c r="H1598" s="248"/>
      <c r="I1598" s="248"/>
      <c r="J1598" s="248"/>
      <c r="K1598" s="249"/>
      <c r="L1598" s="250" t="s">
        <v>1</v>
      </c>
      <c r="N1598" s="5" t="s">
        <v>0</v>
      </c>
      <c r="O1598" s="244" t="s">
        <v>19</v>
      </c>
      <c r="P1598" s="245"/>
      <c r="Q1598" s="245"/>
      <c r="R1598" s="245"/>
      <c r="S1598" s="246"/>
      <c r="T1598" s="247" t="s">
        <v>20</v>
      </c>
      <c r="U1598" s="248"/>
      <c r="V1598" s="248"/>
      <c r="W1598" s="248"/>
      <c r="X1598" s="249"/>
      <c r="Y1598" s="250" t="s">
        <v>1</v>
      </c>
    </row>
    <row r="1599" spans="1:25" ht="14.25" thickBot="1" x14ac:dyDescent="0.2">
      <c r="A1599" s="5" t="s">
        <v>2</v>
      </c>
      <c r="B1599" s="3" t="s">
        <v>11</v>
      </c>
      <c r="C1599" s="34" t="s">
        <v>12</v>
      </c>
      <c r="D1599" s="4" t="s">
        <v>13</v>
      </c>
      <c r="E1599" s="19" t="s">
        <v>14</v>
      </c>
      <c r="F1599" s="23" t="s">
        <v>3</v>
      </c>
      <c r="G1599" s="3" t="s">
        <v>11</v>
      </c>
      <c r="H1599" s="34" t="s">
        <v>12</v>
      </c>
      <c r="I1599" s="4" t="s">
        <v>13</v>
      </c>
      <c r="J1599" s="19" t="s">
        <v>14</v>
      </c>
      <c r="K1599" s="23" t="s">
        <v>3</v>
      </c>
      <c r="L1599" s="251"/>
      <c r="N1599" s="5" t="s">
        <v>2</v>
      </c>
      <c r="O1599" s="53" t="s">
        <v>11</v>
      </c>
      <c r="P1599" s="54" t="s">
        <v>12</v>
      </c>
      <c r="Q1599" s="55" t="s">
        <v>13</v>
      </c>
      <c r="R1599" s="56" t="s">
        <v>14</v>
      </c>
      <c r="S1599" s="23" t="s">
        <v>3</v>
      </c>
      <c r="T1599" s="3" t="s">
        <v>11</v>
      </c>
      <c r="U1599" s="34" t="s">
        <v>12</v>
      </c>
      <c r="V1599" s="4" t="s">
        <v>13</v>
      </c>
      <c r="W1599" s="19" t="s">
        <v>14</v>
      </c>
      <c r="X1599" s="23" t="s">
        <v>3</v>
      </c>
      <c r="Y1599" s="251"/>
    </row>
    <row r="1600" spans="1:25" ht="14.25" thickBot="1" x14ac:dyDescent="0.2">
      <c r="A1600" s="18" t="s">
        <v>15</v>
      </c>
      <c r="B1600" s="31">
        <f>B1594</f>
        <v>20</v>
      </c>
      <c r="C1600" s="32">
        <f>C1594</f>
        <v>23</v>
      </c>
      <c r="D1600" s="32">
        <f>D1594</f>
        <v>20</v>
      </c>
      <c r="E1600" s="33">
        <f>E1594</f>
        <v>24</v>
      </c>
      <c r="F1600" s="86">
        <f>SUM(B1600:E1600)</f>
        <v>87</v>
      </c>
      <c r="G1600" s="31">
        <f>G1594</f>
        <v>16</v>
      </c>
      <c r="H1600" s="32">
        <f>H1594</f>
        <v>19</v>
      </c>
      <c r="I1600" s="32">
        <f>I1594</f>
        <v>18</v>
      </c>
      <c r="J1600" s="33">
        <f>J1594</f>
        <v>24</v>
      </c>
      <c r="K1600" s="80">
        <f>SUM(G1600:J1600)</f>
        <v>77</v>
      </c>
      <c r="L1600" s="17">
        <f>F1600+K1600</f>
        <v>164</v>
      </c>
      <c r="N1600" s="18" t="s">
        <v>15</v>
      </c>
      <c r="O1600" s="31">
        <f>O1594</f>
        <v>582</v>
      </c>
      <c r="P1600" s="32">
        <f t="shared" ref="P1600:Y1600" si="1428">P1594</f>
        <v>726</v>
      </c>
      <c r="Q1600" s="32">
        <f t="shared" si="1428"/>
        <v>449</v>
      </c>
      <c r="R1600" s="33">
        <f t="shared" si="1428"/>
        <v>305</v>
      </c>
      <c r="S1600" s="86">
        <f t="shared" si="1428"/>
        <v>2062</v>
      </c>
      <c r="T1600" s="31">
        <f t="shared" si="1428"/>
        <v>544</v>
      </c>
      <c r="U1600" s="32">
        <f t="shared" si="1428"/>
        <v>723</v>
      </c>
      <c r="V1600" s="32">
        <f t="shared" si="1428"/>
        <v>490</v>
      </c>
      <c r="W1600" s="33">
        <f t="shared" si="1428"/>
        <v>335</v>
      </c>
      <c r="X1600" s="80">
        <f t="shared" si="1428"/>
        <v>2092</v>
      </c>
      <c r="Y1600" s="17">
        <f t="shared" si="1428"/>
        <v>4154</v>
      </c>
    </row>
    <row r="1601" spans="1:26" x14ac:dyDescent="0.15">
      <c r="A1601" s="13" t="s">
        <v>4</v>
      </c>
      <c r="B1601" s="20"/>
      <c r="C1601" s="35"/>
      <c r="D1601" s="21">
        <v>5</v>
      </c>
      <c r="E1601" s="24"/>
      <c r="F1601" s="25">
        <f t="shared" ref="F1601:F1604" si="1429">SUM(B1601:E1601)</f>
        <v>5</v>
      </c>
      <c r="G1601" s="20">
        <v>10</v>
      </c>
      <c r="H1601" s="35">
        <v>5</v>
      </c>
      <c r="I1601" s="21">
        <v>10</v>
      </c>
      <c r="J1601" s="24"/>
      <c r="K1601" s="25">
        <f t="shared" ref="K1601:K1604" si="1430">SUM(G1601:J1601)</f>
        <v>25</v>
      </c>
      <c r="L1601" s="11">
        <f t="shared" ref="L1601:L1632" si="1431">F1601+K1601</f>
        <v>30</v>
      </c>
      <c r="M1601" s="71">
        <v>45997</v>
      </c>
      <c r="N1601" s="59" t="s">
        <v>16</v>
      </c>
      <c r="O1601" s="48"/>
      <c r="P1601" s="49"/>
      <c r="Q1601" s="50"/>
      <c r="R1601" s="51"/>
      <c r="S1601" s="85">
        <f t="shared" ref="S1601" si="1432">SUM(O1601:R1601)</f>
        <v>0</v>
      </c>
      <c r="T1601" s="48"/>
      <c r="U1601" s="49"/>
      <c r="V1601" s="50"/>
      <c r="W1601" s="51"/>
      <c r="X1601" s="74">
        <f t="shared" ref="X1601" si="1433">SUM(T1601:W1601)</f>
        <v>0</v>
      </c>
      <c r="Y1601" s="11">
        <f t="shared" ref="Y1601:Y1604" si="1434">S1601+X1601</f>
        <v>0</v>
      </c>
    </row>
    <row r="1602" spans="1:26" x14ac:dyDescent="0.15">
      <c r="A1602" s="13" t="s">
        <v>5</v>
      </c>
      <c r="B1602" s="20">
        <v>5</v>
      </c>
      <c r="C1602" s="35">
        <v>5</v>
      </c>
      <c r="D1602" s="21"/>
      <c r="E1602" s="24"/>
      <c r="F1602" s="25">
        <f t="shared" si="1429"/>
        <v>10</v>
      </c>
      <c r="G1602" s="20">
        <v>5</v>
      </c>
      <c r="H1602" s="35">
        <v>5</v>
      </c>
      <c r="I1602" s="21"/>
      <c r="J1602" s="24"/>
      <c r="K1602" s="25">
        <f t="shared" si="1430"/>
        <v>10</v>
      </c>
      <c r="L1602" s="11">
        <f t="shared" si="1431"/>
        <v>20</v>
      </c>
      <c r="M1602" s="69">
        <v>46001</v>
      </c>
      <c r="N1602" s="59" t="s">
        <v>4</v>
      </c>
      <c r="O1602" s="48"/>
      <c r="P1602" s="49"/>
      <c r="Q1602" s="50"/>
      <c r="R1602" s="51"/>
      <c r="S1602" s="85">
        <f t="shared" ref="S1602:S1603" si="1435">SUM(O1602:R1602)</f>
        <v>0</v>
      </c>
      <c r="T1602" s="48"/>
      <c r="U1602" s="49"/>
      <c r="V1602" s="50"/>
      <c r="W1602" s="51"/>
      <c r="X1602" s="74">
        <f t="shared" ref="X1602:X1603" si="1436">SUM(T1602:W1602)</f>
        <v>0</v>
      </c>
      <c r="Y1602" s="11">
        <f t="shared" ref="Y1602:Y1603" si="1437">S1602+X1602</f>
        <v>0</v>
      </c>
    </row>
    <row r="1603" spans="1:26" x14ac:dyDescent="0.15">
      <c r="A1603" s="13" t="s">
        <v>6</v>
      </c>
      <c r="B1603" s="20"/>
      <c r="C1603" s="35">
        <v>10</v>
      </c>
      <c r="D1603" s="21">
        <v>5</v>
      </c>
      <c r="E1603" s="24"/>
      <c r="F1603" s="25">
        <f t="shared" si="1429"/>
        <v>15</v>
      </c>
      <c r="G1603" s="20"/>
      <c r="H1603" s="35"/>
      <c r="I1603" s="21"/>
      <c r="J1603" s="24"/>
      <c r="K1603" s="25">
        <f t="shared" si="1430"/>
        <v>0</v>
      </c>
      <c r="L1603" s="11">
        <f t="shared" si="1431"/>
        <v>15</v>
      </c>
      <c r="M1603" s="69">
        <v>46003</v>
      </c>
      <c r="N1603" s="59" t="s">
        <v>5</v>
      </c>
      <c r="O1603" s="48"/>
      <c r="P1603" s="49"/>
      <c r="Q1603" s="50"/>
      <c r="R1603" s="51"/>
      <c r="S1603" s="85">
        <f t="shared" si="1435"/>
        <v>0</v>
      </c>
      <c r="T1603" s="48"/>
      <c r="U1603" s="49"/>
      <c r="V1603" s="50"/>
      <c r="W1603" s="51"/>
      <c r="X1603" s="74">
        <f t="shared" si="1436"/>
        <v>0</v>
      </c>
      <c r="Y1603" s="11">
        <f t="shared" si="1437"/>
        <v>0</v>
      </c>
    </row>
    <row r="1604" spans="1:26" ht="14.25" thickBot="1" x14ac:dyDescent="0.2">
      <c r="A1604" s="222" t="s">
        <v>7</v>
      </c>
      <c r="B1604" s="223">
        <v>15</v>
      </c>
      <c r="C1604" s="224">
        <v>10</v>
      </c>
      <c r="D1604" s="225">
        <v>15</v>
      </c>
      <c r="E1604" s="226">
        <v>10</v>
      </c>
      <c r="F1604" s="227">
        <f t="shared" si="1429"/>
        <v>50</v>
      </c>
      <c r="G1604" s="223">
        <v>10</v>
      </c>
      <c r="H1604" s="224">
        <v>15</v>
      </c>
      <c r="I1604" s="225">
        <v>10</v>
      </c>
      <c r="J1604" s="226">
        <v>10</v>
      </c>
      <c r="K1604" s="227">
        <f t="shared" si="1430"/>
        <v>45</v>
      </c>
      <c r="L1604" s="214">
        <f t="shared" si="1431"/>
        <v>95</v>
      </c>
      <c r="M1604" s="215">
        <v>46016</v>
      </c>
      <c r="N1604" s="13" t="s">
        <v>6</v>
      </c>
      <c r="O1604" s="43"/>
      <c r="P1604" s="44"/>
      <c r="Q1604" s="45"/>
      <c r="R1604" s="46"/>
      <c r="S1604" s="58">
        <f>SUM(O1604:R1604)</f>
        <v>0</v>
      </c>
      <c r="T1604" s="35"/>
      <c r="U1604" s="35"/>
      <c r="V1604" s="21"/>
      <c r="W1604" s="38"/>
      <c r="X1604" s="10">
        <f>SUM(T1604:W1604)</f>
        <v>0</v>
      </c>
      <c r="Y1604" s="14">
        <f t="shared" si="1434"/>
        <v>0</v>
      </c>
    </row>
    <row r="1605" spans="1:26" ht="14.25" thickBot="1" x14ac:dyDescent="0.2">
      <c r="A1605" s="18" t="s">
        <v>8</v>
      </c>
      <c r="B1605" s="76">
        <f t="shared" ref="B1605:K1605" si="1438">SUM(B1600:B1604)</f>
        <v>40</v>
      </c>
      <c r="C1605" s="77">
        <f t="shared" si="1438"/>
        <v>48</v>
      </c>
      <c r="D1605" s="78">
        <f t="shared" si="1438"/>
        <v>45</v>
      </c>
      <c r="E1605" s="79">
        <f t="shared" si="1438"/>
        <v>34</v>
      </c>
      <c r="F1605" s="80">
        <f t="shared" si="1438"/>
        <v>167</v>
      </c>
      <c r="G1605" s="76">
        <f t="shared" si="1438"/>
        <v>41</v>
      </c>
      <c r="H1605" s="77">
        <f t="shared" si="1438"/>
        <v>44</v>
      </c>
      <c r="I1605" s="78">
        <f t="shared" si="1438"/>
        <v>38</v>
      </c>
      <c r="J1605" s="79">
        <f t="shared" si="1438"/>
        <v>34</v>
      </c>
      <c r="K1605" s="80">
        <f t="shared" si="1438"/>
        <v>157</v>
      </c>
      <c r="L1605" s="17">
        <f t="shared" si="1431"/>
        <v>324</v>
      </c>
      <c r="N1605" s="16" t="s">
        <v>8</v>
      </c>
      <c r="O1605" s="31">
        <f>SUM(O1600:O1604)</f>
        <v>582</v>
      </c>
      <c r="P1605" s="37">
        <f t="shared" ref="P1605:R1605" si="1439">SUM(P1600:P1604)</f>
        <v>726</v>
      </c>
      <c r="Q1605" s="32">
        <f t="shared" si="1439"/>
        <v>449</v>
      </c>
      <c r="R1605" s="82">
        <f t="shared" si="1439"/>
        <v>305</v>
      </c>
      <c r="S1605" s="83">
        <f>SUM(S1600:S1604)</f>
        <v>2062</v>
      </c>
      <c r="T1605" s="31">
        <f>SUM(T1600:T1604)</f>
        <v>544</v>
      </c>
      <c r="U1605" s="37">
        <f t="shared" ref="U1605:W1605" si="1440">SUM(U1600:U1604)</f>
        <v>723</v>
      </c>
      <c r="V1605" s="32">
        <f t="shared" si="1440"/>
        <v>490</v>
      </c>
      <c r="W1605" s="82">
        <f t="shared" si="1440"/>
        <v>335</v>
      </c>
      <c r="X1605" s="83">
        <f>SUM(X1600:X1604)</f>
        <v>2092</v>
      </c>
      <c r="Y1605" s="39">
        <f>S1605+X1605</f>
        <v>4154</v>
      </c>
    </row>
    <row r="1606" spans="1:26" x14ac:dyDescent="0.15">
      <c r="A1606" s="59" t="s">
        <v>27</v>
      </c>
      <c r="B1606" s="20"/>
      <c r="C1606" s="35">
        <v>1</v>
      </c>
      <c r="D1606" s="21">
        <v>1</v>
      </c>
      <c r="E1606" s="24"/>
      <c r="F1606" s="25">
        <f t="shared" ref="F1606:F1630" si="1441">SUM(B1606:E1606)</f>
        <v>2</v>
      </c>
      <c r="G1606" s="20">
        <v>2</v>
      </c>
      <c r="H1606" s="35"/>
      <c r="I1606" s="21">
        <v>1</v>
      </c>
      <c r="J1606" s="24"/>
      <c r="K1606" s="25">
        <f t="shared" ref="K1606:K1630" si="1442">SUM(G1606:J1606)</f>
        <v>3</v>
      </c>
      <c r="L1606" s="11">
        <f t="shared" si="1431"/>
        <v>5</v>
      </c>
      <c r="M1606" s="71">
        <v>45996</v>
      </c>
      <c r="N1606" s="40" t="s">
        <v>870</v>
      </c>
      <c r="O1606" s="20"/>
      <c r="P1606" s="35"/>
      <c r="Q1606" s="21">
        <v>5</v>
      </c>
      <c r="R1606" s="38"/>
      <c r="S1606" s="9">
        <f t="shared" ref="S1606:S1618" si="1443">SUM(O1606:R1606)</f>
        <v>5</v>
      </c>
      <c r="T1606" s="20">
        <v>10</v>
      </c>
      <c r="U1606" s="35">
        <v>5</v>
      </c>
      <c r="V1606" s="21">
        <v>10</v>
      </c>
      <c r="W1606" s="38"/>
      <c r="X1606" s="9">
        <f t="shared" ref="X1606:X1618" si="1444">SUM(T1606:W1606)</f>
        <v>25</v>
      </c>
      <c r="Y1606" s="11">
        <f t="shared" ref="Y1606:Y1622" si="1445">S1606+X1606</f>
        <v>30</v>
      </c>
      <c r="Z1606" s="71">
        <v>45997</v>
      </c>
    </row>
    <row r="1607" spans="1:26" x14ac:dyDescent="0.15">
      <c r="A1607" s="59" t="s">
        <v>27</v>
      </c>
      <c r="B1607" s="20"/>
      <c r="C1607" s="35"/>
      <c r="D1607" s="21">
        <v>3</v>
      </c>
      <c r="E1607" s="24"/>
      <c r="F1607" s="25">
        <f t="shared" si="1441"/>
        <v>3</v>
      </c>
      <c r="G1607" s="20"/>
      <c r="H1607" s="35"/>
      <c r="I1607" s="21">
        <v>3</v>
      </c>
      <c r="J1607" s="24"/>
      <c r="K1607" s="25">
        <f t="shared" si="1442"/>
        <v>3</v>
      </c>
      <c r="L1607" s="11">
        <f t="shared" si="1431"/>
        <v>6</v>
      </c>
      <c r="M1607" s="71">
        <v>45997</v>
      </c>
      <c r="N1607" s="40" t="s">
        <v>26</v>
      </c>
      <c r="O1607" s="20">
        <v>5</v>
      </c>
      <c r="P1607" s="35">
        <v>5</v>
      </c>
      <c r="Q1607" s="21"/>
      <c r="R1607" s="38"/>
      <c r="S1607" s="9">
        <f t="shared" si="1443"/>
        <v>10</v>
      </c>
      <c r="T1607" s="20">
        <v>5</v>
      </c>
      <c r="U1607" s="35">
        <v>5</v>
      </c>
      <c r="V1607" s="21"/>
      <c r="W1607" s="38"/>
      <c r="X1607" s="9">
        <f t="shared" si="1444"/>
        <v>10</v>
      </c>
      <c r="Y1607" s="11">
        <f t="shared" si="1445"/>
        <v>20</v>
      </c>
      <c r="Z1607" s="69">
        <v>46001</v>
      </c>
    </row>
    <row r="1608" spans="1:26" x14ac:dyDescent="0.15">
      <c r="A1608" s="59" t="s">
        <v>421</v>
      </c>
      <c r="B1608" s="20">
        <v>1</v>
      </c>
      <c r="C1608" s="35">
        <v>2</v>
      </c>
      <c r="D1608" s="21">
        <v>1</v>
      </c>
      <c r="E1608" s="24"/>
      <c r="F1608" s="25">
        <f t="shared" si="1441"/>
        <v>4</v>
      </c>
      <c r="G1608" s="20">
        <v>1</v>
      </c>
      <c r="H1608" s="35">
        <v>2</v>
      </c>
      <c r="I1608" s="21">
        <v>1</v>
      </c>
      <c r="J1608" s="24"/>
      <c r="K1608" s="25">
        <f t="shared" si="1442"/>
        <v>4</v>
      </c>
      <c r="L1608" s="11">
        <f t="shared" si="1431"/>
        <v>8</v>
      </c>
      <c r="M1608" s="69">
        <v>46000</v>
      </c>
      <c r="N1608" s="40" t="s">
        <v>895</v>
      </c>
      <c r="O1608" s="20"/>
      <c r="P1608" s="35">
        <v>10</v>
      </c>
      <c r="Q1608" s="21">
        <v>10</v>
      </c>
      <c r="R1608" s="38"/>
      <c r="S1608" s="9">
        <f t="shared" si="1443"/>
        <v>20</v>
      </c>
      <c r="T1608" s="20"/>
      <c r="U1608" s="35">
        <v>10</v>
      </c>
      <c r="V1608" s="21">
        <v>10</v>
      </c>
      <c r="W1608" s="38"/>
      <c r="X1608" s="9">
        <f t="shared" si="1444"/>
        <v>20</v>
      </c>
      <c r="Y1608" s="11">
        <f t="shared" si="1445"/>
        <v>40</v>
      </c>
      <c r="Z1608" s="69">
        <v>46008</v>
      </c>
    </row>
    <row r="1609" spans="1:26" x14ac:dyDescent="0.15">
      <c r="A1609" s="59" t="s">
        <v>27</v>
      </c>
      <c r="B1609" s="20">
        <v>1</v>
      </c>
      <c r="C1609" s="35">
        <v>2</v>
      </c>
      <c r="D1609" s="21">
        <v>1</v>
      </c>
      <c r="E1609" s="24">
        <v>1</v>
      </c>
      <c r="F1609" s="25">
        <f t="shared" si="1441"/>
        <v>5</v>
      </c>
      <c r="G1609" s="20">
        <v>1</v>
      </c>
      <c r="H1609" s="35">
        <v>5</v>
      </c>
      <c r="I1609" s="21">
        <v>1</v>
      </c>
      <c r="J1609" s="24">
        <v>1</v>
      </c>
      <c r="K1609" s="25">
        <f t="shared" si="1442"/>
        <v>8</v>
      </c>
      <c r="L1609" s="11">
        <f t="shared" si="1431"/>
        <v>13</v>
      </c>
      <c r="M1609" s="71">
        <v>45999</v>
      </c>
      <c r="N1609" s="40" t="s">
        <v>863</v>
      </c>
      <c r="O1609" s="20"/>
      <c r="P1609" s="35">
        <v>10</v>
      </c>
      <c r="Q1609" s="21">
        <v>5</v>
      </c>
      <c r="R1609" s="38"/>
      <c r="S1609" s="9">
        <f t="shared" si="1443"/>
        <v>15</v>
      </c>
      <c r="T1609" s="20"/>
      <c r="U1609" s="35"/>
      <c r="V1609" s="21"/>
      <c r="W1609" s="38"/>
      <c r="X1609" s="9">
        <f t="shared" si="1444"/>
        <v>0</v>
      </c>
      <c r="Y1609" s="11">
        <f t="shared" si="1445"/>
        <v>15</v>
      </c>
      <c r="Z1609" s="69">
        <v>46003</v>
      </c>
    </row>
    <row r="1610" spans="1:26" x14ac:dyDescent="0.15">
      <c r="A1610" s="59" t="s">
        <v>27</v>
      </c>
      <c r="B1610" s="20"/>
      <c r="C1610" s="35"/>
      <c r="D1610" s="21">
        <v>1</v>
      </c>
      <c r="E1610" s="24"/>
      <c r="F1610" s="25">
        <f t="shared" si="1441"/>
        <v>1</v>
      </c>
      <c r="G1610" s="20"/>
      <c r="H1610" s="35"/>
      <c r="I1610" s="21">
        <v>1</v>
      </c>
      <c r="J1610" s="24"/>
      <c r="K1610" s="25">
        <f t="shared" si="1442"/>
        <v>1</v>
      </c>
      <c r="L1610" s="11">
        <f t="shared" si="1431"/>
        <v>2</v>
      </c>
      <c r="M1610" s="71">
        <v>46000</v>
      </c>
      <c r="N1610" s="12" t="s">
        <v>880</v>
      </c>
      <c r="O1610" s="20">
        <v>35</v>
      </c>
      <c r="P1610" s="35">
        <v>50</v>
      </c>
      <c r="Q1610" s="21">
        <v>5</v>
      </c>
      <c r="R1610" s="38">
        <v>25</v>
      </c>
      <c r="S1610" s="9">
        <f t="shared" ref="S1610" si="1446">SUM(O1610:R1610)</f>
        <v>115</v>
      </c>
      <c r="T1610" s="20">
        <v>15</v>
      </c>
      <c r="U1610" s="35"/>
      <c r="V1610" s="21">
        <v>30</v>
      </c>
      <c r="W1610" s="38"/>
      <c r="X1610" s="9">
        <f t="shared" ref="X1610" si="1447">SUM(T1610:W1610)</f>
        <v>45</v>
      </c>
      <c r="Y1610" s="11">
        <f t="shared" ref="Y1610" si="1448">S1610+X1610</f>
        <v>160</v>
      </c>
      <c r="Z1610" s="69">
        <v>46011</v>
      </c>
    </row>
    <row r="1611" spans="1:26" x14ac:dyDescent="0.15">
      <c r="A1611" s="59" t="s">
        <v>421</v>
      </c>
      <c r="B1611" s="20"/>
      <c r="C1611" s="35">
        <v>2</v>
      </c>
      <c r="D1611" s="21"/>
      <c r="E1611" s="24"/>
      <c r="F1611" s="25">
        <f t="shared" si="1441"/>
        <v>2</v>
      </c>
      <c r="G1611" s="20"/>
      <c r="H1611" s="35">
        <v>2</v>
      </c>
      <c r="I1611" s="21"/>
      <c r="J1611" s="24"/>
      <c r="K1611" s="25">
        <f t="shared" si="1442"/>
        <v>2</v>
      </c>
      <c r="L1611" s="11">
        <f t="shared" si="1431"/>
        <v>4</v>
      </c>
      <c r="M1611" s="69">
        <v>46003</v>
      </c>
      <c r="N1611" s="216" t="s">
        <v>863</v>
      </c>
      <c r="O1611" s="209">
        <v>15</v>
      </c>
      <c r="P1611" s="210">
        <v>10</v>
      </c>
      <c r="Q1611" s="211">
        <v>15</v>
      </c>
      <c r="R1611" s="217">
        <v>10</v>
      </c>
      <c r="S1611" s="218">
        <f t="shared" si="1443"/>
        <v>50</v>
      </c>
      <c r="T1611" s="209">
        <v>10</v>
      </c>
      <c r="U1611" s="210">
        <v>15</v>
      </c>
      <c r="V1611" s="211">
        <v>10</v>
      </c>
      <c r="W1611" s="217">
        <v>10</v>
      </c>
      <c r="X1611" s="218">
        <f t="shared" si="1444"/>
        <v>45</v>
      </c>
      <c r="Y1611" s="214">
        <f t="shared" si="1445"/>
        <v>95</v>
      </c>
      <c r="Z1611" s="215">
        <v>46016</v>
      </c>
    </row>
    <row r="1612" spans="1:26" x14ac:dyDescent="0.15">
      <c r="A1612" s="59" t="s">
        <v>27</v>
      </c>
      <c r="B1612" s="20"/>
      <c r="C1612" s="35"/>
      <c r="D1612" s="21">
        <v>1</v>
      </c>
      <c r="E1612" s="24"/>
      <c r="F1612" s="25">
        <f t="shared" si="1441"/>
        <v>1</v>
      </c>
      <c r="G1612" s="20"/>
      <c r="H1612" s="35"/>
      <c r="I1612" s="21"/>
      <c r="J1612" s="24"/>
      <c r="K1612" s="25">
        <f t="shared" si="1442"/>
        <v>0</v>
      </c>
      <c r="L1612" s="11">
        <f t="shared" si="1431"/>
        <v>1</v>
      </c>
      <c r="M1612" s="71">
        <v>46002</v>
      </c>
      <c r="N1612" s="216" t="s">
        <v>863</v>
      </c>
      <c r="O1612" s="209"/>
      <c r="P1612" s="210"/>
      <c r="Q1612" s="211"/>
      <c r="R1612" s="217"/>
      <c r="S1612" s="218">
        <f t="shared" si="1443"/>
        <v>0</v>
      </c>
      <c r="T1612" s="209"/>
      <c r="U1612" s="210">
        <v>30</v>
      </c>
      <c r="V1612" s="211"/>
      <c r="W1612" s="217"/>
      <c r="X1612" s="218">
        <f t="shared" si="1444"/>
        <v>30</v>
      </c>
      <c r="Y1612" s="214">
        <f t="shared" si="1445"/>
        <v>30</v>
      </c>
      <c r="Z1612" s="215">
        <v>46028</v>
      </c>
    </row>
    <row r="1613" spans="1:26" x14ac:dyDescent="0.15">
      <c r="A1613" s="59" t="s">
        <v>27</v>
      </c>
      <c r="B1613" s="20">
        <v>2</v>
      </c>
      <c r="C1613" s="35">
        <v>2</v>
      </c>
      <c r="D1613" s="21"/>
      <c r="E1613" s="24">
        <v>2</v>
      </c>
      <c r="F1613" s="25">
        <f t="shared" si="1441"/>
        <v>6</v>
      </c>
      <c r="G1613" s="20">
        <v>2</v>
      </c>
      <c r="H1613" s="35"/>
      <c r="I1613" s="21"/>
      <c r="J1613" s="24">
        <v>1</v>
      </c>
      <c r="K1613" s="25">
        <f t="shared" si="1442"/>
        <v>3</v>
      </c>
      <c r="L1613" s="11">
        <f t="shared" si="1431"/>
        <v>9</v>
      </c>
      <c r="M1613" s="69">
        <v>46006</v>
      </c>
      <c r="N1613" s="40"/>
      <c r="O1613" s="20"/>
      <c r="P1613" s="35"/>
      <c r="Q1613" s="21"/>
      <c r="R1613" s="38"/>
      <c r="S1613" s="9">
        <f t="shared" si="1443"/>
        <v>0</v>
      </c>
      <c r="T1613" s="20"/>
      <c r="U1613" s="35"/>
      <c r="V1613" s="21"/>
      <c r="W1613" s="38"/>
      <c r="X1613" s="9">
        <f t="shared" si="1444"/>
        <v>0</v>
      </c>
      <c r="Y1613" s="11">
        <f t="shared" si="1445"/>
        <v>0</v>
      </c>
    </row>
    <row r="1614" spans="1:26" x14ac:dyDescent="0.15">
      <c r="A1614" s="59" t="s">
        <v>421</v>
      </c>
      <c r="B1614" s="20"/>
      <c r="C1614" s="35"/>
      <c r="D1614" s="21">
        <v>1</v>
      </c>
      <c r="E1614" s="24"/>
      <c r="F1614" s="25">
        <f t="shared" si="1441"/>
        <v>1</v>
      </c>
      <c r="G1614" s="20"/>
      <c r="H1614" s="35"/>
      <c r="I1614" s="21">
        <v>1</v>
      </c>
      <c r="J1614" s="24"/>
      <c r="K1614" s="25">
        <f t="shared" si="1442"/>
        <v>1</v>
      </c>
      <c r="L1614" s="11">
        <f t="shared" si="1431"/>
        <v>2</v>
      </c>
      <c r="M1614" s="69">
        <v>46008</v>
      </c>
      <c r="N1614" s="40"/>
      <c r="O1614" s="20"/>
      <c r="P1614" s="35"/>
      <c r="Q1614" s="21"/>
      <c r="R1614" s="38"/>
      <c r="S1614" s="9">
        <f t="shared" si="1443"/>
        <v>0</v>
      </c>
      <c r="T1614" s="20"/>
      <c r="U1614" s="35"/>
      <c r="V1614" s="21"/>
      <c r="W1614" s="38"/>
      <c r="X1614" s="9">
        <f t="shared" si="1444"/>
        <v>0</v>
      </c>
      <c r="Y1614" s="11">
        <f t="shared" si="1445"/>
        <v>0</v>
      </c>
    </row>
    <row r="1615" spans="1:26" x14ac:dyDescent="0.15">
      <c r="A1615" s="59" t="s">
        <v>27</v>
      </c>
      <c r="B1615" s="20"/>
      <c r="C1615" s="35">
        <v>1</v>
      </c>
      <c r="D1615" s="21"/>
      <c r="E1615" s="24"/>
      <c r="F1615" s="25">
        <f t="shared" si="1441"/>
        <v>1</v>
      </c>
      <c r="G1615" s="20">
        <v>1</v>
      </c>
      <c r="H1615" s="35">
        <v>1</v>
      </c>
      <c r="I1615" s="21">
        <v>1</v>
      </c>
      <c r="J1615" s="24"/>
      <c r="K1615" s="25">
        <f t="shared" si="1442"/>
        <v>3</v>
      </c>
      <c r="L1615" s="11">
        <f t="shared" si="1431"/>
        <v>4</v>
      </c>
      <c r="M1615" s="69">
        <v>46008</v>
      </c>
      <c r="N1615" s="40"/>
      <c r="O1615" s="20"/>
      <c r="P1615" s="35"/>
      <c r="Q1615" s="21"/>
      <c r="R1615" s="38"/>
      <c r="S1615" s="9">
        <f t="shared" si="1443"/>
        <v>0</v>
      </c>
      <c r="T1615" s="20"/>
      <c r="U1615" s="35"/>
      <c r="V1615" s="21"/>
      <c r="W1615" s="38"/>
      <c r="X1615" s="9">
        <f t="shared" si="1444"/>
        <v>0</v>
      </c>
      <c r="Y1615" s="11">
        <f t="shared" si="1445"/>
        <v>0</v>
      </c>
    </row>
    <row r="1616" spans="1:26" x14ac:dyDescent="0.15">
      <c r="A1616" s="59" t="s">
        <v>881</v>
      </c>
      <c r="B1616" s="20"/>
      <c r="C1616" s="35">
        <v>-1</v>
      </c>
      <c r="D1616" s="21"/>
      <c r="E1616" s="24">
        <v>-1</v>
      </c>
      <c r="F1616" s="25">
        <f t="shared" si="1441"/>
        <v>-2</v>
      </c>
      <c r="G1616" s="20"/>
      <c r="H1616" s="35">
        <v>-1</v>
      </c>
      <c r="I1616" s="21">
        <v>-1</v>
      </c>
      <c r="J1616" s="24"/>
      <c r="K1616" s="25">
        <f t="shared" si="1442"/>
        <v>-2</v>
      </c>
      <c r="L1616" s="11">
        <f t="shared" si="1431"/>
        <v>-4</v>
      </c>
      <c r="M1616" s="71">
        <v>46007</v>
      </c>
      <c r="N1616" s="40"/>
      <c r="O1616" s="20"/>
      <c r="P1616" s="35"/>
      <c r="Q1616" s="21"/>
      <c r="R1616" s="38"/>
      <c r="S1616" s="9">
        <f t="shared" si="1443"/>
        <v>0</v>
      </c>
      <c r="T1616" s="20"/>
      <c r="U1616" s="35"/>
      <c r="V1616" s="21"/>
      <c r="W1616" s="38"/>
      <c r="X1616" s="9">
        <f t="shared" si="1444"/>
        <v>0</v>
      </c>
      <c r="Y1616" s="11">
        <f t="shared" si="1445"/>
        <v>0</v>
      </c>
    </row>
    <row r="1617" spans="1:26" x14ac:dyDescent="0.15">
      <c r="A1617" s="59" t="s">
        <v>27</v>
      </c>
      <c r="B1617" s="20"/>
      <c r="C1617" s="35"/>
      <c r="D1617" s="21"/>
      <c r="E1617" s="24">
        <v>1</v>
      </c>
      <c r="F1617" s="25">
        <f t="shared" si="1441"/>
        <v>1</v>
      </c>
      <c r="G1617" s="20"/>
      <c r="H1617" s="35"/>
      <c r="I1617" s="21"/>
      <c r="J1617" s="24">
        <v>1</v>
      </c>
      <c r="K1617" s="25">
        <f t="shared" si="1442"/>
        <v>1</v>
      </c>
      <c r="L1617" s="11">
        <f t="shared" si="1431"/>
        <v>2</v>
      </c>
      <c r="M1617" s="71">
        <v>46010</v>
      </c>
      <c r="N1617" s="40"/>
      <c r="O1617" s="20"/>
      <c r="P1617" s="35"/>
      <c r="Q1617" s="21"/>
      <c r="R1617" s="38"/>
      <c r="S1617" s="9">
        <f t="shared" si="1443"/>
        <v>0</v>
      </c>
      <c r="T1617" s="20"/>
      <c r="U1617" s="35"/>
      <c r="V1617" s="21"/>
      <c r="W1617" s="38"/>
      <c r="X1617" s="9">
        <f t="shared" si="1444"/>
        <v>0</v>
      </c>
      <c r="Y1617" s="11">
        <f t="shared" si="1445"/>
        <v>0</v>
      </c>
    </row>
    <row r="1618" spans="1:26" x14ac:dyDescent="0.15">
      <c r="A1618" s="59" t="s">
        <v>27</v>
      </c>
      <c r="B1618" s="20"/>
      <c r="C1618" s="35">
        <v>1</v>
      </c>
      <c r="D1618" s="21"/>
      <c r="E1618" s="24"/>
      <c r="F1618" s="25">
        <f t="shared" si="1441"/>
        <v>1</v>
      </c>
      <c r="G1618" s="20"/>
      <c r="H1618" s="35">
        <v>1</v>
      </c>
      <c r="I1618" s="21"/>
      <c r="J1618" s="24"/>
      <c r="K1618" s="25">
        <f t="shared" si="1442"/>
        <v>1</v>
      </c>
      <c r="L1618" s="11">
        <f t="shared" si="1431"/>
        <v>2</v>
      </c>
      <c r="M1618" s="71">
        <v>46011</v>
      </c>
      <c r="N1618" s="40"/>
      <c r="O1618" s="20"/>
      <c r="P1618" s="35"/>
      <c r="Q1618" s="21"/>
      <c r="R1618" s="38"/>
      <c r="S1618" s="9">
        <f t="shared" si="1443"/>
        <v>0</v>
      </c>
      <c r="T1618" s="20"/>
      <c r="U1618" s="35"/>
      <c r="V1618" s="21"/>
      <c r="W1618" s="38"/>
      <c r="X1618" s="9">
        <f t="shared" si="1444"/>
        <v>0</v>
      </c>
      <c r="Y1618" s="11">
        <f t="shared" si="1445"/>
        <v>0</v>
      </c>
    </row>
    <row r="1619" spans="1:26" x14ac:dyDescent="0.15">
      <c r="A1619" s="59" t="s">
        <v>27</v>
      </c>
      <c r="B1619" s="20"/>
      <c r="C1619" s="35"/>
      <c r="D1619" s="21">
        <v>2</v>
      </c>
      <c r="E1619" s="24"/>
      <c r="F1619" s="25">
        <f t="shared" si="1441"/>
        <v>2</v>
      </c>
      <c r="G1619" s="20"/>
      <c r="H1619" s="35"/>
      <c r="I1619" s="21">
        <v>2</v>
      </c>
      <c r="J1619" s="24"/>
      <c r="K1619" s="25">
        <f t="shared" si="1442"/>
        <v>2</v>
      </c>
      <c r="L1619" s="11">
        <f t="shared" si="1431"/>
        <v>4</v>
      </c>
      <c r="M1619" s="71">
        <v>46013</v>
      </c>
      <c r="N1619" s="12"/>
      <c r="O1619" s="20"/>
      <c r="P1619" s="35"/>
      <c r="Q1619" s="21"/>
      <c r="R1619" s="38"/>
      <c r="S1619" s="9">
        <f>SUM(O1619:R1619)</f>
        <v>0</v>
      </c>
      <c r="T1619" s="20"/>
      <c r="U1619" s="35"/>
      <c r="V1619" s="21"/>
      <c r="W1619" s="38"/>
      <c r="X1619" s="9">
        <f>SUM(T1619:W1619)</f>
        <v>0</v>
      </c>
      <c r="Y1619" s="11">
        <f t="shared" si="1445"/>
        <v>0</v>
      </c>
    </row>
    <row r="1620" spans="1:26" x14ac:dyDescent="0.15">
      <c r="A1620" s="59" t="s">
        <v>421</v>
      </c>
      <c r="B1620" s="20"/>
      <c r="C1620" s="35">
        <v>1</v>
      </c>
      <c r="D1620" s="21"/>
      <c r="E1620" s="24"/>
      <c r="F1620" s="25">
        <f t="shared" si="1441"/>
        <v>1</v>
      </c>
      <c r="G1620" s="20"/>
      <c r="H1620" s="35"/>
      <c r="I1620" s="21"/>
      <c r="J1620" s="24"/>
      <c r="K1620" s="25">
        <f t="shared" si="1442"/>
        <v>0</v>
      </c>
      <c r="L1620" s="11">
        <f t="shared" si="1431"/>
        <v>1</v>
      </c>
      <c r="M1620" s="69">
        <v>46014</v>
      </c>
      <c r="N1620" s="40"/>
      <c r="O1620" s="20"/>
      <c r="P1620" s="35"/>
      <c r="Q1620" s="21"/>
      <c r="R1620" s="38"/>
      <c r="S1620" s="9">
        <f t="shared" ref="S1620:S1622" si="1449">SUM(O1620:R1620)</f>
        <v>0</v>
      </c>
      <c r="T1620" s="20"/>
      <c r="U1620" s="35"/>
      <c r="V1620" s="21"/>
      <c r="W1620" s="38"/>
      <c r="X1620" s="9">
        <f t="shared" ref="X1620:X1622" si="1450">SUM(T1620:W1620)</f>
        <v>0</v>
      </c>
      <c r="Y1620" s="11">
        <f t="shared" si="1445"/>
        <v>0</v>
      </c>
    </row>
    <row r="1621" spans="1:26" x14ac:dyDescent="0.15">
      <c r="A1621" s="59" t="s">
        <v>421</v>
      </c>
      <c r="B1621" s="20">
        <v>3</v>
      </c>
      <c r="C1621" s="35">
        <v>2</v>
      </c>
      <c r="D1621" s="21">
        <v>2</v>
      </c>
      <c r="E1621" s="24"/>
      <c r="F1621" s="25">
        <f t="shared" si="1441"/>
        <v>7</v>
      </c>
      <c r="G1621" s="20">
        <v>2</v>
      </c>
      <c r="H1621" s="35">
        <v>2</v>
      </c>
      <c r="I1621" s="21">
        <v>2</v>
      </c>
      <c r="J1621" s="24"/>
      <c r="K1621" s="25">
        <f t="shared" si="1442"/>
        <v>6</v>
      </c>
      <c r="L1621" s="11">
        <f t="shared" si="1431"/>
        <v>13</v>
      </c>
      <c r="M1621" s="69">
        <v>46016</v>
      </c>
      <c r="N1621" s="15"/>
      <c r="O1621" s="20"/>
      <c r="P1621" s="35"/>
      <c r="Q1621" s="21"/>
      <c r="R1621" s="38"/>
      <c r="S1621" s="9">
        <f t="shared" si="1449"/>
        <v>0</v>
      </c>
      <c r="T1621" s="20"/>
      <c r="U1621" s="35"/>
      <c r="V1621" s="21"/>
      <c r="W1621" s="38"/>
      <c r="X1621" s="9">
        <f t="shared" si="1450"/>
        <v>0</v>
      </c>
      <c r="Y1621" s="11">
        <f t="shared" si="1445"/>
        <v>0</v>
      </c>
    </row>
    <row r="1622" spans="1:26" x14ac:dyDescent="0.15">
      <c r="A1622" s="59" t="s">
        <v>27</v>
      </c>
      <c r="B1622" s="20"/>
      <c r="C1622" s="35">
        <v>1</v>
      </c>
      <c r="D1622" s="21"/>
      <c r="E1622" s="24"/>
      <c r="F1622" s="25">
        <f t="shared" si="1441"/>
        <v>1</v>
      </c>
      <c r="G1622" s="20"/>
      <c r="H1622" s="35">
        <v>2</v>
      </c>
      <c r="I1622" s="21"/>
      <c r="J1622" s="24"/>
      <c r="K1622" s="25">
        <f t="shared" si="1442"/>
        <v>2</v>
      </c>
      <c r="L1622" s="11">
        <f t="shared" si="1431"/>
        <v>3</v>
      </c>
      <c r="M1622" s="71">
        <v>46015</v>
      </c>
      <c r="N1622" s="15"/>
      <c r="O1622" s="20"/>
      <c r="P1622" s="35"/>
      <c r="Q1622" s="21"/>
      <c r="R1622" s="38"/>
      <c r="S1622" s="9">
        <f t="shared" si="1449"/>
        <v>0</v>
      </c>
      <c r="T1622" s="20"/>
      <c r="U1622" s="35"/>
      <c r="V1622" s="21"/>
      <c r="W1622" s="38"/>
      <c r="X1622" s="9">
        <f t="shared" si="1450"/>
        <v>0</v>
      </c>
      <c r="Y1622" s="11">
        <f t="shared" si="1445"/>
        <v>0</v>
      </c>
    </row>
    <row r="1623" spans="1:26" x14ac:dyDescent="0.15">
      <c r="A1623" s="59" t="s">
        <v>27</v>
      </c>
      <c r="B1623" s="20"/>
      <c r="C1623" s="35"/>
      <c r="D1623" s="21"/>
      <c r="E1623" s="24"/>
      <c r="F1623" s="25">
        <f t="shared" si="1441"/>
        <v>0</v>
      </c>
      <c r="G1623" s="20">
        <v>2</v>
      </c>
      <c r="H1623" s="35"/>
      <c r="I1623" s="21"/>
      <c r="J1623" s="24"/>
      <c r="K1623" s="25">
        <f t="shared" si="1442"/>
        <v>2</v>
      </c>
      <c r="L1623" s="11">
        <f t="shared" si="1431"/>
        <v>2</v>
      </c>
      <c r="M1623" s="71">
        <v>46016</v>
      </c>
      <c r="N1623" s="15"/>
      <c r="O1623" s="20"/>
      <c r="P1623" s="35"/>
      <c r="Q1623" s="21"/>
      <c r="R1623" s="38"/>
      <c r="S1623" s="9">
        <f t="shared" ref="S1623:S1630" si="1451">SUM(O1623:R1623)</f>
        <v>0</v>
      </c>
      <c r="T1623" s="20"/>
      <c r="U1623" s="35"/>
      <c r="V1623" s="21"/>
      <c r="W1623" s="38"/>
      <c r="X1623" s="9">
        <f t="shared" ref="X1623:X1630" si="1452">SUM(T1623:W1623)</f>
        <v>0</v>
      </c>
      <c r="Y1623" s="11">
        <f t="shared" ref="Y1623:Y1630" si="1453">S1623+X1623</f>
        <v>0</v>
      </c>
    </row>
    <row r="1624" spans="1:26" x14ac:dyDescent="0.15">
      <c r="A1624" s="59" t="s">
        <v>885</v>
      </c>
      <c r="B1624" s="20"/>
      <c r="C1624" s="35"/>
      <c r="D1624" s="21"/>
      <c r="E1624" s="24"/>
      <c r="F1624" s="25">
        <f t="shared" si="1441"/>
        <v>0</v>
      </c>
      <c r="G1624" s="20">
        <v>2</v>
      </c>
      <c r="H1624" s="35"/>
      <c r="I1624" s="21"/>
      <c r="J1624" s="24"/>
      <c r="K1624" s="25">
        <f t="shared" si="1442"/>
        <v>2</v>
      </c>
      <c r="L1624" s="11">
        <f t="shared" si="1431"/>
        <v>2</v>
      </c>
      <c r="M1624" s="71">
        <v>46016</v>
      </c>
      <c r="N1624" s="15"/>
      <c r="O1624" s="20"/>
      <c r="P1624" s="35"/>
      <c r="Q1624" s="21"/>
      <c r="R1624" s="38"/>
      <c r="S1624" s="9">
        <f t="shared" si="1451"/>
        <v>0</v>
      </c>
      <c r="T1624" s="20"/>
      <c r="U1624" s="35"/>
      <c r="V1624" s="21"/>
      <c r="W1624" s="38"/>
      <c r="X1624" s="9">
        <f t="shared" si="1452"/>
        <v>0</v>
      </c>
      <c r="Y1624" s="11">
        <f t="shared" si="1453"/>
        <v>0</v>
      </c>
    </row>
    <row r="1625" spans="1:26" x14ac:dyDescent="0.15">
      <c r="A1625" s="59" t="s">
        <v>27</v>
      </c>
      <c r="B1625" s="20">
        <v>1</v>
      </c>
      <c r="C1625" s="35">
        <v>2</v>
      </c>
      <c r="D1625" s="21"/>
      <c r="E1625" s="24"/>
      <c r="F1625" s="25">
        <f t="shared" si="1441"/>
        <v>3</v>
      </c>
      <c r="G1625" s="20">
        <v>1</v>
      </c>
      <c r="H1625" s="35">
        <v>3</v>
      </c>
      <c r="I1625" s="21"/>
      <c r="J1625" s="24"/>
      <c r="K1625" s="25">
        <f t="shared" si="1442"/>
        <v>4</v>
      </c>
      <c r="L1625" s="11">
        <f t="shared" si="1431"/>
        <v>7</v>
      </c>
      <c r="M1625" s="71">
        <v>46017</v>
      </c>
      <c r="N1625" s="15"/>
      <c r="O1625" s="20"/>
      <c r="P1625" s="35"/>
      <c r="Q1625" s="21"/>
      <c r="R1625" s="38"/>
      <c r="S1625" s="9">
        <f t="shared" ref="S1625:S1628" si="1454">SUM(O1625:R1625)</f>
        <v>0</v>
      </c>
      <c r="T1625" s="20"/>
      <c r="U1625" s="35"/>
      <c r="V1625" s="21"/>
      <c r="W1625" s="38"/>
      <c r="X1625" s="9">
        <f t="shared" ref="X1625:X1628" si="1455">SUM(T1625:W1625)</f>
        <v>0</v>
      </c>
      <c r="Y1625" s="11">
        <f t="shared" ref="Y1625:Y1628" si="1456">S1625+X1625</f>
        <v>0</v>
      </c>
    </row>
    <row r="1626" spans="1:26" x14ac:dyDescent="0.15">
      <c r="A1626" s="59" t="s">
        <v>888</v>
      </c>
      <c r="B1626" s="20"/>
      <c r="C1626" s="35"/>
      <c r="D1626" s="21"/>
      <c r="E1626" s="24"/>
      <c r="F1626" s="25">
        <f t="shared" si="1441"/>
        <v>0</v>
      </c>
      <c r="G1626" s="20"/>
      <c r="H1626" s="35">
        <v>2</v>
      </c>
      <c r="I1626" s="21"/>
      <c r="J1626" s="24"/>
      <c r="K1626" s="25">
        <f t="shared" si="1442"/>
        <v>2</v>
      </c>
      <c r="L1626" s="11">
        <f t="shared" si="1431"/>
        <v>2</v>
      </c>
      <c r="M1626" s="69">
        <v>46028</v>
      </c>
      <c r="N1626" s="15"/>
      <c r="O1626" s="20"/>
      <c r="P1626" s="35"/>
      <c r="Q1626" s="21"/>
      <c r="R1626" s="38"/>
      <c r="S1626" s="9">
        <f t="shared" si="1454"/>
        <v>0</v>
      </c>
      <c r="T1626" s="20"/>
      <c r="U1626" s="35"/>
      <c r="V1626" s="21"/>
      <c r="W1626" s="38"/>
      <c r="X1626" s="9">
        <f t="shared" si="1455"/>
        <v>0</v>
      </c>
      <c r="Y1626" s="11">
        <f t="shared" si="1456"/>
        <v>0</v>
      </c>
    </row>
    <row r="1627" spans="1:26" x14ac:dyDescent="0.15">
      <c r="A1627" s="59" t="s">
        <v>888</v>
      </c>
      <c r="B1627" s="20"/>
      <c r="C1627" s="35"/>
      <c r="D1627" s="21"/>
      <c r="E1627" s="24"/>
      <c r="F1627" s="25">
        <f t="shared" si="1441"/>
        <v>0</v>
      </c>
      <c r="G1627" s="20"/>
      <c r="H1627" s="35">
        <v>11</v>
      </c>
      <c r="I1627" s="21"/>
      <c r="J1627" s="24"/>
      <c r="K1627" s="25">
        <f t="shared" si="1442"/>
        <v>11</v>
      </c>
      <c r="L1627" s="11">
        <f t="shared" si="1431"/>
        <v>11</v>
      </c>
      <c r="M1627" s="69">
        <v>46029</v>
      </c>
      <c r="N1627" s="15"/>
      <c r="O1627" s="20"/>
      <c r="P1627" s="35"/>
      <c r="Q1627" s="21"/>
      <c r="R1627" s="38"/>
      <c r="S1627" s="9">
        <f t="shared" si="1454"/>
        <v>0</v>
      </c>
      <c r="T1627" s="20"/>
      <c r="U1627" s="35"/>
      <c r="V1627" s="21"/>
      <c r="W1627" s="38"/>
      <c r="X1627" s="9">
        <f t="shared" si="1455"/>
        <v>0</v>
      </c>
      <c r="Y1627" s="11">
        <f t="shared" si="1456"/>
        <v>0</v>
      </c>
    </row>
    <row r="1628" spans="1:26" x14ac:dyDescent="0.15">
      <c r="A1628" s="59" t="s">
        <v>32</v>
      </c>
      <c r="B1628" s="20">
        <v>1</v>
      </c>
      <c r="C1628" s="35"/>
      <c r="D1628" s="21"/>
      <c r="E1628" s="24"/>
      <c r="F1628" s="25">
        <f t="shared" si="1441"/>
        <v>1</v>
      </c>
      <c r="G1628" s="20">
        <v>1</v>
      </c>
      <c r="H1628" s="35"/>
      <c r="I1628" s="21"/>
      <c r="J1628" s="24"/>
      <c r="K1628" s="25">
        <f t="shared" si="1442"/>
        <v>1</v>
      </c>
      <c r="L1628" s="11">
        <f t="shared" si="1431"/>
        <v>2</v>
      </c>
      <c r="M1628" s="69">
        <v>46028</v>
      </c>
      <c r="N1628" s="15"/>
      <c r="O1628" s="20"/>
      <c r="P1628" s="35"/>
      <c r="Q1628" s="21"/>
      <c r="R1628" s="38"/>
      <c r="S1628" s="9">
        <f t="shared" si="1454"/>
        <v>0</v>
      </c>
      <c r="T1628" s="20"/>
      <c r="U1628" s="35"/>
      <c r="V1628" s="21"/>
      <c r="W1628" s="38"/>
      <c r="X1628" s="9">
        <f t="shared" si="1455"/>
        <v>0</v>
      </c>
      <c r="Y1628" s="11">
        <f t="shared" si="1456"/>
        <v>0</v>
      </c>
    </row>
    <row r="1629" spans="1:26" x14ac:dyDescent="0.15">
      <c r="A1629" s="59" t="s">
        <v>27</v>
      </c>
      <c r="B1629" s="20">
        <v>5</v>
      </c>
      <c r="C1629" s="35">
        <v>3</v>
      </c>
      <c r="D1629" s="21">
        <v>1</v>
      </c>
      <c r="E1629" s="24"/>
      <c r="F1629" s="25">
        <f t="shared" si="1441"/>
        <v>9</v>
      </c>
      <c r="G1629" s="20">
        <v>2</v>
      </c>
      <c r="H1629" s="35">
        <v>11</v>
      </c>
      <c r="I1629" s="21"/>
      <c r="J1629" s="24"/>
      <c r="K1629" s="25">
        <f t="shared" si="1442"/>
        <v>13</v>
      </c>
      <c r="L1629" s="11">
        <f t="shared" si="1431"/>
        <v>22</v>
      </c>
      <c r="M1629" s="71">
        <v>46027</v>
      </c>
      <c r="N1629" s="137" t="s">
        <v>845</v>
      </c>
      <c r="O1629" s="138"/>
      <c r="P1629" s="139"/>
      <c r="Q1629" s="140"/>
      <c r="R1629" s="141"/>
      <c r="S1629" s="142">
        <f t="shared" si="1451"/>
        <v>0</v>
      </c>
      <c r="T1629" s="138"/>
      <c r="U1629" s="139"/>
      <c r="V1629" s="140"/>
      <c r="W1629" s="141"/>
      <c r="X1629" s="142">
        <f t="shared" si="1452"/>
        <v>0</v>
      </c>
      <c r="Y1629" s="145">
        <f t="shared" si="1453"/>
        <v>0</v>
      </c>
      <c r="Z1629" s="167"/>
    </row>
    <row r="1630" spans="1:26" ht="14.25" thickBot="1" x14ac:dyDescent="0.2">
      <c r="A1630" s="12" t="s">
        <v>889</v>
      </c>
      <c r="B1630" s="43">
        <v>2</v>
      </c>
      <c r="C1630" s="44"/>
      <c r="D1630" s="45"/>
      <c r="E1630" s="46"/>
      <c r="F1630" s="25">
        <f t="shared" si="1441"/>
        <v>2</v>
      </c>
      <c r="G1630" s="43">
        <v>2</v>
      </c>
      <c r="H1630" s="44"/>
      <c r="I1630" s="45"/>
      <c r="J1630" s="46"/>
      <c r="K1630" s="25">
        <f t="shared" si="1442"/>
        <v>2</v>
      </c>
      <c r="L1630" s="14">
        <f t="shared" si="1431"/>
        <v>4</v>
      </c>
      <c r="M1630" s="71">
        <v>46028</v>
      </c>
      <c r="N1630" s="99" t="s">
        <v>846</v>
      </c>
      <c r="O1630" s="43"/>
      <c r="P1630" s="44"/>
      <c r="Q1630" s="45"/>
      <c r="R1630" s="100"/>
      <c r="S1630" s="10">
        <f t="shared" si="1451"/>
        <v>0</v>
      </c>
      <c r="T1630" s="43"/>
      <c r="U1630" s="44"/>
      <c r="V1630" s="45"/>
      <c r="W1630" s="100"/>
      <c r="X1630" s="10">
        <f t="shared" si="1452"/>
        <v>0</v>
      </c>
      <c r="Y1630" s="75">
        <f t="shared" si="1453"/>
        <v>0</v>
      </c>
      <c r="Z1630" s="162" t="s">
        <v>839</v>
      </c>
    </row>
    <row r="1631" spans="1:26" ht="14.25" thickBot="1" x14ac:dyDescent="0.2">
      <c r="A1631" s="16" t="s">
        <v>9</v>
      </c>
      <c r="B1631" s="28">
        <f>SUM(B1606:B1630)</f>
        <v>16</v>
      </c>
      <c r="C1631" s="36">
        <f>SUM(C1606:C1630)</f>
        <v>19</v>
      </c>
      <c r="D1631" s="29">
        <f>SUM(D1606:D1630)</f>
        <v>14</v>
      </c>
      <c r="E1631" s="30">
        <f>SUM(E1606:E1630)</f>
        <v>3</v>
      </c>
      <c r="F1631" s="26">
        <f>SUM(B1631:E1631)</f>
        <v>52</v>
      </c>
      <c r="G1631" s="28">
        <f>SUM(G1606:G1630)</f>
        <v>19</v>
      </c>
      <c r="H1631" s="36">
        <f>SUM(H1606:H1630)</f>
        <v>41</v>
      </c>
      <c r="I1631" s="29">
        <f>SUM(I1606:I1630)</f>
        <v>12</v>
      </c>
      <c r="J1631" s="30">
        <f>SUM(J1606:J1630)</f>
        <v>3</v>
      </c>
      <c r="K1631" s="26">
        <f>SUM(G1631:J1631)</f>
        <v>75</v>
      </c>
      <c r="L1631" s="27">
        <f t="shared" si="1431"/>
        <v>127</v>
      </c>
      <c r="N1631" s="61" t="s">
        <v>9</v>
      </c>
      <c r="O1631" s="28">
        <f>SUM(O1606:O1630)</f>
        <v>55</v>
      </c>
      <c r="P1631" s="36">
        <f t="shared" ref="P1631:R1631" si="1457">SUM(P1606:P1630)</f>
        <v>85</v>
      </c>
      <c r="Q1631" s="29">
        <f t="shared" si="1457"/>
        <v>40</v>
      </c>
      <c r="R1631" s="30">
        <f t="shared" si="1457"/>
        <v>35</v>
      </c>
      <c r="S1631" s="60">
        <f>SUM(O1631:R1631)</f>
        <v>215</v>
      </c>
      <c r="T1631" s="28">
        <f>SUM(T1606:T1630)</f>
        <v>40</v>
      </c>
      <c r="U1631" s="36">
        <f t="shared" ref="U1631:W1631" si="1458">SUM(U1606:U1630)</f>
        <v>65</v>
      </c>
      <c r="V1631" s="29">
        <f t="shared" si="1458"/>
        <v>60</v>
      </c>
      <c r="W1631" s="30">
        <f t="shared" si="1458"/>
        <v>10</v>
      </c>
      <c r="X1631" s="60">
        <f>SUM(T1631:W1631)</f>
        <v>175</v>
      </c>
      <c r="Y1631" s="63">
        <f>S1631+X1631</f>
        <v>390</v>
      </c>
    </row>
    <row r="1632" spans="1:26" ht="14.25" thickBot="1" x14ac:dyDescent="0.2">
      <c r="A1632" s="18" t="s">
        <v>10</v>
      </c>
      <c r="B1632" s="31">
        <f t="shared" ref="B1632:K1632" si="1459">B1605-B1631</f>
        <v>24</v>
      </c>
      <c r="C1632" s="37">
        <f t="shared" si="1459"/>
        <v>29</v>
      </c>
      <c r="D1632" s="32">
        <f t="shared" si="1459"/>
        <v>31</v>
      </c>
      <c r="E1632" s="33">
        <f t="shared" si="1459"/>
        <v>31</v>
      </c>
      <c r="F1632" s="42">
        <f t="shared" si="1459"/>
        <v>115</v>
      </c>
      <c r="G1632" s="31">
        <f t="shared" si="1459"/>
        <v>22</v>
      </c>
      <c r="H1632" s="37">
        <f t="shared" si="1459"/>
        <v>3</v>
      </c>
      <c r="I1632" s="32">
        <f t="shared" si="1459"/>
        <v>26</v>
      </c>
      <c r="J1632" s="33">
        <f t="shared" si="1459"/>
        <v>31</v>
      </c>
      <c r="K1632" s="42">
        <f t="shared" si="1459"/>
        <v>82</v>
      </c>
      <c r="L1632" s="17">
        <f t="shared" si="1431"/>
        <v>197</v>
      </c>
      <c r="N1632" s="16" t="s">
        <v>10</v>
      </c>
      <c r="O1632" s="31">
        <f>O1605-O1631</f>
        <v>527</v>
      </c>
      <c r="P1632" s="37">
        <f t="shared" ref="P1632:R1632" si="1460">P1605-P1631</f>
        <v>641</v>
      </c>
      <c r="Q1632" s="32">
        <f t="shared" si="1460"/>
        <v>409</v>
      </c>
      <c r="R1632" s="33">
        <f t="shared" si="1460"/>
        <v>270</v>
      </c>
      <c r="S1632" s="42">
        <f>S1605-S1631</f>
        <v>1847</v>
      </c>
      <c r="T1632" s="31">
        <f>T1605-T1631</f>
        <v>504</v>
      </c>
      <c r="U1632" s="37">
        <f t="shared" ref="U1632:W1632" si="1461">U1605-U1631</f>
        <v>658</v>
      </c>
      <c r="V1632" s="32">
        <f t="shared" si="1461"/>
        <v>430</v>
      </c>
      <c r="W1632" s="33">
        <f t="shared" si="1461"/>
        <v>325</v>
      </c>
      <c r="X1632" s="42">
        <f>X1605-X1631</f>
        <v>1917</v>
      </c>
      <c r="Y1632" s="17">
        <f>S1632+X1632</f>
        <v>3764</v>
      </c>
    </row>
    <row r="1635" spans="1:26" ht="19.5" thickBot="1" x14ac:dyDescent="0.25">
      <c r="A1635" s="2" t="s">
        <v>17</v>
      </c>
      <c r="B1635" s="2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N1635" s="2" t="s">
        <v>18</v>
      </c>
      <c r="O1635" s="87"/>
      <c r="P1635" s="87"/>
      <c r="Q1635" s="87"/>
      <c r="R1635" s="87"/>
      <c r="S1635" s="87"/>
      <c r="T1635" s="87"/>
      <c r="U1635" s="87"/>
      <c r="V1635" s="87"/>
      <c r="W1635" s="87"/>
      <c r="X1635" s="87"/>
      <c r="Y1635" s="1"/>
    </row>
    <row r="1636" spans="1:26" ht="14.25" thickBot="1" x14ac:dyDescent="0.2">
      <c r="A1636" s="5" t="s">
        <v>0</v>
      </c>
      <c r="B1636" s="244" t="s">
        <v>19</v>
      </c>
      <c r="C1636" s="245"/>
      <c r="D1636" s="245"/>
      <c r="E1636" s="245"/>
      <c r="F1636" s="246"/>
      <c r="G1636" s="247" t="s">
        <v>20</v>
      </c>
      <c r="H1636" s="248"/>
      <c r="I1636" s="248"/>
      <c r="J1636" s="248"/>
      <c r="K1636" s="249"/>
      <c r="L1636" s="250" t="s">
        <v>1</v>
      </c>
      <c r="N1636" s="5" t="s">
        <v>0</v>
      </c>
      <c r="O1636" s="244" t="s">
        <v>19</v>
      </c>
      <c r="P1636" s="245"/>
      <c r="Q1636" s="245"/>
      <c r="R1636" s="245"/>
      <c r="S1636" s="246"/>
      <c r="T1636" s="247" t="s">
        <v>20</v>
      </c>
      <c r="U1636" s="248"/>
      <c r="V1636" s="248"/>
      <c r="W1636" s="248"/>
      <c r="X1636" s="249"/>
      <c r="Y1636" s="250" t="s">
        <v>1</v>
      </c>
    </row>
    <row r="1637" spans="1:26" ht="14.25" thickBot="1" x14ac:dyDescent="0.2">
      <c r="A1637" s="5" t="s">
        <v>2</v>
      </c>
      <c r="B1637" s="3" t="s">
        <v>11</v>
      </c>
      <c r="C1637" s="34" t="s">
        <v>12</v>
      </c>
      <c r="D1637" s="4" t="s">
        <v>13</v>
      </c>
      <c r="E1637" s="19" t="s">
        <v>14</v>
      </c>
      <c r="F1637" s="23" t="s">
        <v>3</v>
      </c>
      <c r="G1637" s="3" t="s">
        <v>11</v>
      </c>
      <c r="H1637" s="34" t="s">
        <v>12</v>
      </c>
      <c r="I1637" s="4" t="s">
        <v>13</v>
      </c>
      <c r="J1637" s="19" t="s">
        <v>14</v>
      </c>
      <c r="K1637" s="23" t="s">
        <v>3</v>
      </c>
      <c r="L1637" s="251"/>
      <c r="N1637" s="5" t="s">
        <v>2</v>
      </c>
      <c r="O1637" s="53" t="s">
        <v>11</v>
      </c>
      <c r="P1637" s="54" t="s">
        <v>12</v>
      </c>
      <c r="Q1637" s="55" t="s">
        <v>13</v>
      </c>
      <c r="R1637" s="56" t="s">
        <v>14</v>
      </c>
      <c r="S1637" s="23" t="s">
        <v>3</v>
      </c>
      <c r="T1637" s="3" t="s">
        <v>11</v>
      </c>
      <c r="U1637" s="34" t="s">
        <v>12</v>
      </c>
      <c r="V1637" s="4" t="s">
        <v>13</v>
      </c>
      <c r="W1637" s="19" t="s">
        <v>14</v>
      </c>
      <c r="X1637" s="23" t="s">
        <v>3</v>
      </c>
      <c r="Y1637" s="251"/>
    </row>
    <row r="1638" spans="1:26" ht="14.25" thickBot="1" x14ac:dyDescent="0.2">
      <c r="A1638" s="18" t="s">
        <v>15</v>
      </c>
      <c r="B1638" s="31">
        <f>B1632</f>
        <v>24</v>
      </c>
      <c r="C1638" s="32">
        <f>C1632</f>
        <v>29</v>
      </c>
      <c r="D1638" s="32">
        <f>D1632</f>
        <v>31</v>
      </c>
      <c r="E1638" s="33">
        <f>E1632</f>
        <v>31</v>
      </c>
      <c r="F1638" s="86">
        <f>SUM(B1638:E1638)</f>
        <v>115</v>
      </c>
      <c r="G1638" s="31">
        <f>G1632</f>
        <v>22</v>
      </c>
      <c r="H1638" s="32">
        <f>H1632</f>
        <v>3</v>
      </c>
      <c r="I1638" s="32">
        <f>I1632</f>
        <v>26</v>
      </c>
      <c r="J1638" s="33">
        <f>J1632</f>
        <v>31</v>
      </c>
      <c r="K1638" s="80">
        <f>SUM(G1638:J1638)</f>
        <v>82</v>
      </c>
      <c r="L1638" s="17">
        <f>F1638+K1638</f>
        <v>197</v>
      </c>
      <c r="N1638" s="18" t="s">
        <v>15</v>
      </c>
      <c r="O1638" s="31">
        <f>O1632</f>
        <v>527</v>
      </c>
      <c r="P1638" s="32">
        <f t="shared" ref="P1638:Y1638" si="1462">P1632</f>
        <v>641</v>
      </c>
      <c r="Q1638" s="32">
        <f t="shared" si="1462"/>
        <v>409</v>
      </c>
      <c r="R1638" s="33">
        <f t="shared" si="1462"/>
        <v>270</v>
      </c>
      <c r="S1638" s="86">
        <f t="shared" si="1462"/>
        <v>1847</v>
      </c>
      <c r="T1638" s="31">
        <f t="shared" si="1462"/>
        <v>504</v>
      </c>
      <c r="U1638" s="32">
        <f t="shared" si="1462"/>
        <v>658</v>
      </c>
      <c r="V1638" s="32">
        <f t="shared" si="1462"/>
        <v>430</v>
      </c>
      <c r="W1638" s="33">
        <f t="shared" si="1462"/>
        <v>325</v>
      </c>
      <c r="X1638" s="80">
        <f t="shared" si="1462"/>
        <v>1917</v>
      </c>
      <c r="Y1638" s="17">
        <f t="shared" si="1462"/>
        <v>3764</v>
      </c>
    </row>
    <row r="1639" spans="1:26" x14ac:dyDescent="0.15">
      <c r="A1639" s="222" t="s">
        <v>4</v>
      </c>
      <c r="B1639" s="209"/>
      <c r="C1639" s="210"/>
      <c r="D1639" s="211"/>
      <c r="E1639" s="212"/>
      <c r="F1639" s="213">
        <f t="shared" ref="F1639:F1642" si="1463">SUM(B1639:E1639)</f>
        <v>0</v>
      </c>
      <c r="G1639" s="209"/>
      <c r="H1639" s="210">
        <v>30</v>
      </c>
      <c r="I1639" s="211"/>
      <c r="J1639" s="212"/>
      <c r="K1639" s="213">
        <f t="shared" ref="K1639:K1642" si="1464">SUM(G1639:J1639)</f>
        <v>30</v>
      </c>
      <c r="L1639" s="214">
        <f t="shared" ref="L1639:L1670" si="1465">F1639+K1639</f>
        <v>30</v>
      </c>
      <c r="M1639" s="215">
        <v>46028</v>
      </c>
      <c r="N1639" s="59" t="s">
        <v>16</v>
      </c>
      <c r="O1639" s="48"/>
      <c r="P1639" s="49"/>
      <c r="Q1639" s="50"/>
      <c r="R1639" s="51"/>
      <c r="S1639" s="85">
        <f t="shared" ref="S1639:S1641" si="1466">SUM(O1639:R1639)</f>
        <v>0</v>
      </c>
      <c r="T1639" s="48"/>
      <c r="U1639" s="49"/>
      <c r="V1639" s="50"/>
      <c r="W1639" s="51"/>
      <c r="X1639" s="74">
        <f t="shared" ref="X1639:X1641" si="1467">SUM(T1639:W1639)</f>
        <v>0</v>
      </c>
      <c r="Y1639" s="11">
        <f t="shared" ref="Y1639:Y1642" si="1468">S1639+X1639</f>
        <v>0</v>
      </c>
    </row>
    <row r="1640" spans="1:26" x14ac:dyDescent="0.15">
      <c r="A1640" s="222" t="s">
        <v>5</v>
      </c>
      <c r="B1640" s="209">
        <v>15</v>
      </c>
      <c r="C1640" s="210">
        <v>10</v>
      </c>
      <c r="D1640" s="211">
        <v>10</v>
      </c>
      <c r="E1640" s="212">
        <v>10</v>
      </c>
      <c r="F1640" s="213">
        <f t="shared" si="1463"/>
        <v>45</v>
      </c>
      <c r="G1640" s="209">
        <v>10</v>
      </c>
      <c r="H1640" s="210">
        <v>15</v>
      </c>
      <c r="I1640" s="211">
        <v>5</v>
      </c>
      <c r="J1640" s="212">
        <v>10</v>
      </c>
      <c r="K1640" s="213">
        <f t="shared" si="1464"/>
        <v>40</v>
      </c>
      <c r="L1640" s="214">
        <f t="shared" si="1465"/>
        <v>85</v>
      </c>
      <c r="M1640" s="215">
        <v>46039</v>
      </c>
      <c r="N1640" s="59" t="s">
        <v>4</v>
      </c>
      <c r="O1640" s="48">
        <v>500</v>
      </c>
      <c r="P1640" s="49">
        <v>750</v>
      </c>
      <c r="Q1640" s="50">
        <v>450</v>
      </c>
      <c r="R1640" s="51">
        <v>300</v>
      </c>
      <c r="S1640" s="85">
        <f t="shared" si="1466"/>
        <v>2000</v>
      </c>
      <c r="T1640" s="48">
        <v>550</v>
      </c>
      <c r="U1640" s="49">
        <v>800</v>
      </c>
      <c r="V1640" s="50">
        <v>450</v>
      </c>
      <c r="W1640" s="51">
        <v>300</v>
      </c>
      <c r="X1640" s="74">
        <f t="shared" si="1467"/>
        <v>2100</v>
      </c>
      <c r="Y1640" s="11">
        <f t="shared" si="1468"/>
        <v>4100</v>
      </c>
      <c r="Z1640" s="69" t="s">
        <v>894</v>
      </c>
    </row>
    <row r="1641" spans="1:26" x14ac:dyDescent="0.15">
      <c r="A1641" s="222" t="s">
        <v>6</v>
      </c>
      <c r="B1641" s="209">
        <v>10</v>
      </c>
      <c r="C1641" s="210">
        <v>10</v>
      </c>
      <c r="D1641" s="211"/>
      <c r="E1641" s="212"/>
      <c r="F1641" s="213">
        <f t="shared" si="1463"/>
        <v>20</v>
      </c>
      <c r="G1641" s="209">
        <v>10</v>
      </c>
      <c r="H1641" s="210">
        <v>15</v>
      </c>
      <c r="I1641" s="211">
        <v>10</v>
      </c>
      <c r="J1641" s="212"/>
      <c r="K1641" s="213">
        <f t="shared" si="1464"/>
        <v>35</v>
      </c>
      <c r="L1641" s="214">
        <f t="shared" si="1465"/>
        <v>55</v>
      </c>
      <c r="M1641" s="215">
        <v>46049</v>
      </c>
      <c r="N1641" s="59" t="s">
        <v>5</v>
      </c>
      <c r="O1641" s="48"/>
      <c r="P1641" s="49"/>
      <c r="Q1641" s="50"/>
      <c r="R1641" s="51"/>
      <c r="S1641" s="85">
        <f t="shared" si="1466"/>
        <v>0</v>
      </c>
      <c r="T1641" s="48"/>
      <c r="U1641" s="49"/>
      <c r="V1641" s="50"/>
      <c r="W1641" s="51"/>
      <c r="X1641" s="74">
        <f t="shared" si="1467"/>
        <v>0</v>
      </c>
      <c r="Y1641" s="11">
        <f t="shared" si="1468"/>
        <v>0</v>
      </c>
      <c r="Z1641" s="162" t="s">
        <v>871</v>
      </c>
    </row>
    <row r="1642" spans="1:26" ht="14.25" thickBot="1" x14ac:dyDescent="0.2">
      <c r="A1642" s="13" t="s">
        <v>7</v>
      </c>
      <c r="B1642" s="48"/>
      <c r="C1642" s="49"/>
      <c r="D1642" s="50"/>
      <c r="E1642" s="51"/>
      <c r="F1642" s="52">
        <f t="shared" si="1463"/>
        <v>0</v>
      </c>
      <c r="G1642" s="48">
        <v>10</v>
      </c>
      <c r="H1642" s="49">
        <v>10</v>
      </c>
      <c r="I1642" s="50">
        <v>10</v>
      </c>
      <c r="J1642" s="51">
        <v>10</v>
      </c>
      <c r="K1642" s="52">
        <f t="shared" si="1464"/>
        <v>40</v>
      </c>
      <c r="L1642" s="11">
        <f t="shared" si="1465"/>
        <v>40</v>
      </c>
      <c r="M1642" s="69">
        <v>46052</v>
      </c>
      <c r="N1642" s="13" t="s">
        <v>6</v>
      </c>
      <c r="O1642" s="43"/>
      <c r="P1642" s="44"/>
      <c r="Q1642" s="45"/>
      <c r="R1642" s="46"/>
      <c r="S1642" s="58">
        <f>SUM(O1642:R1642)</f>
        <v>0</v>
      </c>
      <c r="T1642" s="35"/>
      <c r="U1642" s="35"/>
      <c r="V1642" s="21"/>
      <c r="W1642" s="38"/>
      <c r="X1642" s="10">
        <f>SUM(T1642:W1642)</f>
        <v>0</v>
      </c>
      <c r="Y1642" s="14">
        <f t="shared" si="1468"/>
        <v>0</v>
      </c>
    </row>
    <row r="1643" spans="1:26" ht="14.25" thickBot="1" x14ac:dyDescent="0.2">
      <c r="A1643" s="18" t="s">
        <v>8</v>
      </c>
      <c r="B1643" s="76">
        <f t="shared" ref="B1643:K1643" si="1469">SUM(B1638:B1642)</f>
        <v>49</v>
      </c>
      <c r="C1643" s="77">
        <f t="shared" si="1469"/>
        <v>49</v>
      </c>
      <c r="D1643" s="78">
        <f t="shared" si="1469"/>
        <v>41</v>
      </c>
      <c r="E1643" s="79">
        <f t="shared" si="1469"/>
        <v>41</v>
      </c>
      <c r="F1643" s="80">
        <f t="shared" si="1469"/>
        <v>180</v>
      </c>
      <c r="G1643" s="76">
        <f t="shared" si="1469"/>
        <v>52</v>
      </c>
      <c r="H1643" s="77">
        <f t="shared" si="1469"/>
        <v>73</v>
      </c>
      <c r="I1643" s="78">
        <f t="shared" si="1469"/>
        <v>51</v>
      </c>
      <c r="J1643" s="79">
        <f t="shared" si="1469"/>
        <v>51</v>
      </c>
      <c r="K1643" s="80">
        <f t="shared" si="1469"/>
        <v>227</v>
      </c>
      <c r="L1643" s="17">
        <f t="shared" si="1465"/>
        <v>407</v>
      </c>
      <c r="N1643" s="16" t="s">
        <v>8</v>
      </c>
      <c r="O1643" s="31">
        <f>SUM(O1638:O1642)</f>
        <v>1027</v>
      </c>
      <c r="P1643" s="37">
        <f t="shared" ref="P1643:R1643" si="1470">SUM(P1638:P1642)</f>
        <v>1391</v>
      </c>
      <c r="Q1643" s="32">
        <f t="shared" si="1470"/>
        <v>859</v>
      </c>
      <c r="R1643" s="82">
        <f t="shared" si="1470"/>
        <v>570</v>
      </c>
      <c r="S1643" s="83">
        <f>SUM(S1638:S1642)</f>
        <v>3847</v>
      </c>
      <c r="T1643" s="31">
        <f>SUM(T1638:T1642)</f>
        <v>1054</v>
      </c>
      <c r="U1643" s="37">
        <f t="shared" ref="U1643:W1643" si="1471">SUM(U1638:U1642)</f>
        <v>1458</v>
      </c>
      <c r="V1643" s="32">
        <f t="shared" si="1471"/>
        <v>880</v>
      </c>
      <c r="W1643" s="82">
        <f t="shared" si="1471"/>
        <v>625</v>
      </c>
      <c r="X1643" s="83">
        <f>SUM(X1638:X1642)</f>
        <v>4017</v>
      </c>
      <c r="Y1643" s="39">
        <f>S1643+X1643</f>
        <v>7864</v>
      </c>
    </row>
    <row r="1644" spans="1:26" x14ac:dyDescent="0.15">
      <c r="A1644" s="59" t="s">
        <v>27</v>
      </c>
      <c r="B1644" s="20"/>
      <c r="C1644" s="35">
        <v>1</v>
      </c>
      <c r="D1644" s="21"/>
      <c r="E1644" s="24">
        <v>1</v>
      </c>
      <c r="F1644" s="25">
        <f t="shared" ref="F1644:F1668" si="1472">SUM(B1644:E1644)</f>
        <v>2</v>
      </c>
      <c r="G1644" s="20"/>
      <c r="H1644" s="35">
        <v>5</v>
      </c>
      <c r="I1644" s="21"/>
      <c r="J1644" s="24">
        <v>1</v>
      </c>
      <c r="K1644" s="25">
        <f t="shared" ref="K1644:K1668" si="1473">SUM(G1644:J1644)</f>
        <v>6</v>
      </c>
      <c r="L1644" s="11">
        <f t="shared" si="1465"/>
        <v>8</v>
      </c>
      <c r="M1644" s="71">
        <v>46028</v>
      </c>
      <c r="N1644" s="12" t="s">
        <v>477</v>
      </c>
      <c r="O1644" s="20"/>
      <c r="P1644" s="35">
        <v>5</v>
      </c>
      <c r="Q1644" s="21">
        <v>5</v>
      </c>
      <c r="R1644" s="38"/>
      <c r="S1644" s="9">
        <f t="shared" ref="S1644:S1656" si="1474">SUM(O1644:R1644)</f>
        <v>10</v>
      </c>
      <c r="T1644" s="20"/>
      <c r="U1644" s="35">
        <v>5</v>
      </c>
      <c r="V1644" s="21"/>
      <c r="W1644" s="38"/>
      <c r="X1644" s="9">
        <f t="shared" ref="X1644:X1656" si="1475">SUM(T1644:W1644)</f>
        <v>5</v>
      </c>
      <c r="Y1644" s="11">
        <f t="shared" ref="Y1644:Y1668" si="1476">S1644+X1644</f>
        <v>15</v>
      </c>
      <c r="Z1644" s="69">
        <v>46036</v>
      </c>
    </row>
    <row r="1645" spans="1:26" x14ac:dyDescent="0.15">
      <c r="A1645" s="59" t="s">
        <v>27</v>
      </c>
      <c r="B1645" s="20"/>
      <c r="C1645" s="35"/>
      <c r="D1645" s="21"/>
      <c r="E1645" s="24">
        <v>1</v>
      </c>
      <c r="F1645" s="25">
        <f t="shared" si="1472"/>
        <v>1</v>
      </c>
      <c r="G1645" s="20"/>
      <c r="H1645" s="35"/>
      <c r="I1645" s="21"/>
      <c r="J1645" s="24">
        <v>1</v>
      </c>
      <c r="K1645" s="25">
        <f t="shared" si="1473"/>
        <v>1</v>
      </c>
      <c r="L1645" s="11">
        <f t="shared" si="1465"/>
        <v>2</v>
      </c>
      <c r="M1645" s="71">
        <v>46029</v>
      </c>
      <c r="N1645" s="40" t="s">
        <v>898</v>
      </c>
      <c r="O1645" s="20">
        <v>10</v>
      </c>
      <c r="P1645" s="35"/>
      <c r="Q1645" s="21"/>
      <c r="R1645" s="38"/>
      <c r="S1645" s="9">
        <f t="shared" ref="S1645:S1646" si="1477">SUM(O1645:R1645)</f>
        <v>10</v>
      </c>
      <c r="T1645" s="20">
        <v>10</v>
      </c>
      <c r="U1645" s="35"/>
      <c r="V1645" s="21"/>
      <c r="W1645" s="38"/>
      <c r="X1645" s="9">
        <f t="shared" ref="X1645:X1646" si="1478">SUM(T1645:W1645)</f>
        <v>10</v>
      </c>
      <c r="Y1645" s="11">
        <f t="shared" ref="Y1645:Y1646" si="1479">S1645+X1645</f>
        <v>20</v>
      </c>
      <c r="Z1645" s="69">
        <v>46041</v>
      </c>
    </row>
    <row r="1646" spans="1:26" x14ac:dyDescent="0.15">
      <c r="A1646" s="59" t="s">
        <v>27</v>
      </c>
      <c r="B1646" s="20"/>
      <c r="C1646" s="35"/>
      <c r="D1646" s="21"/>
      <c r="E1646" s="24"/>
      <c r="F1646" s="25">
        <f t="shared" si="1472"/>
        <v>0</v>
      </c>
      <c r="G1646" s="20">
        <v>1</v>
      </c>
      <c r="H1646" s="35"/>
      <c r="I1646" s="21"/>
      <c r="J1646" s="24"/>
      <c r="K1646" s="25">
        <f t="shared" si="1473"/>
        <v>1</v>
      </c>
      <c r="L1646" s="11">
        <f t="shared" si="1465"/>
        <v>1</v>
      </c>
      <c r="M1646" s="71">
        <v>46031</v>
      </c>
      <c r="N1646" s="12" t="s">
        <v>492</v>
      </c>
      <c r="O1646" s="20"/>
      <c r="P1646" s="35"/>
      <c r="Q1646" s="21"/>
      <c r="R1646" s="38">
        <v>5</v>
      </c>
      <c r="S1646" s="9">
        <f t="shared" si="1477"/>
        <v>5</v>
      </c>
      <c r="T1646" s="20"/>
      <c r="U1646" s="35"/>
      <c r="V1646" s="21">
        <v>5</v>
      </c>
      <c r="W1646" s="38"/>
      <c r="X1646" s="9">
        <f t="shared" si="1478"/>
        <v>5</v>
      </c>
      <c r="Y1646" s="11">
        <f t="shared" si="1479"/>
        <v>10</v>
      </c>
      <c r="Z1646" s="69">
        <v>46043</v>
      </c>
    </row>
    <row r="1647" spans="1:26" x14ac:dyDescent="0.15">
      <c r="A1647" s="59" t="s">
        <v>27</v>
      </c>
      <c r="B1647" s="20"/>
      <c r="C1647" s="35"/>
      <c r="D1647" s="21">
        <v>1</v>
      </c>
      <c r="E1647" s="24"/>
      <c r="F1647" s="25">
        <f t="shared" si="1472"/>
        <v>1</v>
      </c>
      <c r="G1647" s="20"/>
      <c r="H1647" s="35"/>
      <c r="I1647" s="21">
        <v>1</v>
      </c>
      <c r="J1647" s="24"/>
      <c r="K1647" s="25">
        <f t="shared" si="1473"/>
        <v>1</v>
      </c>
      <c r="L1647" s="11">
        <f t="shared" si="1465"/>
        <v>2</v>
      </c>
      <c r="M1647" s="71">
        <v>46032</v>
      </c>
      <c r="N1647" s="40" t="s">
        <v>899</v>
      </c>
      <c r="O1647" s="20">
        <v>10</v>
      </c>
      <c r="P1647" s="35"/>
      <c r="Q1647" s="21"/>
      <c r="R1647" s="38"/>
      <c r="S1647" s="9">
        <f t="shared" si="1474"/>
        <v>10</v>
      </c>
      <c r="T1647" s="20">
        <v>10</v>
      </c>
      <c r="U1647" s="35"/>
      <c r="V1647" s="21"/>
      <c r="W1647" s="38"/>
      <c r="X1647" s="9">
        <f t="shared" si="1475"/>
        <v>10</v>
      </c>
      <c r="Y1647" s="11">
        <f t="shared" si="1476"/>
        <v>20</v>
      </c>
      <c r="Z1647" s="69">
        <v>46043</v>
      </c>
    </row>
    <row r="1648" spans="1:26" x14ac:dyDescent="0.15">
      <c r="A1648" s="59" t="s">
        <v>897</v>
      </c>
      <c r="B1648" s="20"/>
      <c r="C1648" s="35"/>
      <c r="D1648" s="21"/>
      <c r="E1648" s="24"/>
      <c r="F1648" s="25">
        <f t="shared" si="1472"/>
        <v>0</v>
      </c>
      <c r="G1648" s="20"/>
      <c r="H1648" s="35">
        <v>1</v>
      </c>
      <c r="I1648" s="21"/>
      <c r="J1648" s="24"/>
      <c r="K1648" s="25">
        <f t="shared" si="1473"/>
        <v>1</v>
      </c>
      <c r="L1648" s="11">
        <f t="shared" si="1465"/>
        <v>1</v>
      </c>
      <c r="M1648" s="69">
        <v>46036</v>
      </c>
      <c r="N1648" s="40" t="s">
        <v>900</v>
      </c>
      <c r="O1648" s="20">
        <v>10</v>
      </c>
      <c r="P1648" s="35">
        <v>10</v>
      </c>
      <c r="Q1648" s="21">
        <v>5</v>
      </c>
      <c r="R1648" s="38">
        <v>10</v>
      </c>
      <c r="S1648" s="9">
        <f t="shared" si="1474"/>
        <v>35</v>
      </c>
      <c r="T1648" s="20">
        <v>10</v>
      </c>
      <c r="U1648" s="35">
        <v>10</v>
      </c>
      <c r="V1648" s="21">
        <v>5</v>
      </c>
      <c r="W1648" s="38">
        <v>10</v>
      </c>
      <c r="X1648" s="9">
        <f t="shared" si="1475"/>
        <v>35</v>
      </c>
      <c r="Y1648" s="11">
        <f t="shared" si="1476"/>
        <v>70</v>
      </c>
      <c r="Z1648" s="69">
        <v>46039</v>
      </c>
    </row>
    <row r="1649" spans="1:26" x14ac:dyDescent="0.15">
      <c r="A1649" s="59" t="s">
        <v>27</v>
      </c>
      <c r="B1649" s="20">
        <v>3</v>
      </c>
      <c r="C1649" s="35">
        <v>3</v>
      </c>
      <c r="D1649" s="21">
        <v>2</v>
      </c>
      <c r="E1649" s="24">
        <v>2</v>
      </c>
      <c r="F1649" s="25">
        <f t="shared" si="1472"/>
        <v>10</v>
      </c>
      <c r="G1649" s="20">
        <v>2</v>
      </c>
      <c r="H1649" s="35">
        <v>2</v>
      </c>
      <c r="I1649" s="21">
        <v>1</v>
      </c>
      <c r="J1649" s="24">
        <v>2</v>
      </c>
      <c r="K1649" s="25">
        <f t="shared" si="1473"/>
        <v>7</v>
      </c>
      <c r="L1649" s="11">
        <f t="shared" si="1465"/>
        <v>17</v>
      </c>
      <c r="M1649" s="69">
        <v>46035</v>
      </c>
      <c r="N1649" s="12" t="s">
        <v>901</v>
      </c>
      <c r="O1649" s="20">
        <v>20</v>
      </c>
      <c r="P1649" s="35">
        <v>30</v>
      </c>
      <c r="Q1649" s="21">
        <v>20</v>
      </c>
      <c r="R1649" s="38">
        <v>10</v>
      </c>
      <c r="S1649" s="9">
        <f t="shared" si="1474"/>
        <v>80</v>
      </c>
      <c r="T1649" s="20">
        <v>20</v>
      </c>
      <c r="U1649" s="35">
        <v>30</v>
      </c>
      <c r="V1649" s="21">
        <v>20</v>
      </c>
      <c r="W1649" s="38">
        <v>10</v>
      </c>
      <c r="X1649" s="9">
        <f t="shared" si="1475"/>
        <v>80</v>
      </c>
      <c r="Y1649" s="11">
        <f t="shared" si="1476"/>
        <v>160</v>
      </c>
      <c r="Z1649" s="69">
        <v>46043</v>
      </c>
    </row>
    <row r="1650" spans="1:26" x14ac:dyDescent="0.15">
      <c r="A1650" s="40" t="s">
        <v>896</v>
      </c>
      <c r="B1650" s="20"/>
      <c r="C1650" s="35"/>
      <c r="D1650" s="21"/>
      <c r="E1650" s="38">
        <v>5</v>
      </c>
      <c r="F1650" s="9">
        <f t="shared" si="1472"/>
        <v>5</v>
      </c>
      <c r="G1650" s="20"/>
      <c r="H1650" s="35"/>
      <c r="I1650" s="21"/>
      <c r="J1650" s="38">
        <v>5</v>
      </c>
      <c r="K1650" s="9">
        <f t="shared" si="1473"/>
        <v>5</v>
      </c>
      <c r="L1650" s="11">
        <f t="shared" si="1465"/>
        <v>10</v>
      </c>
      <c r="M1650" s="69">
        <v>46038</v>
      </c>
      <c r="N1650" s="12" t="s">
        <v>904</v>
      </c>
      <c r="O1650" s="20"/>
      <c r="P1650" s="35">
        <v>25</v>
      </c>
      <c r="Q1650" s="21"/>
      <c r="R1650" s="38"/>
      <c r="S1650" s="9">
        <f t="shared" si="1474"/>
        <v>25</v>
      </c>
      <c r="T1650" s="20"/>
      <c r="U1650" s="35">
        <v>25</v>
      </c>
      <c r="V1650" s="21"/>
      <c r="W1650" s="38"/>
      <c r="X1650" s="9">
        <f t="shared" si="1475"/>
        <v>25</v>
      </c>
      <c r="Y1650" s="11">
        <f t="shared" si="1476"/>
        <v>50</v>
      </c>
      <c r="Z1650" s="69">
        <v>46045</v>
      </c>
    </row>
    <row r="1651" spans="1:26" x14ac:dyDescent="0.15">
      <c r="A1651" s="59" t="s">
        <v>190</v>
      </c>
      <c r="B1651" s="20"/>
      <c r="C1651" s="35"/>
      <c r="D1651" s="21"/>
      <c r="E1651" s="24"/>
      <c r="F1651" s="25">
        <f t="shared" si="1472"/>
        <v>0</v>
      </c>
      <c r="G1651" s="20"/>
      <c r="H1651" s="35">
        <v>1</v>
      </c>
      <c r="I1651" s="21"/>
      <c r="J1651" s="24"/>
      <c r="K1651" s="25">
        <f t="shared" si="1473"/>
        <v>1</v>
      </c>
      <c r="L1651" s="11">
        <f t="shared" si="1465"/>
        <v>1</v>
      </c>
      <c r="M1651" s="69">
        <v>46039</v>
      </c>
      <c r="N1651" s="40" t="s">
        <v>905</v>
      </c>
      <c r="O1651" s="20"/>
      <c r="P1651" s="35"/>
      <c r="Q1651" s="21"/>
      <c r="R1651" s="38">
        <v>10</v>
      </c>
      <c r="S1651" s="9">
        <f t="shared" si="1474"/>
        <v>10</v>
      </c>
      <c r="T1651" s="20"/>
      <c r="U1651" s="35"/>
      <c r="V1651" s="21"/>
      <c r="W1651" s="38">
        <v>10</v>
      </c>
      <c r="X1651" s="9">
        <f t="shared" si="1475"/>
        <v>10</v>
      </c>
      <c r="Y1651" s="11">
        <f t="shared" si="1476"/>
        <v>20</v>
      </c>
      <c r="Z1651" s="69">
        <v>46050</v>
      </c>
    </row>
    <row r="1652" spans="1:26" x14ac:dyDescent="0.15">
      <c r="A1652" s="59" t="s">
        <v>27</v>
      </c>
      <c r="B1652" s="20"/>
      <c r="C1652" s="35"/>
      <c r="D1652" s="21"/>
      <c r="E1652" s="24"/>
      <c r="F1652" s="25">
        <f t="shared" si="1472"/>
        <v>0</v>
      </c>
      <c r="G1652" s="20"/>
      <c r="H1652" s="35"/>
      <c r="I1652" s="21"/>
      <c r="J1652" s="24">
        <v>3</v>
      </c>
      <c r="K1652" s="25">
        <f t="shared" si="1473"/>
        <v>3</v>
      </c>
      <c r="L1652" s="11">
        <f t="shared" si="1465"/>
        <v>3</v>
      </c>
      <c r="M1652" s="71">
        <v>46036</v>
      </c>
      <c r="N1652" s="40" t="s">
        <v>906</v>
      </c>
      <c r="O1652" s="20"/>
      <c r="P1652" s="35">
        <v>5</v>
      </c>
      <c r="Q1652" s="21"/>
      <c r="R1652" s="38"/>
      <c r="S1652" s="9">
        <f t="shared" si="1474"/>
        <v>5</v>
      </c>
      <c r="T1652" s="20"/>
      <c r="U1652" s="35">
        <v>5</v>
      </c>
      <c r="V1652" s="21"/>
      <c r="W1652" s="38"/>
      <c r="X1652" s="9">
        <f t="shared" si="1475"/>
        <v>5</v>
      </c>
      <c r="Y1652" s="11">
        <f t="shared" si="1476"/>
        <v>10</v>
      </c>
      <c r="Z1652" s="69">
        <v>46050</v>
      </c>
    </row>
    <row r="1653" spans="1:26" x14ac:dyDescent="0.15">
      <c r="A1653" s="59" t="s">
        <v>27</v>
      </c>
      <c r="B1653" s="20">
        <v>2</v>
      </c>
      <c r="C1653" s="35">
        <v>1</v>
      </c>
      <c r="D1653" s="21"/>
      <c r="E1653" s="24"/>
      <c r="F1653" s="25">
        <f t="shared" si="1472"/>
        <v>3</v>
      </c>
      <c r="G1653" s="20">
        <v>1</v>
      </c>
      <c r="H1653" s="35">
        <v>3</v>
      </c>
      <c r="I1653" s="21"/>
      <c r="J1653" s="24">
        <v>1</v>
      </c>
      <c r="K1653" s="25">
        <f t="shared" si="1473"/>
        <v>5</v>
      </c>
      <c r="L1653" s="11">
        <f t="shared" si="1465"/>
        <v>8</v>
      </c>
      <c r="M1653" s="71">
        <v>46037</v>
      </c>
      <c r="N1653" s="216" t="s">
        <v>900</v>
      </c>
      <c r="O1653" s="209">
        <v>10</v>
      </c>
      <c r="P1653" s="210">
        <v>10</v>
      </c>
      <c r="Q1653" s="211"/>
      <c r="R1653" s="217"/>
      <c r="S1653" s="218">
        <f t="shared" si="1474"/>
        <v>20</v>
      </c>
      <c r="T1653" s="209">
        <v>10</v>
      </c>
      <c r="U1653" s="210">
        <v>15</v>
      </c>
      <c r="V1653" s="211">
        <v>10</v>
      </c>
      <c r="W1653" s="217"/>
      <c r="X1653" s="218">
        <f t="shared" si="1475"/>
        <v>35</v>
      </c>
      <c r="Y1653" s="214">
        <f t="shared" si="1476"/>
        <v>55</v>
      </c>
      <c r="Z1653" s="215">
        <v>46049</v>
      </c>
    </row>
    <row r="1654" spans="1:26" x14ac:dyDescent="0.15">
      <c r="A1654" s="59" t="s">
        <v>27</v>
      </c>
      <c r="B1654" s="20">
        <v>1</v>
      </c>
      <c r="C1654" s="35">
        <v>1</v>
      </c>
      <c r="D1654" s="21">
        <v>1</v>
      </c>
      <c r="E1654" s="24"/>
      <c r="F1654" s="25">
        <f t="shared" si="1472"/>
        <v>3</v>
      </c>
      <c r="G1654" s="20">
        <v>3</v>
      </c>
      <c r="H1654" s="35">
        <v>1</v>
      </c>
      <c r="I1654" s="21">
        <v>1</v>
      </c>
      <c r="J1654" s="24"/>
      <c r="K1654" s="25">
        <f t="shared" si="1473"/>
        <v>5</v>
      </c>
      <c r="L1654" s="11">
        <f t="shared" si="1465"/>
        <v>8</v>
      </c>
      <c r="M1654" s="71">
        <v>46038</v>
      </c>
      <c r="N1654" s="40" t="s">
        <v>863</v>
      </c>
      <c r="O1654" s="20"/>
      <c r="P1654" s="35"/>
      <c r="Q1654" s="21"/>
      <c r="R1654" s="38"/>
      <c r="S1654" s="9">
        <f t="shared" si="1474"/>
        <v>0</v>
      </c>
      <c r="T1654" s="20">
        <v>10</v>
      </c>
      <c r="U1654" s="35">
        <v>10</v>
      </c>
      <c r="V1654" s="21">
        <v>10</v>
      </c>
      <c r="W1654" s="38">
        <v>10</v>
      </c>
      <c r="X1654" s="9">
        <f t="shared" si="1475"/>
        <v>40</v>
      </c>
      <c r="Y1654" s="11">
        <f t="shared" si="1476"/>
        <v>40</v>
      </c>
      <c r="Z1654" s="69">
        <v>46052</v>
      </c>
    </row>
    <row r="1655" spans="1:26" x14ac:dyDescent="0.15">
      <c r="A1655" s="59" t="s">
        <v>27</v>
      </c>
      <c r="B1655" s="20"/>
      <c r="C1655" s="35">
        <v>1</v>
      </c>
      <c r="D1655" s="21"/>
      <c r="E1655" s="24"/>
      <c r="F1655" s="25">
        <f t="shared" si="1472"/>
        <v>1</v>
      </c>
      <c r="G1655" s="20"/>
      <c r="H1655" s="35">
        <v>1</v>
      </c>
      <c r="I1655" s="21"/>
      <c r="J1655" s="24"/>
      <c r="K1655" s="25">
        <f t="shared" si="1473"/>
        <v>1</v>
      </c>
      <c r="L1655" s="11">
        <f t="shared" si="1465"/>
        <v>2</v>
      </c>
      <c r="M1655" s="71">
        <v>46039</v>
      </c>
      <c r="N1655" s="40" t="s">
        <v>863</v>
      </c>
      <c r="O1655" s="20">
        <v>5</v>
      </c>
      <c r="P1655" s="35">
        <v>5</v>
      </c>
      <c r="Q1655" s="21">
        <v>15</v>
      </c>
      <c r="R1655" s="38">
        <v>5</v>
      </c>
      <c r="S1655" s="9">
        <f t="shared" si="1474"/>
        <v>30</v>
      </c>
      <c r="T1655" s="20">
        <v>5</v>
      </c>
      <c r="U1655" s="35">
        <v>5</v>
      </c>
      <c r="V1655" s="21">
        <v>5</v>
      </c>
      <c r="W1655" s="38">
        <v>5</v>
      </c>
      <c r="X1655" s="9">
        <f t="shared" si="1475"/>
        <v>20</v>
      </c>
      <c r="Y1655" s="11">
        <f t="shared" si="1476"/>
        <v>50</v>
      </c>
      <c r="Z1655" s="71">
        <v>46053</v>
      </c>
    </row>
    <row r="1656" spans="1:26" x14ac:dyDescent="0.15">
      <c r="A1656" s="59" t="s">
        <v>27</v>
      </c>
      <c r="B1656" s="20">
        <v>2</v>
      </c>
      <c r="C1656" s="35">
        <v>2</v>
      </c>
      <c r="D1656" s="21"/>
      <c r="E1656" s="24">
        <v>1</v>
      </c>
      <c r="F1656" s="25">
        <f t="shared" si="1472"/>
        <v>5</v>
      </c>
      <c r="G1656" s="20">
        <v>2</v>
      </c>
      <c r="H1656" s="35">
        <v>2</v>
      </c>
      <c r="I1656" s="21">
        <v>1</v>
      </c>
      <c r="J1656" s="24">
        <v>2</v>
      </c>
      <c r="K1656" s="25">
        <f t="shared" si="1473"/>
        <v>7</v>
      </c>
      <c r="L1656" s="11">
        <f t="shared" si="1465"/>
        <v>12</v>
      </c>
      <c r="M1656" s="71">
        <v>46041</v>
      </c>
      <c r="N1656" s="40"/>
      <c r="O1656" s="20"/>
      <c r="P1656" s="35"/>
      <c r="Q1656" s="21"/>
      <c r="R1656" s="38"/>
      <c r="S1656" s="9">
        <f t="shared" si="1474"/>
        <v>0</v>
      </c>
      <c r="T1656" s="20"/>
      <c r="U1656" s="35"/>
      <c r="V1656" s="21"/>
      <c r="W1656" s="38"/>
      <c r="X1656" s="9">
        <f t="shared" si="1475"/>
        <v>0</v>
      </c>
      <c r="Y1656" s="11">
        <f t="shared" si="1476"/>
        <v>0</v>
      </c>
    </row>
    <row r="1657" spans="1:26" x14ac:dyDescent="0.15">
      <c r="A1657" s="59" t="s">
        <v>421</v>
      </c>
      <c r="B1657" s="20"/>
      <c r="C1657" s="35">
        <v>1</v>
      </c>
      <c r="D1657" s="21"/>
      <c r="E1657" s="24">
        <v>2</v>
      </c>
      <c r="F1657" s="25">
        <f t="shared" si="1472"/>
        <v>3</v>
      </c>
      <c r="G1657" s="20"/>
      <c r="H1657" s="35">
        <v>1</v>
      </c>
      <c r="I1657" s="21">
        <v>1</v>
      </c>
      <c r="J1657" s="24">
        <v>1</v>
      </c>
      <c r="K1657" s="25">
        <f t="shared" si="1473"/>
        <v>3</v>
      </c>
      <c r="L1657" s="11">
        <f t="shared" si="1465"/>
        <v>6</v>
      </c>
      <c r="M1657" s="69">
        <v>46043</v>
      </c>
      <c r="N1657" s="12"/>
      <c r="O1657" s="20"/>
      <c r="P1657" s="35"/>
      <c r="Q1657" s="21"/>
      <c r="R1657" s="38"/>
      <c r="S1657" s="9">
        <f>SUM(O1657:R1657)</f>
        <v>0</v>
      </c>
      <c r="T1657" s="20"/>
      <c r="U1657" s="35"/>
      <c r="V1657" s="21"/>
      <c r="W1657" s="38"/>
      <c r="X1657" s="9">
        <f>SUM(T1657:W1657)</f>
        <v>0</v>
      </c>
      <c r="Y1657" s="11">
        <f t="shared" si="1476"/>
        <v>0</v>
      </c>
    </row>
    <row r="1658" spans="1:26" x14ac:dyDescent="0.15">
      <c r="A1658" s="59" t="s">
        <v>27</v>
      </c>
      <c r="B1658" s="20"/>
      <c r="C1658" s="35">
        <v>1</v>
      </c>
      <c r="D1658" s="21"/>
      <c r="E1658" s="24">
        <v>1</v>
      </c>
      <c r="F1658" s="25">
        <f t="shared" si="1472"/>
        <v>2</v>
      </c>
      <c r="G1658" s="20"/>
      <c r="H1658" s="35">
        <v>2</v>
      </c>
      <c r="I1658" s="21">
        <v>2</v>
      </c>
      <c r="J1658" s="24">
        <v>2</v>
      </c>
      <c r="K1658" s="25">
        <f t="shared" si="1473"/>
        <v>6</v>
      </c>
      <c r="L1658" s="11">
        <f t="shared" si="1465"/>
        <v>8</v>
      </c>
      <c r="M1658" s="71">
        <v>46042</v>
      </c>
      <c r="N1658" s="40"/>
      <c r="O1658" s="20"/>
      <c r="P1658" s="35"/>
      <c r="Q1658" s="21"/>
      <c r="R1658" s="38"/>
      <c r="S1658" s="9">
        <f t="shared" ref="S1658:S1668" si="1480">SUM(O1658:R1658)</f>
        <v>0</v>
      </c>
      <c r="T1658" s="20"/>
      <c r="U1658" s="35"/>
      <c r="V1658" s="21"/>
      <c r="W1658" s="38"/>
      <c r="X1658" s="9">
        <f t="shared" ref="X1658:X1668" si="1481">SUM(T1658:W1658)</f>
        <v>0</v>
      </c>
      <c r="Y1658" s="11">
        <f t="shared" si="1476"/>
        <v>0</v>
      </c>
    </row>
    <row r="1659" spans="1:26" x14ac:dyDescent="0.15">
      <c r="A1659" s="59" t="s">
        <v>27</v>
      </c>
      <c r="B1659" s="20">
        <v>2</v>
      </c>
      <c r="C1659" s="35"/>
      <c r="D1659" s="21"/>
      <c r="E1659" s="24"/>
      <c r="F1659" s="25">
        <f t="shared" si="1472"/>
        <v>2</v>
      </c>
      <c r="G1659" s="20"/>
      <c r="H1659" s="35">
        <v>2</v>
      </c>
      <c r="I1659" s="21"/>
      <c r="J1659" s="24"/>
      <c r="K1659" s="25">
        <f t="shared" si="1473"/>
        <v>2</v>
      </c>
      <c r="L1659" s="11">
        <f t="shared" si="1465"/>
        <v>4</v>
      </c>
      <c r="M1659" s="71">
        <v>46043</v>
      </c>
      <c r="N1659" s="15"/>
      <c r="O1659" s="20"/>
      <c r="P1659" s="35"/>
      <c r="Q1659" s="21"/>
      <c r="R1659" s="38"/>
      <c r="S1659" s="9">
        <f t="shared" si="1480"/>
        <v>0</v>
      </c>
      <c r="T1659" s="20"/>
      <c r="U1659" s="35"/>
      <c r="V1659" s="21"/>
      <c r="W1659" s="38"/>
      <c r="X1659" s="9">
        <f t="shared" si="1481"/>
        <v>0</v>
      </c>
      <c r="Y1659" s="11">
        <f t="shared" si="1476"/>
        <v>0</v>
      </c>
    </row>
    <row r="1660" spans="1:26" x14ac:dyDescent="0.15">
      <c r="A1660" s="59" t="s">
        <v>27</v>
      </c>
      <c r="B1660" s="20"/>
      <c r="C1660" s="35">
        <v>1</v>
      </c>
      <c r="D1660" s="21">
        <v>1</v>
      </c>
      <c r="E1660" s="24">
        <v>1</v>
      </c>
      <c r="F1660" s="25">
        <f t="shared" si="1472"/>
        <v>3</v>
      </c>
      <c r="G1660" s="20"/>
      <c r="H1660" s="35">
        <v>1</v>
      </c>
      <c r="I1660" s="21">
        <v>2</v>
      </c>
      <c r="J1660" s="24">
        <v>1</v>
      </c>
      <c r="K1660" s="25">
        <f t="shared" si="1473"/>
        <v>4</v>
      </c>
      <c r="L1660" s="11">
        <f t="shared" si="1465"/>
        <v>7</v>
      </c>
      <c r="M1660" s="71">
        <v>46044</v>
      </c>
      <c r="N1660" s="15"/>
      <c r="O1660" s="20"/>
      <c r="P1660" s="35"/>
      <c r="Q1660" s="21"/>
      <c r="R1660" s="38"/>
      <c r="S1660" s="9">
        <f t="shared" si="1480"/>
        <v>0</v>
      </c>
      <c r="T1660" s="20"/>
      <c r="U1660" s="35"/>
      <c r="V1660" s="21"/>
      <c r="W1660" s="38"/>
      <c r="X1660" s="9">
        <f t="shared" si="1481"/>
        <v>0</v>
      </c>
      <c r="Y1660" s="11">
        <f t="shared" si="1476"/>
        <v>0</v>
      </c>
    </row>
    <row r="1661" spans="1:26" x14ac:dyDescent="0.15">
      <c r="A1661" s="59" t="s">
        <v>421</v>
      </c>
      <c r="B1661" s="20">
        <v>2</v>
      </c>
      <c r="C1661" s="35"/>
      <c r="D1661" s="21"/>
      <c r="E1661" s="24"/>
      <c r="F1661" s="25">
        <f t="shared" si="1472"/>
        <v>2</v>
      </c>
      <c r="G1661" s="20">
        <v>2</v>
      </c>
      <c r="H1661" s="35"/>
      <c r="I1661" s="21"/>
      <c r="J1661" s="24"/>
      <c r="K1661" s="25">
        <f t="shared" si="1473"/>
        <v>2</v>
      </c>
      <c r="L1661" s="11">
        <f t="shared" si="1465"/>
        <v>4</v>
      </c>
      <c r="M1661" s="69">
        <v>46045</v>
      </c>
      <c r="N1661" s="15"/>
      <c r="O1661" s="20"/>
      <c r="P1661" s="35"/>
      <c r="Q1661" s="21"/>
      <c r="R1661" s="38"/>
      <c r="S1661" s="9">
        <f t="shared" si="1480"/>
        <v>0</v>
      </c>
      <c r="T1661" s="20"/>
      <c r="U1661" s="35"/>
      <c r="V1661" s="21"/>
      <c r="W1661" s="38"/>
      <c r="X1661" s="9">
        <f t="shared" si="1481"/>
        <v>0</v>
      </c>
      <c r="Y1661" s="11">
        <f t="shared" si="1476"/>
        <v>0</v>
      </c>
    </row>
    <row r="1662" spans="1:26" x14ac:dyDescent="0.15">
      <c r="A1662" s="59" t="s">
        <v>907</v>
      </c>
      <c r="B1662" s="20"/>
      <c r="C1662" s="35">
        <v>2</v>
      </c>
      <c r="D1662" s="21"/>
      <c r="E1662" s="24"/>
      <c r="F1662" s="25">
        <f t="shared" si="1472"/>
        <v>2</v>
      </c>
      <c r="G1662" s="20"/>
      <c r="H1662" s="35">
        <v>2</v>
      </c>
      <c r="I1662" s="21"/>
      <c r="J1662" s="24"/>
      <c r="K1662" s="25">
        <f t="shared" si="1473"/>
        <v>2</v>
      </c>
      <c r="L1662" s="11">
        <f t="shared" si="1465"/>
        <v>4</v>
      </c>
      <c r="M1662" s="69">
        <v>46050</v>
      </c>
      <c r="N1662" s="15"/>
      <c r="O1662" s="20"/>
      <c r="P1662" s="35"/>
      <c r="Q1662" s="21"/>
      <c r="R1662" s="38"/>
      <c r="S1662" s="9">
        <f t="shared" si="1480"/>
        <v>0</v>
      </c>
      <c r="T1662" s="20"/>
      <c r="U1662" s="35"/>
      <c r="V1662" s="21"/>
      <c r="W1662" s="38"/>
      <c r="X1662" s="9">
        <f t="shared" si="1481"/>
        <v>0</v>
      </c>
      <c r="Y1662" s="11">
        <f t="shared" si="1476"/>
        <v>0</v>
      </c>
    </row>
    <row r="1663" spans="1:26" x14ac:dyDescent="0.15">
      <c r="A1663" s="59" t="s">
        <v>421</v>
      </c>
      <c r="B1663" s="20">
        <v>2</v>
      </c>
      <c r="C1663" s="35">
        <v>2</v>
      </c>
      <c r="D1663" s="21">
        <v>2</v>
      </c>
      <c r="E1663" s="24">
        <v>1</v>
      </c>
      <c r="F1663" s="25">
        <f t="shared" si="1472"/>
        <v>7</v>
      </c>
      <c r="G1663" s="20">
        <v>3</v>
      </c>
      <c r="H1663" s="35">
        <v>2</v>
      </c>
      <c r="I1663" s="21">
        <v>1</v>
      </c>
      <c r="J1663" s="24">
        <v>1</v>
      </c>
      <c r="K1663" s="25">
        <f t="shared" si="1473"/>
        <v>7</v>
      </c>
      <c r="L1663" s="11">
        <f t="shared" si="1465"/>
        <v>14</v>
      </c>
      <c r="M1663" s="69">
        <v>46049</v>
      </c>
      <c r="N1663" s="137" t="s">
        <v>783</v>
      </c>
      <c r="O1663" s="154"/>
      <c r="P1663" s="156"/>
      <c r="Q1663" s="155"/>
      <c r="R1663" s="159"/>
      <c r="S1663" s="158">
        <f t="shared" si="1480"/>
        <v>0</v>
      </c>
      <c r="T1663" s="154"/>
      <c r="U1663" s="156"/>
      <c r="V1663" s="155"/>
      <c r="W1663" s="159"/>
      <c r="X1663" s="158">
        <f t="shared" si="1481"/>
        <v>0</v>
      </c>
      <c r="Y1663" s="145">
        <f t="shared" si="1476"/>
        <v>0</v>
      </c>
      <c r="Z1663" s="162"/>
    </row>
    <row r="1664" spans="1:26" x14ac:dyDescent="0.15">
      <c r="A1664" s="59" t="s">
        <v>27</v>
      </c>
      <c r="B1664" s="20">
        <v>2</v>
      </c>
      <c r="C1664" s="35">
        <v>7</v>
      </c>
      <c r="D1664" s="21">
        <v>5</v>
      </c>
      <c r="E1664" s="24"/>
      <c r="F1664" s="25">
        <f t="shared" si="1472"/>
        <v>14</v>
      </c>
      <c r="G1664" s="20">
        <v>4</v>
      </c>
      <c r="H1664" s="35">
        <v>9</v>
      </c>
      <c r="I1664" s="21">
        <v>8</v>
      </c>
      <c r="J1664" s="24">
        <v>2</v>
      </c>
      <c r="K1664" s="25">
        <f t="shared" si="1473"/>
        <v>23</v>
      </c>
      <c r="L1664" s="11">
        <f t="shared" si="1465"/>
        <v>37</v>
      </c>
      <c r="M1664" s="71">
        <v>46048</v>
      </c>
      <c r="N1664" s="12" t="s">
        <v>849</v>
      </c>
      <c r="O1664" s="20"/>
      <c r="P1664" s="35"/>
      <c r="Q1664" s="21"/>
      <c r="R1664" s="38"/>
      <c r="S1664" s="9">
        <f t="shared" si="1480"/>
        <v>0</v>
      </c>
      <c r="T1664" s="20"/>
      <c r="U1664" s="35"/>
      <c r="V1664" s="21"/>
      <c r="W1664" s="38"/>
      <c r="X1664" s="9">
        <f t="shared" si="1481"/>
        <v>0</v>
      </c>
      <c r="Y1664" s="11">
        <f t="shared" si="1476"/>
        <v>0</v>
      </c>
      <c r="Z1664" s="162" t="s">
        <v>826</v>
      </c>
    </row>
    <row r="1665" spans="1:26" x14ac:dyDescent="0.15">
      <c r="A1665" s="59" t="s">
        <v>421</v>
      </c>
      <c r="B1665" s="20"/>
      <c r="C1665" s="35"/>
      <c r="D1665" s="21"/>
      <c r="E1665" s="24"/>
      <c r="F1665" s="25">
        <f t="shared" si="1472"/>
        <v>0</v>
      </c>
      <c r="G1665" s="20"/>
      <c r="H1665" s="35">
        <v>2</v>
      </c>
      <c r="I1665" s="21"/>
      <c r="J1665" s="24"/>
      <c r="K1665" s="25">
        <f t="shared" si="1473"/>
        <v>2</v>
      </c>
      <c r="L1665" s="11">
        <f t="shared" si="1465"/>
        <v>2</v>
      </c>
      <c r="M1665" s="69">
        <v>46050</v>
      </c>
      <c r="N1665" s="104" t="s">
        <v>831</v>
      </c>
      <c r="O1665" s="138"/>
      <c r="P1665" s="139"/>
      <c r="Q1665" s="140"/>
      <c r="R1665" s="141"/>
      <c r="S1665" s="142">
        <f t="shared" si="1480"/>
        <v>0</v>
      </c>
      <c r="T1665" s="138"/>
      <c r="U1665" s="139"/>
      <c r="V1665" s="140"/>
      <c r="W1665" s="141"/>
      <c r="X1665" s="142">
        <f t="shared" si="1481"/>
        <v>0</v>
      </c>
      <c r="Y1665" s="145">
        <f t="shared" si="1476"/>
        <v>0</v>
      </c>
      <c r="Z1665" s="162"/>
    </row>
    <row r="1666" spans="1:26" x14ac:dyDescent="0.15">
      <c r="A1666" s="59" t="s">
        <v>27</v>
      </c>
      <c r="B1666" s="20"/>
      <c r="C1666" s="35"/>
      <c r="D1666" s="21"/>
      <c r="E1666" s="24">
        <v>1</v>
      </c>
      <c r="F1666" s="25">
        <f t="shared" si="1472"/>
        <v>1</v>
      </c>
      <c r="G1666" s="20">
        <v>1</v>
      </c>
      <c r="H1666" s="35">
        <v>2</v>
      </c>
      <c r="I1666" s="21"/>
      <c r="J1666" s="24">
        <v>1</v>
      </c>
      <c r="K1666" s="25">
        <f t="shared" si="1473"/>
        <v>4</v>
      </c>
      <c r="L1666" s="11">
        <f t="shared" si="1465"/>
        <v>5</v>
      </c>
      <c r="M1666" s="71">
        <v>46049</v>
      </c>
      <c r="N1666" s="12" t="s">
        <v>832</v>
      </c>
      <c r="O1666" s="48"/>
      <c r="P1666" s="49"/>
      <c r="Q1666" s="50"/>
      <c r="R1666" s="72"/>
      <c r="S1666" s="74">
        <f t="shared" si="1480"/>
        <v>0</v>
      </c>
      <c r="T1666" s="48"/>
      <c r="U1666" s="49"/>
      <c r="V1666" s="50"/>
      <c r="W1666" s="72"/>
      <c r="X1666" s="74">
        <f t="shared" si="1481"/>
        <v>0</v>
      </c>
      <c r="Y1666" s="11">
        <f t="shared" si="1476"/>
        <v>0</v>
      </c>
      <c r="Z1666" s="162" t="s">
        <v>833</v>
      </c>
    </row>
    <row r="1667" spans="1:26" x14ac:dyDescent="0.15">
      <c r="A1667" s="59" t="s">
        <v>27</v>
      </c>
      <c r="B1667" s="20">
        <v>1</v>
      </c>
      <c r="C1667" s="35"/>
      <c r="D1667" s="21"/>
      <c r="E1667" s="24"/>
      <c r="F1667" s="25">
        <f t="shared" si="1472"/>
        <v>1</v>
      </c>
      <c r="G1667" s="20">
        <v>6</v>
      </c>
      <c r="H1667" s="35">
        <v>1</v>
      </c>
      <c r="I1667" s="21"/>
      <c r="J1667" s="24">
        <v>1</v>
      </c>
      <c r="K1667" s="25">
        <f t="shared" si="1473"/>
        <v>8</v>
      </c>
      <c r="L1667" s="11">
        <f t="shared" si="1465"/>
        <v>9</v>
      </c>
      <c r="M1667" s="71">
        <v>46050</v>
      </c>
      <c r="N1667" s="104" t="s">
        <v>840</v>
      </c>
      <c r="O1667" s="138"/>
      <c r="P1667" s="139"/>
      <c r="Q1667" s="140"/>
      <c r="R1667" s="141"/>
      <c r="S1667" s="142">
        <f t="shared" si="1480"/>
        <v>0</v>
      </c>
      <c r="T1667" s="138"/>
      <c r="U1667" s="139"/>
      <c r="V1667" s="140"/>
      <c r="W1667" s="141"/>
      <c r="X1667" s="142">
        <f t="shared" si="1481"/>
        <v>0</v>
      </c>
      <c r="Y1667" s="145">
        <f t="shared" si="1476"/>
        <v>0</v>
      </c>
      <c r="Z1667" s="162"/>
    </row>
    <row r="1668" spans="1:26" ht="14.25" thickBot="1" x14ac:dyDescent="0.2">
      <c r="A1668" s="59" t="s">
        <v>27</v>
      </c>
      <c r="B1668" s="43">
        <v>2</v>
      </c>
      <c r="C1668" s="44"/>
      <c r="D1668" s="45">
        <v>1</v>
      </c>
      <c r="E1668" s="46">
        <v>2</v>
      </c>
      <c r="F1668" s="25">
        <f t="shared" si="1472"/>
        <v>5</v>
      </c>
      <c r="G1668" s="43">
        <v>2</v>
      </c>
      <c r="H1668" s="44">
        <v>1</v>
      </c>
      <c r="I1668" s="45">
        <v>1</v>
      </c>
      <c r="J1668" s="46">
        <v>1</v>
      </c>
      <c r="K1668" s="25">
        <f t="shared" si="1473"/>
        <v>5</v>
      </c>
      <c r="L1668" s="14">
        <f t="shared" si="1465"/>
        <v>10</v>
      </c>
      <c r="M1668" s="71">
        <v>46051</v>
      </c>
      <c r="N1668" s="105" t="s">
        <v>825</v>
      </c>
      <c r="O1668" s="43"/>
      <c r="P1668" s="44"/>
      <c r="Q1668" s="45"/>
      <c r="R1668" s="100"/>
      <c r="S1668" s="10">
        <f t="shared" si="1480"/>
        <v>0</v>
      </c>
      <c r="T1668" s="43"/>
      <c r="U1668" s="44"/>
      <c r="V1668" s="45"/>
      <c r="W1668" s="100"/>
      <c r="X1668" s="10">
        <f t="shared" si="1481"/>
        <v>0</v>
      </c>
      <c r="Y1668" s="75">
        <f t="shared" si="1476"/>
        <v>0</v>
      </c>
      <c r="Z1668" s="162" t="s">
        <v>826</v>
      </c>
    </row>
    <row r="1669" spans="1:26" ht="14.25" thickBot="1" x14ac:dyDescent="0.2">
      <c r="A1669" s="16" t="s">
        <v>9</v>
      </c>
      <c r="B1669" s="28">
        <f>SUM(B1644:B1668)</f>
        <v>19</v>
      </c>
      <c r="C1669" s="36">
        <f>SUM(C1644:C1668)</f>
        <v>23</v>
      </c>
      <c r="D1669" s="29">
        <f>SUM(D1644:D1668)</f>
        <v>13</v>
      </c>
      <c r="E1669" s="30">
        <f>SUM(E1644:E1668)</f>
        <v>18</v>
      </c>
      <c r="F1669" s="26">
        <f>SUM(B1669:E1669)</f>
        <v>73</v>
      </c>
      <c r="G1669" s="28">
        <f>SUM(G1644:G1668)</f>
        <v>27</v>
      </c>
      <c r="H1669" s="36">
        <f>SUM(H1644:H1668)</f>
        <v>41</v>
      </c>
      <c r="I1669" s="29">
        <f>SUM(I1644:I1668)</f>
        <v>19</v>
      </c>
      <c r="J1669" s="30">
        <f>SUM(J1644:J1668)</f>
        <v>25</v>
      </c>
      <c r="K1669" s="26">
        <f>SUM(G1669:J1669)</f>
        <v>112</v>
      </c>
      <c r="L1669" s="27">
        <f t="shared" si="1465"/>
        <v>185</v>
      </c>
      <c r="N1669" s="61" t="s">
        <v>9</v>
      </c>
      <c r="O1669" s="28">
        <f>SUM(O1644:O1668)</f>
        <v>65</v>
      </c>
      <c r="P1669" s="36">
        <f t="shared" ref="P1669:R1669" si="1482">SUM(P1644:P1668)</f>
        <v>90</v>
      </c>
      <c r="Q1669" s="29">
        <f t="shared" si="1482"/>
        <v>45</v>
      </c>
      <c r="R1669" s="30">
        <f t="shared" si="1482"/>
        <v>40</v>
      </c>
      <c r="S1669" s="60">
        <f>SUM(O1669:R1669)</f>
        <v>240</v>
      </c>
      <c r="T1669" s="28">
        <f>SUM(T1644:T1668)</f>
        <v>75</v>
      </c>
      <c r="U1669" s="36">
        <f t="shared" ref="U1669:W1669" si="1483">SUM(U1644:U1668)</f>
        <v>105</v>
      </c>
      <c r="V1669" s="29">
        <f t="shared" si="1483"/>
        <v>55</v>
      </c>
      <c r="W1669" s="30">
        <f t="shared" si="1483"/>
        <v>45</v>
      </c>
      <c r="X1669" s="60">
        <f>SUM(T1669:W1669)</f>
        <v>280</v>
      </c>
      <c r="Y1669" s="63">
        <f>S1669+X1669</f>
        <v>520</v>
      </c>
    </row>
    <row r="1670" spans="1:26" ht="14.25" thickBot="1" x14ac:dyDescent="0.2">
      <c r="A1670" s="18" t="s">
        <v>10</v>
      </c>
      <c r="B1670" s="31">
        <f t="shared" ref="B1670:K1670" si="1484">B1643-B1669</f>
        <v>30</v>
      </c>
      <c r="C1670" s="37">
        <f t="shared" si="1484"/>
        <v>26</v>
      </c>
      <c r="D1670" s="32">
        <f t="shared" si="1484"/>
        <v>28</v>
      </c>
      <c r="E1670" s="33">
        <f t="shared" si="1484"/>
        <v>23</v>
      </c>
      <c r="F1670" s="42">
        <f t="shared" si="1484"/>
        <v>107</v>
      </c>
      <c r="G1670" s="31">
        <f t="shared" si="1484"/>
        <v>25</v>
      </c>
      <c r="H1670" s="37">
        <f t="shared" si="1484"/>
        <v>32</v>
      </c>
      <c r="I1670" s="32">
        <f t="shared" si="1484"/>
        <v>32</v>
      </c>
      <c r="J1670" s="33">
        <f t="shared" si="1484"/>
        <v>26</v>
      </c>
      <c r="K1670" s="42">
        <f t="shared" si="1484"/>
        <v>115</v>
      </c>
      <c r="L1670" s="17">
        <f t="shared" si="1465"/>
        <v>222</v>
      </c>
      <c r="N1670" s="16" t="s">
        <v>10</v>
      </c>
      <c r="O1670" s="31">
        <f>O1643-O1669</f>
        <v>962</v>
      </c>
      <c r="P1670" s="37">
        <f t="shared" ref="P1670:R1670" si="1485">P1643-P1669</f>
        <v>1301</v>
      </c>
      <c r="Q1670" s="32">
        <f t="shared" si="1485"/>
        <v>814</v>
      </c>
      <c r="R1670" s="33">
        <f t="shared" si="1485"/>
        <v>530</v>
      </c>
      <c r="S1670" s="42">
        <f>S1643-S1669</f>
        <v>3607</v>
      </c>
      <c r="T1670" s="31">
        <f>T1643-T1669</f>
        <v>979</v>
      </c>
      <c r="U1670" s="37">
        <f t="shared" ref="U1670:W1670" si="1486">U1643-U1669</f>
        <v>1353</v>
      </c>
      <c r="V1670" s="32">
        <f t="shared" si="1486"/>
        <v>825</v>
      </c>
      <c r="W1670" s="33">
        <f t="shared" si="1486"/>
        <v>580</v>
      </c>
      <c r="X1670" s="42">
        <f>X1643-X1669</f>
        <v>3737</v>
      </c>
      <c r="Y1670" s="17">
        <f>S1670+X1670</f>
        <v>7344</v>
      </c>
    </row>
    <row r="1673" spans="1:26" ht="19.5" thickBot="1" x14ac:dyDescent="0.25">
      <c r="A1673" s="2" t="s">
        <v>17</v>
      </c>
      <c r="B1673" s="2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N1673" s="2" t="s">
        <v>18</v>
      </c>
      <c r="O1673" s="87"/>
      <c r="P1673" s="87"/>
      <c r="Q1673" s="87"/>
      <c r="R1673" s="87"/>
      <c r="S1673" s="87"/>
      <c r="T1673" s="87"/>
      <c r="U1673" s="87"/>
      <c r="V1673" s="87"/>
      <c r="W1673" s="87"/>
      <c r="X1673" s="87"/>
      <c r="Y1673" s="1"/>
    </row>
    <row r="1674" spans="1:26" ht="14.25" thickBot="1" x14ac:dyDescent="0.2">
      <c r="A1674" s="5" t="s">
        <v>0</v>
      </c>
      <c r="B1674" s="244" t="s">
        <v>19</v>
      </c>
      <c r="C1674" s="245"/>
      <c r="D1674" s="245"/>
      <c r="E1674" s="245"/>
      <c r="F1674" s="246"/>
      <c r="G1674" s="247" t="s">
        <v>20</v>
      </c>
      <c r="H1674" s="248"/>
      <c r="I1674" s="248"/>
      <c r="J1674" s="248"/>
      <c r="K1674" s="249"/>
      <c r="L1674" s="250" t="s">
        <v>1</v>
      </c>
      <c r="N1674" s="5" t="s">
        <v>0</v>
      </c>
      <c r="O1674" s="244" t="s">
        <v>19</v>
      </c>
      <c r="P1674" s="245"/>
      <c r="Q1674" s="245"/>
      <c r="R1674" s="245"/>
      <c r="S1674" s="246"/>
      <c r="T1674" s="247" t="s">
        <v>20</v>
      </c>
      <c r="U1674" s="248"/>
      <c r="V1674" s="248"/>
      <c r="W1674" s="248"/>
      <c r="X1674" s="249"/>
      <c r="Y1674" s="250" t="s">
        <v>1</v>
      </c>
    </row>
    <row r="1675" spans="1:26" ht="14.25" thickBot="1" x14ac:dyDescent="0.2">
      <c r="A1675" s="5" t="s">
        <v>2</v>
      </c>
      <c r="B1675" s="3" t="s">
        <v>11</v>
      </c>
      <c r="C1675" s="34" t="s">
        <v>12</v>
      </c>
      <c r="D1675" s="4" t="s">
        <v>13</v>
      </c>
      <c r="E1675" s="19" t="s">
        <v>14</v>
      </c>
      <c r="F1675" s="23" t="s">
        <v>3</v>
      </c>
      <c r="G1675" s="3" t="s">
        <v>11</v>
      </c>
      <c r="H1675" s="34" t="s">
        <v>12</v>
      </c>
      <c r="I1675" s="4" t="s">
        <v>13</v>
      </c>
      <c r="J1675" s="19" t="s">
        <v>14</v>
      </c>
      <c r="K1675" s="23" t="s">
        <v>3</v>
      </c>
      <c r="L1675" s="251"/>
      <c r="N1675" s="5" t="s">
        <v>2</v>
      </c>
      <c r="O1675" s="53" t="s">
        <v>11</v>
      </c>
      <c r="P1675" s="54" t="s">
        <v>12</v>
      </c>
      <c r="Q1675" s="55" t="s">
        <v>13</v>
      </c>
      <c r="R1675" s="56" t="s">
        <v>14</v>
      </c>
      <c r="S1675" s="23" t="s">
        <v>3</v>
      </c>
      <c r="T1675" s="3" t="s">
        <v>11</v>
      </c>
      <c r="U1675" s="34" t="s">
        <v>12</v>
      </c>
      <c r="V1675" s="4" t="s">
        <v>13</v>
      </c>
      <c r="W1675" s="19" t="s">
        <v>14</v>
      </c>
      <c r="X1675" s="23" t="s">
        <v>3</v>
      </c>
      <c r="Y1675" s="251"/>
    </row>
    <row r="1676" spans="1:26" ht="14.25" thickBot="1" x14ac:dyDescent="0.2">
      <c r="A1676" s="18" t="s">
        <v>15</v>
      </c>
      <c r="B1676" s="31">
        <f>B1670</f>
        <v>30</v>
      </c>
      <c r="C1676" s="32">
        <f>C1670</f>
        <v>26</v>
      </c>
      <c r="D1676" s="32">
        <f>D1670</f>
        <v>28</v>
      </c>
      <c r="E1676" s="33">
        <f>E1670</f>
        <v>23</v>
      </c>
      <c r="F1676" s="86">
        <f>SUM(B1676:E1676)</f>
        <v>107</v>
      </c>
      <c r="G1676" s="31">
        <f>G1670</f>
        <v>25</v>
      </c>
      <c r="H1676" s="32">
        <f>H1670</f>
        <v>32</v>
      </c>
      <c r="I1676" s="32">
        <f>I1670</f>
        <v>32</v>
      </c>
      <c r="J1676" s="33">
        <f>J1670</f>
        <v>26</v>
      </c>
      <c r="K1676" s="80">
        <f>SUM(G1676:J1676)</f>
        <v>115</v>
      </c>
      <c r="L1676" s="17">
        <f>F1676+K1676</f>
        <v>222</v>
      </c>
      <c r="N1676" s="18" t="s">
        <v>15</v>
      </c>
      <c r="O1676" s="31">
        <f>O1670</f>
        <v>962</v>
      </c>
      <c r="P1676" s="32">
        <f t="shared" ref="P1676:Y1676" si="1487">P1670</f>
        <v>1301</v>
      </c>
      <c r="Q1676" s="32">
        <f t="shared" si="1487"/>
        <v>814</v>
      </c>
      <c r="R1676" s="33">
        <f t="shared" si="1487"/>
        <v>530</v>
      </c>
      <c r="S1676" s="86">
        <f t="shared" si="1487"/>
        <v>3607</v>
      </c>
      <c r="T1676" s="31">
        <f t="shared" si="1487"/>
        <v>979</v>
      </c>
      <c r="U1676" s="32">
        <f t="shared" si="1487"/>
        <v>1353</v>
      </c>
      <c r="V1676" s="32">
        <f t="shared" si="1487"/>
        <v>825</v>
      </c>
      <c r="W1676" s="33">
        <f t="shared" si="1487"/>
        <v>580</v>
      </c>
      <c r="X1676" s="80">
        <f t="shared" si="1487"/>
        <v>3737</v>
      </c>
      <c r="Y1676" s="17">
        <f t="shared" si="1487"/>
        <v>7344</v>
      </c>
    </row>
    <row r="1677" spans="1:26" x14ac:dyDescent="0.15">
      <c r="A1677" s="13" t="s">
        <v>4</v>
      </c>
      <c r="B1677" s="20">
        <v>5</v>
      </c>
      <c r="C1677" s="35">
        <v>5</v>
      </c>
      <c r="D1677" s="21">
        <v>15</v>
      </c>
      <c r="E1677" s="24">
        <v>5</v>
      </c>
      <c r="F1677" s="25">
        <f t="shared" ref="F1677:F1680" si="1488">SUM(B1677:E1677)</f>
        <v>30</v>
      </c>
      <c r="G1677" s="20">
        <v>5</v>
      </c>
      <c r="H1677" s="35">
        <v>5</v>
      </c>
      <c r="I1677" s="21">
        <v>5</v>
      </c>
      <c r="J1677" s="24">
        <v>5</v>
      </c>
      <c r="K1677" s="25">
        <f t="shared" ref="K1677:K1680" si="1489">SUM(G1677:J1677)</f>
        <v>20</v>
      </c>
      <c r="L1677" s="11">
        <f t="shared" ref="L1677:L1708" si="1490">F1677+K1677</f>
        <v>50</v>
      </c>
      <c r="M1677" s="71">
        <v>46053</v>
      </c>
      <c r="N1677" s="59" t="s">
        <v>16</v>
      </c>
      <c r="O1677" s="48"/>
      <c r="P1677" s="49"/>
      <c r="Q1677" s="50"/>
      <c r="R1677" s="51"/>
      <c r="S1677" s="85">
        <f t="shared" ref="S1677:S1679" si="1491">SUM(O1677:R1677)</f>
        <v>0</v>
      </c>
      <c r="T1677" s="48"/>
      <c r="U1677" s="49"/>
      <c r="V1677" s="50"/>
      <c r="W1677" s="51"/>
      <c r="X1677" s="74">
        <f t="shared" ref="X1677:X1679" si="1492">SUM(T1677:W1677)</f>
        <v>0</v>
      </c>
      <c r="Y1677" s="11">
        <f t="shared" ref="Y1677:Y1680" si="1493">S1677+X1677</f>
        <v>0</v>
      </c>
    </row>
    <row r="1678" spans="1:26" x14ac:dyDescent="0.15">
      <c r="A1678" s="222" t="s">
        <v>5</v>
      </c>
      <c r="B1678" s="209"/>
      <c r="C1678" s="210"/>
      <c r="D1678" s="211">
        <v>10</v>
      </c>
      <c r="E1678" s="212"/>
      <c r="F1678" s="213">
        <f t="shared" si="1488"/>
        <v>10</v>
      </c>
      <c r="G1678" s="209"/>
      <c r="H1678" s="210"/>
      <c r="I1678" s="211">
        <v>10</v>
      </c>
      <c r="J1678" s="212"/>
      <c r="K1678" s="213">
        <f t="shared" si="1489"/>
        <v>10</v>
      </c>
      <c r="L1678" s="214">
        <f t="shared" si="1490"/>
        <v>20</v>
      </c>
      <c r="M1678" s="215">
        <v>46058</v>
      </c>
      <c r="N1678" s="59" t="s">
        <v>4</v>
      </c>
      <c r="O1678" s="48"/>
      <c r="P1678" s="49"/>
      <c r="Q1678" s="50"/>
      <c r="R1678" s="51"/>
      <c r="S1678" s="85">
        <f t="shared" si="1491"/>
        <v>0</v>
      </c>
      <c r="T1678" s="48"/>
      <c r="U1678" s="49"/>
      <c r="V1678" s="50"/>
      <c r="W1678" s="51"/>
      <c r="X1678" s="74">
        <f t="shared" si="1492"/>
        <v>0</v>
      </c>
      <c r="Y1678" s="11">
        <f t="shared" si="1493"/>
        <v>0</v>
      </c>
    </row>
    <row r="1679" spans="1:26" x14ac:dyDescent="0.15">
      <c r="A1679" s="13" t="s">
        <v>6</v>
      </c>
      <c r="B1679" s="20">
        <v>10</v>
      </c>
      <c r="C1679" s="35">
        <v>15</v>
      </c>
      <c r="D1679" s="21">
        <v>10</v>
      </c>
      <c r="E1679" s="24">
        <v>15</v>
      </c>
      <c r="F1679" s="25">
        <f t="shared" si="1488"/>
        <v>50</v>
      </c>
      <c r="G1679" s="20">
        <v>15</v>
      </c>
      <c r="H1679" s="35">
        <v>15</v>
      </c>
      <c r="I1679" s="21">
        <v>10</v>
      </c>
      <c r="J1679" s="24">
        <v>10</v>
      </c>
      <c r="K1679" s="25">
        <f t="shared" si="1489"/>
        <v>50</v>
      </c>
      <c r="L1679" s="11">
        <f t="shared" si="1490"/>
        <v>100</v>
      </c>
      <c r="M1679" s="71">
        <v>46060</v>
      </c>
      <c r="N1679" s="59" t="s">
        <v>5</v>
      </c>
      <c r="O1679" s="48"/>
      <c r="P1679" s="49"/>
      <c r="Q1679" s="50"/>
      <c r="R1679" s="51"/>
      <c r="S1679" s="85">
        <f t="shared" si="1491"/>
        <v>0</v>
      </c>
      <c r="T1679" s="48"/>
      <c r="U1679" s="49"/>
      <c r="V1679" s="50"/>
      <c r="W1679" s="51"/>
      <c r="X1679" s="74">
        <f t="shared" si="1492"/>
        <v>0</v>
      </c>
      <c r="Y1679" s="11">
        <f t="shared" si="1493"/>
        <v>0</v>
      </c>
    </row>
    <row r="1680" spans="1:26" ht="14.25" thickBot="1" x14ac:dyDescent="0.2">
      <c r="A1680" s="13" t="s">
        <v>140</v>
      </c>
      <c r="B1680" s="48">
        <v>0</v>
      </c>
      <c r="C1680" s="49">
        <v>-1</v>
      </c>
      <c r="D1680" s="50">
        <v>0</v>
      </c>
      <c r="E1680" s="51">
        <v>0</v>
      </c>
      <c r="F1680" s="52">
        <f t="shared" si="1488"/>
        <v>-1</v>
      </c>
      <c r="G1680" s="48">
        <v>1</v>
      </c>
      <c r="H1680" s="49">
        <v>-1</v>
      </c>
      <c r="I1680" s="50">
        <v>0</v>
      </c>
      <c r="J1680" s="51">
        <v>0</v>
      </c>
      <c r="K1680" s="52">
        <f t="shared" si="1489"/>
        <v>0</v>
      </c>
      <c r="L1680" s="11">
        <f t="shared" si="1490"/>
        <v>-1</v>
      </c>
      <c r="M1680" s="71">
        <v>46071</v>
      </c>
      <c r="N1680" s="13" t="s">
        <v>6</v>
      </c>
      <c r="O1680" s="43"/>
      <c r="P1680" s="44"/>
      <c r="Q1680" s="45"/>
      <c r="R1680" s="46"/>
      <c r="S1680" s="58">
        <f>SUM(O1680:R1680)</f>
        <v>0</v>
      </c>
      <c r="T1680" s="35"/>
      <c r="U1680" s="35"/>
      <c r="V1680" s="21"/>
      <c r="W1680" s="38"/>
      <c r="X1680" s="10">
        <f>SUM(T1680:W1680)</f>
        <v>0</v>
      </c>
      <c r="Y1680" s="14">
        <f t="shared" si="1493"/>
        <v>0</v>
      </c>
    </row>
    <row r="1681" spans="1:26" ht="14.25" thickBot="1" x14ac:dyDescent="0.2">
      <c r="A1681" s="18" t="s">
        <v>8</v>
      </c>
      <c r="B1681" s="76">
        <f t="shared" ref="B1681:K1681" si="1494">SUM(B1676:B1680)</f>
        <v>45</v>
      </c>
      <c r="C1681" s="77">
        <f t="shared" si="1494"/>
        <v>45</v>
      </c>
      <c r="D1681" s="78">
        <f t="shared" si="1494"/>
        <v>63</v>
      </c>
      <c r="E1681" s="79">
        <f t="shared" si="1494"/>
        <v>43</v>
      </c>
      <c r="F1681" s="80">
        <f t="shared" si="1494"/>
        <v>196</v>
      </c>
      <c r="G1681" s="76">
        <f t="shared" si="1494"/>
        <v>46</v>
      </c>
      <c r="H1681" s="77">
        <f t="shared" si="1494"/>
        <v>51</v>
      </c>
      <c r="I1681" s="78">
        <f t="shared" si="1494"/>
        <v>57</v>
      </c>
      <c r="J1681" s="79">
        <f t="shared" si="1494"/>
        <v>41</v>
      </c>
      <c r="K1681" s="80">
        <f t="shared" si="1494"/>
        <v>195</v>
      </c>
      <c r="L1681" s="17">
        <f t="shared" si="1490"/>
        <v>391</v>
      </c>
      <c r="N1681" s="16" t="s">
        <v>8</v>
      </c>
      <c r="O1681" s="31">
        <f>SUM(O1676:O1680)</f>
        <v>962</v>
      </c>
      <c r="P1681" s="37">
        <f t="shared" ref="P1681:R1681" si="1495">SUM(P1676:P1680)</f>
        <v>1301</v>
      </c>
      <c r="Q1681" s="32">
        <f t="shared" si="1495"/>
        <v>814</v>
      </c>
      <c r="R1681" s="82">
        <f t="shared" si="1495"/>
        <v>530</v>
      </c>
      <c r="S1681" s="83">
        <f>SUM(S1676:S1680)</f>
        <v>3607</v>
      </c>
      <c r="T1681" s="31">
        <f>SUM(T1676:T1680)</f>
        <v>979</v>
      </c>
      <c r="U1681" s="37">
        <f t="shared" ref="U1681:W1681" si="1496">SUM(U1676:U1680)</f>
        <v>1353</v>
      </c>
      <c r="V1681" s="32">
        <f t="shared" si="1496"/>
        <v>825</v>
      </c>
      <c r="W1681" s="82">
        <f t="shared" si="1496"/>
        <v>580</v>
      </c>
      <c r="X1681" s="83">
        <f>SUM(X1676:X1680)</f>
        <v>3737</v>
      </c>
      <c r="Y1681" s="39">
        <f>S1681+X1681</f>
        <v>7344</v>
      </c>
    </row>
    <row r="1682" spans="1:26" x14ac:dyDescent="0.15">
      <c r="A1682" s="59" t="s">
        <v>27</v>
      </c>
      <c r="B1682" s="20"/>
      <c r="C1682" s="35">
        <v>1</v>
      </c>
      <c r="D1682" s="21">
        <v>4</v>
      </c>
      <c r="E1682" s="24"/>
      <c r="F1682" s="25">
        <f t="shared" ref="F1682:F1706" si="1497">SUM(B1682:E1682)</f>
        <v>5</v>
      </c>
      <c r="G1682" s="20"/>
      <c r="H1682" s="35">
        <v>2</v>
      </c>
      <c r="I1682" s="21">
        <v>4</v>
      </c>
      <c r="J1682" s="24"/>
      <c r="K1682" s="25">
        <f t="shared" ref="K1682:K1706" si="1498">SUM(G1682:J1682)</f>
        <v>6</v>
      </c>
      <c r="L1682" s="11">
        <f t="shared" si="1490"/>
        <v>11</v>
      </c>
      <c r="M1682" s="69">
        <v>46052</v>
      </c>
      <c r="N1682" s="136" t="s">
        <v>908</v>
      </c>
      <c r="O1682" s="20">
        <v>33</v>
      </c>
      <c r="P1682" s="35">
        <v>49</v>
      </c>
      <c r="Q1682" s="21">
        <v>21</v>
      </c>
      <c r="R1682" s="38">
        <v>18</v>
      </c>
      <c r="S1682" s="9">
        <f t="shared" ref="S1682:S1694" si="1499">SUM(O1682:R1682)</f>
        <v>121</v>
      </c>
      <c r="T1682" s="20">
        <v>33</v>
      </c>
      <c r="U1682" s="35">
        <v>49</v>
      </c>
      <c r="V1682" s="21">
        <v>21</v>
      </c>
      <c r="W1682" s="38">
        <v>18</v>
      </c>
      <c r="X1682" s="9">
        <f t="shared" ref="X1682:X1694" si="1500">SUM(T1682:W1682)</f>
        <v>121</v>
      </c>
      <c r="Y1682" s="11">
        <f t="shared" ref="Y1682:Y1698" si="1501">S1682+X1682</f>
        <v>242</v>
      </c>
      <c r="Z1682" s="69">
        <v>46071</v>
      </c>
    </row>
    <row r="1683" spans="1:26" x14ac:dyDescent="0.15">
      <c r="A1683" s="59" t="s">
        <v>27</v>
      </c>
      <c r="B1683" s="20"/>
      <c r="C1683" s="35"/>
      <c r="D1683" s="21"/>
      <c r="E1683" s="24">
        <v>2</v>
      </c>
      <c r="F1683" s="25">
        <f t="shared" si="1497"/>
        <v>2</v>
      </c>
      <c r="G1683" s="20">
        <v>1</v>
      </c>
      <c r="H1683" s="35"/>
      <c r="I1683" s="21"/>
      <c r="J1683" s="24">
        <v>2</v>
      </c>
      <c r="K1683" s="25">
        <f t="shared" si="1498"/>
        <v>3</v>
      </c>
      <c r="L1683" s="11">
        <f t="shared" si="1490"/>
        <v>5</v>
      </c>
      <c r="M1683" s="71">
        <v>46053</v>
      </c>
      <c r="N1683" s="12" t="s">
        <v>502</v>
      </c>
      <c r="O1683" s="20">
        <v>2</v>
      </c>
      <c r="P1683" s="35"/>
      <c r="Q1683" s="21"/>
      <c r="R1683" s="38">
        <v>2</v>
      </c>
      <c r="S1683" s="9">
        <f t="shared" si="1499"/>
        <v>4</v>
      </c>
      <c r="T1683" s="20"/>
      <c r="U1683" s="35"/>
      <c r="V1683" s="21"/>
      <c r="W1683" s="38">
        <v>2</v>
      </c>
      <c r="X1683" s="9">
        <f t="shared" si="1500"/>
        <v>2</v>
      </c>
      <c r="Y1683" s="11">
        <f t="shared" si="1501"/>
        <v>6</v>
      </c>
      <c r="Z1683" s="69">
        <v>46065</v>
      </c>
    </row>
    <row r="1684" spans="1:26" x14ac:dyDescent="0.15">
      <c r="A1684" s="59" t="s">
        <v>909</v>
      </c>
      <c r="B1684" s="20">
        <v>1</v>
      </c>
      <c r="C1684" s="35">
        <v>2</v>
      </c>
      <c r="D1684" s="21">
        <v>4</v>
      </c>
      <c r="E1684" s="24"/>
      <c r="F1684" s="25">
        <f t="shared" si="1497"/>
        <v>7</v>
      </c>
      <c r="G1684" s="20">
        <v>1</v>
      </c>
      <c r="H1684" s="35">
        <v>4</v>
      </c>
      <c r="I1684" s="21">
        <v>3</v>
      </c>
      <c r="J1684" s="24"/>
      <c r="K1684" s="25">
        <f t="shared" si="1498"/>
        <v>8</v>
      </c>
      <c r="L1684" s="11">
        <f t="shared" si="1490"/>
        <v>15</v>
      </c>
      <c r="M1684" s="69">
        <v>46056</v>
      </c>
      <c r="N1684" s="216" t="s">
        <v>863</v>
      </c>
      <c r="O1684" s="209"/>
      <c r="P1684" s="210"/>
      <c r="Q1684" s="211">
        <v>10</v>
      </c>
      <c r="R1684" s="217"/>
      <c r="S1684" s="218">
        <f t="shared" si="1499"/>
        <v>10</v>
      </c>
      <c r="T1684" s="209"/>
      <c r="U1684" s="210"/>
      <c r="V1684" s="211">
        <v>10</v>
      </c>
      <c r="W1684" s="217"/>
      <c r="X1684" s="218">
        <f t="shared" si="1500"/>
        <v>10</v>
      </c>
      <c r="Y1684" s="214">
        <f t="shared" si="1501"/>
        <v>20</v>
      </c>
      <c r="Z1684" s="215">
        <v>46058</v>
      </c>
    </row>
    <row r="1685" spans="1:26" x14ac:dyDescent="0.15">
      <c r="A1685" s="59" t="s">
        <v>27</v>
      </c>
      <c r="B1685" s="20">
        <v>1</v>
      </c>
      <c r="C1685" s="35">
        <v>5</v>
      </c>
      <c r="D1685" s="21">
        <v>5</v>
      </c>
      <c r="E1685" s="24">
        <v>1</v>
      </c>
      <c r="F1685" s="25">
        <f t="shared" si="1497"/>
        <v>12</v>
      </c>
      <c r="G1685" s="20">
        <v>1</v>
      </c>
      <c r="H1685" s="35">
        <v>3</v>
      </c>
      <c r="I1685" s="21">
        <v>5</v>
      </c>
      <c r="J1685" s="24">
        <v>2</v>
      </c>
      <c r="K1685" s="25">
        <f t="shared" si="1498"/>
        <v>11</v>
      </c>
      <c r="L1685" s="11">
        <f t="shared" si="1490"/>
        <v>23</v>
      </c>
      <c r="M1685" s="71">
        <v>46055</v>
      </c>
      <c r="N1685" s="40" t="s">
        <v>863</v>
      </c>
      <c r="O1685" s="20">
        <v>10</v>
      </c>
      <c r="P1685" s="35">
        <v>15</v>
      </c>
      <c r="Q1685" s="21">
        <v>10</v>
      </c>
      <c r="R1685" s="38">
        <v>15</v>
      </c>
      <c r="S1685" s="9">
        <f t="shared" si="1499"/>
        <v>50</v>
      </c>
      <c r="T1685" s="20">
        <v>15</v>
      </c>
      <c r="U1685" s="35">
        <v>15</v>
      </c>
      <c r="V1685" s="21">
        <v>10</v>
      </c>
      <c r="W1685" s="38">
        <v>10</v>
      </c>
      <c r="X1685" s="9">
        <f t="shared" si="1500"/>
        <v>50</v>
      </c>
      <c r="Y1685" s="11">
        <f t="shared" si="1501"/>
        <v>100</v>
      </c>
      <c r="Z1685" s="69">
        <v>46060</v>
      </c>
    </row>
    <row r="1686" spans="1:26" x14ac:dyDescent="0.15">
      <c r="A1686" s="59" t="s">
        <v>910</v>
      </c>
      <c r="B1686" s="20"/>
      <c r="C1686" s="35"/>
      <c r="D1686" s="21"/>
      <c r="E1686" s="24"/>
      <c r="F1686" s="25">
        <f t="shared" si="1497"/>
        <v>0</v>
      </c>
      <c r="G1686" s="20">
        <v>1</v>
      </c>
      <c r="H1686" s="35"/>
      <c r="I1686" s="21"/>
      <c r="J1686" s="24"/>
      <c r="K1686" s="25">
        <f t="shared" si="1498"/>
        <v>1</v>
      </c>
      <c r="L1686" s="11">
        <f t="shared" si="1490"/>
        <v>1</v>
      </c>
      <c r="M1686" s="71">
        <v>46055</v>
      </c>
      <c r="N1686" s="40" t="s">
        <v>911</v>
      </c>
      <c r="O1686" s="20"/>
      <c r="P1686" s="35">
        <v>10</v>
      </c>
      <c r="Q1686" s="21">
        <v>10</v>
      </c>
      <c r="R1686" s="38"/>
      <c r="S1686" s="9">
        <f t="shared" si="1499"/>
        <v>20</v>
      </c>
      <c r="T1686" s="20"/>
      <c r="U1686" s="35">
        <v>10</v>
      </c>
      <c r="V1686" s="21">
        <v>10</v>
      </c>
      <c r="W1686" s="38"/>
      <c r="X1686" s="9">
        <f t="shared" si="1500"/>
        <v>20</v>
      </c>
      <c r="Y1686" s="11">
        <f t="shared" si="1501"/>
        <v>40</v>
      </c>
      <c r="Z1686" s="69">
        <v>46066</v>
      </c>
    </row>
    <row r="1687" spans="1:26" x14ac:dyDescent="0.15">
      <c r="A1687" s="59" t="s">
        <v>27</v>
      </c>
      <c r="B1687" s="20">
        <v>1</v>
      </c>
      <c r="C1687" s="35">
        <v>1</v>
      </c>
      <c r="D1687" s="21">
        <v>3</v>
      </c>
      <c r="E1687" s="24"/>
      <c r="F1687" s="25">
        <f t="shared" si="1497"/>
        <v>5</v>
      </c>
      <c r="G1687" s="20">
        <v>2</v>
      </c>
      <c r="H1687" s="35"/>
      <c r="I1687" s="21">
        <v>4</v>
      </c>
      <c r="J1687" s="24"/>
      <c r="K1687" s="25">
        <f t="shared" si="1498"/>
        <v>6</v>
      </c>
      <c r="L1687" s="11">
        <f t="shared" si="1490"/>
        <v>11</v>
      </c>
      <c r="M1687" s="71">
        <v>46056</v>
      </c>
      <c r="N1687" s="12" t="s">
        <v>912</v>
      </c>
      <c r="O1687" s="20">
        <v>5</v>
      </c>
      <c r="P1687" s="35">
        <v>10</v>
      </c>
      <c r="Q1687" s="21">
        <v>5</v>
      </c>
      <c r="R1687" s="38"/>
      <c r="S1687" s="9">
        <f t="shared" si="1499"/>
        <v>20</v>
      </c>
      <c r="T1687" s="20">
        <v>10</v>
      </c>
      <c r="U1687" s="35">
        <v>10</v>
      </c>
      <c r="V1687" s="21">
        <v>10</v>
      </c>
      <c r="W1687" s="38">
        <v>5</v>
      </c>
      <c r="X1687" s="9">
        <f t="shared" si="1500"/>
        <v>35</v>
      </c>
      <c r="Y1687" s="11">
        <f t="shared" si="1501"/>
        <v>55</v>
      </c>
      <c r="Z1687" s="69">
        <v>46069</v>
      </c>
    </row>
    <row r="1688" spans="1:26" x14ac:dyDescent="0.15">
      <c r="A1688" s="59" t="s">
        <v>421</v>
      </c>
      <c r="B1688" s="20">
        <v>2</v>
      </c>
      <c r="C1688" s="35">
        <v>2</v>
      </c>
      <c r="D1688" s="21">
        <v>2</v>
      </c>
      <c r="E1688" s="24">
        <v>2</v>
      </c>
      <c r="F1688" s="25">
        <f t="shared" si="1497"/>
        <v>8</v>
      </c>
      <c r="G1688" s="20">
        <v>3</v>
      </c>
      <c r="H1688" s="35">
        <v>2</v>
      </c>
      <c r="I1688" s="21">
        <v>2</v>
      </c>
      <c r="J1688" s="24">
        <v>2</v>
      </c>
      <c r="K1688" s="25">
        <f t="shared" si="1498"/>
        <v>9</v>
      </c>
      <c r="L1688" s="11">
        <f t="shared" si="1490"/>
        <v>17</v>
      </c>
      <c r="M1688" s="69">
        <v>46058</v>
      </c>
      <c r="N1688" s="40" t="s">
        <v>918</v>
      </c>
      <c r="O1688" s="20">
        <v>10</v>
      </c>
      <c r="P1688" s="35">
        <v>30</v>
      </c>
      <c r="Q1688" s="21">
        <v>5</v>
      </c>
      <c r="R1688" s="38">
        <v>5</v>
      </c>
      <c r="S1688" s="9">
        <f t="shared" si="1499"/>
        <v>50</v>
      </c>
      <c r="T1688" s="20"/>
      <c r="U1688" s="35"/>
      <c r="V1688" s="21">
        <v>10</v>
      </c>
      <c r="W1688" s="38"/>
      <c r="X1688" s="9">
        <f t="shared" si="1500"/>
        <v>10</v>
      </c>
      <c r="Y1688" s="11">
        <f t="shared" si="1501"/>
        <v>60</v>
      </c>
      <c r="Z1688" s="69">
        <v>46072</v>
      </c>
    </row>
    <row r="1689" spans="1:26" x14ac:dyDescent="0.15">
      <c r="A1689" s="59" t="s">
        <v>27</v>
      </c>
      <c r="B1689" s="20"/>
      <c r="C1689" s="35"/>
      <c r="D1689" s="21">
        <v>1</v>
      </c>
      <c r="E1689" s="24"/>
      <c r="F1689" s="25">
        <f t="shared" si="1497"/>
        <v>1</v>
      </c>
      <c r="G1689" s="20"/>
      <c r="H1689" s="35"/>
      <c r="I1689" s="21">
        <v>1</v>
      </c>
      <c r="J1689" s="24"/>
      <c r="K1689" s="25">
        <f t="shared" si="1498"/>
        <v>1</v>
      </c>
      <c r="L1689" s="11">
        <f t="shared" si="1490"/>
        <v>2</v>
      </c>
      <c r="M1689" s="71">
        <v>46057</v>
      </c>
      <c r="N1689" s="40" t="s">
        <v>919</v>
      </c>
      <c r="O1689" s="20">
        <v>10</v>
      </c>
      <c r="P1689" s="35">
        <v>10</v>
      </c>
      <c r="Q1689" s="21"/>
      <c r="R1689" s="38"/>
      <c r="S1689" s="9">
        <f t="shared" ref="S1689:S1690" si="1502">SUM(O1689:R1689)</f>
        <v>20</v>
      </c>
      <c r="T1689" s="20"/>
      <c r="U1689" s="35">
        <v>5</v>
      </c>
      <c r="V1689" s="21"/>
      <c r="W1689" s="38"/>
      <c r="X1689" s="9">
        <f t="shared" ref="X1689:X1690" si="1503">SUM(T1689:W1689)</f>
        <v>5</v>
      </c>
      <c r="Y1689" s="11">
        <f t="shared" ref="Y1689:Y1690" si="1504">S1689+X1689</f>
        <v>25</v>
      </c>
      <c r="Z1689" s="69">
        <v>46073</v>
      </c>
    </row>
    <row r="1690" spans="1:26" x14ac:dyDescent="0.15">
      <c r="A1690" s="59" t="s">
        <v>27</v>
      </c>
      <c r="B1690" s="20">
        <v>1</v>
      </c>
      <c r="C1690" s="35">
        <v>2</v>
      </c>
      <c r="D1690" s="21">
        <v>1</v>
      </c>
      <c r="E1690" s="24"/>
      <c r="F1690" s="25">
        <f t="shared" si="1497"/>
        <v>4</v>
      </c>
      <c r="G1690" s="20"/>
      <c r="H1690" s="35">
        <v>1</v>
      </c>
      <c r="I1690" s="21">
        <v>2</v>
      </c>
      <c r="J1690" s="24"/>
      <c r="K1690" s="25">
        <f t="shared" si="1498"/>
        <v>3</v>
      </c>
      <c r="L1690" s="11">
        <f t="shared" si="1490"/>
        <v>7</v>
      </c>
      <c r="M1690" s="71">
        <v>46058</v>
      </c>
      <c r="N1690" s="40" t="s">
        <v>863</v>
      </c>
      <c r="O1690" s="20"/>
      <c r="P1690" s="35"/>
      <c r="Q1690" s="21"/>
      <c r="R1690" s="38"/>
      <c r="S1690" s="9">
        <f t="shared" si="1502"/>
        <v>0</v>
      </c>
      <c r="T1690" s="20"/>
      <c r="U1690" s="35"/>
      <c r="V1690" s="21">
        <v>10</v>
      </c>
      <c r="W1690" s="38"/>
      <c r="X1690" s="9">
        <f t="shared" si="1503"/>
        <v>10</v>
      </c>
      <c r="Y1690" s="11">
        <f t="shared" si="1504"/>
        <v>10</v>
      </c>
      <c r="Z1690" s="69">
        <v>46073</v>
      </c>
    </row>
    <row r="1691" spans="1:26" x14ac:dyDescent="0.15">
      <c r="A1691" s="59" t="s">
        <v>421</v>
      </c>
      <c r="B1691" s="20">
        <v>2</v>
      </c>
      <c r="C1691" s="35"/>
      <c r="D1691" s="21"/>
      <c r="E1691" s="24">
        <v>1</v>
      </c>
      <c r="F1691" s="25">
        <f t="shared" si="1497"/>
        <v>3</v>
      </c>
      <c r="G1691" s="20">
        <v>1</v>
      </c>
      <c r="H1691" s="35"/>
      <c r="I1691" s="21"/>
      <c r="J1691" s="24">
        <v>1</v>
      </c>
      <c r="K1691" s="25">
        <f t="shared" si="1498"/>
        <v>2</v>
      </c>
      <c r="L1691" s="11">
        <f t="shared" si="1490"/>
        <v>5</v>
      </c>
      <c r="M1691" s="69">
        <v>46060</v>
      </c>
      <c r="N1691" s="40" t="s">
        <v>921</v>
      </c>
      <c r="O1691" s="20"/>
      <c r="P1691" s="35"/>
      <c r="Q1691" s="21"/>
      <c r="R1691" s="38">
        <v>5</v>
      </c>
      <c r="S1691" s="9">
        <f t="shared" si="1499"/>
        <v>5</v>
      </c>
      <c r="T1691" s="20">
        <v>5</v>
      </c>
      <c r="U1691" s="35">
        <v>15</v>
      </c>
      <c r="V1691" s="21"/>
      <c r="W1691" s="38">
        <v>10</v>
      </c>
      <c r="X1691" s="9">
        <f t="shared" si="1500"/>
        <v>30</v>
      </c>
      <c r="Y1691" s="11">
        <f t="shared" si="1501"/>
        <v>35</v>
      </c>
      <c r="Z1691" s="69">
        <v>46074</v>
      </c>
    </row>
    <row r="1692" spans="1:26" x14ac:dyDescent="0.15">
      <c r="A1692" s="59" t="s">
        <v>27</v>
      </c>
      <c r="B1692" s="20">
        <v>1</v>
      </c>
      <c r="C1692" s="35"/>
      <c r="D1692" s="21">
        <v>4</v>
      </c>
      <c r="E1692" s="24">
        <v>3</v>
      </c>
      <c r="F1692" s="25">
        <f t="shared" si="1497"/>
        <v>8</v>
      </c>
      <c r="G1692" s="20">
        <v>3</v>
      </c>
      <c r="H1692" s="35">
        <v>1</v>
      </c>
      <c r="I1692" s="21">
        <v>5</v>
      </c>
      <c r="J1692" s="24">
        <v>2</v>
      </c>
      <c r="K1692" s="25">
        <f t="shared" si="1498"/>
        <v>11</v>
      </c>
      <c r="L1692" s="11">
        <f t="shared" si="1490"/>
        <v>19</v>
      </c>
      <c r="M1692" s="69">
        <v>46059</v>
      </c>
      <c r="N1692" s="40" t="s">
        <v>922</v>
      </c>
      <c r="O1692" s="20"/>
      <c r="P1692" s="35"/>
      <c r="Q1692" s="21"/>
      <c r="R1692" s="38"/>
      <c r="S1692" s="9">
        <f t="shared" si="1499"/>
        <v>0</v>
      </c>
      <c r="T1692" s="20"/>
      <c r="U1692" s="35">
        <v>5</v>
      </c>
      <c r="V1692" s="21"/>
      <c r="W1692" s="38"/>
      <c r="X1692" s="9">
        <f t="shared" si="1500"/>
        <v>5</v>
      </c>
      <c r="Y1692" s="11">
        <f t="shared" si="1501"/>
        <v>5</v>
      </c>
      <c r="Z1692" s="69">
        <v>46074</v>
      </c>
    </row>
    <row r="1693" spans="1:26" x14ac:dyDescent="0.15">
      <c r="A1693" s="59" t="s">
        <v>421</v>
      </c>
      <c r="B1693" s="20">
        <v>3</v>
      </c>
      <c r="C1693" s="35">
        <v>3</v>
      </c>
      <c r="D1693" s="21">
        <v>3</v>
      </c>
      <c r="E1693" s="24"/>
      <c r="F1693" s="25">
        <f t="shared" si="1497"/>
        <v>9</v>
      </c>
      <c r="G1693" s="20">
        <v>2</v>
      </c>
      <c r="H1693" s="35">
        <v>4</v>
      </c>
      <c r="I1693" s="21">
        <v>4</v>
      </c>
      <c r="J1693" s="24"/>
      <c r="K1693" s="25">
        <f t="shared" si="1498"/>
        <v>10</v>
      </c>
      <c r="L1693" s="11">
        <f t="shared" si="1490"/>
        <v>19</v>
      </c>
      <c r="M1693" s="69">
        <v>46063</v>
      </c>
      <c r="N1693" s="216" t="s">
        <v>863</v>
      </c>
      <c r="O1693" s="209"/>
      <c r="P1693" s="210">
        <v>10</v>
      </c>
      <c r="Q1693" s="211"/>
      <c r="R1693" s="217"/>
      <c r="S1693" s="218">
        <f t="shared" si="1499"/>
        <v>10</v>
      </c>
      <c r="T1693" s="209"/>
      <c r="U1693" s="210">
        <v>10</v>
      </c>
      <c r="V1693" s="211"/>
      <c r="W1693" s="217"/>
      <c r="X1693" s="218">
        <f t="shared" si="1500"/>
        <v>10</v>
      </c>
      <c r="Y1693" s="214">
        <f t="shared" si="1501"/>
        <v>20</v>
      </c>
      <c r="Z1693" s="215">
        <v>46078</v>
      </c>
    </row>
    <row r="1694" spans="1:26" x14ac:dyDescent="0.15">
      <c r="A1694" s="59" t="s">
        <v>27</v>
      </c>
      <c r="B1694" s="20">
        <v>1</v>
      </c>
      <c r="C1694" s="35">
        <v>2</v>
      </c>
      <c r="D1694" s="21"/>
      <c r="E1694" s="24"/>
      <c r="F1694" s="25">
        <f t="shared" si="1497"/>
        <v>3</v>
      </c>
      <c r="G1694" s="20">
        <v>2</v>
      </c>
      <c r="H1694" s="35"/>
      <c r="I1694" s="21">
        <v>2</v>
      </c>
      <c r="J1694" s="24"/>
      <c r="K1694" s="25">
        <f t="shared" si="1498"/>
        <v>4</v>
      </c>
      <c r="L1694" s="11">
        <f t="shared" si="1490"/>
        <v>7</v>
      </c>
      <c r="M1694" s="71">
        <v>46062</v>
      </c>
      <c r="N1694" s="40"/>
      <c r="O1694" s="20"/>
      <c r="P1694" s="35"/>
      <c r="Q1694" s="21"/>
      <c r="R1694" s="38"/>
      <c r="S1694" s="9">
        <f t="shared" si="1499"/>
        <v>0</v>
      </c>
      <c r="T1694" s="20"/>
      <c r="U1694" s="35"/>
      <c r="V1694" s="21"/>
      <c r="W1694" s="38"/>
      <c r="X1694" s="9">
        <f t="shared" si="1500"/>
        <v>0</v>
      </c>
      <c r="Y1694" s="11">
        <f t="shared" si="1501"/>
        <v>0</v>
      </c>
    </row>
    <row r="1695" spans="1:26" x14ac:dyDescent="0.15">
      <c r="A1695" s="59" t="s">
        <v>496</v>
      </c>
      <c r="B1695" s="20"/>
      <c r="C1695" s="35"/>
      <c r="D1695" s="21">
        <v>-2</v>
      </c>
      <c r="E1695" s="24"/>
      <c r="F1695" s="25">
        <f t="shared" si="1497"/>
        <v>-2</v>
      </c>
      <c r="G1695" s="20"/>
      <c r="H1695" s="35"/>
      <c r="I1695" s="21"/>
      <c r="J1695" s="24"/>
      <c r="K1695" s="25">
        <f t="shared" si="1498"/>
        <v>0</v>
      </c>
      <c r="L1695" s="11">
        <f t="shared" si="1490"/>
        <v>-2</v>
      </c>
      <c r="M1695" s="71">
        <v>46062</v>
      </c>
      <c r="N1695" s="12"/>
      <c r="O1695" s="20"/>
      <c r="P1695" s="35"/>
      <c r="Q1695" s="21"/>
      <c r="R1695" s="38"/>
      <c r="S1695" s="9">
        <f>SUM(O1695:R1695)</f>
        <v>0</v>
      </c>
      <c r="T1695" s="20"/>
      <c r="U1695" s="35"/>
      <c r="V1695" s="21"/>
      <c r="W1695" s="38"/>
      <c r="X1695" s="9">
        <f>SUM(T1695:W1695)</f>
        <v>0</v>
      </c>
      <c r="Y1695" s="11">
        <f t="shared" si="1501"/>
        <v>0</v>
      </c>
    </row>
    <row r="1696" spans="1:26" x14ac:dyDescent="0.15">
      <c r="A1696" s="59" t="s">
        <v>27</v>
      </c>
      <c r="B1696" s="20"/>
      <c r="C1696" s="35">
        <v>1</v>
      </c>
      <c r="D1696" s="21"/>
      <c r="E1696" s="24">
        <v>1</v>
      </c>
      <c r="F1696" s="25">
        <f t="shared" si="1497"/>
        <v>2</v>
      </c>
      <c r="G1696" s="20">
        <v>2</v>
      </c>
      <c r="H1696" s="35">
        <v>2</v>
      </c>
      <c r="I1696" s="21"/>
      <c r="J1696" s="24">
        <v>1</v>
      </c>
      <c r="K1696" s="25">
        <f t="shared" si="1498"/>
        <v>5</v>
      </c>
      <c r="L1696" s="11">
        <f t="shared" si="1490"/>
        <v>7</v>
      </c>
      <c r="M1696" s="71">
        <v>46063</v>
      </c>
      <c r="N1696" s="40"/>
      <c r="O1696" s="20"/>
      <c r="P1696" s="35"/>
      <c r="Q1696" s="21"/>
      <c r="R1696" s="38"/>
      <c r="S1696" s="9">
        <f t="shared" ref="S1696:S1698" si="1505">SUM(O1696:R1696)</f>
        <v>0</v>
      </c>
      <c r="T1696" s="20"/>
      <c r="U1696" s="35"/>
      <c r="V1696" s="21"/>
      <c r="W1696" s="38"/>
      <c r="X1696" s="9">
        <f t="shared" ref="X1696:X1698" si="1506">SUM(T1696:W1696)</f>
        <v>0</v>
      </c>
      <c r="Y1696" s="11">
        <f t="shared" si="1501"/>
        <v>0</v>
      </c>
    </row>
    <row r="1697" spans="1:26" x14ac:dyDescent="0.15">
      <c r="A1697" s="59" t="s">
        <v>27</v>
      </c>
      <c r="B1697" s="20"/>
      <c r="C1697" s="35"/>
      <c r="D1697" s="21">
        <v>2</v>
      </c>
      <c r="E1697" s="24"/>
      <c r="F1697" s="25">
        <f t="shared" si="1497"/>
        <v>2</v>
      </c>
      <c r="G1697" s="20">
        <v>1</v>
      </c>
      <c r="H1697" s="35"/>
      <c r="I1697" s="21">
        <v>1</v>
      </c>
      <c r="J1697" s="24"/>
      <c r="K1697" s="25">
        <f t="shared" si="1498"/>
        <v>2</v>
      </c>
      <c r="L1697" s="11">
        <f t="shared" si="1490"/>
        <v>4</v>
      </c>
      <c r="M1697" s="71">
        <v>46065</v>
      </c>
      <c r="N1697" s="15"/>
      <c r="O1697" s="20"/>
      <c r="P1697" s="35"/>
      <c r="Q1697" s="21"/>
      <c r="R1697" s="38"/>
      <c r="S1697" s="9">
        <f t="shared" si="1505"/>
        <v>0</v>
      </c>
      <c r="T1697" s="20"/>
      <c r="U1697" s="35"/>
      <c r="V1697" s="21"/>
      <c r="W1697" s="38"/>
      <c r="X1697" s="9">
        <f t="shared" si="1506"/>
        <v>0</v>
      </c>
      <c r="Y1697" s="11">
        <f t="shared" si="1501"/>
        <v>0</v>
      </c>
    </row>
    <row r="1698" spans="1:26" x14ac:dyDescent="0.15">
      <c r="A1698" s="59" t="s">
        <v>421</v>
      </c>
      <c r="B1698" s="20">
        <v>1</v>
      </c>
      <c r="C1698" s="35">
        <v>1</v>
      </c>
      <c r="D1698" s="21"/>
      <c r="E1698" s="24"/>
      <c r="F1698" s="25">
        <f t="shared" si="1497"/>
        <v>2</v>
      </c>
      <c r="G1698" s="20">
        <v>1</v>
      </c>
      <c r="H1698" s="35">
        <v>1</v>
      </c>
      <c r="I1698" s="21"/>
      <c r="J1698" s="24">
        <v>1</v>
      </c>
      <c r="K1698" s="25">
        <f t="shared" si="1498"/>
        <v>3</v>
      </c>
      <c r="L1698" s="11">
        <f t="shared" si="1490"/>
        <v>5</v>
      </c>
      <c r="M1698" s="69">
        <v>46067</v>
      </c>
      <c r="N1698" s="15"/>
      <c r="O1698" s="20"/>
      <c r="P1698" s="35"/>
      <c r="Q1698" s="21"/>
      <c r="R1698" s="38"/>
      <c r="S1698" s="9">
        <f t="shared" si="1505"/>
        <v>0</v>
      </c>
      <c r="T1698" s="20"/>
      <c r="U1698" s="35"/>
      <c r="V1698" s="21"/>
      <c r="W1698" s="38"/>
      <c r="X1698" s="9">
        <f t="shared" si="1506"/>
        <v>0</v>
      </c>
      <c r="Y1698" s="11">
        <f t="shared" si="1501"/>
        <v>0</v>
      </c>
    </row>
    <row r="1699" spans="1:26" x14ac:dyDescent="0.15">
      <c r="A1699" s="59" t="s">
        <v>913</v>
      </c>
      <c r="B1699" s="20"/>
      <c r="C1699" s="35">
        <v>1</v>
      </c>
      <c r="D1699" s="21">
        <v>1</v>
      </c>
      <c r="E1699" s="24"/>
      <c r="F1699" s="25">
        <f t="shared" si="1497"/>
        <v>2</v>
      </c>
      <c r="G1699" s="20"/>
      <c r="H1699" s="35"/>
      <c r="I1699" s="21">
        <v>3</v>
      </c>
      <c r="J1699" s="24"/>
      <c r="K1699" s="25">
        <f t="shared" si="1498"/>
        <v>3</v>
      </c>
      <c r="L1699" s="11">
        <f t="shared" si="1490"/>
        <v>5</v>
      </c>
      <c r="M1699" s="71">
        <v>46066</v>
      </c>
      <c r="N1699" s="15"/>
      <c r="O1699" s="20"/>
      <c r="P1699" s="35"/>
      <c r="Q1699" s="21"/>
      <c r="R1699" s="38"/>
      <c r="S1699" s="9">
        <f t="shared" ref="S1699:S1702" si="1507">SUM(O1699:R1699)</f>
        <v>0</v>
      </c>
      <c r="T1699" s="20"/>
      <c r="U1699" s="35"/>
      <c r="V1699" s="21"/>
      <c r="W1699" s="38"/>
      <c r="X1699" s="9">
        <f t="shared" ref="X1699:X1702" si="1508">SUM(T1699:W1699)</f>
        <v>0</v>
      </c>
      <c r="Y1699" s="11">
        <f t="shared" ref="Y1699:Y1702" si="1509">S1699+X1699</f>
        <v>0</v>
      </c>
    </row>
    <row r="1700" spans="1:26" x14ac:dyDescent="0.15">
      <c r="A1700" s="59" t="s">
        <v>917</v>
      </c>
      <c r="B1700" s="20">
        <v>1</v>
      </c>
      <c r="C1700" s="35"/>
      <c r="D1700" s="21"/>
      <c r="E1700" s="24"/>
      <c r="F1700" s="25">
        <f t="shared" si="1497"/>
        <v>1</v>
      </c>
      <c r="G1700" s="20"/>
      <c r="H1700" s="35"/>
      <c r="I1700" s="21"/>
      <c r="J1700" s="24"/>
      <c r="K1700" s="25">
        <f t="shared" si="1498"/>
        <v>0</v>
      </c>
      <c r="L1700" s="11">
        <f t="shared" si="1490"/>
        <v>1</v>
      </c>
      <c r="M1700" s="69">
        <v>46069</v>
      </c>
      <c r="N1700" s="15"/>
      <c r="O1700" s="20"/>
      <c r="P1700" s="35"/>
      <c r="Q1700" s="21"/>
      <c r="R1700" s="38"/>
      <c r="S1700" s="9">
        <f t="shared" si="1507"/>
        <v>0</v>
      </c>
      <c r="T1700" s="20"/>
      <c r="U1700" s="35"/>
      <c r="V1700" s="21"/>
      <c r="W1700" s="38"/>
      <c r="X1700" s="9">
        <f t="shared" si="1508"/>
        <v>0</v>
      </c>
      <c r="Y1700" s="11">
        <f t="shared" si="1509"/>
        <v>0</v>
      </c>
    </row>
    <row r="1701" spans="1:26" x14ac:dyDescent="0.15">
      <c r="A1701" s="59" t="s">
        <v>27</v>
      </c>
      <c r="B1701" s="20">
        <v>1</v>
      </c>
      <c r="C1701" s="35">
        <v>3</v>
      </c>
      <c r="D1701" s="21">
        <v>1</v>
      </c>
      <c r="E1701" s="24"/>
      <c r="F1701" s="25">
        <f t="shared" si="1497"/>
        <v>5</v>
      </c>
      <c r="G1701" s="20"/>
      <c r="H1701" s="35">
        <v>4</v>
      </c>
      <c r="I1701" s="21">
        <v>4</v>
      </c>
      <c r="J1701" s="24"/>
      <c r="K1701" s="25">
        <f t="shared" si="1498"/>
        <v>8</v>
      </c>
      <c r="L1701" s="11">
        <f t="shared" si="1490"/>
        <v>13</v>
      </c>
      <c r="M1701" s="71">
        <v>46069</v>
      </c>
      <c r="N1701" s="15"/>
      <c r="O1701" s="20"/>
      <c r="P1701" s="35"/>
      <c r="Q1701" s="21"/>
      <c r="R1701" s="38"/>
      <c r="S1701" s="9">
        <f t="shared" si="1507"/>
        <v>0</v>
      </c>
      <c r="T1701" s="20"/>
      <c r="U1701" s="35"/>
      <c r="V1701" s="21"/>
      <c r="W1701" s="38"/>
      <c r="X1701" s="9">
        <f t="shared" si="1508"/>
        <v>0</v>
      </c>
      <c r="Y1701" s="11">
        <f t="shared" si="1509"/>
        <v>0</v>
      </c>
    </row>
    <row r="1702" spans="1:26" x14ac:dyDescent="0.15">
      <c r="A1702" s="59" t="s">
        <v>421</v>
      </c>
      <c r="B1702" s="20"/>
      <c r="C1702" s="35"/>
      <c r="D1702" s="21"/>
      <c r="E1702" s="24"/>
      <c r="F1702" s="25">
        <f t="shared" si="1497"/>
        <v>0</v>
      </c>
      <c r="G1702" s="20"/>
      <c r="H1702" s="35"/>
      <c r="I1702" s="21">
        <v>1</v>
      </c>
      <c r="J1702" s="24"/>
      <c r="K1702" s="25">
        <f t="shared" si="1498"/>
        <v>1</v>
      </c>
      <c r="L1702" s="11">
        <f t="shared" si="1490"/>
        <v>1</v>
      </c>
      <c r="M1702" s="69">
        <v>46070</v>
      </c>
      <c r="N1702" s="15"/>
      <c r="O1702" s="20"/>
      <c r="P1702" s="35"/>
      <c r="Q1702" s="21"/>
      <c r="R1702" s="38"/>
      <c r="S1702" s="9">
        <f t="shared" si="1507"/>
        <v>0</v>
      </c>
      <c r="T1702" s="20"/>
      <c r="U1702" s="35"/>
      <c r="V1702" s="21"/>
      <c r="W1702" s="38"/>
      <c r="X1702" s="9">
        <f t="shared" si="1508"/>
        <v>0</v>
      </c>
      <c r="Y1702" s="11">
        <f t="shared" si="1509"/>
        <v>0</v>
      </c>
    </row>
    <row r="1703" spans="1:26" x14ac:dyDescent="0.15">
      <c r="A1703" s="59" t="s">
        <v>27</v>
      </c>
      <c r="B1703" s="20"/>
      <c r="C1703" s="35">
        <v>2</v>
      </c>
      <c r="D1703" s="21">
        <v>3</v>
      </c>
      <c r="E1703" s="24"/>
      <c r="F1703" s="25">
        <f t="shared" si="1497"/>
        <v>5</v>
      </c>
      <c r="G1703" s="20"/>
      <c r="H1703" s="35">
        <v>1</v>
      </c>
      <c r="I1703" s="21"/>
      <c r="J1703" s="24"/>
      <c r="K1703" s="25">
        <f t="shared" si="1498"/>
        <v>1</v>
      </c>
      <c r="L1703" s="11">
        <f t="shared" si="1490"/>
        <v>6</v>
      </c>
      <c r="M1703" s="71">
        <v>46070</v>
      </c>
      <c r="N1703" s="104" t="s">
        <v>891</v>
      </c>
      <c r="O1703" s="154"/>
      <c r="P1703" s="156"/>
      <c r="Q1703" s="155"/>
      <c r="R1703" s="159"/>
      <c r="S1703" s="158">
        <f t="shared" ref="S1703:S1704" si="1510">SUM(O1703:R1703)</f>
        <v>0</v>
      </c>
      <c r="T1703" s="154"/>
      <c r="U1703" s="156"/>
      <c r="V1703" s="155"/>
      <c r="W1703" s="159"/>
      <c r="X1703" s="158">
        <f t="shared" ref="X1703:X1704" si="1511">SUM(T1703:W1703)</f>
        <v>0</v>
      </c>
      <c r="Y1703" s="145">
        <f t="shared" ref="Y1703:Y1704" si="1512">S1703+X1703</f>
        <v>0</v>
      </c>
      <c r="Z1703" s="167"/>
    </row>
    <row r="1704" spans="1:26" x14ac:dyDescent="0.15">
      <c r="A1704" s="59" t="s">
        <v>27</v>
      </c>
      <c r="B1704" s="20">
        <v>1</v>
      </c>
      <c r="C1704" s="35"/>
      <c r="D1704" s="21"/>
      <c r="E1704" s="24"/>
      <c r="F1704" s="25">
        <f t="shared" si="1497"/>
        <v>1</v>
      </c>
      <c r="G1704" s="20"/>
      <c r="H1704" s="35">
        <v>3</v>
      </c>
      <c r="I1704" s="21"/>
      <c r="J1704" s="24"/>
      <c r="K1704" s="25">
        <f t="shared" si="1498"/>
        <v>3</v>
      </c>
      <c r="L1704" s="11">
        <f t="shared" si="1490"/>
        <v>4</v>
      </c>
      <c r="M1704" s="71">
        <v>46071</v>
      </c>
      <c r="N1704" s="12" t="s">
        <v>890</v>
      </c>
      <c r="O1704" s="20"/>
      <c r="P1704" s="35"/>
      <c r="Q1704" s="21"/>
      <c r="R1704" s="38"/>
      <c r="S1704" s="9">
        <f t="shared" si="1510"/>
        <v>0</v>
      </c>
      <c r="T1704" s="20"/>
      <c r="U1704" s="35"/>
      <c r="V1704" s="21"/>
      <c r="W1704" s="38"/>
      <c r="X1704" s="9">
        <f t="shared" si="1511"/>
        <v>0</v>
      </c>
      <c r="Y1704" s="11">
        <f t="shared" si="1512"/>
        <v>0</v>
      </c>
      <c r="Z1704" s="162" t="s">
        <v>892</v>
      </c>
    </row>
    <row r="1705" spans="1:26" x14ac:dyDescent="0.15">
      <c r="A1705" s="59" t="s">
        <v>920</v>
      </c>
      <c r="B1705" s="20"/>
      <c r="C1705" s="35">
        <v>-1</v>
      </c>
      <c r="D1705" s="21">
        <v>-1</v>
      </c>
      <c r="E1705" s="24">
        <v>-1</v>
      </c>
      <c r="F1705" s="25">
        <f t="shared" si="1497"/>
        <v>-3</v>
      </c>
      <c r="G1705" s="20"/>
      <c r="H1705" s="35">
        <v>-2</v>
      </c>
      <c r="I1705" s="21"/>
      <c r="J1705" s="24">
        <v>-1</v>
      </c>
      <c r="K1705" s="25">
        <f t="shared" si="1498"/>
        <v>-3</v>
      </c>
      <c r="L1705" s="11">
        <f t="shared" si="1490"/>
        <v>-6</v>
      </c>
      <c r="M1705" s="71">
        <v>46070</v>
      </c>
      <c r="N1705" s="104" t="s">
        <v>866</v>
      </c>
      <c r="O1705" s="154"/>
      <c r="P1705" s="156"/>
      <c r="Q1705" s="155"/>
      <c r="R1705" s="159"/>
      <c r="S1705" s="158">
        <f t="shared" ref="S1705:S1706" si="1513">SUM(O1705:R1705)</f>
        <v>0</v>
      </c>
      <c r="T1705" s="154"/>
      <c r="U1705" s="156"/>
      <c r="V1705" s="155"/>
      <c r="W1705" s="159"/>
      <c r="X1705" s="158">
        <f t="shared" ref="X1705:X1706" si="1514">SUM(T1705:W1705)</f>
        <v>0</v>
      </c>
      <c r="Y1705" s="160">
        <f t="shared" ref="Y1705:Y1706" si="1515">S1705+X1705</f>
        <v>0</v>
      </c>
      <c r="Z1705" s="162"/>
    </row>
    <row r="1706" spans="1:26" ht="14.25" thickBot="1" x14ac:dyDescent="0.2">
      <c r="A1706" s="15" t="s">
        <v>27</v>
      </c>
      <c r="B1706" s="43"/>
      <c r="C1706" s="44"/>
      <c r="D1706" s="45"/>
      <c r="E1706" s="46"/>
      <c r="F1706" s="25">
        <f t="shared" si="1497"/>
        <v>0</v>
      </c>
      <c r="G1706" s="43"/>
      <c r="H1706" s="44">
        <v>3</v>
      </c>
      <c r="I1706" s="45"/>
      <c r="J1706" s="46">
        <v>1</v>
      </c>
      <c r="K1706" s="25">
        <f t="shared" si="1498"/>
        <v>4</v>
      </c>
      <c r="L1706" s="14">
        <f t="shared" si="1490"/>
        <v>4</v>
      </c>
      <c r="M1706" s="71">
        <v>46072</v>
      </c>
      <c r="N1706" s="99" t="s">
        <v>865</v>
      </c>
      <c r="O1706" s="43"/>
      <c r="P1706" s="44"/>
      <c r="Q1706" s="45"/>
      <c r="R1706" s="100"/>
      <c r="S1706" s="10">
        <f t="shared" si="1513"/>
        <v>0</v>
      </c>
      <c r="T1706" s="43"/>
      <c r="U1706" s="44"/>
      <c r="V1706" s="45"/>
      <c r="W1706" s="100"/>
      <c r="X1706" s="10">
        <f t="shared" si="1514"/>
        <v>0</v>
      </c>
      <c r="Y1706" s="63">
        <f t="shared" si="1515"/>
        <v>0</v>
      </c>
      <c r="Z1706" s="162" t="s">
        <v>867</v>
      </c>
    </row>
    <row r="1707" spans="1:26" ht="14.25" thickBot="1" x14ac:dyDescent="0.2">
      <c r="A1707" s="16" t="s">
        <v>9</v>
      </c>
      <c r="B1707" s="28">
        <f>SUM(B1682:B1706)</f>
        <v>17</v>
      </c>
      <c r="C1707" s="36">
        <f>SUM(C1682:C1706)</f>
        <v>25</v>
      </c>
      <c r="D1707" s="29">
        <f>SUM(D1682:D1706)</f>
        <v>31</v>
      </c>
      <c r="E1707" s="30">
        <f>SUM(E1682:E1706)</f>
        <v>9</v>
      </c>
      <c r="F1707" s="26">
        <f>SUM(B1707:E1707)</f>
        <v>82</v>
      </c>
      <c r="G1707" s="28">
        <f>SUM(G1682:G1706)</f>
        <v>21</v>
      </c>
      <c r="H1707" s="36">
        <f>SUM(H1682:H1706)</f>
        <v>29</v>
      </c>
      <c r="I1707" s="29">
        <f>SUM(I1682:I1706)</f>
        <v>41</v>
      </c>
      <c r="J1707" s="30">
        <f>SUM(J1682:J1706)</f>
        <v>11</v>
      </c>
      <c r="K1707" s="26">
        <f>SUM(G1707:J1707)</f>
        <v>102</v>
      </c>
      <c r="L1707" s="27">
        <f t="shared" si="1490"/>
        <v>184</v>
      </c>
      <c r="N1707" s="61" t="s">
        <v>9</v>
      </c>
      <c r="O1707" s="28">
        <f>SUM(O1682:O1706)</f>
        <v>70</v>
      </c>
      <c r="P1707" s="36">
        <f t="shared" ref="P1707:R1707" si="1516">SUM(P1682:P1706)</f>
        <v>134</v>
      </c>
      <c r="Q1707" s="29">
        <f t="shared" si="1516"/>
        <v>61</v>
      </c>
      <c r="R1707" s="30">
        <f t="shared" si="1516"/>
        <v>45</v>
      </c>
      <c r="S1707" s="60">
        <f>SUM(O1707:R1707)</f>
        <v>310</v>
      </c>
      <c r="T1707" s="28">
        <f>SUM(T1682:T1706)</f>
        <v>63</v>
      </c>
      <c r="U1707" s="36">
        <f t="shared" ref="U1707:W1707" si="1517">SUM(U1682:U1706)</f>
        <v>119</v>
      </c>
      <c r="V1707" s="29">
        <f t="shared" si="1517"/>
        <v>81</v>
      </c>
      <c r="W1707" s="30">
        <f t="shared" si="1517"/>
        <v>45</v>
      </c>
      <c r="X1707" s="60">
        <f>SUM(T1707:W1707)</f>
        <v>308</v>
      </c>
      <c r="Y1707" s="63">
        <f>S1707+X1707</f>
        <v>618</v>
      </c>
    </row>
    <row r="1708" spans="1:26" ht="14.25" thickBot="1" x14ac:dyDescent="0.2">
      <c r="A1708" s="18" t="s">
        <v>10</v>
      </c>
      <c r="B1708" s="31">
        <f t="shared" ref="B1708:K1708" si="1518">B1681-B1707</f>
        <v>28</v>
      </c>
      <c r="C1708" s="37">
        <f t="shared" si="1518"/>
        <v>20</v>
      </c>
      <c r="D1708" s="32">
        <f t="shared" si="1518"/>
        <v>32</v>
      </c>
      <c r="E1708" s="33">
        <f t="shared" si="1518"/>
        <v>34</v>
      </c>
      <c r="F1708" s="42">
        <f t="shared" si="1518"/>
        <v>114</v>
      </c>
      <c r="G1708" s="31">
        <f t="shared" si="1518"/>
        <v>25</v>
      </c>
      <c r="H1708" s="37">
        <f t="shared" si="1518"/>
        <v>22</v>
      </c>
      <c r="I1708" s="32">
        <f t="shared" si="1518"/>
        <v>16</v>
      </c>
      <c r="J1708" s="33">
        <f t="shared" si="1518"/>
        <v>30</v>
      </c>
      <c r="K1708" s="42">
        <f t="shared" si="1518"/>
        <v>93</v>
      </c>
      <c r="L1708" s="17">
        <f t="shared" si="1490"/>
        <v>207</v>
      </c>
      <c r="N1708" s="16" t="s">
        <v>10</v>
      </c>
      <c r="O1708" s="31">
        <f>O1681-O1707</f>
        <v>892</v>
      </c>
      <c r="P1708" s="37">
        <f t="shared" ref="P1708:R1708" si="1519">P1681-P1707</f>
        <v>1167</v>
      </c>
      <c r="Q1708" s="32">
        <f t="shared" si="1519"/>
        <v>753</v>
      </c>
      <c r="R1708" s="33">
        <f t="shared" si="1519"/>
        <v>485</v>
      </c>
      <c r="S1708" s="42">
        <f>S1681-S1707</f>
        <v>3297</v>
      </c>
      <c r="T1708" s="31">
        <f>T1681-T1707</f>
        <v>916</v>
      </c>
      <c r="U1708" s="37">
        <f t="shared" ref="U1708:W1708" si="1520">U1681-U1707</f>
        <v>1234</v>
      </c>
      <c r="V1708" s="32">
        <f t="shared" si="1520"/>
        <v>744</v>
      </c>
      <c r="W1708" s="33">
        <f t="shared" si="1520"/>
        <v>535</v>
      </c>
      <c r="X1708" s="42">
        <f>X1681-X1707</f>
        <v>3429</v>
      </c>
      <c r="Y1708" s="17">
        <f>S1708+X1708</f>
        <v>6726</v>
      </c>
      <c r="Z1708" s="230" t="s">
        <v>926</v>
      </c>
    </row>
    <row r="1711" spans="1:26" ht="19.5" thickBot="1" x14ac:dyDescent="0.25">
      <c r="A1711" s="2" t="s">
        <v>17</v>
      </c>
      <c r="B1711" s="2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N1711" s="2" t="s">
        <v>18</v>
      </c>
      <c r="O1711" s="87"/>
      <c r="P1711" s="87"/>
      <c r="Q1711" s="87"/>
      <c r="R1711" s="87"/>
      <c r="S1711" s="87"/>
      <c r="T1711" s="87"/>
      <c r="U1711" s="87"/>
      <c r="V1711" s="87"/>
      <c r="W1711" s="87"/>
      <c r="X1711" s="87"/>
      <c r="Y1711" s="1"/>
    </row>
    <row r="1712" spans="1:26" ht="14.25" thickBot="1" x14ac:dyDescent="0.2">
      <c r="A1712" s="5" t="s">
        <v>0</v>
      </c>
      <c r="B1712" s="244" t="s">
        <v>19</v>
      </c>
      <c r="C1712" s="245"/>
      <c r="D1712" s="245"/>
      <c r="E1712" s="245"/>
      <c r="F1712" s="246"/>
      <c r="G1712" s="247" t="s">
        <v>20</v>
      </c>
      <c r="H1712" s="248"/>
      <c r="I1712" s="248"/>
      <c r="J1712" s="248"/>
      <c r="K1712" s="249"/>
      <c r="L1712" s="250" t="s">
        <v>1</v>
      </c>
      <c r="N1712" s="5" t="s">
        <v>0</v>
      </c>
      <c r="O1712" s="244" t="s">
        <v>19</v>
      </c>
      <c r="P1712" s="245"/>
      <c r="Q1712" s="245"/>
      <c r="R1712" s="245"/>
      <c r="S1712" s="246"/>
      <c r="T1712" s="247" t="s">
        <v>20</v>
      </c>
      <c r="U1712" s="248"/>
      <c r="V1712" s="248"/>
      <c r="W1712" s="248"/>
      <c r="X1712" s="249"/>
      <c r="Y1712" s="250" t="s">
        <v>1</v>
      </c>
    </row>
    <row r="1713" spans="1:26" ht="14.25" thickBot="1" x14ac:dyDescent="0.2">
      <c r="A1713" s="5" t="s">
        <v>2</v>
      </c>
      <c r="B1713" s="3" t="s">
        <v>11</v>
      </c>
      <c r="C1713" s="34" t="s">
        <v>12</v>
      </c>
      <c r="D1713" s="4" t="s">
        <v>13</v>
      </c>
      <c r="E1713" s="19" t="s">
        <v>14</v>
      </c>
      <c r="F1713" s="23" t="s">
        <v>3</v>
      </c>
      <c r="G1713" s="3" t="s">
        <v>11</v>
      </c>
      <c r="H1713" s="34" t="s">
        <v>12</v>
      </c>
      <c r="I1713" s="4" t="s">
        <v>13</v>
      </c>
      <c r="J1713" s="19" t="s">
        <v>14</v>
      </c>
      <c r="K1713" s="23" t="s">
        <v>3</v>
      </c>
      <c r="L1713" s="251"/>
      <c r="N1713" s="5" t="s">
        <v>2</v>
      </c>
      <c r="O1713" s="53" t="s">
        <v>11</v>
      </c>
      <c r="P1713" s="54" t="s">
        <v>12</v>
      </c>
      <c r="Q1713" s="55" t="s">
        <v>13</v>
      </c>
      <c r="R1713" s="56" t="s">
        <v>14</v>
      </c>
      <c r="S1713" s="23" t="s">
        <v>3</v>
      </c>
      <c r="T1713" s="3" t="s">
        <v>11</v>
      </c>
      <c r="U1713" s="34" t="s">
        <v>12</v>
      </c>
      <c r="V1713" s="4" t="s">
        <v>13</v>
      </c>
      <c r="W1713" s="19" t="s">
        <v>14</v>
      </c>
      <c r="X1713" s="23" t="s">
        <v>3</v>
      </c>
      <c r="Y1713" s="251"/>
    </row>
    <row r="1714" spans="1:26" ht="14.25" thickBot="1" x14ac:dyDescent="0.2">
      <c r="A1714" s="18" t="s">
        <v>15</v>
      </c>
      <c r="B1714" s="31">
        <f>B1708</f>
        <v>28</v>
      </c>
      <c r="C1714" s="32">
        <f>C1708</f>
        <v>20</v>
      </c>
      <c r="D1714" s="32">
        <f>D1708</f>
        <v>32</v>
      </c>
      <c r="E1714" s="33">
        <f>E1708</f>
        <v>34</v>
      </c>
      <c r="F1714" s="86">
        <f>SUM(B1714:E1714)</f>
        <v>114</v>
      </c>
      <c r="G1714" s="31">
        <f>G1708</f>
        <v>25</v>
      </c>
      <c r="H1714" s="32">
        <f>H1708</f>
        <v>22</v>
      </c>
      <c r="I1714" s="32">
        <f>I1708</f>
        <v>16</v>
      </c>
      <c r="J1714" s="33">
        <f>J1708</f>
        <v>30</v>
      </c>
      <c r="K1714" s="80">
        <f>SUM(G1714:J1714)</f>
        <v>93</v>
      </c>
      <c r="L1714" s="17">
        <f>F1714+K1714</f>
        <v>207</v>
      </c>
      <c r="N1714" s="18" t="s">
        <v>15</v>
      </c>
      <c r="O1714" s="31">
        <f>O1708</f>
        <v>892</v>
      </c>
      <c r="P1714" s="32">
        <f t="shared" ref="P1714:Y1714" si="1521">P1708</f>
        <v>1167</v>
      </c>
      <c r="Q1714" s="32">
        <f t="shared" si="1521"/>
        <v>753</v>
      </c>
      <c r="R1714" s="33">
        <f t="shared" si="1521"/>
        <v>485</v>
      </c>
      <c r="S1714" s="86">
        <f t="shared" si="1521"/>
        <v>3297</v>
      </c>
      <c r="T1714" s="31">
        <f t="shared" si="1521"/>
        <v>916</v>
      </c>
      <c r="U1714" s="32">
        <f t="shared" si="1521"/>
        <v>1234</v>
      </c>
      <c r="V1714" s="32">
        <f t="shared" si="1521"/>
        <v>744</v>
      </c>
      <c r="W1714" s="33">
        <f t="shared" si="1521"/>
        <v>535</v>
      </c>
      <c r="X1714" s="80">
        <f t="shared" si="1521"/>
        <v>3429</v>
      </c>
      <c r="Y1714" s="17">
        <f t="shared" si="1521"/>
        <v>6726</v>
      </c>
    </row>
    <row r="1715" spans="1:26" x14ac:dyDescent="0.15">
      <c r="A1715" s="13" t="s">
        <v>4</v>
      </c>
      <c r="B1715" s="20"/>
      <c r="C1715" s="35"/>
      <c r="D1715" s="21"/>
      <c r="E1715" s="24"/>
      <c r="F1715" s="25">
        <f t="shared" ref="F1715:F1718" si="1522">SUM(B1715:E1715)</f>
        <v>0</v>
      </c>
      <c r="G1715" s="20"/>
      <c r="H1715" s="35"/>
      <c r="I1715" s="21">
        <v>10</v>
      </c>
      <c r="J1715" s="24"/>
      <c r="K1715" s="25">
        <f t="shared" ref="K1715:K1718" si="1523">SUM(G1715:J1715)</f>
        <v>10</v>
      </c>
      <c r="L1715" s="11">
        <f t="shared" ref="L1715:L1746" si="1524">F1715+K1715</f>
        <v>10</v>
      </c>
      <c r="M1715" s="69">
        <v>46073</v>
      </c>
      <c r="N1715" s="59" t="s">
        <v>16</v>
      </c>
      <c r="O1715" s="48"/>
      <c r="P1715" s="49"/>
      <c r="Q1715" s="50"/>
      <c r="R1715" s="51"/>
      <c r="S1715" s="85">
        <f t="shared" ref="S1715:S1717" si="1525">SUM(O1715:R1715)</f>
        <v>0</v>
      </c>
      <c r="T1715" s="48"/>
      <c r="U1715" s="49"/>
      <c r="V1715" s="50"/>
      <c r="W1715" s="51"/>
      <c r="X1715" s="74">
        <f t="shared" ref="X1715:X1717" si="1526">SUM(T1715:W1715)</f>
        <v>0</v>
      </c>
      <c r="Y1715" s="11">
        <f t="shared" ref="Y1715:Y1718" si="1527">S1715+X1715</f>
        <v>0</v>
      </c>
    </row>
    <row r="1716" spans="1:26" x14ac:dyDescent="0.15">
      <c r="A1716" s="222" t="s">
        <v>5</v>
      </c>
      <c r="B1716" s="209"/>
      <c r="C1716" s="210">
        <v>10</v>
      </c>
      <c r="D1716" s="211"/>
      <c r="E1716" s="212"/>
      <c r="F1716" s="213">
        <f t="shared" si="1522"/>
        <v>10</v>
      </c>
      <c r="G1716" s="209"/>
      <c r="H1716" s="210">
        <v>10</v>
      </c>
      <c r="I1716" s="211"/>
      <c r="J1716" s="212"/>
      <c r="K1716" s="213">
        <f t="shared" si="1523"/>
        <v>10</v>
      </c>
      <c r="L1716" s="214">
        <f t="shared" si="1524"/>
        <v>20</v>
      </c>
      <c r="M1716" s="215">
        <v>46078</v>
      </c>
      <c r="N1716" s="59" t="s">
        <v>4</v>
      </c>
      <c r="O1716" s="48"/>
      <c r="P1716" s="49"/>
      <c r="Q1716" s="50"/>
      <c r="R1716" s="51"/>
      <c r="S1716" s="85">
        <f t="shared" si="1525"/>
        <v>0</v>
      </c>
      <c r="T1716" s="48"/>
      <c r="U1716" s="49"/>
      <c r="V1716" s="50"/>
      <c r="W1716" s="51"/>
      <c r="X1716" s="74">
        <f t="shared" si="1526"/>
        <v>0</v>
      </c>
      <c r="Y1716" s="11">
        <f t="shared" si="1527"/>
        <v>0</v>
      </c>
    </row>
    <row r="1717" spans="1:26" x14ac:dyDescent="0.15">
      <c r="A1717" s="222" t="s">
        <v>6</v>
      </c>
      <c r="B1717" s="209">
        <v>10</v>
      </c>
      <c r="C1717" s="210">
        <v>10</v>
      </c>
      <c r="D1717" s="211"/>
      <c r="E1717" s="212"/>
      <c r="F1717" s="213">
        <f t="shared" si="1522"/>
        <v>20</v>
      </c>
      <c r="G1717" s="209">
        <v>10</v>
      </c>
      <c r="H1717" s="210">
        <v>10</v>
      </c>
      <c r="I1717" s="211">
        <v>10</v>
      </c>
      <c r="J1717" s="212">
        <v>5</v>
      </c>
      <c r="K1717" s="213">
        <f t="shared" si="1523"/>
        <v>35</v>
      </c>
      <c r="L1717" s="214">
        <f t="shared" si="1524"/>
        <v>55</v>
      </c>
      <c r="M1717" s="215">
        <v>46079</v>
      </c>
      <c r="N1717" s="59" t="s">
        <v>5</v>
      </c>
      <c r="O1717" s="48"/>
      <c r="P1717" s="49"/>
      <c r="Q1717" s="50"/>
      <c r="R1717" s="51"/>
      <c r="S1717" s="85">
        <f t="shared" si="1525"/>
        <v>0</v>
      </c>
      <c r="T1717" s="48"/>
      <c r="U1717" s="49"/>
      <c r="V1717" s="50"/>
      <c r="W1717" s="51"/>
      <c r="X1717" s="74">
        <f t="shared" si="1526"/>
        <v>0</v>
      </c>
      <c r="Y1717" s="11">
        <f t="shared" si="1527"/>
        <v>0</v>
      </c>
    </row>
    <row r="1718" spans="1:26" ht="14.25" thickBot="1" x14ac:dyDescent="0.2">
      <c r="A1718" s="222" t="s">
        <v>7</v>
      </c>
      <c r="B1718" s="223"/>
      <c r="C1718" s="224">
        <v>10</v>
      </c>
      <c r="D1718" s="225"/>
      <c r="E1718" s="226"/>
      <c r="F1718" s="227">
        <f t="shared" si="1522"/>
        <v>10</v>
      </c>
      <c r="G1718" s="223">
        <v>10</v>
      </c>
      <c r="H1718" s="224"/>
      <c r="I1718" s="225"/>
      <c r="J1718" s="226"/>
      <c r="K1718" s="227">
        <f t="shared" si="1523"/>
        <v>10</v>
      </c>
      <c r="L1718" s="214">
        <f t="shared" si="1524"/>
        <v>20</v>
      </c>
      <c r="M1718" s="215">
        <v>46091</v>
      </c>
      <c r="N1718" s="13" t="s">
        <v>6</v>
      </c>
      <c r="O1718" s="43"/>
      <c r="P1718" s="44"/>
      <c r="Q1718" s="45"/>
      <c r="R1718" s="46"/>
      <c r="S1718" s="58">
        <f>SUM(O1718:R1718)</f>
        <v>0</v>
      </c>
      <c r="T1718" s="35"/>
      <c r="U1718" s="35"/>
      <c r="V1718" s="21"/>
      <c r="W1718" s="38"/>
      <c r="X1718" s="10">
        <f>SUM(T1718:W1718)</f>
        <v>0</v>
      </c>
      <c r="Y1718" s="14">
        <f t="shared" si="1527"/>
        <v>0</v>
      </c>
    </row>
    <row r="1719" spans="1:26" ht="14.25" thickBot="1" x14ac:dyDescent="0.2">
      <c r="A1719" s="18" t="s">
        <v>8</v>
      </c>
      <c r="B1719" s="76">
        <f t="shared" ref="B1719:K1719" si="1528">SUM(B1714:B1718)</f>
        <v>38</v>
      </c>
      <c r="C1719" s="77">
        <f t="shared" si="1528"/>
        <v>50</v>
      </c>
      <c r="D1719" s="78">
        <f t="shared" si="1528"/>
        <v>32</v>
      </c>
      <c r="E1719" s="79">
        <f t="shared" si="1528"/>
        <v>34</v>
      </c>
      <c r="F1719" s="80">
        <f t="shared" si="1528"/>
        <v>154</v>
      </c>
      <c r="G1719" s="76">
        <f t="shared" si="1528"/>
        <v>45</v>
      </c>
      <c r="H1719" s="77">
        <f t="shared" si="1528"/>
        <v>42</v>
      </c>
      <c r="I1719" s="78">
        <f t="shared" si="1528"/>
        <v>36</v>
      </c>
      <c r="J1719" s="79">
        <f t="shared" si="1528"/>
        <v>35</v>
      </c>
      <c r="K1719" s="80">
        <f t="shared" si="1528"/>
        <v>158</v>
      </c>
      <c r="L1719" s="17">
        <f t="shared" si="1524"/>
        <v>312</v>
      </c>
      <c r="N1719" s="16" t="s">
        <v>8</v>
      </c>
      <c r="O1719" s="31">
        <f>SUM(O1714:O1718)</f>
        <v>892</v>
      </c>
      <c r="P1719" s="37">
        <f t="shared" ref="P1719:R1719" si="1529">SUM(P1714:P1718)</f>
        <v>1167</v>
      </c>
      <c r="Q1719" s="32">
        <f t="shared" si="1529"/>
        <v>753</v>
      </c>
      <c r="R1719" s="82">
        <f t="shared" si="1529"/>
        <v>485</v>
      </c>
      <c r="S1719" s="83">
        <f>SUM(S1714:S1718)</f>
        <v>3297</v>
      </c>
      <c r="T1719" s="31">
        <f>SUM(T1714:T1718)</f>
        <v>916</v>
      </c>
      <c r="U1719" s="37">
        <f t="shared" ref="U1719:W1719" si="1530">SUM(U1714:U1718)</f>
        <v>1234</v>
      </c>
      <c r="V1719" s="32">
        <f t="shared" si="1530"/>
        <v>744</v>
      </c>
      <c r="W1719" s="82">
        <f t="shared" si="1530"/>
        <v>535</v>
      </c>
      <c r="X1719" s="83">
        <f>SUM(X1714:X1718)</f>
        <v>3429</v>
      </c>
      <c r="Y1719" s="39">
        <f>S1719+X1719</f>
        <v>6726</v>
      </c>
    </row>
    <row r="1720" spans="1:26" x14ac:dyDescent="0.15">
      <c r="A1720" s="59" t="s">
        <v>923</v>
      </c>
      <c r="B1720" s="20">
        <v>1</v>
      </c>
      <c r="C1720" s="35">
        <v>2</v>
      </c>
      <c r="D1720" s="21"/>
      <c r="E1720" s="24"/>
      <c r="F1720" s="25">
        <f t="shared" ref="F1720:F1744" si="1531">SUM(B1720:E1720)</f>
        <v>3</v>
      </c>
      <c r="G1720" s="20">
        <v>1</v>
      </c>
      <c r="H1720" s="35">
        <v>2</v>
      </c>
      <c r="I1720" s="21"/>
      <c r="J1720" s="24"/>
      <c r="K1720" s="25">
        <f t="shared" ref="K1720:K1744" si="1532">SUM(G1720:J1720)</f>
        <v>3</v>
      </c>
      <c r="L1720" s="11">
        <f t="shared" si="1524"/>
        <v>6</v>
      </c>
      <c r="M1720" s="69">
        <v>46074</v>
      </c>
      <c r="N1720" s="12" t="s">
        <v>893</v>
      </c>
      <c r="O1720" s="20">
        <v>15</v>
      </c>
      <c r="P1720" s="35">
        <v>15</v>
      </c>
      <c r="Q1720" s="21">
        <v>10</v>
      </c>
      <c r="R1720" s="38">
        <v>10</v>
      </c>
      <c r="S1720" s="9">
        <f t="shared" ref="S1720:S1732" si="1533">SUM(O1720:R1720)</f>
        <v>50</v>
      </c>
      <c r="T1720" s="20">
        <v>15</v>
      </c>
      <c r="U1720" s="35">
        <v>15</v>
      </c>
      <c r="V1720" s="21">
        <v>10</v>
      </c>
      <c r="W1720" s="38">
        <v>10</v>
      </c>
      <c r="X1720" s="9">
        <f t="shared" ref="X1720:X1732" si="1534">SUM(T1720:W1720)</f>
        <v>50</v>
      </c>
      <c r="Y1720" s="11">
        <f t="shared" ref="Y1720:Y1741" si="1535">S1720+X1720</f>
        <v>100</v>
      </c>
      <c r="Z1720" s="69">
        <v>46079</v>
      </c>
    </row>
    <row r="1721" spans="1:26" x14ac:dyDescent="0.15">
      <c r="A1721" s="59" t="s">
        <v>924</v>
      </c>
      <c r="B1721" s="20"/>
      <c r="C1721" s="35">
        <v>4</v>
      </c>
      <c r="D1721" s="21">
        <v>1</v>
      </c>
      <c r="E1721" s="24"/>
      <c r="F1721" s="25">
        <f t="shared" si="1531"/>
        <v>5</v>
      </c>
      <c r="G1721" s="20"/>
      <c r="H1721" s="35">
        <v>3</v>
      </c>
      <c r="I1721" s="21">
        <v>1</v>
      </c>
      <c r="J1721" s="24"/>
      <c r="K1721" s="25">
        <f t="shared" si="1532"/>
        <v>4</v>
      </c>
      <c r="L1721" s="11">
        <f t="shared" si="1524"/>
        <v>9</v>
      </c>
      <c r="M1721" s="69">
        <v>46073</v>
      </c>
      <c r="N1721" s="12" t="s">
        <v>512</v>
      </c>
      <c r="O1721" s="20"/>
      <c r="P1721" s="35"/>
      <c r="Q1721" s="21"/>
      <c r="R1721" s="38"/>
      <c r="S1721" s="9">
        <f t="shared" si="1533"/>
        <v>0</v>
      </c>
      <c r="T1721" s="20">
        <v>5</v>
      </c>
      <c r="U1721" s="35">
        <v>5</v>
      </c>
      <c r="V1721" s="21">
        <v>2</v>
      </c>
      <c r="W1721" s="38"/>
      <c r="X1721" s="9">
        <f t="shared" si="1534"/>
        <v>12</v>
      </c>
      <c r="Y1721" s="11">
        <f t="shared" si="1535"/>
        <v>12</v>
      </c>
      <c r="Z1721" s="69">
        <v>46085</v>
      </c>
    </row>
    <row r="1722" spans="1:26" x14ac:dyDescent="0.15">
      <c r="A1722" s="59" t="s">
        <v>421</v>
      </c>
      <c r="B1722" s="20">
        <v>1</v>
      </c>
      <c r="C1722" s="35"/>
      <c r="D1722" s="21"/>
      <c r="E1722" s="24">
        <v>1</v>
      </c>
      <c r="F1722" s="25">
        <f t="shared" si="1531"/>
        <v>2</v>
      </c>
      <c r="G1722" s="20">
        <v>1</v>
      </c>
      <c r="H1722" s="35"/>
      <c r="I1722" s="21">
        <v>1</v>
      </c>
      <c r="J1722" s="24">
        <v>3</v>
      </c>
      <c r="K1722" s="25">
        <f t="shared" si="1532"/>
        <v>5</v>
      </c>
      <c r="L1722" s="11">
        <f t="shared" si="1524"/>
        <v>7</v>
      </c>
      <c r="M1722" s="69">
        <v>46078</v>
      </c>
      <c r="N1722" s="12" t="s">
        <v>927</v>
      </c>
      <c r="O1722" s="20"/>
      <c r="P1722" s="35"/>
      <c r="Q1722" s="21"/>
      <c r="R1722" s="38"/>
      <c r="S1722" s="9">
        <f t="shared" si="1533"/>
        <v>0</v>
      </c>
      <c r="T1722" s="20"/>
      <c r="U1722" s="35">
        <v>5</v>
      </c>
      <c r="V1722" s="21">
        <v>5</v>
      </c>
      <c r="W1722" s="38"/>
      <c r="X1722" s="9">
        <f t="shared" si="1534"/>
        <v>10</v>
      </c>
      <c r="Y1722" s="11">
        <f t="shared" si="1535"/>
        <v>10</v>
      </c>
      <c r="Z1722" s="69">
        <v>46086</v>
      </c>
    </row>
    <row r="1723" spans="1:26" x14ac:dyDescent="0.15">
      <c r="A1723" s="59" t="s">
        <v>27</v>
      </c>
      <c r="B1723" s="20">
        <v>6</v>
      </c>
      <c r="C1723" s="35">
        <v>2</v>
      </c>
      <c r="D1723" s="21">
        <v>1</v>
      </c>
      <c r="E1723" s="24">
        <v>1</v>
      </c>
      <c r="F1723" s="25">
        <f t="shared" si="1531"/>
        <v>10</v>
      </c>
      <c r="G1723" s="20">
        <v>5</v>
      </c>
      <c r="H1723" s="35">
        <v>3</v>
      </c>
      <c r="I1723" s="21">
        <v>3</v>
      </c>
      <c r="J1723" s="24">
        <v>1</v>
      </c>
      <c r="K1723" s="25">
        <f t="shared" si="1532"/>
        <v>12</v>
      </c>
      <c r="L1723" s="11">
        <f t="shared" si="1524"/>
        <v>22</v>
      </c>
      <c r="M1723" s="69">
        <v>46077</v>
      </c>
      <c r="N1723" s="231" t="s">
        <v>863</v>
      </c>
      <c r="O1723" s="209">
        <v>10</v>
      </c>
      <c r="P1723" s="210">
        <v>10</v>
      </c>
      <c r="Q1723" s="211"/>
      <c r="R1723" s="217"/>
      <c r="S1723" s="218">
        <f t="shared" si="1533"/>
        <v>20</v>
      </c>
      <c r="T1723" s="209">
        <v>10</v>
      </c>
      <c r="U1723" s="210">
        <v>10</v>
      </c>
      <c r="V1723" s="211">
        <v>10</v>
      </c>
      <c r="W1723" s="217">
        <v>5</v>
      </c>
      <c r="X1723" s="218">
        <f t="shared" si="1534"/>
        <v>35</v>
      </c>
      <c r="Y1723" s="214">
        <f t="shared" si="1535"/>
        <v>55</v>
      </c>
      <c r="Z1723" s="215">
        <v>46080</v>
      </c>
    </row>
    <row r="1724" spans="1:26" x14ac:dyDescent="0.15">
      <c r="A1724" s="59" t="s">
        <v>925</v>
      </c>
      <c r="B1724" s="20"/>
      <c r="C1724" s="35"/>
      <c r="D1724" s="21">
        <v>1</v>
      </c>
      <c r="E1724" s="24"/>
      <c r="F1724" s="25">
        <f t="shared" si="1531"/>
        <v>1</v>
      </c>
      <c r="G1724" s="20"/>
      <c r="H1724" s="35"/>
      <c r="I1724" s="21">
        <v>1</v>
      </c>
      <c r="J1724" s="24"/>
      <c r="K1724" s="25">
        <f t="shared" si="1532"/>
        <v>1</v>
      </c>
      <c r="L1724" s="11">
        <f t="shared" si="1524"/>
        <v>2</v>
      </c>
      <c r="M1724" s="69">
        <v>46078</v>
      </c>
      <c r="N1724" s="40" t="s">
        <v>930</v>
      </c>
      <c r="O1724" s="20">
        <v>10</v>
      </c>
      <c r="P1724" s="35"/>
      <c r="Q1724" s="21"/>
      <c r="R1724" s="38"/>
      <c r="S1724" s="9">
        <f t="shared" si="1533"/>
        <v>10</v>
      </c>
      <c r="T1724" s="20">
        <v>10</v>
      </c>
      <c r="U1724" s="35"/>
      <c r="V1724" s="21"/>
      <c r="W1724" s="38"/>
      <c r="X1724" s="9">
        <f t="shared" si="1534"/>
        <v>10</v>
      </c>
      <c r="Y1724" s="11">
        <f t="shared" si="1535"/>
        <v>20</v>
      </c>
      <c r="Z1724" s="69">
        <v>46094</v>
      </c>
    </row>
    <row r="1725" spans="1:26" x14ac:dyDescent="0.15">
      <c r="A1725" s="59" t="s">
        <v>27</v>
      </c>
      <c r="B1725" s="20"/>
      <c r="C1725" s="35"/>
      <c r="D1725" s="21"/>
      <c r="E1725" s="24">
        <v>1</v>
      </c>
      <c r="F1725" s="25">
        <f t="shared" si="1531"/>
        <v>1</v>
      </c>
      <c r="G1725" s="20"/>
      <c r="H1725" s="35">
        <v>1</v>
      </c>
      <c r="I1725" s="21"/>
      <c r="J1725" s="24">
        <v>2</v>
      </c>
      <c r="K1725" s="25">
        <f t="shared" si="1532"/>
        <v>3</v>
      </c>
      <c r="L1725" s="11">
        <f t="shared" si="1524"/>
        <v>4</v>
      </c>
      <c r="M1725" s="71">
        <v>46078</v>
      </c>
      <c r="N1725" s="12" t="s">
        <v>931</v>
      </c>
      <c r="O1725" s="20"/>
      <c r="P1725" s="35">
        <v>2</v>
      </c>
      <c r="Q1725" s="21"/>
      <c r="R1725" s="38"/>
      <c r="S1725" s="9">
        <f t="shared" si="1533"/>
        <v>2</v>
      </c>
      <c r="T1725" s="20"/>
      <c r="U1725" s="35"/>
      <c r="V1725" s="21"/>
      <c r="W1725" s="38">
        <v>2</v>
      </c>
      <c r="X1725" s="9">
        <f t="shared" si="1534"/>
        <v>2</v>
      </c>
      <c r="Y1725" s="11">
        <f t="shared" si="1535"/>
        <v>4</v>
      </c>
      <c r="Z1725" s="69">
        <v>46092</v>
      </c>
    </row>
    <row r="1726" spans="1:26" x14ac:dyDescent="0.15">
      <c r="A1726" s="59" t="s">
        <v>27</v>
      </c>
      <c r="B1726" s="20"/>
      <c r="C1726" s="35">
        <v>2</v>
      </c>
      <c r="D1726" s="21">
        <v>1</v>
      </c>
      <c r="E1726" s="24"/>
      <c r="F1726" s="25">
        <f t="shared" si="1531"/>
        <v>3</v>
      </c>
      <c r="G1726" s="20"/>
      <c r="H1726" s="35"/>
      <c r="I1726" s="21"/>
      <c r="J1726" s="24"/>
      <c r="K1726" s="25">
        <f t="shared" si="1532"/>
        <v>0</v>
      </c>
      <c r="L1726" s="11">
        <f t="shared" si="1524"/>
        <v>3</v>
      </c>
      <c r="M1726" s="71">
        <v>46079</v>
      </c>
      <c r="N1726" s="12" t="s">
        <v>932</v>
      </c>
      <c r="O1726" s="20">
        <v>8</v>
      </c>
      <c r="P1726" s="35">
        <v>5</v>
      </c>
      <c r="Q1726" s="21">
        <v>5</v>
      </c>
      <c r="R1726" s="38"/>
      <c r="S1726" s="9">
        <f t="shared" si="1533"/>
        <v>18</v>
      </c>
      <c r="T1726" s="20">
        <v>8</v>
      </c>
      <c r="U1726" s="35">
        <v>5</v>
      </c>
      <c r="V1726" s="21">
        <v>10</v>
      </c>
      <c r="W1726" s="38"/>
      <c r="X1726" s="9">
        <f t="shared" si="1534"/>
        <v>23</v>
      </c>
      <c r="Y1726" s="11">
        <f t="shared" si="1535"/>
        <v>41</v>
      </c>
      <c r="Z1726" s="69">
        <v>46091</v>
      </c>
    </row>
    <row r="1727" spans="1:26" x14ac:dyDescent="0.15">
      <c r="A1727" s="59" t="s">
        <v>27</v>
      </c>
      <c r="B1727" s="20"/>
      <c r="C1727" s="35">
        <v>3</v>
      </c>
      <c r="D1727" s="21"/>
      <c r="E1727" s="24"/>
      <c r="F1727" s="25">
        <f t="shared" si="1531"/>
        <v>3</v>
      </c>
      <c r="G1727" s="20"/>
      <c r="H1727" s="35">
        <v>1</v>
      </c>
      <c r="I1727" s="21"/>
      <c r="J1727" s="24"/>
      <c r="K1727" s="25">
        <f t="shared" si="1532"/>
        <v>1</v>
      </c>
      <c r="L1727" s="11">
        <f t="shared" si="1524"/>
        <v>4</v>
      </c>
      <c r="M1727" s="71">
        <v>46080</v>
      </c>
      <c r="N1727" s="216" t="s">
        <v>863</v>
      </c>
      <c r="O1727" s="209"/>
      <c r="P1727" s="210">
        <v>10</v>
      </c>
      <c r="Q1727" s="211"/>
      <c r="R1727" s="217"/>
      <c r="S1727" s="218">
        <f t="shared" si="1533"/>
        <v>10</v>
      </c>
      <c r="T1727" s="209">
        <v>10</v>
      </c>
      <c r="U1727" s="210"/>
      <c r="V1727" s="211"/>
      <c r="W1727" s="217"/>
      <c r="X1727" s="218">
        <f t="shared" si="1534"/>
        <v>10</v>
      </c>
      <c r="Y1727" s="214">
        <f t="shared" si="1535"/>
        <v>20</v>
      </c>
      <c r="Z1727" s="215">
        <v>46091</v>
      </c>
    </row>
    <row r="1728" spans="1:26" x14ac:dyDescent="0.15">
      <c r="A1728" s="59" t="s">
        <v>421</v>
      </c>
      <c r="B1728" s="20"/>
      <c r="C1728" s="35"/>
      <c r="D1728" s="21">
        <v>1</v>
      </c>
      <c r="E1728" s="24"/>
      <c r="F1728" s="25">
        <f t="shared" si="1531"/>
        <v>1</v>
      </c>
      <c r="G1728" s="20"/>
      <c r="H1728" s="35"/>
      <c r="I1728" s="21"/>
      <c r="J1728" s="24"/>
      <c r="K1728" s="25">
        <f t="shared" si="1532"/>
        <v>0</v>
      </c>
      <c r="L1728" s="11">
        <f t="shared" si="1524"/>
        <v>1</v>
      </c>
      <c r="M1728" s="69">
        <v>46084</v>
      </c>
      <c r="N1728" s="40" t="s">
        <v>933</v>
      </c>
      <c r="O1728" s="20">
        <v>30</v>
      </c>
      <c r="P1728" s="35">
        <v>30</v>
      </c>
      <c r="Q1728" s="21">
        <v>15</v>
      </c>
      <c r="R1728" s="38">
        <v>15</v>
      </c>
      <c r="S1728" s="9">
        <f t="shared" si="1533"/>
        <v>90</v>
      </c>
      <c r="T1728" s="20">
        <v>30</v>
      </c>
      <c r="U1728" s="35">
        <v>30</v>
      </c>
      <c r="V1728" s="21">
        <v>15</v>
      </c>
      <c r="W1728" s="38">
        <v>15</v>
      </c>
      <c r="X1728" s="9">
        <f t="shared" si="1534"/>
        <v>90</v>
      </c>
      <c r="Y1728" s="11">
        <f t="shared" si="1535"/>
        <v>180</v>
      </c>
      <c r="Z1728" s="69">
        <v>46093</v>
      </c>
    </row>
    <row r="1729" spans="1:26" x14ac:dyDescent="0.15">
      <c r="A1729" s="59" t="s">
        <v>27</v>
      </c>
      <c r="B1729" s="20">
        <v>1</v>
      </c>
      <c r="C1729" s="35">
        <v>3</v>
      </c>
      <c r="D1729" s="21">
        <v>1</v>
      </c>
      <c r="E1729" s="24">
        <v>1</v>
      </c>
      <c r="F1729" s="25">
        <f t="shared" si="1531"/>
        <v>6</v>
      </c>
      <c r="G1729" s="20">
        <v>1</v>
      </c>
      <c r="H1729" s="35">
        <v>4</v>
      </c>
      <c r="I1729" s="21">
        <v>2</v>
      </c>
      <c r="J1729" s="24"/>
      <c r="K1729" s="25">
        <f t="shared" si="1532"/>
        <v>7</v>
      </c>
      <c r="L1729" s="11">
        <f t="shared" si="1524"/>
        <v>13</v>
      </c>
      <c r="M1729" s="71">
        <v>46083</v>
      </c>
      <c r="N1729" s="40" t="s">
        <v>863</v>
      </c>
      <c r="O1729" s="20">
        <v>5</v>
      </c>
      <c r="P1729" s="35"/>
      <c r="Q1729" s="21">
        <v>5</v>
      </c>
      <c r="R1729" s="38"/>
      <c r="S1729" s="9">
        <f t="shared" ref="S1729" si="1536">SUM(O1729:R1729)</f>
        <v>10</v>
      </c>
      <c r="T1729" s="20"/>
      <c r="U1729" s="35">
        <v>15</v>
      </c>
      <c r="V1729" s="21"/>
      <c r="W1729" s="38"/>
      <c r="X1729" s="9">
        <f t="shared" ref="X1729" si="1537">SUM(T1729:W1729)</f>
        <v>15</v>
      </c>
      <c r="Y1729" s="11">
        <f t="shared" ref="Y1729" si="1538">S1729+X1729</f>
        <v>25</v>
      </c>
      <c r="Z1729" s="69">
        <v>46093</v>
      </c>
    </row>
    <row r="1730" spans="1:26" x14ac:dyDescent="0.15">
      <c r="A1730" s="59" t="s">
        <v>27</v>
      </c>
      <c r="B1730" s="20"/>
      <c r="C1730" s="35"/>
      <c r="D1730" s="21"/>
      <c r="E1730" s="24"/>
      <c r="F1730" s="25">
        <f t="shared" si="1531"/>
        <v>0</v>
      </c>
      <c r="G1730" s="20"/>
      <c r="H1730" s="35"/>
      <c r="I1730" s="21">
        <v>1</v>
      </c>
      <c r="J1730" s="24"/>
      <c r="K1730" s="25">
        <f t="shared" si="1532"/>
        <v>1</v>
      </c>
      <c r="L1730" s="11">
        <f t="shared" si="1524"/>
        <v>1</v>
      </c>
      <c r="M1730" s="71">
        <v>46084</v>
      </c>
      <c r="N1730" s="40" t="s">
        <v>863</v>
      </c>
      <c r="O1730" s="20">
        <v>10</v>
      </c>
      <c r="P1730" s="35">
        <v>10</v>
      </c>
      <c r="Q1730" s="21">
        <v>10</v>
      </c>
      <c r="R1730" s="38">
        <v>5</v>
      </c>
      <c r="S1730" s="9">
        <f t="shared" si="1533"/>
        <v>35</v>
      </c>
      <c r="T1730" s="20">
        <v>10</v>
      </c>
      <c r="U1730" s="35">
        <v>10</v>
      </c>
      <c r="V1730" s="21">
        <v>10</v>
      </c>
      <c r="W1730" s="38">
        <v>5</v>
      </c>
      <c r="X1730" s="9">
        <f t="shared" si="1534"/>
        <v>35</v>
      </c>
      <c r="Y1730" s="11">
        <f t="shared" si="1535"/>
        <v>70</v>
      </c>
      <c r="Z1730" s="69">
        <v>46097</v>
      </c>
    </row>
    <row r="1731" spans="1:26" x14ac:dyDescent="0.15">
      <c r="A1731" s="59" t="s">
        <v>421</v>
      </c>
      <c r="B1731" s="20">
        <v>1</v>
      </c>
      <c r="C1731" s="35"/>
      <c r="D1731" s="21"/>
      <c r="E1731" s="24"/>
      <c r="F1731" s="25">
        <f t="shared" si="1531"/>
        <v>1</v>
      </c>
      <c r="G1731" s="20">
        <v>2</v>
      </c>
      <c r="H1731" s="35"/>
      <c r="I1731" s="21">
        <v>1</v>
      </c>
      <c r="J1731" s="24"/>
      <c r="K1731" s="25">
        <f t="shared" si="1532"/>
        <v>3</v>
      </c>
      <c r="L1731" s="11">
        <f t="shared" si="1524"/>
        <v>4</v>
      </c>
      <c r="M1731" s="69">
        <v>46085</v>
      </c>
      <c r="N1731" s="40" t="s">
        <v>936</v>
      </c>
      <c r="O1731" s="20">
        <v>10</v>
      </c>
      <c r="P1731" s="35">
        <v>10</v>
      </c>
      <c r="Q1731" s="21">
        <v>5</v>
      </c>
      <c r="R1731" s="38"/>
      <c r="S1731" s="9">
        <f t="shared" si="1533"/>
        <v>25</v>
      </c>
      <c r="T1731" s="20">
        <v>10</v>
      </c>
      <c r="U1731" s="35">
        <v>10</v>
      </c>
      <c r="V1731" s="21">
        <v>5</v>
      </c>
      <c r="W1731" s="38"/>
      <c r="X1731" s="9">
        <f t="shared" si="1534"/>
        <v>25</v>
      </c>
      <c r="Y1731" s="11">
        <f t="shared" si="1535"/>
        <v>50</v>
      </c>
      <c r="Z1731" s="69">
        <v>46101</v>
      </c>
    </row>
    <row r="1732" spans="1:26" x14ac:dyDescent="0.15">
      <c r="A1732" s="59" t="s">
        <v>27</v>
      </c>
      <c r="B1732" s="20"/>
      <c r="C1732" s="35"/>
      <c r="D1732" s="21"/>
      <c r="E1732" s="24"/>
      <c r="F1732" s="25">
        <f t="shared" si="1531"/>
        <v>0</v>
      </c>
      <c r="G1732" s="20"/>
      <c r="H1732" s="35"/>
      <c r="I1732" s="21">
        <v>1</v>
      </c>
      <c r="J1732" s="24"/>
      <c r="K1732" s="25">
        <f t="shared" si="1532"/>
        <v>1</v>
      </c>
      <c r="L1732" s="11">
        <f t="shared" si="1524"/>
        <v>1</v>
      </c>
      <c r="M1732" s="69">
        <v>46085</v>
      </c>
      <c r="N1732" s="12" t="s">
        <v>938</v>
      </c>
      <c r="O1732" s="20">
        <v>15</v>
      </c>
      <c r="P1732" s="35"/>
      <c r="Q1732" s="21">
        <v>25</v>
      </c>
      <c r="R1732" s="38"/>
      <c r="S1732" s="9">
        <f t="shared" si="1533"/>
        <v>40</v>
      </c>
      <c r="T1732" s="20">
        <v>15</v>
      </c>
      <c r="U1732" s="35"/>
      <c r="V1732" s="21">
        <v>25</v>
      </c>
      <c r="W1732" s="38"/>
      <c r="X1732" s="9">
        <f t="shared" si="1534"/>
        <v>40</v>
      </c>
      <c r="Y1732" s="11">
        <f t="shared" si="1535"/>
        <v>80</v>
      </c>
      <c r="Z1732" s="69">
        <v>46099</v>
      </c>
    </row>
    <row r="1733" spans="1:26" x14ac:dyDescent="0.15">
      <c r="A1733" s="59" t="s">
        <v>421</v>
      </c>
      <c r="B1733" s="20"/>
      <c r="C1733" s="35"/>
      <c r="D1733" s="21"/>
      <c r="E1733" s="24"/>
      <c r="F1733" s="25">
        <f t="shared" si="1531"/>
        <v>0</v>
      </c>
      <c r="G1733" s="20"/>
      <c r="H1733" s="35">
        <v>1</v>
      </c>
      <c r="I1733" s="21"/>
      <c r="J1733" s="24"/>
      <c r="K1733" s="25">
        <f t="shared" si="1532"/>
        <v>1</v>
      </c>
      <c r="L1733" s="11">
        <f t="shared" si="1524"/>
        <v>1</v>
      </c>
      <c r="M1733" s="69">
        <v>46087</v>
      </c>
      <c r="N1733" s="40" t="s">
        <v>940</v>
      </c>
      <c r="O1733" s="20">
        <v>25</v>
      </c>
      <c r="P1733" s="35">
        <v>5</v>
      </c>
      <c r="Q1733" s="21"/>
      <c r="R1733" s="38"/>
      <c r="S1733" s="9">
        <f>SUM(O1733:R1733)</f>
        <v>30</v>
      </c>
      <c r="T1733" s="20">
        <v>25</v>
      </c>
      <c r="U1733" s="35">
        <v>5</v>
      </c>
      <c r="V1733" s="21"/>
      <c r="W1733" s="38"/>
      <c r="X1733" s="9">
        <f>SUM(T1733:W1733)</f>
        <v>30</v>
      </c>
      <c r="Y1733" s="11">
        <f t="shared" si="1535"/>
        <v>60</v>
      </c>
      <c r="Z1733" s="69">
        <v>46099</v>
      </c>
    </row>
    <row r="1734" spans="1:26" x14ac:dyDescent="0.15">
      <c r="A1734" s="59" t="s">
        <v>27</v>
      </c>
      <c r="B1734" s="20">
        <f>1+1</f>
        <v>2</v>
      </c>
      <c r="C1734" s="35">
        <v>3</v>
      </c>
      <c r="D1734" s="21">
        <v>1</v>
      </c>
      <c r="E1734" s="24"/>
      <c r="F1734" s="25">
        <f t="shared" si="1531"/>
        <v>6</v>
      </c>
      <c r="G1734" s="20">
        <f>1+2</f>
        <v>3</v>
      </c>
      <c r="H1734" s="35">
        <v>1</v>
      </c>
      <c r="I1734" s="21">
        <v>1</v>
      </c>
      <c r="J1734" s="24"/>
      <c r="K1734" s="25">
        <f t="shared" si="1532"/>
        <v>5</v>
      </c>
      <c r="L1734" s="11">
        <f t="shared" si="1524"/>
        <v>11</v>
      </c>
      <c r="M1734" s="71">
        <v>46086</v>
      </c>
      <c r="N1734" s="12" t="s">
        <v>941</v>
      </c>
      <c r="O1734" s="20">
        <v>40</v>
      </c>
      <c r="P1734" s="35">
        <v>100</v>
      </c>
      <c r="Q1734" s="21">
        <v>40</v>
      </c>
      <c r="R1734" s="38">
        <v>50</v>
      </c>
      <c r="S1734" s="9">
        <f t="shared" ref="S1734:S1741" si="1539">SUM(O1734:R1734)</f>
        <v>230</v>
      </c>
      <c r="T1734" s="20">
        <v>40</v>
      </c>
      <c r="U1734" s="35">
        <v>100</v>
      </c>
      <c r="V1734" s="21">
        <v>40</v>
      </c>
      <c r="W1734" s="38">
        <v>50</v>
      </c>
      <c r="X1734" s="9">
        <f t="shared" ref="X1734:X1741" si="1540">SUM(T1734:W1734)</f>
        <v>230</v>
      </c>
      <c r="Y1734" s="11">
        <f t="shared" si="1535"/>
        <v>460</v>
      </c>
      <c r="Z1734" s="69">
        <v>46099</v>
      </c>
    </row>
    <row r="1735" spans="1:26" x14ac:dyDescent="0.15">
      <c r="A1735" s="59" t="s">
        <v>421</v>
      </c>
      <c r="B1735" s="20">
        <v>2</v>
      </c>
      <c r="C1735" s="35">
        <v>1</v>
      </c>
      <c r="D1735" s="21"/>
      <c r="E1735" s="24"/>
      <c r="F1735" s="25">
        <f t="shared" si="1531"/>
        <v>3</v>
      </c>
      <c r="G1735" s="20">
        <v>1</v>
      </c>
      <c r="H1735" s="35">
        <v>2</v>
      </c>
      <c r="I1735" s="21"/>
      <c r="J1735" s="24"/>
      <c r="K1735" s="25">
        <f t="shared" si="1532"/>
        <v>3</v>
      </c>
      <c r="L1735" s="11">
        <f t="shared" si="1524"/>
        <v>6</v>
      </c>
      <c r="M1735" s="69">
        <v>46088</v>
      </c>
      <c r="N1735" s="12" t="s">
        <v>943</v>
      </c>
      <c r="O1735" s="20"/>
      <c r="P1735" s="35">
        <v>10</v>
      </c>
      <c r="Q1735" s="21">
        <v>5</v>
      </c>
      <c r="R1735" s="38">
        <v>5</v>
      </c>
      <c r="S1735" s="9">
        <f t="shared" si="1539"/>
        <v>20</v>
      </c>
      <c r="T1735" s="20"/>
      <c r="U1735" s="35">
        <v>5</v>
      </c>
      <c r="V1735" s="21"/>
      <c r="W1735" s="38">
        <v>5</v>
      </c>
      <c r="X1735" s="9">
        <f t="shared" si="1540"/>
        <v>10</v>
      </c>
      <c r="Y1735" s="11">
        <f t="shared" si="1535"/>
        <v>30</v>
      </c>
      <c r="Z1735" s="69">
        <v>46100</v>
      </c>
    </row>
    <row r="1736" spans="1:26" x14ac:dyDescent="0.15">
      <c r="A1736" s="59" t="s">
        <v>27</v>
      </c>
      <c r="B1736" s="20">
        <v>1</v>
      </c>
      <c r="C1736" s="35">
        <v>2</v>
      </c>
      <c r="D1736" s="21">
        <v>1</v>
      </c>
      <c r="E1736" s="24"/>
      <c r="F1736" s="25">
        <f t="shared" si="1531"/>
        <v>4</v>
      </c>
      <c r="G1736" s="20">
        <v>3</v>
      </c>
      <c r="H1736" s="35"/>
      <c r="I1736" s="21">
        <v>1</v>
      </c>
      <c r="J1736" s="24">
        <v>2</v>
      </c>
      <c r="K1736" s="25">
        <f t="shared" si="1532"/>
        <v>6</v>
      </c>
      <c r="L1736" s="11">
        <f t="shared" si="1524"/>
        <v>10</v>
      </c>
      <c r="M1736" s="69">
        <v>46087</v>
      </c>
      <c r="N1736" s="12" t="s">
        <v>944</v>
      </c>
      <c r="O1736" s="20">
        <v>3</v>
      </c>
      <c r="P1736" s="35"/>
      <c r="Q1736" s="21"/>
      <c r="R1736" s="38"/>
      <c r="S1736" s="9">
        <f t="shared" si="1539"/>
        <v>3</v>
      </c>
      <c r="T1736" s="20"/>
      <c r="U1736" s="35"/>
      <c r="V1736" s="21"/>
      <c r="W1736" s="38"/>
      <c r="X1736" s="9">
        <f t="shared" si="1540"/>
        <v>0</v>
      </c>
      <c r="Y1736" s="11">
        <f t="shared" si="1535"/>
        <v>3</v>
      </c>
      <c r="Z1736" s="69">
        <v>46100</v>
      </c>
    </row>
    <row r="1737" spans="1:26" x14ac:dyDescent="0.15">
      <c r="A1737" s="59" t="s">
        <v>421</v>
      </c>
      <c r="B1737" s="20">
        <v>1</v>
      </c>
      <c r="C1737" s="35"/>
      <c r="D1737" s="21"/>
      <c r="E1737" s="24"/>
      <c r="F1737" s="25">
        <f t="shared" si="1531"/>
        <v>1</v>
      </c>
      <c r="G1737" s="20">
        <v>1</v>
      </c>
      <c r="H1737" s="35"/>
      <c r="I1737" s="21"/>
      <c r="J1737" s="24"/>
      <c r="K1737" s="25">
        <f t="shared" si="1532"/>
        <v>1</v>
      </c>
      <c r="L1737" s="11">
        <f t="shared" si="1524"/>
        <v>2</v>
      </c>
      <c r="M1737" s="69">
        <v>46091</v>
      </c>
      <c r="N1737" s="12" t="s">
        <v>863</v>
      </c>
      <c r="O1737" s="20">
        <v>10</v>
      </c>
      <c r="P1737" s="35">
        <v>15</v>
      </c>
      <c r="Q1737" s="21"/>
      <c r="R1737" s="38">
        <v>5</v>
      </c>
      <c r="S1737" s="9">
        <f t="shared" si="1539"/>
        <v>30</v>
      </c>
      <c r="T1737" s="20">
        <v>10</v>
      </c>
      <c r="U1737" s="35">
        <v>15</v>
      </c>
      <c r="V1737" s="21">
        <v>10</v>
      </c>
      <c r="W1737" s="38">
        <v>5</v>
      </c>
      <c r="X1737" s="9">
        <f t="shared" si="1540"/>
        <v>40</v>
      </c>
      <c r="Y1737" s="11">
        <f t="shared" si="1535"/>
        <v>70</v>
      </c>
      <c r="Z1737" s="69">
        <v>46102</v>
      </c>
    </row>
    <row r="1738" spans="1:26" x14ac:dyDescent="0.15">
      <c r="A1738" s="59" t="s">
        <v>27</v>
      </c>
      <c r="B1738" s="20">
        <v>4</v>
      </c>
      <c r="C1738" s="35">
        <v>2</v>
      </c>
      <c r="D1738" s="21"/>
      <c r="E1738" s="24"/>
      <c r="F1738" s="25">
        <f t="shared" si="1531"/>
        <v>6</v>
      </c>
      <c r="G1738" s="20">
        <v>2</v>
      </c>
      <c r="H1738" s="35">
        <v>6</v>
      </c>
      <c r="I1738" s="21"/>
      <c r="J1738" s="24">
        <v>3</v>
      </c>
      <c r="K1738" s="25">
        <f t="shared" si="1532"/>
        <v>11</v>
      </c>
      <c r="L1738" s="11">
        <f t="shared" si="1524"/>
        <v>17</v>
      </c>
      <c r="M1738" s="71">
        <v>46090</v>
      </c>
      <c r="N1738" s="137" t="s">
        <v>876</v>
      </c>
      <c r="O1738" s="154"/>
      <c r="P1738" s="156"/>
      <c r="Q1738" s="155"/>
      <c r="R1738" s="159"/>
      <c r="S1738" s="158">
        <f t="shared" si="1539"/>
        <v>0</v>
      </c>
      <c r="T1738" s="154"/>
      <c r="U1738" s="156"/>
      <c r="V1738" s="155"/>
      <c r="W1738" s="159"/>
      <c r="X1738" s="158">
        <f t="shared" si="1540"/>
        <v>0</v>
      </c>
      <c r="Y1738" s="145">
        <f t="shared" si="1535"/>
        <v>0</v>
      </c>
      <c r="Z1738" s="162"/>
    </row>
    <row r="1739" spans="1:26" x14ac:dyDescent="0.15">
      <c r="A1739" s="59" t="s">
        <v>27</v>
      </c>
      <c r="B1739" s="20"/>
      <c r="C1739" s="35">
        <v>1</v>
      </c>
      <c r="D1739" s="21">
        <v>1</v>
      </c>
      <c r="E1739" s="24">
        <v>1</v>
      </c>
      <c r="F1739" s="25">
        <f t="shared" si="1531"/>
        <v>3</v>
      </c>
      <c r="G1739" s="20">
        <v>2</v>
      </c>
      <c r="H1739" s="35">
        <v>4</v>
      </c>
      <c r="I1739" s="21"/>
      <c r="J1739" s="24"/>
      <c r="K1739" s="25">
        <f t="shared" si="1532"/>
        <v>6</v>
      </c>
      <c r="L1739" s="11">
        <f t="shared" si="1524"/>
        <v>9</v>
      </c>
      <c r="M1739" s="69">
        <v>46091</v>
      </c>
      <c r="N1739" s="12" t="s">
        <v>875</v>
      </c>
      <c r="O1739" s="20"/>
      <c r="P1739" s="35"/>
      <c r="Q1739" s="21"/>
      <c r="R1739" s="38"/>
      <c r="S1739" s="9">
        <f t="shared" si="1539"/>
        <v>0</v>
      </c>
      <c r="T1739" s="20"/>
      <c r="U1739" s="35"/>
      <c r="V1739" s="21"/>
      <c r="W1739" s="38"/>
      <c r="X1739" s="9">
        <f t="shared" si="1540"/>
        <v>0</v>
      </c>
      <c r="Y1739" s="11">
        <f t="shared" si="1535"/>
        <v>0</v>
      </c>
      <c r="Z1739" s="162" t="s">
        <v>867</v>
      </c>
    </row>
    <row r="1740" spans="1:26" x14ac:dyDescent="0.15">
      <c r="A1740" s="12" t="s">
        <v>935</v>
      </c>
      <c r="B1740" s="20">
        <v>3</v>
      </c>
      <c r="C1740" s="35">
        <v>5</v>
      </c>
      <c r="D1740" s="21">
        <v>5</v>
      </c>
      <c r="E1740" s="38">
        <v>2</v>
      </c>
      <c r="F1740" s="9">
        <f t="shared" si="1531"/>
        <v>15</v>
      </c>
      <c r="G1740" s="20">
        <v>3</v>
      </c>
      <c r="H1740" s="35">
        <v>8</v>
      </c>
      <c r="I1740" s="21">
        <v>3</v>
      </c>
      <c r="J1740" s="38"/>
      <c r="K1740" s="9">
        <f t="shared" si="1532"/>
        <v>14</v>
      </c>
      <c r="L1740" s="11">
        <f t="shared" si="1524"/>
        <v>29</v>
      </c>
      <c r="M1740" s="69">
        <v>46093</v>
      </c>
      <c r="N1740" s="104" t="s">
        <v>859</v>
      </c>
      <c r="O1740" s="154"/>
      <c r="P1740" s="156"/>
      <c r="Q1740" s="155"/>
      <c r="R1740" s="159"/>
      <c r="S1740" s="158">
        <f t="shared" si="1539"/>
        <v>0</v>
      </c>
      <c r="T1740" s="154"/>
      <c r="U1740" s="156"/>
      <c r="V1740" s="155"/>
      <c r="W1740" s="159"/>
      <c r="X1740" s="158">
        <f t="shared" si="1540"/>
        <v>0</v>
      </c>
      <c r="Y1740" s="145">
        <f t="shared" si="1535"/>
        <v>0</v>
      </c>
      <c r="Z1740" s="162"/>
    </row>
    <row r="1741" spans="1:26" x14ac:dyDescent="0.15">
      <c r="A1741" s="59" t="s">
        <v>27</v>
      </c>
      <c r="B1741" s="20"/>
      <c r="C1741" s="35"/>
      <c r="D1741" s="21">
        <v>1</v>
      </c>
      <c r="E1741" s="24">
        <v>1</v>
      </c>
      <c r="F1741" s="25">
        <f t="shared" si="1531"/>
        <v>2</v>
      </c>
      <c r="G1741" s="20"/>
      <c r="H1741" s="35"/>
      <c r="I1741" s="21">
        <v>1</v>
      </c>
      <c r="J1741" s="24"/>
      <c r="K1741" s="25">
        <f t="shared" si="1532"/>
        <v>1</v>
      </c>
      <c r="L1741" s="11">
        <f t="shared" si="1524"/>
        <v>3</v>
      </c>
      <c r="M1741" s="71">
        <v>46092</v>
      </c>
      <c r="N1741" s="12" t="s">
        <v>857</v>
      </c>
      <c r="O1741" s="20"/>
      <c r="P1741" s="35"/>
      <c r="Q1741" s="21"/>
      <c r="R1741" s="38"/>
      <c r="S1741" s="9">
        <f t="shared" si="1539"/>
        <v>0</v>
      </c>
      <c r="T1741" s="20"/>
      <c r="U1741" s="35"/>
      <c r="V1741" s="21"/>
      <c r="W1741" s="38"/>
      <c r="X1741" s="9">
        <f t="shared" si="1540"/>
        <v>0</v>
      </c>
      <c r="Y1741" s="47">
        <f t="shared" si="1535"/>
        <v>0</v>
      </c>
      <c r="Z1741" s="162" t="s">
        <v>858</v>
      </c>
    </row>
    <row r="1742" spans="1:26" x14ac:dyDescent="0.15">
      <c r="A1742" s="59" t="s">
        <v>421</v>
      </c>
      <c r="B1742" s="20"/>
      <c r="C1742" s="35"/>
      <c r="D1742" s="21">
        <v>1</v>
      </c>
      <c r="E1742" s="24">
        <v>2</v>
      </c>
      <c r="F1742" s="25">
        <f t="shared" si="1531"/>
        <v>3</v>
      </c>
      <c r="G1742" s="20"/>
      <c r="H1742" s="35"/>
      <c r="I1742" s="21">
        <v>1</v>
      </c>
      <c r="J1742" s="24">
        <v>1</v>
      </c>
      <c r="K1742" s="25">
        <f t="shared" si="1532"/>
        <v>2</v>
      </c>
      <c r="L1742" s="11">
        <f t="shared" si="1524"/>
        <v>5</v>
      </c>
      <c r="M1742" s="69">
        <v>46093</v>
      </c>
      <c r="N1742" s="40" t="s">
        <v>886</v>
      </c>
      <c r="O1742" s="48"/>
      <c r="P1742" s="49"/>
      <c r="Q1742" s="50"/>
      <c r="R1742" s="72"/>
      <c r="S1742" s="74">
        <f t="shared" ref="S1742" si="1541">SUM(O1742:R1742)</f>
        <v>0</v>
      </c>
      <c r="T1742" s="48"/>
      <c r="U1742" s="49"/>
      <c r="V1742" s="50"/>
      <c r="W1742" s="72"/>
      <c r="X1742" s="74">
        <f t="shared" ref="X1742" si="1542">SUM(T1742:W1742)</f>
        <v>0</v>
      </c>
      <c r="Y1742" s="11">
        <f t="shared" ref="Y1742" si="1543">S1742+X1742</f>
        <v>0</v>
      </c>
      <c r="Z1742" s="162" t="s">
        <v>887</v>
      </c>
    </row>
    <row r="1743" spans="1:26" x14ac:dyDescent="0.15">
      <c r="A1743" s="59" t="s">
        <v>27</v>
      </c>
      <c r="B1743" s="20"/>
      <c r="C1743" s="35">
        <v>2</v>
      </c>
      <c r="D1743" s="21"/>
      <c r="E1743" s="24"/>
      <c r="F1743" s="25">
        <f t="shared" si="1531"/>
        <v>2</v>
      </c>
      <c r="G1743" s="20">
        <v>1</v>
      </c>
      <c r="H1743" s="35">
        <v>2</v>
      </c>
      <c r="I1743" s="21">
        <v>1</v>
      </c>
      <c r="J1743" s="24"/>
      <c r="K1743" s="25">
        <f t="shared" si="1532"/>
        <v>4</v>
      </c>
      <c r="L1743" s="11">
        <f t="shared" si="1524"/>
        <v>6</v>
      </c>
      <c r="M1743" s="71">
        <v>46093</v>
      </c>
      <c r="N1743" s="104" t="s">
        <v>872</v>
      </c>
      <c r="O1743" s="154"/>
      <c r="P1743" s="156"/>
      <c r="Q1743" s="155"/>
      <c r="R1743" s="159"/>
      <c r="S1743" s="158">
        <f t="shared" ref="S1743:S1744" si="1544">SUM(O1743:R1743)</f>
        <v>0</v>
      </c>
      <c r="T1743" s="154"/>
      <c r="U1743" s="156"/>
      <c r="V1743" s="155"/>
      <c r="W1743" s="159"/>
      <c r="X1743" s="158">
        <f t="shared" ref="X1743:X1744" si="1545">SUM(T1743:W1743)</f>
        <v>0</v>
      </c>
      <c r="Y1743" s="160">
        <f t="shared" ref="Y1743:Y1744" si="1546">S1743+X1743</f>
        <v>0</v>
      </c>
      <c r="Z1743" s="162"/>
    </row>
    <row r="1744" spans="1:26" ht="14.25" thickBot="1" x14ac:dyDescent="0.2">
      <c r="A1744" s="59" t="s">
        <v>27</v>
      </c>
      <c r="B1744" s="43"/>
      <c r="C1744" s="44"/>
      <c r="D1744" s="45"/>
      <c r="E1744" s="46"/>
      <c r="F1744" s="25">
        <f t="shared" si="1531"/>
        <v>0</v>
      </c>
      <c r="G1744" s="43">
        <v>1</v>
      </c>
      <c r="H1744" s="44"/>
      <c r="I1744" s="45">
        <v>1</v>
      </c>
      <c r="J1744" s="46"/>
      <c r="K1744" s="25">
        <f t="shared" si="1532"/>
        <v>2</v>
      </c>
      <c r="L1744" s="14">
        <f t="shared" si="1524"/>
        <v>2</v>
      </c>
      <c r="M1744" s="71">
        <v>46094</v>
      </c>
      <c r="N1744" s="99" t="s">
        <v>873</v>
      </c>
      <c r="O1744" s="43"/>
      <c r="P1744" s="44"/>
      <c r="Q1744" s="45"/>
      <c r="R1744" s="100"/>
      <c r="S1744" s="10">
        <f t="shared" si="1544"/>
        <v>0</v>
      </c>
      <c r="T1744" s="43"/>
      <c r="U1744" s="44"/>
      <c r="V1744" s="45"/>
      <c r="W1744" s="100"/>
      <c r="X1744" s="10">
        <f t="shared" si="1545"/>
        <v>0</v>
      </c>
      <c r="Y1744" s="75">
        <f t="shared" si="1546"/>
        <v>0</v>
      </c>
      <c r="Z1744" s="162" t="s">
        <v>874</v>
      </c>
    </row>
    <row r="1745" spans="1:26" ht="14.25" thickBot="1" x14ac:dyDescent="0.2">
      <c r="A1745" s="16" t="s">
        <v>9</v>
      </c>
      <c r="B1745" s="28">
        <f>SUM(B1720:B1744)</f>
        <v>23</v>
      </c>
      <c r="C1745" s="36">
        <f>SUM(C1720:C1744)</f>
        <v>32</v>
      </c>
      <c r="D1745" s="29">
        <f>SUM(D1720:D1744)</f>
        <v>16</v>
      </c>
      <c r="E1745" s="30">
        <f>SUM(E1720:E1744)</f>
        <v>10</v>
      </c>
      <c r="F1745" s="26">
        <f>SUM(B1745:E1745)</f>
        <v>81</v>
      </c>
      <c r="G1745" s="28">
        <f>SUM(G1720:G1744)</f>
        <v>27</v>
      </c>
      <c r="H1745" s="36">
        <f>SUM(H1720:H1744)</f>
        <v>38</v>
      </c>
      <c r="I1745" s="29">
        <f>SUM(I1720:I1744)</f>
        <v>20</v>
      </c>
      <c r="J1745" s="30">
        <f>SUM(J1720:J1744)</f>
        <v>12</v>
      </c>
      <c r="K1745" s="26">
        <f>SUM(G1745:J1745)</f>
        <v>97</v>
      </c>
      <c r="L1745" s="27">
        <f t="shared" si="1524"/>
        <v>178</v>
      </c>
      <c r="N1745" s="61" t="s">
        <v>9</v>
      </c>
      <c r="O1745" s="28">
        <f>SUM(O1720:O1744)</f>
        <v>191</v>
      </c>
      <c r="P1745" s="36">
        <f t="shared" ref="P1745:R1745" si="1547">SUM(P1720:P1744)</f>
        <v>222</v>
      </c>
      <c r="Q1745" s="29">
        <f t="shared" si="1547"/>
        <v>120</v>
      </c>
      <c r="R1745" s="30">
        <f t="shared" si="1547"/>
        <v>90</v>
      </c>
      <c r="S1745" s="60">
        <f>SUM(O1745:R1745)</f>
        <v>623</v>
      </c>
      <c r="T1745" s="28">
        <f>SUM(T1720:T1744)</f>
        <v>198</v>
      </c>
      <c r="U1745" s="36">
        <f t="shared" ref="U1745:W1745" si="1548">SUM(U1720:U1744)</f>
        <v>230</v>
      </c>
      <c r="V1745" s="29">
        <f t="shared" si="1548"/>
        <v>142</v>
      </c>
      <c r="W1745" s="30">
        <f t="shared" si="1548"/>
        <v>97</v>
      </c>
      <c r="X1745" s="60">
        <f>SUM(T1745:W1745)</f>
        <v>667</v>
      </c>
      <c r="Y1745" s="63">
        <f>S1745+X1745</f>
        <v>1290</v>
      </c>
    </row>
    <row r="1746" spans="1:26" ht="14.25" thickBot="1" x14ac:dyDescent="0.2">
      <c r="A1746" s="18" t="s">
        <v>10</v>
      </c>
      <c r="B1746" s="31">
        <f t="shared" ref="B1746:K1746" si="1549">B1719-B1745</f>
        <v>15</v>
      </c>
      <c r="C1746" s="37">
        <f t="shared" si="1549"/>
        <v>18</v>
      </c>
      <c r="D1746" s="32">
        <f t="shared" si="1549"/>
        <v>16</v>
      </c>
      <c r="E1746" s="33">
        <f t="shared" si="1549"/>
        <v>24</v>
      </c>
      <c r="F1746" s="42">
        <f t="shared" si="1549"/>
        <v>73</v>
      </c>
      <c r="G1746" s="31">
        <f t="shared" si="1549"/>
        <v>18</v>
      </c>
      <c r="H1746" s="37">
        <f t="shared" si="1549"/>
        <v>4</v>
      </c>
      <c r="I1746" s="32">
        <f t="shared" si="1549"/>
        <v>16</v>
      </c>
      <c r="J1746" s="33">
        <f t="shared" si="1549"/>
        <v>23</v>
      </c>
      <c r="K1746" s="42">
        <f t="shared" si="1549"/>
        <v>61</v>
      </c>
      <c r="L1746" s="17">
        <f t="shared" si="1524"/>
        <v>134</v>
      </c>
      <c r="N1746" s="16" t="s">
        <v>10</v>
      </c>
      <c r="O1746" s="31">
        <f>O1719-O1745</f>
        <v>701</v>
      </c>
      <c r="P1746" s="37">
        <f t="shared" ref="P1746:R1746" si="1550">P1719-P1745</f>
        <v>945</v>
      </c>
      <c r="Q1746" s="32">
        <f t="shared" si="1550"/>
        <v>633</v>
      </c>
      <c r="R1746" s="33">
        <f t="shared" si="1550"/>
        <v>395</v>
      </c>
      <c r="S1746" s="42">
        <f>S1719-S1745</f>
        <v>2674</v>
      </c>
      <c r="T1746" s="31">
        <f>T1719-T1745</f>
        <v>718</v>
      </c>
      <c r="U1746" s="37">
        <f t="shared" ref="U1746:W1746" si="1551">U1719-U1745</f>
        <v>1004</v>
      </c>
      <c r="V1746" s="32">
        <f t="shared" si="1551"/>
        <v>602</v>
      </c>
      <c r="W1746" s="33">
        <f t="shared" si="1551"/>
        <v>438</v>
      </c>
      <c r="X1746" s="42">
        <f>X1719-X1745</f>
        <v>2762</v>
      </c>
      <c r="Y1746" s="17">
        <f>S1746+X1746</f>
        <v>5436</v>
      </c>
      <c r="Z1746" s="230"/>
    </row>
    <row r="1749" spans="1:26" ht="19.5" thickBot="1" x14ac:dyDescent="0.25">
      <c r="A1749" s="2" t="s">
        <v>17</v>
      </c>
      <c r="B1749" s="2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N1749" s="2" t="s">
        <v>18</v>
      </c>
      <c r="O1749" s="87"/>
      <c r="P1749" s="87"/>
      <c r="Q1749" s="87"/>
      <c r="R1749" s="87"/>
      <c r="S1749" s="87"/>
      <c r="T1749" s="87"/>
      <c r="U1749" s="87"/>
      <c r="V1749" s="87"/>
      <c r="W1749" s="87"/>
      <c r="X1749" s="87"/>
      <c r="Y1749" s="1"/>
    </row>
    <row r="1750" spans="1:26" ht="14.25" thickBot="1" x14ac:dyDescent="0.2">
      <c r="A1750" s="5" t="s">
        <v>0</v>
      </c>
      <c r="B1750" s="244" t="s">
        <v>19</v>
      </c>
      <c r="C1750" s="245"/>
      <c r="D1750" s="245"/>
      <c r="E1750" s="245"/>
      <c r="F1750" s="246"/>
      <c r="G1750" s="247" t="s">
        <v>20</v>
      </c>
      <c r="H1750" s="248"/>
      <c r="I1750" s="248"/>
      <c r="J1750" s="248"/>
      <c r="K1750" s="249"/>
      <c r="L1750" s="250" t="s">
        <v>1</v>
      </c>
      <c r="N1750" s="5" t="s">
        <v>0</v>
      </c>
      <c r="O1750" s="244" t="s">
        <v>19</v>
      </c>
      <c r="P1750" s="245"/>
      <c r="Q1750" s="245"/>
      <c r="R1750" s="245"/>
      <c r="S1750" s="246"/>
      <c r="T1750" s="247" t="s">
        <v>20</v>
      </c>
      <c r="U1750" s="248"/>
      <c r="V1750" s="248"/>
      <c r="W1750" s="248"/>
      <c r="X1750" s="249"/>
      <c r="Y1750" s="250" t="s">
        <v>1</v>
      </c>
    </row>
    <row r="1751" spans="1:26" ht="14.25" thickBot="1" x14ac:dyDescent="0.2">
      <c r="A1751" s="5" t="s">
        <v>2</v>
      </c>
      <c r="B1751" s="3" t="s">
        <v>11</v>
      </c>
      <c r="C1751" s="34" t="s">
        <v>12</v>
      </c>
      <c r="D1751" s="4" t="s">
        <v>13</v>
      </c>
      <c r="E1751" s="19" t="s">
        <v>14</v>
      </c>
      <c r="F1751" s="23" t="s">
        <v>3</v>
      </c>
      <c r="G1751" s="3" t="s">
        <v>11</v>
      </c>
      <c r="H1751" s="34" t="s">
        <v>12</v>
      </c>
      <c r="I1751" s="4" t="s">
        <v>13</v>
      </c>
      <c r="J1751" s="19" t="s">
        <v>14</v>
      </c>
      <c r="K1751" s="23" t="s">
        <v>3</v>
      </c>
      <c r="L1751" s="251"/>
      <c r="N1751" s="5" t="s">
        <v>2</v>
      </c>
      <c r="O1751" s="53" t="s">
        <v>11</v>
      </c>
      <c r="P1751" s="54" t="s">
        <v>12</v>
      </c>
      <c r="Q1751" s="55" t="s">
        <v>13</v>
      </c>
      <c r="R1751" s="56" t="s">
        <v>14</v>
      </c>
      <c r="S1751" s="23" t="s">
        <v>3</v>
      </c>
      <c r="T1751" s="3" t="s">
        <v>11</v>
      </c>
      <c r="U1751" s="34" t="s">
        <v>12</v>
      </c>
      <c r="V1751" s="4" t="s">
        <v>13</v>
      </c>
      <c r="W1751" s="19" t="s">
        <v>14</v>
      </c>
      <c r="X1751" s="23" t="s">
        <v>3</v>
      </c>
      <c r="Y1751" s="251"/>
    </row>
    <row r="1752" spans="1:26" ht="14.25" thickBot="1" x14ac:dyDescent="0.2">
      <c r="A1752" s="18" t="s">
        <v>15</v>
      </c>
      <c r="B1752" s="31">
        <f>B1746</f>
        <v>15</v>
      </c>
      <c r="C1752" s="32">
        <f>C1746</f>
        <v>18</v>
      </c>
      <c r="D1752" s="32">
        <f>D1746</f>
        <v>16</v>
      </c>
      <c r="E1752" s="33">
        <f>E1746</f>
        <v>24</v>
      </c>
      <c r="F1752" s="86">
        <f>SUM(B1752:E1752)</f>
        <v>73</v>
      </c>
      <c r="G1752" s="31">
        <f>G1746</f>
        <v>18</v>
      </c>
      <c r="H1752" s="32">
        <f>H1746</f>
        <v>4</v>
      </c>
      <c r="I1752" s="32">
        <f>I1746</f>
        <v>16</v>
      </c>
      <c r="J1752" s="33">
        <f>J1746</f>
        <v>23</v>
      </c>
      <c r="K1752" s="80">
        <f>SUM(G1752:J1752)</f>
        <v>61</v>
      </c>
      <c r="L1752" s="17">
        <f>F1752+K1752</f>
        <v>134</v>
      </c>
      <c r="N1752" s="18" t="s">
        <v>15</v>
      </c>
      <c r="O1752" s="31">
        <f>O1746</f>
        <v>701</v>
      </c>
      <c r="P1752" s="32">
        <f t="shared" ref="P1752:Y1752" si="1552">P1746</f>
        <v>945</v>
      </c>
      <c r="Q1752" s="32">
        <f t="shared" si="1552"/>
        <v>633</v>
      </c>
      <c r="R1752" s="33">
        <f t="shared" si="1552"/>
        <v>395</v>
      </c>
      <c r="S1752" s="86">
        <f t="shared" si="1552"/>
        <v>2674</v>
      </c>
      <c r="T1752" s="31">
        <f t="shared" si="1552"/>
        <v>718</v>
      </c>
      <c r="U1752" s="32">
        <f t="shared" si="1552"/>
        <v>1004</v>
      </c>
      <c r="V1752" s="32">
        <f t="shared" si="1552"/>
        <v>602</v>
      </c>
      <c r="W1752" s="33">
        <f t="shared" si="1552"/>
        <v>438</v>
      </c>
      <c r="X1752" s="80">
        <f t="shared" si="1552"/>
        <v>2762</v>
      </c>
      <c r="Y1752" s="17">
        <f t="shared" si="1552"/>
        <v>5436</v>
      </c>
    </row>
    <row r="1753" spans="1:26" x14ac:dyDescent="0.15">
      <c r="A1753" s="222" t="s">
        <v>4</v>
      </c>
      <c r="B1753" s="209">
        <v>5</v>
      </c>
      <c r="C1753" s="210"/>
      <c r="D1753" s="211">
        <v>5</v>
      </c>
      <c r="E1753" s="212"/>
      <c r="F1753" s="213">
        <f t="shared" ref="F1753:F1756" si="1553">SUM(B1753:E1753)</f>
        <v>10</v>
      </c>
      <c r="G1753" s="209"/>
      <c r="H1753" s="210">
        <v>15</v>
      </c>
      <c r="I1753" s="211"/>
      <c r="J1753" s="212"/>
      <c r="K1753" s="213">
        <f t="shared" ref="K1753:K1756" si="1554">SUM(G1753:J1753)</f>
        <v>15</v>
      </c>
      <c r="L1753" s="214">
        <f t="shared" ref="L1753:L1784" si="1555">F1753+K1753</f>
        <v>25</v>
      </c>
      <c r="M1753" s="215">
        <v>46093</v>
      </c>
      <c r="N1753" s="59" t="s">
        <v>16</v>
      </c>
      <c r="O1753" s="48"/>
      <c r="P1753" s="49"/>
      <c r="Q1753" s="50"/>
      <c r="R1753" s="51"/>
      <c r="S1753" s="85">
        <f t="shared" ref="S1753:S1755" si="1556">SUM(O1753:R1753)</f>
        <v>0</v>
      </c>
      <c r="T1753" s="48"/>
      <c r="U1753" s="49"/>
      <c r="V1753" s="50"/>
      <c r="W1753" s="51"/>
      <c r="X1753" s="74">
        <f t="shared" ref="X1753:X1755" si="1557">SUM(T1753:W1753)</f>
        <v>0</v>
      </c>
      <c r="Y1753" s="11">
        <f t="shared" ref="Y1753:Y1756" si="1558">S1753+X1753</f>
        <v>0</v>
      </c>
    </row>
    <row r="1754" spans="1:26" x14ac:dyDescent="0.15">
      <c r="A1754" s="13" t="s">
        <v>5</v>
      </c>
      <c r="B1754" s="20">
        <v>10</v>
      </c>
      <c r="C1754" s="35">
        <v>10</v>
      </c>
      <c r="D1754" s="21">
        <v>10</v>
      </c>
      <c r="E1754" s="24">
        <v>5</v>
      </c>
      <c r="F1754" s="25">
        <f t="shared" si="1553"/>
        <v>35</v>
      </c>
      <c r="G1754" s="20">
        <v>10</v>
      </c>
      <c r="H1754" s="35">
        <v>10</v>
      </c>
      <c r="I1754" s="21">
        <v>10</v>
      </c>
      <c r="J1754" s="24">
        <v>5</v>
      </c>
      <c r="K1754" s="25">
        <f t="shared" si="1554"/>
        <v>35</v>
      </c>
      <c r="L1754" s="11">
        <f t="shared" si="1555"/>
        <v>70</v>
      </c>
      <c r="M1754" s="69">
        <v>46097</v>
      </c>
      <c r="N1754" s="59" t="s">
        <v>4</v>
      </c>
      <c r="O1754" s="48"/>
      <c r="P1754" s="49"/>
      <c r="Q1754" s="50"/>
      <c r="R1754" s="51"/>
      <c r="S1754" s="85">
        <f t="shared" si="1556"/>
        <v>0</v>
      </c>
      <c r="T1754" s="48"/>
      <c r="U1754" s="49"/>
      <c r="V1754" s="50"/>
      <c r="W1754" s="51"/>
      <c r="X1754" s="74">
        <f t="shared" si="1557"/>
        <v>0</v>
      </c>
      <c r="Y1754" s="11">
        <f t="shared" si="1558"/>
        <v>0</v>
      </c>
    </row>
    <row r="1755" spans="1:26" x14ac:dyDescent="0.15">
      <c r="A1755" s="13" t="s">
        <v>6</v>
      </c>
      <c r="B1755" s="20">
        <v>10</v>
      </c>
      <c r="C1755" s="35">
        <v>15</v>
      </c>
      <c r="D1755" s="21"/>
      <c r="E1755" s="24">
        <v>5</v>
      </c>
      <c r="F1755" s="25">
        <f t="shared" si="1553"/>
        <v>30</v>
      </c>
      <c r="G1755" s="20">
        <v>10</v>
      </c>
      <c r="H1755" s="35">
        <v>15</v>
      </c>
      <c r="I1755" s="21">
        <v>10</v>
      </c>
      <c r="J1755" s="24">
        <v>5</v>
      </c>
      <c r="K1755" s="25">
        <f t="shared" si="1554"/>
        <v>40</v>
      </c>
      <c r="L1755" s="11">
        <f t="shared" si="1555"/>
        <v>70</v>
      </c>
      <c r="M1755" s="69">
        <v>46102</v>
      </c>
      <c r="N1755" s="59" t="s">
        <v>5</v>
      </c>
      <c r="O1755" s="48"/>
      <c r="P1755" s="49"/>
      <c r="Q1755" s="50"/>
      <c r="R1755" s="51"/>
      <c r="S1755" s="85">
        <f t="shared" si="1556"/>
        <v>0</v>
      </c>
      <c r="T1755" s="48"/>
      <c r="U1755" s="49"/>
      <c r="V1755" s="50"/>
      <c r="W1755" s="51"/>
      <c r="X1755" s="74">
        <f t="shared" si="1557"/>
        <v>0</v>
      </c>
      <c r="Y1755" s="11">
        <f t="shared" si="1558"/>
        <v>0</v>
      </c>
    </row>
    <row r="1756" spans="1:26" ht="14.25" thickBot="1" x14ac:dyDescent="0.2">
      <c r="A1756" s="13" t="s">
        <v>7</v>
      </c>
      <c r="B1756" s="48"/>
      <c r="C1756" s="49">
        <v>5</v>
      </c>
      <c r="D1756" s="50"/>
      <c r="E1756" s="51"/>
      <c r="F1756" s="52">
        <f t="shared" si="1553"/>
        <v>5</v>
      </c>
      <c r="G1756" s="48"/>
      <c r="H1756" s="49">
        <v>5</v>
      </c>
      <c r="I1756" s="50"/>
      <c r="J1756" s="51"/>
      <c r="K1756" s="52">
        <f t="shared" si="1554"/>
        <v>5</v>
      </c>
      <c r="L1756" s="11">
        <f t="shared" si="1555"/>
        <v>10</v>
      </c>
      <c r="M1756" s="69">
        <v>46108</v>
      </c>
      <c r="N1756" s="13" t="s">
        <v>6</v>
      </c>
      <c r="O1756" s="43"/>
      <c r="P1756" s="44"/>
      <c r="Q1756" s="45"/>
      <c r="R1756" s="46"/>
      <c r="S1756" s="58">
        <f>SUM(O1756:R1756)</f>
        <v>0</v>
      </c>
      <c r="T1756" s="35"/>
      <c r="U1756" s="35"/>
      <c r="V1756" s="21"/>
      <c r="W1756" s="38"/>
      <c r="X1756" s="10">
        <f>SUM(T1756:W1756)</f>
        <v>0</v>
      </c>
      <c r="Y1756" s="14">
        <f t="shared" si="1558"/>
        <v>0</v>
      </c>
    </row>
    <row r="1757" spans="1:26" ht="14.25" thickBot="1" x14ac:dyDescent="0.2">
      <c r="A1757" s="18" t="s">
        <v>8</v>
      </c>
      <c r="B1757" s="76">
        <f t="shared" ref="B1757:K1757" si="1559">SUM(B1752:B1756)</f>
        <v>40</v>
      </c>
      <c r="C1757" s="77">
        <f t="shared" si="1559"/>
        <v>48</v>
      </c>
      <c r="D1757" s="78">
        <f t="shared" si="1559"/>
        <v>31</v>
      </c>
      <c r="E1757" s="79">
        <f t="shared" si="1559"/>
        <v>34</v>
      </c>
      <c r="F1757" s="80">
        <f t="shared" si="1559"/>
        <v>153</v>
      </c>
      <c r="G1757" s="76">
        <f t="shared" si="1559"/>
        <v>38</v>
      </c>
      <c r="H1757" s="77">
        <f t="shared" si="1559"/>
        <v>49</v>
      </c>
      <c r="I1757" s="78">
        <f t="shared" si="1559"/>
        <v>36</v>
      </c>
      <c r="J1757" s="79">
        <f t="shared" si="1559"/>
        <v>33</v>
      </c>
      <c r="K1757" s="80">
        <f t="shared" si="1559"/>
        <v>156</v>
      </c>
      <c r="L1757" s="17">
        <f t="shared" si="1555"/>
        <v>309</v>
      </c>
      <c r="N1757" s="16" t="s">
        <v>8</v>
      </c>
      <c r="O1757" s="31">
        <f>SUM(O1752:O1756)</f>
        <v>701</v>
      </c>
      <c r="P1757" s="37">
        <f t="shared" ref="P1757:R1757" si="1560">SUM(P1752:P1756)</f>
        <v>945</v>
      </c>
      <c r="Q1757" s="32">
        <f t="shared" si="1560"/>
        <v>633</v>
      </c>
      <c r="R1757" s="82">
        <f t="shared" si="1560"/>
        <v>395</v>
      </c>
      <c r="S1757" s="83">
        <f>SUM(S1752:S1756)</f>
        <v>2674</v>
      </c>
      <c r="T1757" s="31">
        <f>SUM(T1752:T1756)</f>
        <v>718</v>
      </c>
      <c r="U1757" s="37">
        <f t="shared" ref="U1757:W1757" si="1561">SUM(U1752:U1756)</f>
        <v>1004</v>
      </c>
      <c r="V1757" s="32">
        <f t="shared" si="1561"/>
        <v>602</v>
      </c>
      <c r="W1757" s="82">
        <f t="shared" si="1561"/>
        <v>438</v>
      </c>
      <c r="X1757" s="83">
        <f>SUM(X1752:X1756)</f>
        <v>2762</v>
      </c>
      <c r="Y1757" s="39">
        <f>S1757+X1757</f>
        <v>5436</v>
      </c>
    </row>
    <row r="1758" spans="1:26" x14ac:dyDescent="0.15">
      <c r="A1758" s="12" t="s">
        <v>937</v>
      </c>
      <c r="B1758" s="20">
        <v>5</v>
      </c>
      <c r="C1758" s="35">
        <v>5</v>
      </c>
      <c r="D1758" s="21"/>
      <c r="E1758" s="24"/>
      <c r="F1758" s="25">
        <f t="shared" ref="F1758:F1782" si="1562">SUM(B1758:E1758)</f>
        <v>10</v>
      </c>
      <c r="G1758" s="20"/>
      <c r="H1758" s="35">
        <v>3</v>
      </c>
      <c r="I1758" s="21"/>
      <c r="J1758" s="24"/>
      <c r="K1758" s="25">
        <f t="shared" ref="K1758:K1782" si="1563">SUM(G1758:J1758)</f>
        <v>3</v>
      </c>
      <c r="L1758" s="11">
        <f t="shared" si="1555"/>
        <v>13</v>
      </c>
      <c r="M1758" s="69">
        <v>46098</v>
      </c>
      <c r="N1758" s="12" t="s">
        <v>945</v>
      </c>
      <c r="O1758" s="20">
        <v>15</v>
      </c>
      <c r="P1758" s="35"/>
      <c r="Q1758" s="21"/>
      <c r="R1758" s="38"/>
      <c r="S1758" s="9">
        <f t="shared" ref="S1758" si="1564">SUM(O1758:R1758)</f>
        <v>15</v>
      </c>
      <c r="T1758" s="20">
        <v>15</v>
      </c>
      <c r="U1758" s="35"/>
      <c r="V1758" s="21"/>
      <c r="W1758" s="38"/>
      <c r="X1758" s="9">
        <f t="shared" ref="X1758" si="1565">SUM(T1758:W1758)</f>
        <v>15</v>
      </c>
      <c r="Y1758" s="11">
        <f t="shared" ref="Y1758" si="1566">S1758+X1758</f>
        <v>30</v>
      </c>
      <c r="Z1758" s="69">
        <v>46101</v>
      </c>
    </row>
    <row r="1759" spans="1:26" x14ac:dyDescent="0.15">
      <c r="A1759" s="59" t="s">
        <v>421</v>
      </c>
      <c r="B1759" s="20">
        <v>1</v>
      </c>
      <c r="C1759" s="35"/>
      <c r="D1759" s="21"/>
      <c r="E1759" s="24"/>
      <c r="F1759" s="25">
        <f t="shared" si="1562"/>
        <v>1</v>
      </c>
      <c r="G1759" s="20">
        <v>1</v>
      </c>
      <c r="H1759" s="35">
        <v>1</v>
      </c>
      <c r="I1759" s="21"/>
      <c r="J1759" s="24"/>
      <c r="K1759" s="25">
        <f t="shared" si="1563"/>
        <v>2</v>
      </c>
      <c r="L1759" s="11">
        <f t="shared" si="1555"/>
        <v>3</v>
      </c>
      <c r="M1759" s="69">
        <v>46098</v>
      </c>
      <c r="N1759" s="12" t="s">
        <v>946</v>
      </c>
      <c r="O1759" s="20"/>
      <c r="P1759" s="35">
        <v>5</v>
      </c>
      <c r="Q1759" s="21"/>
      <c r="R1759" s="38"/>
      <c r="S1759" s="9">
        <f t="shared" ref="S1759:S1771" si="1567">SUM(O1759:R1759)</f>
        <v>5</v>
      </c>
      <c r="T1759" s="20"/>
      <c r="U1759" s="35"/>
      <c r="V1759" s="21"/>
      <c r="W1759" s="38"/>
      <c r="X1759" s="9">
        <f t="shared" ref="X1759:X1771" si="1568">SUM(T1759:W1759)</f>
        <v>0</v>
      </c>
      <c r="Y1759" s="11">
        <f t="shared" ref="Y1759:Y1782" si="1569">S1759+X1759</f>
        <v>5</v>
      </c>
      <c r="Z1759" s="69">
        <v>46106</v>
      </c>
    </row>
    <row r="1760" spans="1:26" x14ac:dyDescent="0.15">
      <c r="A1760" s="59" t="s">
        <v>939</v>
      </c>
      <c r="B1760" s="20"/>
      <c r="C1760" s="35">
        <v>3</v>
      </c>
      <c r="D1760" s="21"/>
      <c r="E1760" s="24"/>
      <c r="F1760" s="25">
        <f t="shared" si="1562"/>
        <v>3</v>
      </c>
      <c r="G1760" s="20"/>
      <c r="H1760" s="35">
        <v>4</v>
      </c>
      <c r="I1760" s="21">
        <v>6</v>
      </c>
      <c r="J1760" s="24"/>
      <c r="K1760" s="25">
        <f t="shared" si="1563"/>
        <v>10</v>
      </c>
      <c r="L1760" s="11">
        <f t="shared" si="1555"/>
        <v>13</v>
      </c>
      <c r="M1760" s="69">
        <v>46097</v>
      </c>
      <c r="N1760" s="40" t="s">
        <v>947</v>
      </c>
      <c r="O1760" s="20">
        <v>10</v>
      </c>
      <c r="P1760" s="35">
        <v>10</v>
      </c>
      <c r="Q1760" s="21">
        <v>5</v>
      </c>
      <c r="R1760" s="38">
        <v>5</v>
      </c>
      <c r="S1760" s="9">
        <f t="shared" si="1567"/>
        <v>30</v>
      </c>
      <c r="T1760" s="20">
        <v>10</v>
      </c>
      <c r="U1760" s="35">
        <v>10</v>
      </c>
      <c r="V1760" s="21">
        <v>5</v>
      </c>
      <c r="W1760" s="38">
        <v>5</v>
      </c>
      <c r="X1760" s="9">
        <f t="shared" si="1568"/>
        <v>30</v>
      </c>
      <c r="Y1760" s="11">
        <f t="shared" si="1569"/>
        <v>60</v>
      </c>
      <c r="Z1760" s="69">
        <v>46105</v>
      </c>
    </row>
    <row r="1761" spans="1:26" x14ac:dyDescent="0.15">
      <c r="A1761" s="59" t="s">
        <v>942</v>
      </c>
      <c r="B1761" s="20">
        <v>-1</v>
      </c>
      <c r="C1761" s="35"/>
      <c r="D1761" s="21"/>
      <c r="E1761" s="24"/>
      <c r="F1761" s="25">
        <f t="shared" si="1562"/>
        <v>-1</v>
      </c>
      <c r="G1761" s="20"/>
      <c r="H1761" s="35"/>
      <c r="I1761" s="21"/>
      <c r="J1761" s="24"/>
      <c r="K1761" s="25">
        <f t="shared" si="1563"/>
        <v>0</v>
      </c>
      <c r="L1761" s="11">
        <f t="shared" si="1555"/>
        <v>-1</v>
      </c>
      <c r="M1761" s="71">
        <v>46094</v>
      </c>
      <c r="N1761" s="40" t="s">
        <v>948</v>
      </c>
      <c r="O1761" s="20"/>
      <c r="P1761" s="35">
        <v>5</v>
      </c>
      <c r="Q1761" s="21"/>
      <c r="R1761" s="38"/>
      <c r="S1761" s="9">
        <f t="shared" si="1567"/>
        <v>5</v>
      </c>
      <c r="T1761" s="20"/>
      <c r="U1761" s="35">
        <v>5</v>
      </c>
      <c r="V1761" s="21"/>
      <c r="W1761" s="38"/>
      <c r="X1761" s="9">
        <f t="shared" si="1568"/>
        <v>5</v>
      </c>
      <c r="Y1761" s="11">
        <f t="shared" si="1569"/>
        <v>10</v>
      </c>
      <c r="Z1761" s="69">
        <v>46108</v>
      </c>
    </row>
    <row r="1762" spans="1:26" x14ac:dyDescent="0.15">
      <c r="A1762" s="59" t="s">
        <v>27</v>
      </c>
      <c r="B1762" s="20"/>
      <c r="C1762" s="35">
        <v>1</v>
      </c>
      <c r="D1762" s="21"/>
      <c r="E1762" s="24"/>
      <c r="F1762" s="25">
        <f t="shared" si="1562"/>
        <v>1</v>
      </c>
      <c r="G1762" s="20"/>
      <c r="H1762" s="35"/>
      <c r="I1762" s="21"/>
      <c r="J1762" s="24"/>
      <c r="K1762" s="25">
        <f t="shared" si="1563"/>
        <v>0</v>
      </c>
      <c r="L1762" s="11">
        <f t="shared" si="1555"/>
        <v>1</v>
      </c>
      <c r="M1762" s="71">
        <v>46098</v>
      </c>
      <c r="N1762" s="12" t="s">
        <v>951</v>
      </c>
      <c r="O1762" s="20">
        <v>5</v>
      </c>
      <c r="P1762" s="35"/>
      <c r="Q1762" s="21"/>
      <c r="R1762" s="38"/>
      <c r="S1762" s="9">
        <f t="shared" si="1567"/>
        <v>5</v>
      </c>
      <c r="T1762" s="20"/>
      <c r="U1762" s="35"/>
      <c r="V1762" s="21"/>
      <c r="W1762" s="38"/>
      <c r="X1762" s="9">
        <f t="shared" si="1568"/>
        <v>0</v>
      </c>
      <c r="Y1762" s="11">
        <f t="shared" si="1569"/>
        <v>5</v>
      </c>
      <c r="Z1762" s="69">
        <v>46113</v>
      </c>
    </row>
    <row r="1763" spans="1:26" x14ac:dyDescent="0.15">
      <c r="A1763" s="59" t="s">
        <v>27</v>
      </c>
      <c r="B1763" s="20"/>
      <c r="C1763" s="35">
        <v>2</v>
      </c>
      <c r="D1763" s="21"/>
      <c r="E1763" s="24"/>
      <c r="F1763" s="25">
        <f t="shared" si="1562"/>
        <v>2</v>
      </c>
      <c r="G1763" s="20"/>
      <c r="H1763" s="35">
        <v>2</v>
      </c>
      <c r="I1763" s="21"/>
      <c r="J1763" s="24"/>
      <c r="K1763" s="25">
        <f t="shared" si="1563"/>
        <v>2</v>
      </c>
      <c r="L1763" s="11">
        <f t="shared" si="1555"/>
        <v>4</v>
      </c>
      <c r="M1763" s="71">
        <v>46099</v>
      </c>
      <c r="N1763" s="40" t="s">
        <v>863</v>
      </c>
      <c r="O1763" s="20"/>
      <c r="P1763" s="35">
        <v>5</v>
      </c>
      <c r="Q1763" s="21"/>
      <c r="R1763" s="38"/>
      <c r="S1763" s="9">
        <f t="shared" si="1567"/>
        <v>5</v>
      </c>
      <c r="T1763" s="20"/>
      <c r="U1763" s="35">
        <v>5</v>
      </c>
      <c r="V1763" s="21"/>
      <c r="W1763" s="38"/>
      <c r="X1763" s="9">
        <f t="shared" si="1568"/>
        <v>5</v>
      </c>
      <c r="Y1763" s="11">
        <f t="shared" si="1569"/>
        <v>10</v>
      </c>
      <c r="Z1763" s="69">
        <v>46108</v>
      </c>
    </row>
    <row r="1764" spans="1:26" x14ac:dyDescent="0.15">
      <c r="A1764" s="59" t="s">
        <v>421</v>
      </c>
      <c r="B1764" s="20"/>
      <c r="C1764" s="35">
        <v>2</v>
      </c>
      <c r="D1764" s="21"/>
      <c r="E1764" s="24"/>
      <c r="F1764" s="25">
        <f t="shared" si="1562"/>
        <v>2</v>
      </c>
      <c r="G1764" s="20"/>
      <c r="H1764" s="35">
        <v>2</v>
      </c>
      <c r="I1764" s="21"/>
      <c r="J1764" s="24"/>
      <c r="K1764" s="25">
        <f t="shared" si="1563"/>
        <v>2</v>
      </c>
      <c r="L1764" s="11">
        <f t="shared" si="1555"/>
        <v>4</v>
      </c>
      <c r="M1764" s="69">
        <v>46100</v>
      </c>
      <c r="N1764" s="12" t="s">
        <v>953</v>
      </c>
      <c r="O1764" s="20">
        <v>3</v>
      </c>
      <c r="P1764" s="35"/>
      <c r="Q1764" s="21">
        <v>3</v>
      </c>
      <c r="R1764" s="38"/>
      <c r="S1764" s="9">
        <f t="shared" si="1567"/>
        <v>6</v>
      </c>
      <c r="T1764" s="20"/>
      <c r="U1764" s="35">
        <v>7</v>
      </c>
      <c r="V1764" s="21"/>
      <c r="W1764" s="38">
        <v>3</v>
      </c>
      <c r="X1764" s="9">
        <f t="shared" si="1568"/>
        <v>10</v>
      </c>
      <c r="Y1764" s="11">
        <f t="shared" si="1569"/>
        <v>16</v>
      </c>
      <c r="Z1764" s="69">
        <v>46111</v>
      </c>
    </row>
    <row r="1765" spans="1:26" x14ac:dyDescent="0.15">
      <c r="A1765" s="59" t="s">
        <v>27</v>
      </c>
      <c r="B1765" s="20"/>
      <c r="C1765" s="35"/>
      <c r="D1765" s="21"/>
      <c r="E1765" s="24"/>
      <c r="F1765" s="25">
        <f t="shared" si="1562"/>
        <v>0</v>
      </c>
      <c r="G1765" s="20"/>
      <c r="H1765" s="35">
        <v>1</v>
      </c>
      <c r="I1765" s="21"/>
      <c r="J1765" s="24"/>
      <c r="K1765" s="25">
        <f t="shared" si="1563"/>
        <v>1</v>
      </c>
      <c r="L1765" s="11">
        <f t="shared" si="1555"/>
        <v>1</v>
      </c>
      <c r="M1765" s="71">
        <v>46099</v>
      </c>
      <c r="N1765" s="216" t="s">
        <v>863</v>
      </c>
      <c r="O1765" s="209">
        <v>5</v>
      </c>
      <c r="P1765" s="210">
        <v>20</v>
      </c>
      <c r="Q1765" s="211"/>
      <c r="R1765" s="217"/>
      <c r="S1765" s="218">
        <f t="shared" si="1567"/>
        <v>25</v>
      </c>
      <c r="T1765" s="209"/>
      <c r="U1765" s="210">
        <v>20</v>
      </c>
      <c r="V1765" s="211">
        <v>5</v>
      </c>
      <c r="W1765" s="217"/>
      <c r="X1765" s="218">
        <f t="shared" si="1568"/>
        <v>25</v>
      </c>
      <c r="Y1765" s="214">
        <f t="shared" si="1569"/>
        <v>50</v>
      </c>
      <c r="Z1765" s="215">
        <v>46112</v>
      </c>
    </row>
    <row r="1766" spans="1:26" x14ac:dyDescent="0.15">
      <c r="A1766" s="59" t="s">
        <v>27</v>
      </c>
      <c r="B1766" s="20">
        <v>1</v>
      </c>
      <c r="C1766" s="35">
        <v>1</v>
      </c>
      <c r="D1766" s="21"/>
      <c r="E1766" s="24"/>
      <c r="F1766" s="25">
        <f t="shared" si="1562"/>
        <v>2</v>
      </c>
      <c r="G1766" s="20">
        <v>1</v>
      </c>
      <c r="H1766" s="35">
        <v>2</v>
      </c>
      <c r="I1766" s="21"/>
      <c r="J1766" s="24"/>
      <c r="K1766" s="25">
        <f t="shared" si="1563"/>
        <v>3</v>
      </c>
      <c r="L1766" s="11">
        <f t="shared" si="1555"/>
        <v>5</v>
      </c>
      <c r="M1766" s="71">
        <v>46100</v>
      </c>
      <c r="N1766" s="40" t="s">
        <v>952</v>
      </c>
      <c r="O1766" s="20"/>
      <c r="P1766" s="35">
        <v>5</v>
      </c>
      <c r="Q1766" s="21"/>
      <c r="R1766" s="38">
        <v>5</v>
      </c>
      <c r="S1766" s="9">
        <f t="shared" si="1567"/>
        <v>10</v>
      </c>
      <c r="T1766" s="20"/>
      <c r="U1766" s="35">
        <v>5</v>
      </c>
      <c r="V1766" s="21"/>
      <c r="W1766" s="38">
        <v>5</v>
      </c>
      <c r="X1766" s="9">
        <f t="shared" si="1568"/>
        <v>10</v>
      </c>
      <c r="Y1766" s="11">
        <f t="shared" si="1569"/>
        <v>20</v>
      </c>
      <c r="Z1766" s="69">
        <v>46114</v>
      </c>
    </row>
    <row r="1767" spans="1:26" x14ac:dyDescent="0.15">
      <c r="A1767" s="12" t="s">
        <v>949</v>
      </c>
      <c r="B1767" s="20">
        <v>7</v>
      </c>
      <c r="C1767" s="35"/>
      <c r="D1767" s="21">
        <v>2</v>
      </c>
      <c r="E1767" s="24">
        <v>2</v>
      </c>
      <c r="F1767" s="25">
        <f t="shared" si="1562"/>
        <v>11</v>
      </c>
      <c r="G1767" s="20"/>
      <c r="H1767" s="35">
        <v>2</v>
      </c>
      <c r="I1767" s="21">
        <v>3</v>
      </c>
      <c r="J1767" s="24"/>
      <c r="K1767" s="25">
        <f t="shared" si="1563"/>
        <v>5</v>
      </c>
      <c r="L1767" s="11">
        <f t="shared" si="1555"/>
        <v>16</v>
      </c>
      <c r="M1767" s="69">
        <v>46105</v>
      </c>
      <c r="N1767" s="12" t="s">
        <v>957</v>
      </c>
      <c r="O1767" s="20"/>
      <c r="P1767" s="35"/>
      <c r="Q1767" s="21"/>
      <c r="R1767" s="38">
        <v>5</v>
      </c>
      <c r="S1767" s="9">
        <f t="shared" si="1567"/>
        <v>5</v>
      </c>
      <c r="T1767" s="20"/>
      <c r="U1767" s="35"/>
      <c r="V1767" s="21"/>
      <c r="W1767" s="38">
        <v>6</v>
      </c>
      <c r="X1767" s="9">
        <f t="shared" si="1568"/>
        <v>6</v>
      </c>
      <c r="Y1767" s="11">
        <f t="shared" si="1569"/>
        <v>11</v>
      </c>
      <c r="Z1767" s="69">
        <v>46120</v>
      </c>
    </row>
    <row r="1768" spans="1:26" x14ac:dyDescent="0.15">
      <c r="A1768" s="12" t="s">
        <v>950</v>
      </c>
      <c r="B1768" s="20"/>
      <c r="C1768" s="35"/>
      <c r="D1768" s="21"/>
      <c r="E1768" s="24"/>
      <c r="F1768" s="25">
        <f t="shared" si="1562"/>
        <v>0</v>
      </c>
      <c r="G1768" s="20">
        <v>2</v>
      </c>
      <c r="H1768" s="35">
        <v>2</v>
      </c>
      <c r="I1768" s="21"/>
      <c r="J1768" s="24">
        <v>2</v>
      </c>
      <c r="K1768" s="25">
        <f t="shared" si="1563"/>
        <v>6</v>
      </c>
      <c r="L1768" s="11">
        <f t="shared" si="1555"/>
        <v>6</v>
      </c>
      <c r="M1768" s="69">
        <v>46105</v>
      </c>
      <c r="N1768" s="12" t="s">
        <v>962</v>
      </c>
      <c r="O1768" s="20">
        <v>2</v>
      </c>
      <c r="P1768" s="35">
        <v>7</v>
      </c>
      <c r="Q1768" s="21">
        <v>5</v>
      </c>
      <c r="R1768" s="38"/>
      <c r="S1768" s="9">
        <f t="shared" si="1567"/>
        <v>14</v>
      </c>
      <c r="T1768" s="20"/>
      <c r="U1768" s="35">
        <v>6</v>
      </c>
      <c r="V1768" s="21"/>
      <c r="W1768" s="38"/>
      <c r="X1768" s="9">
        <f t="shared" si="1568"/>
        <v>6</v>
      </c>
      <c r="Y1768" s="11">
        <f t="shared" si="1569"/>
        <v>20</v>
      </c>
      <c r="Z1768" s="69">
        <v>46118</v>
      </c>
    </row>
    <row r="1769" spans="1:26" x14ac:dyDescent="0.15">
      <c r="A1769" s="59" t="s">
        <v>421</v>
      </c>
      <c r="B1769" s="20">
        <v>1</v>
      </c>
      <c r="C1769" s="35">
        <v>2</v>
      </c>
      <c r="D1769" s="21"/>
      <c r="E1769" s="24"/>
      <c r="F1769" s="25">
        <f t="shared" si="1562"/>
        <v>3</v>
      </c>
      <c r="G1769" s="20">
        <v>1</v>
      </c>
      <c r="H1769" s="35">
        <v>2</v>
      </c>
      <c r="I1769" s="21"/>
      <c r="J1769" s="24"/>
      <c r="K1769" s="25">
        <f t="shared" si="1563"/>
        <v>3</v>
      </c>
      <c r="L1769" s="11">
        <f t="shared" si="1555"/>
        <v>6</v>
      </c>
      <c r="M1769" s="69">
        <v>46105</v>
      </c>
      <c r="N1769" s="40" t="s">
        <v>963</v>
      </c>
      <c r="O1769" s="20"/>
      <c r="P1769" s="35">
        <v>15</v>
      </c>
      <c r="Q1769" s="21">
        <v>10</v>
      </c>
      <c r="R1769" s="38"/>
      <c r="S1769" s="9">
        <f t="shared" si="1567"/>
        <v>25</v>
      </c>
      <c r="T1769" s="20"/>
      <c r="U1769" s="35">
        <v>15</v>
      </c>
      <c r="V1769" s="21">
        <v>10</v>
      </c>
      <c r="W1769" s="38"/>
      <c r="X1769" s="9">
        <f t="shared" si="1568"/>
        <v>25</v>
      </c>
      <c r="Y1769" s="11">
        <f t="shared" si="1569"/>
        <v>50</v>
      </c>
      <c r="Z1769" s="69">
        <v>46120</v>
      </c>
    </row>
    <row r="1770" spans="1:26" x14ac:dyDescent="0.15">
      <c r="A1770" s="59" t="s">
        <v>27</v>
      </c>
      <c r="B1770" s="20">
        <v>4</v>
      </c>
      <c r="C1770" s="35">
        <v>9</v>
      </c>
      <c r="D1770" s="21">
        <v>1</v>
      </c>
      <c r="E1770" s="24">
        <v>1</v>
      </c>
      <c r="F1770" s="25">
        <f t="shared" si="1562"/>
        <v>15</v>
      </c>
      <c r="G1770" s="20">
        <v>2</v>
      </c>
      <c r="H1770" s="35">
        <v>2</v>
      </c>
      <c r="I1770" s="21">
        <v>1</v>
      </c>
      <c r="J1770" s="24">
        <v>1</v>
      </c>
      <c r="K1770" s="25">
        <f t="shared" si="1563"/>
        <v>6</v>
      </c>
      <c r="L1770" s="11">
        <f t="shared" si="1555"/>
        <v>21</v>
      </c>
      <c r="M1770" s="71">
        <v>46104</v>
      </c>
      <c r="N1770" s="40" t="s">
        <v>900</v>
      </c>
      <c r="O1770" s="20">
        <v>10</v>
      </c>
      <c r="P1770" s="35">
        <v>5</v>
      </c>
      <c r="Q1770" s="21">
        <v>10</v>
      </c>
      <c r="R1770" s="38">
        <v>5</v>
      </c>
      <c r="S1770" s="9">
        <f t="shared" si="1567"/>
        <v>30</v>
      </c>
      <c r="T1770" s="20">
        <v>5</v>
      </c>
      <c r="U1770" s="35">
        <v>10</v>
      </c>
      <c r="V1770" s="21">
        <v>5</v>
      </c>
      <c r="W1770" s="38">
        <v>5</v>
      </c>
      <c r="X1770" s="9">
        <f t="shared" si="1568"/>
        <v>25</v>
      </c>
      <c r="Y1770" s="11">
        <f t="shared" si="1569"/>
        <v>55</v>
      </c>
      <c r="Z1770" s="71">
        <v>46116</v>
      </c>
    </row>
    <row r="1771" spans="1:26" x14ac:dyDescent="0.15">
      <c r="A1771" s="59" t="s">
        <v>27</v>
      </c>
      <c r="B1771" s="20"/>
      <c r="C1771" s="35">
        <v>1</v>
      </c>
      <c r="D1771" s="21"/>
      <c r="E1771" s="24">
        <v>1</v>
      </c>
      <c r="F1771" s="25">
        <f t="shared" si="1562"/>
        <v>2</v>
      </c>
      <c r="G1771" s="20"/>
      <c r="H1771" s="35">
        <v>2</v>
      </c>
      <c r="I1771" s="21">
        <v>1</v>
      </c>
      <c r="J1771" s="24">
        <v>1</v>
      </c>
      <c r="K1771" s="25">
        <f t="shared" si="1563"/>
        <v>4</v>
      </c>
      <c r="L1771" s="11">
        <f t="shared" si="1555"/>
        <v>6</v>
      </c>
      <c r="M1771" s="71">
        <v>46105</v>
      </c>
      <c r="N1771" s="40" t="s">
        <v>969</v>
      </c>
      <c r="O1771" s="20">
        <v>20</v>
      </c>
      <c r="P1771" s="35"/>
      <c r="Q1771" s="21"/>
      <c r="R1771" s="38">
        <v>7</v>
      </c>
      <c r="S1771" s="9">
        <f t="shared" si="1567"/>
        <v>27</v>
      </c>
      <c r="T1771" s="20">
        <v>20</v>
      </c>
      <c r="U1771" s="35"/>
      <c r="V1771" s="21"/>
      <c r="W1771" s="38">
        <v>7</v>
      </c>
      <c r="X1771" s="9">
        <f t="shared" si="1568"/>
        <v>27</v>
      </c>
      <c r="Y1771" s="11">
        <f t="shared" si="1569"/>
        <v>54</v>
      </c>
      <c r="Z1771" s="69">
        <v>46126</v>
      </c>
    </row>
    <row r="1772" spans="1:26" x14ac:dyDescent="0.15">
      <c r="A1772" s="59" t="s">
        <v>27</v>
      </c>
      <c r="B1772" s="20"/>
      <c r="C1772" s="35">
        <v>1</v>
      </c>
      <c r="D1772" s="21"/>
      <c r="E1772" s="24">
        <v>2</v>
      </c>
      <c r="F1772" s="25">
        <f t="shared" si="1562"/>
        <v>3</v>
      </c>
      <c r="G1772" s="20"/>
      <c r="H1772" s="35">
        <v>1</v>
      </c>
      <c r="I1772" s="21"/>
      <c r="J1772" s="24">
        <v>1</v>
      </c>
      <c r="K1772" s="25">
        <f t="shared" si="1563"/>
        <v>2</v>
      </c>
      <c r="L1772" s="11">
        <f t="shared" si="1555"/>
        <v>5</v>
      </c>
      <c r="M1772" s="71">
        <v>46106</v>
      </c>
      <c r="N1772" s="12" t="s">
        <v>971</v>
      </c>
      <c r="O1772" s="20">
        <v>10</v>
      </c>
      <c r="P1772" s="35">
        <v>10</v>
      </c>
      <c r="Q1772" s="21">
        <v>20</v>
      </c>
      <c r="R1772" s="38"/>
      <c r="S1772" s="9">
        <f t="shared" ref="S1772:S1782" si="1570">SUM(O1772:R1772)</f>
        <v>40</v>
      </c>
      <c r="T1772" s="20">
        <v>20</v>
      </c>
      <c r="U1772" s="35">
        <v>30</v>
      </c>
      <c r="V1772" s="21">
        <v>10</v>
      </c>
      <c r="W1772" s="38">
        <v>5</v>
      </c>
      <c r="X1772" s="9">
        <f t="shared" ref="X1772:X1782" si="1571">SUM(T1772:W1772)</f>
        <v>65</v>
      </c>
      <c r="Y1772" s="11">
        <f t="shared" si="1569"/>
        <v>105</v>
      </c>
      <c r="Z1772" s="69">
        <v>46129</v>
      </c>
    </row>
    <row r="1773" spans="1:26" x14ac:dyDescent="0.15">
      <c r="A1773" s="59" t="s">
        <v>27</v>
      </c>
      <c r="B1773" s="20"/>
      <c r="C1773" s="35">
        <v>1</v>
      </c>
      <c r="D1773" s="21"/>
      <c r="E1773" s="24"/>
      <c r="F1773" s="25">
        <f t="shared" si="1562"/>
        <v>1</v>
      </c>
      <c r="G1773" s="20">
        <v>1</v>
      </c>
      <c r="H1773" s="35"/>
      <c r="I1773" s="21">
        <v>1</v>
      </c>
      <c r="J1773" s="24">
        <v>2</v>
      </c>
      <c r="K1773" s="25">
        <f t="shared" si="1563"/>
        <v>4</v>
      </c>
      <c r="L1773" s="11">
        <f t="shared" si="1555"/>
        <v>5</v>
      </c>
      <c r="M1773" s="71">
        <v>46107</v>
      </c>
      <c r="N1773" s="12" t="s">
        <v>863</v>
      </c>
      <c r="O1773" s="20">
        <v>10</v>
      </c>
      <c r="P1773" s="35">
        <v>20</v>
      </c>
      <c r="Q1773" s="21">
        <v>10</v>
      </c>
      <c r="R1773" s="38">
        <v>10</v>
      </c>
      <c r="S1773" s="9">
        <f t="shared" si="1570"/>
        <v>50</v>
      </c>
      <c r="T1773" s="20">
        <v>20</v>
      </c>
      <c r="U1773" s="35">
        <v>20</v>
      </c>
      <c r="V1773" s="21">
        <v>15</v>
      </c>
      <c r="W1773" s="38">
        <v>5</v>
      </c>
      <c r="X1773" s="9">
        <f t="shared" si="1571"/>
        <v>60</v>
      </c>
      <c r="Y1773" s="11">
        <f t="shared" si="1569"/>
        <v>110</v>
      </c>
      <c r="Z1773" s="69">
        <v>46129</v>
      </c>
    </row>
    <row r="1774" spans="1:26" x14ac:dyDescent="0.15">
      <c r="A1774" s="40" t="s">
        <v>952</v>
      </c>
      <c r="B1774" s="20"/>
      <c r="C1774" s="35">
        <v>10</v>
      </c>
      <c r="D1774" s="21"/>
      <c r="E1774" s="24"/>
      <c r="F1774" s="25">
        <f t="shared" si="1562"/>
        <v>10</v>
      </c>
      <c r="G1774" s="20"/>
      <c r="H1774" s="35">
        <v>10</v>
      </c>
      <c r="I1774" s="21"/>
      <c r="J1774" s="24"/>
      <c r="K1774" s="25">
        <f t="shared" si="1563"/>
        <v>10</v>
      </c>
      <c r="L1774" s="11">
        <f t="shared" si="1555"/>
        <v>20</v>
      </c>
      <c r="M1774" s="69">
        <v>46111</v>
      </c>
      <c r="N1774" s="12" t="s">
        <v>973</v>
      </c>
      <c r="O1774" s="20">
        <v>15</v>
      </c>
      <c r="P1774" s="35">
        <v>20</v>
      </c>
      <c r="Q1774" s="21">
        <v>15</v>
      </c>
      <c r="R1774" s="38">
        <v>3</v>
      </c>
      <c r="S1774" s="9">
        <f t="shared" si="1570"/>
        <v>53</v>
      </c>
      <c r="T1774" s="20">
        <v>20</v>
      </c>
      <c r="U1774" s="35">
        <v>25</v>
      </c>
      <c r="V1774" s="21">
        <v>3</v>
      </c>
      <c r="W1774" s="38">
        <v>3</v>
      </c>
      <c r="X1774" s="9">
        <f t="shared" si="1571"/>
        <v>51</v>
      </c>
      <c r="Y1774" s="11">
        <f t="shared" si="1569"/>
        <v>104</v>
      </c>
      <c r="Z1774" s="69">
        <v>46136</v>
      </c>
    </row>
    <row r="1775" spans="1:26" x14ac:dyDescent="0.15">
      <c r="A1775" s="59" t="s">
        <v>27</v>
      </c>
      <c r="B1775" s="20"/>
      <c r="C1775" s="35"/>
      <c r="D1775" s="21"/>
      <c r="E1775" s="24"/>
      <c r="F1775" s="25">
        <f t="shared" si="1562"/>
        <v>0</v>
      </c>
      <c r="G1775" s="20"/>
      <c r="H1775" s="35">
        <v>1</v>
      </c>
      <c r="I1775" s="21"/>
      <c r="J1775" s="24"/>
      <c r="K1775" s="25">
        <f t="shared" si="1563"/>
        <v>1</v>
      </c>
      <c r="L1775" s="11">
        <f t="shared" si="1555"/>
        <v>1</v>
      </c>
      <c r="M1775" s="71">
        <v>46108</v>
      </c>
      <c r="N1775" s="12" t="s">
        <v>974</v>
      </c>
      <c r="O1775" s="20">
        <v>15</v>
      </c>
      <c r="P1775" s="35">
        <v>30</v>
      </c>
      <c r="Q1775" s="21">
        <v>20</v>
      </c>
      <c r="R1775" s="38"/>
      <c r="S1775" s="9">
        <f t="shared" si="1570"/>
        <v>65</v>
      </c>
      <c r="T1775" s="20"/>
      <c r="U1775" s="35">
        <v>15</v>
      </c>
      <c r="V1775" s="21">
        <v>10</v>
      </c>
      <c r="W1775" s="38"/>
      <c r="X1775" s="9">
        <f t="shared" si="1571"/>
        <v>25</v>
      </c>
      <c r="Y1775" s="11">
        <f t="shared" si="1569"/>
        <v>90</v>
      </c>
      <c r="Z1775" s="69">
        <v>46136</v>
      </c>
    </row>
    <row r="1776" spans="1:26" x14ac:dyDescent="0.15">
      <c r="A1776" s="219" t="s">
        <v>954</v>
      </c>
      <c r="B1776" s="209">
        <v>-5</v>
      </c>
      <c r="C1776" s="210">
        <v>-20</v>
      </c>
      <c r="D1776" s="211"/>
      <c r="E1776" s="212"/>
      <c r="F1776" s="213">
        <f t="shared" si="1562"/>
        <v>-25</v>
      </c>
      <c r="G1776" s="209"/>
      <c r="H1776" s="210">
        <v>-20</v>
      </c>
      <c r="I1776" s="211">
        <v>-5</v>
      </c>
      <c r="J1776" s="212"/>
      <c r="K1776" s="213">
        <f t="shared" si="1563"/>
        <v>-25</v>
      </c>
      <c r="L1776" s="214">
        <f t="shared" si="1555"/>
        <v>-50</v>
      </c>
      <c r="M1776" s="215">
        <v>46112</v>
      </c>
      <c r="N1776" s="12" t="s">
        <v>975</v>
      </c>
      <c r="O1776" s="20">
        <v>20</v>
      </c>
      <c r="P1776" s="35"/>
      <c r="Q1776" s="21">
        <v>20</v>
      </c>
      <c r="R1776" s="38">
        <v>10</v>
      </c>
      <c r="S1776" s="9">
        <f t="shared" ref="S1776:S1778" si="1572">SUM(O1776:R1776)</f>
        <v>50</v>
      </c>
      <c r="T1776" s="20">
        <v>20</v>
      </c>
      <c r="U1776" s="35">
        <v>20</v>
      </c>
      <c r="V1776" s="21"/>
      <c r="W1776" s="38"/>
      <c r="X1776" s="9">
        <f t="shared" ref="X1776:X1778" si="1573">SUM(T1776:W1776)</f>
        <v>40</v>
      </c>
      <c r="Y1776" s="11">
        <f t="shared" ref="Y1776:Y1778" si="1574">S1776+X1776</f>
        <v>90</v>
      </c>
      <c r="Z1776" s="69">
        <v>46137</v>
      </c>
    </row>
    <row r="1777" spans="1:26" x14ac:dyDescent="0.15">
      <c r="A1777" s="59" t="s">
        <v>421</v>
      </c>
      <c r="B1777" s="20">
        <v>1</v>
      </c>
      <c r="C1777" s="35">
        <v>2</v>
      </c>
      <c r="D1777" s="21">
        <v>2</v>
      </c>
      <c r="E1777" s="24"/>
      <c r="F1777" s="25">
        <f t="shared" si="1562"/>
        <v>5</v>
      </c>
      <c r="G1777" s="20">
        <v>1</v>
      </c>
      <c r="H1777" s="35">
        <v>2</v>
      </c>
      <c r="I1777" s="21">
        <v>2</v>
      </c>
      <c r="J1777" s="24"/>
      <c r="K1777" s="25">
        <f t="shared" si="1563"/>
        <v>5</v>
      </c>
      <c r="L1777" s="11">
        <f t="shared" si="1555"/>
        <v>10</v>
      </c>
      <c r="M1777" s="69">
        <v>46112</v>
      </c>
      <c r="N1777" s="12" t="s">
        <v>977</v>
      </c>
      <c r="O1777" s="20">
        <v>10</v>
      </c>
      <c r="P1777" s="35">
        <v>15</v>
      </c>
      <c r="Q1777" s="21"/>
      <c r="R1777" s="38">
        <v>5</v>
      </c>
      <c r="S1777" s="9">
        <f t="shared" si="1572"/>
        <v>30</v>
      </c>
      <c r="T1777" s="20"/>
      <c r="U1777" s="35"/>
      <c r="V1777" s="21">
        <v>10</v>
      </c>
      <c r="W1777" s="38">
        <v>5</v>
      </c>
      <c r="X1777" s="9">
        <f t="shared" si="1573"/>
        <v>15</v>
      </c>
      <c r="Y1777" s="11">
        <f t="shared" si="1574"/>
        <v>45</v>
      </c>
      <c r="Z1777" s="69">
        <v>46137</v>
      </c>
    </row>
    <row r="1778" spans="1:26" x14ac:dyDescent="0.15">
      <c r="A1778" s="59" t="s">
        <v>27</v>
      </c>
      <c r="B1778" s="20"/>
      <c r="C1778" s="35">
        <v>1</v>
      </c>
      <c r="D1778" s="21">
        <v>1</v>
      </c>
      <c r="E1778" s="24">
        <v>1</v>
      </c>
      <c r="F1778" s="25">
        <f t="shared" si="1562"/>
        <v>3</v>
      </c>
      <c r="G1778" s="20"/>
      <c r="H1778" s="35">
        <v>4</v>
      </c>
      <c r="I1778" s="21">
        <v>2</v>
      </c>
      <c r="J1778" s="24"/>
      <c r="K1778" s="25">
        <f t="shared" si="1563"/>
        <v>6</v>
      </c>
      <c r="L1778" s="11">
        <f t="shared" si="1555"/>
        <v>9</v>
      </c>
      <c r="M1778" s="71">
        <v>46111</v>
      </c>
      <c r="N1778" s="12"/>
      <c r="O1778" s="20"/>
      <c r="P1778" s="35"/>
      <c r="Q1778" s="21"/>
      <c r="R1778" s="38"/>
      <c r="S1778" s="9">
        <f t="shared" si="1572"/>
        <v>0</v>
      </c>
      <c r="T1778" s="20"/>
      <c r="U1778" s="35"/>
      <c r="V1778" s="21"/>
      <c r="W1778" s="38"/>
      <c r="X1778" s="9">
        <f t="shared" si="1573"/>
        <v>0</v>
      </c>
      <c r="Y1778" s="11">
        <f t="shared" si="1574"/>
        <v>0</v>
      </c>
    </row>
    <row r="1779" spans="1:26" x14ac:dyDescent="0.15">
      <c r="A1779" s="59" t="s">
        <v>955</v>
      </c>
      <c r="B1779" s="20">
        <v>1</v>
      </c>
      <c r="C1779" s="35"/>
      <c r="D1779" s="21"/>
      <c r="E1779" s="24"/>
      <c r="F1779" s="25">
        <f t="shared" si="1562"/>
        <v>1</v>
      </c>
      <c r="G1779" s="20"/>
      <c r="H1779" s="35"/>
      <c r="I1779" s="21"/>
      <c r="J1779" s="24"/>
      <c r="K1779" s="25">
        <f t="shared" si="1563"/>
        <v>0</v>
      </c>
      <c r="L1779" s="11">
        <f t="shared" si="1555"/>
        <v>1</v>
      </c>
      <c r="M1779" s="69">
        <v>46115</v>
      </c>
      <c r="N1779" s="137" t="s">
        <v>882</v>
      </c>
      <c r="O1779" s="154"/>
      <c r="P1779" s="156"/>
      <c r="Q1779" s="155"/>
      <c r="R1779" s="159"/>
      <c r="S1779" s="158">
        <f t="shared" ref="S1779:S1780" si="1575">SUM(O1779:R1779)</f>
        <v>0</v>
      </c>
      <c r="T1779" s="154"/>
      <c r="U1779" s="156"/>
      <c r="V1779" s="155"/>
      <c r="W1779" s="159"/>
      <c r="X1779" s="158">
        <f t="shared" ref="X1779:X1780" si="1576">SUM(T1779:W1779)</f>
        <v>0</v>
      </c>
      <c r="Y1779" s="145">
        <f t="shared" ref="Y1779:Y1780" si="1577">S1779+X1779</f>
        <v>0</v>
      </c>
      <c r="Z1779" s="162"/>
    </row>
    <row r="1780" spans="1:26" x14ac:dyDescent="0.15">
      <c r="A1780" s="12" t="s">
        <v>956</v>
      </c>
      <c r="B1780" s="20">
        <v>5</v>
      </c>
      <c r="C1780" s="35"/>
      <c r="D1780" s="21">
        <v>3</v>
      </c>
      <c r="E1780" s="24">
        <v>2</v>
      </c>
      <c r="F1780" s="25">
        <f t="shared" si="1562"/>
        <v>10</v>
      </c>
      <c r="G1780" s="20"/>
      <c r="H1780" s="35">
        <v>2</v>
      </c>
      <c r="I1780" s="21"/>
      <c r="J1780" s="24"/>
      <c r="K1780" s="25">
        <f t="shared" si="1563"/>
        <v>2</v>
      </c>
      <c r="L1780" s="11">
        <f t="shared" si="1555"/>
        <v>12</v>
      </c>
      <c r="M1780" s="69">
        <v>46113</v>
      </c>
      <c r="N1780" s="12" t="s">
        <v>883</v>
      </c>
      <c r="O1780" s="20"/>
      <c r="P1780" s="35"/>
      <c r="Q1780" s="21"/>
      <c r="R1780" s="38"/>
      <c r="S1780" s="9">
        <f t="shared" si="1575"/>
        <v>0</v>
      </c>
      <c r="T1780" s="20"/>
      <c r="U1780" s="35"/>
      <c r="V1780" s="21"/>
      <c r="W1780" s="38"/>
      <c r="X1780" s="9">
        <f t="shared" si="1576"/>
        <v>0</v>
      </c>
      <c r="Y1780" s="11">
        <f t="shared" si="1577"/>
        <v>0</v>
      </c>
      <c r="Z1780" s="162" t="s">
        <v>884</v>
      </c>
    </row>
    <row r="1781" spans="1:26" x14ac:dyDescent="0.15">
      <c r="A1781" s="59" t="s">
        <v>27</v>
      </c>
      <c r="B1781" s="20"/>
      <c r="C1781" s="35"/>
      <c r="D1781" s="21"/>
      <c r="E1781" s="24"/>
      <c r="F1781" s="25">
        <f t="shared" si="1562"/>
        <v>0</v>
      </c>
      <c r="G1781" s="20"/>
      <c r="H1781" s="35"/>
      <c r="I1781" s="21">
        <v>1</v>
      </c>
      <c r="J1781" s="24"/>
      <c r="K1781" s="25">
        <f t="shared" si="1563"/>
        <v>1</v>
      </c>
      <c r="L1781" s="11">
        <f t="shared" si="1555"/>
        <v>1</v>
      </c>
      <c r="M1781" s="71">
        <v>46113</v>
      </c>
      <c r="N1781" s="104" t="s">
        <v>903</v>
      </c>
      <c r="O1781" s="154"/>
      <c r="P1781" s="156"/>
      <c r="Q1781" s="155"/>
      <c r="R1781" s="159"/>
      <c r="S1781" s="158">
        <f t="shared" si="1570"/>
        <v>0</v>
      </c>
      <c r="T1781" s="154"/>
      <c r="U1781" s="156"/>
      <c r="V1781" s="155"/>
      <c r="W1781" s="159"/>
      <c r="X1781" s="158">
        <f t="shared" si="1571"/>
        <v>0</v>
      </c>
      <c r="Y1781" s="160">
        <f t="shared" si="1569"/>
        <v>0</v>
      </c>
      <c r="Z1781" s="162"/>
    </row>
    <row r="1782" spans="1:26" ht="14.25" thickBot="1" x14ac:dyDescent="0.2">
      <c r="A1782" s="59" t="s">
        <v>27</v>
      </c>
      <c r="B1782" s="43"/>
      <c r="C1782" s="44">
        <v>2</v>
      </c>
      <c r="D1782" s="45">
        <v>1</v>
      </c>
      <c r="E1782" s="46"/>
      <c r="F1782" s="25">
        <f t="shared" si="1562"/>
        <v>3</v>
      </c>
      <c r="G1782" s="43"/>
      <c r="H1782" s="44">
        <v>2</v>
      </c>
      <c r="I1782" s="45">
        <v>1</v>
      </c>
      <c r="J1782" s="46"/>
      <c r="K1782" s="25">
        <f t="shared" si="1563"/>
        <v>3</v>
      </c>
      <c r="L1782" s="14">
        <f t="shared" si="1555"/>
        <v>6</v>
      </c>
      <c r="M1782" s="71">
        <v>46114</v>
      </c>
      <c r="N1782" s="105" t="s">
        <v>934</v>
      </c>
      <c r="O1782" s="43"/>
      <c r="P1782" s="44"/>
      <c r="Q1782" s="45"/>
      <c r="R1782" s="100"/>
      <c r="S1782" s="10">
        <f t="shared" si="1570"/>
        <v>0</v>
      </c>
      <c r="T1782" s="43"/>
      <c r="U1782" s="44"/>
      <c r="V1782" s="45"/>
      <c r="W1782" s="100"/>
      <c r="X1782" s="10">
        <f t="shared" si="1571"/>
        <v>0</v>
      </c>
      <c r="Y1782" s="75">
        <f t="shared" si="1569"/>
        <v>0</v>
      </c>
      <c r="Z1782" s="242" t="s">
        <v>902</v>
      </c>
    </row>
    <row r="1783" spans="1:26" ht="14.25" thickBot="1" x14ac:dyDescent="0.2">
      <c r="A1783" s="16" t="s">
        <v>9</v>
      </c>
      <c r="B1783" s="28">
        <f>SUM(B1758:B1782)</f>
        <v>20</v>
      </c>
      <c r="C1783" s="36">
        <f>SUM(C1758:C1782)</f>
        <v>23</v>
      </c>
      <c r="D1783" s="29">
        <f>SUM(D1758:D1782)</f>
        <v>10</v>
      </c>
      <c r="E1783" s="30">
        <f>SUM(E1758:E1782)</f>
        <v>9</v>
      </c>
      <c r="F1783" s="26">
        <f>SUM(B1783:E1783)</f>
        <v>62</v>
      </c>
      <c r="G1783" s="28">
        <f>SUM(G1758:G1782)</f>
        <v>9</v>
      </c>
      <c r="H1783" s="36">
        <f>SUM(H1758:H1782)</f>
        <v>27</v>
      </c>
      <c r="I1783" s="29">
        <f>SUM(I1758:I1782)</f>
        <v>13</v>
      </c>
      <c r="J1783" s="30">
        <f>SUM(J1758:J1782)</f>
        <v>7</v>
      </c>
      <c r="K1783" s="26">
        <f>SUM(G1783:J1783)</f>
        <v>56</v>
      </c>
      <c r="L1783" s="27">
        <f t="shared" si="1555"/>
        <v>118</v>
      </c>
      <c r="N1783" s="61" t="s">
        <v>9</v>
      </c>
      <c r="O1783" s="28">
        <f>SUM(O1758:O1782)</f>
        <v>150</v>
      </c>
      <c r="P1783" s="36">
        <f t="shared" ref="P1783:R1783" si="1578">SUM(P1758:P1782)</f>
        <v>172</v>
      </c>
      <c r="Q1783" s="29">
        <f t="shared" si="1578"/>
        <v>118</v>
      </c>
      <c r="R1783" s="30">
        <f t="shared" si="1578"/>
        <v>55</v>
      </c>
      <c r="S1783" s="60">
        <f>SUM(O1783:R1783)</f>
        <v>495</v>
      </c>
      <c r="T1783" s="28">
        <f>SUM(T1758:T1782)</f>
        <v>130</v>
      </c>
      <c r="U1783" s="36">
        <f t="shared" ref="U1783:W1783" si="1579">SUM(U1758:U1782)</f>
        <v>193</v>
      </c>
      <c r="V1783" s="29">
        <f t="shared" si="1579"/>
        <v>73</v>
      </c>
      <c r="W1783" s="30">
        <f t="shared" si="1579"/>
        <v>49</v>
      </c>
      <c r="X1783" s="60">
        <f>SUM(T1783:W1783)</f>
        <v>445</v>
      </c>
      <c r="Y1783" s="63">
        <f>S1783+X1783</f>
        <v>940</v>
      </c>
    </row>
    <row r="1784" spans="1:26" ht="14.25" thickBot="1" x14ac:dyDescent="0.2">
      <c r="A1784" s="18" t="s">
        <v>10</v>
      </c>
      <c r="B1784" s="31">
        <f t="shared" ref="B1784:K1784" si="1580">B1757-B1783</f>
        <v>20</v>
      </c>
      <c r="C1784" s="37">
        <f t="shared" si="1580"/>
        <v>25</v>
      </c>
      <c r="D1784" s="32">
        <f t="shared" si="1580"/>
        <v>21</v>
      </c>
      <c r="E1784" s="33">
        <f t="shared" si="1580"/>
        <v>25</v>
      </c>
      <c r="F1784" s="42">
        <f t="shared" si="1580"/>
        <v>91</v>
      </c>
      <c r="G1784" s="31">
        <f t="shared" si="1580"/>
        <v>29</v>
      </c>
      <c r="H1784" s="37">
        <f t="shared" si="1580"/>
        <v>22</v>
      </c>
      <c r="I1784" s="32">
        <f t="shared" si="1580"/>
        <v>23</v>
      </c>
      <c r="J1784" s="33">
        <f t="shared" si="1580"/>
        <v>26</v>
      </c>
      <c r="K1784" s="42">
        <f t="shared" si="1580"/>
        <v>100</v>
      </c>
      <c r="L1784" s="17">
        <f t="shared" si="1555"/>
        <v>191</v>
      </c>
      <c r="N1784" s="16" t="s">
        <v>10</v>
      </c>
      <c r="O1784" s="31">
        <f>O1757-O1783</f>
        <v>551</v>
      </c>
      <c r="P1784" s="37">
        <f t="shared" ref="P1784:R1784" si="1581">P1757-P1783</f>
        <v>773</v>
      </c>
      <c r="Q1784" s="32">
        <f t="shared" si="1581"/>
        <v>515</v>
      </c>
      <c r="R1784" s="33">
        <f t="shared" si="1581"/>
        <v>340</v>
      </c>
      <c r="S1784" s="42">
        <f>S1757-S1783</f>
        <v>2179</v>
      </c>
      <c r="T1784" s="31">
        <f>T1757-T1783</f>
        <v>588</v>
      </c>
      <c r="U1784" s="37">
        <f t="shared" ref="U1784:W1784" si="1582">U1757-U1783</f>
        <v>811</v>
      </c>
      <c r="V1784" s="32">
        <f t="shared" si="1582"/>
        <v>529</v>
      </c>
      <c r="W1784" s="33">
        <f t="shared" si="1582"/>
        <v>389</v>
      </c>
      <c r="X1784" s="42">
        <f>X1757-X1783</f>
        <v>2317</v>
      </c>
      <c r="Y1784" s="17">
        <f>S1784+X1784</f>
        <v>4496</v>
      </c>
      <c r="Z1784" s="230" t="s">
        <v>926</v>
      </c>
    </row>
    <row r="1785" spans="1:26" x14ac:dyDescent="0.15">
      <c r="N1785" s="232" t="s">
        <v>967</v>
      </c>
      <c r="O1785" s="62">
        <f>O1783+O1745+O1707+O1669+O1631+O1593+O1555+O1517+O1479+O1441+O1403+O1365+O1329</f>
        <v>3661</v>
      </c>
      <c r="P1785" s="62">
        <f t="shared" ref="P1785:Y1785" si="1583">P1783+P1745+P1707+P1669+P1631+P1593+P1555+P1517+P1479+P1441+P1403+P1365+P1329</f>
        <v>5003</v>
      </c>
      <c r="Q1785" s="62">
        <f t="shared" si="1583"/>
        <v>2970</v>
      </c>
      <c r="R1785" s="62">
        <f t="shared" si="1583"/>
        <v>2118</v>
      </c>
      <c r="S1785" s="62">
        <f t="shared" si="1583"/>
        <v>13752</v>
      </c>
      <c r="T1785" s="62">
        <f t="shared" si="1583"/>
        <v>3744</v>
      </c>
      <c r="U1785" s="62">
        <f t="shared" si="1583"/>
        <v>5284</v>
      </c>
      <c r="V1785" s="62">
        <f t="shared" si="1583"/>
        <v>3167</v>
      </c>
      <c r="W1785" s="62">
        <f t="shared" si="1583"/>
        <v>2175</v>
      </c>
      <c r="X1785" s="62">
        <f t="shared" si="1583"/>
        <v>14370</v>
      </c>
      <c r="Y1785" s="62">
        <f t="shared" si="1583"/>
        <v>28122</v>
      </c>
    </row>
    <row r="1786" spans="1:26" x14ac:dyDescent="0.15">
      <c r="N1786" s="233" t="s">
        <v>968</v>
      </c>
      <c r="O1786" s="101">
        <f>O1785/$S$1785*100</f>
        <v>26.621582315299591</v>
      </c>
      <c r="P1786" s="101">
        <f t="shared" ref="P1786:S1786" si="1584">P1785/$S$1785*100</f>
        <v>36.380162885398484</v>
      </c>
      <c r="Q1786" s="101">
        <f t="shared" si="1584"/>
        <v>21.596858638743456</v>
      </c>
      <c r="R1786" s="101">
        <f t="shared" si="1584"/>
        <v>15.401396160558464</v>
      </c>
      <c r="S1786" s="101">
        <f t="shared" si="1584"/>
        <v>100</v>
      </c>
      <c r="T1786" s="101">
        <f>T1785/$X$1785*100</f>
        <v>26.054279749478081</v>
      </c>
      <c r="U1786" s="101">
        <f t="shared" ref="U1786:X1786" si="1585">U1785/$X$1785*100</f>
        <v>36.77105080027836</v>
      </c>
      <c r="V1786" s="101">
        <f t="shared" si="1585"/>
        <v>22.038970076548363</v>
      </c>
      <c r="W1786" s="101">
        <f t="shared" si="1585"/>
        <v>15.1356993736952</v>
      </c>
      <c r="X1786" s="101">
        <f t="shared" si="1585"/>
        <v>100</v>
      </c>
      <c r="Y1786" s="81"/>
    </row>
    <row r="1787" spans="1:26" ht="19.5" thickBot="1" x14ac:dyDescent="0.25">
      <c r="A1787" s="2" t="s">
        <v>17</v>
      </c>
      <c r="B1787" s="2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N1787" s="2" t="s">
        <v>18</v>
      </c>
      <c r="O1787" s="87"/>
      <c r="P1787" s="87"/>
      <c r="Q1787" s="87"/>
      <c r="R1787" s="87"/>
      <c r="S1787" s="87">
        <f>S1785/$Y$1785*100</f>
        <v>48.901216129720503</v>
      </c>
      <c r="T1787" s="87"/>
      <c r="U1787" s="87"/>
      <c r="V1787" s="87"/>
      <c r="W1787" s="87"/>
      <c r="X1787" s="87">
        <f>X1785/$Y$1785*100</f>
        <v>51.098783870279497</v>
      </c>
      <c r="Y1787" s="1"/>
    </row>
    <row r="1788" spans="1:26" ht="14.25" thickBot="1" x14ac:dyDescent="0.2">
      <c r="A1788" s="5" t="s">
        <v>0</v>
      </c>
      <c r="B1788" s="244" t="s">
        <v>19</v>
      </c>
      <c r="C1788" s="245"/>
      <c r="D1788" s="245"/>
      <c r="E1788" s="245"/>
      <c r="F1788" s="246"/>
      <c r="G1788" s="247" t="s">
        <v>20</v>
      </c>
      <c r="H1788" s="248"/>
      <c r="I1788" s="248"/>
      <c r="J1788" s="248"/>
      <c r="K1788" s="249"/>
      <c r="L1788" s="250" t="s">
        <v>1</v>
      </c>
      <c r="N1788" s="5" t="s">
        <v>0</v>
      </c>
      <c r="O1788" s="244" t="s">
        <v>19</v>
      </c>
      <c r="P1788" s="245"/>
      <c r="Q1788" s="245"/>
      <c r="R1788" s="245"/>
      <c r="S1788" s="246"/>
      <c r="T1788" s="247" t="s">
        <v>20</v>
      </c>
      <c r="U1788" s="248"/>
      <c r="V1788" s="248"/>
      <c r="W1788" s="248"/>
      <c r="X1788" s="249"/>
      <c r="Y1788" s="250" t="s">
        <v>1</v>
      </c>
    </row>
    <row r="1789" spans="1:26" ht="14.25" thickBot="1" x14ac:dyDescent="0.2">
      <c r="A1789" s="5" t="s">
        <v>2</v>
      </c>
      <c r="B1789" s="3" t="s">
        <v>11</v>
      </c>
      <c r="C1789" s="34" t="s">
        <v>12</v>
      </c>
      <c r="D1789" s="4" t="s">
        <v>13</v>
      </c>
      <c r="E1789" s="19" t="s">
        <v>14</v>
      </c>
      <c r="F1789" s="23" t="s">
        <v>3</v>
      </c>
      <c r="G1789" s="3" t="s">
        <v>11</v>
      </c>
      <c r="H1789" s="34" t="s">
        <v>12</v>
      </c>
      <c r="I1789" s="4" t="s">
        <v>13</v>
      </c>
      <c r="J1789" s="19" t="s">
        <v>14</v>
      </c>
      <c r="K1789" s="23" t="s">
        <v>3</v>
      </c>
      <c r="L1789" s="251"/>
      <c r="N1789" s="5" t="s">
        <v>2</v>
      </c>
      <c r="O1789" s="53" t="s">
        <v>11</v>
      </c>
      <c r="P1789" s="54" t="s">
        <v>12</v>
      </c>
      <c r="Q1789" s="55" t="s">
        <v>13</v>
      </c>
      <c r="R1789" s="56" t="s">
        <v>14</v>
      </c>
      <c r="S1789" s="23" t="s">
        <v>3</v>
      </c>
      <c r="T1789" s="3" t="s">
        <v>11</v>
      </c>
      <c r="U1789" s="34" t="s">
        <v>12</v>
      </c>
      <c r="V1789" s="4" t="s">
        <v>13</v>
      </c>
      <c r="W1789" s="19" t="s">
        <v>14</v>
      </c>
      <c r="X1789" s="23" t="s">
        <v>3</v>
      </c>
      <c r="Y1789" s="251"/>
    </row>
    <row r="1790" spans="1:26" ht="14.25" thickBot="1" x14ac:dyDescent="0.2">
      <c r="A1790" s="18" t="s">
        <v>15</v>
      </c>
      <c r="B1790" s="31">
        <f>B1784</f>
        <v>20</v>
      </c>
      <c r="C1790" s="32">
        <f>C1784</f>
        <v>25</v>
      </c>
      <c r="D1790" s="32">
        <f>D1784</f>
        <v>21</v>
      </c>
      <c r="E1790" s="33">
        <f>E1784</f>
        <v>25</v>
      </c>
      <c r="F1790" s="86">
        <f>SUM(B1790:E1790)</f>
        <v>91</v>
      </c>
      <c r="G1790" s="31">
        <f>G1784</f>
        <v>29</v>
      </c>
      <c r="H1790" s="32">
        <f>H1784</f>
        <v>22</v>
      </c>
      <c r="I1790" s="32">
        <f>I1784</f>
        <v>23</v>
      </c>
      <c r="J1790" s="33">
        <f>J1784</f>
        <v>26</v>
      </c>
      <c r="K1790" s="80">
        <f>SUM(G1790:J1790)</f>
        <v>100</v>
      </c>
      <c r="L1790" s="17">
        <f>F1790+K1790</f>
        <v>191</v>
      </c>
      <c r="N1790" s="18" t="s">
        <v>15</v>
      </c>
      <c r="O1790" s="31">
        <f>O1784</f>
        <v>551</v>
      </c>
      <c r="P1790" s="32">
        <f t="shared" ref="P1790:Y1790" si="1586">P1784</f>
        <v>773</v>
      </c>
      <c r="Q1790" s="32">
        <f t="shared" si="1586"/>
        <v>515</v>
      </c>
      <c r="R1790" s="33">
        <f t="shared" si="1586"/>
        <v>340</v>
      </c>
      <c r="S1790" s="86">
        <f t="shared" si="1586"/>
        <v>2179</v>
      </c>
      <c r="T1790" s="31">
        <f t="shared" si="1586"/>
        <v>588</v>
      </c>
      <c r="U1790" s="32">
        <f t="shared" si="1586"/>
        <v>811</v>
      </c>
      <c r="V1790" s="32">
        <f t="shared" si="1586"/>
        <v>529</v>
      </c>
      <c r="W1790" s="33">
        <f t="shared" si="1586"/>
        <v>389</v>
      </c>
      <c r="X1790" s="80">
        <f t="shared" si="1586"/>
        <v>2317</v>
      </c>
      <c r="Y1790" s="17">
        <f t="shared" si="1586"/>
        <v>4496</v>
      </c>
    </row>
    <row r="1791" spans="1:26" x14ac:dyDescent="0.15">
      <c r="A1791" s="13" t="s">
        <v>4</v>
      </c>
      <c r="B1791" s="20">
        <v>10</v>
      </c>
      <c r="C1791" s="35">
        <v>5</v>
      </c>
      <c r="D1791" s="21">
        <v>10</v>
      </c>
      <c r="E1791" s="24">
        <v>5</v>
      </c>
      <c r="F1791" s="25">
        <f t="shared" ref="F1791:F1794" si="1587">SUM(B1791:E1791)</f>
        <v>30</v>
      </c>
      <c r="G1791" s="20">
        <v>5</v>
      </c>
      <c r="H1791" s="35">
        <v>10</v>
      </c>
      <c r="I1791" s="21">
        <v>5</v>
      </c>
      <c r="J1791" s="24">
        <v>5</v>
      </c>
      <c r="K1791" s="25">
        <f t="shared" ref="K1791:K1794" si="1588">SUM(G1791:J1791)</f>
        <v>25</v>
      </c>
      <c r="L1791" s="11">
        <f t="shared" ref="L1791:L1822" si="1589">F1791+K1791</f>
        <v>55</v>
      </c>
      <c r="M1791" s="71">
        <v>46116</v>
      </c>
      <c r="N1791" s="59" t="s">
        <v>16</v>
      </c>
      <c r="O1791" s="48"/>
      <c r="P1791" s="49"/>
      <c r="Q1791" s="50"/>
      <c r="R1791" s="51"/>
      <c r="S1791" s="85">
        <f t="shared" ref="S1791:S1793" si="1590">SUM(O1791:R1791)</f>
        <v>0</v>
      </c>
      <c r="T1791" s="48"/>
      <c r="U1791" s="49"/>
      <c r="V1791" s="50"/>
      <c r="W1791" s="51"/>
      <c r="X1791" s="74">
        <f t="shared" ref="X1791:X1793" si="1591">SUM(T1791:W1791)</f>
        <v>0</v>
      </c>
      <c r="Y1791" s="11">
        <f t="shared" ref="Y1791:Y1794" si="1592">S1791+X1791</f>
        <v>0</v>
      </c>
    </row>
    <row r="1792" spans="1:26" x14ac:dyDescent="0.15">
      <c r="A1792" s="13" t="s">
        <v>966</v>
      </c>
      <c r="B1792" s="20">
        <v>1</v>
      </c>
      <c r="C1792" s="35">
        <v>-1</v>
      </c>
      <c r="D1792" s="21"/>
      <c r="E1792" s="24"/>
      <c r="F1792" s="25">
        <f t="shared" si="1587"/>
        <v>0</v>
      </c>
      <c r="G1792" s="20"/>
      <c r="H1792" s="35"/>
      <c r="I1792" s="21"/>
      <c r="J1792" s="24"/>
      <c r="K1792" s="25">
        <f t="shared" si="1588"/>
        <v>0</v>
      </c>
      <c r="L1792" s="11">
        <f t="shared" si="1589"/>
        <v>0</v>
      </c>
      <c r="M1792" s="71">
        <v>46120</v>
      </c>
      <c r="N1792" s="59" t="s">
        <v>4</v>
      </c>
      <c r="O1792" s="48"/>
      <c r="P1792" s="49"/>
      <c r="Q1792" s="50"/>
      <c r="R1792" s="51"/>
      <c r="S1792" s="85">
        <f t="shared" si="1590"/>
        <v>0</v>
      </c>
      <c r="T1792" s="48"/>
      <c r="U1792" s="49"/>
      <c r="V1792" s="50"/>
      <c r="W1792" s="51"/>
      <c r="X1792" s="74">
        <f t="shared" si="1591"/>
        <v>0</v>
      </c>
      <c r="Y1792" s="11">
        <f t="shared" si="1592"/>
        <v>0</v>
      </c>
    </row>
    <row r="1793" spans="1:26" x14ac:dyDescent="0.15">
      <c r="A1793" s="13" t="s">
        <v>6</v>
      </c>
      <c r="B1793" s="20">
        <v>10</v>
      </c>
      <c r="C1793" s="35">
        <v>20</v>
      </c>
      <c r="D1793" s="21">
        <v>10</v>
      </c>
      <c r="E1793" s="24">
        <v>10</v>
      </c>
      <c r="F1793" s="25">
        <f t="shared" si="1587"/>
        <v>50</v>
      </c>
      <c r="G1793" s="20">
        <v>20</v>
      </c>
      <c r="H1793" s="35">
        <v>20</v>
      </c>
      <c r="I1793" s="21">
        <v>15</v>
      </c>
      <c r="J1793" s="24">
        <v>5</v>
      </c>
      <c r="K1793" s="25">
        <f t="shared" si="1588"/>
        <v>60</v>
      </c>
      <c r="L1793" s="11">
        <f t="shared" si="1589"/>
        <v>110</v>
      </c>
      <c r="M1793" s="69">
        <v>46129</v>
      </c>
      <c r="N1793" s="59" t="s">
        <v>5</v>
      </c>
      <c r="O1793" s="48"/>
      <c r="P1793" s="49"/>
      <c r="Q1793" s="50"/>
      <c r="R1793" s="51"/>
      <c r="S1793" s="85">
        <f t="shared" si="1590"/>
        <v>0</v>
      </c>
      <c r="T1793" s="48"/>
      <c r="U1793" s="49"/>
      <c r="V1793" s="50"/>
      <c r="W1793" s="51"/>
      <c r="X1793" s="74">
        <f t="shared" si="1591"/>
        <v>0</v>
      </c>
      <c r="Y1793" s="11">
        <f t="shared" si="1592"/>
        <v>0</v>
      </c>
    </row>
    <row r="1794" spans="1:26" ht="14.25" thickBot="1" x14ac:dyDescent="0.2">
      <c r="A1794" s="13" t="s">
        <v>7</v>
      </c>
      <c r="B1794" s="48"/>
      <c r="C1794" s="49"/>
      <c r="D1794" s="50"/>
      <c r="E1794" s="51"/>
      <c r="F1794" s="52">
        <f t="shared" si="1587"/>
        <v>0</v>
      </c>
      <c r="G1794" s="48"/>
      <c r="H1794" s="49"/>
      <c r="I1794" s="50"/>
      <c r="J1794" s="51"/>
      <c r="K1794" s="52">
        <f t="shared" si="1588"/>
        <v>0</v>
      </c>
      <c r="L1794" s="11">
        <f t="shared" si="1589"/>
        <v>0</v>
      </c>
      <c r="N1794" s="13" t="s">
        <v>6</v>
      </c>
      <c r="O1794" s="43"/>
      <c r="P1794" s="44"/>
      <c r="Q1794" s="45"/>
      <c r="R1794" s="46"/>
      <c r="S1794" s="58">
        <f>SUM(O1794:R1794)</f>
        <v>0</v>
      </c>
      <c r="T1794" s="35"/>
      <c r="U1794" s="35"/>
      <c r="V1794" s="21"/>
      <c r="W1794" s="38"/>
      <c r="X1794" s="10">
        <f>SUM(T1794:W1794)</f>
        <v>0</v>
      </c>
      <c r="Y1794" s="14">
        <f t="shared" si="1592"/>
        <v>0</v>
      </c>
    </row>
    <row r="1795" spans="1:26" ht="14.25" thickBot="1" x14ac:dyDescent="0.2">
      <c r="A1795" s="18" t="s">
        <v>8</v>
      </c>
      <c r="B1795" s="76">
        <f t="shared" ref="B1795:K1795" si="1593">SUM(B1790:B1794)</f>
        <v>41</v>
      </c>
      <c r="C1795" s="77">
        <f t="shared" si="1593"/>
        <v>49</v>
      </c>
      <c r="D1795" s="78">
        <f t="shared" si="1593"/>
        <v>41</v>
      </c>
      <c r="E1795" s="79">
        <f t="shared" si="1593"/>
        <v>40</v>
      </c>
      <c r="F1795" s="80">
        <f t="shared" si="1593"/>
        <v>171</v>
      </c>
      <c r="G1795" s="76">
        <f t="shared" si="1593"/>
        <v>54</v>
      </c>
      <c r="H1795" s="77">
        <f t="shared" si="1593"/>
        <v>52</v>
      </c>
      <c r="I1795" s="78">
        <f t="shared" si="1593"/>
        <v>43</v>
      </c>
      <c r="J1795" s="79">
        <f t="shared" si="1593"/>
        <v>36</v>
      </c>
      <c r="K1795" s="80">
        <f t="shared" si="1593"/>
        <v>185</v>
      </c>
      <c r="L1795" s="17">
        <f t="shared" si="1589"/>
        <v>356</v>
      </c>
      <c r="N1795" s="16" t="s">
        <v>8</v>
      </c>
      <c r="O1795" s="31">
        <f>SUM(O1790:O1794)</f>
        <v>551</v>
      </c>
      <c r="P1795" s="37">
        <f t="shared" ref="P1795:R1795" si="1594">SUM(P1790:P1794)</f>
        <v>773</v>
      </c>
      <c r="Q1795" s="32">
        <f t="shared" si="1594"/>
        <v>515</v>
      </c>
      <c r="R1795" s="82">
        <f t="shared" si="1594"/>
        <v>340</v>
      </c>
      <c r="S1795" s="83">
        <f>SUM(S1790:S1794)</f>
        <v>2179</v>
      </c>
      <c r="T1795" s="31">
        <f>SUM(T1790:T1794)</f>
        <v>588</v>
      </c>
      <c r="U1795" s="37">
        <f t="shared" ref="U1795:W1795" si="1595">SUM(U1790:U1794)</f>
        <v>811</v>
      </c>
      <c r="V1795" s="32">
        <f t="shared" si="1595"/>
        <v>529</v>
      </c>
      <c r="W1795" s="82">
        <f t="shared" si="1595"/>
        <v>389</v>
      </c>
      <c r="X1795" s="83">
        <f>SUM(X1790:X1794)</f>
        <v>2317</v>
      </c>
      <c r="Y1795" s="39">
        <f>S1795+X1795</f>
        <v>4496</v>
      </c>
    </row>
    <row r="1796" spans="1:26" x14ac:dyDescent="0.15">
      <c r="A1796" s="59" t="s">
        <v>27</v>
      </c>
      <c r="B1796" s="20">
        <v>1</v>
      </c>
      <c r="C1796" s="35"/>
      <c r="D1796" s="21"/>
      <c r="E1796" s="24"/>
      <c r="F1796" s="25">
        <f t="shared" ref="F1796:F1820" si="1596">SUM(B1796:E1796)</f>
        <v>1</v>
      </c>
      <c r="G1796" s="20">
        <v>1</v>
      </c>
      <c r="H1796" s="35">
        <v>1</v>
      </c>
      <c r="I1796" s="21"/>
      <c r="J1796" s="24"/>
      <c r="K1796" s="25">
        <f t="shared" ref="K1796:K1820" si="1597">SUM(G1796:J1796)</f>
        <v>2</v>
      </c>
      <c r="L1796" s="11">
        <f t="shared" si="1589"/>
        <v>3</v>
      </c>
      <c r="M1796" s="71">
        <v>46115</v>
      </c>
      <c r="N1796" s="40" t="s">
        <v>970</v>
      </c>
      <c r="O1796" s="20">
        <v>1</v>
      </c>
      <c r="P1796" s="35"/>
      <c r="Q1796" s="21"/>
      <c r="R1796" s="38"/>
      <c r="S1796" s="9">
        <f t="shared" ref="S1796:S1798" si="1598">SUM(O1796:R1796)</f>
        <v>1</v>
      </c>
      <c r="T1796" s="20">
        <v>1</v>
      </c>
      <c r="U1796" s="35"/>
      <c r="V1796" s="21"/>
      <c r="W1796" s="38"/>
      <c r="X1796" s="9">
        <f t="shared" ref="X1796:X1798" si="1599">SUM(T1796:W1796)</f>
        <v>1</v>
      </c>
      <c r="Y1796" s="11">
        <f t="shared" ref="Y1796:Y1798" si="1600">S1796+X1796</f>
        <v>2</v>
      </c>
      <c r="Z1796" s="69">
        <v>46150</v>
      </c>
    </row>
    <row r="1797" spans="1:26" x14ac:dyDescent="0.15">
      <c r="A1797" s="59" t="s">
        <v>27</v>
      </c>
      <c r="B1797" s="20">
        <v>2</v>
      </c>
      <c r="C1797" s="35"/>
      <c r="D1797" s="21">
        <v>1</v>
      </c>
      <c r="E1797" s="24"/>
      <c r="F1797" s="25">
        <f t="shared" si="1596"/>
        <v>3</v>
      </c>
      <c r="G1797" s="20">
        <v>4</v>
      </c>
      <c r="H1797" s="35">
        <v>1</v>
      </c>
      <c r="I1797" s="21">
        <v>2</v>
      </c>
      <c r="J1797" s="24"/>
      <c r="K1797" s="25">
        <f t="shared" si="1597"/>
        <v>7</v>
      </c>
      <c r="L1797" s="11">
        <f t="shared" si="1589"/>
        <v>10</v>
      </c>
      <c r="M1797" s="71">
        <v>46118</v>
      </c>
      <c r="N1797" s="12" t="s">
        <v>976</v>
      </c>
      <c r="O1797" s="20"/>
      <c r="P1797" s="35"/>
      <c r="Q1797" s="21">
        <v>5</v>
      </c>
      <c r="R1797" s="38">
        <v>5</v>
      </c>
      <c r="S1797" s="9">
        <f t="shared" si="1598"/>
        <v>10</v>
      </c>
      <c r="T1797" s="20"/>
      <c r="U1797" s="35"/>
      <c r="V1797" s="21">
        <v>10</v>
      </c>
      <c r="W1797" s="38">
        <v>6</v>
      </c>
      <c r="X1797" s="9">
        <f t="shared" si="1599"/>
        <v>16</v>
      </c>
      <c r="Y1797" s="11">
        <f t="shared" si="1600"/>
        <v>26</v>
      </c>
      <c r="Z1797" s="69">
        <v>46143</v>
      </c>
    </row>
    <row r="1798" spans="1:26" x14ac:dyDescent="0.15">
      <c r="A1798" s="59" t="s">
        <v>421</v>
      </c>
      <c r="B1798" s="20"/>
      <c r="C1798" s="35">
        <v>1</v>
      </c>
      <c r="D1798" s="21"/>
      <c r="E1798" s="24"/>
      <c r="F1798" s="25">
        <f t="shared" si="1596"/>
        <v>1</v>
      </c>
      <c r="G1798" s="20"/>
      <c r="H1798" s="35"/>
      <c r="I1798" s="21"/>
      <c r="J1798" s="24"/>
      <c r="K1798" s="25">
        <f t="shared" si="1597"/>
        <v>0</v>
      </c>
      <c r="L1798" s="11">
        <f t="shared" si="1589"/>
        <v>1</v>
      </c>
      <c r="M1798" s="69">
        <v>46119</v>
      </c>
      <c r="N1798" s="12" t="s">
        <v>981</v>
      </c>
      <c r="O1798" s="20"/>
      <c r="P1798" s="35">
        <v>5</v>
      </c>
      <c r="Q1798" s="21"/>
      <c r="R1798" s="38"/>
      <c r="S1798" s="9">
        <f t="shared" si="1598"/>
        <v>5</v>
      </c>
      <c r="T1798" s="20">
        <v>10</v>
      </c>
      <c r="U1798" s="35"/>
      <c r="V1798" s="21"/>
      <c r="W1798" s="38">
        <v>8</v>
      </c>
      <c r="X1798" s="9">
        <f t="shared" si="1599"/>
        <v>18</v>
      </c>
      <c r="Y1798" s="11">
        <f t="shared" si="1600"/>
        <v>23</v>
      </c>
      <c r="Z1798" s="69">
        <v>46139</v>
      </c>
    </row>
    <row r="1799" spans="1:26" x14ac:dyDescent="0.15">
      <c r="A1799" s="12" t="s">
        <v>965</v>
      </c>
      <c r="B1799" s="20"/>
      <c r="C1799" s="35">
        <v>2</v>
      </c>
      <c r="D1799" s="21"/>
      <c r="E1799" s="24">
        <v>2</v>
      </c>
      <c r="F1799" s="25">
        <f t="shared" si="1596"/>
        <v>4</v>
      </c>
      <c r="G1799" s="20"/>
      <c r="H1799" s="35">
        <v>3</v>
      </c>
      <c r="I1799" s="21">
        <v>2</v>
      </c>
      <c r="J1799" s="24"/>
      <c r="K1799" s="25">
        <f t="shared" si="1597"/>
        <v>5</v>
      </c>
      <c r="L1799" s="11">
        <f t="shared" si="1589"/>
        <v>9</v>
      </c>
      <c r="M1799" s="69">
        <v>46120</v>
      </c>
      <c r="N1799" s="12" t="s">
        <v>989</v>
      </c>
      <c r="O1799" s="20"/>
      <c r="P1799" s="35"/>
      <c r="Q1799" s="21"/>
      <c r="R1799" s="38"/>
      <c r="S1799" s="9">
        <f t="shared" ref="S1799:S1808" si="1601">SUM(O1799:R1799)</f>
        <v>0</v>
      </c>
      <c r="T1799" s="20"/>
      <c r="U1799" s="35"/>
      <c r="V1799" s="21">
        <v>5</v>
      </c>
      <c r="W1799" s="38"/>
      <c r="X1799" s="9">
        <f t="shared" ref="X1799:X1808" si="1602">SUM(T1799:W1799)</f>
        <v>5</v>
      </c>
      <c r="Y1799" s="11">
        <f t="shared" ref="Y1799:Y1812" si="1603">S1799+X1799</f>
        <v>5</v>
      </c>
      <c r="Z1799" s="69">
        <v>46154</v>
      </c>
    </row>
    <row r="1800" spans="1:26" x14ac:dyDescent="0.15">
      <c r="A1800" s="59" t="s">
        <v>27</v>
      </c>
      <c r="B1800" s="20"/>
      <c r="C1800" s="35"/>
      <c r="D1800" s="21"/>
      <c r="E1800" s="24"/>
      <c r="F1800" s="25">
        <f t="shared" si="1596"/>
        <v>0</v>
      </c>
      <c r="G1800" s="20">
        <v>3</v>
      </c>
      <c r="H1800" s="35">
        <v>1</v>
      </c>
      <c r="I1800" s="21"/>
      <c r="J1800" s="24"/>
      <c r="K1800" s="25">
        <f t="shared" si="1597"/>
        <v>4</v>
      </c>
      <c r="L1800" s="11">
        <f t="shared" si="1589"/>
        <v>4</v>
      </c>
      <c r="M1800" s="71">
        <v>46119</v>
      </c>
      <c r="N1800" s="40" t="s">
        <v>991</v>
      </c>
      <c r="O1800" s="20">
        <v>3</v>
      </c>
      <c r="P1800" s="35"/>
      <c r="Q1800" s="21"/>
      <c r="R1800" s="38"/>
      <c r="S1800" s="9">
        <f t="shared" si="1601"/>
        <v>3</v>
      </c>
      <c r="T1800" s="20">
        <v>3</v>
      </c>
      <c r="U1800" s="35"/>
      <c r="V1800" s="21"/>
      <c r="W1800" s="38"/>
      <c r="X1800" s="9">
        <f t="shared" si="1602"/>
        <v>3</v>
      </c>
      <c r="Y1800" s="11">
        <f t="shared" si="1603"/>
        <v>6</v>
      </c>
      <c r="Z1800" s="69">
        <v>46160</v>
      </c>
    </row>
    <row r="1801" spans="1:26" x14ac:dyDescent="0.15">
      <c r="A1801" s="59" t="s">
        <v>421</v>
      </c>
      <c r="B1801" s="20"/>
      <c r="C1801" s="35">
        <v>1</v>
      </c>
      <c r="D1801" s="21"/>
      <c r="E1801" s="24"/>
      <c r="F1801" s="25">
        <f t="shared" si="1596"/>
        <v>1</v>
      </c>
      <c r="G1801" s="20">
        <v>1</v>
      </c>
      <c r="H1801" s="35">
        <v>1</v>
      </c>
      <c r="I1801" s="21"/>
      <c r="J1801" s="24"/>
      <c r="K1801" s="25">
        <f t="shared" si="1597"/>
        <v>2</v>
      </c>
      <c r="L1801" s="11">
        <f t="shared" si="1589"/>
        <v>3</v>
      </c>
      <c r="M1801" s="69">
        <v>46121</v>
      </c>
      <c r="N1801" s="40" t="s">
        <v>992</v>
      </c>
      <c r="O1801" s="20">
        <v>5</v>
      </c>
      <c r="P1801" s="35">
        <v>5</v>
      </c>
      <c r="Q1801" s="21">
        <v>5</v>
      </c>
      <c r="R1801" s="38"/>
      <c r="S1801" s="9">
        <f t="shared" si="1601"/>
        <v>15</v>
      </c>
      <c r="T1801" s="20">
        <v>15</v>
      </c>
      <c r="U1801" s="35">
        <v>15</v>
      </c>
      <c r="V1801" s="21">
        <v>5</v>
      </c>
      <c r="W1801" s="38"/>
      <c r="X1801" s="9">
        <f t="shared" si="1602"/>
        <v>35</v>
      </c>
      <c r="Y1801" s="11">
        <f t="shared" si="1603"/>
        <v>50</v>
      </c>
      <c r="Z1801" s="69">
        <v>46144</v>
      </c>
    </row>
    <row r="1802" spans="1:26" x14ac:dyDescent="0.15">
      <c r="A1802" s="59" t="s">
        <v>27</v>
      </c>
      <c r="B1802" s="20">
        <v>1</v>
      </c>
      <c r="C1802" s="35">
        <v>1</v>
      </c>
      <c r="D1802" s="21"/>
      <c r="E1802" s="24"/>
      <c r="F1802" s="25">
        <f t="shared" si="1596"/>
        <v>2</v>
      </c>
      <c r="G1802" s="20">
        <v>1</v>
      </c>
      <c r="H1802" s="35">
        <v>1</v>
      </c>
      <c r="I1802" s="21"/>
      <c r="J1802" s="24"/>
      <c r="K1802" s="25">
        <f t="shared" si="1597"/>
        <v>2</v>
      </c>
      <c r="L1802" s="11">
        <f t="shared" si="1589"/>
        <v>4</v>
      </c>
      <c r="M1802" s="69">
        <v>46120</v>
      </c>
      <c r="N1802" s="216" t="s">
        <v>900</v>
      </c>
      <c r="O1802" s="209">
        <v>5</v>
      </c>
      <c r="P1802" s="210">
        <v>5</v>
      </c>
      <c r="Q1802" s="211">
        <v>5</v>
      </c>
      <c r="R1802" s="217"/>
      <c r="S1802" s="218">
        <f t="shared" si="1601"/>
        <v>15</v>
      </c>
      <c r="T1802" s="209">
        <v>10</v>
      </c>
      <c r="U1802" s="210">
        <v>10</v>
      </c>
      <c r="V1802" s="211">
        <v>5</v>
      </c>
      <c r="W1802" s="217"/>
      <c r="X1802" s="218">
        <f t="shared" si="1602"/>
        <v>25</v>
      </c>
      <c r="Y1802" s="214">
        <f t="shared" si="1603"/>
        <v>40</v>
      </c>
      <c r="Z1802" s="215">
        <v>46153</v>
      </c>
    </row>
    <row r="1803" spans="1:26" x14ac:dyDescent="0.15">
      <c r="A1803" s="59" t="s">
        <v>27</v>
      </c>
      <c r="B1803" s="20"/>
      <c r="C1803" s="35">
        <v>1</v>
      </c>
      <c r="D1803" s="21"/>
      <c r="E1803" s="24"/>
      <c r="F1803" s="25">
        <f t="shared" si="1596"/>
        <v>1</v>
      </c>
      <c r="G1803" s="20"/>
      <c r="H1803" s="35">
        <v>1</v>
      </c>
      <c r="I1803" s="21"/>
      <c r="J1803" s="24"/>
      <c r="K1803" s="25">
        <f t="shared" si="1597"/>
        <v>1</v>
      </c>
      <c r="L1803" s="11">
        <f t="shared" si="1589"/>
        <v>2</v>
      </c>
      <c r="M1803" s="71">
        <v>46121</v>
      </c>
      <c r="N1803" s="40" t="s">
        <v>996</v>
      </c>
      <c r="O1803" s="20"/>
      <c r="P1803" s="35"/>
      <c r="Q1803" s="21"/>
      <c r="R1803" s="38">
        <v>5</v>
      </c>
      <c r="S1803" s="9">
        <f t="shared" si="1601"/>
        <v>5</v>
      </c>
      <c r="T1803" s="20"/>
      <c r="U1803" s="35"/>
      <c r="V1803" s="21"/>
      <c r="W1803" s="38">
        <v>5</v>
      </c>
      <c r="X1803" s="9">
        <f t="shared" si="1602"/>
        <v>5</v>
      </c>
      <c r="Y1803" s="11">
        <f t="shared" si="1603"/>
        <v>10</v>
      </c>
      <c r="Z1803" s="69">
        <v>46156</v>
      </c>
    </row>
    <row r="1804" spans="1:26" x14ac:dyDescent="0.15">
      <c r="A1804" s="59" t="s">
        <v>421</v>
      </c>
      <c r="B1804" s="20"/>
      <c r="C1804" s="35"/>
      <c r="D1804" s="21">
        <v>1</v>
      </c>
      <c r="E1804" s="24"/>
      <c r="F1804" s="25">
        <f t="shared" si="1596"/>
        <v>1</v>
      </c>
      <c r="G1804" s="20"/>
      <c r="H1804" s="35"/>
      <c r="I1804" s="21">
        <v>1</v>
      </c>
      <c r="J1804" s="24"/>
      <c r="K1804" s="25">
        <f t="shared" si="1597"/>
        <v>1</v>
      </c>
      <c r="L1804" s="11">
        <f t="shared" si="1589"/>
        <v>2</v>
      </c>
      <c r="M1804" s="69">
        <v>46123</v>
      </c>
      <c r="N1804" s="40" t="s">
        <v>997</v>
      </c>
      <c r="O1804" s="20">
        <v>3</v>
      </c>
      <c r="P1804" s="35">
        <v>3</v>
      </c>
      <c r="Q1804" s="21"/>
      <c r="R1804" s="38"/>
      <c r="S1804" s="9">
        <f t="shared" si="1601"/>
        <v>6</v>
      </c>
      <c r="T1804" s="20">
        <v>2</v>
      </c>
      <c r="U1804" s="35">
        <v>3</v>
      </c>
      <c r="V1804" s="21"/>
      <c r="W1804" s="38"/>
      <c r="X1804" s="9">
        <f t="shared" si="1602"/>
        <v>5</v>
      </c>
      <c r="Y1804" s="11">
        <f t="shared" si="1603"/>
        <v>11</v>
      </c>
      <c r="Z1804" s="69">
        <v>46154</v>
      </c>
    </row>
    <row r="1805" spans="1:26" x14ac:dyDescent="0.15">
      <c r="A1805" s="59" t="s">
        <v>27</v>
      </c>
      <c r="B1805" s="20">
        <v>1</v>
      </c>
      <c r="C1805" s="35"/>
      <c r="D1805" s="21"/>
      <c r="E1805" s="24">
        <v>1</v>
      </c>
      <c r="F1805" s="25">
        <f t="shared" si="1596"/>
        <v>2</v>
      </c>
      <c r="G1805" s="20"/>
      <c r="H1805" s="35"/>
      <c r="I1805" s="21"/>
      <c r="J1805" s="24">
        <v>1</v>
      </c>
      <c r="K1805" s="25">
        <f t="shared" si="1597"/>
        <v>1</v>
      </c>
      <c r="L1805" s="11">
        <f t="shared" si="1589"/>
        <v>3</v>
      </c>
      <c r="M1805" s="71">
        <v>46122</v>
      </c>
      <c r="N1805" s="12" t="s">
        <v>999</v>
      </c>
      <c r="O1805" s="20"/>
      <c r="P1805" s="35"/>
      <c r="Q1805" s="21"/>
      <c r="R1805" s="38"/>
      <c r="S1805" s="9">
        <f t="shared" si="1601"/>
        <v>0</v>
      </c>
      <c r="T1805" s="20"/>
      <c r="U1805" s="35">
        <v>5</v>
      </c>
      <c r="V1805" s="21"/>
      <c r="W1805" s="38"/>
      <c r="X1805" s="9">
        <f t="shared" si="1602"/>
        <v>5</v>
      </c>
      <c r="Y1805" s="11">
        <f t="shared" si="1603"/>
        <v>5</v>
      </c>
      <c r="Z1805" s="69">
        <v>46162</v>
      </c>
    </row>
    <row r="1806" spans="1:26" x14ac:dyDescent="0.15">
      <c r="A1806" s="59" t="s">
        <v>27</v>
      </c>
      <c r="B1806" s="20"/>
      <c r="C1806" s="35">
        <v>5</v>
      </c>
      <c r="D1806" s="21">
        <v>2</v>
      </c>
      <c r="E1806" s="24">
        <v>1</v>
      </c>
      <c r="F1806" s="25">
        <f t="shared" si="1596"/>
        <v>8</v>
      </c>
      <c r="G1806" s="20">
        <v>3</v>
      </c>
      <c r="H1806" s="35">
        <v>3</v>
      </c>
      <c r="I1806" s="21">
        <v>1</v>
      </c>
      <c r="J1806" s="24">
        <v>1</v>
      </c>
      <c r="K1806" s="25">
        <f t="shared" si="1597"/>
        <v>8</v>
      </c>
      <c r="L1806" s="11">
        <f t="shared" si="1589"/>
        <v>16</v>
      </c>
      <c r="M1806" s="71">
        <v>46125</v>
      </c>
      <c r="N1806" s="40" t="s">
        <v>900</v>
      </c>
      <c r="O1806" s="20">
        <v>10</v>
      </c>
      <c r="P1806" s="35">
        <v>5</v>
      </c>
      <c r="Q1806" s="21"/>
      <c r="R1806" s="38"/>
      <c r="S1806" s="9">
        <f t="shared" si="1601"/>
        <v>15</v>
      </c>
      <c r="T1806" s="20">
        <v>10</v>
      </c>
      <c r="U1806" s="35"/>
      <c r="V1806" s="21"/>
      <c r="W1806" s="38"/>
      <c r="X1806" s="9">
        <f t="shared" si="1602"/>
        <v>10</v>
      </c>
      <c r="Y1806" s="11">
        <f t="shared" si="1603"/>
        <v>25</v>
      </c>
      <c r="Z1806" s="69">
        <v>46158</v>
      </c>
    </row>
    <row r="1807" spans="1:26" x14ac:dyDescent="0.15">
      <c r="A1807" s="59" t="s">
        <v>421</v>
      </c>
      <c r="B1807" s="20"/>
      <c r="C1807" s="35"/>
      <c r="D1807" s="21"/>
      <c r="E1807" s="24"/>
      <c r="F1807" s="25">
        <f t="shared" si="1596"/>
        <v>0</v>
      </c>
      <c r="G1807" s="20"/>
      <c r="H1807" s="35"/>
      <c r="I1807" s="21"/>
      <c r="J1807" s="24">
        <v>1</v>
      </c>
      <c r="K1807" s="25">
        <f t="shared" si="1597"/>
        <v>1</v>
      </c>
      <c r="L1807" s="11">
        <f t="shared" si="1589"/>
        <v>1</v>
      </c>
      <c r="M1807" s="69">
        <v>46126</v>
      </c>
      <c r="N1807" s="40" t="s">
        <v>1000</v>
      </c>
      <c r="O1807" s="20"/>
      <c r="P1807" s="35"/>
      <c r="Q1807" s="21"/>
      <c r="R1807" s="38">
        <v>1</v>
      </c>
      <c r="S1807" s="9">
        <f t="shared" si="1601"/>
        <v>1</v>
      </c>
      <c r="T1807" s="20"/>
      <c r="U1807" s="35"/>
      <c r="V1807" s="21"/>
      <c r="W1807" s="38">
        <v>1</v>
      </c>
      <c r="X1807" s="9">
        <f t="shared" si="1602"/>
        <v>1</v>
      </c>
      <c r="Y1807" s="11">
        <f t="shared" si="1603"/>
        <v>2</v>
      </c>
      <c r="Z1807" s="69">
        <v>46164</v>
      </c>
    </row>
    <row r="1808" spans="1:26" x14ac:dyDescent="0.15">
      <c r="A1808" s="59" t="s">
        <v>27</v>
      </c>
      <c r="B1808" s="20">
        <v>1</v>
      </c>
      <c r="C1808" s="35">
        <v>1</v>
      </c>
      <c r="D1808" s="21">
        <v>1</v>
      </c>
      <c r="E1808" s="24"/>
      <c r="F1808" s="25">
        <f t="shared" si="1596"/>
        <v>3</v>
      </c>
      <c r="G1808" s="20">
        <v>1</v>
      </c>
      <c r="H1808" s="35">
        <v>1</v>
      </c>
      <c r="I1808" s="21">
        <v>1</v>
      </c>
      <c r="J1808" s="24"/>
      <c r="K1808" s="25">
        <f t="shared" si="1597"/>
        <v>3</v>
      </c>
      <c r="L1808" s="11">
        <f t="shared" si="1589"/>
        <v>6</v>
      </c>
      <c r="M1808" s="71">
        <v>46126</v>
      </c>
      <c r="N1808" s="12" t="s">
        <v>1001</v>
      </c>
      <c r="O1808" s="20"/>
      <c r="P1808" s="35"/>
      <c r="Q1808" s="21">
        <v>10</v>
      </c>
      <c r="R1808" s="38"/>
      <c r="S1808" s="9">
        <f t="shared" si="1601"/>
        <v>10</v>
      </c>
      <c r="T1808" s="20"/>
      <c r="U1808" s="35"/>
      <c r="V1808" s="21">
        <v>10</v>
      </c>
      <c r="W1808" s="38"/>
      <c r="X1808" s="9">
        <f t="shared" si="1602"/>
        <v>10</v>
      </c>
      <c r="Y1808" s="11">
        <f t="shared" si="1603"/>
        <v>20</v>
      </c>
      <c r="Z1808" s="69">
        <v>46162</v>
      </c>
    </row>
    <row r="1809" spans="1:26" x14ac:dyDescent="0.15">
      <c r="A1809" s="59" t="s">
        <v>27</v>
      </c>
      <c r="B1809" s="20"/>
      <c r="C1809" s="35"/>
      <c r="D1809" s="21"/>
      <c r="E1809" s="24"/>
      <c r="F1809" s="25">
        <f t="shared" si="1596"/>
        <v>0</v>
      </c>
      <c r="G1809" s="20">
        <v>5</v>
      </c>
      <c r="H1809" s="35">
        <v>4</v>
      </c>
      <c r="I1809" s="21">
        <v>2</v>
      </c>
      <c r="J1809" s="24"/>
      <c r="K1809" s="25">
        <f t="shared" si="1597"/>
        <v>11</v>
      </c>
      <c r="L1809" s="11">
        <f t="shared" si="1589"/>
        <v>11</v>
      </c>
      <c r="M1809" s="71">
        <v>46127</v>
      </c>
      <c r="N1809" s="12" t="s">
        <v>1002</v>
      </c>
      <c r="O1809" s="20">
        <v>50</v>
      </c>
      <c r="P1809" s="35">
        <v>40</v>
      </c>
      <c r="Q1809" s="21">
        <v>20</v>
      </c>
      <c r="R1809" s="38"/>
      <c r="S1809" s="9">
        <f>SUM(O1809:R1809)</f>
        <v>110</v>
      </c>
      <c r="T1809" s="20">
        <v>50</v>
      </c>
      <c r="U1809" s="35">
        <v>40</v>
      </c>
      <c r="V1809" s="21">
        <v>20</v>
      </c>
      <c r="W1809" s="38"/>
      <c r="X1809" s="9">
        <f>SUM(T1809:W1809)</f>
        <v>110</v>
      </c>
      <c r="Y1809" s="11">
        <f t="shared" si="1603"/>
        <v>220</v>
      </c>
      <c r="Z1809" s="69">
        <v>46163</v>
      </c>
    </row>
    <row r="1810" spans="1:26" x14ac:dyDescent="0.15">
      <c r="A1810" s="59" t="s">
        <v>27</v>
      </c>
      <c r="B1810" s="20"/>
      <c r="C1810" s="35">
        <v>2</v>
      </c>
      <c r="D1810" s="21"/>
      <c r="E1810" s="24"/>
      <c r="F1810" s="25">
        <f t="shared" si="1596"/>
        <v>2</v>
      </c>
      <c r="G1810" s="20"/>
      <c r="H1810" s="35">
        <v>3</v>
      </c>
      <c r="I1810" s="21">
        <v>3</v>
      </c>
      <c r="J1810" s="24"/>
      <c r="K1810" s="25">
        <f t="shared" si="1597"/>
        <v>6</v>
      </c>
      <c r="L1810" s="11">
        <f t="shared" si="1589"/>
        <v>8</v>
      </c>
      <c r="M1810" s="71">
        <v>46128</v>
      </c>
      <c r="N1810" s="12" t="s">
        <v>1005</v>
      </c>
      <c r="O1810" s="20">
        <v>10</v>
      </c>
      <c r="P1810" s="35">
        <v>15</v>
      </c>
      <c r="Q1810" s="21">
        <v>10</v>
      </c>
      <c r="R1810" s="38"/>
      <c r="S1810" s="9">
        <f t="shared" ref="S1810:S1812" si="1604">SUM(O1810:R1810)</f>
        <v>35</v>
      </c>
      <c r="T1810" s="20">
        <v>10</v>
      </c>
      <c r="U1810" s="35">
        <v>15</v>
      </c>
      <c r="V1810" s="21">
        <v>10</v>
      </c>
      <c r="W1810" s="38"/>
      <c r="X1810" s="9">
        <f t="shared" ref="X1810:X1812" si="1605">SUM(T1810:W1810)</f>
        <v>35</v>
      </c>
      <c r="Y1810" s="11">
        <f t="shared" si="1603"/>
        <v>70</v>
      </c>
      <c r="Z1810" s="69">
        <v>46165</v>
      </c>
    </row>
    <row r="1811" spans="1:26" x14ac:dyDescent="0.15">
      <c r="A1811" s="59" t="s">
        <v>27</v>
      </c>
      <c r="B1811" s="20"/>
      <c r="C1811" s="35"/>
      <c r="D1811" s="21">
        <v>1</v>
      </c>
      <c r="E1811" s="24">
        <v>1</v>
      </c>
      <c r="F1811" s="25">
        <f t="shared" si="1596"/>
        <v>2</v>
      </c>
      <c r="G1811" s="20">
        <v>1</v>
      </c>
      <c r="H1811" s="35"/>
      <c r="I1811" s="21"/>
      <c r="J1811" s="24"/>
      <c r="K1811" s="25">
        <f t="shared" si="1597"/>
        <v>1</v>
      </c>
      <c r="L1811" s="11">
        <f t="shared" si="1589"/>
        <v>3</v>
      </c>
      <c r="M1811" s="69">
        <v>46129</v>
      </c>
      <c r="N1811" s="12" t="s">
        <v>1010</v>
      </c>
      <c r="O1811" s="20"/>
      <c r="P1811" s="35">
        <v>10</v>
      </c>
      <c r="Q1811" s="21"/>
      <c r="R1811" s="38"/>
      <c r="S1811" s="9">
        <f t="shared" si="1604"/>
        <v>10</v>
      </c>
      <c r="T1811" s="20"/>
      <c r="U1811" s="35">
        <v>10</v>
      </c>
      <c r="V1811" s="21"/>
      <c r="W1811" s="38"/>
      <c r="X1811" s="9">
        <f t="shared" si="1605"/>
        <v>10</v>
      </c>
      <c r="Y1811" s="11">
        <f t="shared" si="1603"/>
        <v>20</v>
      </c>
      <c r="Z1811" s="69">
        <v>46165</v>
      </c>
    </row>
    <row r="1812" spans="1:26" x14ac:dyDescent="0.15">
      <c r="A1812" s="59" t="s">
        <v>421</v>
      </c>
      <c r="B1812" s="20">
        <v>4</v>
      </c>
      <c r="C1812" s="35">
        <v>1</v>
      </c>
      <c r="D1812" s="21">
        <v>1</v>
      </c>
      <c r="E1812" s="24"/>
      <c r="F1812" s="25">
        <f t="shared" si="1596"/>
        <v>6</v>
      </c>
      <c r="G1812" s="20">
        <v>4</v>
      </c>
      <c r="H1812" s="35">
        <v>1</v>
      </c>
      <c r="I1812" s="21">
        <v>1</v>
      </c>
      <c r="J1812" s="24">
        <v>2</v>
      </c>
      <c r="K1812" s="25">
        <f t="shared" si="1597"/>
        <v>8</v>
      </c>
      <c r="L1812" s="11">
        <f t="shared" si="1589"/>
        <v>14</v>
      </c>
      <c r="M1812" s="69">
        <v>46133</v>
      </c>
      <c r="N1812" s="12"/>
      <c r="O1812" s="20"/>
      <c r="P1812" s="35"/>
      <c r="Q1812" s="21"/>
      <c r="R1812" s="38"/>
      <c r="S1812" s="9">
        <f t="shared" si="1604"/>
        <v>0</v>
      </c>
      <c r="T1812" s="20"/>
      <c r="U1812" s="35"/>
      <c r="V1812" s="21"/>
      <c r="W1812" s="38"/>
      <c r="X1812" s="9">
        <f t="shared" si="1605"/>
        <v>0</v>
      </c>
      <c r="Y1812" s="11">
        <f t="shared" si="1603"/>
        <v>0</v>
      </c>
    </row>
    <row r="1813" spans="1:26" x14ac:dyDescent="0.15">
      <c r="A1813" s="59" t="s">
        <v>27</v>
      </c>
      <c r="B1813" s="20">
        <v>1</v>
      </c>
      <c r="C1813" s="35">
        <v>1</v>
      </c>
      <c r="D1813" s="21">
        <v>1</v>
      </c>
      <c r="E1813" s="24"/>
      <c r="F1813" s="25">
        <f t="shared" si="1596"/>
        <v>3</v>
      </c>
      <c r="G1813" s="20">
        <v>1</v>
      </c>
      <c r="H1813" s="35"/>
      <c r="I1813" s="21">
        <v>1</v>
      </c>
      <c r="J1813" s="24"/>
      <c r="K1813" s="25">
        <f t="shared" si="1597"/>
        <v>2</v>
      </c>
      <c r="L1813" s="11">
        <f t="shared" si="1589"/>
        <v>5</v>
      </c>
      <c r="M1813" s="71">
        <v>46132</v>
      </c>
      <c r="N1813" s="12"/>
      <c r="O1813" s="20"/>
      <c r="P1813" s="35"/>
      <c r="Q1813" s="21"/>
      <c r="R1813" s="38"/>
      <c r="S1813" s="9">
        <f t="shared" ref="S1813:S1816" si="1606">SUM(O1813:R1813)</f>
        <v>0</v>
      </c>
      <c r="T1813" s="20"/>
      <c r="U1813" s="35"/>
      <c r="V1813" s="21"/>
      <c r="W1813" s="38"/>
      <c r="X1813" s="9">
        <f t="shared" ref="X1813:X1816" si="1607">SUM(T1813:W1813)</f>
        <v>0</v>
      </c>
      <c r="Y1813" s="11">
        <f t="shared" ref="Y1813:Y1816" si="1608">S1813+X1813</f>
        <v>0</v>
      </c>
    </row>
    <row r="1814" spans="1:26" x14ac:dyDescent="0.15">
      <c r="A1814" s="59" t="s">
        <v>27</v>
      </c>
      <c r="B1814" s="20">
        <v>3</v>
      </c>
      <c r="C1814" s="35"/>
      <c r="D1814" s="21"/>
      <c r="E1814" s="24"/>
      <c r="F1814" s="25">
        <f t="shared" si="1596"/>
        <v>3</v>
      </c>
      <c r="G1814" s="20">
        <v>1</v>
      </c>
      <c r="H1814" s="35"/>
      <c r="I1814" s="21">
        <v>1</v>
      </c>
      <c r="J1814" s="24"/>
      <c r="K1814" s="25">
        <f t="shared" si="1597"/>
        <v>2</v>
      </c>
      <c r="L1814" s="11">
        <f t="shared" si="1589"/>
        <v>5</v>
      </c>
      <c r="M1814" s="71">
        <v>46133</v>
      </c>
      <c r="N1814" s="12"/>
      <c r="O1814" s="20"/>
      <c r="P1814" s="35"/>
      <c r="Q1814" s="21"/>
      <c r="R1814" s="38"/>
      <c r="S1814" s="9">
        <f t="shared" si="1606"/>
        <v>0</v>
      </c>
      <c r="T1814" s="20"/>
      <c r="U1814" s="35"/>
      <c r="V1814" s="21"/>
      <c r="W1814" s="38"/>
      <c r="X1814" s="9">
        <f t="shared" si="1607"/>
        <v>0</v>
      </c>
      <c r="Y1814" s="11">
        <f t="shared" si="1608"/>
        <v>0</v>
      </c>
    </row>
    <row r="1815" spans="1:26" x14ac:dyDescent="0.15">
      <c r="A1815" s="59" t="s">
        <v>27</v>
      </c>
      <c r="B1815" s="20"/>
      <c r="C1815" s="35">
        <v>1</v>
      </c>
      <c r="D1815" s="21"/>
      <c r="E1815" s="24"/>
      <c r="F1815" s="25">
        <f t="shared" si="1596"/>
        <v>1</v>
      </c>
      <c r="G1815" s="20"/>
      <c r="H1815" s="35">
        <v>2</v>
      </c>
      <c r="I1815" s="21"/>
      <c r="J1815" s="24"/>
      <c r="K1815" s="25">
        <f t="shared" si="1597"/>
        <v>2</v>
      </c>
      <c r="L1815" s="11">
        <f t="shared" si="1589"/>
        <v>3</v>
      </c>
      <c r="M1815" s="71">
        <v>46134</v>
      </c>
      <c r="N1815" s="12"/>
      <c r="O1815" s="20"/>
      <c r="P1815" s="35"/>
      <c r="Q1815" s="21"/>
      <c r="R1815" s="38"/>
      <c r="S1815" s="9">
        <f t="shared" si="1606"/>
        <v>0</v>
      </c>
      <c r="T1815" s="20"/>
      <c r="U1815" s="35"/>
      <c r="V1815" s="21"/>
      <c r="W1815" s="38"/>
      <c r="X1815" s="9">
        <f t="shared" si="1607"/>
        <v>0</v>
      </c>
      <c r="Y1815" s="11">
        <f t="shared" si="1608"/>
        <v>0</v>
      </c>
    </row>
    <row r="1816" spans="1:26" x14ac:dyDescent="0.15">
      <c r="A1816" s="59" t="s">
        <v>27</v>
      </c>
      <c r="B1816" s="20">
        <v>1</v>
      </c>
      <c r="C1816" s="35"/>
      <c r="D1816" s="21"/>
      <c r="E1816" s="24">
        <v>1</v>
      </c>
      <c r="F1816" s="25">
        <f t="shared" si="1596"/>
        <v>2</v>
      </c>
      <c r="G1816" s="20">
        <v>3</v>
      </c>
      <c r="H1816" s="35">
        <v>3</v>
      </c>
      <c r="I1816" s="21">
        <v>1</v>
      </c>
      <c r="J1816" s="24">
        <v>2</v>
      </c>
      <c r="K1816" s="25">
        <f t="shared" si="1597"/>
        <v>9</v>
      </c>
      <c r="L1816" s="11">
        <f t="shared" si="1589"/>
        <v>11</v>
      </c>
      <c r="M1816" s="71">
        <v>46135</v>
      </c>
      <c r="N1816" s="12"/>
      <c r="O1816" s="20"/>
      <c r="P1816" s="35"/>
      <c r="Q1816" s="21"/>
      <c r="R1816" s="38"/>
      <c r="S1816" s="9">
        <f t="shared" si="1606"/>
        <v>0</v>
      </c>
      <c r="T1816" s="20"/>
      <c r="U1816" s="35"/>
      <c r="V1816" s="21"/>
      <c r="W1816" s="38"/>
      <c r="X1816" s="9">
        <f t="shared" si="1607"/>
        <v>0</v>
      </c>
      <c r="Y1816" s="11">
        <f t="shared" si="1608"/>
        <v>0</v>
      </c>
    </row>
    <row r="1817" spans="1:26" x14ac:dyDescent="0.15">
      <c r="A1817" s="59" t="s">
        <v>421</v>
      </c>
      <c r="B1817" s="20"/>
      <c r="C1817" s="35"/>
      <c r="D1817" s="21">
        <v>2</v>
      </c>
      <c r="E1817" s="24">
        <v>1</v>
      </c>
      <c r="F1817" s="25">
        <f t="shared" si="1596"/>
        <v>3</v>
      </c>
      <c r="G1817" s="20"/>
      <c r="H1817" s="35"/>
      <c r="I1817" s="21"/>
      <c r="J1817" s="24">
        <v>1</v>
      </c>
      <c r="K1817" s="25">
        <f t="shared" si="1597"/>
        <v>1</v>
      </c>
      <c r="L1817" s="11">
        <f t="shared" si="1589"/>
        <v>4</v>
      </c>
      <c r="M1817" s="69">
        <v>46136</v>
      </c>
      <c r="N1817" s="137" t="s">
        <v>915</v>
      </c>
      <c r="O1817" s="154"/>
      <c r="P1817" s="156"/>
      <c r="Q1817" s="155"/>
      <c r="R1817" s="159"/>
      <c r="S1817" s="158">
        <f t="shared" ref="S1817:S1818" si="1609">SUM(O1817:R1817)</f>
        <v>0</v>
      </c>
      <c r="T1817" s="154"/>
      <c r="U1817" s="156"/>
      <c r="V1817" s="155"/>
      <c r="W1817" s="159"/>
      <c r="X1817" s="158">
        <f t="shared" ref="X1817:X1818" si="1610">SUM(T1817:W1817)</f>
        <v>0</v>
      </c>
      <c r="Y1817" s="160">
        <f t="shared" ref="Y1817:Y1818" si="1611">S1817+X1817</f>
        <v>0</v>
      </c>
      <c r="Z1817" s="162"/>
    </row>
    <row r="1818" spans="1:26" x14ac:dyDescent="0.15">
      <c r="A1818" s="59" t="s">
        <v>27</v>
      </c>
      <c r="B1818" s="20"/>
      <c r="C1818" s="35">
        <v>1</v>
      </c>
      <c r="D1818" s="21"/>
      <c r="E1818" s="24"/>
      <c r="F1818" s="25">
        <f t="shared" si="1596"/>
        <v>1</v>
      </c>
      <c r="G1818" s="20"/>
      <c r="H1818" s="35"/>
      <c r="I1818" s="21"/>
      <c r="J1818" s="24"/>
      <c r="K1818" s="25">
        <f t="shared" si="1597"/>
        <v>0</v>
      </c>
      <c r="L1818" s="11">
        <f t="shared" si="1589"/>
        <v>1</v>
      </c>
      <c r="M1818" s="71">
        <v>46136</v>
      </c>
      <c r="N1818" s="12" t="s">
        <v>914</v>
      </c>
      <c r="O1818" s="20"/>
      <c r="P1818" s="35"/>
      <c r="Q1818" s="21"/>
      <c r="R1818" s="38"/>
      <c r="S1818" s="9">
        <f t="shared" si="1609"/>
        <v>0</v>
      </c>
      <c r="T1818" s="20"/>
      <c r="U1818" s="35"/>
      <c r="V1818" s="21"/>
      <c r="W1818" s="38"/>
      <c r="X1818" s="9">
        <f t="shared" si="1610"/>
        <v>0</v>
      </c>
      <c r="Y1818" s="47">
        <f t="shared" si="1611"/>
        <v>0</v>
      </c>
      <c r="Z1818" s="162" t="s">
        <v>916</v>
      </c>
    </row>
    <row r="1819" spans="1:26" x14ac:dyDescent="0.15">
      <c r="A1819" s="59" t="s">
        <v>421</v>
      </c>
      <c r="B1819" s="20">
        <v>2</v>
      </c>
      <c r="C1819" s="35">
        <v>2</v>
      </c>
      <c r="D1819" s="21">
        <v>2</v>
      </c>
      <c r="E1819" s="24">
        <v>1</v>
      </c>
      <c r="F1819" s="25">
        <f t="shared" si="1596"/>
        <v>7</v>
      </c>
      <c r="G1819" s="20">
        <v>2</v>
      </c>
      <c r="H1819" s="35">
        <v>2</v>
      </c>
      <c r="I1819" s="21">
        <v>1</v>
      </c>
      <c r="J1819" s="24"/>
      <c r="K1819" s="25">
        <f t="shared" si="1597"/>
        <v>5</v>
      </c>
      <c r="L1819" s="11">
        <f t="shared" si="1589"/>
        <v>12</v>
      </c>
      <c r="M1819" s="69">
        <v>46140</v>
      </c>
      <c r="N1819" s="187" t="s">
        <v>983</v>
      </c>
      <c r="O1819" s="204">
        <v>0</v>
      </c>
      <c r="P1819" s="205">
        <v>0</v>
      </c>
      <c r="Q1819" s="206">
        <v>0</v>
      </c>
      <c r="R1819" s="207">
        <v>0</v>
      </c>
      <c r="S1819" s="208">
        <f t="shared" ref="S1819:S1820" si="1612">SUM(O1819:R1819)</f>
        <v>0</v>
      </c>
      <c r="T1819" s="204">
        <v>0</v>
      </c>
      <c r="U1819" s="205">
        <v>0</v>
      </c>
      <c r="V1819" s="206">
        <v>0</v>
      </c>
      <c r="W1819" s="207">
        <v>0</v>
      </c>
      <c r="X1819" s="208">
        <f t="shared" ref="X1819:X1820" si="1613">SUM(T1819:W1819)</f>
        <v>0</v>
      </c>
      <c r="Y1819" s="228">
        <f t="shared" ref="Y1819:Y1820" si="1614">S1819+X1819</f>
        <v>0</v>
      </c>
      <c r="Z1819" s="230"/>
    </row>
    <row r="1820" spans="1:26" ht="14.25" thickBot="1" x14ac:dyDescent="0.2">
      <c r="A1820" s="15" t="s">
        <v>27</v>
      </c>
      <c r="B1820" s="43">
        <v>2</v>
      </c>
      <c r="C1820" s="44">
        <v>2</v>
      </c>
      <c r="D1820" s="45">
        <v>4</v>
      </c>
      <c r="E1820" s="46"/>
      <c r="F1820" s="25">
        <f t="shared" si="1596"/>
        <v>8</v>
      </c>
      <c r="G1820" s="43">
        <v>6</v>
      </c>
      <c r="H1820" s="44">
        <v>9</v>
      </c>
      <c r="I1820" s="45">
        <v>1</v>
      </c>
      <c r="J1820" s="46">
        <v>1</v>
      </c>
      <c r="K1820" s="25">
        <f t="shared" si="1597"/>
        <v>17</v>
      </c>
      <c r="L1820" s="14">
        <f t="shared" si="1589"/>
        <v>25</v>
      </c>
      <c r="M1820" s="71">
        <v>46139</v>
      </c>
      <c r="N1820" s="229" t="s">
        <v>998</v>
      </c>
      <c r="O1820" s="88">
        <f>10-5-5</f>
        <v>0</v>
      </c>
      <c r="P1820" s="89">
        <f>12-10</f>
        <v>2</v>
      </c>
      <c r="Q1820" s="90">
        <f>6-6</f>
        <v>0</v>
      </c>
      <c r="R1820" s="103">
        <f>8-5</f>
        <v>3</v>
      </c>
      <c r="S1820" s="91">
        <f t="shared" si="1612"/>
        <v>5</v>
      </c>
      <c r="T1820" s="88">
        <f>10-5-5</f>
        <v>0</v>
      </c>
      <c r="U1820" s="89">
        <f>12-10</f>
        <v>2</v>
      </c>
      <c r="V1820" s="90">
        <f>6-6</f>
        <v>0</v>
      </c>
      <c r="W1820" s="103">
        <f>8-5</f>
        <v>3</v>
      </c>
      <c r="X1820" s="91">
        <f t="shared" si="1613"/>
        <v>5</v>
      </c>
      <c r="Y1820" s="243">
        <f t="shared" si="1614"/>
        <v>10</v>
      </c>
      <c r="Z1820" s="165" t="s">
        <v>929</v>
      </c>
    </row>
    <row r="1821" spans="1:26" ht="14.25" thickBot="1" x14ac:dyDescent="0.2">
      <c r="A1821" s="16" t="s">
        <v>9</v>
      </c>
      <c r="B1821" s="28">
        <f>SUM(B1796:B1820)</f>
        <v>19</v>
      </c>
      <c r="C1821" s="36">
        <f>SUM(C1796:C1820)</f>
        <v>22</v>
      </c>
      <c r="D1821" s="29">
        <f>SUM(D1796:D1820)</f>
        <v>16</v>
      </c>
      <c r="E1821" s="30">
        <f>SUM(E1796:E1820)</f>
        <v>8</v>
      </c>
      <c r="F1821" s="26">
        <f>SUM(B1821:E1821)</f>
        <v>65</v>
      </c>
      <c r="G1821" s="28">
        <f>SUM(G1796:G1820)</f>
        <v>37</v>
      </c>
      <c r="H1821" s="36">
        <f>SUM(H1796:H1820)</f>
        <v>37</v>
      </c>
      <c r="I1821" s="29">
        <f>SUM(I1796:I1820)</f>
        <v>18</v>
      </c>
      <c r="J1821" s="30">
        <f>SUM(J1796:J1820)</f>
        <v>9</v>
      </c>
      <c r="K1821" s="26">
        <f>SUM(G1821:J1821)</f>
        <v>101</v>
      </c>
      <c r="L1821" s="27">
        <f t="shared" si="1589"/>
        <v>166</v>
      </c>
      <c r="N1821" s="61" t="s">
        <v>9</v>
      </c>
      <c r="O1821" s="28">
        <f>SUM(O1796:O1820)</f>
        <v>87</v>
      </c>
      <c r="P1821" s="36">
        <f t="shared" ref="P1821:R1821" si="1615">SUM(P1796:P1820)</f>
        <v>90</v>
      </c>
      <c r="Q1821" s="29">
        <f t="shared" si="1615"/>
        <v>55</v>
      </c>
      <c r="R1821" s="30">
        <f t="shared" si="1615"/>
        <v>14</v>
      </c>
      <c r="S1821" s="60">
        <f>SUM(O1821:R1821)</f>
        <v>246</v>
      </c>
      <c r="T1821" s="28">
        <f>SUM(T1796:T1820)</f>
        <v>111</v>
      </c>
      <c r="U1821" s="36">
        <f t="shared" ref="U1821:W1821" si="1616">SUM(U1796:U1820)</f>
        <v>100</v>
      </c>
      <c r="V1821" s="29">
        <f t="shared" si="1616"/>
        <v>65</v>
      </c>
      <c r="W1821" s="30">
        <f t="shared" si="1616"/>
        <v>23</v>
      </c>
      <c r="X1821" s="60">
        <f>SUM(T1821:W1821)</f>
        <v>299</v>
      </c>
      <c r="Y1821" s="63">
        <f>S1821+X1821</f>
        <v>545</v>
      </c>
    </row>
    <row r="1822" spans="1:26" ht="14.25" thickBot="1" x14ac:dyDescent="0.2">
      <c r="A1822" s="18" t="s">
        <v>10</v>
      </c>
      <c r="B1822" s="31">
        <f t="shared" ref="B1822:K1822" si="1617">B1795-B1821</f>
        <v>22</v>
      </c>
      <c r="C1822" s="37">
        <f t="shared" si="1617"/>
        <v>27</v>
      </c>
      <c r="D1822" s="32">
        <f t="shared" si="1617"/>
        <v>25</v>
      </c>
      <c r="E1822" s="33">
        <f t="shared" si="1617"/>
        <v>32</v>
      </c>
      <c r="F1822" s="42">
        <f t="shared" si="1617"/>
        <v>106</v>
      </c>
      <c r="G1822" s="31">
        <f t="shared" si="1617"/>
        <v>17</v>
      </c>
      <c r="H1822" s="37">
        <f t="shared" si="1617"/>
        <v>15</v>
      </c>
      <c r="I1822" s="32">
        <f t="shared" si="1617"/>
        <v>25</v>
      </c>
      <c r="J1822" s="33">
        <f t="shared" si="1617"/>
        <v>27</v>
      </c>
      <c r="K1822" s="42">
        <f t="shared" si="1617"/>
        <v>84</v>
      </c>
      <c r="L1822" s="17">
        <f t="shared" si="1589"/>
        <v>190</v>
      </c>
      <c r="N1822" s="16" t="s">
        <v>10</v>
      </c>
      <c r="O1822" s="31">
        <f>O1795-O1821</f>
        <v>464</v>
      </c>
      <c r="P1822" s="37">
        <f t="shared" ref="P1822:R1822" si="1618">P1795-P1821</f>
        <v>683</v>
      </c>
      <c r="Q1822" s="32">
        <f t="shared" si="1618"/>
        <v>460</v>
      </c>
      <c r="R1822" s="33">
        <f t="shared" si="1618"/>
        <v>326</v>
      </c>
      <c r="S1822" s="42">
        <f>S1795-S1821</f>
        <v>1933</v>
      </c>
      <c r="T1822" s="31">
        <f>T1795-T1821</f>
        <v>477</v>
      </c>
      <c r="U1822" s="37">
        <f t="shared" ref="U1822:W1822" si="1619">U1795-U1821</f>
        <v>711</v>
      </c>
      <c r="V1822" s="32">
        <f t="shared" si="1619"/>
        <v>464</v>
      </c>
      <c r="W1822" s="33">
        <f t="shared" si="1619"/>
        <v>366</v>
      </c>
      <c r="X1822" s="42">
        <f>X1795-X1821</f>
        <v>2018</v>
      </c>
      <c r="Y1822" s="17">
        <f>S1822+X1822</f>
        <v>3951</v>
      </c>
    </row>
    <row r="1825" spans="1:26" ht="19.5" thickBot="1" x14ac:dyDescent="0.25">
      <c r="A1825" s="2" t="s">
        <v>17</v>
      </c>
      <c r="B1825" s="2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N1825" s="2" t="s">
        <v>18</v>
      </c>
      <c r="O1825" s="87"/>
      <c r="P1825" s="87"/>
      <c r="Q1825" s="87"/>
      <c r="R1825" s="87"/>
      <c r="S1825" s="87"/>
      <c r="T1825" s="87"/>
      <c r="U1825" s="87"/>
      <c r="V1825" s="87"/>
      <c r="W1825" s="87"/>
      <c r="X1825" s="87"/>
      <c r="Y1825" s="1"/>
    </row>
    <row r="1826" spans="1:26" ht="14.25" thickBot="1" x14ac:dyDescent="0.2">
      <c r="A1826" s="5" t="s">
        <v>0</v>
      </c>
      <c r="B1826" s="244" t="s">
        <v>19</v>
      </c>
      <c r="C1826" s="245"/>
      <c r="D1826" s="245"/>
      <c r="E1826" s="245"/>
      <c r="F1826" s="246"/>
      <c r="G1826" s="247" t="s">
        <v>20</v>
      </c>
      <c r="H1826" s="248"/>
      <c r="I1826" s="248"/>
      <c r="J1826" s="248"/>
      <c r="K1826" s="249"/>
      <c r="L1826" s="250" t="s">
        <v>1</v>
      </c>
      <c r="N1826" s="5" t="s">
        <v>0</v>
      </c>
      <c r="O1826" s="244" t="s">
        <v>19</v>
      </c>
      <c r="P1826" s="245"/>
      <c r="Q1826" s="245"/>
      <c r="R1826" s="245"/>
      <c r="S1826" s="246"/>
      <c r="T1826" s="247" t="s">
        <v>20</v>
      </c>
      <c r="U1826" s="248"/>
      <c r="V1826" s="248"/>
      <c r="W1826" s="248"/>
      <c r="X1826" s="249"/>
      <c r="Y1826" s="250" t="s">
        <v>1</v>
      </c>
    </row>
    <row r="1827" spans="1:26" ht="14.25" thickBot="1" x14ac:dyDescent="0.2">
      <c r="A1827" s="5" t="s">
        <v>2</v>
      </c>
      <c r="B1827" s="3" t="s">
        <v>11</v>
      </c>
      <c r="C1827" s="34" t="s">
        <v>12</v>
      </c>
      <c r="D1827" s="4" t="s">
        <v>13</v>
      </c>
      <c r="E1827" s="19" t="s">
        <v>14</v>
      </c>
      <c r="F1827" s="23" t="s">
        <v>3</v>
      </c>
      <c r="G1827" s="3" t="s">
        <v>11</v>
      </c>
      <c r="H1827" s="34" t="s">
        <v>12</v>
      </c>
      <c r="I1827" s="4" t="s">
        <v>13</v>
      </c>
      <c r="J1827" s="19" t="s">
        <v>14</v>
      </c>
      <c r="K1827" s="23" t="s">
        <v>3</v>
      </c>
      <c r="L1827" s="251"/>
      <c r="N1827" s="5" t="s">
        <v>2</v>
      </c>
      <c r="O1827" s="53" t="s">
        <v>11</v>
      </c>
      <c r="P1827" s="54" t="s">
        <v>12</v>
      </c>
      <c r="Q1827" s="55" t="s">
        <v>13</v>
      </c>
      <c r="R1827" s="56" t="s">
        <v>14</v>
      </c>
      <c r="S1827" s="23" t="s">
        <v>3</v>
      </c>
      <c r="T1827" s="3" t="s">
        <v>11</v>
      </c>
      <c r="U1827" s="34" t="s">
        <v>12</v>
      </c>
      <c r="V1827" s="4" t="s">
        <v>13</v>
      </c>
      <c r="W1827" s="19" t="s">
        <v>14</v>
      </c>
      <c r="X1827" s="23" t="s">
        <v>3</v>
      </c>
      <c r="Y1827" s="251"/>
    </row>
    <row r="1828" spans="1:26" ht="14.25" thickBot="1" x14ac:dyDescent="0.2">
      <c r="A1828" s="18" t="s">
        <v>15</v>
      </c>
      <c r="B1828" s="31">
        <f>B1822</f>
        <v>22</v>
      </c>
      <c r="C1828" s="32">
        <f>C1822</f>
        <v>27</v>
      </c>
      <c r="D1828" s="32">
        <f>D1822</f>
        <v>25</v>
      </c>
      <c r="E1828" s="33">
        <f>E1822</f>
        <v>32</v>
      </c>
      <c r="F1828" s="86">
        <f>SUM(B1828:E1828)</f>
        <v>106</v>
      </c>
      <c r="G1828" s="31">
        <f>G1822</f>
        <v>17</v>
      </c>
      <c r="H1828" s="32">
        <f>H1822</f>
        <v>15</v>
      </c>
      <c r="I1828" s="32">
        <f>I1822</f>
        <v>25</v>
      </c>
      <c r="J1828" s="33">
        <f>J1822</f>
        <v>27</v>
      </c>
      <c r="K1828" s="80">
        <f>SUM(G1828:J1828)</f>
        <v>84</v>
      </c>
      <c r="L1828" s="17">
        <f>F1828+K1828</f>
        <v>190</v>
      </c>
      <c r="N1828" s="18" t="s">
        <v>15</v>
      </c>
      <c r="O1828" s="31">
        <f>O1822</f>
        <v>464</v>
      </c>
      <c r="P1828" s="32">
        <f t="shared" ref="P1828:Y1828" si="1620">P1822</f>
        <v>683</v>
      </c>
      <c r="Q1828" s="32">
        <f t="shared" si="1620"/>
        <v>460</v>
      </c>
      <c r="R1828" s="33">
        <f t="shared" si="1620"/>
        <v>326</v>
      </c>
      <c r="S1828" s="86">
        <f t="shared" si="1620"/>
        <v>1933</v>
      </c>
      <c r="T1828" s="31">
        <f t="shared" si="1620"/>
        <v>477</v>
      </c>
      <c r="U1828" s="32">
        <f t="shared" si="1620"/>
        <v>711</v>
      </c>
      <c r="V1828" s="32">
        <f t="shared" si="1620"/>
        <v>464</v>
      </c>
      <c r="W1828" s="33">
        <f t="shared" si="1620"/>
        <v>366</v>
      </c>
      <c r="X1828" s="80">
        <f t="shared" si="1620"/>
        <v>2018</v>
      </c>
      <c r="Y1828" s="17">
        <f t="shared" si="1620"/>
        <v>3951</v>
      </c>
    </row>
    <row r="1829" spans="1:26" x14ac:dyDescent="0.15">
      <c r="A1829" s="13" t="s">
        <v>4</v>
      </c>
      <c r="B1829" s="20">
        <v>5</v>
      </c>
      <c r="C1829" s="35">
        <v>5</v>
      </c>
      <c r="D1829" s="21">
        <v>5</v>
      </c>
      <c r="E1829" s="24"/>
      <c r="F1829" s="25">
        <f t="shared" ref="F1829:F1832" si="1621">SUM(B1829:E1829)</f>
        <v>15</v>
      </c>
      <c r="G1829" s="20">
        <v>15</v>
      </c>
      <c r="H1829" s="35">
        <v>15</v>
      </c>
      <c r="I1829" s="21">
        <v>5</v>
      </c>
      <c r="J1829" s="24"/>
      <c r="K1829" s="25">
        <f t="shared" ref="K1829:K1832" si="1622">SUM(G1829:J1829)</f>
        <v>35</v>
      </c>
      <c r="L1829" s="11">
        <f t="shared" ref="L1829:L1860" si="1623">F1829+K1829</f>
        <v>50</v>
      </c>
      <c r="M1829" s="69">
        <v>46144</v>
      </c>
      <c r="N1829" s="59" t="s">
        <v>16</v>
      </c>
      <c r="O1829" s="48"/>
      <c r="P1829" s="49"/>
      <c r="Q1829" s="50"/>
      <c r="R1829" s="51"/>
      <c r="S1829" s="85">
        <f t="shared" ref="S1829:S1831" si="1624">SUM(O1829:R1829)</f>
        <v>0</v>
      </c>
      <c r="T1829" s="48"/>
      <c r="U1829" s="49"/>
      <c r="V1829" s="50"/>
      <c r="W1829" s="51"/>
      <c r="X1829" s="74">
        <f t="shared" ref="X1829:X1831" si="1625">SUM(T1829:W1829)</f>
        <v>0</v>
      </c>
      <c r="Y1829" s="11">
        <f t="shared" ref="Y1829:Y1832" si="1626">S1829+X1829</f>
        <v>0</v>
      </c>
    </row>
    <row r="1830" spans="1:26" x14ac:dyDescent="0.15">
      <c r="A1830" s="13" t="s">
        <v>5</v>
      </c>
      <c r="B1830" s="20">
        <v>5</v>
      </c>
      <c r="C1830" s="35">
        <v>5</v>
      </c>
      <c r="D1830" s="21">
        <v>5</v>
      </c>
      <c r="E1830" s="24"/>
      <c r="F1830" s="25">
        <f t="shared" si="1621"/>
        <v>15</v>
      </c>
      <c r="G1830" s="20">
        <v>10</v>
      </c>
      <c r="H1830" s="35">
        <v>10</v>
      </c>
      <c r="I1830" s="21">
        <v>5</v>
      </c>
      <c r="J1830" s="24"/>
      <c r="K1830" s="25">
        <f t="shared" si="1622"/>
        <v>25</v>
      </c>
      <c r="L1830" s="11">
        <f t="shared" si="1623"/>
        <v>40</v>
      </c>
      <c r="M1830" s="69">
        <v>46153</v>
      </c>
      <c r="N1830" s="59" t="s">
        <v>4</v>
      </c>
      <c r="O1830" s="48"/>
      <c r="P1830" s="49"/>
      <c r="Q1830" s="50"/>
      <c r="R1830" s="51"/>
      <c r="S1830" s="85">
        <f t="shared" ref="S1830" si="1627">SUM(O1830:R1830)</f>
        <v>0</v>
      </c>
      <c r="T1830" s="48"/>
      <c r="U1830" s="49"/>
      <c r="V1830" s="50"/>
      <c r="W1830" s="51"/>
      <c r="X1830" s="74">
        <f t="shared" ref="X1830" si="1628">SUM(T1830:W1830)</f>
        <v>0</v>
      </c>
      <c r="Y1830" s="11">
        <f t="shared" ref="Y1830" si="1629">S1830+X1830</f>
        <v>0</v>
      </c>
    </row>
    <row r="1831" spans="1:26" x14ac:dyDescent="0.15">
      <c r="A1831" s="13" t="s">
        <v>6</v>
      </c>
      <c r="B1831" s="20">
        <v>10</v>
      </c>
      <c r="C1831" s="35">
        <v>5</v>
      </c>
      <c r="D1831" s="21"/>
      <c r="E1831" s="24"/>
      <c r="F1831" s="25">
        <f t="shared" si="1621"/>
        <v>15</v>
      </c>
      <c r="G1831" s="20">
        <v>10</v>
      </c>
      <c r="H1831" s="35"/>
      <c r="I1831" s="21"/>
      <c r="J1831" s="24"/>
      <c r="K1831" s="25">
        <f t="shared" si="1622"/>
        <v>10</v>
      </c>
      <c r="L1831" s="11">
        <f t="shared" si="1623"/>
        <v>25</v>
      </c>
      <c r="M1831" s="69">
        <v>46158</v>
      </c>
      <c r="N1831" s="59" t="s">
        <v>5</v>
      </c>
      <c r="O1831" s="48"/>
      <c r="P1831" s="49"/>
      <c r="Q1831" s="50"/>
      <c r="R1831" s="51"/>
      <c r="S1831" s="85">
        <f t="shared" si="1624"/>
        <v>0</v>
      </c>
      <c r="T1831" s="48"/>
      <c r="U1831" s="49"/>
      <c r="V1831" s="50"/>
      <c r="W1831" s="51"/>
      <c r="X1831" s="74">
        <f t="shared" si="1625"/>
        <v>0</v>
      </c>
      <c r="Y1831" s="11">
        <f t="shared" si="1626"/>
        <v>0</v>
      </c>
    </row>
    <row r="1832" spans="1:26" ht="14.25" thickBot="1" x14ac:dyDescent="0.2">
      <c r="A1832" s="13" t="s">
        <v>1003</v>
      </c>
      <c r="B1832" s="48">
        <v>6</v>
      </c>
      <c r="C1832" s="49">
        <v>4</v>
      </c>
      <c r="D1832" s="50">
        <v>4</v>
      </c>
      <c r="E1832" s="51">
        <v>2</v>
      </c>
      <c r="F1832" s="52">
        <f t="shared" si="1621"/>
        <v>16</v>
      </c>
      <c r="G1832" s="48">
        <v>2</v>
      </c>
      <c r="H1832" s="49">
        <v>6</v>
      </c>
      <c r="I1832" s="50">
        <v>5</v>
      </c>
      <c r="J1832" s="51">
        <v>3</v>
      </c>
      <c r="K1832" s="52">
        <f t="shared" si="1622"/>
        <v>16</v>
      </c>
      <c r="L1832" s="11">
        <f t="shared" si="1623"/>
        <v>32</v>
      </c>
      <c r="M1832" s="71">
        <v>46160</v>
      </c>
      <c r="N1832" s="13" t="s">
        <v>6</v>
      </c>
      <c r="O1832" s="43"/>
      <c r="P1832" s="44"/>
      <c r="Q1832" s="45"/>
      <c r="R1832" s="46"/>
      <c r="S1832" s="58">
        <f>SUM(O1832:R1832)</f>
        <v>0</v>
      </c>
      <c r="T1832" s="35"/>
      <c r="U1832" s="35"/>
      <c r="V1832" s="21"/>
      <c r="W1832" s="38"/>
      <c r="X1832" s="10">
        <f>SUM(T1832:W1832)</f>
        <v>0</v>
      </c>
      <c r="Y1832" s="14">
        <f t="shared" si="1626"/>
        <v>0</v>
      </c>
    </row>
    <row r="1833" spans="1:26" ht="14.25" thickBot="1" x14ac:dyDescent="0.2">
      <c r="A1833" s="18" t="s">
        <v>8</v>
      </c>
      <c r="B1833" s="76">
        <f t="shared" ref="B1833:K1833" si="1630">SUM(B1828:B1832)</f>
        <v>48</v>
      </c>
      <c r="C1833" s="77">
        <f t="shared" si="1630"/>
        <v>46</v>
      </c>
      <c r="D1833" s="78">
        <f t="shared" si="1630"/>
        <v>39</v>
      </c>
      <c r="E1833" s="79">
        <f t="shared" si="1630"/>
        <v>34</v>
      </c>
      <c r="F1833" s="80">
        <f t="shared" si="1630"/>
        <v>167</v>
      </c>
      <c r="G1833" s="76">
        <f t="shared" si="1630"/>
        <v>54</v>
      </c>
      <c r="H1833" s="77">
        <f t="shared" si="1630"/>
        <v>46</v>
      </c>
      <c r="I1833" s="78">
        <f t="shared" si="1630"/>
        <v>40</v>
      </c>
      <c r="J1833" s="79">
        <f t="shared" si="1630"/>
        <v>30</v>
      </c>
      <c r="K1833" s="80">
        <f t="shared" si="1630"/>
        <v>170</v>
      </c>
      <c r="L1833" s="17">
        <f t="shared" si="1623"/>
        <v>337</v>
      </c>
      <c r="N1833" s="16" t="s">
        <v>8</v>
      </c>
      <c r="O1833" s="31">
        <f>SUM(O1828:O1832)</f>
        <v>464</v>
      </c>
      <c r="P1833" s="37">
        <f t="shared" ref="P1833:R1833" si="1631">SUM(P1828:P1832)</f>
        <v>683</v>
      </c>
      <c r="Q1833" s="32">
        <f t="shared" si="1631"/>
        <v>460</v>
      </c>
      <c r="R1833" s="82">
        <f t="shared" si="1631"/>
        <v>326</v>
      </c>
      <c r="S1833" s="83">
        <f>SUM(S1828:S1832)</f>
        <v>1933</v>
      </c>
      <c r="T1833" s="31">
        <f>SUM(T1828:T1832)</f>
        <v>477</v>
      </c>
      <c r="U1833" s="37">
        <f t="shared" ref="U1833:W1833" si="1632">SUM(U1828:U1832)</f>
        <v>711</v>
      </c>
      <c r="V1833" s="32">
        <f t="shared" si="1632"/>
        <v>464</v>
      </c>
      <c r="W1833" s="82">
        <f t="shared" si="1632"/>
        <v>366</v>
      </c>
      <c r="X1833" s="83">
        <f>SUM(X1828:X1832)</f>
        <v>2018</v>
      </c>
      <c r="Y1833" s="39">
        <f>S1833+X1833</f>
        <v>3951</v>
      </c>
    </row>
    <row r="1834" spans="1:26" x14ac:dyDescent="0.15">
      <c r="A1834" s="59" t="s">
        <v>27</v>
      </c>
      <c r="B1834" s="20"/>
      <c r="C1834" s="35">
        <v>1</v>
      </c>
      <c r="D1834" s="21"/>
      <c r="E1834" s="24"/>
      <c r="F1834" s="25">
        <f t="shared" ref="F1834:F1858" si="1633">SUM(B1834:E1834)</f>
        <v>1</v>
      </c>
      <c r="G1834" s="20">
        <v>2</v>
      </c>
      <c r="H1834" s="35">
        <v>1</v>
      </c>
      <c r="I1834" s="21">
        <v>1</v>
      </c>
      <c r="J1834" s="24"/>
      <c r="K1834" s="25">
        <f t="shared" ref="K1834:K1858" si="1634">SUM(G1834:J1834)</f>
        <v>4</v>
      </c>
      <c r="L1834" s="11">
        <f t="shared" si="1623"/>
        <v>5</v>
      </c>
      <c r="M1834" s="71">
        <v>46142</v>
      </c>
      <c r="N1834" s="40" t="s">
        <v>1009</v>
      </c>
      <c r="O1834" s="20"/>
      <c r="P1834" s="35">
        <v>10</v>
      </c>
      <c r="Q1834" s="21">
        <v>10</v>
      </c>
      <c r="R1834" s="38"/>
      <c r="S1834" s="9">
        <f t="shared" ref="S1834:S1845" si="1635">SUM(O1834:R1834)</f>
        <v>20</v>
      </c>
      <c r="T1834" s="20"/>
      <c r="U1834" s="35"/>
      <c r="V1834" s="21">
        <v>10</v>
      </c>
      <c r="W1834" s="38"/>
      <c r="X1834" s="9">
        <f t="shared" ref="X1834:X1845" si="1636">SUM(T1834:W1834)</f>
        <v>10</v>
      </c>
      <c r="Y1834" s="11">
        <f t="shared" ref="Y1834:Y1845" si="1637">S1834+X1834</f>
        <v>30</v>
      </c>
      <c r="Z1834" s="69">
        <v>46164</v>
      </c>
    </row>
    <row r="1835" spans="1:26" x14ac:dyDescent="0.15">
      <c r="A1835" s="59" t="s">
        <v>990</v>
      </c>
      <c r="B1835" s="20">
        <v>1</v>
      </c>
      <c r="C1835" s="35"/>
      <c r="D1835" s="21">
        <v>3</v>
      </c>
      <c r="E1835" s="24"/>
      <c r="F1835" s="25">
        <f t="shared" si="1633"/>
        <v>4</v>
      </c>
      <c r="G1835" s="20">
        <v>1</v>
      </c>
      <c r="H1835" s="35"/>
      <c r="I1835" s="21">
        <v>3</v>
      </c>
      <c r="J1835" s="24"/>
      <c r="K1835" s="25">
        <f t="shared" si="1634"/>
        <v>4</v>
      </c>
      <c r="L1835" s="11">
        <f t="shared" si="1623"/>
        <v>8</v>
      </c>
      <c r="M1835" s="69">
        <v>46143</v>
      </c>
      <c r="N1835" s="40" t="s">
        <v>900</v>
      </c>
      <c r="O1835" s="20"/>
      <c r="P1835" s="35">
        <v>10</v>
      </c>
      <c r="Q1835" s="21"/>
      <c r="R1835" s="38"/>
      <c r="S1835" s="9">
        <f t="shared" si="1635"/>
        <v>10</v>
      </c>
      <c r="T1835" s="20">
        <v>10</v>
      </c>
      <c r="U1835" s="35">
        <v>10</v>
      </c>
      <c r="V1835" s="21">
        <v>5</v>
      </c>
      <c r="W1835" s="38">
        <v>5</v>
      </c>
      <c r="X1835" s="9">
        <f t="shared" si="1636"/>
        <v>30</v>
      </c>
      <c r="Y1835" s="11">
        <f t="shared" si="1637"/>
        <v>40</v>
      </c>
      <c r="Z1835" s="69">
        <v>46167</v>
      </c>
    </row>
    <row r="1836" spans="1:26" x14ac:dyDescent="0.15">
      <c r="A1836" s="59" t="s">
        <v>27</v>
      </c>
      <c r="B1836" s="20">
        <v>1</v>
      </c>
      <c r="C1836" s="35">
        <v>3</v>
      </c>
      <c r="D1836" s="21"/>
      <c r="E1836" s="24"/>
      <c r="F1836" s="25">
        <f t="shared" si="1633"/>
        <v>4</v>
      </c>
      <c r="G1836" s="20">
        <v>2</v>
      </c>
      <c r="H1836" s="35">
        <v>3</v>
      </c>
      <c r="I1836" s="21"/>
      <c r="J1836" s="24"/>
      <c r="K1836" s="25">
        <f t="shared" si="1634"/>
        <v>5</v>
      </c>
      <c r="L1836" s="11">
        <f t="shared" si="1623"/>
        <v>9</v>
      </c>
      <c r="M1836" s="71">
        <v>46143</v>
      </c>
      <c r="N1836" s="12" t="s">
        <v>1012</v>
      </c>
      <c r="O1836" s="20"/>
      <c r="P1836" s="35"/>
      <c r="Q1836" s="21"/>
      <c r="R1836" s="38"/>
      <c r="S1836" s="9">
        <f t="shared" si="1635"/>
        <v>0</v>
      </c>
      <c r="T1836" s="20">
        <v>5</v>
      </c>
      <c r="U1836" s="35"/>
      <c r="V1836" s="21"/>
      <c r="W1836" s="38"/>
      <c r="X1836" s="9">
        <f t="shared" si="1636"/>
        <v>5</v>
      </c>
      <c r="Y1836" s="11">
        <f t="shared" si="1637"/>
        <v>5</v>
      </c>
      <c r="Z1836" s="69">
        <v>46177</v>
      </c>
    </row>
    <row r="1837" spans="1:26" x14ac:dyDescent="0.15">
      <c r="A1837" s="59" t="s">
        <v>421</v>
      </c>
      <c r="B1837" s="20">
        <v>1</v>
      </c>
      <c r="C1837" s="35"/>
      <c r="D1837" s="21"/>
      <c r="E1837" s="24">
        <v>1</v>
      </c>
      <c r="F1837" s="25">
        <f t="shared" si="1633"/>
        <v>2</v>
      </c>
      <c r="G1837" s="20">
        <v>1</v>
      </c>
      <c r="H1837" s="35">
        <v>1</v>
      </c>
      <c r="I1837" s="21"/>
      <c r="J1837" s="24">
        <v>1</v>
      </c>
      <c r="K1837" s="25">
        <f t="shared" si="1634"/>
        <v>3</v>
      </c>
      <c r="L1837" s="11">
        <f t="shared" si="1623"/>
        <v>5</v>
      </c>
      <c r="M1837" s="69">
        <v>46144</v>
      </c>
      <c r="N1837" s="40" t="s">
        <v>900</v>
      </c>
      <c r="O1837" s="20">
        <v>10</v>
      </c>
      <c r="P1837" s="35"/>
      <c r="Q1837" s="21">
        <v>15</v>
      </c>
      <c r="R1837" s="38">
        <v>5</v>
      </c>
      <c r="S1837" s="9">
        <f t="shared" si="1635"/>
        <v>30</v>
      </c>
      <c r="T1837" s="20">
        <v>5</v>
      </c>
      <c r="U1837" s="35">
        <v>10</v>
      </c>
      <c r="V1837" s="21">
        <v>15</v>
      </c>
      <c r="W1837" s="38">
        <v>10</v>
      </c>
      <c r="X1837" s="9">
        <f t="shared" si="1636"/>
        <v>40</v>
      </c>
      <c r="Y1837" s="11">
        <f t="shared" si="1637"/>
        <v>70</v>
      </c>
      <c r="Z1837" s="69">
        <v>46172</v>
      </c>
    </row>
    <row r="1838" spans="1:26" x14ac:dyDescent="0.15">
      <c r="A1838" s="59" t="s">
        <v>421</v>
      </c>
      <c r="B1838" s="20"/>
      <c r="C1838" s="35"/>
      <c r="D1838" s="21"/>
      <c r="E1838" s="24"/>
      <c r="F1838" s="25">
        <f t="shared" si="1633"/>
        <v>0</v>
      </c>
      <c r="G1838" s="20">
        <v>2</v>
      </c>
      <c r="H1838" s="35"/>
      <c r="I1838" s="21"/>
      <c r="J1838" s="24"/>
      <c r="K1838" s="25">
        <f t="shared" si="1634"/>
        <v>2</v>
      </c>
      <c r="L1838" s="11">
        <f t="shared" si="1623"/>
        <v>2</v>
      </c>
      <c r="M1838" s="69">
        <v>46150</v>
      </c>
      <c r="N1838" s="40" t="s">
        <v>1004</v>
      </c>
      <c r="O1838" s="20">
        <v>10</v>
      </c>
      <c r="P1838" s="35"/>
      <c r="Q1838" s="21"/>
      <c r="R1838" s="38"/>
      <c r="S1838" s="9">
        <f t="shared" si="1635"/>
        <v>10</v>
      </c>
      <c r="T1838" s="20">
        <v>10</v>
      </c>
      <c r="U1838" s="35"/>
      <c r="V1838" s="21"/>
      <c r="W1838" s="38"/>
      <c r="X1838" s="9">
        <f t="shared" si="1636"/>
        <v>10</v>
      </c>
      <c r="Y1838" s="11">
        <f t="shared" si="1637"/>
        <v>20</v>
      </c>
      <c r="Z1838" s="69">
        <v>46178</v>
      </c>
    </row>
    <row r="1839" spans="1:26" x14ac:dyDescent="0.15">
      <c r="A1839" s="59" t="s">
        <v>27</v>
      </c>
      <c r="B1839" s="20">
        <v>1</v>
      </c>
      <c r="C1839" s="35">
        <v>5</v>
      </c>
      <c r="D1839" s="21">
        <v>4</v>
      </c>
      <c r="E1839" s="24">
        <v>3</v>
      </c>
      <c r="F1839" s="25">
        <f t="shared" si="1633"/>
        <v>13</v>
      </c>
      <c r="G1839" s="20">
        <v>7</v>
      </c>
      <c r="H1839" s="35">
        <v>6</v>
      </c>
      <c r="I1839" s="21">
        <v>6</v>
      </c>
      <c r="J1839" s="24">
        <v>3</v>
      </c>
      <c r="K1839" s="25">
        <f t="shared" si="1634"/>
        <v>22</v>
      </c>
      <c r="L1839" s="11">
        <f t="shared" si="1623"/>
        <v>35</v>
      </c>
      <c r="M1839" s="71">
        <v>46149</v>
      </c>
      <c r="N1839" s="216" t="s">
        <v>900</v>
      </c>
      <c r="O1839" s="209"/>
      <c r="P1839" s="210"/>
      <c r="Q1839" s="211"/>
      <c r="R1839" s="217"/>
      <c r="S1839" s="218">
        <f t="shared" si="1635"/>
        <v>0</v>
      </c>
      <c r="T1839" s="209"/>
      <c r="U1839" s="210">
        <v>10</v>
      </c>
      <c r="V1839" s="211"/>
      <c r="W1839" s="217"/>
      <c r="X1839" s="218">
        <f t="shared" si="1636"/>
        <v>10</v>
      </c>
      <c r="Y1839" s="214">
        <f t="shared" si="1637"/>
        <v>10</v>
      </c>
      <c r="Z1839" s="215">
        <v>46177</v>
      </c>
    </row>
    <row r="1840" spans="1:26" x14ac:dyDescent="0.15">
      <c r="A1840" s="40" t="s">
        <v>996</v>
      </c>
      <c r="B1840" s="20">
        <v>5</v>
      </c>
      <c r="C1840" s="35"/>
      <c r="D1840" s="21"/>
      <c r="E1840" s="24"/>
      <c r="F1840" s="25">
        <f t="shared" si="1633"/>
        <v>5</v>
      </c>
      <c r="G1840" s="20">
        <v>5</v>
      </c>
      <c r="H1840" s="35"/>
      <c r="I1840" s="21"/>
      <c r="J1840" s="24"/>
      <c r="K1840" s="25">
        <f t="shared" si="1634"/>
        <v>5</v>
      </c>
      <c r="L1840" s="11">
        <f t="shared" si="1623"/>
        <v>10</v>
      </c>
      <c r="M1840" s="69">
        <v>46153</v>
      </c>
      <c r="N1840" s="12" t="s">
        <v>1013</v>
      </c>
      <c r="O1840" s="20"/>
      <c r="P1840" s="35"/>
      <c r="Q1840" s="21"/>
      <c r="R1840" s="38"/>
      <c r="S1840" s="9">
        <f t="shared" si="1635"/>
        <v>0</v>
      </c>
      <c r="T1840" s="20">
        <v>5</v>
      </c>
      <c r="U1840" s="35"/>
      <c r="V1840" s="21"/>
      <c r="W1840" s="38"/>
      <c r="X1840" s="9">
        <f t="shared" si="1636"/>
        <v>5</v>
      </c>
      <c r="Y1840" s="11">
        <f t="shared" si="1637"/>
        <v>5</v>
      </c>
      <c r="Z1840" s="69">
        <v>46184</v>
      </c>
    </row>
    <row r="1841" spans="1:26" x14ac:dyDescent="0.15">
      <c r="A1841" s="59" t="s">
        <v>27</v>
      </c>
      <c r="B1841" s="20">
        <v>3</v>
      </c>
      <c r="C1841" s="35"/>
      <c r="D1841" s="21"/>
      <c r="E1841" s="24">
        <v>1</v>
      </c>
      <c r="F1841" s="25">
        <f t="shared" si="1633"/>
        <v>4</v>
      </c>
      <c r="G1841" s="20">
        <v>2</v>
      </c>
      <c r="H1841" s="35"/>
      <c r="I1841" s="21">
        <v>1</v>
      </c>
      <c r="J1841" s="24">
        <v>1</v>
      </c>
      <c r="K1841" s="25">
        <f t="shared" si="1634"/>
        <v>4</v>
      </c>
      <c r="L1841" s="11">
        <f t="shared" si="1623"/>
        <v>8</v>
      </c>
      <c r="M1841" s="69">
        <v>46153</v>
      </c>
      <c r="N1841" s="40" t="s">
        <v>1014</v>
      </c>
      <c r="O1841" s="20"/>
      <c r="P1841" s="35">
        <v>15</v>
      </c>
      <c r="Q1841" s="21">
        <v>5</v>
      </c>
      <c r="R1841" s="38"/>
      <c r="S1841" s="9">
        <f t="shared" si="1635"/>
        <v>20</v>
      </c>
      <c r="T1841" s="20"/>
      <c r="U1841" s="35">
        <v>15</v>
      </c>
      <c r="V1841" s="21">
        <v>5</v>
      </c>
      <c r="W1841" s="38"/>
      <c r="X1841" s="9">
        <f t="shared" si="1636"/>
        <v>20</v>
      </c>
      <c r="Y1841" s="11">
        <f t="shared" si="1637"/>
        <v>40</v>
      </c>
      <c r="Z1841" s="69">
        <v>46181</v>
      </c>
    </row>
    <row r="1842" spans="1:26" x14ac:dyDescent="0.15">
      <c r="A1842" s="59" t="s">
        <v>421</v>
      </c>
      <c r="B1842" s="20">
        <v>1</v>
      </c>
      <c r="C1842" s="35">
        <v>1</v>
      </c>
      <c r="D1842" s="21"/>
      <c r="E1842" s="24">
        <v>2</v>
      </c>
      <c r="F1842" s="25">
        <f t="shared" si="1633"/>
        <v>4</v>
      </c>
      <c r="G1842" s="20">
        <v>1</v>
      </c>
      <c r="H1842" s="35"/>
      <c r="I1842" s="21"/>
      <c r="J1842" s="24">
        <v>1</v>
      </c>
      <c r="K1842" s="25">
        <f t="shared" si="1634"/>
        <v>2</v>
      </c>
      <c r="L1842" s="11">
        <f t="shared" si="1623"/>
        <v>6</v>
      </c>
      <c r="M1842" s="69">
        <v>46155</v>
      </c>
      <c r="N1842" s="216" t="s">
        <v>863</v>
      </c>
      <c r="O1842" s="209">
        <v>10</v>
      </c>
      <c r="P1842" s="210">
        <v>10</v>
      </c>
      <c r="Q1842" s="211">
        <v>10</v>
      </c>
      <c r="R1842" s="217">
        <v>10</v>
      </c>
      <c r="S1842" s="218">
        <f t="shared" si="1635"/>
        <v>40</v>
      </c>
      <c r="T1842" s="209">
        <v>10</v>
      </c>
      <c r="U1842" s="210">
        <v>10</v>
      </c>
      <c r="V1842" s="211">
        <v>10</v>
      </c>
      <c r="W1842" s="217">
        <v>10</v>
      </c>
      <c r="X1842" s="218">
        <f t="shared" si="1636"/>
        <v>40</v>
      </c>
      <c r="Y1842" s="214">
        <f t="shared" si="1637"/>
        <v>80</v>
      </c>
      <c r="Z1842" s="215">
        <v>46184</v>
      </c>
    </row>
    <row r="1843" spans="1:26" x14ac:dyDescent="0.15">
      <c r="A1843" s="59" t="s">
        <v>27</v>
      </c>
      <c r="B1843" s="20">
        <v>1</v>
      </c>
      <c r="C1843" s="35">
        <v>4</v>
      </c>
      <c r="D1843" s="21">
        <v>1</v>
      </c>
      <c r="E1843" s="24"/>
      <c r="F1843" s="25">
        <f t="shared" si="1633"/>
        <v>6</v>
      </c>
      <c r="G1843" s="20"/>
      <c r="H1843" s="35">
        <v>1</v>
      </c>
      <c r="I1843" s="21">
        <v>1</v>
      </c>
      <c r="J1843" s="24"/>
      <c r="K1843" s="25">
        <f t="shared" si="1634"/>
        <v>2</v>
      </c>
      <c r="L1843" s="11">
        <f t="shared" si="1623"/>
        <v>8</v>
      </c>
      <c r="M1843" s="71">
        <v>46154</v>
      </c>
      <c r="N1843" s="40" t="s">
        <v>1015</v>
      </c>
      <c r="O1843" s="20">
        <v>15</v>
      </c>
      <c r="P1843" s="35">
        <v>20</v>
      </c>
      <c r="Q1843" s="21">
        <v>5</v>
      </c>
      <c r="R1843" s="38"/>
      <c r="S1843" s="9">
        <f t="shared" si="1635"/>
        <v>40</v>
      </c>
      <c r="T1843" s="20">
        <v>15</v>
      </c>
      <c r="U1843" s="35">
        <v>20</v>
      </c>
      <c r="V1843" s="21">
        <v>5</v>
      </c>
      <c r="W1843" s="38"/>
      <c r="X1843" s="9">
        <f t="shared" si="1636"/>
        <v>40</v>
      </c>
      <c r="Y1843" s="11">
        <f t="shared" si="1637"/>
        <v>80</v>
      </c>
      <c r="Z1843" s="69">
        <v>46188</v>
      </c>
    </row>
    <row r="1844" spans="1:26" x14ac:dyDescent="0.15">
      <c r="A1844" s="59" t="s">
        <v>27</v>
      </c>
      <c r="B1844" s="20">
        <v>1</v>
      </c>
      <c r="C1844" s="35">
        <v>1</v>
      </c>
      <c r="D1844" s="21"/>
      <c r="E1844" s="24"/>
      <c r="F1844" s="25">
        <f t="shared" si="1633"/>
        <v>2</v>
      </c>
      <c r="G1844" s="20"/>
      <c r="H1844" s="35">
        <v>1</v>
      </c>
      <c r="I1844" s="21"/>
      <c r="J1844" s="24"/>
      <c r="K1844" s="25">
        <f t="shared" si="1634"/>
        <v>1</v>
      </c>
      <c r="L1844" s="11">
        <f t="shared" si="1623"/>
        <v>3</v>
      </c>
      <c r="M1844" s="71">
        <v>46155</v>
      </c>
      <c r="N1844" s="40" t="s">
        <v>1016</v>
      </c>
      <c r="O1844" s="20"/>
      <c r="P1844" s="35"/>
      <c r="Q1844" s="21">
        <v>5</v>
      </c>
      <c r="R1844" s="38">
        <v>4</v>
      </c>
      <c r="S1844" s="9">
        <f t="shared" si="1635"/>
        <v>9</v>
      </c>
      <c r="T1844" s="20"/>
      <c r="U1844" s="35"/>
      <c r="V1844" s="21">
        <v>5</v>
      </c>
      <c r="W1844" s="38">
        <v>4</v>
      </c>
      <c r="X1844" s="9">
        <f t="shared" si="1636"/>
        <v>9</v>
      </c>
      <c r="Y1844" s="11">
        <f t="shared" si="1637"/>
        <v>18</v>
      </c>
      <c r="Z1844" s="69">
        <v>46191</v>
      </c>
    </row>
    <row r="1845" spans="1:26" x14ac:dyDescent="0.15">
      <c r="A1845" s="59" t="s">
        <v>421</v>
      </c>
      <c r="B1845" s="20"/>
      <c r="C1845" s="35">
        <v>1</v>
      </c>
      <c r="D1845" s="21"/>
      <c r="E1845" s="24"/>
      <c r="F1845" s="25">
        <f t="shared" si="1633"/>
        <v>1</v>
      </c>
      <c r="G1845" s="20"/>
      <c r="H1845" s="35"/>
      <c r="I1845" s="21"/>
      <c r="J1845" s="24"/>
      <c r="K1845" s="25">
        <f t="shared" si="1634"/>
        <v>0</v>
      </c>
      <c r="L1845" s="11">
        <f t="shared" si="1623"/>
        <v>1</v>
      </c>
      <c r="M1845" s="69">
        <v>46157</v>
      </c>
      <c r="N1845" s="216" t="s">
        <v>863</v>
      </c>
      <c r="O1845" s="209"/>
      <c r="P1845" s="210">
        <v>10</v>
      </c>
      <c r="Q1845" s="211"/>
      <c r="R1845" s="217"/>
      <c r="S1845" s="218">
        <f t="shared" si="1635"/>
        <v>10</v>
      </c>
      <c r="T1845" s="209">
        <v>10</v>
      </c>
      <c r="U1845" s="210">
        <v>10</v>
      </c>
      <c r="V1845" s="211"/>
      <c r="W1845" s="217"/>
      <c r="X1845" s="218">
        <f t="shared" si="1636"/>
        <v>20</v>
      </c>
      <c r="Y1845" s="214">
        <f t="shared" si="1637"/>
        <v>30</v>
      </c>
      <c r="Z1845" s="215">
        <v>46190</v>
      </c>
    </row>
    <row r="1846" spans="1:26" x14ac:dyDescent="0.15">
      <c r="A1846" s="59" t="s">
        <v>27</v>
      </c>
      <c r="B1846" s="20"/>
      <c r="C1846" s="35">
        <v>1</v>
      </c>
      <c r="D1846" s="21"/>
      <c r="E1846" s="24"/>
      <c r="F1846" s="25">
        <f t="shared" si="1633"/>
        <v>1</v>
      </c>
      <c r="G1846" s="20">
        <v>1</v>
      </c>
      <c r="H1846" s="35">
        <v>1</v>
      </c>
      <c r="I1846" s="21">
        <v>2</v>
      </c>
      <c r="J1846" s="24">
        <v>2</v>
      </c>
      <c r="K1846" s="25">
        <f t="shared" si="1634"/>
        <v>6</v>
      </c>
      <c r="L1846" s="11">
        <f t="shared" si="1623"/>
        <v>7</v>
      </c>
      <c r="M1846" s="69">
        <v>46157</v>
      </c>
      <c r="N1846" s="40"/>
      <c r="O1846" s="20"/>
      <c r="P1846" s="35"/>
      <c r="Q1846" s="21"/>
      <c r="R1846" s="38"/>
      <c r="S1846" s="9">
        <f t="shared" ref="S1846:S1847" si="1638">SUM(O1846:R1846)</f>
        <v>0</v>
      </c>
      <c r="T1846" s="20"/>
      <c r="U1846" s="35"/>
      <c r="V1846" s="21"/>
      <c r="W1846" s="38"/>
      <c r="X1846" s="9">
        <f t="shared" ref="X1846:X1847" si="1639">SUM(T1846:W1846)</f>
        <v>0</v>
      </c>
      <c r="Y1846" s="11">
        <f t="shared" ref="Y1846:Y1847" si="1640">S1846+X1846</f>
        <v>0</v>
      </c>
    </row>
    <row r="1847" spans="1:26" x14ac:dyDescent="0.15">
      <c r="A1847" s="59" t="s">
        <v>27</v>
      </c>
      <c r="B1847" s="20">
        <v>2</v>
      </c>
      <c r="C1847" s="35">
        <v>3</v>
      </c>
      <c r="D1847" s="21">
        <v>1</v>
      </c>
      <c r="E1847" s="24"/>
      <c r="F1847" s="25">
        <f t="shared" si="1633"/>
        <v>6</v>
      </c>
      <c r="G1847" s="20">
        <v>5</v>
      </c>
      <c r="H1847" s="35"/>
      <c r="I1847" s="21"/>
      <c r="J1847" s="24">
        <v>2</v>
      </c>
      <c r="K1847" s="25">
        <f t="shared" si="1634"/>
        <v>7</v>
      </c>
      <c r="L1847" s="11">
        <f t="shared" si="1623"/>
        <v>13</v>
      </c>
      <c r="M1847" s="69">
        <v>46160</v>
      </c>
      <c r="N1847" s="40"/>
      <c r="O1847" s="20"/>
      <c r="P1847" s="35"/>
      <c r="Q1847" s="21"/>
      <c r="R1847" s="38"/>
      <c r="S1847" s="9">
        <f t="shared" si="1638"/>
        <v>0</v>
      </c>
      <c r="T1847" s="20"/>
      <c r="U1847" s="35"/>
      <c r="V1847" s="21"/>
      <c r="W1847" s="38"/>
      <c r="X1847" s="9">
        <f t="shared" si="1639"/>
        <v>0</v>
      </c>
      <c r="Y1847" s="11">
        <f t="shared" si="1640"/>
        <v>0</v>
      </c>
    </row>
    <row r="1848" spans="1:26" x14ac:dyDescent="0.15">
      <c r="A1848" s="59" t="s">
        <v>27</v>
      </c>
      <c r="B1848" s="20">
        <v>3</v>
      </c>
      <c r="C1848" s="35"/>
      <c r="D1848" s="21"/>
      <c r="E1848" s="24"/>
      <c r="F1848" s="25">
        <f t="shared" si="1633"/>
        <v>3</v>
      </c>
      <c r="G1848" s="20"/>
      <c r="H1848" s="35"/>
      <c r="I1848" s="21"/>
      <c r="J1848" s="24"/>
      <c r="K1848" s="25">
        <f t="shared" si="1634"/>
        <v>0</v>
      </c>
      <c r="L1848" s="11">
        <f t="shared" si="1623"/>
        <v>3</v>
      </c>
      <c r="M1848" s="69">
        <v>46161</v>
      </c>
      <c r="N1848" s="40"/>
      <c r="O1848" s="20"/>
      <c r="P1848" s="35"/>
      <c r="Q1848" s="21"/>
      <c r="R1848" s="38"/>
      <c r="S1848" s="9">
        <f t="shared" ref="S1848:S1854" si="1641">SUM(O1848:R1848)</f>
        <v>0</v>
      </c>
      <c r="T1848" s="20"/>
      <c r="U1848" s="35"/>
      <c r="V1848" s="21"/>
      <c r="W1848" s="38"/>
      <c r="X1848" s="9">
        <f t="shared" ref="X1848:X1854" si="1642">SUM(T1848:W1848)</f>
        <v>0</v>
      </c>
      <c r="Y1848" s="11">
        <f t="shared" ref="Y1848:Y1854" si="1643">S1848+X1848</f>
        <v>0</v>
      </c>
    </row>
    <row r="1849" spans="1:26" x14ac:dyDescent="0.15">
      <c r="A1849" s="59" t="s">
        <v>421</v>
      </c>
      <c r="B1849" s="20"/>
      <c r="C1849" s="35">
        <v>3</v>
      </c>
      <c r="D1849" s="21">
        <v>1</v>
      </c>
      <c r="E1849" s="24"/>
      <c r="F1849" s="25">
        <f t="shared" si="1633"/>
        <v>4</v>
      </c>
      <c r="G1849" s="20"/>
      <c r="H1849" s="35">
        <v>3</v>
      </c>
      <c r="I1849" s="21">
        <v>1</v>
      </c>
      <c r="J1849" s="24"/>
      <c r="K1849" s="25">
        <f t="shared" si="1634"/>
        <v>4</v>
      </c>
      <c r="L1849" s="11">
        <f t="shared" si="1623"/>
        <v>8</v>
      </c>
      <c r="M1849" s="69">
        <v>46163</v>
      </c>
      <c r="N1849" s="40"/>
      <c r="O1849" s="20"/>
      <c r="P1849" s="35"/>
      <c r="Q1849" s="21"/>
      <c r="R1849" s="38"/>
      <c r="S1849" s="9">
        <f t="shared" si="1641"/>
        <v>0</v>
      </c>
      <c r="T1849" s="20"/>
      <c r="U1849" s="35"/>
      <c r="V1849" s="21"/>
      <c r="W1849" s="38"/>
      <c r="X1849" s="9">
        <f t="shared" si="1642"/>
        <v>0</v>
      </c>
      <c r="Y1849" s="11">
        <f t="shared" si="1643"/>
        <v>0</v>
      </c>
    </row>
    <row r="1850" spans="1:26" x14ac:dyDescent="0.15">
      <c r="A1850" s="59" t="s">
        <v>27</v>
      </c>
      <c r="B1850" s="20"/>
      <c r="C1850" s="35">
        <v>2</v>
      </c>
      <c r="D1850" s="21"/>
      <c r="E1850" s="24"/>
      <c r="F1850" s="25">
        <f t="shared" si="1633"/>
        <v>2</v>
      </c>
      <c r="G1850" s="20"/>
      <c r="H1850" s="35"/>
      <c r="I1850" s="21"/>
      <c r="J1850" s="24"/>
      <c r="K1850" s="25">
        <f t="shared" si="1634"/>
        <v>0</v>
      </c>
      <c r="L1850" s="11">
        <f t="shared" si="1623"/>
        <v>2</v>
      </c>
      <c r="M1850" s="69">
        <v>46162</v>
      </c>
      <c r="N1850" s="40"/>
      <c r="O1850" s="20"/>
      <c r="P1850" s="35"/>
      <c r="Q1850" s="21"/>
      <c r="R1850" s="38"/>
      <c r="S1850" s="9">
        <f t="shared" si="1641"/>
        <v>0</v>
      </c>
      <c r="T1850" s="20"/>
      <c r="U1850" s="35"/>
      <c r="V1850" s="21"/>
      <c r="W1850" s="38"/>
      <c r="X1850" s="9">
        <f t="shared" si="1642"/>
        <v>0</v>
      </c>
      <c r="Y1850" s="11">
        <f t="shared" si="1643"/>
        <v>0</v>
      </c>
    </row>
    <row r="1851" spans="1:26" x14ac:dyDescent="0.15">
      <c r="A1851" s="40" t="s">
        <v>1004</v>
      </c>
      <c r="B1851" s="20">
        <v>5</v>
      </c>
      <c r="C1851" s="35">
        <v>10</v>
      </c>
      <c r="D1851" s="21">
        <v>15</v>
      </c>
      <c r="E1851" s="24"/>
      <c r="F1851" s="25">
        <f t="shared" si="1633"/>
        <v>30</v>
      </c>
      <c r="G1851" s="20">
        <v>5</v>
      </c>
      <c r="H1851" s="35">
        <v>10</v>
      </c>
      <c r="I1851" s="21">
        <v>15</v>
      </c>
      <c r="J1851" s="24"/>
      <c r="K1851" s="25">
        <f t="shared" si="1634"/>
        <v>30</v>
      </c>
      <c r="L1851" s="11">
        <f t="shared" si="1623"/>
        <v>60</v>
      </c>
      <c r="M1851" s="69">
        <v>46164</v>
      </c>
      <c r="N1851" s="40"/>
      <c r="O1851" s="20"/>
      <c r="P1851" s="35"/>
      <c r="Q1851" s="21"/>
      <c r="R1851" s="38"/>
      <c r="S1851" s="9">
        <f t="shared" si="1641"/>
        <v>0</v>
      </c>
      <c r="T1851" s="20"/>
      <c r="U1851" s="35"/>
      <c r="V1851" s="21"/>
      <c r="W1851" s="38"/>
      <c r="X1851" s="9">
        <f t="shared" si="1642"/>
        <v>0</v>
      </c>
      <c r="Y1851" s="11">
        <f t="shared" si="1643"/>
        <v>0</v>
      </c>
    </row>
    <row r="1852" spans="1:26" x14ac:dyDescent="0.15">
      <c r="A1852" s="59" t="s">
        <v>27</v>
      </c>
      <c r="B1852" s="20">
        <v>1</v>
      </c>
      <c r="C1852" s="35"/>
      <c r="D1852" s="21"/>
      <c r="E1852" s="24"/>
      <c r="F1852" s="25">
        <f t="shared" si="1633"/>
        <v>1</v>
      </c>
      <c r="G1852" s="20">
        <v>1</v>
      </c>
      <c r="H1852" s="35"/>
      <c r="I1852" s="21"/>
      <c r="J1852" s="24"/>
      <c r="K1852" s="25">
        <f t="shared" si="1634"/>
        <v>1</v>
      </c>
      <c r="L1852" s="11">
        <f t="shared" si="1623"/>
        <v>2</v>
      </c>
      <c r="M1852" s="69">
        <v>46163</v>
      </c>
      <c r="N1852" s="40"/>
      <c r="O1852" s="20"/>
      <c r="P1852" s="35"/>
      <c r="Q1852" s="21"/>
      <c r="R1852" s="38"/>
      <c r="S1852" s="9">
        <f t="shared" si="1641"/>
        <v>0</v>
      </c>
      <c r="T1852" s="20"/>
      <c r="U1852" s="35"/>
      <c r="V1852" s="21"/>
      <c r="W1852" s="38"/>
      <c r="X1852" s="9">
        <f t="shared" si="1642"/>
        <v>0</v>
      </c>
      <c r="Y1852" s="11">
        <f t="shared" si="1643"/>
        <v>0</v>
      </c>
    </row>
    <row r="1853" spans="1:26" x14ac:dyDescent="0.15">
      <c r="A1853" s="59" t="s">
        <v>1008</v>
      </c>
      <c r="B1853" s="20"/>
      <c r="C1853" s="35">
        <v>-10</v>
      </c>
      <c r="D1853" s="21">
        <v>-10</v>
      </c>
      <c r="E1853" s="24"/>
      <c r="F1853" s="25">
        <f t="shared" si="1633"/>
        <v>-20</v>
      </c>
      <c r="G1853" s="20"/>
      <c r="H1853" s="35"/>
      <c r="I1853" s="21">
        <v>-10</v>
      </c>
      <c r="J1853" s="24"/>
      <c r="K1853" s="25">
        <f t="shared" si="1634"/>
        <v>-10</v>
      </c>
      <c r="L1853" s="11">
        <f t="shared" si="1623"/>
        <v>-30</v>
      </c>
      <c r="M1853" s="69">
        <v>46164</v>
      </c>
      <c r="N1853" s="40"/>
      <c r="O1853" s="20"/>
      <c r="P1853" s="35"/>
      <c r="Q1853" s="21"/>
      <c r="R1853" s="38"/>
      <c r="S1853" s="9">
        <f t="shared" si="1641"/>
        <v>0</v>
      </c>
      <c r="T1853" s="20"/>
      <c r="U1853" s="35"/>
      <c r="V1853" s="21"/>
      <c r="W1853" s="38"/>
      <c r="X1853" s="9">
        <f t="shared" si="1642"/>
        <v>0</v>
      </c>
      <c r="Y1853" s="11">
        <f t="shared" si="1643"/>
        <v>0</v>
      </c>
    </row>
    <row r="1854" spans="1:26" x14ac:dyDescent="0.15">
      <c r="A1854" s="59" t="s">
        <v>27</v>
      </c>
      <c r="B1854" s="20"/>
      <c r="C1854" s="35">
        <v>1</v>
      </c>
      <c r="D1854" s="21"/>
      <c r="E1854" s="24"/>
      <c r="F1854" s="25">
        <f t="shared" si="1633"/>
        <v>1</v>
      </c>
      <c r="G1854" s="20"/>
      <c r="H1854" s="35">
        <v>1</v>
      </c>
      <c r="I1854" s="21"/>
      <c r="J1854" s="24"/>
      <c r="K1854" s="25">
        <f t="shared" si="1634"/>
        <v>1</v>
      </c>
      <c r="L1854" s="11">
        <f t="shared" si="1623"/>
        <v>2</v>
      </c>
      <c r="M1854" s="71">
        <v>46164</v>
      </c>
      <c r="N1854" s="40"/>
      <c r="O1854" s="20"/>
      <c r="P1854" s="35"/>
      <c r="Q1854" s="21"/>
      <c r="R1854" s="38"/>
      <c r="S1854" s="9">
        <f t="shared" si="1641"/>
        <v>0</v>
      </c>
      <c r="T1854" s="20"/>
      <c r="U1854" s="35"/>
      <c r="V1854" s="21"/>
      <c r="W1854" s="38"/>
      <c r="X1854" s="9">
        <f t="shared" si="1642"/>
        <v>0</v>
      </c>
      <c r="Y1854" s="11">
        <f t="shared" si="1643"/>
        <v>0</v>
      </c>
    </row>
    <row r="1855" spans="1:26" x14ac:dyDescent="0.15">
      <c r="A1855" s="59" t="s">
        <v>54</v>
      </c>
      <c r="B1855" s="20"/>
      <c r="C1855" s="35">
        <v>-10</v>
      </c>
      <c r="D1855" s="21"/>
      <c r="E1855" s="24"/>
      <c r="F1855" s="25">
        <f t="shared" si="1633"/>
        <v>-10</v>
      </c>
      <c r="G1855" s="20">
        <v>-10</v>
      </c>
      <c r="H1855" s="35">
        <v>-10</v>
      </c>
      <c r="I1855" s="21">
        <v>-5</v>
      </c>
      <c r="J1855" s="24">
        <v>-5</v>
      </c>
      <c r="K1855" s="25">
        <f t="shared" si="1634"/>
        <v>-30</v>
      </c>
      <c r="L1855" s="11">
        <f t="shared" si="1623"/>
        <v>-40</v>
      </c>
      <c r="M1855" s="69">
        <v>46167</v>
      </c>
      <c r="N1855" s="40"/>
      <c r="O1855" s="20"/>
      <c r="P1855" s="35"/>
      <c r="Q1855" s="21"/>
      <c r="R1855" s="38"/>
      <c r="S1855" s="9">
        <f t="shared" ref="S1855:S1856" si="1644">SUM(O1855:R1855)</f>
        <v>0</v>
      </c>
      <c r="T1855" s="20"/>
      <c r="U1855" s="35"/>
      <c r="V1855" s="21"/>
      <c r="W1855" s="38"/>
      <c r="X1855" s="9">
        <f t="shared" ref="X1855:X1856" si="1645">SUM(T1855:W1855)</f>
        <v>0</v>
      </c>
      <c r="Y1855" s="11">
        <f t="shared" ref="Y1855:Y1856" si="1646">S1855+X1855</f>
        <v>0</v>
      </c>
    </row>
    <row r="1856" spans="1:26" x14ac:dyDescent="0.15">
      <c r="A1856" s="59" t="s">
        <v>421</v>
      </c>
      <c r="B1856" s="20"/>
      <c r="C1856" s="35"/>
      <c r="D1856" s="21"/>
      <c r="E1856" s="24"/>
      <c r="F1856" s="25">
        <f t="shared" si="1633"/>
        <v>0</v>
      </c>
      <c r="G1856" s="20"/>
      <c r="H1856" s="35"/>
      <c r="I1856" s="21"/>
      <c r="J1856" s="24">
        <v>1</v>
      </c>
      <c r="K1856" s="25">
        <f t="shared" si="1634"/>
        <v>1</v>
      </c>
      <c r="L1856" s="11">
        <f t="shared" si="1623"/>
        <v>1</v>
      </c>
      <c r="M1856" s="69">
        <v>46168</v>
      </c>
      <c r="N1856" s="40"/>
      <c r="O1856" s="20"/>
      <c r="P1856" s="35"/>
      <c r="Q1856" s="21"/>
      <c r="R1856" s="38"/>
      <c r="S1856" s="9">
        <f t="shared" si="1644"/>
        <v>0</v>
      </c>
      <c r="T1856" s="20"/>
      <c r="U1856" s="35"/>
      <c r="V1856" s="21"/>
      <c r="W1856" s="38"/>
      <c r="X1856" s="9">
        <f t="shared" si="1645"/>
        <v>0</v>
      </c>
      <c r="Y1856" s="11">
        <f t="shared" si="1646"/>
        <v>0</v>
      </c>
    </row>
    <row r="1857" spans="1:26" x14ac:dyDescent="0.15">
      <c r="A1857" s="59" t="s">
        <v>27</v>
      </c>
      <c r="B1857" s="20"/>
      <c r="C1857" s="35"/>
      <c r="D1857" s="21"/>
      <c r="E1857" s="24">
        <v>1</v>
      </c>
      <c r="F1857" s="25">
        <f t="shared" si="1633"/>
        <v>1</v>
      </c>
      <c r="G1857" s="20">
        <v>2</v>
      </c>
      <c r="H1857" s="35">
        <v>2</v>
      </c>
      <c r="I1857" s="21">
        <v>2</v>
      </c>
      <c r="J1857" s="24">
        <v>2</v>
      </c>
      <c r="K1857" s="25">
        <f t="shared" si="1634"/>
        <v>8</v>
      </c>
      <c r="L1857" s="11">
        <f t="shared" si="1623"/>
        <v>9</v>
      </c>
      <c r="M1857" s="69">
        <v>46167</v>
      </c>
      <c r="N1857" s="187" t="s">
        <v>984</v>
      </c>
      <c r="O1857" s="204">
        <v>0</v>
      </c>
      <c r="P1857" s="205">
        <v>0</v>
      </c>
      <c r="Q1857" s="206">
        <v>0</v>
      </c>
      <c r="R1857" s="207">
        <v>0</v>
      </c>
      <c r="S1857" s="208">
        <f t="shared" ref="S1857:S1858" si="1647">SUM(O1857:R1857)</f>
        <v>0</v>
      </c>
      <c r="T1857" s="204">
        <v>0</v>
      </c>
      <c r="U1857" s="205">
        <v>0</v>
      </c>
      <c r="V1857" s="206">
        <v>0</v>
      </c>
      <c r="W1857" s="207">
        <v>0</v>
      </c>
      <c r="X1857" s="208">
        <f t="shared" ref="X1857:X1858" si="1648">SUM(T1857:W1857)</f>
        <v>0</v>
      </c>
      <c r="Y1857" s="173">
        <f t="shared" ref="Y1857:Y1858" si="1649">S1857+X1857</f>
        <v>0</v>
      </c>
      <c r="Z1857" s="165"/>
    </row>
    <row r="1858" spans="1:26" ht="14.25" thickBot="1" x14ac:dyDescent="0.2">
      <c r="A1858" s="15" t="s">
        <v>1011</v>
      </c>
      <c r="B1858" s="43"/>
      <c r="C1858" s="44"/>
      <c r="D1858" s="45"/>
      <c r="E1858" s="46"/>
      <c r="F1858" s="25">
        <f t="shared" si="1633"/>
        <v>0</v>
      </c>
      <c r="G1858" s="43"/>
      <c r="H1858" s="44"/>
      <c r="I1858" s="45">
        <v>1</v>
      </c>
      <c r="J1858" s="46"/>
      <c r="K1858" s="25">
        <f t="shared" si="1634"/>
        <v>1</v>
      </c>
      <c r="L1858" s="14">
        <f t="shared" si="1623"/>
        <v>1</v>
      </c>
      <c r="M1858" s="69">
        <v>46169</v>
      </c>
      <c r="N1858" s="229" t="s">
        <v>985</v>
      </c>
      <c r="O1858" s="88">
        <f>17-5-12</f>
        <v>0</v>
      </c>
      <c r="P1858" s="89">
        <f>25-15-10</f>
        <v>0</v>
      </c>
      <c r="Q1858" s="90">
        <f>17-9-5-3</f>
        <v>0</v>
      </c>
      <c r="R1858" s="103">
        <f>11-4</f>
        <v>7</v>
      </c>
      <c r="S1858" s="91">
        <f t="shared" si="1647"/>
        <v>7</v>
      </c>
      <c r="T1858" s="88">
        <f>17-5-12</f>
        <v>0</v>
      </c>
      <c r="U1858" s="89">
        <f>25-15-10</f>
        <v>0</v>
      </c>
      <c r="V1858" s="90">
        <f>17-9-5-3</f>
        <v>0</v>
      </c>
      <c r="W1858" s="103">
        <f>11-4</f>
        <v>7</v>
      </c>
      <c r="X1858" s="91">
        <f t="shared" si="1648"/>
        <v>7</v>
      </c>
      <c r="Y1858" s="92">
        <f t="shared" si="1649"/>
        <v>14</v>
      </c>
      <c r="Z1858" s="165" t="s">
        <v>928</v>
      </c>
    </row>
    <row r="1859" spans="1:26" ht="14.25" thickBot="1" x14ac:dyDescent="0.2">
      <c r="A1859" s="16" t="s">
        <v>9</v>
      </c>
      <c r="B1859" s="28">
        <f>SUM(B1834:B1858)</f>
        <v>26</v>
      </c>
      <c r="C1859" s="36">
        <f>SUM(C1834:C1858)</f>
        <v>16</v>
      </c>
      <c r="D1859" s="29">
        <f>SUM(D1834:D1858)</f>
        <v>15</v>
      </c>
      <c r="E1859" s="30">
        <f>SUM(E1834:E1858)</f>
        <v>8</v>
      </c>
      <c r="F1859" s="26">
        <f>SUM(B1859:E1859)</f>
        <v>65</v>
      </c>
      <c r="G1859" s="28">
        <f>SUM(G1834:G1858)</f>
        <v>27</v>
      </c>
      <c r="H1859" s="36">
        <f>SUM(H1834:H1858)</f>
        <v>20</v>
      </c>
      <c r="I1859" s="29">
        <f>SUM(I1834:I1858)</f>
        <v>18</v>
      </c>
      <c r="J1859" s="30">
        <f>SUM(J1834:J1858)</f>
        <v>8</v>
      </c>
      <c r="K1859" s="26">
        <f>SUM(G1859:J1859)</f>
        <v>73</v>
      </c>
      <c r="L1859" s="27">
        <f t="shared" si="1623"/>
        <v>138</v>
      </c>
      <c r="N1859" s="61" t="s">
        <v>9</v>
      </c>
      <c r="O1859" s="28">
        <f>SUM(O1834:O1858)</f>
        <v>45</v>
      </c>
      <c r="P1859" s="36">
        <f t="shared" ref="P1859:R1859" si="1650">SUM(P1834:P1858)</f>
        <v>75</v>
      </c>
      <c r="Q1859" s="29">
        <f t="shared" si="1650"/>
        <v>50</v>
      </c>
      <c r="R1859" s="30">
        <f t="shared" si="1650"/>
        <v>26</v>
      </c>
      <c r="S1859" s="60">
        <f>SUM(O1859:R1859)</f>
        <v>196</v>
      </c>
      <c r="T1859" s="28">
        <f>SUM(T1834:T1858)</f>
        <v>70</v>
      </c>
      <c r="U1859" s="36">
        <f t="shared" ref="U1859:W1859" si="1651">SUM(U1834:U1858)</f>
        <v>85</v>
      </c>
      <c r="V1859" s="29">
        <f t="shared" si="1651"/>
        <v>55</v>
      </c>
      <c r="W1859" s="30">
        <f t="shared" si="1651"/>
        <v>36</v>
      </c>
      <c r="X1859" s="60">
        <f>SUM(T1859:W1859)</f>
        <v>246</v>
      </c>
      <c r="Y1859" s="63">
        <f>S1859+X1859</f>
        <v>442</v>
      </c>
    </row>
    <row r="1860" spans="1:26" ht="14.25" thickBot="1" x14ac:dyDescent="0.2">
      <c r="A1860" s="18" t="s">
        <v>10</v>
      </c>
      <c r="B1860" s="31">
        <f t="shared" ref="B1860:K1860" si="1652">B1833-B1859</f>
        <v>22</v>
      </c>
      <c r="C1860" s="37">
        <f t="shared" si="1652"/>
        <v>30</v>
      </c>
      <c r="D1860" s="32">
        <f t="shared" si="1652"/>
        <v>24</v>
      </c>
      <c r="E1860" s="33">
        <f t="shared" si="1652"/>
        <v>26</v>
      </c>
      <c r="F1860" s="42">
        <f t="shared" si="1652"/>
        <v>102</v>
      </c>
      <c r="G1860" s="31">
        <f t="shared" si="1652"/>
        <v>27</v>
      </c>
      <c r="H1860" s="37">
        <f t="shared" si="1652"/>
        <v>26</v>
      </c>
      <c r="I1860" s="32">
        <f t="shared" si="1652"/>
        <v>22</v>
      </c>
      <c r="J1860" s="33">
        <f t="shared" si="1652"/>
        <v>22</v>
      </c>
      <c r="K1860" s="42">
        <f t="shared" si="1652"/>
        <v>97</v>
      </c>
      <c r="L1860" s="17">
        <f t="shared" si="1623"/>
        <v>199</v>
      </c>
      <c r="N1860" s="16" t="s">
        <v>10</v>
      </c>
      <c r="O1860" s="31">
        <f>O1833-O1859</f>
        <v>419</v>
      </c>
      <c r="P1860" s="37">
        <f t="shared" ref="P1860:R1860" si="1653">P1833-P1859</f>
        <v>608</v>
      </c>
      <c r="Q1860" s="32">
        <f t="shared" si="1653"/>
        <v>410</v>
      </c>
      <c r="R1860" s="33">
        <f t="shared" si="1653"/>
        <v>300</v>
      </c>
      <c r="S1860" s="42">
        <f>S1833-S1859</f>
        <v>1737</v>
      </c>
      <c r="T1860" s="31">
        <f>T1833-T1859</f>
        <v>407</v>
      </c>
      <c r="U1860" s="37">
        <f t="shared" ref="U1860:W1860" si="1654">U1833-U1859</f>
        <v>626</v>
      </c>
      <c r="V1860" s="32">
        <f t="shared" si="1654"/>
        <v>409</v>
      </c>
      <c r="W1860" s="33">
        <f t="shared" si="1654"/>
        <v>330</v>
      </c>
      <c r="X1860" s="42">
        <f>X1833-X1859</f>
        <v>1772</v>
      </c>
      <c r="Y1860" s="17">
        <f>S1860+X1860</f>
        <v>3509</v>
      </c>
    </row>
    <row r="1861" spans="1:26" x14ac:dyDescent="0.15">
      <c r="N1861" s="232" t="s">
        <v>773</v>
      </c>
      <c r="O1861" s="87">
        <f>O1860/$S$1860*100</f>
        <v>24.122049510650548</v>
      </c>
      <c r="P1861" s="87">
        <f t="shared" ref="P1861:S1861" si="1655">P1860/$S$1860*100</f>
        <v>35.002878526194586</v>
      </c>
      <c r="Q1861" s="87">
        <f t="shared" si="1655"/>
        <v>23.60391479562464</v>
      </c>
      <c r="R1861" s="87">
        <f t="shared" si="1655"/>
        <v>17.271157167530223</v>
      </c>
      <c r="S1861" s="87">
        <f t="shared" si="1655"/>
        <v>100</v>
      </c>
      <c r="T1861" s="87">
        <f>T1860/$X$1860*100</f>
        <v>22.968397291196389</v>
      </c>
      <c r="U1861" s="87">
        <f t="shared" ref="U1861:X1861" si="1656">U1860/$X$1860*100</f>
        <v>35.327313769751697</v>
      </c>
      <c r="V1861" s="87">
        <f t="shared" si="1656"/>
        <v>23.081264108352144</v>
      </c>
      <c r="W1861" s="87">
        <f t="shared" si="1656"/>
        <v>18.623024830699777</v>
      </c>
      <c r="X1861" s="87">
        <f t="shared" si="1656"/>
        <v>100</v>
      </c>
      <c r="Y1861" s="62"/>
    </row>
    <row r="1862" spans="1:26" x14ac:dyDescent="0.15">
      <c r="N1862" s="233" t="s">
        <v>968</v>
      </c>
      <c r="O1862" s="81">
        <v>26.5</v>
      </c>
      <c r="P1862" s="81">
        <v>36.6</v>
      </c>
      <c r="Q1862" s="81">
        <v>21.4</v>
      </c>
      <c r="R1862" s="81">
        <v>15.5</v>
      </c>
      <c r="S1862" s="101">
        <f>SUM(O1862:R1862)</f>
        <v>100</v>
      </c>
      <c r="T1862" s="81">
        <v>25.9</v>
      </c>
      <c r="U1862" s="81">
        <v>36.700000000000003</v>
      </c>
      <c r="V1862" s="81">
        <v>22.1</v>
      </c>
      <c r="W1862" s="81">
        <v>15.3</v>
      </c>
      <c r="X1862" s="81">
        <f>SUM(T1862:W1862)</f>
        <v>100</v>
      </c>
      <c r="Y1862" s="81"/>
    </row>
    <row r="1863" spans="1:26" ht="19.5" thickBot="1" x14ac:dyDescent="0.25">
      <c r="A1863" s="2" t="s">
        <v>17</v>
      </c>
      <c r="B1863" s="2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N1863" s="2" t="s">
        <v>18</v>
      </c>
      <c r="O1863" s="87"/>
      <c r="P1863" s="87"/>
      <c r="Q1863" s="87"/>
      <c r="R1863" s="87"/>
      <c r="S1863" s="87"/>
      <c r="T1863" s="87"/>
      <c r="U1863" s="87"/>
      <c r="V1863" s="87"/>
      <c r="W1863" s="87"/>
      <c r="X1863" s="87"/>
      <c r="Y1863" s="1"/>
    </row>
    <row r="1864" spans="1:26" ht="14.25" thickBot="1" x14ac:dyDescent="0.2">
      <c r="A1864" s="5" t="s">
        <v>0</v>
      </c>
      <c r="B1864" s="244" t="s">
        <v>19</v>
      </c>
      <c r="C1864" s="245"/>
      <c r="D1864" s="245"/>
      <c r="E1864" s="245"/>
      <c r="F1864" s="246"/>
      <c r="G1864" s="247" t="s">
        <v>20</v>
      </c>
      <c r="H1864" s="248"/>
      <c r="I1864" s="248"/>
      <c r="J1864" s="248"/>
      <c r="K1864" s="249"/>
      <c r="L1864" s="250" t="s">
        <v>1</v>
      </c>
      <c r="N1864" s="5" t="s">
        <v>0</v>
      </c>
      <c r="O1864" s="244" t="s">
        <v>19</v>
      </c>
      <c r="P1864" s="245"/>
      <c r="Q1864" s="245"/>
      <c r="R1864" s="245"/>
      <c r="S1864" s="246"/>
      <c r="T1864" s="247" t="s">
        <v>20</v>
      </c>
      <c r="U1864" s="248"/>
      <c r="V1864" s="248"/>
      <c r="W1864" s="248"/>
      <c r="X1864" s="249"/>
      <c r="Y1864" s="250" t="s">
        <v>1</v>
      </c>
    </row>
    <row r="1865" spans="1:26" ht="14.25" thickBot="1" x14ac:dyDescent="0.2">
      <c r="A1865" s="5" t="s">
        <v>2</v>
      </c>
      <c r="B1865" s="3" t="s">
        <v>11</v>
      </c>
      <c r="C1865" s="34" t="s">
        <v>12</v>
      </c>
      <c r="D1865" s="4" t="s">
        <v>13</v>
      </c>
      <c r="E1865" s="19" t="s">
        <v>14</v>
      </c>
      <c r="F1865" s="23" t="s">
        <v>3</v>
      </c>
      <c r="G1865" s="3" t="s">
        <v>11</v>
      </c>
      <c r="H1865" s="34" t="s">
        <v>12</v>
      </c>
      <c r="I1865" s="4" t="s">
        <v>13</v>
      </c>
      <c r="J1865" s="19" t="s">
        <v>14</v>
      </c>
      <c r="K1865" s="23" t="s">
        <v>3</v>
      </c>
      <c r="L1865" s="251"/>
      <c r="N1865" s="5" t="s">
        <v>2</v>
      </c>
      <c r="O1865" s="53" t="s">
        <v>11</v>
      </c>
      <c r="P1865" s="54" t="s">
        <v>12</v>
      </c>
      <c r="Q1865" s="55" t="s">
        <v>13</v>
      </c>
      <c r="R1865" s="56" t="s">
        <v>14</v>
      </c>
      <c r="S1865" s="23" t="s">
        <v>3</v>
      </c>
      <c r="T1865" s="3" t="s">
        <v>11</v>
      </c>
      <c r="U1865" s="34" t="s">
        <v>12</v>
      </c>
      <c r="V1865" s="4" t="s">
        <v>13</v>
      </c>
      <c r="W1865" s="19" t="s">
        <v>14</v>
      </c>
      <c r="X1865" s="23" t="s">
        <v>3</v>
      </c>
      <c r="Y1865" s="251"/>
    </row>
    <row r="1866" spans="1:26" ht="14.25" thickBot="1" x14ac:dyDescent="0.2">
      <c r="A1866" s="18" t="s">
        <v>15</v>
      </c>
      <c r="B1866" s="31">
        <f>B1860</f>
        <v>22</v>
      </c>
      <c r="C1866" s="32">
        <f>C1860</f>
        <v>30</v>
      </c>
      <c r="D1866" s="32">
        <f>D1860</f>
        <v>24</v>
      </c>
      <c r="E1866" s="33">
        <f>E1860</f>
        <v>26</v>
      </c>
      <c r="F1866" s="86">
        <f>SUM(B1866:E1866)</f>
        <v>102</v>
      </c>
      <c r="G1866" s="31">
        <f>G1860</f>
        <v>27</v>
      </c>
      <c r="H1866" s="32">
        <f>H1860</f>
        <v>26</v>
      </c>
      <c r="I1866" s="32">
        <f>I1860</f>
        <v>22</v>
      </c>
      <c r="J1866" s="33">
        <f>J1860</f>
        <v>22</v>
      </c>
      <c r="K1866" s="80">
        <f>SUM(G1866:J1866)</f>
        <v>97</v>
      </c>
      <c r="L1866" s="17">
        <f>F1866+K1866</f>
        <v>199</v>
      </c>
      <c r="N1866" s="18" t="s">
        <v>15</v>
      </c>
      <c r="O1866" s="31">
        <f>O1860</f>
        <v>419</v>
      </c>
      <c r="P1866" s="32">
        <f t="shared" ref="P1866:Y1866" si="1657">P1860</f>
        <v>608</v>
      </c>
      <c r="Q1866" s="32">
        <f t="shared" si="1657"/>
        <v>410</v>
      </c>
      <c r="R1866" s="33">
        <f t="shared" si="1657"/>
        <v>300</v>
      </c>
      <c r="S1866" s="86">
        <f t="shared" si="1657"/>
        <v>1737</v>
      </c>
      <c r="T1866" s="31">
        <f t="shared" si="1657"/>
        <v>407</v>
      </c>
      <c r="U1866" s="32">
        <f t="shared" si="1657"/>
        <v>626</v>
      </c>
      <c r="V1866" s="32">
        <f t="shared" si="1657"/>
        <v>409</v>
      </c>
      <c r="W1866" s="33">
        <f t="shared" si="1657"/>
        <v>330</v>
      </c>
      <c r="X1866" s="80">
        <f t="shared" si="1657"/>
        <v>1772</v>
      </c>
      <c r="Y1866" s="17">
        <f t="shared" si="1657"/>
        <v>3509</v>
      </c>
    </row>
    <row r="1867" spans="1:26" x14ac:dyDescent="0.15">
      <c r="A1867" s="13" t="s">
        <v>4</v>
      </c>
      <c r="B1867" s="20">
        <v>10</v>
      </c>
      <c r="C1867" s="35"/>
      <c r="D1867" s="21">
        <v>15</v>
      </c>
      <c r="E1867" s="24">
        <v>5</v>
      </c>
      <c r="F1867" s="25">
        <f t="shared" ref="F1867:F1870" si="1658">SUM(B1867:E1867)</f>
        <v>30</v>
      </c>
      <c r="G1867" s="20">
        <v>5</v>
      </c>
      <c r="H1867" s="35">
        <v>10</v>
      </c>
      <c r="I1867" s="21">
        <v>15</v>
      </c>
      <c r="J1867" s="24">
        <v>10</v>
      </c>
      <c r="K1867" s="25">
        <f t="shared" ref="K1867:K1870" si="1659">SUM(G1867:J1867)</f>
        <v>40</v>
      </c>
      <c r="L1867" s="11">
        <f t="shared" ref="L1867:L1898" si="1660">F1867+K1867</f>
        <v>70</v>
      </c>
      <c r="M1867" s="69">
        <v>46172</v>
      </c>
      <c r="N1867" s="59" t="s">
        <v>16</v>
      </c>
      <c r="O1867" s="48"/>
      <c r="P1867" s="49"/>
      <c r="Q1867" s="50"/>
      <c r="R1867" s="51"/>
      <c r="S1867" s="85">
        <f t="shared" ref="S1867:S1869" si="1661">SUM(O1867:R1867)</f>
        <v>0</v>
      </c>
      <c r="T1867" s="48"/>
      <c r="U1867" s="49"/>
      <c r="V1867" s="50"/>
      <c r="W1867" s="51"/>
      <c r="X1867" s="74">
        <f t="shared" ref="X1867:X1869" si="1662">SUM(T1867:W1867)</f>
        <v>0</v>
      </c>
      <c r="Y1867" s="11">
        <f t="shared" ref="Y1867:Y1870" si="1663">S1867+X1867</f>
        <v>0</v>
      </c>
    </row>
    <row r="1868" spans="1:26" x14ac:dyDescent="0.15">
      <c r="A1868" s="222" t="s">
        <v>5</v>
      </c>
      <c r="B1868" s="209"/>
      <c r="C1868" s="210"/>
      <c r="D1868" s="211"/>
      <c r="E1868" s="212"/>
      <c r="F1868" s="213">
        <f t="shared" si="1658"/>
        <v>0</v>
      </c>
      <c r="G1868" s="209"/>
      <c r="H1868" s="210">
        <v>10</v>
      </c>
      <c r="I1868" s="211"/>
      <c r="J1868" s="212"/>
      <c r="K1868" s="213">
        <f t="shared" si="1659"/>
        <v>10</v>
      </c>
      <c r="L1868" s="214">
        <f t="shared" si="1660"/>
        <v>10</v>
      </c>
      <c r="M1868" s="215">
        <v>46177</v>
      </c>
      <c r="N1868" s="59" t="s">
        <v>4</v>
      </c>
      <c r="O1868" s="48"/>
      <c r="P1868" s="49"/>
      <c r="Q1868" s="50"/>
      <c r="R1868" s="51"/>
      <c r="S1868" s="85">
        <f t="shared" ref="S1868" si="1664">SUM(O1868:R1868)</f>
        <v>0</v>
      </c>
      <c r="T1868" s="48"/>
      <c r="U1868" s="49"/>
      <c r="V1868" s="50"/>
      <c r="W1868" s="51"/>
      <c r="X1868" s="74">
        <f t="shared" ref="X1868" si="1665">SUM(T1868:W1868)</f>
        <v>0</v>
      </c>
      <c r="Y1868" s="11">
        <f t="shared" ref="Y1868" si="1666">S1868+X1868</f>
        <v>0</v>
      </c>
    </row>
    <row r="1869" spans="1:26" x14ac:dyDescent="0.15">
      <c r="A1869" s="222" t="s">
        <v>6</v>
      </c>
      <c r="B1869" s="209">
        <v>10</v>
      </c>
      <c r="C1869" s="210">
        <v>10</v>
      </c>
      <c r="D1869" s="211">
        <v>10</v>
      </c>
      <c r="E1869" s="212">
        <v>10</v>
      </c>
      <c r="F1869" s="213">
        <f t="shared" si="1658"/>
        <v>40</v>
      </c>
      <c r="G1869" s="209">
        <v>10</v>
      </c>
      <c r="H1869" s="210">
        <v>10</v>
      </c>
      <c r="I1869" s="211">
        <v>10</v>
      </c>
      <c r="J1869" s="212">
        <v>10</v>
      </c>
      <c r="K1869" s="213">
        <f t="shared" si="1659"/>
        <v>40</v>
      </c>
      <c r="L1869" s="214">
        <f t="shared" si="1660"/>
        <v>80</v>
      </c>
      <c r="M1869" s="215">
        <v>46184</v>
      </c>
      <c r="N1869" s="59" t="s">
        <v>5</v>
      </c>
      <c r="O1869" s="48"/>
      <c r="P1869" s="49"/>
      <c r="Q1869" s="50"/>
      <c r="R1869" s="51"/>
      <c r="S1869" s="85">
        <f t="shared" si="1661"/>
        <v>0</v>
      </c>
      <c r="T1869" s="48"/>
      <c r="U1869" s="49"/>
      <c r="V1869" s="50"/>
      <c r="W1869" s="51"/>
      <c r="X1869" s="74">
        <f t="shared" si="1662"/>
        <v>0</v>
      </c>
      <c r="Y1869" s="11">
        <f t="shared" si="1663"/>
        <v>0</v>
      </c>
    </row>
    <row r="1870" spans="1:26" ht="14.25" thickBot="1" x14ac:dyDescent="0.2">
      <c r="A1870" s="13" t="s">
        <v>7</v>
      </c>
      <c r="B1870" s="48"/>
      <c r="C1870" s="49"/>
      <c r="D1870" s="50"/>
      <c r="E1870" s="51"/>
      <c r="F1870" s="52">
        <f t="shared" si="1658"/>
        <v>0</v>
      </c>
      <c r="G1870" s="48"/>
      <c r="H1870" s="49"/>
      <c r="I1870" s="50"/>
      <c r="J1870" s="51"/>
      <c r="K1870" s="52">
        <f t="shared" si="1659"/>
        <v>0</v>
      </c>
      <c r="L1870" s="11">
        <f t="shared" si="1660"/>
        <v>0</v>
      </c>
      <c r="N1870" s="13" t="s">
        <v>6</v>
      </c>
      <c r="O1870" s="43"/>
      <c r="P1870" s="44"/>
      <c r="Q1870" s="45"/>
      <c r="R1870" s="46"/>
      <c r="S1870" s="58">
        <f>SUM(O1870:R1870)</f>
        <v>0</v>
      </c>
      <c r="T1870" s="35"/>
      <c r="U1870" s="35"/>
      <c r="V1870" s="21"/>
      <c r="W1870" s="38"/>
      <c r="X1870" s="10">
        <f>SUM(T1870:W1870)</f>
        <v>0</v>
      </c>
      <c r="Y1870" s="14">
        <f t="shared" si="1663"/>
        <v>0</v>
      </c>
    </row>
    <row r="1871" spans="1:26" ht="14.25" thickBot="1" x14ac:dyDescent="0.2">
      <c r="A1871" s="18" t="s">
        <v>8</v>
      </c>
      <c r="B1871" s="76">
        <f t="shared" ref="B1871:K1871" si="1667">SUM(B1866:B1870)</f>
        <v>42</v>
      </c>
      <c r="C1871" s="77">
        <f t="shared" si="1667"/>
        <v>40</v>
      </c>
      <c r="D1871" s="78">
        <f t="shared" si="1667"/>
        <v>49</v>
      </c>
      <c r="E1871" s="79">
        <f t="shared" si="1667"/>
        <v>41</v>
      </c>
      <c r="F1871" s="80">
        <f t="shared" si="1667"/>
        <v>172</v>
      </c>
      <c r="G1871" s="76">
        <f t="shared" si="1667"/>
        <v>42</v>
      </c>
      <c r="H1871" s="77">
        <f t="shared" si="1667"/>
        <v>56</v>
      </c>
      <c r="I1871" s="78">
        <f t="shared" si="1667"/>
        <v>47</v>
      </c>
      <c r="J1871" s="79">
        <f t="shared" si="1667"/>
        <v>42</v>
      </c>
      <c r="K1871" s="80">
        <f t="shared" si="1667"/>
        <v>187</v>
      </c>
      <c r="L1871" s="17">
        <f t="shared" si="1660"/>
        <v>359</v>
      </c>
      <c r="N1871" s="16" t="s">
        <v>8</v>
      </c>
      <c r="O1871" s="31">
        <f>SUM(O1866:O1870)</f>
        <v>419</v>
      </c>
      <c r="P1871" s="37">
        <f t="shared" ref="P1871:R1871" si="1668">SUM(P1866:P1870)</f>
        <v>608</v>
      </c>
      <c r="Q1871" s="32">
        <f t="shared" si="1668"/>
        <v>410</v>
      </c>
      <c r="R1871" s="82">
        <f t="shared" si="1668"/>
        <v>300</v>
      </c>
      <c r="S1871" s="83">
        <f>SUM(S1866:S1870)</f>
        <v>1737</v>
      </c>
      <c r="T1871" s="31">
        <f>SUM(T1866:T1870)</f>
        <v>407</v>
      </c>
      <c r="U1871" s="37">
        <f t="shared" ref="U1871:W1871" si="1669">SUM(U1866:U1870)</f>
        <v>626</v>
      </c>
      <c r="V1871" s="32">
        <f t="shared" si="1669"/>
        <v>409</v>
      </c>
      <c r="W1871" s="82">
        <f t="shared" si="1669"/>
        <v>330</v>
      </c>
      <c r="X1871" s="83">
        <f>SUM(X1866:X1870)</f>
        <v>1772</v>
      </c>
      <c r="Y1871" s="39">
        <f>S1871+X1871</f>
        <v>3509</v>
      </c>
    </row>
    <row r="1872" spans="1:26" x14ac:dyDescent="0.15">
      <c r="A1872" s="59" t="s">
        <v>421</v>
      </c>
      <c r="B1872" s="20"/>
      <c r="C1872" s="35">
        <v>1</v>
      </c>
      <c r="D1872" s="21">
        <v>4</v>
      </c>
      <c r="E1872" s="24"/>
      <c r="F1872" s="25">
        <f t="shared" ref="F1872:F1896" si="1670">SUM(B1872:E1872)</f>
        <v>5</v>
      </c>
      <c r="G1872" s="20">
        <v>1</v>
      </c>
      <c r="H1872" s="35">
        <v>1</v>
      </c>
      <c r="I1872" s="21">
        <v>1</v>
      </c>
      <c r="J1872" s="24"/>
      <c r="K1872" s="25">
        <f t="shared" ref="K1872:K1896" si="1671">SUM(G1872:J1872)</f>
        <v>3</v>
      </c>
      <c r="L1872" s="11">
        <f t="shared" si="1660"/>
        <v>8</v>
      </c>
      <c r="M1872" s="69">
        <v>46169</v>
      </c>
      <c r="N1872" s="40"/>
      <c r="O1872" s="20"/>
      <c r="P1872" s="35"/>
      <c r="Q1872" s="21"/>
      <c r="R1872" s="38"/>
      <c r="S1872" s="9">
        <f t="shared" ref="S1872" si="1672">SUM(O1872:R1872)</f>
        <v>0</v>
      </c>
      <c r="T1872" s="20"/>
      <c r="U1872" s="35"/>
      <c r="V1872" s="21"/>
      <c r="W1872" s="38"/>
      <c r="X1872" s="9">
        <f t="shared" ref="X1872" si="1673">SUM(T1872:W1872)</f>
        <v>0</v>
      </c>
      <c r="Y1872" s="11">
        <f t="shared" ref="Y1872" si="1674">S1872+X1872</f>
        <v>0</v>
      </c>
    </row>
    <row r="1873" spans="1:25" x14ac:dyDescent="0.15">
      <c r="A1873" s="59" t="s">
        <v>27</v>
      </c>
      <c r="B1873" s="20"/>
      <c r="C1873" s="35"/>
      <c r="D1873" s="21"/>
      <c r="E1873" s="24">
        <v>3</v>
      </c>
      <c r="F1873" s="25">
        <f t="shared" si="1670"/>
        <v>3</v>
      </c>
      <c r="G1873" s="20"/>
      <c r="H1873" s="35">
        <v>2</v>
      </c>
      <c r="I1873" s="21"/>
      <c r="J1873" s="24">
        <v>2</v>
      </c>
      <c r="K1873" s="25">
        <f t="shared" si="1671"/>
        <v>4</v>
      </c>
      <c r="L1873" s="11">
        <f t="shared" si="1660"/>
        <v>7</v>
      </c>
      <c r="M1873" s="69">
        <v>46168</v>
      </c>
      <c r="N1873" s="40"/>
      <c r="O1873" s="20"/>
      <c r="P1873" s="35"/>
      <c r="Q1873" s="21"/>
      <c r="R1873" s="38"/>
      <c r="S1873" s="9">
        <f t="shared" ref="S1873:S1884" si="1675">SUM(O1873:R1873)</f>
        <v>0</v>
      </c>
      <c r="T1873" s="20"/>
      <c r="U1873" s="35"/>
      <c r="V1873" s="21"/>
      <c r="W1873" s="38"/>
      <c r="X1873" s="9">
        <f t="shared" ref="X1873:X1884" si="1676">SUM(T1873:W1873)</f>
        <v>0</v>
      </c>
      <c r="Y1873" s="11">
        <f t="shared" ref="Y1873:Y1888" si="1677">S1873+X1873</f>
        <v>0</v>
      </c>
    </row>
    <row r="1874" spans="1:25" x14ac:dyDescent="0.15">
      <c r="A1874" s="59" t="s">
        <v>27</v>
      </c>
      <c r="B1874" s="20"/>
      <c r="C1874" s="35"/>
      <c r="D1874" s="21">
        <v>2</v>
      </c>
      <c r="E1874" s="24"/>
      <c r="F1874" s="25">
        <f t="shared" si="1670"/>
        <v>2</v>
      </c>
      <c r="G1874" s="20"/>
      <c r="H1874" s="35"/>
      <c r="I1874" s="21">
        <v>1</v>
      </c>
      <c r="J1874" s="24"/>
      <c r="K1874" s="25">
        <f t="shared" si="1671"/>
        <v>1</v>
      </c>
      <c r="L1874" s="11">
        <f t="shared" si="1660"/>
        <v>3</v>
      </c>
      <c r="M1874" s="71">
        <v>46169</v>
      </c>
      <c r="N1874" s="40"/>
      <c r="O1874" s="20"/>
      <c r="P1874" s="35"/>
      <c r="Q1874" s="21"/>
      <c r="R1874" s="38"/>
      <c r="S1874" s="9">
        <f t="shared" si="1675"/>
        <v>0</v>
      </c>
      <c r="T1874" s="20"/>
      <c r="U1874" s="35"/>
      <c r="V1874" s="21"/>
      <c r="W1874" s="38"/>
      <c r="X1874" s="9">
        <f t="shared" si="1676"/>
        <v>0</v>
      </c>
      <c r="Y1874" s="11">
        <f t="shared" si="1677"/>
        <v>0</v>
      </c>
    </row>
    <row r="1875" spans="1:25" x14ac:dyDescent="0.15">
      <c r="A1875" s="59" t="s">
        <v>421</v>
      </c>
      <c r="B1875" s="20"/>
      <c r="C1875" s="35"/>
      <c r="D1875" s="21"/>
      <c r="E1875" s="24"/>
      <c r="F1875" s="25">
        <f t="shared" si="1670"/>
        <v>0</v>
      </c>
      <c r="G1875" s="20"/>
      <c r="H1875" s="35"/>
      <c r="I1875" s="21"/>
      <c r="J1875" s="24">
        <v>1</v>
      </c>
      <c r="K1875" s="25">
        <f t="shared" si="1671"/>
        <v>1</v>
      </c>
      <c r="L1875" s="11">
        <f t="shared" si="1660"/>
        <v>1</v>
      </c>
      <c r="M1875" s="69">
        <v>46171</v>
      </c>
      <c r="N1875" s="40"/>
      <c r="O1875" s="20"/>
      <c r="P1875" s="35"/>
      <c r="Q1875" s="21"/>
      <c r="R1875" s="38"/>
      <c r="S1875" s="9">
        <f t="shared" si="1675"/>
        <v>0</v>
      </c>
      <c r="T1875" s="20"/>
      <c r="U1875" s="35"/>
      <c r="V1875" s="21"/>
      <c r="W1875" s="38"/>
      <c r="X1875" s="9">
        <f t="shared" si="1676"/>
        <v>0</v>
      </c>
      <c r="Y1875" s="11">
        <f t="shared" si="1677"/>
        <v>0</v>
      </c>
    </row>
    <row r="1876" spans="1:25" x14ac:dyDescent="0.15">
      <c r="A1876" s="59" t="s">
        <v>27</v>
      </c>
      <c r="B1876" s="20">
        <v>1</v>
      </c>
      <c r="C1876" s="35"/>
      <c r="D1876" s="21">
        <v>1</v>
      </c>
      <c r="E1876" s="24"/>
      <c r="F1876" s="25">
        <f t="shared" si="1670"/>
        <v>2</v>
      </c>
      <c r="G1876" s="20"/>
      <c r="H1876" s="35"/>
      <c r="I1876" s="21">
        <v>1</v>
      </c>
      <c r="J1876" s="24"/>
      <c r="K1876" s="25">
        <f t="shared" si="1671"/>
        <v>1</v>
      </c>
      <c r="L1876" s="11">
        <f t="shared" si="1660"/>
        <v>3</v>
      </c>
      <c r="M1876" s="69">
        <v>46170</v>
      </c>
      <c r="N1876" s="40"/>
      <c r="O1876" s="20"/>
      <c r="P1876" s="35"/>
      <c r="Q1876" s="21"/>
      <c r="R1876" s="38"/>
      <c r="S1876" s="9">
        <f t="shared" si="1675"/>
        <v>0</v>
      </c>
      <c r="T1876" s="20"/>
      <c r="U1876" s="35"/>
      <c r="V1876" s="21"/>
      <c r="W1876" s="38"/>
      <c r="X1876" s="9">
        <f t="shared" si="1676"/>
        <v>0</v>
      </c>
      <c r="Y1876" s="11">
        <f t="shared" si="1677"/>
        <v>0</v>
      </c>
    </row>
    <row r="1877" spans="1:25" x14ac:dyDescent="0.15">
      <c r="A1877" s="59" t="s">
        <v>421</v>
      </c>
      <c r="B1877" s="20"/>
      <c r="C1877" s="35"/>
      <c r="D1877" s="21"/>
      <c r="E1877" s="24">
        <v>2</v>
      </c>
      <c r="F1877" s="25">
        <f t="shared" si="1670"/>
        <v>2</v>
      </c>
      <c r="G1877" s="20"/>
      <c r="H1877" s="35">
        <v>1</v>
      </c>
      <c r="I1877" s="21"/>
      <c r="J1877" s="24">
        <v>1</v>
      </c>
      <c r="K1877" s="25">
        <f t="shared" si="1671"/>
        <v>2</v>
      </c>
      <c r="L1877" s="11">
        <f t="shared" si="1660"/>
        <v>4</v>
      </c>
      <c r="M1877" s="69">
        <v>46175</v>
      </c>
      <c r="N1877" s="40"/>
      <c r="O1877" s="20"/>
      <c r="P1877" s="35"/>
      <c r="Q1877" s="21"/>
      <c r="R1877" s="38"/>
      <c r="S1877" s="9">
        <f t="shared" si="1675"/>
        <v>0</v>
      </c>
      <c r="T1877" s="20"/>
      <c r="U1877" s="35"/>
      <c r="V1877" s="21"/>
      <c r="W1877" s="38"/>
      <c r="X1877" s="9">
        <f t="shared" si="1676"/>
        <v>0</v>
      </c>
      <c r="Y1877" s="11">
        <f t="shared" si="1677"/>
        <v>0</v>
      </c>
    </row>
    <row r="1878" spans="1:25" x14ac:dyDescent="0.15">
      <c r="A1878" s="59" t="s">
        <v>27</v>
      </c>
      <c r="B1878" s="20"/>
      <c r="C1878" s="35"/>
      <c r="D1878" s="21"/>
      <c r="E1878" s="24"/>
      <c r="F1878" s="25">
        <f t="shared" si="1670"/>
        <v>0</v>
      </c>
      <c r="G1878" s="20"/>
      <c r="H1878" s="35">
        <v>2</v>
      </c>
      <c r="I1878" s="21"/>
      <c r="J1878" s="24"/>
      <c r="K1878" s="25">
        <f t="shared" si="1671"/>
        <v>2</v>
      </c>
      <c r="L1878" s="11">
        <f t="shared" si="1660"/>
        <v>2</v>
      </c>
      <c r="M1878" s="69">
        <v>46172</v>
      </c>
      <c r="N1878" s="40"/>
      <c r="O1878" s="20"/>
      <c r="P1878" s="35"/>
      <c r="Q1878" s="21"/>
      <c r="R1878" s="38"/>
      <c r="S1878" s="9">
        <f t="shared" si="1675"/>
        <v>0</v>
      </c>
      <c r="T1878" s="20"/>
      <c r="U1878" s="35"/>
      <c r="V1878" s="21"/>
      <c r="W1878" s="38"/>
      <c r="X1878" s="9">
        <f t="shared" si="1676"/>
        <v>0</v>
      </c>
      <c r="Y1878" s="11">
        <f t="shared" si="1677"/>
        <v>0</v>
      </c>
    </row>
    <row r="1879" spans="1:25" x14ac:dyDescent="0.15">
      <c r="A1879" s="59" t="s">
        <v>27</v>
      </c>
      <c r="B1879" s="20"/>
      <c r="C1879" s="35">
        <v>2</v>
      </c>
      <c r="D1879" s="21">
        <v>1</v>
      </c>
      <c r="E1879" s="24"/>
      <c r="F1879" s="25">
        <f t="shared" si="1670"/>
        <v>3</v>
      </c>
      <c r="G1879" s="20"/>
      <c r="H1879" s="35">
        <v>8</v>
      </c>
      <c r="I1879" s="21">
        <v>1</v>
      </c>
      <c r="J1879" s="24"/>
      <c r="K1879" s="25">
        <f t="shared" si="1671"/>
        <v>9</v>
      </c>
      <c r="L1879" s="11">
        <f t="shared" si="1660"/>
        <v>12</v>
      </c>
      <c r="M1879" s="71">
        <v>46174</v>
      </c>
      <c r="N1879" s="40"/>
      <c r="O1879" s="20"/>
      <c r="P1879" s="35"/>
      <c r="Q1879" s="21"/>
      <c r="R1879" s="38"/>
      <c r="S1879" s="9">
        <f t="shared" si="1675"/>
        <v>0</v>
      </c>
      <c r="T1879" s="20"/>
      <c r="U1879" s="35"/>
      <c r="V1879" s="21"/>
      <c r="W1879" s="38"/>
      <c r="X1879" s="9">
        <f t="shared" si="1676"/>
        <v>0</v>
      </c>
      <c r="Y1879" s="11">
        <f t="shared" si="1677"/>
        <v>0</v>
      </c>
    </row>
    <row r="1880" spans="1:25" x14ac:dyDescent="0.15">
      <c r="A1880" s="59" t="s">
        <v>27</v>
      </c>
      <c r="B1880" s="20"/>
      <c r="C1880" s="35">
        <v>1</v>
      </c>
      <c r="D1880" s="21"/>
      <c r="E1880" s="24"/>
      <c r="F1880" s="25">
        <f t="shared" si="1670"/>
        <v>1</v>
      </c>
      <c r="G1880" s="20">
        <v>2</v>
      </c>
      <c r="H1880" s="35">
        <v>1</v>
      </c>
      <c r="I1880" s="21"/>
      <c r="J1880" s="24"/>
      <c r="K1880" s="25">
        <f t="shared" si="1671"/>
        <v>3</v>
      </c>
      <c r="L1880" s="11">
        <f t="shared" si="1660"/>
        <v>4</v>
      </c>
      <c r="M1880" s="69">
        <v>46175</v>
      </c>
      <c r="N1880" s="40"/>
      <c r="O1880" s="20"/>
      <c r="P1880" s="35"/>
      <c r="Q1880" s="21"/>
      <c r="R1880" s="38"/>
      <c r="S1880" s="9">
        <f t="shared" si="1675"/>
        <v>0</v>
      </c>
      <c r="T1880" s="20"/>
      <c r="U1880" s="35"/>
      <c r="V1880" s="21"/>
      <c r="W1880" s="38"/>
      <c r="X1880" s="9">
        <f t="shared" si="1676"/>
        <v>0</v>
      </c>
      <c r="Y1880" s="11">
        <f t="shared" si="1677"/>
        <v>0</v>
      </c>
    </row>
    <row r="1881" spans="1:25" x14ac:dyDescent="0.15">
      <c r="A1881" s="59" t="s">
        <v>421</v>
      </c>
      <c r="B1881" s="20"/>
      <c r="C1881" s="35">
        <v>1</v>
      </c>
      <c r="D1881" s="21">
        <v>2</v>
      </c>
      <c r="E1881" s="24"/>
      <c r="F1881" s="25">
        <f t="shared" si="1670"/>
        <v>3</v>
      </c>
      <c r="G1881" s="20"/>
      <c r="H1881" s="35">
        <v>3</v>
      </c>
      <c r="I1881" s="21">
        <v>2</v>
      </c>
      <c r="J1881" s="24"/>
      <c r="K1881" s="25">
        <f t="shared" si="1671"/>
        <v>5</v>
      </c>
      <c r="L1881" s="11">
        <f t="shared" si="1660"/>
        <v>8</v>
      </c>
      <c r="M1881" s="69">
        <v>46177</v>
      </c>
      <c r="N1881" s="40"/>
      <c r="O1881" s="20"/>
      <c r="P1881" s="35"/>
      <c r="Q1881" s="21"/>
      <c r="R1881" s="38"/>
      <c r="S1881" s="9">
        <f t="shared" si="1675"/>
        <v>0</v>
      </c>
      <c r="T1881" s="20"/>
      <c r="U1881" s="35"/>
      <c r="V1881" s="21"/>
      <c r="W1881" s="38"/>
      <c r="X1881" s="9">
        <f t="shared" si="1676"/>
        <v>0</v>
      </c>
      <c r="Y1881" s="11">
        <f t="shared" si="1677"/>
        <v>0</v>
      </c>
    </row>
    <row r="1882" spans="1:25" x14ac:dyDescent="0.15">
      <c r="A1882" s="59" t="s">
        <v>27</v>
      </c>
      <c r="B1882" s="20"/>
      <c r="C1882" s="35"/>
      <c r="D1882" s="21"/>
      <c r="E1882" s="24"/>
      <c r="F1882" s="25">
        <f t="shared" si="1670"/>
        <v>0</v>
      </c>
      <c r="G1882" s="20"/>
      <c r="H1882" s="35"/>
      <c r="I1882" s="21"/>
      <c r="J1882" s="24">
        <v>1</v>
      </c>
      <c r="K1882" s="25">
        <f t="shared" si="1671"/>
        <v>1</v>
      </c>
      <c r="L1882" s="11">
        <f t="shared" si="1660"/>
        <v>1</v>
      </c>
      <c r="M1882" s="69">
        <v>46176</v>
      </c>
      <c r="N1882" s="40"/>
      <c r="O1882" s="20"/>
      <c r="P1882" s="35"/>
      <c r="Q1882" s="21"/>
      <c r="R1882" s="38"/>
      <c r="S1882" s="9">
        <f t="shared" si="1675"/>
        <v>0</v>
      </c>
      <c r="T1882" s="20"/>
      <c r="U1882" s="35"/>
      <c r="V1882" s="21"/>
      <c r="W1882" s="38"/>
      <c r="X1882" s="9">
        <f t="shared" si="1676"/>
        <v>0</v>
      </c>
      <c r="Y1882" s="11">
        <f t="shared" si="1677"/>
        <v>0</v>
      </c>
    </row>
    <row r="1883" spans="1:25" x14ac:dyDescent="0.15">
      <c r="A1883" s="59" t="s">
        <v>27</v>
      </c>
      <c r="B1883" s="20">
        <v>1</v>
      </c>
      <c r="C1883" s="35">
        <v>1</v>
      </c>
      <c r="D1883" s="21"/>
      <c r="E1883" s="24"/>
      <c r="F1883" s="25">
        <f t="shared" si="1670"/>
        <v>2</v>
      </c>
      <c r="G1883" s="20"/>
      <c r="H1883" s="35"/>
      <c r="I1883" s="21"/>
      <c r="J1883" s="24"/>
      <c r="K1883" s="25">
        <f t="shared" si="1671"/>
        <v>0</v>
      </c>
      <c r="L1883" s="11">
        <f t="shared" si="1660"/>
        <v>2</v>
      </c>
      <c r="M1883" s="69">
        <v>46177</v>
      </c>
      <c r="N1883" s="40"/>
      <c r="O1883" s="20"/>
      <c r="P1883" s="35"/>
      <c r="Q1883" s="21"/>
      <c r="R1883" s="38"/>
      <c r="S1883" s="9">
        <f t="shared" si="1675"/>
        <v>0</v>
      </c>
      <c r="T1883" s="20"/>
      <c r="U1883" s="35"/>
      <c r="V1883" s="21"/>
      <c r="W1883" s="38"/>
      <c r="X1883" s="9">
        <f t="shared" si="1676"/>
        <v>0</v>
      </c>
      <c r="Y1883" s="11">
        <f t="shared" si="1677"/>
        <v>0</v>
      </c>
    </row>
    <row r="1884" spans="1:25" x14ac:dyDescent="0.15">
      <c r="A1884" s="59" t="s">
        <v>27</v>
      </c>
      <c r="B1884" s="20"/>
      <c r="C1884" s="35">
        <v>2</v>
      </c>
      <c r="D1884" s="21"/>
      <c r="E1884" s="24">
        <v>1</v>
      </c>
      <c r="F1884" s="25">
        <f t="shared" si="1670"/>
        <v>3</v>
      </c>
      <c r="G1884" s="20"/>
      <c r="H1884" s="35">
        <v>2</v>
      </c>
      <c r="I1884" s="21"/>
      <c r="J1884" s="24">
        <v>1</v>
      </c>
      <c r="K1884" s="25">
        <f t="shared" si="1671"/>
        <v>3</v>
      </c>
      <c r="L1884" s="11">
        <f t="shared" si="1660"/>
        <v>6</v>
      </c>
      <c r="M1884" s="71">
        <v>46178</v>
      </c>
      <c r="N1884" s="40"/>
      <c r="O1884" s="20"/>
      <c r="P1884" s="35"/>
      <c r="Q1884" s="21"/>
      <c r="R1884" s="38"/>
      <c r="S1884" s="9">
        <f t="shared" si="1675"/>
        <v>0</v>
      </c>
      <c r="T1884" s="20"/>
      <c r="U1884" s="35"/>
      <c r="V1884" s="21"/>
      <c r="W1884" s="38"/>
      <c r="X1884" s="9">
        <f t="shared" si="1676"/>
        <v>0</v>
      </c>
      <c r="Y1884" s="11">
        <f t="shared" si="1677"/>
        <v>0</v>
      </c>
    </row>
    <row r="1885" spans="1:25" x14ac:dyDescent="0.15">
      <c r="A1885" s="59" t="s">
        <v>27</v>
      </c>
      <c r="B1885" s="20">
        <v>1</v>
      </c>
      <c r="C1885" s="35"/>
      <c r="D1885" s="21">
        <v>2</v>
      </c>
      <c r="E1885" s="24">
        <v>1</v>
      </c>
      <c r="F1885" s="25">
        <f t="shared" si="1670"/>
        <v>4</v>
      </c>
      <c r="G1885" s="20">
        <v>1</v>
      </c>
      <c r="H1885" s="35">
        <v>2</v>
      </c>
      <c r="I1885" s="21"/>
      <c r="J1885" s="24">
        <v>1</v>
      </c>
      <c r="K1885" s="25">
        <f t="shared" si="1671"/>
        <v>4</v>
      </c>
      <c r="L1885" s="11">
        <f t="shared" si="1660"/>
        <v>8</v>
      </c>
      <c r="M1885" s="71">
        <v>46181</v>
      </c>
      <c r="N1885" s="12"/>
      <c r="O1885" s="20"/>
      <c r="P1885" s="35"/>
      <c r="Q1885" s="21"/>
      <c r="R1885" s="38"/>
      <c r="S1885" s="9">
        <f>SUM(O1885:R1885)</f>
        <v>0</v>
      </c>
      <c r="T1885" s="20"/>
      <c r="U1885" s="35"/>
      <c r="V1885" s="21"/>
      <c r="W1885" s="38"/>
      <c r="X1885" s="9">
        <f>SUM(T1885:W1885)</f>
        <v>0</v>
      </c>
      <c r="Y1885" s="11">
        <f t="shared" si="1677"/>
        <v>0</v>
      </c>
    </row>
    <row r="1886" spans="1:25" x14ac:dyDescent="0.15">
      <c r="A1886" s="59" t="s">
        <v>421</v>
      </c>
      <c r="B1886" s="20">
        <v>2</v>
      </c>
      <c r="C1886" s="35"/>
      <c r="D1886" s="21">
        <v>1</v>
      </c>
      <c r="E1886" s="24"/>
      <c r="F1886" s="25">
        <f t="shared" si="1670"/>
        <v>3</v>
      </c>
      <c r="G1886" s="20">
        <v>2</v>
      </c>
      <c r="H1886" s="35"/>
      <c r="I1886" s="21">
        <v>1</v>
      </c>
      <c r="J1886" s="24"/>
      <c r="K1886" s="25">
        <f t="shared" si="1671"/>
        <v>3</v>
      </c>
      <c r="L1886" s="11">
        <f t="shared" si="1660"/>
        <v>6</v>
      </c>
      <c r="M1886" s="69">
        <v>46182</v>
      </c>
      <c r="N1886" s="40"/>
      <c r="O1886" s="20"/>
      <c r="P1886" s="35"/>
      <c r="Q1886" s="21"/>
      <c r="R1886" s="38"/>
      <c r="S1886" s="9">
        <f t="shared" ref="S1886:S1888" si="1678">SUM(O1886:R1886)</f>
        <v>0</v>
      </c>
      <c r="T1886" s="20"/>
      <c r="U1886" s="35"/>
      <c r="V1886" s="21"/>
      <c r="W1886" s="38"/>
      <c r="X1886" s="9">
        <f t="shared" ref="X1886:X1888" si="1679">SUM(T1886:W1886)</f>
        <v>0</v>
      </c>
      <c r="Y1886" s="11">
        <f t="shared" si="1677"/>
        <v>0</v>
      </c>
    </row>
    <row r="1887" spans="1:25" x14ac:dyDescent="0.15">
      <c r="A1887" s="59" t="s">
        <v>32</v>
      </c>
      <c r="B1887" s="20"/>
      <c r="C1887" s="35"/>
      <c r="D1887" s="21"/>
      <c r="E1887" s="24"/>
      <c r="F1887" s="25">
        <f t="shared" si="1670"/>
        <v>0</v>
      </c>
      <c r="G1887" s="20"/>
      <c r="H1887" s="35"/>
      <c r="I1887" s="21">
        <v>1</v>
      </c>
      <c r="J1887" s="24"/>
      <c r="K1887" s="25">
        <f t="shared" si="1671"/>
        <v>1</v>
      </c>
      <c r="L1887" s="11">
        <f t="shared" si="1660"/>
        <v>1</v>
      </c>
      <c r="M1887" s="71">
        <v>46182</v>
      </c>
      <c r="N1887" s="12"/>
      <c r="O1887" s="20"/>
      <c r="P1887" s="35"/>
      <c r="Q1887" s="21"/>
      <c r="R1887" s="38"/>
      <c r="S1887" s="9">
        <f t="shared" si="1678"/>
        <v>0</v>
      </c>
      <c r="T1887" s="20"/>
      <c r="U1887" s="35"/>
      <c r="V1887" s="21"/>
      <c r="W1887" s="38"/>
      <c r="X1887" s="9">
        <f t="shared" si="1679"/>
        <v>0</v>
      </c>
      <c r="Y1887" s="11">
        <f t="shared" si="1677"/>
        <v>0</v>
      </c>
    </row>
    <row r="1888" spans="1:25" x14ac:dyDescent="0.15">
      <c r="A1888" s="59" t="s">
        <v>421</v>
      </c>
      <c r="B1888" s="20">
        <v>2</v>
      </c>
      <c r="C1888" s="35"/>
      <c r="D1888" s="21"/>
      <c r="E1888" s="24"/>
      <c r="F1888" s="25">
        <f t="shared" si="1670"/>
        <v>2</v>
      </c>
      <c r="G1888" s="20">
        <v>3</v>
      </c>
      <c r="H1888" s="35"/>
      <c r="I1888" s="21">
        <v>2</v>
      </c>
      <c r="J1888" s="24"/>
      <c r="K1888" s="25">
        <f t="shared" si="1671"/>
        <v>5</v>
      </c>
      <c r="L1888" s="11">
        <f t="shared" si="1660"/>
        <v>7</v>
      </c>
      <c r="M1888" s="69">
        <v>46183</v>
      </c>
      <c r="N1888" s="12"/>
      <c r="O1888" s="20"/>
      <c r="P1888" s="35"/>
      <c r="Q1888" s="21"/>
      <c r="R1888" s="38"/>
      <c r="S1888" s="9">
        <f t="shared" si="1678"/>
        <v>0</v>
      </c>
      <c r="T1888" s="20"/>
      <c r="U1888" s="35"/>
      <c r="V1888" s="21"/>
      <c r="W1888" s="38"/>
      <c r="X1888" s="9">
        <f t="shared" si="1679"/>
        <v>0</v>
      </c>
      <c r="Y1888" s="11">
        <f t="shared" si="1677"/>
        <v>0</v>
      </c>
    </row>
    <row r="1889" spans="1:26" x14ac:dyDescent="0.15">
      <c r="A1889" s="59" t="s">
        <v>27</v>
      </c>
      <c r="B1889" s="20"/>
      <c r="C1889" s="35"/>
      <c r="D1889" s="21">
        <v>1</v>
      </c>
      <c r="E1889" s="24"/>
      <c r="F1889" s="25">
        <f t="shared" si="1670"/>
        <v>1</v>
      </c>
      <c r="G1889" s="20">
        <v>2</v>
      </c>
      <c r="H1889" s="35"/>
      <c r="I1889" s="21">
        <v>1</v>
      </c>
      <c r="J1889" s="24"/>
      <c r="K1889" s="25">
        <f t="shared" si="1671"/>
        <v>3</v>
      </c>
      <c r="L1889" s="11">
        <f t="shared" si="1660"/>
        <v>4</v>
      </c>
      <c r="M1889" s="71">
        <v>46182</v>
      </c>
      <c r="N1889" s="12"/>
      <c r="O1889" s="20"/>
      <c r="P1889" s="35"/>
      <c r="Q1889" s="21"/>
      <c r="R1889" s="38"/>
      <c r="S1889" s="9">
        <f t="shared" ref="S1889:S1891" si="1680">SUM(O1889:R1889)</f>
        <v>0</v>
      </c>
      <c r="T1889" s="20"/>
      <c r="U1889" s="35"/>
      <c r="V1889" s="21"/>
      <c r="W1889" s="38"/>
      <c r="X1889" s="9">
        <f t="shared" ref="X1889:X1891" si="1681">SUM(T1889:W1889)</f>
        <v>0</v>
      </c>
      <c r="Y1889" s="11">
        <f t="shared" ref="Y1889:Y1891" si="1682">S1889+X1889</f>
        <v>0</v>
      </c>
    </row>
    <row r="1890" spans="1:26" x14ac:dyDescent="0.15">
      <c r="A1890" s="59" t="s">
        <v>27</v>
      </c>
      <c r="B1890" s="20"/>
      <c r="C1890" s="35">
        <v>2</v>
      </c>
      <c r="D1890" s="21"/>
      <c r="E1890" s="24"/>
      <c r="F1890" s="25">
        <f t="shared" si="1670"/>
        <v>2</v>
      </c>
      <c r="G1890" s="20">
        <v>1</v>
      </c>
      <c r="H1890" s="35">
        <v>1</v>
      </c>
      <c r="I1890" s="21"/>
      <c r="J1890" s="24"/>
      <c r="K1890" s="25">
        <f t="shared" si="1671"/>
        <v>2</v>
      </c>
      <c r="L1890" s="11">
        <f t="shared" si="1660"/>
        <v>4</v>
      </c>
      <c r="M1890" s="71">
        <v>46183</v>
      </c>
      <c r="N1890" s="12"/>
      <c r="O1890" s="20"/>
      <c r="P1890" s="35"/>
      <c r="Q1890" s="21"/>
      <c r="R1890" s="38"/>
      <c r="S1890" s="9">
        <f t="shared" si="1680"/>
        <v>0</v>
      </c>
      <c r="T1890" s="20"/>
      <c r="U1890" s="35"/>
      <c r="V1890" s="21"/>
      <c r="W1890" s="38"/>
      <c r="X1890" s="9">
        <f t="shared" si="1681"/>
        <v>0</v>
      </c>
      <c r="Y1890" s="11">
        <f t="shared" si="1682"/>
        <v>0</v>
      </c>
    </row>
    <row r="1891" spans="1:26" x14ac:dyDescent="0.15">
      <c r="A1891" s="59" t="s">
        <v>27</v>
      </c>
      <c r="B1891" s="20"/>
      <c r="C1891" s="35"/>
      <c r="D1891" s="21">
        <v>1</v>
      </c>
      <c r="E1891" s="24"/>
      <c r="F1891" s="25">
        <f t="shared" si="1670"/>
        <v>1</v>
      </c>
      <c r="G1891" s="20"/>
      <c r="H1891" s="35"/>
      <c r="I1891" s="21">
        <v>1</v>
      </c>
      <c r="J1891" s="24"/>
      <c r="K1891" s="25">
        <f t="shared" si="1671"/>
        <v>1</v>
      </c>
      <c r="L1891" s="11">
        <f t="shared" si="1660"/>
        <v>2</v>
      </c>
      <c r="M1891" s="71">
        <v>46184</v>
      </c>
      <c r="N1891" s="12"/>
      <c r="O1891" s="20"/>
      <c r="P1891" s="35"/>
      <c r="Q1891" s="21"/>
      <c r="R1891" s="38"/>
      <c r="S1891" s="9">
        <f t="shared" si="1680"/>
        <v>0</v>
      </c>
      <c r="T1891" s="20"/>
      <c r="U1891" s="35"/>
      <c r="V1891" s="21"/>
      <c r="W1891" s="38"/>
      <c r="X1891" s="9">
        <f t="shared" si="1681"/>
        <v>0</v>
      </c>
      <c r="Y1891" s="11">
        <f t="shared" si="1682"/>
        <v>0</v>
      </c>
    </row>
    <row r="1892" spans="1:26" x14ac:dyDescent="0.15">
      <c r="A1892" s="59" t="s">
        <v>27</v>
      </c>
      <c r="B1892" s="20"/>
      <c r="C1892" s="35"/>
      <c r="D1892" s="21"/>
      <c r="E1892" s="24"/>
      <c r="F1892" s="25">
        <f t="shared" si="1670"/>
        <v>0</v>
      </c>
      <c r="G1892" s="20"/>
      <c r="H1892" s="35">
        <v>1</v>
      </c>
      <c r="I1892" s="21"/>
      <c r="J1892" s="24"/>
      <c r="K1892" s="25">
        <f t="shared" si="1671"/>
        <v>1</v>
      </c>
      <c r="L1892" s="11">
        <f t="shared" si="1660"/>
        <v>1</v>
      </c>
      <c r="M1892" s="71">
        <v>46185</v>
      </c>
      <c r="N1892" s="12"/>
      <c r="O1892" s="20"/>
      <c r="P1892" s="35"/>
      <c r="Q1892" s="21"/>
      <c r="R1892" s="38"/>
      <c r="S1892" s="9">
        <f t="shared" ref="S1892:S1896" si="1683">SUM(O1892:R1892)</f>
        <v>0</v>
      </c>
      <c r="T1892" s="20"/>
      <c r="U1892" s="35"/>
      <c r="V1892" s="21"/>
      <c r="W1892" s="38"/>
      <c r="X1892" s="9">
        <f t="shared" ref="X1892:X1896" si="1684">SUM(T1892:W1892)</f>
        <v>0</v>
      </c>
      <c r="Y1892" s="11">
        <f t="shared" ref="Y1892:Y1896" si="1685">S1892+X1892</f>
        <v>0</v>
      </c>
    </row>
    <row r="1893" spans="1:26" x14ac:dyDescent="0.15">
      <c r="A1893" s="59" t="s">
        <v>421</v>
      </c>
      <c r="B1893" s="20">
        <v>3</v>
      </c>
      <c r="C1893" s="35">
        <v>3</v>
      </c>
      <c r="D1893" s="21">
        <v>3</v>
      </c>
      <c r="E1893" s="24"/>
      <c r="F1893" s="25">
        <f t="shared" si="1670"/>
        <v>9</v>
      </c>
      <c r="G1893" s="20">
        <v>3</v>
      </c>
      <c r="H1893" s="35">
        <v>3</v>
      </c>
      <c r="I1893" s="21">
        <v>1</v>
      </c>
      <c r="J1893" s="24">
        <v>2</v>
      </c>
      <c r="K1893" s="25">
        <f t="shared" si="1671"/>
        <v>9</v>
      </c>
      <c r="L1893" s="11">
        <f t="shared" si="1660"/>
        <v>18</v>
      </c>
      <c r="M1893" s="69">
        <v>46189</v>
      </c>
      <c r="N1893" s="12"/>
      <c r="O1893" s="20"/>
      <c r="P1893" s="35"/>
      <c r="Q1893" s="21"/>
      <c r="R1893" s="38"/>
      <c r="S1893" s="9">
        <f t="shared" si="1683"/>
        <v>0</v>
      </c>
      <c r="T1893" s="20"/>
      <c r="U1893" s="35"/>
      <c r="V1893" s="21"/>
      <c r="W1893" s="38"/>
      <c r="X1893" s="9">
        <f t="shared" si="1684"/>
        <v>0</v>
      </c>
      <c r="Y1893" s="11">
        <f t="shared" si="1685"/>
        <v>0</v>
      </c>
    </row>
    <row r="1894" spans="1:26" x14ac:dyDescent="0.15">
      <c r="A1894" s="59" t="s">
        <v>27</v>
      </c>
      <c r="B1894" s="20"/>
      <c r="C1894" s="35"/>
      <c r="D1894" s="21"/>
      <c r="E1894" s="24"/>
      <c r="F1894" s="25">
        <f t="shared" si="1670"/>
        <v>0</v>
      </c>
      <c r="G1894" s="20"/>
      <c r="H1894" s="35">
        <v>3</v>
      </c>
      <c r="I1894" s="21">
        <v>2</v>
      </c>
      <c r="J1894" s="24"/>
      <c r="K1894" s="25">
        <f t="shared" si="1671"/>
        <v>5</v>
      </c>
      <c r="L1894" s="11">
        <f t="shared" si="1660"/>
        <v>5</v>
      </c>
      <c r="M1894" s="71">
        <v>46188</v>
      </c>
      <c r="N1894" s="12"/>
      <c r="O1894" s="20"/>
      <c r="P1894" s="35"/>
      <c r="Q1894" s="21"/>
      <c r="R1894" s="38"/>
      <c r="S1894" s="9">
        <f t="shared" si="1683"/>
        <v>0</v>
      </c>
      <c r="T1894" s="20"/>
      <c r="U1894" s="35"/>
      <c r="V1894" s="21"/>
      <c r="W1894" s="38"/>
      <c r="X1894" s="9">
        <f t="shared" si="1684"/>
        <v>0</v>
      </c>
      <c r="Y1894" s="11">
        <f t="shared" si="1685"/>
        <v>0</v>
      </c>
    </row>
    <row r="1895" spans="1:26" x14ac:dyDescent="0.15">
      <c r="A1895" s="59" t="s">
        <v>1003</v>
      </c>
      <c r="B1895" s="20"/>
      <c r="C1895" s="35"/>
      <c r="D1895" s="21"/>
      <c r="E1895" s="24"/>
      <c r="F1895" s="25">
        <f t="shared" si="1670"/>
        <v>0</v>
      </c>
      <c r="G1895" s="20">
        <v>-1</v>
      </c>
      <c r="H1895" s="35"/>
      <c r="I1895" s="21"/>
      <c r="J1895" s="24"/>
      <c r="K1895" s="25">
        <f t="shared" si="1671"/>
        <v>-1</v>
      </c>
      <c r="L1895" s="11">
        <f t="shared" si="1660"/>
        <v>-1</v>
      </c>
      <c r="M1895" s="71">
        <v>46185</v>
      </c>
      <c r="N1895" s="166" t="s">
        <v>994</v>
      </c>
      <c r="O1895" s="236">
        <v>0</v>
      </c>
      <c r="P1895" s="237">
        <v>0</v>
      </c>
      <c r="Q1895" s="238">
        <v>0</v>
      </c>
      <c r="R1895" s="240">
        <v>0</v>
      </c>
      <c r="S1895" s="239">
        <f t="shared" si="1683"/>
        <v>0</v>
      </c>
      <c r="T1895" s="236">
        <v>0</v>
      </c>
      <c r="U1895" s="237">
        <v>0</v>
      </c>
      <c r="V1895" s="238">
        <v>0</v>
      </c>
      <c r="W1895" s="240">
        <v>0</v>
      </c>
      <c r="X1895" s="239">
        <f t="shared" si="1684"/>
        <v>0</v>
      </c>
      <c r="Y1895" s="173">
        <f t="shared" si="1685"/>
        <v>0</v>
      </c>
      <c r="Z1895" s="230"/>
    </row>
    <row r="1896" spans="1:26" ht="14.25" thickBot="1" x14ac:dyDescent="0.2">
      <c r="A1896" s="15" t="s">
        <v>27</v>
      </c>
      <c r="B1896" s="43"/>
      <c r="C1896" s="44"/>
      <c r="D1896" s="45"/>
      <c r="E1896" s="46">
        <v>1</v>
      </c>
      <c r="F1896" s="25">
        <f t="shared" si="1670"/>
        <v>1</v>
      </c>
      <c r="G1896" s="43">
        <v>2</v>
      </c>
      <c r="H1896" s="44"/>
      <c r="I1896" s="45">
        <v>2</v>
      </c>
      <c r="J1896" s="46"/>
      <c r="K1896" s="25">
        <f t="shared" si="1671"/>
        <v>4</v>
      </c>
      <c r="L1896" s="14">
        <f t="shared" si="1660"/>
        <v>5</v>
      </c>
      <c r="M1896" s="71">
        <v>46189</v>
      </c>
      <c r="N1896" s="229" t="s">
        <v>993</v>
      </c>
      <c r="O1896" s="88">
        <f>12-3</f>
        <v>9</v>
      </c>
      <c r="P1896" s="89">
        <f>11-10</f>
        <v>1</v>
      </c>
      <c r="Q1896" s="90">
        <f>9-2-5</f>
        <v>2</v>
      </c>
      <c r="R1896" s="103">
        <v>5</v>
      </c>
      <c r="S1896" s="91">
        <f t="shared" si="1683"/>
        <v>17</v>
      </c>
      <c r="T1896" s="88">
        <f>12-3</f>
        <v>9</v>
      </c>
      <c r="U1896" s="89">
        <f>11-10</f>
        <v>1</v>
      </c>
      <c r="V1896" s="90">
        <f>9-2-5</f>
        <v>2</v>
      </c>
      <c r="W1896" s="103">
        <v>5</v>
      </c>
      <c r="X1896" s="91">
        <f t="shared" si="1684"/>
        <v>17</v>
      </c>
      <c r="Y1896" s="92">
        <f t="shared" si="1685"/>
        <v>34</v>
      </c>
      <c r="Z1896" s="165" t="s">
        <v>995</v>
      </c>
    </row>
    <row r="1897" spans="1:26" ht="14.25" thickBot="1" x14ac:dyDescent="0.2">
      <c r="A1897" s="16" t="s">
        <v>9</v>
      </c>
      <c r="B1897" s="28">
        <f>SUM(B1872:B1896)</f>
        <v>10</v>
      </c>
      <c r="C1897" s="36">
        <f>SUM(C1872:C1896)</f>
        <v>13</v>
      </c>
      <c r="D1897" s="29">
        <f>SUM(D1872:D1896)</f>
        <v>18</v>
      </c>
      <c r="E1897" s="30">
        <f>SUM(E1872:E1896)</f>
        <v>8</v>
      </c>
      <c r="F1897" s="26">
        <f>SUM(B1897:E1897)</f>
        <v>49</v>
      </c>
      <c r="G1897" s="28">
        <f>SUM(G1872:G1896)</f>
        <v>16</v>
      </c>
      <c r="H1897" s="36">
        <f>SUM(H1872:H1896)</f>
        <v>30</v>
      </c>
      <c r="I1897" s="29">
        <f>SUM(I1872:I1896)</f>
        <v>17</v>
      </c>
      <c r="J1897" s="30">
        <f>SUM(J1872:J1896)</f>
        <v>9</v>
      </c>
      <c r="K1897" s="26">
        <f>SUM(G1897:J1897)</f>
        <v>72</v>
      </c>
      <c r="L1897" s="27">
        <f t="shared" si="1660"/>
        <v>121</v>
      </c>
      <c r="N1897" s="61" t="s">
        <v>9</v>
      </c>
      <c r="O1897" s="28">
        <f>SUM(O1872:O1896)</f>
        <v>9</v>
      </c>
      <c r="P1897" s="36">
        <f t="shared" ref="P1897:R1897" si="1686">SUM(P1872:P1896)</f>
        <v>1</v>
      </c>
      <c r="Q1897" s="29">
        <f t="shared" si="1686"/>
        <v>2</v>
      </c>
      <c r="R1897" s="30">
        <f t="shared" si="1686"/>
        <v>5</v>
      </c>
      <c r="S1897" s="60">
        <f>SUM(O1897:R1897)</f>
        <v>17</v>
      </c>
      <c r="T1897" s="28">
        <f>SUM(T1872:T1896)</f>
        <v>9</v>
      </c>
      <c r="U1897" s="36">
        <f t="shared" ref="U1897:W1897" si="1687">SUM(U1872:U1896)</f>
        <v>1</v>
      </c>
      <c r="V1897" s="29">
        <f t="shared" si="1687"/>
        <v>2</v>
      </c>
      <c r="W1897" s="30">
        <f t="shared" si="1687"/>
        <v>5</v>
      </c>
      <c r="X1897" s="60">
        <f>SUM(T1897:W1897)</f>
        <v>17</v>
      </c>
      <c r="Y1897" s="63">
        <f>S1897+X1897</f>
        <v>34</v>
      </c>
    </row>
    <row r="1898" spans="1:26" ht="14.25" thickBot="1" x14ac:dyDescent="0.2">
      <c r="A1898" s="18" t="s">
        <v>10</v>
      </c>
      <c r="B1898" s="31">
        <f t="shared" ref="B1898:K1898" si="1688">B1871-B1897</f>
        <v>32</v>
      </c>
      <c r="C1898" s="37">
        <f t="shared" si="1688"/>
        <v>27</v>
      </c>
      <c r="D1898" s="32">
        <f t="shared" si="1688"/>
        <v>31</v>
      </c>
      <c r="E1898" s="33">
        <f t="shared" si="1688"/>
        <v>33</v>
      </c>
      <c r="F1898" s="42">
        <f t="shared" si="1688"/>
        <v>123</v>
      </c>
      <c r="G1898" s="31">
        <f t="shared" si="1688"/>
        <v>26</v>
      </c>
      <c r="H1898" s="37">
        <f t="shared" si="1688"/>
        <v>26</v>
      </c>
      <c r="I1898" s="32">
        <f t="shared" si="1688"/>
        <v>30</v>
      </c>
      <c r="J1898" s="33">
        <f t="shared" si="1688"/>
        <v>33</v>
      </c>
      <c r="K1898" s="42">
        <f t="shared" si="1688"/>
        <v>115</v>
      </c>
      <c r="L1898" s="17">
        <f t="shared" si="1660"/>
        <v>238</v>
      </c>
      <c r="N1898" s="16" t="s">
        <v>10</v>
      </c>
      <c r="O1898" s="31">
        <f>O1871-O1897</f>
        <v>410</v>
      </c>
      <c r="P1898" s="37">
        <f t="shared" ref="P1898:R1898" si="1689">P1871-P1897</f>
        <v>607</v>
      </c>
      <c r="Q1898" s="32">
        <f t="shared" si="1689"/>
        <v>408</v>
      </c>
      <c r="R1898" s="33">
        <f t="shared" si="1689"/>
        <v>295</v>
      </c>
      <c r="S1898" s="42">
        <f>S1871-S1897</f>
        <v>1720</v>
      </c>
      <c r="T1898" s="31">
        <f>T1871-T1897</f>
        <v>398</v>
      </c>
      <c r="U1898" s="37">
        <f t="shared" ref="U1898:W1898" si="1690">U1871-U1897</f>
        <v>625</v>
      </c>
      <c r="V1898" s="32">
        <f t="shared" si="1690"/>
        <v>407</v>
      </c>
      <c r="W1898" s="33">
        <f t="shared" si="1690"/>
        <v>325</v>
      </c>
      <c r="X1898" s="42">
        <f>X1871-X1897</f>
        <v>1755</v>
      </c>
      <c r="Y1898" s="17">
        <f>S1898+X1898</f>
        <v>3475</v>
      </c>
    </row>
    <row r="1899" spans="1:26" x14ac:dyDescent="0.15">
      <c r="N1899" s="232" t="s">
        <v>773</v>
      </c>
      <c r="O1899" s="87">
        <f>O1898/$S$1898*100</f>
        <v>23.837209302325583</v>
      </c>
      <c r="P1899" s="87">
        <f t="shared" ref="P1899:S1899" si="1691">P1898/$S$1898*100</f>
        <v>35.290697674418603</v>
      </c>
      <c r="Q1899" s="87">
        <f t="shared" si="1691"/>
        <v>23.720930232558139</v>
      </c>
      <c r="R1899" s="87">
        <f t="shared" si="1691"/>
        <v>17.151162790697676</v>
      </c>
      <c r="S1899" s="87">
        <f t="shared" si="1691"/>
        <v>100</v>
      </c>
      <c r="T1899" s="87">
        <f>T1898/$X$1898*100</f>
        <v>22.678062678062677</v>
      </c>
      <c r="U1899" s="87">
        <f t="shared" ref="U1899:X1899" si="1692">U1898/$X$1898*100</f>
        <v>35.612535612535609</v>
      </c>
      <c r="V1899" s="87">
        <f t="shared" si="1692"/>
        <v>23.190883190883191</v>
      </c>
      <c r="W1899" s="87">
        <f t="shared" si="1692"/>
        <v>18.518518518518519</v>
      </c>
      <c r="X1899" s="87">
        <f t="shared" si="1692"/>
        <v>100</v>
      </c>
      <c r="Y1899" s="62"/>
    </row>
    <row r="1900" spans="1:26" x14ac:dyDescent="0.15">
      <c r="N1900" s="235" t="s">
        <v>968</v>
      </c>
      <c r="O1900" s="81">
        <v>26.5</v>
      </c>
      <c r="P1900" s="81">
        <v>36.6</v>
      </c>
      <c r="Q1900" s="81">
        <v>21.4</v>
      </c>
      <c r="R1900" s="81">
        <v>15.5</v>
      </c>
      <c r="S1900" s="101">
        <f>SUM(O1900:R1900)</f>
        <v>100</v>
      </c>
      <c r="T1900" s="81">
        <v>25.9</v>
      </c>
      <c r="U1900" s="81">
        <v>36.700000000000003</v>
      </c>
      <c r="V1900" s="81">
        <v>22.1</v>
      </c>
      <c r="W1900" s="81">
        <v>15.3</v>
      </c>
      <c r="X1900" s="81">
        <f>SUM(T1900:W1900)</f>
        <v>100</v>
      </c>
    </row>
    <row r="1901" spans="1:26" ht="19.5" thickBot="1" x14ac:dyDescent="0.25">
      <c r="A1901" s="2" t="s">
        <v>17</v>
      </c>
      <c r="B1901" s="2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N1901" s="2" t="s">
        <v>18</v>
      </c>
      <c r="O1901" s="87"/>
      <c r="P1901" s="87"/>
      <c r="Q1901" s="87"/>
      <c r="R1901" s="87"/>
      <c r="S1901" s="87"/>
      <c r="T1901" s="87"/>
      <c r="U1901" s="87"/>
      <c r="V1901" s="87"/>
      <c r="W1901" s="87"/>
      <c r="X1901" s="87"/>
      <c r="Y1901" s="1"/>
    </row>
    <row r="1902" spans="1:26" ht="14.25" thickBot="1" x14ac:dyDescent="0.2">
      <c r="A1902" s="5" t="s">
        <v>0</v>
      </c>
      <c r="B1902" s="244" t="s">
        <v>19</v>
      </c>
      <c r="C1902" s="245"/>
      <c r="D1902" s="245"/>
      <c r="E1902" s="245"/>
      <c r="F1902" s="246"/>
      <c r="G1902" s="247" t="s">
        <v>20</v>
      </c>
      <c r="H1902" s="248"/>
      <c r="I1902" s="248"/>
      <c r="J1902" s="248"/>
      <c r="K1902" s="249"/>
      <c r="L1902" s="250" t="s">
        <v>1</v>
      </c>
      <c r="N1902" s="5" t="s">
        <v>0</v>
      </c>
      <c r="O1902" s="244" t="s">
        <v>19</v>
      </c>
      <c r="P1902" s="245"/>
      <c r="Q1902" s="245"/>
      <c r="R1902" s="245"/>
      <c r="S1902" s="246"/>
      <c r="T1902" s="247" t="s">
        <v>20</v>
      </c>
      <c r="U1902" s="248"/>
      <c r="V1902" s="248"/>
      <c r="W1902" s="248"/>
      <c r="X1902" s="249"/>
      <c r="Y1902" s="250" t="s">
        <v>1</v>
      </c>
    </row>
    <row r="1903" spans="1:26" ht="14.25" thickBot="1" x14ac:dyDescent="0.2">
      <c r="A1903" s="5" t="s">
        <v>2</v>
      </c>
      <c r="B1903" s="3" t="s">
        <v>11</v>
      </c>
      <c r="C1903" s="34" t="s">
        <v>12</v>
      </c>
      <c r="D1903" s="4" t="s">
        <v>13</v>
      </c>
      <c r="E1903" s="19" t="s">
        <v>14</v>
      </c>
      <c r="F1903" s="23" t="s">
        <v>3</v>
      </c>
      <c r="G1903" s="3" t="s">
        <v>11</v>
      </c>
      <c r="H1903" s="34" t="s">
        <v>12</v>
      </c>
      <c r="I1903" s="4" t="s">
        <v>13</v>
      </c>
      <c r="J1903" s="19" t="s">
        <v>14</v>
      </c>
      <c r="K1903" s="23" t="s">
        <v>3</v>
      </c>
      <c r="L1903" s="251"/>
      <c r="N1903" s="5" t="s">
        <v>2</v>
      </c>
      <c r="O1903" s="53" t="s">
        <v>11</v>
      </c>
      <c r="P1903" s="54" t="s">
        <v>12</v>
      </c>
      <c r="Q1903" s="55" t="s">
        <v>13</v>
      </c>
      <c r="R1903" s="56" t="s">
        <v>14</v>
      </c>
      <c r="S1903" s="23" t="s">
        <v>3</v>
      </c>
      <c r="T1903" s="3" t="s">
        <v>11</v>
      </c>
      <c r="U1903" s="34" t="s">
        <v>12</v>
      </c>
      <c r="V1903" s="4" t="s">
        <v>13</v>
      </c>
      <c r="W1903" s="19" t="s">
        <v>14</v>
      </c>
      <c r="X1903" s="23" t="s">
        <v>3</v>
      </c>
      <c r="Y1903" s="251"/>
    </row>
    <row r="1904" spans="1:26" ht="14.25" thickBot="1" x14ac:dyDescent="0.2">
      <c r="A1904" s="18" t="s">
        <v>15</v>
      </c>
      <c r="B1904" s="31">
        <f>B1898</f>
        <v>32</v>
      </c>
      <c r="C1904" s="32">
        <f>C1898</f>
        <v>27</v>
      </c>
      <c r="D1904" s="32">
        <f>D1898</f>
        <v>31</v>
      </c>
      <c r="E1904" s="33">
        <f>E1898</f>
        <v>33</v>
      </c>
      <c r="F1904" s="86">
        <f>SUM(B1904:E1904)</f>
        <v>123</v>
      </c>
      <c r="G1904" s="31">
        <f>G1898</f>
        <v>26</v>
      </c>
      <c r="H1904" s="32">
        <f>H1898</f>
        <v>26</v>
      </c>
      <c r="I1904" s="32">
        <f>I1898</f>
        <v>30</v>
      </c>
      <c r="J1904" s="33">
        <f>J1898</f>
        <v>33</v>
      </c>
      <c r="K1904" s="80">
        <f>SUM(G1904:J1904)</f>
        <v>115</v>
      </c>
      <c r="L1904" s="17">
        <f>F1904+K1904</f>
        <v>238</v>
      </c>
      <c r="N1904" s="18" t="s">
        <v>15</v>
      </c>
      <c r="O1904" s="31">
        <f>O1898</f>
        <v>410</v>
      </c>
      <c r="P1904" s="32">
        <f t="shared" ref="P1904:Y1904" si="1693">P1898</f>
        <v>607</v>
      </c>
      <c r="Q1904" s="32">
        <f t="shared" si="1693"/>
        <v>408</v>
      </c>
      <c r="R1904" s="33">
        <f t="shared" si="1693"/>
        <v>295</v>
      </c>
      <c r="S1904" s="86">
        <f t="shared" si="1693"/>
        <v>1720</v>
      </c>
      <c r="T1904" s="31">
        <f t="shared" si="1693"/>
        <v>398</v>
      </c>
      <c r="U1904" s="32">
        <f t="shared" si="1693"/>
        <v>625</v>
      </c>
      <c r="V1904" s="32">
        <f t="shared" si="1693"/>
        <v>407</v>
      </c>
      <c r="W1904" s="33">
        <f t="shared" si="1693"/>
        <v>325</v>
      </c>
      <c r="X1904" s="80">
        <f t="shared" si="1693"/>
        <v>1755</v>
      </c>
      <c r="Y1904" s="17">
        <f t="shared" si="1693"/>
        <v>3475</v>
      </c>
    </row>
    <row r="1905" spans="1:25" x14ac:dyDescent="0.15">
      <c r="A1905" s="222" t="s">
        <v>4</v>
      </c>
      <c r="B1905" s="209"/>
      <c r="C1905" s="210">
        <v>10</v>
      </c>
      <c r="D1905" s="211"/>
      <c r="E1905" s="212"/>
      <c r="F1905" s="213">
        <f t="shared" ref="F1905:F1908" si="1694">SUM(B1905:E1905)</f>
        <v>10</v>
      </c>
      <c r="G1905" s="209">
        <v>10</v>
      </c>
      <c r="H1905" s="210">
        <v>10</v>
      </c>
      <c r="I1905" s="211"/>
      <c r="J1905" s="212"/>
      <c r="K1905" s="213">
        <f t="shared" ref="K1905:K1908" si="1695">SUM(G1905:J1905)</f>
        <v>20</v>
      </c>
      <c r="L1905" s="214">
        <f t="shared" ref="L1905:L1936" si="1696">F1905+K1905</f>
        <v>30</v>
      </c>
      <c r="M1905" s="215">
        <v>46190</v>
      </c>
      <c r="N1905" s="59" t="s">
        <v>16</v>
      </c>
      <c r="O1905" s="48"/>
      <c r="P1905" s="49"/>
      <c r="Q1905" s="50"/>
      <c r="R1905" s="51"/>
      <c r="S1905" s="85">
        <f t="shared" ref="S1905" si="1697">SUM(O1905:R1905)</f>
        <v>0</v>
      </c>
      <c r="T1905" s="48"/>
      <c r="U1905" s="49"/>
      <c r="V1905" s="50"/>
      <c r="W1905" s="51"/>
      <c r="X1905" s="74">
        <f t="shared" ref="X1905" si="1698">SUM(T1905:W1905)</f>
        <v>0</v>
      </c>
      <c r="Y1905" s="11">
        <f t="shared" ref="Y1905:Y1908" si="1699">S1905+X1905</f>
        <v>0</v>
      </c>
    </row>
    <row r="1906" spans="1:25" x14ac:dyDescent="0.15">
      <c r="A1906" s="13" t="s">
        <v>1019</v>
      </c>
      <c r="B1906" s="20">
        <v>1</v>
      </c>
      <c r="C1906" s="35">
        <v>1</v>
      </c>
      <c r="D1906" s="21">
        <v>1</v>
      </c>
      <c r="E1906" s="24">
        <v>1</v>
      </c>
      <c r="F1906" s="25">
        <f t="shared" si="1694"/>
        <v>4</v>
      </c>
      <c r="G1906" s="20"/>
      <c r="H1906" s="35">
        <v>1</v>
      </c>
      <c r="I1906" s="21"/>
      <c r="J1906" s="24">
        <v>1</v>
      </c>
      <c r="K1906" s="25">
        <f t="shared" si="1695"/>
        <v>2</v>
      </c>
      <c r="L1906" s="11">
        <f t="shared" si="1696"/>
        <v>6</v>
      </c>
      <c r="M1906" s="71">
        <v>46191</v>
      </c>
      <c r="N1906" s="59" t="s">
        <v>4</v>
      </c>
      <c r="O1906" s="48"/>
      <c r="P1906" s="49"/>
      <c r="Q1906" s="50"/>
      <c r="R1906" s="51"/>
      <c r="S1906" s="85">
        <f t="shared" ref="S1906:S1907" si="1700">SUM(O1906:R1906)</f>
        <v>0</v>
      </c>
      <c r="T1906" s="48"/>
      <c r="U1906" s="49"/>
      <c r="V1906" s="50"/>
      <c r="W1906" s="51"/>
      <c r="X1906" s="74">
        <f t="shared" ref="X1906:X1907" si="1701">SUM(T1906:W1906)</f>
        <v>0</v>
      </c>
      <c r="Y1906" s="11">
        <f t="shared" ref="Y1906:Y1907" si="1702">S1906+X1906</f>
        <v>0</v>
      </c>
    </row>
    <row r="1907" spans="1:25" x14ac:dyDescent="0.15">
      <c r="A1907" s="13" t="s">
        <v>6</v>
      </c>
      <c r="B1907" s="20"/>
      <c r="C1907" s="35"/>
      <c r="D1907" s="21"/>
      <c r="E1907" s="24"/>
      <c r="F1907" s="25">
        <f t="shared" si="1694"/>
        <v>0</v>
      </c>
      <c r="G1907" s="20"/>
      <c r="H1907" s="35"/>
      <c r="I1907" s="21"/>
      <c r="J1907" s="24"/>
      <c r="K1907" s="25">
        <f t="shared" si="1695"/>
        <v>0</v>
      </c>
      <c r="L1907" s="11">
        <f t="shared" si="1696"/>
        <v>0</v>
      </c>
      <c r="N1907" s="59" t="s">
        <v>5</v>
      </c>
      <c r="O1907" s="48"/>
      <c r="P1907" s="49"/>
      <c r="Q1907" s="50"/>
      <c r="R1907" s="51"/>
      <c r="S1907" s="85">
        <f t="shared" si="1700"/>
        <v>0</v>
      </c>
      <c r="T1907" s="48"/>
      <c r="U1907" s="49"/>
      <c r="V1907" s="50"/>
      <c r="W1907" s="51"/>
      <c r="X1907" s="74">
        <f t="shared" si="1701"/>
        <v>0</v>
      </c>
      <c r="Y1907" s="11">
        <f t="shared" si="1702"/>
        <v>0</v>
      </c>
    </row>
    <row r="1908" spans="1:25" ht="14.25" thickBot="1" x14ac:dyDescent="0.2">
      <c r="A1908" s="13" t="s">
        <v>7</v>
      </c>
      <c r="B1908" s="48"/>
      <c r="C1908" s="49"/>
      <c r="D1908" s="50"/>
      <c r="E1908" s="51"/>
      <c r="F1908" s="52">
        <f t="shared" si="1694"/>
        <v>0</v>
      </c>
      <c r="G1908" s="48"/>
      <c r="H1908" s="49"/>
      <c r="I1908" s="50"/>
      <c r="J1908" s="51"/>
      <c r="K1908" s="52">
        <f t="shared" si="1695"/>
        <v>0</v>
      </c>
      <c r="L1908" s="11">
        <f t="shared" si="1696"/>
        <v>0</v>
      </c>
      <c r="N1908" s="13" t="s">
        <v>6</v>
      </c>
      <c r="O1908" s="43"/>
      <c r="P1908" s="44"/>
      <c r="Q1908" s="45"/>
      <c r="R1908" s="46"/>
      <c r="S1908" s="58">
        <f>SUM(O1908:R1908)</f>
        <v>0</v>
      </c>
      <c r="T1908" s="35"/>
      <c r="U1908" s="35"/>
      <c r="V1908" s="21"/>
      <c r="W1908" s="38"/>
      <c r="X1908" s="10">
        <f>SUM(T1908:W1908)</f>
        <v>0</v>
      </c>
      <c r="Y1908" s="14">
        <f t="shared" si="1699"/>
        <v>0</v>
      </c>
    </row>
    <row r="1909" spans="1:25" ht="14.25" thickBot="1" x14ac:dyDescent="0.2">
      <c r="A1909" s="18" t="s">
        <v>8</v>
      </c>
      <c r="B1909" s="76">
        <f t="shared" ref="B1909:K1909" si="1703">SUM(B1904:B1908)</f>
        <v>33</v>
      </c>
      <c r="C1909" s="77">
        <f t="shared" si="1703"/>
        <v>38</v>
      </c>
      <c r="D1909" s="78">
        <f t="shared" si="1703"/>
        <v>32</v>
      </c>
      <c r="E1909" s="79">
        <f t="shared" si="1703"/>
        <v>34</v>
      </c>
      <c r="F1909" s="80">
        <f t="shared" si="1703"/>
        <v>137</v>
      </c>
      <c r="G1909" s="76">
        <f t="shared" si="1703"/>
        <v>36</v>
      </c>
      <c r="H1909" s="77">
        <f t="shared" si="1703"/>
        <v>37</v>
      </c>
      <c r="I1909" s="78">
        <f t="shared" si="1703"/>
        <v>30</v>
      </c>
      <c r="J1909" s="79">
        <f t="shared" si="1703"/>
        <v>34</v>
      </c>
      <c r="K1909" s="80">
        <f t="shared" si="1703"/>
        <v>137</v>
      </c>
      <c r="L1909" s="17">
        <f t="shared" si="1696"/>
        <v>274</v>
      </c>
      <c r="N1909" s="16" t="s">
        <v>8</v>
      </c>
      <c r="O1909" s="31">
        <f>SUM(O1904:O1908)</f>
        <v>410</v>
      </c>
      <c r="P1909" s="37">
        <f t="shared" ref="P1909:R1909" si="1704">SUM(P1904:P1908)</f>
        <v>607</v>
      </c>
      <c r="Q1909" s="32">
        <f t="shared" si="1704"/>
        <v>408</v>
      </c>
      <c r="R1909" s="82">
        <f t="shared" si="1704"/>
        <v>295</v>
      </c>
      <c r="S1909" s="83">
        <f>SUM(S1904:S1908)</f>
        <v>1720</v>
      </c>
      <c r="T1909" s="31">
        <f>SUM(T1904:T1908)</f>
        <v>398</v>
      </c>
      <c r="U1909" s="37">
        <f t="shared" ref="U1909:W1909" si="1705">SUM(U1904:U1908)</f>
        <v>625</v>
      </c>
      <c r="V1909" s="32">
        <f t="shared" si="1705"/>
        <v>407</v>
      </c>
      <c r="W1909" s="82">
        <f t="shared" si="1705"/>
        <v>325</v>
      </c>
      <c r="X1909" s="83">
        <f>SUM(X1904:X1908)</f>
        <v>1755</v>
      </c>
      <c r="Y1909" s="39">
        <f>S1909+X1909</f>
        <v>3475</v>
      </c>
    </row>
    <row r="1910" spans="1:25" x14ac:dyDescent="0.15">
      <c r="A1910" s="59" t="s">
        <v>1017</v>
      </c>
      <c r="B1910" s="20"/>
      <c r="C1910" s="35">
        <v>3</v>
      </c>
      <c r="D1910" s="21"/>
      <c r="E1910" s="24"/>
      <c r="F1910" s="25">
        <f t="shared" ref="F1910:F1914" si="1706">SUM(B1910:E1910)</f>
        <v>3</v>
      </c>
      <c r="G1910" s="20"/>
      <c r="H1910" s="35">
        <v>4</v>
      </c>
      <c r="I1910" s="21">
        <v>1</v>
      </c>
      <c r="J1910" s="24"/>
      <c r="K1910" s="25">
        <f t="shared" ref="K1910:K1914" si="1707">SUM(G1910:J1910)</f>
        <v>5</v>
      </c>
      <c r="L1910" s="11">
        <f t="shared" ref="L1910:L1914" si="1708">F1910+K1910</f>
        <v>8</v>
      </c>
      <c r="M1910" s="69">
        <v>46190</v>
      </c>
      <c r="N1910" s="40"/>
      <c r="O1910" s="20"/>
      <c r="P1910" s="35"/>
      <c r="Q1910" s="21"/>
      <c r="R1910" s="38"/>
      <c r="S1910" s="9">
        <f t="shared" ref="S1910:S1922" si="1709">SUM(O1910:R1910)</f>
        <v>0</v>
      </c>
      <c r="T1910" s="20"/>
      <c r="U1910" s="35"/>
      <c r="V1910" s="21"/>
      <c r="W1910" s="38"/>
      <c r="X1910" s="9">
        <f t="shared" ref="X1910:X1922" si="1710">SUM(T1910:W1910)</f>
        <v>0</v>
      </c>
      <c r="Y1910" s="11">
        <f t="shared" ref="Y1910:Y1934" si="1711">S1910+X1910</f>
        <v>0</v>
      </c>
    </row>
    <row r="1911" spans="1:25" x14ac:dyDescent="0.15">
      <c r="A1911" s="59" t="s">
        <v>1018</v>
      </c>
      <c r="B1911" s="20">
        <v>1</v>
      </c>
      <c r="C1911" s="35"/>
      <c r="D1911" s="21"/>
      <c r="E1911" s="24"/>
      <c r="F1911" s="25">
        <f t="shared" si="1706"/>
        <v>1</v>
      </c>
      <c r="G1911" s="20">
        <v>1</v>
      </c>
      <c r="H1911" s="35"/>
      <c r="I1911" s="21"/>
      <c r="J1911" s="24"/>
      <c r="K1911" s="25">
        <f t="shared" si="1707"/>
        <v>1</v>
      </c>
      <c r="L1911" s="11">
        <f t="shared" si="1708"/>
        <v>2</v>
      </c>
      <c r="M1911" s="71">
        <v>46190</v>
      </c>
      <c r="N1911" s="40"/>
      <c r="O1911" s="20"/>
      <c r="P1911" s="35"/>
      <c r="Q1911" s="21"/>
      <c r="R1911" s="38"/>
      <c r="S1911" s="9">
        <f t="shared" si="1709"/>
        <v>0</v>
      </c>
      <c r="T1911" s="20"/>
      <c r="U1911" s="35"/>
      <c r="V1911" s="21"/>
      <c r="W1911" s="38"/>
      <c r="X1911" s="9">
        <f t="shared" si="1710"/>
        <v>0</v>
      </c>
      <c r="Y1911" s="11">
        <f t="shared" si="1711"/>
        <v>0</v>
      </c>
    </row>
    <row r="1912" spans="1:25" x14ac:dyDescent="0.15">
      <c r="A1912" s="59" t="s">
        <v>421</v>
      </c>
      <c r="B1912" s="20"/>
      <c r="C1912" s="35">
        <v>1</v>
      </c>
      <c r="D1912" s="21"/>
      <c r="E1912" s="24"/>
      <c r="F1912" s="25">
        <f t="shared" si="1706"/>
        <v>1</v>
      </c>
      <c r="G1912" s="20"/>
      <c r="H1912" s="35">
        <v>1</v>
      </c>
      <c r="I1912" s="21"/>
      <c r="J1912" s="24"/>
      <c r="K1912" s="25">
        <f t="shared" si="1707"/>
        <v>1</v>
      </c>
      <c r="L1912" s="11">
        <f t="shared" si="1708"/>
        <v>2</v>
      </c>
      <c r="M1912" s="69">
        <v>46191</v>
      </c>
      <c r="N1912" s="40"/>
      <c r="O1912" s="20"/>
      <c r="P1912" s="35"/>
      <c r="Q1912" s="21"/>
      <c r="R1912" s="38"/>
      <c r="S1912" s="9">
        <f t="shared" si="1709"/>
        <v>0</v>
      </c>
      <c r="T1912" s="20"/>
      <c r="U1912" s="35"/>
      <c r="V1912" s="21"/>
      <c r="W1912" s="38"/>
      <c r="X1912" s="9">
        <f t="shared" si="1710"/>
        <v>0</v>
      </c>
      <c r="Y1912" s="11">
        <f t="shared" si="1711"/>
        <v>0</v>
      </c>
    </row>
    <row r="1913" spans="1:25" x14ac:dyDescent="0.15">
      <c r="A1913" s="59" t="s">
        <v>421</v>
      </c>
      <c r="B1913" s="20">
        <v>1</v>
      </c>
      <c r="C1913" s="35">
        <v>1</v>
      </c>
      <c r="D1913" s="21">
        <v>1</v>
      </c>
      <c r="E1913" s="24">
        <v>3</v>
      </c>
      <c r="F1913" s="25">
        <f t="shared" si="1706"/>
        <v>6</v>
      </c>
      <c r="G1913" s="20">
        <v>1</v>
      </c>
      <c r="H1913" s="35">
        <v>1</v>
      </c>
      <c r="I1913" s="21">
        <v>1</v>
      </c>
      <c r="J1913" s="24">
        <v>2</v>
      </c>
      <c r="K1913" s="25">
        <f t="shared" si="1707"/>
        <v>5</v>
      </c>
      <c r="L1913" s="11">
        <f t="shared" si="1708"/>
        <v>11</v>
      </c>
      <c r="M1913" s="69">
        <v>46192</v>
      </c>
      <c r="N1913" s="40"/>
      <c r="O1913" s="20"/>
      <c r="P1913" s="35"/>
      <c r="Q1913" s="21"/>
      <c r="R1913" s="38"/>
      <c r="S1913" s="9">
        <f t="shared" si="1709"/>
        <v>0</v>
      </c>
      <c r="T1913" s="20"/>
      <c r="U1913" s="35"/>
      <c r="V1913" s="21"/>
      <c r="W1913" s="38"/>
      <c r="X1913" s="9">
        <f t="shared" si="1710"/>
        <v>0</v>
      </c>
      <c r="Y1913" s="11">
        <f t="shared" si="1711"/>
        <v>0</v>
      </c>
    </row>
    <row r="1914" spans="1:25" x14ac:dyDescent="0.15">
      <c r="A1914" s="59" t="s">
        <v>27</v>
      </c>
      <c r="B1914" s="20"/>
      <c r="C1914" s="35"/>
      <c r="D1914" s="21"/>
      <c r="E1914" s="24"/>
      <c r="F1914" s="25">
        <f t="shared" si="1706"/>
        <v>0</v>
      </c>
      <c r="G1914" s="20">
        <v>5</v>
      </c>
      <c r="H1914" s="35"/>
      <c r="I1914" s="21"/>
      <c r="J1914" s="24"/>
      <c r="K1914" s="25">
        <f t="shared" si="1707"/>
        <v>5</v>
      </c>
      <c r="L1914" s="11">
        <f t="shared" si="1708"/>
        <v>5</v>
      </c>
      <c r="M1914" s="71">
        <v>46191</v>
      </c>
      <c r="N1914" s="40"/>
      <c r="O1914" s="20"/>
      <c r="P1914" s="35"/>
      <c r="Q1914" s="21"/>
      <c r="R1914" s="38"/>
      <c r="S1914" s="9">
        <f t="shared" si="1709"/>
        <v>0</v>
      </c>
      <c r="T1914" s="20"/>
      <c r="U1914" s="35"/>
      <c r="V1914" s="21"/>
      <c r="W1914" s="38"/>
      <c r="X1914" s="9">
        <f t="shared" si="1710"/>
        <v>0</v>
      </c>
      <c r="Y1914" s="11">
        <f t="shared" si="1711"/>
        <v>0</v>
      </c>
    </row>
    <row r="1915" spans="1:25" x14ac:dyDescent="0.15">
      <c r="A1915" s="59" t="s">
        <v>1020</v>
      </c>
      <c r="B1915" s="20"/>
      <c r="C1915" s="35">
        <v>2</v>
      </c>
      <c r="D1915" s="21"/>
      <c r="E1915" s="24"/>
      <c r="F1915" s="25">
        <f t="shared" ref="F1915:F1934" si="1712">SUM(B1915:E1915)</f>
        <v>2</v>
      </c>
      <c r="G1915" s="20"/>
      <c r="H1915" s="35"/>
      <c r="I1915" s="21"/>
      <c r="J1915" s="24"/>
      <c r="K1915" s="25">
        <f t="shared" ref="K1915:K1934" si="1713">SUM(G1915:J1915)</f>
        <v>0</v>
      </c>
      <c r="L1915" s="11">
        <f t="shared" si="1696"/>
        <v>2</v>
      </c>
      <c r="M1915" s="71">
        <v>46218</v>
      </c>
      <c r="N1915" s="40"/>
      <c r="O1915" s="20"/>
      <c r="P1915" s="35"/>
      <c r="Q1915" s="21"/>
      <c r="R1915" s="38"/>
      <c r="S1915" s="9">
        <f t="shared" si="1709"/>
        <v>0</v>
      </c>
      <c r="T1915" s="20"/>
      <c r="U1915" s="35"/>
      <c r="V1915" s="21"/>
      <c r="W1915" s="38"/>
      <c r="X1915" s="9">
        <f t="shared" si="1710"/>
        <v>0</v>
      </c>
      <c r="Y1915" s="11">
        <f t="shared" si="1711"/>
        <v>0</v>
      </c>
    </row>
    <row r="1916" spans="1:25" x14ac:dyDescent="0.15">
      <c r="A1916" s="59"/>
      <c r="B1916" s="20"/>
      <c r="C1916" s="35"/>
      <c r="D1916" s="21"/>
      <c r="E1916" s="24"/>
      <c r="F1916" s="25">
        <f t="shared" si="1712"/>
        <v>0</v>
      </c>
      <c r="G1916" s="20"/>
      <c r="H1916" s="35"/>
      <c r="I1916" s="21"/>
      <c r="J1916" s="24"/>
      <c r="K1916" s="25">
        <f t="shared" si="1713"/>
        <v>0</v>
      </c>
      <c r="L1916" s="11">
        <f t="shared" si="1696"/>
        <v>0</v>
      </c>
      <c r="N1916" s="40"/>
      <c r="O1916" s="20"/>
      <c r="P1916" s="35"/>
      <c r="Q1916" s="21"/>
      <c r="R1916" s="38"/>
      <c r="S1916" s="9">
        <f t="shared" si="1709"/>
        <v>0</v>
      </c>
      <c r="T1916" s="20"/>
      <c r="U1916" s="35"/>
      <c r="V1916" s="21"/>
      <c r="W1916" s="38"/>
      <c r="X1916" s="9">
        <f t="shared" si="1710"/>
        <v>0</v>
      </c>
      <c r="Y1916" s="11">
        <f t="shared" si="1711"/>
        <v>0</v>
      </c>
    </row>
    <row r="1917" spans="1:25" x14ac:dyDescent="0.15">
      <c r="A1917" s="59"/>
      <c r="B1917" s="20"/>
      <c r="C1917" s="35"/>
      <c r="D1917" s="21"/>
      <c r="E1917" s="24"/>
      <c r="F1917" s="25">
        <f t="shared" si="1712"/>
        <v>0</v>
      </c>
      <c r="G1917" s="20"/>
      <c r="H1917" s="35"/>
      <c r="I1917" s="21"/>
      <c r="J1917" s="24"/>
      <c r="K1917" s="25">
        <f t="shared" si="1713"/>
        <v>0</v>
      </c>
      <c r="L1917" s="11">
        <f t="shared" si="1696"/>
        <v>0</v>
      </c>
      <c r="N1917" s="40"/>
      <c r="O1917" s="20"/>
      <c r="P1917" s="35"/>
      <c r="Q1917" s="21"/>
      <c r="R1917" s="38"/>
      <c r="S1917" s="9">
        <f t="shared" si="1709"/>
        <v>0</v>
      </c>
      <c r="T1917" s="20"/>
      <c r="U1917" s="35"/>
      <c r="V1917" s="21"/>
      <c r="W1917" s="38"/>
      <c r="X1917" s="9">
        <f t="shared" si="1710"/>
        <v>0</v>
      </c>
      <c r="Y1917" s="11">
        <f t="shared" si="1711"/>
        <v>0</v>
      </c>
    </row>
    <row r="1918" spans="1:25" x14ac:dyDescent="0.15">
      <c r="A1918" s="59"/>
      <c r="B1918" s="20"/>
      <c r="C1918" s="35"/>
      <c r="D1918" s="21"/>
      <c r="E1918" s="24"/>
      <c r="F1918" s="25">
        <f t="shared" si="1712"/>
        <v>0</v>
      </c>
      <c r="G1918" s="20"/>
      <c r="H1918" s="35"/>
      <c r="I1918" s="21"/>
      <c r="J1918" s="24"/>
      <c r="K1918" s="25">
        <f t="shared" si="1713"/>
        <v>0</v>
      </c>
      <c r="L1918" s="11">
        <f t="shared" si="1696"/>
        <v>0</v>
      </c>
      <c r="N1918" s="40"/>
      <c r="O1918" s="20"/>
      <c r="P1918" s="35"/>
      <c r="Q1918" s="21"/>
      <c r="R1918" s="38"/>
      <c r="S1918" s="9">
        <f t="shared" si="1709"/>
        <v>0</v>
      </c>
      <c r="T1918" s="20"/>
      <c r="U1918" s="35"/>
      <c r="V1918" s="21"/>
      <c r="W1918" s="38"/>
      <c r="X1918" s="9">
        <f t="shared" si="1710"/>
        <v>0</v>
      </c>
      <c r="Y1918" s="11">
        <f t="shared" si="1711"/>
        <v>0</v>
      </c>
    </row>
    <row r="1919" spans="1:25" x14ac:dyDescent="0.15">
      <c r="A1919" s="59"/>
      <c r="B1919" s="20"/>
      <c r="C1919" s="35"/>
      <c r="D1919" s="21"/>
      <c r="E1919" s="24"/>
      <c r="F1919" s="25">
        <f t="shared" si="1712"/>
        <v>0</v>
      </c>
      <c r="G1919" s="20"/>
      <c r="H1919" s="35"/>
      <c r="I1919" s="21"/>
      <c r="J1919" s="24"/>
      <c r="K1919" s="25">
        <f t="shared" si="1713"/>
        <v>0</v>
      </c>
      <c r="L1919" s="11">
        <f t="shared" si="1696"/>
        <v>0</v>
      </c>
      <c r="N1919" s="40"/>
      <c r="O1919" s="20"/>
      <c r="P1919" s="35"/>
      <c r="Q1919" s="21"/>
      <c r="R1919" s="38"/>
      <c r="S1919" s="9">
        <f t="shared" si="1709"/>
        <v>0</v>
      </c>
      <c r="T1919" s="20"/>
      <c r="U1919" s="35"/>
      <c r="V1919" s="21"/>
      <c r="W1919" s="38"/>
      <c r="X1919" s="9">
        <f t="shared" si="1710"/>
        <v>0</v>
      </c>
      <c r="Y1919" s="11">
        <f t="shared" si="1711"/>
        <v>0</v>
      </c>
    </row>
    <row r="1920" spans="1:25" x14ac:dyDescent="0.15">
      <c r="A1920" s="59"/>
      <c r="B1920" s="20"/>
      <c r="C1920" s="35"/>
      <c r="D1920" s="21"/>
      <c r="E1920" s="24"/>
      <c r="F1920" s="25">
        <f t="shared" si="1712"/>
        <v>0</v>
      </c>
      <c r="G1920" s="20"/>
      <c r="H1920" s="35"/>
      <c r="I1920" s="21"/>
      <c r="J1920" s="24"/>
      <c r="K1920" s="25">
        <f t="shared" si="1713"/>
        <v>0</v>
      </c>
      <c r="L1920" s="11">
        <f t="shared" si="1696"/>
        <v>0</v>
      </c>
      <c r="N1920" s="40"/>
      <c r="O1920" s="20"/>
      <c r="P1920" s="35"/>
      <c r="Q1920" s="21"/>
      <c r="R1920" s="38"/>
      <c r="S1920" s="9">
        <f t="shared" si="1709"/>
        <v>0</v>
      </c>
      <c r="T1920" s="20"/>
      <c r="U1920" s="35"/>
      <c r="V1920" s="21"/>
      <c r="W1920" s="38"/>
      <c r="X1920" s="9">
        <f t="shared" si="1710"/>
        <v>0</v>
      </c>
      <c r="Y1920" s="11">
        <f t="shared" si="1711"/>
        <v>0</v>
      </c>
    </row>
    <row r="1921" spans="1:26" x14ac:dyDescent="0.15">
      <c r="A1921" s="59"/>
      <c r="B1921" s="20"/>
      <c r="C1921" s="35"/>
      <c r="D1921" s="21"/>
      <c r="E1921" s="24"/>
      <c r="F1921" s="25">
        <f t="shared" si="1712"/>
        <v>0</v>
      </c>
      <c r="G1921" s="20"/>
      <c r="H1921" s="35"/>
      <c r="I1921" s="21"/>
      <c r="J1921" s="24"/>
      <c r="K1921" s="25">
        <f t="shared" si="1713"/>
        <v>0</v>
      </c>
      <c r="L1921" s="11">
        <f t="shared" si="1696"/>
        <v>0</v>
      </c>
      <c r="N1921" s="40"/>
      <c r="O1921" s="20"/>
      <c r="P1921" s="35"/>
      <c r="Q1921" s="21"/>
      <c r="R1921" s="38"/>
      <c r="S1921" s="9">
        <f t="shared" si="1709"/>
        <v>0</v>
      </c>
      <c r="T1921" s="20"/>
      <c r="U1921" s="35"/>
      <c r="V1921" s="21"/>
      <c r="W1921" s="38"/>
      <c r="X1921" s="9">
        <f t="shared" si="1710"/>
        <v>0</v>
      </c>
      <c r="Y1921" s="11">
        <f t="shared" si="1711"/>
        <v>0</v>
      </c>
    </row>
    <row r="1922" spans="1:26" x14ac:dyDescent="0.15">
      <c r="A1922" s="59"/>
      <c r="B1922" s="20"/>
      <c r="C1922" s="35"/>
      <c r="D1922" s="21"/>
      <c r="E1922" s="24"/>
      <c r="F1922" s="25">
        <f t="shared" si="1712"/>
        <v>0</v>
      </c>
      <c r="G1922" s="20"/>
      <c r="H1922" s="35"/>
      <c r="I1922" s="21"/>
      <c r="J1922" s="24"/>
      <c r="K1922" s="25">
        <f t="shared" si="1713"/>
        <v>0</v>
      </c>
      <c r="L1922" s="11">
        <f t="shared" si="1696"/>
        <v>0</v>
      </c>
      <c r="N1922" s="40"/>
      <c r="O1922" s="20"/>
      <c r="P1922" s="35"/>
      <c r="Q1922" s="21"/>
      <c r="R1922" s="38"/>
      <c r="S1922" s="9">
        <f t="shared" si="1709"/>
        <v>0</v>
      </c>
      <c r="T1922" s="20"/>
      <c r="U1922" s="35"/>
      <c r="V1922" s="21"/>
      <c r="W1922" s="38"/>
      <c r="X1922" s="9">
        <f t="shared" si="1710"/>
        <v>0</v>
      </c>
      <c r="Y1922" s="11">
        <f t="shared" si="1711"/>
        <v>0</v>
      </c>
    </row>
    <row r="1923" spans="1:26" x14ac:dyDescent="0.15">
      <c r="A1923" s="59"/>
      <c r="B1923" s="20"/>
      <c r="C1923" s="35"/>
      <c r="D1923" s="21"/>
      <c r="E1923" s="24"/>
      <c r="F1923" s="25">
        <f t="shared" si="1712"/>
        <v>0</v>
      </c>
      <c r="G1923" s="20"/>
      <c r="H1923" s="35"/>
      <c r="I1923" s="21"/>
      <c r="J1923" s="24"/>
      <c r="K1923" s="25">
        <f t="shared" si="1713"/>
        <v>0</v>
      </c>
      <c r="L1923" s="11">
        <f t="shared" si="1696"/>
        <v>0</v>
      </c>
      <c r="N1923" s="12"/>
      <c r="O1923" s="20"/>
      <c r="P1923" s="35"/>
      <c r="Q1923" s="21"/>
      <c r="R1923" s="38"/>
      <c r="S1923" s="9">
        <f>SUM(O1923:R1923)</f>
        <v>0</v>
      </c>
      <c r="T1923" s="20"/>
      <c r="U1923" s="35"/>
      <c r="V1923" s="21"/>
      <c r="W1923" s="38"/>
      <c r="X1923" s="9">
        <f>SUM(T1923:W1923)</f>
        <v>0</v>
      </c>
      <c r="Y1923" s="11">
        <f t="shared" si="1711"/>
        <v>0</v>
      </c>
    </row>
    <row r="1924" spans="1:26" x14ac:dyDescent="0.15">
      <c r="A1924" s="59"/>
      <c r="B1924" s="20"/>
      <c r="C1924" s="35"/>
      <c r="D1924" s="21"/>
      <c r="E1924" s="24"/>
      <c r="F1924" s="25">
        <f t="shared" si="1712"/>
        <v>0</v>
      </c>
      <c r="G1924" s="20"/>
      <c r="H1924" s="35"/>
      <c r="I1924" s="21"/>
      <c r="J1924" s="24"/>
      <c r="K1924" s="25">
        <f t="shared" si="1713"/>
        <v>0</v>
      </c>
      <c r="L1924" s="11">
        <f t="shared" si="1696"/>
        <v>0</v>
      </c>
      <c r="N1924" s="40"/>
      <c r="O1924" s="20"/>
      <c r="P1924" s="35"/>
      <c r="Q1924" s="21"/>
      <c r="R1924" s="38"/>
      <c r="S1924" s="9">
        <f t="shared" ref="S1924:S1934" si="1714">SUM(O1924:R1924)</f>
        <v>0</v>
      </c>
      <c r="T1924" s="20"/>
      <c r="U1924" s="35"/>
      <c r="V1924" s="21"/>
      <c r="W1924" s="38"/>
      <c r="X1924" s="9">
        <f t="shared" ref="X1924:X1934" si="1715">SUM(T1924:W1924)</f>
        <v>0</v>
      </c>
      <c r="Y1924" s="11">
        <f t="shared" si="1711"/>
        <v>0</v>
      </c>
    </row>
    <row r="1925" spans="1:26" x14ac:dyDescent="0.15">
      <c r="A1925" s="59"/>
      <c r="B1925" s="20"/>
      <c r="C1925" s="35"/>
      <c r="D1925" s="21"/>
      <c r="E1925" s="24"/>
      <c r="F1925" s="25">
        <f t="shared" si="1712"/>
        <v>0</v>
      </c>
      <c r="G1925" s="20"/>
      <c r="H1925" s="35"/>
      <c r="I1925" s="21"/>
      <c r="J1925" s="24"/>
      <c r="K1925" s="25">
        <f t="shared" si="1713"/>
        <v>0</v>
      </c>
      <c r="L1925" s="11">
        <f t="shared" si="1696"/>
        <v>0</v>
      </c>
      <c r="N1925" s="12"/>
      <c r="O1925" s="20"/>
      <c r="P1925" s="35"/>
      <c r="Q1925" s="21"/>
      <c r="R1925" s="38"/>
      <c r="S1925" s="9">
        <f t="shared" si="1714"/>
        <v>0</v>
      </c>
      <c r="T1925" s="20"/>
      <c r="U1925" s="35"/>
      <c r="V1925" s="21"/>
      <c r="W1925" s="38"/>
      <c r="X1925" s="9">
        <f t="shared" si="1715"/>
        <v>0</v>
      </c>
      <c r="Y1925" s="11">
        <f t="shared" si="1711"/>
        <v>0</v>
      </c>
    </row>
    <row r="1926" spans="1:26" x14ac:dyDescent="0.15">
      <c r="A1926" s="59"/>
      <c r="B1926" s="20"/>
      <c r="C1926" s="35"/>
      <c r="D1926" s="21"/>
      <c r="E1926" s="24"/>
      <c r="F1926" s="25">
        <f t="shared" si="1712"/>
        <v>0</v>
      </c>
      <c r="G1926" s="20"/>
      <c r="H1926" s="35"/>
      <c r="I1926" s="21"/>
      <c r="J1926" s="24"/>
      <c r="K1926" s="25">
        <f t="shared" si="1713"/>
        <v>0</v>
      </c>
      <c r="L1926" s="11">
        <f t="shared" si="1696"/>
        <v>0</v>
      </c>
      <c r="N1926" s="12"/>
      <c r="O1926" s="20"/>
      <c r="P1926" s="35"/>
      <c r="Q1926" s="21"/>
      <c r="R1926" s="38"/>
      <c r="S1926" s="9">
        <f t="shared" si="1714"/>
        <v>0</v>
      </c>
      <c r="T1926" s="20"/>
      <c r="U1926" s="35"/>
      <c r="V1926" s="21"/>
      <c r="W1926" s="38"/>
      <c r="X1926" s="9">
        <f t="shared" si="1715"/>
        <v>0</v>
      </c>
      <c r="Y1926" s="11">
        <f t="shared" si="1711"/>
        <v>0</v>
      </c>
    </row>
    <row r="1927" spans="1:26" x14ac:dyDescent="0.15">
      <c r="A1927" s="59"/>
      <c r="B1927" s="20"/>
      <c r="C1927" s="35"/>
      <c r="D1927" s="21"/>
      <c r="E1927" s="24"/>
      <c r="F1927" s="25">
        <f t="shared" si="1712"/>
        <v>0</v>
      </c>
      <c r="G1927" s="20"/>
      <c r="H1927" s="35"/>
      <c r="I1927" s="21"/>
      <c r="J1927" s="24"/>
      <c r="K1927" s="25">
        <f t="shared" si="1713"/>
        <v>0</v>
      </c>
      <c r="L1927" s="11">
        <f t="shared" si="1696"/>
        <v>0</v>
      </c>
      <c r="N1927" s="12"/>
      <c r="O1927" s="20"/>
      <c r="P1927" s="35"/>
      <c r="Q1927" s="21"/>
      <c r="R1927" s="38"/>
      <c r="S1927" s="9">
        <f t="shared" si="1714"/>
        <v>0</v>
      </c>
      <c r="T1927" s="20"/>
      <c r="U1927" s="35"/>
      <c r="V1927" s="21"/>
      <c r="W1927" s="38"/>
      <c r="X1927" s="9">
        <f t="shared" si="1715"/>
        <v>0</v>
      </c>
      <c r="Y1927" s="11">
        <f t="shared" si="1711"/>
        <v>0</v>
      </c>
    </row>
    <row r="1928" spans="1:26" x14ac:dyDescent="0.15">
      <c r="A1928" s="59"/>
      <c r="B1928" s="20"/>
      <c r="C1928" s="35"/>
      <c r="D1928" s="21"/>
      <c r="E1928" s="24"/>
      <c r="F1928" s="25">
        <f t="shared" si="1712"/>
        <v>0</v>
      </c>
      <c r="G1928" s="20"/>
      <c r="H1928" s="35"/>
      <c r="I1928" s="21"/>
      <c r="J1928" s="24"/>
      <c r="K1928" s="25">
        <f t="shared" si="1713"/>
        <v>0</v>
      </c>
      <c r="L1928" s="11">
        <f t="shared" si="1696"/>
        <v>0</v>
      </c>
      <c r="N1928" s="12"/>
      <c r="O1928" s="20"/>
      <c r="P1928" s="35"/>
      <c r="Q1928" s="21"/>
      <c r="R1928" s="38"/>
      <c r="S1928" s="9">
        <f t="shared" si="1714"/>
        <v>0</v>
      </c>
      <c r="T1928" s="20"/>
      <c r="U1928" s="35"/>
      <c r="V1928" s="21"/>
      <c r="W1928" s="38"/>
      <c r="X1928" s="9">
        <f t="shared" si="1715"/>
        <v>0</v>
      </c>
      <c r="Y1928" s="11">
        <f t="shared" si="1711"/>
        <v>0</v>
      </c>
    </row>
    <row r="1929" spans="1:26" x14ac:dyDescent="0.15">
      <c r="A1929" s="59"/>
      <c r="B1929" s="20"/>
      <c r="C1929" s="35"/>
      <c r="D1929" s="21"/>
      <c r="E1929" s="24"/>
      <c r="F1929" s="25">
        <f t="shared" si="1712"/>
        <v>0</v>
      </c>
      <c r="G1929" s="20"/>
      <c r="H1929" s="35"/>
      <c r="I1929" s="21"/>
      <c r="J1929" s="24"/>
      <c r="K1929" s="25">
        <f t="shared" si="1713"/>
        <v>0</v>
      </c>
      <c r="L1929" s="11">
        <f t="shared" si="1696"/>
        <v>0</v>
      </c>
      <c r="N1929" s="12"/>
      <c r="O1929" s="20"/>
      <c r="P1929" s="35"/>
      <c r="Q1929" s="21"/>
      <c r="R1929" s="38"/>
      <c r="S1929" s="9">
        <f t="shared" si="1714"/>
        <v>0</v>
      </c>
      <c r="T1929" s="20"/>
      <c r="U1929" s="35"/>
      <c r="V1929" s="21"/>
      <c r="W1929" s="38"/>
      <c r="X1929" s="9">
        <f t="shared" si="1715"/>
        <v>0</v>
      </c>
      <c r="Y1929" s="11">
        <f t="shared" si="1711"/>
        <v>0</v>
      </c>
    </row>
    <row r="1930" spans="1:26" x14ac:dyDescent="0.15">
      <c r="A1930" s="59"/>
      <c r="B1930" s="20"/>
      <c r="C1930" s="35"/>
      <c r="D1930" s="21"/>
      <c r="E1930" s="24"/>
      <c r="F1930" s="25">
        <f t="shared" si="1712"/>
        <v>0</v>
      </c>
      <c r="G1930" s="20"/>
      <c r="H1930" s="35"/>
      <c r="I1930" s="21"/>
      <c r="J1930" s="24"/>
      <c r="K1930" s="25">
        <f t="shared" si="1713"/>
        <v>0</v>
      </c>
      <c r="L1930" s="11">
        <f t="shared" si="1696"/>
        <v>0</v>
      </c>
      <c r="N1930" s="234" t="s">
        <v>1006</v>
      </c>
      <c r="O1930" s="199">
        <v>20</v>
      </c>
      <c r="P1930" s="200">
        <v>30</v>
      </c>
      <c r="Q1930" s="201">
        <v>20</v>
      </c>
      <c r="R1930" s="202">
        <v>10</v>
      </c>
      <c r="S1930" s="203">
        <f t="shared" si="1714"/>
        <v>80</v>
      </c>
      <c r="T1930" s="199">
        <v>20</v>
      </c>
      <c r="U1930" s="200">
        <v>30</v>
      </c>
      <c r="V1930" s="201">
        <v>20</v>
      </c>
      <c r="W1930" s="202">
        <v>10</v>
      </c>
      <c r="X1930" s="203">
        <f t="shared" si="1715"/>
        <v>80</v>
      </c>
      <c r="Y1930" s="175">
        <f t="shared" si="1711"/>
        <v>160</v>
      </c>
      <c r="Z1930" s="165" t="s">
        <v>1007</v>
      </c>
    </row>
    <row r="1931" spans="1:26" x14ac:dyDescent="0.15">
      <c r="A1931" s="59"/>
      <c r="B1931" s="20"/>
      <c r="C1931" s="35"/>
      <c r="D1931" s="21"/>
      <c r="E1931" s="24"/>
      <c r="F1931" s="25">
        <f t="shared" si="1712"/>
        <v>0</v>
      </c>
      <c r="G1931" s="20"/>
      <c r="H1931" s="35"/>
      <c r="I1931" s="21"/>
      <c r="J1931" s="24"/>
      <c r="K1931" s="25">
        <f t="shared" si="1713"/>
        <v>0</v>
      </c>
      <c r="L1931" s="11">
        <f t="shared" si="1696"/>
        <v>0</v>
      </c>
      <c r="N1931" s="166" t="s">
        <v>959</v>
      </c>
      <c r="O1931" s="204">
        <v>-5</v>
      </c>
      <c r="P1931" s="205">
        <v>-10</v>
      </c>
      <c r="Q1931" s="206">
        <v>-5</v>
      </c>
      <c r="R1931" s="207">
        <v>-5</v>
      </c>
      <c r="S1931" s="208">
        <f t="shared" si="1714"/>
        <v>-25</v>
      </c>
      <c r="T1931" s="204">
        <v>-5</v>
      </c>
      <c r="U1931" s="205">
        <v>-10</v>
      </c>
      <c r="V1931" s="206">
        <v>-5</v>
      </c>
      <c r="W1931" s="207">
        <v>-5</v>
      </c>
      <c r="X1931" s="208">
        <f t="shared" si="1715"/>
        <v>-25</v>
      </c>
      <c r="Y1931" s="173">
        <f t="shared" si="1711"/>
        <v>-50</v>
      </c>
      <c r="Z1931" s="165"/>
    </row>
    <row r="1932" spans="1:26" x14ac:dyDescent="0.15">
      <c r="A1932" s="59"/>
      <c r="B1932" s="20"/>
      <c r="C1932" s="35"/>
      <c r="D1932" s="21"/>
      <c r="E1932" s="24"/>
      <c r="F1932" s="25">
        <f t="shared" si="1712"/>
        <v>0</v>
      </c>
      <c r="G1932" s="20"/>
      <c r="H1932" s="35"/>
      <c r="I1932" s="21"/>
      <c r="J1932" s="24"/>
      <c r="K1932" s="25">
        <f t="shared" si="1713"/>
        <v>0</v>
      </c>
      <c r="L1932" s="11">
        <f t="shared" si="1696"/>
        <v>0</v>
      </c>
      <c r="N1932" s="186" t="s">
        <v>958</v>
      </c>
      <c r="O1932" s="199">
        <v>40</v>
      </c>
      <c r="P1932" s="200">
        <v>60</v>
      </c>
      <c r="Q1932" s="201">
        <v>30</v>
      </c>
      <c r="R1932" s="202">
        <v>20</v>
      </c>
      <c r="S1932" s="203">
        <f t="shared" si="1714"/>
        <v>150</v>
      </c>
      <c r="T1932" s="199">
        <v>40</v>
      </c>
      <c r="U1932" s="200">
        <v>65</v>
      </c>
      <c r="V1932" s="201">
        <v>30</v>
      </c>
      <c r="W1932" s="202">
        <v>20</v>
      </c>
      <c r="X1932" s="203">
        <f t="shared" si="1715"/>
        <v>155</v>
      </c>
      <c r="Y1932" s="175">
        <f t="shared" si="1711"/>
        <v>305</v>
      </c>
      <c r="Z1932" s="165" t="s">
        <v>964</v>
      </c>
    </row>
    <row r="1933" spans="1:26" x14ac:dyDescent="0.15">
      <c r="A1933" s="59"/>
      <c r="B1933" s="20"/>
      <c r="C1933" s="35"/>
      <c r="D1933" s="21"/>
      <c r="E1933" s="24"/>
      <c r="F1933" s="25">
        <f t="shared" si="1712"/>
        <v>0</v>
      </c>
      <c r="G1933" s="20"/>
      <c r="H1933" s="35"/>
      <c r="I1933" s="21"/>
      <c r="J1933" s="24"/>
      <c r="K1933" s="25">
        <f t="shared" si="1713"/>
        <v>0</v>
      </c>
      <c r="L1933" s="11">
        <f t="shared" si="1696"/>
        <v>0</v>
      </c>
      <c r="N1933" s="187" t="s">
        <v>961</v>
      </c>
      <c r="O1933" s="204">
        <v>-10</v>
      </c>
      <c r="P1933" s="205">
        <v>-15</v>
      </c>
      <c r="Q1933" s="206">
        <v>-10</v>
      </c>
      <c r="R1933" s="207">
        <v>-10</v>
      </c>
      <c r="S1933" s="208">
        <f t="shared" si="1714"/>
        <v>-45</v>
      </c>
      <c r="T1933" s="204">
        <v>-10</v>
      </c>
      <c r="U1933" s="205">
        <v>-40</v>
      </c>
      <c r="V1933" s="206">
        <v>-10</v>
      </c>
      <c r="W1933" s="207">
        <v>-10</v>
      </c>
      <c r="X1933" s="208">
        <f t="shared" si="1715"/>
        <v>-70</v>
      </c>
      <c r="Y1933" s="173">
        <f t="shared" si="1711"/>
        <v>-115</v>
      </c>
      <c r="Z1933" s="165"/>
    </row>
    <row r="1934" spans="1:26" ht="14.25" thickBot="1" x14ac:dyDescent="0.2">
      <c r="A1934" s="15"/>
      <c r="B1934" s="43"/>
      <c r="C1934" s="44"/>
      <c r="D1934" s="45"/>
      <c r="E1934" s="46"/>
      <c r="F1934" s="25">
        <f t="shared" si="1712"/>
        <v>0</v>
      </c>
      <c r="G1934" s="43"/>
      <c r="H1934" s="44"/>
      <c r="I1934" s="45"/>
      <c r="J1934" s="46"/>
      <c r="K1934" s="25">
        <f t="shared" si="1713"/>
        <v>0</v>
      </c>
      <c r="L1934" s="14">
        <f t="shared" si="1696"/>
        <v>0</v>
      </c>
      <c r="N1934" s="229" t="s">
        <v>960</v>
      </c>
      <c r="O1934" s="88">
        <v>55</v>
      </c>
      <c r="P1934" s="89">
        <v>75</v>
      </c>
      <c r="Q1934" s="90">
        <v>45</v>
      </c>
      <c r="R1934" s="103">
        <v>30</v>
      </c>
      <c r="S1934" s="91">
        <f t="shared" si="1714"/>
        <v>205</v>
      </c>
      <c r="T1934" s="88">
        <v>65</v>
      </c>
      <c r="U1934" s="89">
        <v>110</v>
      </c>
      <c r="V1934" s="90">
        <v>50</v>
      </c>
      <c r="W1934" s="103">
        <v>40</v>
      </c>
      <c r="X1934" s="91">
        <f t="shared" si="1715"/>
        <v>265</v>
      </c>
      <c r="Y1934" s="92">
        <f t="shared" si="1711"/>
        <v>470</v>
      </c>
      <c r="Z1934" s="165" t="s">
        <v>972</v>
      </c>
    </row>
    <row r="1935" spans="1:26" ht="14.25" thickBot="1" x14ac:dyDescent="0.2">
      <c r="A1935" s="16" t="s">
        <v>9</v>
      </c>
      <c r="B1935" s="28">
        <f>SUM(B1910:B1934)</f>
        <v>2</v>
      </c>
      <c r="C1935" s="36">
        <f>SUM(C1910:C1934)</f>
        <v>7</v>
      </c>
      <c r="D1935" s="29">
        <f>SUM(D1910:D1934)</f>
        <v>1</v>
      </c>
      <c r="E1935" s="30">
        <f>SUM(E1910:E1934)</f>
        <v>3</v>
      </c>
      <c r="F1935" s="26">
        <f>SUM(B1935:E1935)</f>
        <v>13</v>
      </c>
      <c r="G1935" s="28">
        <f>SUM(G1910:G1934)</f>
        <v>7</v>
      </c>
      <c r="H1935" s="36">
        <f>SUM(H1910:H1934)</f>
        <v>6</v>
      </c>
      <c r="I1935" s="29">
        <f>SUM(I1910:I1934)</f>
        <v>2</v>
      </c>
      <c r="J1935" s="30">
        <f>SUM(J1910:J1934)</f>
        <v>2</v>
      </c>
      <c r="K1935" s="26">
        <f>SUM(G1935:J1935)</f>
        <v>17</v>
      </c>
      <c r="L1935" s="27">
        <f t="shared" si="1696"/>
        <v>30</v>
      </c>
      <c r="N1935" s="61" t="s">
        <v>9</v>
      </c>
      <c r="O1935" s="28">
        <f>SUM(O1910:O1934)</f>
        <v>100</v>
      </c>
      <c r="P1935" s="36">
        <f t="shared" ref="P1935:R1935" si="1716">SUM(P1910:P1934)</f>
        <v>140</v>
      </c>
      <c r="Q1935" s="29">
        <f t="shared" si="1716"/>
        <v>80</v>
      </c>
      <c r="R1935" s="30">
        <f t="shared" si="1716"/>
        <v>45</v>
      </c>
      <c r="S1935" s="60">
        <f>SUM(O1935:R1935)</f>
        <v>365</v>
      </c>
      <c r="T1935" s="28">
        <f>SUM(T1910:T1934)</f>
        <v>110</v>
      </c>
      <c r="U1935" s="36">
        <f t="shared" ref="U1935:W1935" si="1717">SUM(U1910:U1934)</f>
        <v>155</v>
      </c>
      <c r="V1935" s="29">
        <f t="shared" si="1717"/>
        <v>85</v>
      </c>
      <c r="W1935" s="30">
        <f t="shared" si="1717"/>
        <v>55</v>
      </c>
      <c r="X1935" s="60">
        <f>SUM(T1935:W1935)</f>
        <v>405</v>
      </c>
      <c r="Y1935" s="63">
        <f>S1935+X1935</f>
        <v>770</v>
      </c>
    </row>
    <row r="1936" spans="1:26" ht="14.25" thickBot="1" x14ac:dyDescent="0.2">
      <c r="A1936" s="18" t="s">
        <v>10</v>
      </c>
      <c r="B1936" s="31">
        <f t="shared" ref="B1936:K1936" si="1718">B1909-B1935</f>
        <v>31</v>
      </c>
      <c r="C1936" s="37">
        <f t="shared" si="1718"/>
        <v>31</v>
      </c>
      <c r="D1936" s="32">
        <f t="shared" si="1718"/>
        <v>31</v>
      </c>
      <c r="E1936" s="33">
        <f t="shared" si="1718"/>
        <v>31</v>
      </c>
      <c r="F1936" s="42">
        <f t="shared" si="1718"/>
        <v>124</v>
      </c>
      <c r="G1936" s="31">
        <f t="shared" si="1718"/>
        <v>29</v>
      </c>
      <c r="H1936" s="37">
        <f t="shared" si="1718"/>
        <v>31</v>
      </c>
      <c r="I1936" s="32">
        <f t="shared" si="1718"/>
        <v>28</v>
      </c>
      <c r="J1936" s="33">
        <f t="shared" si="1718"/>
        <v>32</v>
      </c>
      <c r="K1936" s="42">
        <f t="shared" si="1718"/>
        <v>120</v>
      </c>
      <c r="L1936" s="17">
        <f t="shared" si="1696"/>
        <v>244</v>
      </c>
      <c r="N1936" s="16" t="s">
        <v>10</v>
      </c>
      <c r="O1936" s="31">
        <f>O1909-O1935</f>
        <v>310</v>
      </c>
      <c r="P1936" s="37">
        <f t="shared" ref="P1936:R1936" si="1719">P1909-P1935</f>
        <v>467</v>
      </c>
      <c r="Q1936" s="32">
        <f t="shared" si="1719"/>
        <v>328</v>
      </c>
      <c r="R1936" s="33">
        <f t="shared" si="1719"/>
        <v>250</v>
      </c>
      <c r="S1936" s="42">
        <f>S1909-S1935</f>
        <v>1355</v>
      </c>
      <c r="T1936" s="31">
        <f>T1909-T1935</f>
        <v>288</v>
      </c>
      <c r="U1936" s="37">
        <f t="shared" ref="U1936:W1936" si="1720">U1909-U1935</f>
        <v>470</v>
      </c>
      <c r="V1936" s="32">
        <f t="shared" si="1720"/>
        <v>322</v>
      </c>
      <c r="W1936" s="33">
        <f t="shared" si="1720"/>
        <v>270</v>
      </c>
      <c r="X1936" s="42">
        <f>X1909-X1935</f>
        <v>1350</v>
      </c>
      <c r="Y1936" s="17">
        <f>S1936+X1936</f>
        <v>2705</v>
      </c>
    </row>
    <row r="1939" spans="1:25" ht="19.5" thickBot="1" x14ac:dyDescent="0.25">
      <c r="A1939" s="2" t="s">
        <v>17</v>
      </c>
      <c r="B1939" s="2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N1939" s="2" t="s">
        <v>18</v>
      </c>
      <c r="O1939" s="87"/>
      <c r="P1939" s="87"/>
      <c r="Q1939" s="87"/>
      <c r="R1939" s="87"/>
      <c r="S1939" s="87"/>
      <c r="T1939" s="87"/>
      <c r="U1939" s="87"/>
      <c r="V1939" s="87"/>
      <c r="W1939" s="87"/>
      <c r="X1939" s="87"/>
      <c r="Y1939" s="1"/>
    </row>
    <row r="1940" spans="1:25" ht="14.25" thickBot="1" x14ac:dyDescent="0.2">
      <c r="A1940" s="5" t="s">
        <v>0</v>
      </c>
      <c r="B1940" s="244" t="s">
        <v>19</v>
      </c>
      <c r="C1940" s="245"/>
      <c r="D1940" s="245"/>
      <c r="E1940" s="245"/>
      <c r="F1940" s="246"/>
      <c r="G1940" s="247" t="s">
        <v>20</v>
      </c>
      <c r="H1940" s="248"/>
      <c r="I1940" s="248"/>
      <c r="J1940" s="248"/>
      <c r="K1940" s="249"/>
      <c r="L1940" s="250" t="s">
        <v>1</v>
      </c>
      <c r="N1940" s="5" t="s">
        <v>0</v>
      </c>
      <c r="O1940" s="244" t="s">
        <v>19</v>
      </c>
      <c r="P1940" s="245"/>
      <c r="Q1940" s="245"/>
      <c r="R1940" s="245"/>
      <c r="S1940" s="246"/>
      <c r="T1940" s="247" t="s">
        <v>20</v>
      </c>
      <c r="U1940" s="248"/>
      <c r="V1940" s="248"/>
      <c r="W1940" s="248"/>
      <c r="X1940" s="249"/>
      <c r="Y1940" s="250" t="s">
        <v>1</v>
      </c>
    </row>
    <row r="1941" spans="1:25" ht="14.25" thickBot="1" x14ac:dyDescent="0.2">
      <c r="A1941" s="5" t="s">
        <v>2</v>
      </c>
      <c r="B1941" s="3" t="s">
        <v>11</v>
      </c>
      <c r="C1941" s="34" t="s">
        <v>12</v>
      </c>
      <c r="D1941" s="4" t="s">
        <v>13</v>
      </c>
      <c r="E1941" s="19" t="s">
        <v>14</v>
      </c>
      <c r="F1941" s="23" t="s">
        <v>3</v>
      </c>
      <c r="G1941" s="3" t="s">
        <v>11</v>
      </c>
      <c r="H1941" s="34" t="s">
        <v>12</v>
      </c>
      <c r="I1941" s="4" t="s">
        <v>13</v>
      </c>
      <c r="J1941" s="19" t="s">
        <v>14</v>
      </c>
      <c r="K1941" s="23" t="s">
        <v>3</v>
      </c>
      <c r="L1941" s="251"/>
      <c r="N1941" s="5" t="s">
        <v>2</v>
      </c>
      <c r="O1941" s="53" t="s">
        <v>11</v>
      </c>
      <c r="P1941" s="54" t="s">
        <v>12</v>
      </c>
      <c r="Q1941" s="55" t="s">
        <v>13</v>
      </c>
      <c r="R1941" s="56" t="s">
        <v>14</v>
      </c>
      <c r="S1941" s="23" t="s">
        <v>3</v>
      </c>
      <c r="T1941" s="3" t="s">
        <v>11</v>
      </c>
      <c r="U1941" s="34" t="s">
        <v>12</v>
      </c>
      <c r="V1941" s="4" t="s">
        <v>13</v>
      </c>
      <c r="W1941" s="19" t="s">
        <v>14</v>
      </c>
      <c r="X1941" s="23" t="s">
        <v>3</v>
      </c>
      <c r="Y1941" s="251"/>
    </row>
    <row r="1942" spans="1:25" ht="14.25" thickBot="1" x14ac:dyDescent="0.2">
      <c r="A1942" s="18" t="s">
        <v>15</v>
      </c>
      <c r="B1942" s="31">
        <f>B1936</f>
        <v>31</v>
      </c>
      <c r="C1942" s="32">
        <f>C1936</f>
        <v>31</v>
      </c>
      <c r="D1942" s="32">
        <f>D1936</f>
        <v>31</v>
      </c>
      <c r="E1942" s="33">
        <f>E1936</f>
        <v>31</v>
      </c>
      <c r="F1942" s="86">
        <f>SUM(B1942:E1942)</f>
        <v>124</v>
      </c>
      <c r="G1942" s="31">
        <f>G1936</f>
        <v>29</v>
      </c>
      <c r="H1942" s="32">
        <f>H1936</f>
        <v>31</v>
      </c>
      <c r="I1942" s="32">
        <f>I1936</f>
        <v>28</v>
      </c>
      <c r="J1942" s="33">
        <f>J1936</f>
        <v>32</v>
      </c>
      <c r="K1942" s="80">
        <f>SUM(G1942:J1942)</f>
        <v>120</v>
      </c>
      <c r="L1942" s="17">
        <f>F1942+K1942</f>
        <v>244</v>
      </c>
      <c r="N1942" s="18" t="s">
        <v>15</v>
      </c>
      <c r="O1942" s="31">
        <f>O1936</f>
        <v>310</v>
      </c>
      <c r="P1942" s="32">
        <f t="shared" ref="P1942:Y1942" si="1721">P1936</f>
        <v>467</v>
      </c>
      <c r="Q1942" s="32">
        <f t="shared" si="1721"/>
        <v>328</v>
      </c>
      <c r="R1942" s="33">
        <f t="shared" si="1721"/>
        <v>250</v>
      </c>
      <c r="S1942" s="86">
        <f t="shared" si="1721"/>
        <v>1355</v>
      </c>
      <c r="T1942" s="31">
        <f t="shared" si="1721"/>
        <v>288</v>
      </c>
      <c r="U1942" s="32">
        <f t="shared" si="1721"/>
        <v>470</v>
      </c>
      <c r="V1942" s="32">
        <f t="shared" si="1721"/>
        <v>322</v>
      </c>
      <c r="W1942" s="33">
        <f t="shared" si="1721"/>
        <v>270</v>
      </c>
      <c r="X1942" s="80">
        <f t="shared" si="1721"/>
        <v>1350</v>
      </c>
      <c r="Y1942" s="17">
        <f t="shared" si="1721"/>
        <v>2705</v>
      </c>
    </row>
    <row r="1943" spans="1:25" x14ac:dyDescent="0.15">
      <c r="A1943" s="13" t="s">
        <v>4</v>
      </c>
      <c r="B1943" s="20"/>
      <c r="C1943" s="35"/>
      <c r="D1943" s="21"/>
      <c r="E1943" s="24"/>
      <c r="F1943" s="25">
        <f t="shared" ref="F1943:F1946" si="1722">SUM(B1943:E1943)</f>
        <v>0</v>
      </c>
      <c r="G1943" s="20"/>
      <c r="H1943" s="35"/>
      <c r="I1943" s="21"/>
      <c r="J1943" s="24"/>
      <c r="K1943" s="25">
        <f t="shared" ref="K1943:K1946" si="1723">SUM(G1943:J1943)</f>
        <v>0</v>
      </c>
      <c r="L1943" s="11">
        <f t="shared" ref="L1943:L1974" si="1724">F1943+K1943</f>
        <v>0</v>
      </c>
      <c r="N1943" s="59" t="s">
        <v>16</v>
      </c>
      <c r="O1943" s="48"/>
      <c r="P1943" s="49"/>
      <c r="Q1943" s="50"/>
      <c r="R1943" s="51"/>
      <c r="S1943" s="85">
        <f t="shared" ref="S1943:S1945" si="1725">SUM(O1943:R1943)</f>
        <v>0</v>
      </c>
      <c r="T1943" s="48"/>
      <c r="U1943" s="49"/>
      <c r="V1943" s="50"/>
      <c r="W1943" s="51"/>
      <c r="X1943" s="74">
        <f t="shared" ref="X1943:X1945" si="1726">SUM(T1943:W1943)</f>
        <v>0</v>
      </c>
      <c r="Y1943" s="11">
        <f t="shared" ref="Y1943:Y1946" si="1727">S1943+X1943</f>
        <v>0</v>
      </c>
    </row>
    <row r="1944" spans="1:25" x14ac:dyDescent="0.15">
      <c r="A1944" s="13" t="s">
        <v>5</v>
      </c>
      <c r="B1944" s="20"/>
      <c r="C1944" s="35"/>
      <c r="D1944" s="21"/>
      <c r="E1944" s="24"/>
      <c r="F1944" s="25">
        <f t="shared" si="1722"/>
        <v>0</v>
      </c>
      <c r="G1944" s="20"/>
      <c r="H1944" s="35"/>
      <c r="I1944" s="21"/>
      <c r="J1944" s="24"/>
      <c r="K1944" s="25">
        <f t="shared" si="1723"/>
        <v>0</v>
      </c>
      <c r="L1944" s="11">
        <f t="shared" si="1724"/>
        <v>0</v>
      </c>
      <c r="N1944" s="59" t="s">
        <v>4</v>
      </c>
      <c r="O1944" s="48"/>
      <c r="P1944" s="49"/>
      <c r="Q1944" s="50"/>
      <c r="R1944" s="51"/>
      <c r="S1944" s="85">
        <f t="shared" ref="S1944" si="1728">SUM(O1944:R1944)</f>
        <v>0</v>
      </c>
      <c r="T1944" s="48"/>
      <c r="U1944" s="49"/>
      <c r="V1944" s="50"/>
      <c r="W1944" s="51"/>
      <c r="X1944" s="74">
        <f t="shared" ref="X1944" si="1729">SUM(T1944:W1944)</f>
        <v>0</v>
      </c>
      <c r="Y1944" s="11">
        <f t="shared" ref="Y1944" si="1730">S1944+X1944</f>
        <v>0</v>
      </c>
    </row>
    <row r="1945" spans="1:25" x14ac:dyDescent="0.15">
      <c r="A1945" s="13" t="s">
        <v>6</v>
      </c>
      <c r="B1945" s="20"/>
      <c r="C1945" s="35"/>
      <c r="D1945" s="21"/>
      <c r="E1945" s="24"/>
      <c r="F1945" s="25">
        <f t="shared" si="1722"/>
        <v>0</v>
      </c>
      <c r="G1945" s="20"/>
      <c r="H1945" s="35"/>
      <c r="I1945" s="21"/>
      <c r="J1945" s="24"/>
      <c r="K1945" s="25">
        <f t="shared" si="1723"/>
        <v>0</v>
      </c>
      <c r="L1945" s="11">
        <f t="shared" si="1724"/>
        <v>0</v>
      </c>
      <c r="N1945" s="59" t="s">
        <v>5</v>
      </c>
      <c r="O1945" s="48"/>
      <c r="P1945" s="49"/>
      <c r="Q1945" s="50"/>
      <c r="R1945" s="51"/>
      <c r="S1945" s="85">
        <f t="shared" si="1725"/>
        <v>0</v>
      </c>
      <c r="T1945" s="48"/>
      <c r="U1945" s="49"/>
      <c r="V1945" s="50"/>
      <c r="W1945" s="51"/>
      <c r="X1945" s="74">
        <f t="shared" si="1726"/>
        <v>0</v>
      </c>
      <c r="Y1945" s="11">
        <f t="shared" si="1727"/>
        <v>0</v>
      </c>
    </row>
    <row r="1946" spans="1:25" ht="14.25" thickBot="1" x14ac:dyDescent="0.2">
      <c r="A1946" s="13" t="s">
        <v>7</v>
      </c>
      <c r="B1946" s="48"/>
      <c r="C1946" s="49"/>
      <c r="D1946" s="50"/>
      <c r="E1946" s="51"/>
      <c r="F1946" s="52">
        <f t="shared" si="1722"/>
        <v>0</v>
      </c>
      <c r="G1946" s="48"/>
      <c r="H1946" s="49"/>
      <c r="I1946" s="50"/>
      <c r="J1946" s="51"/>
      <c r="K1946" s="52">
        <f t="shared" si="1723"/>
        <v>0</v>
      </c>
      <c r="L1946" s="11">
        <f t="shared" si="1724"/>
        <v>0</v>
      </c>
      <c r="N1946" s="13" t="s">
        <v>6</v>
      </c>
      <c r="O1946" s="43"/>
      <c r="P1946" s="44"/>
      <c r="Q1946" s="45"/>
      <c r="R1946" s="46"/>
      <c r="S1946" s="58">
        <f>SUM(O1946:R1946)</f>
        <v>0</v>
      </c>
      <c r="T1946" s="35"/>
      <c r="U1946" s="35"/>
      <c r="V1946" s="21"/>
      <c r="W1946" s="38"/>
      <c r="X1946" s="10">
        <f>SUM(T1946:W1946)</f>
        <v>0</v>
      </c>
      <c r="Y1946" s="14">
        <f t="shared" si="1727"/>
        <v>0</v>
      </c>
    </row>
    <row r="1947" spans="1:25" ht="14.25" thickBot="1" x14ac:dyDescent="0.2">
      <c r="A1947" s="18" t="s">
        <v>8</v>
      </c>
      <c r="B1947" s="76">
        <f t="shared" ref="B1947:K1947" si="1731">SUM(B1942:B1946)</f>
        <v>31</v>
      </c>
      <c r="C1947" s="77">
        <f t="shared" si="1731"/>
        <v>31</v>
      </c>
      <c r="D1947" s="78">
        <f t="shared" si="1731"/>
        <v>31</v>
      </c>
      <c r="E1947" s="79">
        <f t="shared" si="1731"/>
        <v>31</v>
      </c>
      <c r="F1947" s="80">
        <f t="shared" si="1731"/>
        <v>124</v>
      </c>
      <c r="G1947" s="76">
        <f t="shared" si="1731"/>
        <v>29</v>
      </c>
      <c r="H1947" s="77">
        <f t="shared" si="1731"/>
        <v>31</v>
      </c>
      <c r="I1947" s="78">
        <f t="shared" si="1731"/>
        <v>28</v>
      </c>
      <c r="J1947" s="79">
        <f t="shared" si="1731"/>
        <v>32</v>
      </c>
      <c r="K1947" s="80">
        <f t="shared" si="1731"/>
        <v>120</v>
      </c>
      <c r="L1947" s="17">
        <f t="shared" si="1724"/>
        <v>244</v>
      </c>
      <c r="N1947" s="16" t="s">
        <v>8</v>
      </c>
      <c r="O1947" s="31">
        <f>SUM(O1942:O1946)</f>
        <v>310</v>
      </c>
      <c r="P1947" s="37">
        <f t="shared" ref="P1947:R1947" si="1732">SUM(P1942:P1946)</f>
        <v>467</v>
      </c>
      <c r="Q1947" s="32">
        <f t="shared" si="1732"/>
        <v>328</v>
      </c>
      <c r="R1947" s="82">
        <f t="shared" si="1732"/>
        <v>250</v>
      </c>
      <c r="S1947" s="83">
        <f>SUM(S1942:S1946)</f>
        <v>1355</v>
      </c>
      <c r="T1947" s="31">
        <f>SUM(T1942:T1946)</f>
        <v>288</v>
      </c>
      <c r="U1947" s="37">
        <f t="shared" ref="U1947:W1947" si="1733">SUM(U1942:U1946)</f>
        <v>470</v>
      </c>
      <c r="V1947" s="32">
        <f t="shared" si="1733"/>
        <v>322</v>
      </c>
      <c r="W1947" s="82">
        <f t="shared" si="1733"/>
        <v>270</v>
      </c>
      <c r="X1947" s="83">
        <f>SUM(X1942:X1946)</f>
        <v>1350</v>
      </c>
      <c r="Y1947" s="39">
        <f>S1947+X1947</f>
        <v>2705</v>
      </c>
    </row>
    <row r="1948" spans="1:25" x14ac:dyDescent="0.15">
      <c r="A1948" s="59"/>
      <c r="B1948" s="20"/>
      <c r="C1948" s="35"/>
      <c r="D1948" s="21"/>
      <c r="E1948" s="24"/>
      <c r="F1948" s="25">
        <f t="shared" ref="F1948:F1972" si="1734">SUM(B1948:E1948)</f>
        <v>0</v>
      </c>
      <c r="G1948" s="20"/>
      <c r="H1948" s="35"/>
      <c r="I1948" s="21"/>
      <c r="J1948" s="24"/>
      <c r="K1948" s="25">
        <f t="shared" ref="K1948:K1972" si="1735">SUM(G1948:J1948)</f>
        <v>0</v>
      </c>
      <c r="L1948" s="11">
        <f t="shared" si="1724"/>
        <v>0</v>
      </c>
      <c r="N1948" s="40"/>
      <c r="O1948" s="20"/>
      <c r="P1948" s="35"/>
      <c r="Q1948" s="21"/>
      <c r="R1948" s="38"/>
      <c r="S1948" s="9">
        <f t="shared" ref="S1948:S1960" si="1736">SUM(O1948:R1948)</f>
        <v>0</v>
      </c>
      <c r="T1948" s="20"/>
      <c r="U1948" s="35"/>
      <c r="V1948" s="21"/>
      <c r="W1948" s="38"/>
      <c r="X1948" s="9">
        <f t="shared" ref="X1948:X1960" si="1737">SUM(T1948:W1948)</f>
        <v>0</v>
      </c>
      <c r="Y1948" s="11">
        <f t="shared" ref="Y1948:Y1972" si="1738">S1948+X1948</f>
        <v>0</v>
      </c>
    </row>
    <row r="1949" spans="1:25" x14ac:dyDescent="0.15">
      <c r="A1949" s="59"/>
      <c r="B1949" s="20"/>
      <c r="C1949" s="35"/>
      <c r="D1949" s="21"/>
      <c r="E1949" s="24"/>
      <c r="F1949" s="25">
        <f t="shared" si="1734"/>
        <v>0</v>
      </c>
      <c r="G1949" s="20"/>
      <c r="H1949" s="35"/>
      <c r="I1949" s="21"/>
      <c r="J1949" s="24"/>
      <c r="K1949" s="25">
        <f t="shared" si="1735"/>
        <v>0</v>
      </c>
      <c r="L1949" s="11">
        <f t="shared" si="1724"/>
        <v>0</v>
      </c>
      <c r="N1949" s="40"/>
      <c r="O1949" s="20"/>
      <c r="P1949" s="35"/>
      <c r="Q1949" s="21"/>
      <c r="R1949" s="38"/>
      <c r="S1949" s="9">
        <f t="shared" si="1736"/>
        <v>0</v>
      </c>
      <c r="T1949" s="20"/>
      <c r="U1949" s="35"/>
      <c r="V1949" s="21"/>
      <c r="W1949" s="38"/>
      <c r="X1949" s="9">
        <f t="shared" si="1737"/>
        <v>0</v>
      </c>
      <c r="Y1949" s="11">
        <f t="shared" si="1738"/>
        <v>0</v>
      </c>
    </row>
    <row r="1950" spans="1:25" x14ac:dyDescent="0.15">
      <c r="A1950" s="59"/>
      <c r="B1950" s="20"/>
      <c r="C1950" s="35"/>
      <c r="D1950" s="21"/>
      <c r="E1950" s="24"/>
      <c r="F1950" s="25">
        <f t="shared" si="1734"/>
        <v>0</v>
      </c>
      <c r="G1950" s="20"/>
      <c r="H1950" s="35"/>
      <c r="I1950" s="21"/>
      <c r="J1950" s="24"/>
      <c r="K1950" s="25">
        <f t="shared" si="1735"/>
        <v>0</v>
      </c>
      <c r="L1950" s="11">
        <f t="shared" si="1724"/>
        <v>0</v>
      </c>
      <c r="N1950" s="40"/>
      <c r="O1950" s="20"/>
      <c r="P1950" s="35"/>
      <c r="Q1950" s="21"/>
      <c r="R1950" s="38"/>
      <c r="S1950" s="9">
        <f t="shared" si="1736"/>
        <v>0</v>
      </c>
      <c r="T1950" s="20"/>
      <c r="U1950" s="35"/>
      <c r="V1950" s="21"/>
      <c r="W1950" s="38"/>
      <c r="X1950" s="9">
        <f t="shared" si="1737"/>
        <v>0</v>
      </c>
      <c r="Y1950" s="11">
        <f t="shared" si="1738"/>
        <v>0</v>
      </c>
    </row>
    <row r="1951" spans="1:25" x14ac:dyDescent="0.15">
      <c r="A1951" s="59"/>
      <c r="B1951" s="20"/>
      <c r="C1951" s="35"/>
      <c r="D1951" s="21"/>
      <c r="E1951" s="24"/>
      <c r="F1951" s="25">
        <f t="shared" si="1734"/>
        <v>0</v>
      </c>
      <c r="G1951" s="20"/>
      <c r="H1951" s="35"/>
      <c r="I1951" s="21"/>
      <c r="J1951" s="24"/>
      <c r="K1951" s="25">
        <f t="shared" si="1735"/>
        <v>0</v>
      </c>
      <c r="L1951" s="11">
        <f t="shared" si="1724"/>
        <v>0</v>
      </c>
      <c r="N1951" s="40"/>
      <c r="O1951" s="20"/>
      <c r="P1951" s="35"/>
      <c r="Q1951" s="21"/>
      <c r="R1951" s="38"/>
      <c r="S1951" s="9">
        <f t="shared" si="1736"/>
        <v>0</v>
      </c>
      <c r="T1951" s="20"/>
      <c r="U1951" s="35"/>
      <c r="V1951" s="21"/>
      <c r="W1951" s="38"/>
      <c r="X1951" s="9">
        <f t="shared" si="1737"/>
        <v>0</v>
      </c>
      <c r="Y1951" s="11">
        <f t="shared" si="1738"/>
        <v>0</v>
      </c>
    </row>
    <row r="1952" spans="1:25" x14ac:dyDescent="0.15">
      <c r="A1952" s="59"/>
      <c r="B1952" s="20"/>
      <c r="C1952" s="35"/>
      <c r="D1952" s="21"/>
      <c r="E1952" s="24"/>
      <c r="F1952" s="25">
        <f t="shared" si="1734"/>
        <v>0</v>
      </c>
      <c r="G1952" s="20"/>
      <c r="H1952" s="35"/>
      <c r="I1952" s="21"/>
      <c r="J1952" s="24"/>
      <c r="K1952" s="25">
        <f t="shared" si="1735"/>
        <v>0</v>
      </c>
      <c r="L1952" s="11">
        <f t="shared" si="1724"/>
        <v>0</v>
      </c>
      <c r="N1952" s="40"/>
      <c r="O1952" s="20"/>
      <c r="P1952" s="35"/>
      <c r="Q1952" s="21"/>
      <c r="R1952" s="38"/>
      <c r="S1952" s="9">
        <f t="shared" si="1736"/>
        <v>0</v>
      </c>
      <c r="T1952" s="20"/>
      <c r="U1952" s="35"/>
      <c r="V1952" s="21"/>
      <c r="W1952" s="38"/>
      <c r="X1952" s="9">
        <f t="shared" si="1737"/>
        <v>0</v>
      </c>
      <c r="Y1952" s="11">
        <f t="shared" si="1738"/>
        <v>0</v>
      </c>
    </row>
    <row r="1953" spans="1:25" x14ac:dyDescent="0.15">
      <c r="A1953" s="59"/>
      <c r="B1953" s="20"/>
      <c r="C1953" s="35"/>
      <c r="D1953" s="21"/>
      <c r="E1953" s="24"/>
      <c r="F1953" s="25">
        <f t="shared" si="1734"/>
        <v>0</v>
      </c>
      <c r="G1953" s="20"/>
      <c r="H1953" s="35"/>
      <c r="I1953" s="21"/>
      <c r="J1953" s="24"/>
      <c r="K1953" s="25">
        <f t="shared" si="1735"/>
        <v>0</v>
      </c>
      <c r="L1953" s="11">
        <f t="shared" si="1724"/>
        <v>0</v>
      </c>
      <c r="N1953" s="40"/>
      <c r="O1953" s="20"/>
      <c r="P1953" s="35"/>
      <c r="Q1953" s="21"/>
      <c r="R1953" s="38"/>
      <c r="S1953" s="9">
        <f t="shared" si="1736"/>
        <v>0</v>
      </c>
      <c r="T1953" s="20"/>
      <c r="U1953" s="35"/>
      <c r="V1953" s="21"/>
      <c r="W1953" s="38"/>
      <c r="X1953" s="9">
        <f t="shared" si="1737"/>
        <v>0</v>
      </c>
      <c r="Y1953" s="11">
        <f t="shared" si="1738"/>
        <v>0</v>
      </c>
    </row>
    <row r="1954" spans="1:25" x14ac:dyDescent="0.15">
      <c r="A1954" s="59"/>
      <c r="B1954" s="20"/>
      <c r="C1954" s="35"/>
      <c r="D1954" s="21"/>
      <c r="E1954" s="24"/>
      <c r="F1954" s="25">
        <f t="shared" si="1734"/>
        <v>0</v>
      </c>
      <c r="G1954" s="20"/>
      <c r="H1954" s="35"/>
      <c r="I1954" s="21"/>
      <c r="J1954" s="24"/>
      <c r="K1954" s="25">
        <f t="shared" si="1735"/>
        <v>0</v>
      </c>
      <c r="L1954" s="11">
        <f t="shared" si="1724"/>
        <v>0</v>
      </c>
      <c r="N1954" s="40"/>
      <c r="O1954" s="20"/>
      <c r="P1954" s="35"/>
      <c r="Q1954" s="21"/>
      <c r="R1954" s="38"/>
      <c r="S1954" s="9">
        <f t="shared" si="1736"/>
        <v>0</v>
      </c>
      <c r="T1954" s="20"/>
      <c r="U1954" s="35"/>
      <c r="V1954" s="21"/>
      <c r="W1954" s="38"/>
      <c r="X1954" s="9">
        <f t="shared" si="1737"/>
        <v>0</v>
      </c>
      <c r="Y1954" s="11">
        <f t="shared" si="1738"/>
        <v>0</v>
      </c>
    </row>
    <row r="1955" spans="1:25" x14ac:dyDescent="0.15">
      <c r="A1955" s="59"/>
      <c r="B1955" s="20"/>
      <c r="C1955" s="35"/>
      <c r="D1955" s="21"/>
      <c r="E1955" s="24"/>
      <c r="F1955" s="25">
        <f t="shared" si="1734"/>
        <v>0</v>
      </c>
      <c r="G1955" s="20"/>
      <c r="H1955" s="35"/>
      <c r="I1955" s="21"/>
      <c r="J1955" s="24"/>
      <c r="K1955" s="25">
        <f t="shared" si="1735"/>
        <v>0</v>
      </c>
      <c r="L1955" s="11">
        <f t="shared" si="1724"/>
        <v>0</v>
      </c>
      <c r="N1955" s="40"/>
      <c r="O1955" s="20"/>
      <c r="P1955" s="35"/>
      <c r="Q1955" s="21"/>
      <c r="R1955" s="38"/>
      <c r="S1955" s="9">
        <f t="shared" si="1736"/>
        <v>0</v>
      </c>
      <c r="T1955" s="20"/>
      <c r="U1955" s="35"/>
      <c r="V1955" s="21"/>
      <c r="W1955" s="38"/>
      <c r="X1955" s="9">
        <f t="shared" si="1737"/>
        <v>0</v>
      </c>
      <c r="Y1955" s="11">
        <f t="shared" si="1738"/>
        <v>0</v>
      </c>
    </row>
    <row r="1956" spans="1:25" x14ac:dyDescent="0.15">
      <c r="A1956" s="59"/>
      <c r="B1956" s="20"/>
      <c r="C1956" s="35"/>
      <c r="D1956" s="21"/>
      <c r="E1956" s="24"/>
      <c r="F1956" s="25">
        <f t="shared" si="1734"/>
        <v>0</v>
      </c>
      <c r="G1956" s="20"/>
      <c r="H1956" s="35"/>
      <c r="I1956" s="21"/>
      <c r="J1956" s="24"/>
      <c r="K1956" s="25">
        <f t="shared" si="1735"/>
        <v>0</v>
      </c>
      <c r="L1956" s="11">
        <f t="shared" si="1724"/>
        <v>0</v>
      </c>
      <c r="N1956" s="40"/>
      <c r="O1956" s="20"/>
      <c r="P1956" s="35"/>
      <c r="Q1956" s="21"/>
      <c r="R1956" s="38"/>
      <c r="S1956" s="9">
        <f t="shared" si="1736"/>
        <v>0</v>
      </c>
      <c r="T1956" s="20"/>
      <c r="U1956" s="35"/>
      <c r="V1956" s="21"/>
      <c r="W1956" s="38"/>
      <c r="X1956" s="9">
        <f t="shared" si="1737"/>
        <v>0</v>
      </c>
      <c r="Y1956" s="11">
        <f t="shared" si="1738"/>
        <v>0</v>
      </c>
    </row>
    <row r="1957" spans="1:25" x14ac:dyDescent="0.15">
      <c r="A1957" s="59"/>
      <c r="B1957" s="20"/>
      <c r="C1957" s="35"/>
      <c r="D1957" s="21"/>
      <c r="E1957" s="24"/>
      <c r="F1957" s="25">
        <f t="shared" si="1734"/>
        <v>0</v>
      </c>
      <c r="G1957" s="20"/>
      <c r="H1957" s="35"/>
      <c r="I1957" s="21"/>
      <c r="J1957" s="24"/>
      <c r="K1957" s="25">
        <f t="shared" si="1735"/>
        <v>0</v>
      </c>
      <c r="L1957" s="11">
        <f t="shared" si="1724"/>
        <v>0</v>
      </c>
      <c r="N1957" s="40"/>
      <c r="O1957" s="20"/>
      <c r="P1957" s="35"/>
      <c r="Q1957" s="21"/>
      <c r="R1957" s="38"/>
      <c r="S1957" s="9">
        <f t="shared" si="1736"/>
        <v>0</v>
      </c>
      <c r="T1957" s="20"/>
      <c r="U1957" s="35"/>
      <c r="V1957" s="21"/>
      <c r="W1957" s="38"/>
      <c r="X1957" s="9">
        <f t="shared" si="1737"/>
        <v>0</v>
      </c>
      <c r="Y1957" s="11">
        <f t="shared" si="1738"/>
        <v>0</v>
      </c>
    </row>
    <row r="1958" spans="1:25" x14ac:dyDescent="0.15">
      <c r="A1958" s="59"/>
      <c r="B1958" s="20"/>
      <c r="C1958" s="35"/>
      <c r="D1958" s="21"/>
      <c r="E1958" s="24"/>
      <c r="F1958" s="25">
        <f t="shared" si="1734"/>
        <v>0</v>
      </c>
      <c r="G1958" s="20"/>
      <c r="H1958" s="35"/>
      <c r="I1958" s="21"/>
      <c r="J1958" s="24"/>
      <c r="K1958" s="25">
        <f t="shared" si="1735"/>
        <v>0</v>
      </c>
      <c r="L1958" s="11">
        <f t="shared" si="1724"/>
        <v>0</v>
      </c>
      <c r="N1958" s="40"/>
      <c r="O1958" s="20"/>
      <c r="P1958" s="35"/>
      <c r="Q1958" s="21"/>
      <c r="R1958" s="38"/>
      <c r="S1958" s="9">
        <f t="shared" si="1736"/>
        <v>0</v>
      </c>
      <c r="T1958" s="20"/>
      <c r="U1958" s="35"/>
      <c r="V1958" s="21"/>
      <c r="W1958" s="38"/>
      <c r="X1958" s="9">
        <f t="shared" si="1737"/>
        <v>0</v>
      </c>
      <c r="Y1958" s="11">
        <f t="shared" si="1738"/>
        <v>0</v>
      </c>
    </row>
    <row r="1959" spans="1:25" x14ac:dyDescent="0.15">
      <c r="A1959" s="59"/>
      <c r="B1959" s="20"/>
      <c r="C1959" s="35"/>
      <c r="D1959" s="21"/>
      <c r="E1959" s="24"/>
      <c r="F1959" s="25">
        <f t="shared" si="1734"/>
        <v>0</v>
      </c>
      <c r="G1959" s="20"/>
      <c r="H1959" s="35"/>
      <c r="I1959" s="21"/>
      <c r="J1959" s="24"/>
      <c r="K1959" s="25">
        <f t="shared" si="1735"/>
        <v>0</v>
      </c>
      <c r="L1959" s="11">
        <f t="shared" si="1724"/>
        <v>0</v>
      </c>
      <c r="N1959" s="40"/>
      <c r="O1959" s="20"/>
      <c r="P1959" s="35"/>
      <c r="Q1959" s="21"/>
      <c r="R1959" s="38"/>
      <c r="S1959" s="9">
        <f t="shared" si="1736"/>
        <v>0</v>
      </c>
      <c r="T1959" s="20"/>
      <c r="U1959" s="35"/>
      <c r="V1959" s="21"/>
      <c r="W1959" s="38"/>
      <c r="X1959" s="9">
        <f t="shared" si="1737"/>
        <v>0</v>
      </c>
      <c r="Y1959" s="11">
        <f t="shared" si="1738"/>
        <v>0</v>
      </c>
    </row>
    <row r="1960" spans="1:25" x14ac:dyDescent="0.15">
      <c r="A1960" s="59"/>
      <c r="B1960" s="20"/>
      <c r="C1960" s="35"/>
      <c r="D1960" s="21"/>
      <c r="E1960" s="24"/>
      <c r="F1960" s="25">
        <f t="shared" si="1734"/>
        <v>0</v>
      </c>
      <c r="G1960" s="20"/>
      <c r="H1960" s="35"/>
      <c r="I1960" s="21"/>
      <c r="J1960" s="24"/>
      <c r="K1960" s="25">
        <f t="shared" si="1735"/>
        <v>0</v>
      </c>
      <c r="L1960" s="11">
        <f t="shared" si="1724"/>
        <v>0</v>
      </c>
      <c r="N1960" s="40"/>
      <c r="O1960" s="20"/>
      <c r="P1960" s="35"/>
      <c r="Q1960" s="21"/>
      <c r="R1960" s="38"/>
      <c r="S1960" s="9">
        <f t="shared" si="1736"/>
        <v>0</v>
      </c>
      <c r="T1960" s="20"/>
      <c r="U1960" s="35"/>
      <c r="V1960" s="21"/>
      <c r="W1960" s="38"/>
      <c r="X1960" s="9">
        <f t="shared" si="1737"/>
        <v>0</v>
      </c>
      <c r="Y1960" s="11">
        <f t="shared" si="1738"/>
        <v>0</v>
      </c>
    </row>
    <row r="1961" spans="1:25" x14ac:dyDescent="0.15">
      <c r="A1961" s="59"/>
      <c r="B1961" s="20"/>
      <c r="C1961" s="35"/>
      <c r="D1961" s="21"/>
      <c r="E1961" s="24"/>
      <c r="F1961" s="25">
        <f t="shared" si="1734"/>
        <v>0</v>
      </c>
      <c r="G1961" s="20"/>
      <c r="H1961" s="35"/>
      <c r="I1961" s="21"/>
      <c r="J1961" s="24"/>
      <c r="K1961" s="25">
        <f t="shared" si="1735"/>
        <v>0</v>
      </c>
      <c r="L1961" s="11">
        <f t="shared" si="1724"/>
        <v>0</v>
      </c>
      <c r="N1961" s="12"/>
      <c r="O1961" s="20"/>
      <c r="P1961" s="35"/>
      <c r="Q1961" s="21"/>
      <c r="R1961" s="38"/>
      <c r="S1961" s="9">
        <f>SUM(O1961:R1961)</f>
        <v>0</v>
      </c>
      <c r="T1961" s="20"/>
      <c r="U1961" s="35"/>
      <c r="V1961" s="21"/>
      <c r="W1961" s="38"/>
      <c r="X1961" s="9">
        <f>SUM(T1961:W1961)</f>
        <v>0</v>
      </c>
      <c r="Y1961" s="11">
        <f t="shared" si="1738"/>
        <v>0</v>
      </c>
    </row>
    <row r="1962" spans="1:25" x14ac:dyDescent="0.15">
      <c r="A1962" s="59"/>
      <c r="B1962" s="20"/>
      <c r="C1962" s="35"/>
      <c r="D1962" s="21"/>
      <c r="E1962" s="24"/>
      <c r="F1962" s="25">
        <f t="shared" si="1734"/>
        <v>0</v>
      </c>
      <c r="G1962" s="20"/>
      <c r="H1962" s="35"/>
      <c r="I1962" s="21"/>
      <c r="J1962" s="24"/>
      <c r="K1962" s="25">
        <f t="shared" si="1735"/>
        <v>0</v>
      </c>
      <c r="L1962" s="11">
        <f t="shared" si="1724"/>
        <v>0</v>
      </c>
      <c r="N1962" s="40"/>
      <c r="O1962" s="20"/>
      <c r="P1962" s="35"/>
      <c r="Q1962" s="21"/>
      <c r="R1962" s="38"/>
      <c r="S1962" s="9">
        <f t="shared" ref="S1962:S1972" si="1739">SUM(O1962:R1962)</f>
        <v>0</v>
      </c>
      <c r="T1962" s="20"/>
      <c r="U1962" s="35"/>
      <c r="V1962" s="21"/>
      <c r="W1962" s="38"/>
      <c r="X1962" s="9">
        <f t="shared" ref="X1962:X1972" si="1740">SUM(T1962:W1962)</f>
        <v>0</v>
      </c>
      <c r="Y1962" s="11">
        <f t="shared" si="1738"/>
        <v>0</v>
      </c>
    </row>
    <row r="1963" spans="1:25" x14ac:dyDescent="0.15">
      <c r="A1963" s="59"/>
      <c r="B1963" s="20"/>
      <c r="C1963" s="35"/>
      <c r="D1963" s="21"/>
      <c r="E1963" s="24"/>
      <c r="F1963" s="25">
        <f t="shared" si="1734"/>
        <v>0</v>
      </c>
      <c r="G1963" s="20"/>
      <c r="H1963" s="35"/>
      <c r="I1963" s="21"/>
      <c r="J1963" s="24"/>
      <c r="K1963" s="25">
        <f t="shared" si="1735"/>
        <v>0</v>
      </c>
      <c r="L1963" s="11">
        <f t="shared" si="1724"/>
        <v>0</v>
      </c>
      <c r="N1963" s="12"/>
      <c r="O1963" s="20"/>
      <c r="P1963" s="35"/>
      <c r="Q1963" s="21"/>
      <c r="R1963" s="38"/>
      <c r="S1963" s="9">
        <f t="shared" si="1739"/>
        <v>0</v>
      </c>
      <c r="T1963" s="20"/>
      <c r="U1963" s="35"/>
      <c r="V1963" s="21"/>
      <c r="W1963" s="38"/>
      <c r="X1963" s="9">
        <f t="shared" si="1740"/>
        <v>0</v>
      </c>
      <c r="Y1963" s="11">
        <f t="shared" si="1738"/>
        <v>0</v>
      </c>
    </row>
    <row r="1964" spans="1:25" x14ac:dyDescent="0.15">
      <c r="A1964" s="59"/>
      <c r="B1964" s="20"/>
      <c r="C1964" s="35"/>
      <c r="D1964" s="21"/>
      <c r="E1964" s="24"/>
      <c r="F1964" s="25">
        <f t="shared" si="1734"/>
        <v>0</v>
      </c>
      <c r="G1964" s="20"/>
      <c r="H1964" s="35"/>
      <c r="I1964" s="21"/>
      <c r="J1964" s="24"/>
      <c r="K1964" s="25">
        <f t="shared" si="1735"/>
        <v>0</v>
      </c>
      <c r="L1964" s="11">
        <f t="shared" si="1724"/>
        <v>0</v>
      </c>
      <c r="N1964" s="12"/>
      <c r="O1964" s="20"/>
      <c r="P1964" s="35"/>
      <c r="Q1964" s="21"/>
      <c r="R1964" s="38"/>
      <c r="S1964" s="9">
        <f t="shared" si="1739"/>
        <v>0</v>
      </c>
      <c r="T1964" s="20"/>
      <c r="U1964" s="35"/>
      <c r="V1964" s="21"/>
      <c r="W1964" s="38"/>
      <c r="X1964" s="9">
        <f t="shared" si="1740"/>
        <v>0</v>
      </c>
      <c r="Y1964" s="11">
        <f t="shared" si="1738"/>
        <v>0</v>
      </c>
    </row>
    <row r="1965" spans="1:25" x14ac:dyDescent="0.15">
      <c r="A1965" s="59"/>
      <c r="B1965" s="20"/>
      <c r="C1965" s="35"/>
      <c r="D1965" s="21"/>
      <c r="E1965" s="24"/>
      <c r="F1965" s="25">
        <f t="shared" si="1734"/>
        <v>0</v>
      </c>
      <c r="G1965" s="20"/>
      <c r="H1965" s="35"/>
      <c r="I1965" s="21"/>
      <c r="J1965" s="24"/>
      <c r="K1965" s="25">
        <f t="shared" si="1735"/>
        <v>0</v>
      </c>
      <c r="L1965" s="11">
        <f t="shared" si="1724"/>
        <v>0</v>
      </c>
      <c r="N1965" s="12"/>
      <c r="O1965" s="20"/>
      <c r="P1965" s="35"/>
      <c r="Q1965" s="21"/>
      <c r="R1965" s="38"/>
      <c r="S1965" s="9">
        <f t="shared" si="1739"/>
        <v>0</v>
      </c>
      <c r="T1965" s="20"/>
      <c r="U1965" s="35"/>
      <c r="V1965" s="21"/>
      <c r="W1965" s="38"/>
      <c r="X1965" s="9">
        <f t="shared" si="1740"/>
        <v>0</v>
      </c>
      <c r="Y1965" s="11">
        <f t="shared" si="1738"/>
        <v>0</v>
      </c>
    </row>
    <row r="1966" spans="1:25" x14ac:dyDescent="0.15">
      <c r="A1966" s="59"/>
      <c r="B1966" s="20"/>
      <c r="C1966" s="35"/>
      <c r="D1966" s="21"/>
      <c r="E1966" s="24"/>
      <c r="F1966" s="25">
        <f t="shared" si="1734"/>
        <v>0</v>
      </c>
      <c r="G1966" s="20"/>
      <c r="H1966" s="35"/>
      <c r="I1966" s="21"/>
      <c r="J1966" s="24"/>
      <c r="K1966" s="25">
        <f t="shared" si="1735"/>
        <v>0</v>
      </c>
      <c r="L1966" s="11">
        <f t="shared" si="1724"/>
        <v>0</v>
      </c>
      <c r="N1966" s="12"/>
      <c r="O1966" s="20"/>
      <c r="P1966" s="35"/>
      <c r="Q1966" s="21"/>
      <c r="R1966" s="38"/>
      <c r="S1966" s="9">
        <f t="shared" si="1739"/>
        <v>0</v>
      </c>
      <c r="T1966" s="20"/>
      <c r="U1966" s="35"/>
      <c r="V1966" s="21"/>
      <c r="W1966" s="38"/>
      <c r="X1966" s="9">
        <f t="shared" si="1740"/>
        <v>0</v>
      </c>
      <c r="Y1966" s="11">
        <f t="shared" si="1738"/>
        <v>0</v>
      </c>
    </row>
    <row r="1967" spans="1:25" x14ac:dyDescent="0.15">
      <c r="A1967" s="59"/>
      <c r="B1967" s="20"/>
      <c r="C1967" s="35"/>
      <c r="D1967" s="21"/>
      <c r="E1967" s="24"/>
      <c r="F1967" s="25">
        <f t="shared" si="1734"/>
        <v>0</v>
      </c>
      <c r="G1967" s="20"/>
      <c r="H1967" s="35"/>
      <c r="I1967" s="21"/>
      <c r="J1967" s="24"/>
      <c r="K1967" s="25">
        <f t="shared" si="1735"/>
        <v>0</v>
      </c>
      <c r="L1967" s="11">
        <f t="shared" si="1724"/>
        <v>0</v>
      </c>
      <c r="N1967" s="12"/>
      <c r="O1967" s="20"/>
      <c r="P1967" s="35"/>
      <c r="Q1967" s="21"/>
      <c r="R1967" s="38"/>
      <c r="S1967" s="9">
        <f t="shared" si="1739"/>
        <v>0</v>
      </c>
      <c r="T1967" s="20"/>
      <c r="U1967" s="35"/>
      <c r="V1967" s="21"/>
      <c r="W1967" s="38"/>
      <c r="X1967" s="9">
        <f t="shared" si="1740"/>
        <v>0</v>
      </c>
      <c r="Y1967" s="11">
        <f t="shared" si="1738"/>
        <v>0</v>
      </c>
    </row>
    <row r="1968" spans="1:25" x14ac:dyDescent="0.15">
      <c r="A1968" s="59"/>
      <c r="B1968" s="20"/>
      <c r="C1968" s="35"/>
      <c r="D1968" s="21"/>
      <c r="E1968" s="24"/>
      <c r="F1968" s="25">
        <f t="shared" si="1734"/>
        <v>0</v>
      </c>
      <c r="G1968" s="20"/>
      <c r="H1968" s="35"/>
      <c r="I1968" s="21"/>
      <c r="J1968" s="24"/>
      <c r="K1968" s="25">
        <f t="shared" si="1735"/>
        <v>0</v>
      </c>
      <c r="L1968" s="11">
        <f t="shared" si="1724"/>
        <v>0</v>
      </c>
      <c r="N1968" s="12"/>
      <c r="O1968" s="20"/>
      <c r="P1968" s="35"/>
      <c r="Q1968" s="21"/>
      <c r="R1968" s="38"/>
      <c r="S1968" s="9">
        <f t="shared" si="1739"/>
        <v>0</v>
      </c>
      <c r="T1968" s="20"/>
      <c r="U1968" s="35"/>
      <c r="V1968" s="21"/>
      <c r="W1968" s="38"/>
      <c r="X1968" s="9">
        <f t="shared" si="1740"/>
        <v>0</v>
      </c>
      <c r="Y1968" s="11">
        <f t="shared" si="1738"/>
        <v>0</v>
      </c>
    </row>
    <row r="1969" spans="1:26" x14ac:dyDescent="0.15">
      <c r="A1969" s="59"/>
      <c r="B1969" s="20"/>
      <c r="C1969" s="35"/>
      <c r="D1969" s="21"/>
      <c r="E1969" s="24"/>
      <c r="F1969" s="25">
        <f t="shared" si="1734"/>
        <v>0</v>
      </c>
      <c r="G1969" s="20"/>
      <c r="H1969" s="35"/>
      <c r="I1969" s="21"/>
      <c r="J1969" s="24"/>
      <c r="K1969" s="25">
        <f t="shared" si="1735"/>
        <v>0</v>
      </c>
      <c r="L1969" s="11">
        <f t="shared" si="1724"/>
        <v>0</v>
      </c>
      <c r="N1969" s="166" t="s">
        <v>986</v>
      </c>
      <c r="O1969" s="204">
        <v>-50</v>
      </c>
      <c r="P1969" s="205">
        <v>-40</v>
      </c>
      <c r="Q1969" s="206">
        <v>-30</v>
      </c>
      <c r="R1969" s="207">
        <v>-30</v>
      </c>
      <c r="S1969" s="208">
        <f t="shared" si="1739"/>
        <v>-150</v>
      </c>
      <c r="T1969" s="204">
        <v>-50</v>
      </c>
      <c r="U1969" s="205">
        <v>-40</v>
      </c>
      <c r="V1969" s="206">
        <v>-30</v>
      </c>
      <c r="W1969" s="207">
        <v>-30</v>
      </c>
      <c r="X1969" s="208">
        <f t="shared" si="1740"/>
        <v>-150</v>
      </c>
      <c r="Y1969" s="228">
        <f t="shared" si="1738"/>
        <v>-300</v>
      </c>
      <c r="Z1969" s="165"/>
    </row>
    <row r="1970" spans="1:26" x14ac:dyDescent="0.15">
      <c r="A1970" s="59"/>
      <c r="B1970" s="20"/>
      <c r="C1970" s="35"/>
      <c r="D1970" s="21"/>
      <c r="E1970" s="24"/>
      <c r="F1970" s="25">
        <f t="shared" si="1734"/>
        <v>0</v>
      </c>
      <c r="G1970" s="20"/>
      <c r="H1970" s="35"/>
      <c r="I1970" s="21"/>
      <c r="J1970" s="24"/>
      <c r="K1970" s="25">
        <f t="shared" si="1735"/>
        <v>0</v>
      </c>
      <c r="L1970" s="11">
        <f t="shared" si="1724"/>
        <v>0</v>
      </c>
      <c r="N1970" s="186" t="s">
        <v>987</v>
      </c>
      <c r="O1970" s="199">
        <v>120</v>
      </c>
      <c r="P1970" s="200">
        <v>150</v>
      </c>
      <c r="Q1970" s="201">
        <v>100</v>
      </c>
      <c r="R1970" s="202">
        <v>80</v>
      </c>
      <c r="S1970" s="203">
        <f t="shared" si="1739"/>
        <v>450</v>
      </c>
      <c r="T1970" s="199">
        <v>120</v>
      </c>
      <c r="U1970" s="200">
        <v>150</v>
      </c>
      <c r="V1970" s="201">
        <v>100</v>
      </c>
      <c r="W1970" s="202">
        <v>80</v>
      </c>
      <c r="X1970" s="203">
        <f t="shared" si="1740"/>
        <v>450</v>
      </c>
      <c r="Y1970" s="241">
        <f t="shared" si="1738"/>
        <v>900</v>
      </c>
      <c r="Z1970" s="165" t="s">
        <v>988</v>
      </c>
    </row>
    <row r="1971" spans="1:26" x14ac:dyDescent="0.15">
      <c r="A1971" s="59"/>
      <c r="B1971" s="20"/>
      <c r="C1971" s="35"/>
      <c r="D1971" s="21"/>
      <c r="E1971" s="24"/>
      <c r="F1971" s="25">
        <f t="shared" si="1734"/>
        <v>0</v>
      </c>
      <c r="G1971" s="20"/>
      <c r="H1971" s="35"/>
      <c r="I1971" s="21"/>
      <c r="J1971" s="24"/>
      <c r="K1971" s="25">
        <f t="shared" si="1735"/>
        <v>0</v>
      </c>
      <c r="L1971" s="11">
        <f t="shared" si="1724"/>
        <v>0</v>
      </c>
      <c r="N1971" s="187" t="s">
        <v>979</v>
      </c>
      <c r="O1971" s="236">
        <v>-30</v>
      </c>
      <c r="P1971" s="237">
        <v>-50</v>
      </c>
      <c r="Q1971" s="238">
        <v>-30</v>
      </c>
      <c r="R1971" s="240">
        <v>-20</v>
      </c>
      <c r="S1971" s="239">
        <f t="shared" si="1739"/>
        <v>-130</v>
      </c>
      <c r="T1971" s="236">
        <v>-30</v>
      </c>
      <c r="U1971" s="237">
        <v>-50</v>
      </c>
      <c r="V1971" s="238">
        <v>-30</v>
      </c>
      <c r="W1971" s="240">
        <v>-20</v>
      </c>
      <c r="X1971" s="239">
        <f t="shared" si="1740"/>
        <v>-130</v>
      </c>
      <c r="Y1971" s="173">
        <f t="shared" si="1738"/>
        <v>-260</v>
      </c>
      <c r="Z1971" s="165"/>
    </row>
    <row r="1972" spans="1:26" ht="14.25" thickBot="1" x14ac:dyDescent="0.2">
      <c r="A1972" s="15"/>
      <c r="B1972" s="43"/>
      <c r="C1972" s="44"/>
      <c r="D1972" s="45"/>
      <c r="E1972" s="46"/>
      <c r="F1972" s="25">
        <f t="shared" si="1734"/>
        <v>0</v>
      </c>
      <c r="G1972" s="43"/>
      <c r="H1972" s="44"/>
      <c r="I1972" s="45"/>
      <c r="J1972" s="46"/>
      <c r="K1972" s="25">
        <f t="shared" si="1735"/>
        <v>0</v>
      </c>
      <c r="L1972" s="14">
        <f t="shared" si="1724"/>
        <v>0</v>
      </c>
      <c r="N1972" s="229" t="s">
        <v>978</v>
      </c>
      <c r="O1972" s="88">
        <v>227</v>
      </c>
      <c r="P1972" s="89">
        <v>250</v>
      </c>
      <c r="Q1972" s="90">
        <v>155</v>
      </c>
      <c r="R1972" s="103">
        <v>133</v>
      </c>
      <c r="S1972" s="91">
        <f t="shared" si="1739"/>
        <v>765</v>
      </c>
      <c r="T1972" s="88">
        <v>227</v>
      </c>
      <c r="U1972" s="89">
        <v>298</v>
      </c>
      <c r="V1972" s="90">
        <v>155</v>
      </c>
      <c r="W1972" s="103">
        <v>133</v>
      </c>
      <c r="X1972" s="91">
        <f t="shared" si="1740"/>
        <v>813</v>
      </c>
      <c r="Y1972" s="92">
        <f t="shared" si="1738"/>
        <v>1578</v>
      </c>
      <c r="Z1972" s="165" t="s">
        <v>980</v>
      </c>
    </row>
    <row r="1973" spans="1:26" ht="14.25" thickBot="1" x14ac:dyDescent="0.2">
      <c r="A1973" s="16" t="s">
        <v>9</v>
      </c>
      <c r="B1973" s="28">
        <f>SUM(B1948:B1972)</f>
        <v>0</v>
      </c>
      <c r="C1973" s="36">
        <f>SUM(C1948:C1972)</f>
        <v>0</v>
      </c>
      <c r="D1973" s="29">
        <f>SUM(D1948:D1972)</f>
        <v>0</v>
      </c>
      <c r="E1973" s="30">
        <f>SUM(E1948:E1972)</f>
        <v>0</v>
      </c>
      <c r="F1973" s="26">
        <f>SUM(B1973:E1973)</f>
        <v>0</v>
      </c>
      <c r="G1973" s="28">
        <f>SUM(G1948:G1972)</f>
        <v>0</v>
      </c>
      <c r="H1973" s="36">
        <f>SUM(H1948:H1972)</f>
        <v>0</v>
      </c>
      <c r="I1973" s="29">
        <f>SUM(I1948:I1972)</f>
        <v>0</v>
      </c>
      <c r="J1973" s="30">
        <f>SUM(J1948:J1972)</f>
        <v>0</v>
      </c>
      <c r="K1973" s="26">
        <f>SUM(G1973:J1973)</f>
        <v>0</v>
      </c>
      <c r="L1973" s="27">
        <f t="shared" si="1724"/>
        <v>0</v>
      </c>
      <c r="N1973" s="61" t="s">
        <v>9</v>
      </c>
      <c r="O1973" s="28">
        <f>SUM(O1948:O1972)</f>
        <v>267</v>
      </c>
      <c r="P1973" s="36">
        <f t="shared" ref="P1973:R1973" si="1741">SUM(P1948:P1972)</f>
        <v>310</v>
      </c>
      <c r="Q1973" s="29">
        <f t="shared" si="1741"/>
        <v>195</v>
      </c>
      <c r="R1973" s="30">
        <f t="shared" si="1741"/>
        <v>163</v>
      </c>
      <c r="S1973" s="60">
        <f>SUM(O1973:R1973)</f>
        <v>935</v>
      </c>
      <c r="T1973" s="28">
        <f>SUM(T1948:T1972)</f>
        <v>267</v>
      </c>
      <c r="U1973" s="36">
        <f t="shared" ref="U1973:W1973" si="1742">SUM(U1948:U1972)</f>
        <v>358</v>
      </c>
      <c r="V1973" s="29">
        <f t="shared" si="1742"/>
        <v>195</v>
      </c>
      <c r="W1973" s="30">
        <f t="shared" si="1742"/>
        <v>163</v>
      </c>
      <c r="X1973" s="60">
        <f>SUM(T1973:W1973)</f>
        <v>983</v>
      </c>
      <c r="Y1973" s="63">
        <f>S1973+X1973</f>
        <v>1918</v>
      </c>
    </row>
    <row r="1974" spans="1:26" ht="14.25" thickBot="1" x14ac:dyDescent="0.2">
      <c r="A1974" s="18" t="s">
        <v>10</v>
      </c>
      <c r="B1974" s="31">
        <f t="shared" ref="B1974:K1974" si="1743">B1947-B1973</f>
        <v>31</v>
      </c>
      <c r="C1974" s="37">
        <f t="shared" si="1743"/>
        <v>31</v>
      </c>
      <c r="D1974" s="32">
        <f t="shared" si="1743"/>
        <v>31</v>
      </c>
      <c r="E1974" s="33">
        <f t="shared" si="1743"/>
        <v>31</v>
      </c>
      <c r="F1974" s="42">
        <f t="shared" si="1743"/>
        <v>124</v>
      </c>
      <c r="G1974" s="31">
        <f t="shared" si="1743"/>
        <v>29</v>
      </c>
      <c r="H1974" s="37">
        <f t="shared" si="1743"/>
        <v>31</v>
      </c>
      <c r="I1974" s="32">
        <f t="shared" si="1743"/>
        <v>28</v>
      </c>
      <c r="J1974" s="33">
        <f t="shared" si="1743"/>
        <v>32</v>
      </c>
      <c r="K1974" s="42">
        <f t="shared" si="1743"/>
        <v>120</v>
      </c>
      <c r="L1974" s="17">
        <f t="shared" si="1724"/>
        <v>244</v>
      </c>
      <c r="N1974" s="16" t="s">
        <v>10</v>
      </c>
      <c r="O1974" s="31">
        <f>O1947-O1973</f>
        <v>43</v>
      </c>
      <c r="P1974" s="37">
        <f t="shared" ref="P1974:R1974" si="1744">P1947-P1973</f>
        <v>157</v>
      </c>
      <c r="Q1974" s="32">
        <f t="shared" si="1744"/>
        <v>133</v>
      </c>
      <c r="R1974" s="33">
        <f t="shared" si="1744"/>
        <v>87</v>
      </c>
      <c r="S1974" s="42">
        <f>S1947-S1973</f>
        <v>420</v>
      </c>
      <c r="T1974" s="31">
        <f>T1947-T1973</f>
        <v>21</v>
      </c>
      <c r="U1974" s="37">
        <f t="shared" ref="U1974:W1974" si="1745">U1947-U1973</f>
        <v>112</v>
      </c>
      <c r="V1974" s="32">
        <f t="shared" si="1745"/>
        <v>127</v>
      </c>
      <c r="W1974" s="33">
        <f t="shared" si="1745"/>
        <v>107</v>
      </c>
      <c r="X1974" s="42">
        <f>X1947-X1973</f>
        <v>367</v>
      </c>
      <c r="Y1974" s="17">
        <f>S1974+X1974</f>
        <v>787</v>
      </c>
    </row>
    <row r="1977" spans="1:26" ht="19.5" thickBot="1" x14ac:dyDescent="0.25">
      <c r="A1977" s="2" t="s">
        <v>17</v>
      </c>
      <c r="B1977" s="2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N1977" s="2" t="s">
        <v>18</v>
      </c>
      <c r="O1977" s="87"/>
      <c r="P1977" s="87"/>
      <c r="Q1977" s="87"/>
      <c r="R1977" s="87"/>
      <c r="S1977" s="87"/>
      <c r="T1977" s="87"/>
      <c r="U1977" s="87"/>
      <c r="V1977" s="87"/>
      <c r="W1977" s="87"/>
      <c r="X1977" s="87"/>
      <c r="Y1977" s="1"/>
    </row>
    <row r="1978" spans="1:26" ht="14.25" thickBot="1" x14ac:dyDescent="0.2">
      <c r="A1978" s="5" t="s">
        <v>0</v>
      </c>
      <c r="B1978" s="244" t="s">
        <v>19</v>
      </c>
      <c r="C1978" s="245"/>
      <c r="D1978" s="245"/>
      <c r="E1978" s="245"/>
      <c r="F1978" s="246"/>
      <c r="G1978" s="247" t="s">
        <v>20</v>
      </c>
      <c r="H1978" s="248"/>
      <c r="I1978" s="248"/>
      <c r="J1978" s="248"/>
      <c r="K1978" s="249"/>
      <c r="L1978" s="250" t="s">
        <v>1</v>
      </c>
      <c r="N1978" s="5" t="s">
        <v>0</v>
      </c>
      <c r="O1978" s="244" t="s">
        <v>19</v>
      </c>
      <c r="P1978" s="245"/>
      <c r="Q1978" s="245"/>
      <c r="R1978" s="245"/>
      <c r="S1978" s="246"/>
      <c r="T1978" s="247" t="s">
        <v>20</v>
      </c>
      <c r="U1978" s="248"/>
      <c r="V1978" s="248"/>
      <c r="W1978" s="248"/>
      <c r="X1978" s="249"/>
      <c r="Y1978" s="250" t="s">
        <v>1</v>
      </c>
    </row>
    <row r="1979" spans="1:26" ht="14.25" thickBot="1" x14ac:dyDescent="0.2">
      <c r="A1979" s="5" t="s">
        <v>2</v>
      </c>
      <c r="B1979" s="3" t="s">
        <v>11</v>
      </c>
      <c r="C1979" s="34" t="s">
        <v>12</v>
      </c>
      <c r="D1979" s="4" t="s">
        <v>13</v>
      </c>
      <c r="E1979" s="19" t="s">
        <v>14</v>
      </c>
      <c r="F1979" s="23" t="s">
        <v>3</v>
      </c>
      <c r="G1979" s="3" t="s">
        <v>11</v>
      </c>
      <c r="H1979" s="34" t="s">
        <v>12</v>
      </c>
      <c r="I1979" s="4" t="s">
        <v>13</v>
      </c>
      <c r="J1979" s="19" t="s">
        <v>14</v>
      </c>
      <c r="K1979" s="23" t="s">
        <v>3</v>
      </c>
      <c r="L1979" s="251"/>
      <c r="N1979" s="5" t="s">
        <v>2</v>
      </c>
      <c r="O1979" s="53" t="s">
        <v>11</v>
      </c>
      <c r="P1979" s="54" t="s">
        <v>12</v>
      </c>
      <c r="Q1979" s="55" t="s">
        <v>13</v>
      </c>
      <c r="R1979" s="56" t="s">
        <v>14</v>
      </c>
      <c r="S1979" s="23" t="s">
        <v>3</v>
      </c>
      <c r="T1979" s="3" t="s">
        <v>11</v>
      </c>
      <c r="U1979" s="34" t="s">
        <v>12</v>
      </c>
      <c r="V1979" s="4" t="s">
        <v>13</v>
      </c>
      <c r="W1979" s="19" t="s">
        <v>14</v>
      </c>
      <c r="X1979" s="23" t="s">
        <v>3</v>
      </c>
      <c r="Y1979" s="251"/>
    </row>
    <row r="1980" spans="1:26" ht="14.25" thickBot="1" x14ac:dyDescent="0.2">
      <c r="A1980" s="18" t="s">
        <v>15</v>
      </c>
      <c r="B1980" s="31">
        <f>B1974</f>
        <v>31</v>
      </c>
      <c r="C1980" s="32">
        <f>C1974</f>
        <v>31</v>
      </c>
      <c r="D1980" s="32">
        <f>D1974</f>
        <v>31</v>
      </c>
      <c r="E1980" s="33">
        <f>E1974</f>
        <v>31</v>
      </c>
      <c r="F1980" s="86">
        <f>SUM(B1980:E1980)</f>
        <v>124</v>
      </c>
      <c r="G1980" s="31">
        <f>G1974</f>
        <v>29</v>
      </c>
      <c r="H1980" s="32">
        <f>H1974</f>
        <v>31</v>
      </c>
      <c r="I1980" s="32">
        <f>I1974</f>
        <v>28</v>
      </c>
      <c r="J1980" s="33">
        <f>J1974</f>
        <v>32</v>
      </c>
      <c r="K1980" s="80">
        <f>SUM(G1980:J1980)</f>
        <v>120</v>
      </c>
      <c r="L1980" s="17">
        <f>F1980+K1980</f>
        <v>244</v>
      </c>
      <c r="N1980" s="18" t="s">
        <v>15</v>
      </c>
      <c r="O1980" s="31">
        <f>O1974</f>
        <v>43</v>
      </c>
      <c r="P1980" s="32">
        <f t="shared" ref="P1980:Y1980" si="1746">P1974</f>
        <v>157</v>
      </c>
      <c r="Q1980" s="32">
        <f t="shared" si="1746"/>
        <v>133</v>
      </c>
      <c r="R1980" s="33">
        <f t="shared" si="1746"/>
        <v>87</v>
      </c>
      <c r="S1980" s="86">
        <f t="shared" si="1746"/>
        <v>420</v>
      </c>
      <c r="T1980" s="31">
        <f t="shared" si="1746"/>
        <v>21</v>
      </c>
      <c r="U1980" s="32">
        <f t="shared" si="1746"/>
        <v>112</v>
      </c>
      <c r="V1980" s="32">
        <f t="shared" si="1746"/>
        <v>127</v>
      </c>
      <c r="W1980" s="33">
        <f t="shared" si="1746"/>
        <v>107</v>
      </c>
      <c r="X1980" s="80">
        <f t="shared" si="1746"/>
        <v>367</v>
      </c>
      <c r="Y1980" s="17">
        <f t="shared" si="1746"/>
        <v>787</v>
      </c>
    </row>
    <row r="1981" spans="1:26" x14ac:dyDescent="0.15">
      <c r="A1981" s="13" t="s">
        <v>4</v>
      </c>
      <c r="B1981" s="20"/>
      <c r="C1981" s="35"/>
      <c r="D1981" s="21"/>
      <c r="E1981" s="24"/>
      <c r="F1981" s="25">
        <f t="shared" ref="F1981:F1984" si="1747">SUM(B1981:E1981)</f>
        <v>0</v>
      </c>
      <c r="G1981" s="20"/>
      <c r="H1981" s="35"/>
      <c r="I1981" s="21"/>
      <c r="J1981" s="24"/>
      <c r="K1981" s="25">
        <f t="shared" ref="K1981:K1984" si="1748">SUM(G1981:J1981)</f>
        <v>0</v>
      </c>
      <c r="L1981" s="11">
        <f t="shared" ref="L1981:L2012" si="1749">F1981+K1981</f>
        <v>0</v>
      </c>
      <c r="N1981" s="59" t="s">
        <v>16</v>
      </c>
      <c r="O1981" s="48"/>
      <c r="P1981" s="49"/>
      <c r="Q1981" s="50"/>
      <c r="R1981" s="51"/>
      <c r="S1981" s="85">
        <f t="shared" ref="S1981:S1983" si="1750">SUM(O1981:R1981)</f>
        <v>0</v>
      </c>
      <c r="T1981" s="48"/>
      <c r="U1981" s="49"/>
      <c r="V1981" s="50"/>
      <c r="W1981" s="51"/>
      <c r="X1981" s="74">
        <f t="shared" ref="X1981:X1983" si="1751">SUM(T1981:W1981)</f>
        <v>0</v>
      </c>
      <c r="Y1981" s="11">
        <f t="shared" ref="Y1981:Y1984" si="1752">S1981+X1981</f>
        <v>0</v>
      </c>
    </row>
    <row r="1982" spans="1:26" x14ac:dyDescent="0.15">
      <c r="A1982" s="13" t="s">
        <v>5</v>
      </c>
      <c r="B1982" s="20"/>
      <c r="C1982" s="35"/>
      <c r="D1982" s="21"/>
      <c r="E1982" s="24"/>
      <c r="F1982" s="25">
        <f t="shared" si="1747"/>
        <v>0</v>
      </c>
      <c r="G1982" s="20"/>
      <c r="H1982" s="35"/>
      <c r="I1982" s="21"/>
      <c r="J1982" s="24"/>
      <c r="K1982" s="25">
        <f t="shared" si="1748"/>
        <v>0</v>
      </c>
      <c r="L1982" s="11">
        <f t="shared" si="1749"/>
        <v>0</v>
      </c>
      <c r="N1982" s="183" t="s">
        <v>982</v>
      </c>
      <c r="O1982" s="176">
        <v>430</v>
      </c>
      <c r="P1982" s="177">
        <v>570</v>
      </c>
      <c r="Q1982" s="178">
        <v>270</v>
      </c>
      <c r="R1982" s="184">
        <v>230</v>
      </c>
      <c r="S1982" s="185">
        <f t="shared" si="1750"/>
        <v>1500</v>
      </c>
      <c r="T1982" s="176">
        <v>450</v>
      </c>
      <c r="U1982" s="177">
        <v>650</v>
      </c>
      <c r="V1982" s="178">
        <v>350</v>
      </c>
      <c r="W1982" s="184">
        <v>250</v>
      </c>
      <c r="X1982" s="179">
        <f t="shared" si="1751"/>
        <v>1700</v>
      </c>
      <c r="Y1982" s="175">
        <f t="shared" si="1752"/>
        <v>3200</v>
      </c>
      <c r="Z1982" s="220">
        <v>46266</v>
      </c>
    </row>
    <row r="1983" spans="1:26" x14ac:dyDescent="0.15">
      <c r="A1983" s="13" t="s">
        <v>6</v>
      </c>
      <c r="B1983" s="20"/>
      <c r="C1983" s="35"/>
      <c r="D1983" s="21"/>
      <c r="E1983" s="24"/>
      <c r="F1983" s="25">
        <f t="shared" si="1747"/>
        <v>0</v>
      </c>
      <c r="G1983" s="20"/>
      <c r="H1983" s="35"/>
      <c r="I1983" s="21"/>
      <c r="J1983" s="24"/>
      <c r="K1983" s="25">
        <f t="shared" si="1748"/>
        <v>0</v>
      </c>
      <c r="L1983" s="11">
        <f t="shared" si="1749"/>
        <v>0</v>
      </c>
      <c r="N1983" s="59" t="s">
        <v>5</v>
      </c>
      <c r="O1983" s="48"/>
      <c r="P1983" s="49"/>
      <c r="Q1983" s="50"/>
      <c r="R1983" s="51"/>
      <c r="S1983" s="85">
        <f t="shared" si="1750"/>
        <v>0</v>
      </c>
      <c r="T1983" s="48"/>
      <c r="U1983" s="49"/>
      <c r="V1983" s="50"/>
      <c r="W1983" s="51"/>
      <c r="X1983" s="74">
        <f t="shared" si="1751"/>
        <v>0</v>
      </c>
      <c r="Y1983" s="11">
        <f t="shared" si="1752"/>
        <v>0</v>
      </c>
    </row>
    <row r="1984" spans="1:26" ht="14.25" thickBot="1" x14ac:dyDescent="0.2">
      <c r="A1984" s="13" t="s">
        <v>7</v>
      </c>
      <c r="B1984" s="48"/>
      <c r="C1984" s="49"/>
      <c r="D1984" s="50"/>
      <c r="E1984" s="51"/>
      <c r="F1984" s="52">
        <f t="shared" si="1747"/>
        <v>0</v>
      </c>
      <c r="G1984" s="48"/>
      <c r="H1984" s="49"/>
      <c r="I1984" s="50"/>
      <c r="J1984" s="51"/>
      <c r="K1984" s="52">
        <f t="shared" si="1748"/>
        <v>0</v>
      </c>
      <c r="L1984" s="11">
        <f t="shared" si="1749"/>
        <v>0</v>
      </c>
      <c r="N1984" s="13" t="s">
        <v>6</v>
      </c>
      <c r="O1984" s="43"/>
      <c r="P1984" s="44"/>
      <c r="Q1984" s="45"/>
      <c r="R1984" s="46"/>
      <c r="S1984" s="58">
        <f>SUM(O1984:R1984)</f>
        <v>0</v>
      </c>
      <c r="T1984" s="35"/>
      <c r="U1984" s="35"/>
      <c r="V1984" s="21"/>
      <c r="W1984" s="38"/>
      <c r="X1984" s="10">
        <f>SUM(T1984:W1984)</f>
        <v>0</v>
      </c>
      <c r="Y1984" s="14">
        <f t="shared" si="1752"/>
        <v>0</v>
      </c>
    </row>
    <row r="1985" spans="1:25" ht="14.25" thickBot="1" x14ac:dyDescent="0.2">
      <c r="A1985" s="18" t="s">
        <v>8</v>
      </c>
      <c r="B1985" s="76">
        <f t="shared" ref="B1985:K1985" si="1753">SUM(B1980:B1984)</f>
        <v>31</v>
      </c>
      <c r="C1985" s="77">
        <f t="shared" si="1753"/>
        <v>31</v>
      </c>
      <c r="D1985" s="78">
        <f t="shared" si="1753"/>
        <v>31</v>
      </c>
      <c r="E1985" s="79">
        <f t="shared" si="1753"/>
        <v>31</v>
      </c>
      <c r="F1985" s="80">
        <f t="shared" si="1753"/>
        <v>124</v>
      </c>
      <c r="G1985" s="76">
        <f t="shared" si="1753"/>
        <v>29</v>
      </c>
      <c r="H1985" s="77">
        <f t="shared" si="1753"/>
        <v>31</v>
      </c>
      <c r="I1985" s="78">
        <f t="shared" si="1753"/>
        <v>28</v>
      </c>
      <c r="J1985" s="79">
        <f t="shared" si="1753"/>
        <v>32</v>
      </c>
      <c r="K1985" s="80">
        <f t="shared" si="1753"/>
        <v>120</v>
      </c>
      <c r="L1985" s="17">
        <f t="shared" si="1749"/>
        <v>244</v>
      </c>
      <c r="N1985" s="16" t="s">
        <v>8</v>
      </c>
      <c r="O1985" s="31">
        <f>SUM(O1980:O1984)</f>
        <v>473</v>
      </c>
      <c r="P1985" s="37">
        <f t="shared" ref="P1985:R1985" si="1754">SUM(P1980:P1984)</f>
        <v>727</v>
      </c>
      <c r="Q1985" s="32">
        <f t="shared" si="1754"/>
        <v>403</v>
      </c>
      <c r="R1985" s="82">
        <f t="shared" si="1754"/>
        <v>317</v>
      </c>
      <c r="S1985" s="83">
        <f>SUM(S1980:S1984)</f>
        <v>1920</v>
      </c>
      <c r="T1985" s="31">
        <f>SUM(T1980:T1984)</f>
        <v>471</v>
      </c>
      <c r="U1985" s="37">
        <f t="shared" ref="U1985:W1985" si="1755">SUM(U1980:U1984)</f>
        <v>762</v>
      </c>
      <c r="V1985" s="32">
        <f t="shared" si="1755"/>
        <v>477</v>
      </c>
      <c r="W1985" s="82">
        <f t="shared" si="1755"/>
        <v>357</v>
      </c>
      <c r="X1985" s="83">
        <f>SUM(X1980:X1984)</f>
        <v>2067</v>
      </c>
      <c r="Y1985" s="39">
        <f>S1985+X1985</f>
        <v>3987</v>
      </c>
    </row>
    <row r="1986" spans="1:25" x14ac:dyDescent="0.15">
      <c r="A1986" s="59"/>
      <c r="B1986" s="20"/>
      <c r="C1986" s="35"/>
      <c r="D1986" s="21"/>
      <c r="E1986" s="24"/>
      <c r="F1986" s="25">
        <f t="shared" ref="F1986:F2010" si="1756">SUM(B1986:E1986)</f>
        <v>0</v>
      </c>
      <c r="G1986" s="20"/>
      <c r="H1986" s="35"/>
      <c r="I1986" s="21"/>
      <c r="J1986" s="24"/>
      <c r="K1986" s="25">
        <f t="shared" ref="K1986:K2010" si="1757">SUM(G1986:J1986)</f>
        <v>0</v>
      </c>
      <c r="L1986" s="11">
        <f t="shared" si="1749"/>
        <v>0</v>
      </c>
      <c r="N1986" s="40"/>
      <c r="O1986" s="20"/>
      <c r="P1986" s="35"/>
      <c r="Q1986" s="21"/>
      <c r="R1986" s="38"/>
      <c r="S1986" s="9">
        <f t="shared" ref="S1986:S1998" si="1758">SUM(O1986:R1986)</f>
        <v>0</v>
      </c>
      <c r="T1986" s="20"/>
      <c r="U1986" s="35"/>
      <c r="V1986" s="21"/>
      <c r="W1986" s="38"/>
      <c r="X1986" s="9">
        <f t="shared" ref="X1986:X1998" si="1759">SUM(T1986:W1986)</f>
        <v>0</v>
      </c>
      <c r="Y1986" s="11">
        <f t="shared" ref="Y1986:Y2010" si="1760">S1986+X1986</f>
        <v>0</v>
      </c>
    </row>
    <row r="1987" spans="1:25" x14ac:dyDescent="0.15">
      <c r="A1987" s="59"/>
      <c r="B1987" s="20"/>
      <c r="C1987" s="35"/>
      <c r="D1987" s="21"/>
      <c r="E1987" s="24"/>
      <c r="F1987" s="25">
        <f t="shared" si="1756"/>
        <v>0</v>
      </c>
      <c r="G1987" s="20"/>
      <c r="H1987" s="35"/>
      <c r="I1987" s="21"/>
      <c r="J1987" s="24"/>
      <c r="K1987" s="25">
        <f t="shared" si="1757"/>
        <v>0</v>
      </c>
      <c r="L1987" s="11">
        <f t="shared" si="1749"/>
        <v>0</v>
      </c>
      <c r="N1987" s="40"/>
      <c r="O1987" s="20"/>
      <c r="P1987" s="35"/>
      <c r="Q1987" s="21"/>
      <c r="R1987" s="38"/>
      <c r="S1987" s="9">
        <f t="shared" si="1758"/>
        <v>0</v>
      </c>
      <c r="T1987" s="20"/>
      <c r="U1987" s="35"/>
      <c r="V1987" s="21"/>
      <c r="W1987" s="38"/>
      <c r="X1987" s="9">
        <f t="shared" si="1759"/>
        <v>0</v>
      </c>
      <c r="Y1987" s="11">
        <f t="shared" si="1760"/>
        <v>0</v>
      </c>
    </row>
    <row r="1988" spans="1:25" x14ac:dyDescent="0.15">
      <c r="A1988" s="59"/>
      <c r="B1988" s="20"/>
      <c r="C1988" s="35"/>
      <c r="D1988" s="21"/>
      <c r="E1988" s="24"/>
      <c r="F1988" s="25">
        <f t="shared" si="1756"/>
        <v>0</v>
      </c>
      <c r="G1988" s="20"/>
      <c r="H1988" s="35"/>
      <c r="I1988" s="21"/>
      <c r="J1988" s="24"/>
      <c r="K1988" s="25">
        <f t="shared" si="1757"/>
        <v>0</v>
      </c>
      <c r="L1988" s="11">
        <f t="shared" si="1749"/>
        <v>0</v>
      </c>
      <c r="N1988" s="40"/>
      <c r="O1988" s="20"/>
      <c r="P1988" s="35"/>
      <c r="Q1988" s="21"/>
      <c r="R1988" s="38"/>
      <c r="S1988" s="9">
        <f t="shared" si="1758"/>
        <v>0</v>
      </c>
      <c r="T1988" s="20"/>
      <c r="U1988" s="35"/>
      <c r="V1988" s="21"/>
      <c r="W1988" s="38"/>
      <c r="X1988" s="9">
        <f t="shared" si="1759"/>
        <v>0</v>
      </c>
      <c r="Y1988" s="11">
        <f t="shared" si="1760"/>
        <v>0</v>
      </c>
    </row>
    <row r="1989" spans="1:25" x14ac:dyDescent="0.15">
      <c r="A1989" s="59"/>
      <c r="B1989" s="20"/>
      <c r="C1989" s="35"/>
      <c r="D1989" s="21"/>
      <c r="E1989" s="24"/>
      <c r="F1989" s="25">
        <f t="shared" si="1756"/>
        <v>0</v>
      </c>
      <c r="G1989" s="20"/>
      <c r="H1989" s="35"/>
      <c r="I1989" s="21"/>
      <c r="J1989" s="24"/>
      <c r="K1989" s="25">
        <f t="shared" si="1757"/>
        <v>0</v>
      </c>
      <c r="L1989" s="11">
        <f t="shared" si="1749"/>
        <v>0</v>
      </c>
      <c r="N1989" s="40"/>
      <c r="O1989" s="20"/>
      <c r="P1989" s="35"/>
      <c r="Q1989" s="21"/>
      <c r="R1989" s="38"/>
      <c r="S1989" s="9">
        <f t="shared" si="1758"/>
        <v>0</v>
      </c>
      <c r="T1989" s="20"/>
      <c r="U1989" s="35"/>
      <c r="V1989" s="21"/>
      <c r="W1989" s="38"/>
      <c r="X1989" s="9">
        <f t="shared" si="1759"/>
        <v>0</v>
      </c>
      <c r="Y1989" s="11">
        <f t="shared" si="1760"/>
        <v>0</v>
      </c>
    </row>
    <row r="1990" spans="1:25" x14ac:dyDescent="0.15">
      <c r="A1990" s="59"/>
      <c r="B1990" s="20"/>
      <c r="C1990" s="35"/>
      <c r="D1990" s="21"/>
      <c r="E1990" s="24"/>
      <c r="F1990" s="25">
        <f t="shared" si="1756"/>
        <v>0</v>
      </c>
      <c r="G1990" s="20"/>
      <c r="H1990" s="35"/>
      <c r="I1990" s="21"/>
      <c r="J1990" s="24"/>
      <c r="K1990" s="25">
        <f t="shared" si="1757"/>
        <v>0</v>
      </c>
      <c r="L1990" s="11">
        <f t="shared" si="1749"/>
        <v>0</v>
      </c>
      <c r="N1990" s="40"/>
      <c r="O1990" s="20"/>
      <c r="P1990" s="35"/>
      <c r="Q1990" s="21"/>
      <c r="R1990" s="38"/>
      <c r="S1990" s="9">
        <f t="shared" si="1758"/>
        <v>0</v>
      </c>
      <c r="T1990" s="20"/>
      <c r="U1990" s="35"/>
      <c r="V1990" s="21"/>
      <c r="W1990" s="38"/>
      <c r="X1990" s="9">
        <f t="shared" si="1759"/>
        <v>0</v>
      </c>
      <c r="Y1990" s="11">
        <f t="shared" si="1760"/>
        <v>0</v>
      </c>
    </row>
    <row r="1991" spans="1:25" x14ac:dyDescent="0.15">
      <c r="A1991" s="59"/>
      <c r="B1991" s="20"/>
      <c r="C1991" s="35"/>
      <c r="D1991" s="21"/>
      <c r="E1991" s="24"/>
      <c r="F1991" s="25">
        <f t="shared" si="1756"/>
        <v>0</v>
      </c>
      <c r="G1991" s="20"/>
      <c r="H1991" s="35"/>
      <c r="I1991" s="21"/>
      <c r="J1991" s="24"/>
      <c r="K1991" s="25">
        <f t="shared" si="1757"/>
        <v>0</v>
      </c>
      <c r="L1991" s="11">
        <f t="shared" si="1749"/>
        <v>0</v>
      </c>
      <c r="N1991" s="40"/>
      <c r="O1991" s="20"/>
      <c r="P1991" s="35"/>
      <c r="Q1991" s="21"/>
      <c r="R1991" s="38"/>
      <c r="S1991" s="9">
        <f t="shared" si="1758"/>
        <v>0</v>
      </c>
      <c r="T1991" s="20"/>
      <c r="U1991" s="35"/>
      <c r="V1991" s="21"/>
      <c r="W1991" s="38"/>
      <c r="X1991" s="9">
        <f t="shared" si="1759"/>
        <v>0</v>
      </c>
      <c r="Y1991" s="11">
        <f t="shared" si="1760"/>
        <v>0</v>
      </c>
    </row>
    <row r="1992" spans="1:25" x14ac:dyDescent="0.15">
      <c r="A1992" s="59"/>
      <c r="B1992" s="20"/>
      <c r="C1992" s="35"/>
      <c r="D1992" s="21"/>
      <c r="E1992" s="24"/>
      <c r="F1992" s="25">
        <f t="shared" si="1756"/>
        <v>0</v>
      </c>
      <c r="G1992" s="20"/>
      <c r="H1992" s="35"/>
      <c r="I1992" s="21"/>
      <c r="J1992" s="24"/>
      <c r="K1992" s="25">
        <f t="shared" si="1757"/>
        <v>0</v>
      </c>
      <c r="L1992" s="11">
        <f t="shared" si="1749"/>
        <v>0</v>
      </c>
      <c r="N1992" s="40"/>
      <c r="O1992" s="20"/>
      <c r="P1992" s="35"/>
      <c r="Q1992" s="21"/>
      <c r="R1992" s="38"/>
      <c r="S1992" s="9">
        <f t="shared" si="1758"/>
        <v>0</v>
      </c>
      <c r="T1992" s="20"/>
      <c r="U1992" s="35"/>
      <c r="V1992" s="21"/>
      <c r="W1992" s="38"/>
      <c r="X1992" s="9">
        <f t="shared" si="1759"/>
        <v>0</v>
      </c>
      <c r="Y1992" s="11">
        <f t="shared" si="1760"/>
        <v>0</v>
      </c>
    </row>
    <row r="1993" spans="1:25" x14ac:dyDescent="0.15">
      <c r="A1993" s="59"/>
      <c r="B1993" s="20"/>
      <c r="C1993" s="35"/>
      <c r="D1993" s="21"/>
      <c r="E1993" s="24"/>
      <c r="F1993" s="25">
        <f t="shared" si="1756"/>
        <v>0</v>
      </c>
      <c r="G1993" s="20"/>
      <c r="H1993" s="35"/>
      <c r="I1993" s="21"/>
      <c r="J1993" s="24"/>
      <c r="K1993" s="25">
        <f t="shared" si="1757"/>
        <v>0</v>
      </c>
      <c r="L1993" s="11">
        <f t="shared" si="1749"/>
        <v>0</v>
      </c>
      <c r="N1993" s="40"/>
      <c r="O1993" s="20"/>
      <c r="P1993" s="35"/>
      <c r="Q1993" s="21"/>
      <c r="R1993" s="38"/>
      <c r="S1993" s="9">
        <f t="shared" si="1758"/>
        <v>0</v>
      </c>
      <c r="T1993" s="20"/>
      <c r="U1993" s="35"/>
      <c r="V1993" s="21"/>
      <c r="W1993" s="38"/>
      <c r="X1993" s="9">
        <f t="shared" si="1759"/>
        <v>0</v>
      </c>
      <c r="Y1993" s="11">
        <f t="shared" si="1760"/>
        <v>0</v>
      </c>
    </row>
    <row r="1994" spans="1:25" x14ac:dyDescent="0.15">
      <c r="A1994" s="59"/>
      <c r="B1994" s="20"/>
      <c r="C1994" s="35"/>
      <c r="D1994" s="21"/>
      <c r="E1994" s="24"/>
      <c r="F1994" s="25">
        <f t="shared" si="1756"/>
        <v>0</v>
      </c>
      <c r="G1994" s="20"/>
      <c r="H1994" s="35"/>
      <c r="I1994" s="21"/>
      <c r="J1994" s="24"/>
      <c r="K1994" s="25">
        <f t="shared" si="1757"/>
        <v>0</v>
      </c>
      <c r="L1994" s="11">
        <f t="shared" si="1749"/>
        <v>0</v>
      </c>
      <c r="N1994" s="40"/>
      <c r="O1994" s="20"/>
      <c r="P1994" s="35"/>
      <c r="Q1994" s="21"/>
      <c r="R1994" s="38"/>
      <c r="S1994" s="9">
        <f t="shared" si="1758"/>
        <v>0</v>
      </c>
      <c r="T1994" s="20"/>
      <c r="U1994" s="35"/>
      <c r="V1994" s="21"/>
      <c r="W1994" s="38"/>
      <c r="X1994" s="9">
        <f t="shared" si="1759"/>
        <v>0</v>
      </c>
      <c r="Y1994" s="11">
        <f t="shared" si="1760"/>
        <v>0</v>
      </c>
    </row>
    <row r="1995" spans="1:25" x14ac:dyDescent="0.15">
      <c r="A1995" s="59"/>
      <c r="B1995" s="20"/>
      <c r="C1995" s="35"/>
      <c r="D1995" s="21"/>
      <c r="E1995" s="24"/>
      <c r="F1995" s="25">
        <f t="shared" si="1756"/>
        <v>0</v>
      </c>
      <c r="G1995" s="20"/>
      <c r="H1995" s="35"/>
      <c r="I1995" s="21"/>
      <c r="J1995" s="24"/>
      <c r="K1995" s="25">
        <f t="shared" si="1757"/>
        <v>0</v>
      </c>
      <c r="L1995" s="11">
        <f t="shared" si="1749"/>
        <v>0</v>
      </c>
      <c r="N1995" s="40"/>
      <c r="O1995" s="20"/>
      <c r="P1995" s="35"/>
      <c r="Q1995" s="21"/>
      <c r="R1995" s="38"/>
      <c r="S1995" s="9">
        <f t="shared" si="1758"/>
        <v>0</v>
      </c>
      <c r="T1995" s="20"/>
      <c r="U1995" s="35"/>
      <c r="V1995" s="21"/>
      <c r="W1995" s="38"/>
      <c r="X1995" s="9">
        <f t="shared" si="1759"/>
        <v>0</v>
      </c>
      <c r="Y1995" s="11">
        <f t="shared" si="1760"/>
        <v>0</v>
      </c>
    </row>
    <row r="1996" spans="1:25" x14ac:dyDescent="0.15">
      <c r="A1996" s="59"/>
      <c r="B1996" s="20"/>
      <c r="C1996" s="35"/>
      <c r="D1996" s="21"/>
      <c r="E1996" s="24"/>
      <c r="F1996" s="25">
        <f t="shared" si="1756"/>
        <v>0</v>
      </c>
      <c r="G1996" s="20"/>
      <c r="H1996" s="35"/>
      <c r="I1996" s="21"/>
      <c r="J1996" s="24"/>
      <c r="K1996" s="25">
        <f t="shared" si="1757"/>
        <v>0</v>
      </c>
      <c r="L1996" s="11">
        <f t="shared" si="1749"/>
        <v>0</v>
      </c>
      <c r="N1996" s="40"/>
      <c r="O1996" s="20"/>
      <c r="P1996" s="35"/>
      <c r="Q1996" s="21"/>
      <c r="R1996" s="38"/>
      <c r="S1996" s="9">
        <f t="shared" si="1758"/>
        <v>0</v>
      </c>
      <c r="T1996" s="20"/>
      <c r="U1996" s="35"/>
      <c r="V1996" s="21"/>
      <c r="W1996" s="38"/>
      <c r="X1996" s="9">
        <f t="shared" si="1759"/>
        <v>0</v>
      </c>
      <c r="Y1996" s="11">
        <f t="shared" si="1760"/>
        <v>0</v>
      </c>
    </row>
    <row r="1997" spans="1:25" x14ac:dyDescent="0.15">
      <c r="A1997" s="59"/>
      <c r="B1997" s="20"/>
      <c r="C1997" s="35"/>
      <c r="D1997" s="21"/>
      <c r="E1997" s="24"/>
      <c r="F1997" s="25">
        <f t="shared" si="1756"/>
        <v>0</v>
      </c>
      <c r="G1997" s="20"/>
      <c r="H1997" s="35"/>
      <c r="I1997" s="21"/>
      <c r="J1997" s="24"/>
      <c r="K1997" s="25">
        <f t="shared" si="1757"/>
        <v>0</v>
      </c>
      <c r="L1997" s="11">
        <f t="shared" si="1749"/>
        <v>0</v>
      </c>
      <c r="N1997" s="40"/>
      <c r="O1997" s="20"/>
      <c r="P1997" s="35"/>
      <c r="Q1997" s="21"/>
      <c r="R1997" s="38"/>
      <c r="S1997" s="9">
        <f t="shared" si="1758"/>
        <v>0</v>
      </c>
      <c r="T1997" s="20"/>
      <c r="U1997" s="35"/>
      <c r="V1997" s="21"/>
      <c r="W1997" s="38"/>
      <c r="X1997" s="9">
        <f t="shared" si="1759"/>
        <v>0</v>
      </c>
      <c r="Y1997" s="11">
        <f t="shared" si="1760"/>
        <v>0</v>
      </c>
    </row>
    <row r="1998" spans="1:25" x14ac:dyDescent="0.15">
      <c r="A1998" s="59"/>
      <c r="B1998" s="20"/>
      <c r="C1998" s="35"/>
      <c r="D1998" s="21"/>
      <c r="E1998" s="24"/>
      <c r="F1998" s="25">
        <f t="shared" si="1756"/>
        <v>0</v>
      </c>
      <c r="G1998" s="20"/>
      <c r="H1998" s="35"/>
      <c r="I1998" s="21"/>
      <c r="J1998" s="24"/>
      <c r="K1998" s="25">
        <f t="shared" si="1757"/>
        <v>0</v>
      </c>
      <c r="L1998" s="11">
        <f t="shared" si="1749"/>
        <v>0</v>
      </c>
      <c r="N1998" s="40"/>
      <c r="O1998" s="20"/>
      <c r="P1998" s="35"/>
      <c r="Q1998" s="21"/>
      <c r="R1998" s="38"/>
      <c r="S1998" s="9">
        <f t="shared" si="1758"/>
        <v>0</v>
      </c>
      <c r="T1998" s="20"/>
      <c r="U1998" s="35"/>
      <c r="V1998" s="21"/>
      <c r="W1998" s="38"/>
      <c r="X1998" s="9">
        <f t="shared" si="1759"/>
        <v>0</v>
      </c>
      <c r="Y1998" s="11">
        <f t="shared" si="1760"/>
        <v>0</v>
      </c>
    </row>
    <row r="1999" spans="1:25" x14ac:dyDescent="0.15">
      <c r="A1999" s="59"/>
      <c r="B1999" s="20"/>
      <c r="C1999" s="35"/>
      <c r="D1999" s="21"/>
      <c r="E1999" s="24"/>
      <c r="F1999" s="25">
        <f t="shared" si="1756"/>
        <v>0</v>
      </c>
      <c r="G1999" s="20"/>
      <c r="H1999" s="35"/>
      <c r="I1999" s="21"/>
      <c r="J1999" s="24"/>
      <c r="K1999" s="25">
        <f t="shared" si="1757"/>
        <v>0</v>
      </c>
      <c r="L1999" s="11">
        <f t="shared" si="1749"/>
        <v>0</v>
      </c>
      <c r="N1999" s="12"/>
      <c r="O1999" s="20"/>
      <c r="P1999" s="35"/>
      <c r="Q1999" s="21"/>
      <c r="R1999" s="38"/>
      <c r="S1999" s="9">
        <f>SUM(O1999:R1999)</f>
        <v>0</v>
      </c>
      <c r="T1999" s="20"/>
      <c r="U1999" s="35"/>
      <c r="V1999" s="21"/>
      <c r="W1999" s="38"/>
      <c r="X1999" s="9">
        <f>SUM(T1999:W1999)</f>
        <v>0</v>
      </c>
      <c r="Y1999" s="11">
        <f t="shared" si="1760"/>
        <v>0</v>
      </c>
    </row>
    <row r="2000" spans="1:25" x14ac:dyDescent="0.15">
      <c r="A2000" s="59"/>
      <c r="B2000" s="20"/>
      <c r="C2000" s="35"/>
      <c r="D2000" s="21"/>
      <c r="E2000" s="24"/>
      <c r="F2000" s="25">
        <f t="shared" si="1756"/>
        <v>0</v>
      </c>
      <c r="G2000" s="20"/>
      <c r="H2000" s="35"/>
      <c r="I2000" s="21"/>
      <c r="J2000" s="24"/>
      <c r="K2000" s="25">
        <f t="shared" si="1757"/>
        <v>0</v>
      </c>
      <c r="L2000" s="11">
        <f t="shared" si="1749"/>
        <v>0</v>
      </c>
      <c r="N2000" s="40"/>
      <c r="O2000" s="20"/>
      <c r="P2000" s="35"/>
      <c r="Q2000" s="21"/>
      <c r="R2000" s="38"/>
      <c r="S2000" s="9">
        <f t="shared" ref="S2000:S2010" si="1761">SUM(O2000:R2000)</f>
        <v>0</v>
      </c>
      <c r="T2000" s="20"/>
      <c r="U2000" s="35"/>
      <c r="V2000" s="21"/>
      <c r="W2000" s="38"/>
      <c r="X2000" s="9">
        <f t="shared" ref="X2000:X2010" si="1762">SUM(T2000:W2000)</f>
        <v>0</v>
      </c>
      <c r="Y2000" s="11">
        <f t="shared" si="1760"/>
        <v>0</v>
      </c>
    </row>
    <row r="2001" spans="1:25" x14ac:dyDescent="0.15">
      <c r="A2001" s="59"/>
      <c r="B2001" s="20"/>
      <c r="C2001" s="35"/>
      <c r="D2001" s="21"/>
      <c r="E2001" s="24"/>
      <c r="F2001" s="25">
        <f t="shared" si="1756"/>
        <v>0</v>
      </c>
      <c r="G2001" s="20"/>
      <c r="H2001" s="35"/>
      <c r="I2001" s="21"/>
      <c r="J2001" s="24"/>
      <c r="K2001" s="25">
        <f t="shared" si="1757"/>
        <v>0</v>
      </c>
      <c r="L2001" s="11">
        <f t="shared" si="1749"/>
        <v>0</v>
      </c>
      <c r="N2001" s="12"/>
      <c r="O2001" s="20"/>
      <c r="P2001" s="35"/>
      <c r="Q2001" s="21"/>
      <c r="R2001" s="38"/>
      <c r="S2001" s="9">
        <f t="shared" si="1761"/>
        <v>0</v>
      </c>
      <c r="T2001" s="20"/>
      <c r="U2001" s="35"/>
      <c r="V2001" s="21"/>
      <c r="W2001" s="38"/>
      <c r="X2001" s="9">
        <f t="shared" si="1762"/>
        <v>0</v>
      </c>
      <c r="Y2001" s="11">
        <f t="shared" si="1760"/>
        <v>0</v>
      </c>
    </row>
    <row r="2002" spans="1:25" x14ac:dyDescent="0.15">
      <c r="A2002" s="59"/>
      <c r="B2002" s="20"/>
      <c r="C2002" s="35"/>
      <c r="D2002" s="21"/>
      <c r="E2002" s="24"/>
      <c r="F2002" s="25">
        <f t="shared" si="1756"/>
        <v>0</v>
      </c>
      <c r="G2002" s="20"/>
      <c r="H2002" s="35"/>
      <c r="I2002" s="21"/>
      <c r="J2002" s="24"/>
      <c r="K2002" s="25">
        <f t="shared" si="1757"/>
        <v>0</v>
      </c>
      <c r="L2002" s="11">
        <f t="shared" si="1749"/>
        <v>0</v>
      </c>
      <c r="N2002" s="12"/>
      <c r="O2002" s="20"/>
      <c r="P2002" s="35"/>
      <c r="Q2002" s="21"/>
      <c r="R2002" s="38"/>
      <c r="S2002" s="9">
        <f t="shared" si="1761"/>
        <v>0</v>
      </c>
      <c r="T2002" s="20"/>
      <c r="U2002" s="35"/>
      <c r="V2002" s="21"/>
      <c r="W2002" s="38"/>
      <c r="X2002" s="9">
        <f t="shared" si="1762"/>
        <v>0</v>
      </c>
      <c r="Y2002" s="11">
        <f t="shared" si="1760"/>
        <v>0</v>
      </c>
    </row>
    <row r="2003" spans="1:25" x14ac:dyDescent="0.15">
      <c r="A2003" s="59"/>
      <c r="B2003" s="20"/>
      <c r="C2003" s="35"/>
      <c r="D2003" s="21"/>
      <c r="E2003" s="24"/>
      <c r="F2003" s="25">
        <f t="shared" si="1756"/>
        <v>0</v>
      </c>
      <c r="G2003" s="20"/>
      <c r="H2003" s="35"/>
      <c r="I2003" s="21"/>
      <c r="J2003" s="24"/>
      <c r="K2003" s="25">
        <f t="shared" si="1757"/>
        <v>0</v>
      </c>
      <c r="L2003" s="11">
        <f t="shared" si="1749"/>
        <v>0</v>
      </c>
      <c r="N2003" s="12"/>
      <c r="O2003" s="20"/>
      <c r="P2003" s="35"/>
      <c r="Q2003" s="21"/>
      <c r="R2003" s="38"/>
      <c r="S2003" s="9">
        <f t="shared" si="1761"/>
        <v>0</v>
      </c>
      <c r="T2003" s="20"/>
      <c r="U2003" s="35"/>
      <c r="V2003" s="21"/>
      <c r="W2003" s="38"/>
      <c r="X2003" s="9">
        <f t="shared" si="1762"/>
        <v>0</v>
      </c>
      <c r="Y2003" s="11">
        <f t="shared" si="1760"/>
        <v>0</v>
      </c>
    </row>
    <row r="2004" spans="1:25" x14ac:dyDescent="0.15">
      <c r="A2004" s="59"/>
      <c r="B2004" s="20"/>
      <c r="C2004" s="35"/>
      <c r="D2004" s="21"/>
      <c r="E2004" s="24"/>
      <c r="F2004" s="25">
        <f t="shared" si="1756"/>
        <v>0</v>
      </c>
      <c r="G2004" s="20"/>
      <c r="H2004" s="35"/>
      <c r="I2004" s="21"/>
      <c r="J2004" s="24"/>
      <c r="K2004" s="25">
        <f t="shared" si="1757"/>
        <v>0</v>
      </c>
      <c r="L2004" s="11">
        <f t="shared" si="1749"/>
        <v>0</v>
      </c>
      <c r="N2004" s="12"/>
      <c r="O2004" s="20"/>
      <c r="P2004" s="35"/>
      <c r="Q2004" s="21"/>
      <c r="R2004" s="38"/>
      <c r="S2004" s="9">
        <f t="shared" si="1761"/>
        <v>0</v>
      </c>
      <c r="T2004" s="20"/>
      <c r="U2004" s="35"/>
      <c r="V2004" s="21"/>
      <c r="W2004" s="38"/>
      <c r="X2004" s="9">
        <f t="shared" si="1762"/>
        <v>0</v>
      </c>
      <c r="Y2004" s="11">
        <f t="shared" si="1760"/>
        <v>0</v>
      </c>
    </row>
    <row r="2005" spans="1:25" x14ac:dyDescent="0.15">
      <c r="A2005" s="59"/>
      <c r="B2005" s="20"/>
      <c r="C2005" s="35"/>
      <c r="D2005" s="21"/>
      <c r="E2005" s="24"/>
      <c r="F2005" s="25">
        <f t="shared" si="1756"/>
        <v>0</v>
      </c>
      <c r="G2005" s="20"/>
      <c r="H2005" s="35"/>
      <c r="I2005" s="21"/>
      <c r="J2005" s="24"/>
      <c r="K2005" s="25">
        <f t="shared" si="1757"/>
        <v>0</v>
      </c>
      <c r="L2005" s="11">
        <f t="shared" si="1749"/>
        <v>0</v>
      </c>
      <c r="N2005" s="12"/>
      <c r="O2005" s="20"/>
      <c r="P2005" s="35"/>
      <c r="Q2005" s="21"/>
      <c r="R2005" s="38"/>
      <c r="S2005" s="9">
        <f t="shared" si="1761"/>
        <v>0</v>
      </c>
      <c r="T2005" s="20"/>
      <c r="U2005" s="35"/>
      <c r="V2005" s="21"/>
      <c r="W2005" s="38"/>
      <c r="X2005" s="9">
        <f t="shared" si="1762"/>
        <v>0</v>
      </c>
      <c r="Y2005" s="11">
        <f t="shared" si="1760"/>
        <v>0</v>
      </c>
    </row>
    <row r="2006" spans="1:25" x14ac:dyDescent="0.15">
      <c r="A2006" s="59"/>
      <c r="B2006" s="20"/>
      <c r="C2006" s="35"/>
      <c r="D2006" s="21"/>
      <c r="E2006" s="24"/>
      <c r="F2006" s="25">
        <f t="shared" si="1756"/>
        <v>0</v>
      </c>
      <c r="G2006" s="20"/>
      <c r="H2006" s="35"/>
      <c r="I2006" s="21"/>
      <c r="J2006" s="24"/>
      <c r="K2006" s="25">
        <f t="shared" si="1757"/>
        <v>0</v>
      </c>
      <c r="L2006" s="11">
        <f t="shared" si="1749"/>
        <v>0</v>
      </c>
      <c r="N2006" s="12"/>
      <c r="O2006" s="20"/>
      <c r="P2006" s="35"/>
      <c r="Q2006" s="21"/>
      <c r="R2006" s="38"/>
      <c r="S2006" s="9">
        <f t="shared" si="1761"/>
        <v>0</v>
      </c>
      <c r="T2006" s="20"/>
      <c r="U2006" s="35"/>
      <c r="V2006" s="21"/>
      <c r="W2006" s="38"/>
      <c r="X2006" s="9">
        <f t="shared" si="1762"/>
        <v>0</v>
      </c>
      <c r="Y2006" s="11">
        <f t="shared" si="1760"/>
        <v>0</v>
      </c>
    </row>
    <row r="2007" spans="1:25" x14ac:dyDescent="0.15">
      <c r="A2007" s="59"/>
      <c r="B2007" s="20"/>
      <c r="C2007" s="35"/>
      <c r="D2007" s="21"/>
      <c r="E2007" s="24"/>
      <c r="F2007" s="25">
        <f t="shared" si="1756"/>
        <v>0</v>
      </c>
      <c r="G2007" s="20"/>
      <c r="H2007" s="35"/>
      <c r="I2007" s="21"/>
      <c r="J2007" s="24"/>
      <c r="K2007" s="25">
        <f t="shared" si="1757"/>
        <v>0</v>
      </c>
      <c r="L2007" s="11">
        <f t="shared" si="1749"/>
        <v>0</v>
      </c>
      <c r="N2007" s="12"/>
      <c r="O2007" s="20"/>
      <c r="P2007" s="35"/>
      <c r="Q2007" s="21"/>
      <c r="R2007" s="38"/>
      <c r="S2007" s="9">
        <f t="shared" si="1761"/>
        <v>0</v>
      </c>
      <c r="T2007" s="20"/>
      <c r="U2007" s="35"/>
      <c r="V2007" s="21"/>
      <c r="W2007" s="38"/>
      <c r="X2007" s="9">
        <f t="shared" si="1762"/>
        <v>0</v>
      </c>
      <c r="Y2007" s="11">
        <f t="shared" si="1760"/>
        <v>0</v>
      </c>
    </row>
    <row r="2008" spans="1:25" x14ac:dyDescent="0.15">
      <c r="A2008" s="59"/>
      <c r="B2008" s="20"/>
      <c r="C2008" s="35"/>
      <c r="D2008" s="21"/>
      <c r="E2008" s="24"/>
      <c r="F2008" s="25">
        <f t="shared" si="1756"/>
        <v>0</v>
      </c>
      <c r="G2008" s="20"/>
      <c r="H2008" s="35"/>
      <c r="I2008" s="21"/>
      <c r="J2008" s="24"/>
      <c r="K2008" s="25">
        <f t="shared" si="1757"/>
        <v>0</v>
      </c>
      <c r="L2008" s="11">
        <f t="shared" si="1749"/>
        <v>0</v>
      </c>
      <c r="N2008" s="12"/>
      <c r="O2008" s="20"/>
      <c r="P2008" s="35"/>
      <c r="Q2008" s="21"/>
      <c r="R2008" s="38"/>
      <c r="S2008" s="9">
        <f t="shared" si="1761"/>
        <v>0</v>
      </c>
      <c r="T2008" s="20"/>
      <c r="U2008" s="35"/>
      <c r="V2008" s="21"/>
      <c r="W2008" s="38"/>
      <c r="X2008" s="9">
        <f t="shared" si="1762"/>
        <v>0</v>
      </c>
      <c r="Y2008" s="11">
        <f t="shared" si="1760"/>
        <v>0</v>
      </c>
    </row>
    <row r="2009" spans="1:25" x14ac:dyDescent="0.15">
      <c r="A2009" s="59"/>
      <c r="B2009" s="20"/>
      <c r="C2009" s="35"/>
      <c r="D2009" s="21"/>
      <c r="E2009" s="24"/>
      <c r="F2009" s="25">
        <f t="shared" si="1756"/>
        <v>0</v>
      </c>
      <c r="G2009" s="20"/>
      <c r="H2009" s="35"/>
      <c r="I2009" s="21"/>
      <c r="J2009" s="24"/>
      <c r="K2009" s="25">
        <f t="shared" si="1757"/>
        <v>0</v>
      </c>
      <c r="L2009" s="11">
        <f t="shared" si="1749"/>
        <v>0</v>
      </c>
      <c r="N2009" s="12"/>
      <c r="O2009" s="20"/>
      <c r="P2009" s="35"/>
      <c r="Q2009" s="21"/>
      <c r="R2009" s="38"/>
      <c r="S2009" s="9">
        <f t="shared" si="1761"/>
        <v>0</v>
      </c>
      <c r="T2009" s="20"/>
      <c r="U2009" s="35"/>
      <c r="V2009" s="21"/>
      <c r="W2009" s="38"/>
      <c r="X2009" s="9">
        <f t="shared" si="1762"/>
        <v>0</v>
      </c>
      <c r="Y2009" s="11">
        <f t="shared" si="1760"/>
        <v>0</v>
      </c>
    </row>
    <row r="2010" spans="1:25" ht="14.25" thickBot="1" x14ac:dyDescent="0.2">
      <c r="A2010" s="15"/>
      <c r="B2010" s="43"/>
      <c r="C2010" s="44"/>
      <c r="D2010" s="45"/>
      <c r="E2010" s="46"/>
      <c r="F2010" s="25">
        <f t="shared" si="1756"/>
        <v>0</v>
      </c>
      <c r="G2010" s="43"/>
      <c r="H2010" s="44"/>
      <c r="I2010" s="45"/>
      <c r="J2010" s="46"/>
      <c r="K2010" s="25">
        <f t="shared" si="1757"/>
        <v>0</v>
      </c>
      <c r="L2010" s="14">
        <f t="shared" si="1749"/>
        <v>0</v>
      </c>
      <c r="N2010" s="99"/>
      <c r="O2010" s="43"/>
      <c r="P2010" s="44"/>
      <c r="Q2010" s="45"/>
      <c r="R2010" s="100"/>
      <c r="S2010" s="10">
        <f t="shared" si="1761"/>
        <v>0</v>
      </c>
      <c r="T2010" s="43"/>
      <c r="U2010" s="44"/>
      <c r="V2010" s="45"/>
      <c r="W2010" s="100"/>
      <c r="X2010" s="10">
        <f t="shared" si="1762"/>
        <v>0</v>
      </c>
      <c r="Y2010" s="75">
        <f t="shared" si="1760"/>
        <v>0</v>
      </c>
    </row>
    <row r="2011" spans="1:25" ht="14.25" thickBot="1" x14ac:dyDescent="0.2">
      <c r="A2011" s="16" t="s">
        <v>9</v>
      </c>
      <c r="B2011" s="28">
        <f>SUM(B1986:B2010)</f>
        <v>0</v>
      </c>
      <c r="C2011" s="36">
        <f>SUM(C1986:C2010)</f>
        <v>0</v>
      </c>
      <c r="D2011" s="29">
        <f>SUM(D1986:D2010)</f>
        <v>0</v>
      </c>
      <c r="E2011" s="30">
        <f>SUM(E1986:E2010)</f>
        <v>0</v>
      </c>
      <c r="F2011" s="26">
        <f>SUM(B2011:E2011)</f>
        <v>0</v>
      </c>
      <c r="G2011" s="28">
        <f>SUM(G1986:G2010)</f>
        <v>0</v>
      </c>
      <c r="H2011" s="36">
        <f>SUM(H1986:H2010)</f>
        <v>0</v>
      </c>
      <c r="I2011" s="29">
        <f>SUM(I1986:I2010)</f>
        <v>0</v>
      </c>
      <c r="J2011" s="30">
        <f>SUM(J1986:J2010)</f>
        <v>0</v>
      </c>
      <c r="K2011" s="26">
        <f>SUM(G2011:J2011)</f>
        <v>0</v>
      </c>
      <c r="L2011" s="27">
        <f t="shared" si="1749"/>
        <v>0</v>
      </c>
      <c r="N2011" s="61" t="s">
        <v>9</v>
      </c>
      <c r="O2011" s="28">
        <f>SUM(O1986:O2010)</f>
        <v>0</v>
      </c>
      <c r="P2011" s="36">
        <f t="shared" ref="P2011:R2011" si="1763">SUM(P1986:P2010)</f>
        <v>0</v>
      </c>
      <c r="Q2011" s="29">
        <f t="shared" si="1763"/>
        <v>0</v>
      </c>
      <c r="R2011" s="30">
        <f t="shared" si="1763"/>
        <v>0</v>
      </c>
      <c r="S2011" s="60">
        <f>SUM(O2011:R2011)</f>
        <v>0</v>
      </c>
      <c r="T2011" s="28">
        <f>SUM(T1986:T2010)</f>
        <v>0</v>
      </c>
      <c r="U2011" s="36">
        <f t="shared" ref="U2011:W2011" si="1764">SUM(U1986:U2010)</f>
        <v>0</v>
      </c>
      <c r="V2011" s="29">
        <f t="shared" si="1764"/>
        <v>0</v>
      </c>
      <c r="W2011" s="30">
        <f t="shared" si="1764"/>
        <v>0</v>
      </c>
      <c r="X2011" s="60">
        <f>SUM(T2011:W2011)</f>
        <v>0</v>
      </c>
      <c r="Y2011" s="63">
        <f>S2011+X2011</f>
        <v>0</v>
      </c>
    </row>
    <row r="2012" spans="1:25" ht="14.25" thickBot="1" x14ac:dyDescent="0.2">
      <c r="A2012" s="18" t="s">
        <v>10</v>
      </c>
      <c r="B2012" s="31">
        <f t="shared" ref="B2012:K2012" si="1765">B1985-B2011</f>
        <v>31</v>
      </c>
      <c r="C2012" s="37">
        <f t="shared" si="1765"/>
        <v>31</v>
      </c>
      <c r="D2012" s="32">
        <f t="shared" si="1765"/>
        <v>31</v>
      </c>
      <c r="E2012" s="33">
        <f t="shared" si="1765"/>
        <v>31</v>
      </c>
      <c r="F2012" s="42">
        <f t="shared" si="1765"/>
        <v>124</v>
      </c>
      <c r="G2012" s="31">
        <f t="shared" si="1765"/>
        <v>29</v>
      </c>
      <c r="H2012" s="37">
        <f t="shared" si="1765"/>
        <v>31</v>
      </c>
      <c r="I2012" s="32">
        <f t="shared" si="1765"/>
        <v>28</v>
      </c>
      <c r="J2012" s="33">
        <f t="shared" si="1765"/>
        <v>32</v>
      </c>
      <c r="K2012" s="42">
        <f t="shared" si="1765"/>
        <v>120</v>
      </c>
      <c r="L2012" s="17">
        <f t="shared" si="1749"/>
        <v>244</v>
      </c>
      <c r="N2012" s="16" t="s">
        <v>10</v>
      </c>
      <c r="O2012" s="31">
        <f>O1985-O2011</f>
        <v>473</v>
      </c>
      <c r="P2012" s="37">
        <f t="shared" ref="P2012:R2012" si="1766">P1985-P2011</f>
        <v>727</v>
      </c>
      <c r="Q2012" s="32">
        <f t="shared" si="1766"/>
        <v>403</v>
      </c>
      <c r="R2012" s="33">
        <f t="shared" si="1766"/>
        <v>317</v>
      </c>
      <c r="S2012" s="42">
        <f>S1985-S2011</f>
        <v>1920</v>
      </c>
      <c r="T2012" s="31">
        <f>T1985-T2011</f>
        <v>471</v>
      </c>
      <c r="U2012" s="37">
        <f t="shared" ref="U2012:W2012" si="1767">U1985-U2011</f>
        <v>762</v>
      </c>
      <c r="V2012" s="32">
        <f t="shared" si="1767"/>
        <v>477</v>
      </c>
      <c r="W2012" s="33">
        <f t="shared" si="1767"/>
        <v>357</v>
      </c>
      <c r="X2012" s="42">
        <f>X1985-X2011</f>
        <v>2067</v>
      </c>
      <c r="Y2012" s="17">
        <f>S2012+X2012</f>
        <v>3987</v>
      </c>
    </row>
  </sheetData>
  <mergeCells count="318">
    <mergeCell ref="Y534:Y535"/>
    <mergeCell ref="Y572:Y573"/>
    <mergeCell ref="Y610:Y611"/>
    <mergeCell ref="Y648:Y649"/>
    <mergeCell ref="Y686:Y687"/>
    <mergeCell ref="Y724:Y725"/>
    <mergeCell ref="Y762:Y763"/>
    <mergeCell ref="Y800:Y801"/>
    <mergeCell ref="Y838:Y839"/>
    <mergeCell ref="Y192:Y193"/>
    <mergeCell ref="Y230:Y231"/>
    <mergeCell ref="Y268:Y269"/>
    <mergeCell ref="Y306:Y307"/>
    <mergeCell ref="Y344:Y345"/>
    <mergeCell ref="Y382:Y383"/>
    <mergeCell ref="Y420:Y421"/>
    <mergeCell ref="Y458:Y459"/>
    <mergeCell ref="Y496:Y497"/>
    <mergeCell ref="Y1180:Y1181"/>
    <mergeCell ref="Y1142:Y1143"/>
    <mergeCell ref="Y1104:Y1105"/>
    <mergeCell ref="Y1066:Y1067"/>
    <mergeCell ref="Y1028:Y1029"/>
    <mergeCell ref="Y990:Y991"/>
    <mergeCell ref="Y952:Y953"/>
    <mergeCell ref="Y914:Y915"/>
    <mergeCell ref="Y876:Y877"/>
    <mergeCell ref="Y1522:Y1523"/>
    <mergeCell ref="Y1484:Y1485"/>
    <mergeCell ref="Y1446:Y1447"/>
    <mergeCell ref="Y1408:Y1409"/>
    <mergeCell ref="Y1370:Y1371"/>
    <mergeCell ref="Y1332:Y1333"/>
    <mergeCell ref="Y1294:Y1295"/>
    <mergeCell ref="Y1256:Y1257"/>
    <mergeCell ref="Y1218:Y1219"/>
    <mergeCell ref="Y1864:Y1865"/>
    <mergeCell ref="Y1826:Y1827"/>
    <mergeCell ref="Y1788:Y1789"/>
    <mergeCell ref="Y1750:Y1751"/>
    <mergeCell ref="Y1712:Y1713"/>
    <mergeCell ref="Y1674:Y1675"/>
    <mergeCell ref="Y1636:Y1637"/>
    <mergeCell ref="Y1598:Y1599"/>
    <mergeCell ref="Y1560:Y1561"/>
    <mergeCell ref="B1788:F1788"/>
    <mergeCell ref="G1788:K1788"/>
    <mergeCell ref="L1788:L1789"/>
    <mergeCell ref="O1788:S1788"/>
    <mergeCell ref="T1788:X1788"/>
    <mergeCell ref="O1712:S1712"/>
    <mergeCell ref="T1712:X1712"/>
    <mergeCell ref="B1712:F1712"/>
    <mergeCell ref="G1712:K1712"/>
    <mergeCell ref="L1712:L1713"/>
    <mergeCell ref="O1750:S1750"/>
    <mergeCell ref="T1750:X1750"/>
    <mergeCell ref="B1750:F1750"/>
    <mergeCell ref="G1750:K1750"/>
    <mergeCell ref="L1750:L1751"/>
    <mergeCell ref="O1598:S1598"/>
    <mergeCell ref="T1598:X1598"/>
    <mergeCell ref="B1598:F1598"/>
    <mergeCell ref="G1598:K1598"/>
    <mergeCell ref="L1598:L1599"/>
    <mergeCell ref="B1674:F1674"/>
    <mergeCell ref="G1674:K1674"/>
    <mergeCell ref="L1674:L1675"/>
    <mergeCell ref="O1674:S1674"/>
    <mergeCell ref="T1674:X1674"/>
    <mergeCell ref="B1636:F1636"/>
    <mergeCell ref="G1636:K1636"/>
    <mergeCell ref="L1636:L1637"/>
    <mergeCell ref="O1636:S1636"/>
    <mergeCell ref="T1636:X1636"/>
    <mergeCell ref="O1560:S1560"/>
    <mergeCell ref="T1560:X1560"/>
    <mergeCell ref="B1560:F1560"/>
    <mergeCell ref="G1560:K1560"/>
    <mergeCell ref="L1560:L1561"/>
    <mergeCell ref="O1522:S1522"/>
    <mergeCell ref="T1522:X1522"/>
    <mergeCell ref="B1522:F1522"/>
    <mergeCell ref="G1522:K1522"/>
    <mergeCell ref="L1522:L1523"/>
    <mergeCell ref="B1484:F1484"/>
    <mergeCell ref="G1484:K1484"/>
    <mergeCell ref="L1484:L1485"/>
    <mergeCell ref="O1484:S1484"/>
    <mergeCell ref="T1484:X1484"/>
    <mergeCell ref="O268:S268"/>
    <mergeCell ref="T268:X268"/>
    <mergeCell ref="B344:F344"/>
    <mergeCell ref="G344:K344"/>
    <mergeCell ref="L344:L345"/>
    <mergeCell ref="O344:S344"/>
    <mergeCell ref="T344:X344"/>
    <mergeCell ref="L306:L307"/>
    <mergeCell ref="O420:S420"/>
    <mergeCell ref="T420:X420"/>
    <mergeCell ref="B420:F420"/>
    <mergeCell ref="G420:K420"/>
    <mergeCell ref="L420:L421"/>
    <mergeCell ref="O306:S306"/>
    <mergeCell ref="T306:X306"/>
    <mergeCell ref="B306:F306"/>
    <mergeCell ref="G306:K306"/>
    <mergeCell ref="O382:S382"/>
    <mergeCell ref="T382:X382"/>
    <mergeCell ref="Y2:Y3"/>
    <mergeCell ref="B2:F2"/>
    <mergeCell ref="G2:K2"/>
    <mergeCell ref="L2:L3"/>
    <mergeCell ref="O2:S2"/>
    <mergeCell ref="T2:X2"/>
    <mergeCell ref="B116:F116"/>
    <mergeCell ref="T40:X40"/>
    <mergeCell ref="Y40:Y41"/>
    <mergeCell ref="B40:F40"/>
    <mergeCell ref="G40:K40"/>
    <mergeCell ref="L40:L41"/>
    <mergeCell ref="O40:S40"/>
    <mergeCell ref="O78:S78"/>
    <mergeCell ref="T78:X78"/>
    <mergeCell ref="Y78:Y79"/>
    <mergeCell ref="B78:F78"/>
    <mergeCell ref="G78:K78"/>
    <mergeCell ref="L78:L79"/>
    <mergeCell ref="G116:K116"/>
    <mergeCell ref="L116:L117"/>
    <mergeCell ref="O116:S116"/>
    <mergeCell ref="T116:X116"/>
    <mergeCell ref="Y116:Y117"/>
    <mergeCell ref="Y154:Y155"/>
    <mergeCell ref="B230:F230"/>
    <mergeCell ref="G230:K230"/>
    <mergeCell ref="L230:L231"/>
    <mergeCell ref="B192:F192"/>
    <mergeCell ref="G192:K192"/>
    <mergeCell ref="L192:L193"/>
    <mergeCell ref="O458:S458"/>
    <mergeCell ref="T458:X458"/>
    <mergeCell ref="B458:F458"/>
    <mergeCell ref="G458:K458"/>
    <mergeCell ref="L458:L459"/>
    <mergeCell ref="B154:F154"/>
    <mergeCell ref="G154:K154"/>
    <mergeCell ref="L154:L155"/>
    <mergeCell ref="O154:S154"/>
    <mergeCell ref="T154:X154"/>
    <mergeCell ref="O192:S192"/>
    <mergeCell ref="T192:X192"/>
    <mergeCell ref="O230:S230"/>
    <mergeCell ref="T230:X230"/>
    <mergeCell ref="B268:F268"/>
    <mergeCell ref="G268:K268"/>
    <mergeCell ref="L268:L269"/>
    <mergeCell ref="B382:F382"/>
    <mergeCell ref="G382:K382"/>
    <mergeCell ref="L382:L383"/>
    <mergeCell ref="O534:S534"/>
    <mergeCell ref="T534:X534"/>
    <mergeCell ref="B496:F496"/>
    <mergeCell ref="G496:K496"/>
    <mergeCell ref="L496:L497"/>
    <mergeCell ref="O496:S496"/>
    <mergeCell ref="T496:X496"/>
    <mergeCell ref="B534:F534"/>
    <mergeCell ref="G534:K534"/>
    <mergeCell ref="L534:L535"/>
    <mergeCell ref="B572:F572"/>
    <mergeCell ref="G572:K572"/>
    <mergeCell ref="L572:L573"/>
    <mergeCell ref="O572:S572"/>
    <mergeCell ref="T572:X572"/>
    <mergeCell ref="B610:F610"/>
    <mergeCell ref="G610:K610"/>
    <mergeCell ref="L610:L611"/>
    <mergeCell ref="O610:S610"/>
    <mergeCell ref="T610:X610"/>
    <mergeCell ref="B648:F648"/>
    <mergeCell ref="G648:K648"/>
    <mergeCell ref="L648:L649"/>
    <mergeCell ref="O648:S648"/>
    <mergeCell ref="T648:X648"/>
    <mergeCell ref="B686:F686"/>
    <mergeCell ref="G686:K686"/>
    <mergeCell ref="L686:L687"/>
    <mergeCell ref="O686:S686"/>
    <mergeCell ref="T686:X686"/>
    <mergeCell ref="O762:S762"/>
    <mergeCell ref="T762:X762"/>
    <mergeCell ref="B762:F762"/>
    <mergeCell ref="G762:K762"/>
    <mergeCell ref="L762:L763"/>
    <mergeCell ref="B724:F724"/>
    <mergeCell ref="G724:K724"/>
    <mergeCell ref="L724:L725"/>
    <mergeCell ref="O724:S724"/>
    <mergeCell ref="T724:X724"/>
    <mergeCell ref="B914:F914"/>
    <mergeCell ref="G914:K914"/>
    <mergeCell ref="L914:L915"/>
    <mergeCell ref="O914:S914"/>
    <mergeCell ref="T914:X914"/>
    <mergeCell ref="B800:F800"/>
    <mergeCell ref="G800:K800"/>
    <mergeCell ref="L800:L801"/>
    <mergeCell ref="O800:S800"/>
    <mergeCell ref="T800:X800"/>
    <mergeCell ref="B876:F876"/>
    <mergeCell ref="G876:K876"/>
    <mergeCell ref="L876:L877"/>
    <mergeCell ref="O876:S876"/>
    <mergeCell ref="T876:X876"/>
    <mergeCell ref="O838:S838"/>
    <mergeCell ref="T838:X838"/>
    <mergeCell ref="B838:F838"/>
    <mergeCell ref="G838:K838"/>
    <mergeCell ref="L838:L839"/>
    <mergeCell ref="O952:S952"/>
    <mergeCell ref="T952:X952"/>
    <mergeCell ref="B952:F952"/>
    <mergeCell ref="G952:K952"/>
    <mergeCell ref="L952:L953"/>
    <mergeCell ref="B990:F990"/>
    <mergeCell ref="G990:K990"/>
    <mergeCell ref="L990:L991"/>
    <mergeCell ref="O990:S990"/>
    <mergeCell ref="T990:X990"/>
    <mergeCell ref="B1066:F1066"/>
    <mergeCell ref="G1066:K1066"/>
    <mergeCell ref="L1066:L1067"/>
    <mergeCell ref="O1028:S1028"/>
    <mergeCell ref="T1028:X1028"/>
    <mergeCell ref="B1028:F1028"/>
    <mergeCell ref="G1028:K1028"/>
    <mergeCell ref="L1028:L1029"/>
    <mergeCell ref="O1066:S1066"/>
    <mergeCell ref="T1066:X1066"/>
    <mergeCell ref="O1104:S1104"/>
    <mergeCell ref="T1104:X1104"/>
    <mergeCell ref="B1104:F1104"/>
    <mergeCell ref="G1104:K1104"/>
    <mergeCell ref="L1104:L1105"/>
    <mergeCell ref="B1142:F1142"/>
    <mergeCell ref="G1142:K1142"/>
    <mergeCell ref="L1142:L1143"/>
    <mergeCell ref="O1142:S1142"/>
    <mergeCell ref="T1142:X1142"/>
    <mergeCell ref="B1180:F1180"/>
    <mergeCell ref="G1180:K1180"/>
    <mergeCell ref="L1180:L1181"/>
    <mergeCell ref="O1180:S1180"/>
    <mergeCell ref="T1180:X1180"/>
    <mergeCell ref="B1294:F1294"/>
    <mergeCell ref="G1294:K1294"/>
    <mergeCell ref="L1294:L1295"/>
    <mergeCell ref="O1294:S1294"/>
    <mergeCell ref="T1294:X1294"/>
    <mergeCell ref="B1218:F1218"/>
    <mergeCell ref="G1218:K1218"/>
    <mergeCell ref="L1218:L1219"/>
    <mergeCell ref="O1218:S1218"/>
    <mergeCell ref="T1218:X1218"/>
    <mergeCell ref="B1256:F1256"/>
    <mergeCell ref="G1256:K1256"/>
    <mergeCell ref="L1256:L1257"/>
    <mergeCell ref="O1256:S1256"/>
    <mergeCell ref="T1256:X1256"/>
    <mergeCell ref="O1332:S1332"/>
    <mergeCell ref="T1332:X1332"/>
    <mergeCell ref="B1332:F1332"/>
    <mergeCell ref="G1332:K1332"/>
    <mergeCell ref="L1332:L1333"/>
    <mergeCell ref="B1446:F1446"/>
    <mergeCell ref="G1446:K1446"/>
    <mergeCell ref="L1446:L1447"/>
    <mergeCell ref="O1446:S1446"/>
    <mergeCell ref="O1370:S1370"/>
    <mergeCell ref="T1370:X1370"/>
    <mergeCell ref="B1370:F1370"/>
    <mergeCell ref="G1370:K1370"/>
    <mergeCell ref="L1370:L1371"/>
    <mergeCell ref="B1408:F1408"/>
    <mergeCell ref="G1408:K1408"/>
    <mergeCell ref="L1408:L1409"/>
    <mergeCell ref="O1408:S1408"/>
    <mergeCell ref="T1408:X1408"/>
    <mergeCell ref="T1446:X1446"/>
    <mergeCell ref="O1864:S1864"/>
    <mergeCell ref="T1864:X1864"/>
    <mergeCell ref="B1864:F1864"/>
    <mergeCell ref="G1864:K1864"/>
    <mergeCell ref="L1864:L1865"/>
    <mergeCell ref="B1826:F1826"/>
    <mergeCell ref="G1826:K1826"/>
    <mergeCell ref="L1826:L1827"/>
    <mergeCell ref="O1826:S1826"/>
    <mergeCell ref="T1826:X1826"/>
    <mergeCell ref="O1978:S1978"/>
    <mergeCell ref="T1978:X1978"/>
    <mergeCell ref="Y1978:Y1979"/>
    <mergeCell ref="B1978:F1978"/>
    <mergeCell ref="G1978:K1978"/>
    <mergeCell ref="L1978:L1979"/>
    <mergeCell ref="O1902:S1902"/>
    <mergeCell ref="T1902:X1902"/>
    <mergeCell ref="Y1902:Y1903"/>
    <mergeCell ref="B1902:F1902"/>
    <mergeCell ref="G1902:K1902"/>
    <mergeCell ref="L1902:L1903"/>
    <mergeCell ref="B1940:F1940"/>
    <mergeCell ref="G1940:K1940"/>
    <mergeCell ref="L1940:L1941"/>
    <mergeCell ref="O1940:S1940"/>
    <mergeCell ref="T1940:X1940"/>
    <mergeCell ref="Y1940:Y1941"/>
  </mergeCells>
  <phoneticPr fontId="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dcterms:created xsi:type="dcterms:W3CDTF">2014-11-17T01:36:50Z</dcterms:created>
  <dcterms:modified xsi:type="dcterms:W3CDTF">2026-07-15T03:01:08Z</dcterms:modified>
</cp:coreProperties>
</file>