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川本産業㈱（ニシキ）\"/>
    </mc:Choice>
  </mc:AlternateContent>
  <xr:revisionPtr revIDLastSave="0" documentId="13_ncr:1_{95B27B9C-BC71-4F66-9CD1-517BE7854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通常サイズ（M～LL）" sheetId="1" r:id="rId1"/>
    <sheet name="大サイズ(3L～5L）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973" i="1" l="1"/>
  <c r="W1973" i="1"/>
  <c r="R1973" i="1"/>
  <c r="Q1973" i="1"/>
  <c r="AB2098" i="1"/>
  <c r="X2098" i="1"/>
  <c r="T2098" i="1"/>
  <c r="AC2098" i="1" s="1"/>
  <c r="AB546" i="4"/>
  <c r="X546" i="4"/>
  <c r="T546" i="4"/>
  <c r="AC546" i="4" s="1"/>
  <c r="T458" i="4"/>
  <c r="X458" i="4"/>
  <c r="AB458" i="4"/>
  <c r="AC458" i="4"/>
  <c r="Z423" i="4"/>
  <c r="Y423" i="4"/>
  <c r="Z1973" i="1"/>
  <c r="Y1973" i="1"/>
  <c r="V1973" i="1"/>
  <c r="U1973" i="1"/>
  <c r="AB554" i="4"/>
  <c r="X554" i="4"/>
  <c r="T554" i="4"/>
  <c r="AB553" i="4"/>
  <c r="X553" i="4"/>
  <c r="T553" i="4"/>
  <c r="AC552" i="4"/>
  <c r="AB552" i="4"/>
  <c r="X552" i="4"/>
  <c r="T552" i="4"/>
  <c r="AB551" i="4"/>
  <c r="X551" i="4"/>
  <c r="T551" i="4"/>
  <c r="AC551" i="4" s="1"/>
  <c r="AC550" i="4"/>
  <c r="AB550" i="4"/>
  <c r="X550" i="4"/>
  <c r="T550" i="4"/>
  <c r="AB549" i="4"/>
  <c r="X549" i="4"/>
  <c r="T549" i="4"/>
  <c r="AC549" i="4" s="1"/>
  <c r="AC548" i="4"/>
  <c r="AB548" i="4"/>
  <c r="X548" i="4"/>
  <c r="T548" i="4"/>
  <c r="AB547" i="4"/>
  <c r="X547" i="4"/>
  <c r="T547" i="4"/>
  <c r="AC547" i="4" s="1"/>
  <c r="L2277" i="1"/>
  <c r="K2277" i="1"/>
  <c r="J2277" i="1"/>
  <c r="H2277" i="1"/>
  <c r="G2277" i="1"/>
  <c r="F2277" i="1"/>
  <c r="D2277" i="1"/>
  <c r="C2277" i="1"/>
  <c r="B2277" i="1"/>
  <c r="M2276" i="1"/>
  <c r="N2276" i="1" s="1"/>
  <c r="I2276" i="1"/>
  <c r="E2276" i="1"/>
  <c r="M2275" i="1"/>
  <c r="N2275" i="1" s="1"/>
  <c r="I2275" i="1"/>
  <c r="E2275" i="1"/>
  <c r="M2274" i="1"/>
  <c r="N2274" i="1" s="1"/>
  <c r="I2274" i="1"/>
  <c r="E2274" i="1"/>
  <c r="M2273" i="1"/>
  <c r="N2273" i="1" s="1"/>
  <c r="I2273" i="1"/>
  <c r="E2273" i="1"/>
  <c r="M2272" i="1"/>
  <c r="N2272" i="1" s="1"/>
  <c r="I2272" i="1"/>
  <c r="E2272" i="1"/>
  <c r="M2271" i="1"/>
  <c r="N2271" i="1" s="1"/>
  <c r="I2271" i="1"/>
  <c r="E2271" i="1"/>
  <c r="M2270" i="1"/>
  <c r="N2270" i="1" s="1"/>
  <c r="I2270" i="1"/>
  <c r="E2270" i="1"/>
  <c r="M2269" i="1"/>
  <c r="N2269" i="1" s="1"/>
  <c r="I2269" i="1"/>
  <c r="E2269" i="1"/>
  <c r="M2268" i="1"/>
  <c r="N2268" i="1" s="1"/>
  <c r="I2268" i="1"/>
  <c r="E2268" i="1"/>
  <c r="M2267" i="1"/>
  <c r="N2267" i="1" s="1"/>
  <c r="I2267" i="1"/>
  <c r="E2267" i="1"/>
  <c r="M2266" i="1"/>
  <c r="N2266" i="1" s="1"/>
  <c r="I2266" i="1"/>
  <c r="E2266" i="1"/>
  <c r="M2265" i="1"/>
  <c r="N2265" i="1" s="1"/>
  <c r="I2265" i="1"/>
  <c r="E2265" i="1"/>
  <c r="M2264" i="1"/>
  <c r="N2264" i="1" s="1"/>
  <c r="I2264" i="1"/>
  <c r="E2264" i="1"/>
  <c r="M2263" i="1"/>
  <c r="N2263" i="1" s="1"/>
  <c r="I2263" i="1"/>
  <c r="E2263" i="1"/>
  <c r="M2262" i="1"/>
  <c r="N2262" i="1" s="1"/>
  <c r="I2262" i="1"/>
  <c r="E2262" i="1"/>
  <c r="M2261" i="1"/>
  <c r="N2261" i="1" s="1"/>
  <c r="I2261" i="1"/>
  <c r="E2261" i="1"/>
  <c r="M2260" i="1"/>
  <c r="N2260" i="1" s="1"/>
  <c r="I2260" i="1"/>
  <c r="E2260" i="1"/>
  <c r="M2259" i="1"/>
  <c r="N2259" i="1" s="1"/>
  <c r="I2259" i="1"/>
  <c r="E2259" i="1"/>
  <c r="M2258" i="1"/>
  <c r="N2258" i="1" s="1"/>
  <c r="I2258" i="1"/>
  <c r="E2258" i="1"/>
  <c r="M2257" i="1"/>
  <c r="N2257" i="1" s="1"/>
  <c r="I2257" i="1"/>
  <c r="E2257" i="1"/>
  <c r="M2256" i="1"/>
  <c r="N2256" i="1" s="1"/>
  <c r="I2256" i="1"/>
  <c r="E2256" i="1"/>
  <c r="M2255" i="1"/>
  <c r="N2255" i="1" s="1"/>
  <c r="I2255" i="1"/>
  <c r="E2255" i="1"/>
  <c r="M2254" i="1"/>
  <c r="N2254" i="1" s="1"/>
  <c r="I2254" i="1"/>
  <c r="E2254" i="1"/>
  <c r="M2253" i="1"/>
  <c r="N2253" i="1" s="1"/>
  <c r="I2253" i="1"/>
  <c r="E2253" i="1"/>
  <c r="N2251" i="1"/>
  <c r="M2251" i="1"/>
  <c r="I2251" i="1"/>
  <c r="E2251" i="1"/>
  <c r="N2250" i="1"/>
  <c r="M2250" i="1"/>
  <c r="I2250" i="1"/>
  <c r="E2250" i="1"/>
  <c r="N2249" i="1"/>
  <c r="M2249" i="1"/>
  <c r="I2249" i="1"/>
  <c r="E2249" i="1"/>
  <c r="N2248" i="1"/>
  <c r="M2248" i="1"/>
  <c r="I2248" i="1"/>
  <c r="E2248" i="1"/>
  <c r="N2247" i="1"/>
  <c r="M2247" i="1"/>
  <c r="I2247" i="1"/>
  <c r="E2247" i="1"/>
  <c r="N2246" i="1"/>
  <c r="M2246" i="1"/>
  <c r="I2246" i="1"/>
  <c r="E2246" i="1"/>
  <c r="N2245" i="1"/>
  <c r="M2245" i="1"/>
  <c r="I2245" i="1"/>
  <c r="E2245" i="1"/>
  <c r="N2244" i="1"/>
  <c r="M2244" i="1"/>
  <c r="I2244" i="1"/>
  <c r="E2244" i="1"/>
  <c r="N2243" i="1"/>
  <c r="M2243" i="1"/>
  <c r="I2243" i="1"/>
  <c r="E2243" i="1"/>
  <c r="N2242" i="1"/>
  <c r="M2242" i="1"/>
  <c r="I2242" i="1"/>
  <c r="E2242" i="1"/>
  <c r="T2010" i="1"/>
  <c r="X2010" i="1"/>
  <c r="AB2010" i="1"/>
  <c r="AC2010" i="1"/>
  <c r="T2011" i="1"/>
  <c r="X2011" i="1"/>
  <c r="AB2011" i="1"/>
  <c r="AC2011" i="1"/>
  <c r="R2012" i="1"/>
  <c r="T2012" i="1" s="1"/>
  <c r="AC2012" i="1" s="1"/>
  <c r="V2012" i="1"/>
  <c r="X2012" i="1"/>
  <c r="Z2012" i="1"/>
  <c r="AB2012" i="1"/>
  <c r="T2013" i="1"/>
  <c r="AC2013" i="1" s="1"/>
  <c r="X2013" i="1"/>
  <c r="AB2013" i="1"/>
  <c r="T2014" i="1"/>
  <c r="AC2014" i="1" s="1"/>
  <c r="X2014" i="1"/>
  <c r="AB2014" i="1"/>
  <c r="T2009" i="1"/>
  <c r="X2009" i="1"/>
  <c r="AB2009" i="1"/>
  <c r="AC2009" i="1"/>
  <c r="AB2052" i="1"/>
  <c r="X2052" i="1"/>
  <c r="T2052" i="1"/>
  <c r="AC2052" i="1" s="1"/>
  <c r="AB2053" i="1"/>
  <c r="X2053" i="1"/>
  <c r="T2053" i="1"/>
  <c r="AC2053" i="1" s="1"/>
  <c r="T2095" i="1"/>
  <c r="X2095" i="1"/>
  <c r="AB2095" i="1"/>
  <c r="AC2095" i="1"/>
  <c r="T2096" i="1"/>
  <c r="X2096" i="1"/>
  <c r="AB2096" i="1"/>
  <c r="AC2096" i="1"/>
  <c r="T2097" i="1"/>
  <c r="X2097" i="1"/>
  <c r="AB2097" i="1"/>
  <c r="AC2097" i="1"/>
  <c r="T2099" i="1"/>
  <c r="X2099" i="1"/>
  <c r="AB2099" i="1"/>
  <c r="AC2099" i="1"/>
  <c r="T2100" i="1"/>
  <c r="X2100" i="1"/>
  <c r="AB2100" i="1"/>
  <c r="AC2100" i="1"/>
  <c r="T2101" i="1"/>
  <c r="X2101" i="1"/>
  <c r="AB2101" i="1"/>
  <c r="AC2101" i="1"/>
  <c r="T2102" i="1"/>
  <c r="X2102" i="1"/>
  <c r="AB2102" i="1"/>
  <c r="AC2102" i="1"/>
  <c r="T2103" i="1"/>
  <c r="X2103" i="1"/>
  <c r="AB2103" i="1"/>
  <c r="AC2103" i="1"/>
  <c r="T2104" i="1"/>
  <c r="X2104" i="1"/>
  <c r="AB2104" i="1"/>
  <c r="AC2104" i="1"/>
  <c r="AB2147" i="1"/>
  <c r="X2147" i="1"/>
  <c r="T2147" i="1"/>
  <c r="AC2147" i="1" s="1"/>
  <c r="AB2146" i="1"/>
  <c r="X2146" i="1"/>
  <c r="T2146" i="1"/>
  <c r="AC2146" i="1" s="1"/>
  <c r="AA2145" i="1"/>
  <c r="AA2148" i="1" s="1"/>
  <c r="Z2145" i="1"/>
  <c r="AB2145" i="1" s="1"/>
  <c r="Y2145" i="1"/>
  <c r="W2145" i="1"/>
  <c r="W2148" i="1" s="1"/>
  <c r="V2145" i="1"/>
  <c r="X2145" i="1" s="1"/>
  <c r="U2145" i="1"/>
  <c r="S2145" i="1"/>
  <c r="R2145" i="1"/>
  <c r="R2148" i="1" s="1"/>
  <c r="Q2145" i="1"/>
  <c r="AB2144" i="1"/>
  <c r="X2144" i="1"/>
  <c r="AC2144" i="1" s="1"/>
  <c r="T2144" i="1"/>
  <c r="T2140" i="1"/>
  <c r="X2140" i="1"/>
  <c r="AB2140" i="1"/>
  <c r="AC2140" i="1" s="1"/>
  <c r="T2141" i="1"/>
  <c r="X2141" i="1"/>
  <c r="AB2141" i="1"/>
  <c r="AC2141" i="1"/>
  <c r="T2142" i="1"/>
  <c r="X2142" i="1"/>
  <c r="AB2142" i="1"/>
  <c r="AC2142" i="1"/>
  <c r="T2143" i="1"/>
  <c r="X2143" i="1"/>
  <c r="AB2143" i="1"/>
  <c r="AC2143" i="1"/>
  <c r="AB2190" i="1"/>
  <c r="X2190" i="1"/>
  <c r="T2190" i="1"/>
  <c r="AC2190" i="1" s="1"/>
  <c r="AB2189" i="1"/>
  <c r="X2189" i="1"/>
  <c r="T2189" i="1"/>
  <c r="AC2189" i="1" s="1"/>
  <c r="AB2188" i="1"/>
  <c r="X2188" i="1"/>
  <c r="T2188" i="1"/>
  <c r="AC2188" i="1" s="1"/>
  <c r="AB2187" i="1"/>
  <c r="X2187" i="1"/>
  <c r="T2187" i="1"/>
  <c r="AC2187" i="1" s="1"/>
  <c r="AB2186" i="1"/>
  <c r="X2186" i="1"/>
  <c r="T2186" i="1"/>
  <c r="AC2186" i="1" s="1"/>
  <c r="AB2185" i="1"/>
  <c r="X2185" i="1"/>
  <c r="T2185" i="1"/>
  <c r="AC2185" i="1" s="1"/>
  <c r="AB2184" i="1"/>
  <c r="X2184" i="1"/>
  <c r="T2184" i="1"/>
  <c r="AB2183" i="1"/>
  <c r="X2183" i="1"/>
  <c r="X2191" i="1" s="1"/>
  <c r="T2183" i="1"/>
  <c r="AC2183" i="1" s="1"/>
  <c r="AB2233" i="1"/>
  <c r="X2233" i="1"/>
  <c r="T2233" i="1"/>
  <c r="AC2233" i="1" s="1"/>
  <c r="AB2232" i="1"/>
  <c r="X2232" i="1"/>
  <c r="T2232" i="1"/>
  <c r="AC2232" i="1" s="1"/>
  <c r="AB2231" i="1"/>
  <c r="X2231" i="1"/>
  <c r="T2231" i="1"/>
  <c r="AC2231" i="1" s="1"/>
  <c r="AB2230" i="1"/>
  <c r="X2230" i="1"/>
  <c r="T2230" i="1"/>
  <c r="AC2230" i="1" s="1"/>
  <c r="AB2229" i="1"/>
  <c r="X2229" i="1"/>
  <c r="T2229" i="1"/>
  <c r="AC2229" i="1" s="1"/>
  <c r="AB2228" i="1"/>
  <c r="X2228" i="1"/>
  <c r="T2228" i="1"/>
  <c r="AC2228" i="1" s="1"/>
  <c r="T2158" i="1"/>
  <c r="X2158" i="1"/>
  <c r="AB2158" i="1"/>
  <c r="AC2158" i="1"/>
  <c r="T2159" i="1"/>
  <c r="X2159" i="1"/>
  <c r="AB2159" i="1"/>
  <c r="AC2159" i="1"/>
  <c r="AB2201" i="1"/>
  <c r="X2201" i="1"/>
  <c r="T2201" i="1"/>
  <c r="AC2201" i="1" s="1"/>
  <c r="AA2277" i="1"/>
  <c r="Z2277" i="1"/>
  <c r="Y2277" i="1"/>
  <c r="W2277" i="1"/>
  <c r="V2277" i="1"/>
  <c r="U2277" i="1"/>
  <c r="S2277" i="1"/>
  <c r="R2277" i="1"/>
  <c r="Q2277" i="1"/>
  <c r="AB2276" i="1"/>
  <c r="X2276" i="1"/>
  <c r="T2276" i="1"/>
  <c r="AC2276" i="1" s="1"/>
  <c r="AB2275" i="1"/>
  <c r="X2275" i="1"/>
  <c r="T2275" i="1"/>
  <c r="AC2275" i="1" s="1"/>
  <c r="AB2274" i="1"/>
  <c r="X2274" i="1"/>
  <c r="T2274" i="1"/>
  <c r="AC2274" i="1" s="1"/>
  <c r="AB2273" i="1"/>
  <c r="X2273" i="1"/>
  <c r="T2273" i="1"/>
  <c r="AC2273" i="1" s="1"/>
  <c r="AB2272" i="1"/>
  <c r="X2272" i="1"/>
  <c r="T2272" i="1"/>
  <c r="AC2272" i="1" s="1"/>
  <c r="AB2271" i="1"/>
  <c r="X2271" i="1"/>
  <c r="T2271" i="1"/>
  <c r="AC2271" i="1" s="1"/>
  <c r="AB2270" i="1"/>
  <c r="X2270" i="1"/>
  <c r="T2270" i="1"/>
  <c r="AC2270" i="1" s="1"/>
  <c r="AB2269" i="1"/>
  <c r="X2269" i="1"/>
  <c r="T2269" i="1"/>
  <c r="AC2269" i="1" s="1"/>
  <c r="AB2268" i="1"/>
  <c r="X2268" i="1"/>
  <c r="T2268" i="1"/>
  <c r="AC2268" i="1" s="1"/>
  <c r="AB2267" i="1"/>
  <c r="X2267" i="1"/>
  <c r="T2267" i="1"/>
  <c r="AC2267" i="1" s="1"/>
  <c r="AB2266" i="1"/>
  <c r="X2266" i="1"/>
  <c r="T2266" i="1"/>
  <c r="AC2266" i="1" s="1"/>
  <c r="AB2265" i="1"/>
  <c r="X2265" i="1"/>
  <c r="T2265" i="1"/>
  <c r="AC2265" i="1" s="1"/>
  <c r="AB2264" i="1"/>
  <c r="X2264" i="1"/>
  <c r="T2264" i="1"/>
  <c r="AC2264" i="1" s="1"/>
  <c r="AB2263" i="1"/>
  <c r="X2263" i="1"/>
  <c r="T2263" i="1"/>
  <c r="AC2263" i="1" s="1"/>
  <c r="AB2262" i="1"/>
  <c r="X2262" i="1"/>
  <c r="T2262" i="1"/>
  <c r="AC2262" i="1" s="1"/>
  <c r="AB2261" i="1"/>
  <c r="X2261" i="1"/>
  <c r="T2261" i="1"/>
  <c r="AC2261" i="1" s="1"/>
  <c r="AB2260" i="1"/>
  <c r="X2260" i="1"/>
  <c r="T2260" i="1"/>
  <c r="AC2260" i="1" s="1"/>
  <c r="AB2259" i="1"/>
  <c r="X2259" i="1"/>
  <c r="T2259" i="1"/>
  <c r="AC2259" i="1" s="1"/>
  <c r="AB2258" i="1"/>
  <c r="X2258" i="1"/>
  <c r="T2258" i="1"/>
  <c r="AC2258" i="1" s="1"/>
  <c r="AB2257" i="1"/>
  <c r="X2257" i="1"/>
  <c r="T2257" i="1"/>
  <c r="AC2257" i="1" s="1"/>
  <c r="AB2256" i="1"/>
  <c r="X2256" i="1"/>
  <c r="T2256" i="1"/>
  <c r="AC2256" i="1" s="1"/>
  <c r="AB2255" i="1"/>
  <c r="X2255" i="1"/>
  <c r="T2255" i="1"/>
  <c r="AC2255" i="1" s="1"/>
  <c r="AB2254" i="1"/>
  <c r="X2254" i="1"/>
  <c r="T2254" i="1"/>
  <c r="AC2254" i="1" s="1"/>
  <c r="AB2253" i="1"/>
  <c r="AB2277" i="1" s="1"/>
  <c r="X2253" i="1"/>
  <c r="X2277" i="1" s="1"/>
  <c r="T2253" i="1"/>
  <c r="T2277" i="1" s="1"/>
  <c r="AC2251" i="1"/>
  <c r="AB2251" i="1"/>
  <c r="X2251" i="1"/>
  <c r="T2251" i="1"/>
  <c r="AC2250" i="1"/>
  <c r="AB2250" i="1"/>
  <c r="X2250" i="1"/>
  <c r="T2250" i="1"/>
  <c r="AC2249" i="1"/>
  <c r="AB2249" i="1"/>
  <c r="X2249" i="1"/>
  <c r="T2249" i="1"/>
  <c r="AC2248" i="1"/>
  <c r="AB2248" i="1"/>
  <c r="X2248" i="1"/>
  <c r="T2248" i="1"/>
  <c r="AC2247" i="1"/>
  <c r="AB2247" i="1"/>
  <c r="X2247" i="1"/>
  <c r="T2247" i="1"/>
  <c r="AC2246" i="1"/>
  <c r="AB2246" i="1"/>
  <c r="X2246" i="1"/>
  <c r="T2246" i="1"/>
  <c r="AC2245" i="1"/>
  <c r="AB2245" i="1"/>
  <c r="X2245" i="1"/>
  <c r="T2245" i="1"/>
  <c r="AC2244" i="1"/>
  <c r="AB2244" i="1"/>
  <c r="X2244" i="1"/>
  <c r="T2244" i="1"/>
  <c r="AC2243" i="1"/>
  <c r="AB2243" i="1"/>
  <c r="X2243" i="1"/>
  <c r="T2243" i="1"/>
  <c r="AC2242" i="1"/>
  <c r="AB2242" i="1"/>
  <c r="X2242" i="1"/>
  <c r="T2242" i="1"/>
  <c r="AA1967" i="1"/>
  <c r="Z1967" i="1"/>
  <c r="Y1967" i="1"/>
  <c r="W1967" i="1"/>
  <c r="V1967" i="1"/>
  <c r="U1967" i="1"/>
  <c r="X1967" i="1" s="1"/>
  <c r="S1967" i="1"/>
  <c r="R1967" i="1"/>
  <c r="AA425" i="4"/>
  <c r="Y425" i="4"/>
  <c r="AB425" i="4" s="1"/>
  <c r="W425" i="4"/>
  <c r="U425" i="4"/>
  <c r="S425" i="4"/>
  <c r="Q425" i="4"/>
  <c r="AA1975" i="1"/>
  <c r="Z1975" i="1"/>
  <c r="AB1975" i="1" s="1"/>
  <c r="Y1975" i="1"/>
  <c r="W1975" i="1"/>
  <c r="V1975" i="1"/>
  <c r="U1975" i="1"/>
  <c r="V1976" i="1"/>
  <c r="S1975" i="1"/>
  <c r="R1975" i="1"/>
  <c r="Q1975" i="1"/>
  <c r="U1890" i="1"/>
  <c r="X1932" i="1"/>
  <c r="AB1952" i="1"/>
  <c r="X1952" i="1"/>
  <c r="T1952" i="1"/>
  <c r="AC1952" i="1" s="1"/>
  <c r="T1953" i="1"/>
  <c r="X1953" i="1"/>
  <c r="AB1953" i="1"/>
  <c r="AB1927" i="1"/>
  <c r="X1927" i="1"/>
  <c r="T1927" i="1"/>
  <c r="AB1926" i="1"/>
  <c r="X1926" i="1"/>
  <c r="T1926" i="1"/>
  <c r="AC1926" i="1" s="1"/>
  <c r="T1928" i="1"/>
  <c r="X1928" i="1"/>
  <c r="AB1928" i="1"/>
  <c r="AC1928" i="1"/>
  <c r="T1929" i="1"/>
  <c r="X1929" i="1"/>
  <c r="AB1929" i="1"/>
  <c r="AC1929" i="1"/>
  <c r="T1930" i="1"/>
  <c r="X1930" i="1"/>
  <c r="AC1930" i="1" s="1"/>
  <c r="AB1930" i="1"/>
  <c r="T1931" i="1"/>
  <c r="X1931" i="1"/>
  <c r="AB1931" i="1"/>
  <c r="AC1931" i="1" s="1"/>
  <c r="T1932" i="1"/>
  <c r="AA1933" i="1"/>
  <c r="AB1932" i="1"/>
  <c r="AB1967" i="1"/>
  <c r="R1976" i="1"/>
  <c r="Q1967" i="1"/>
  <c r="T1967" i="1" s="1"/>
  <c r="AB1966" i="1"/>
  <c r="X1966" i="1"/>
  <c r="T1966" i="1"/>
  <c r="AC1966" i="1" s="1"/>
  <c r="AB1884" i="1"/>
  <c r="T2136" i="1"/>
  <c r="X2136" i="1"/>
  <c r="AB2136" i="1"/>
  <c r="AC2136" i="1"/>
  <c r="T2137" i="1"/>
  <c r="X2137" i="1"/>
  <c r="AB2137" i="1"/>
  <c r="AC2137" i="1"/>
  <c r="T2138" i="1"/>
  <c r="X2138" i="1"/>
  <c r="AB2138" i="1"/>
  <c r="AC2138" i="1"/>
  <c r="T2139" i="1"/>
  <c r="X2139" i="1"/>
  <c r="AB2139" i="1"/>
  <c r="AC2139" i="1"/>
  <c r="T2134" i="1"/>
  <c r="X2134" i="1"/>
  <c r="AB2134" i="1"/>
  <c r="AC2134" i="1"/>
  <c r="T2135" i="1"/>
  <c r="X2135" i="1"/>
  <c r="AB2135" i="1"/>
  <c r="AC2135" i="1"/>
  <c r="AB416" i="4"/>
  <c r="X416" i="4"/>
  <c r="T416" i="4"/>
  <c r="AC416" i="4" s="1"/>
  <c r="AB415" i="4"/>
  <c r="X415" i="4"/>
  <c r="T415" i="4"/>
  <c r="AC415" i="4" s="1"/>
  <c r="AB2055" i="1"/>
  <c r="X2055" i="1"/>
  <c r="T2055" i="1"/>
  <c r="AC2055" i="1" s="1"/>
  <c r="AB2054" i="1"/>
  <c r="X2054" i="1"/>
  <c r="T2054" i="1"/>
  <c r="AC2054" i="1" s="1"/>
  <c r="W1890" i="1"/>
  <c r="AA427" i="4"/>
  <c r="Z427" i="4"/>
  <c r="AB427" i="4" s="1"/>
  <c r="Y427" i="4"/>
  <c r="W427" i="4"/>
  <c r="V427" i="4"/>
  <c r="U427" i="4"/>
  <c r="U428" i="4" s="1"/>
  <c r="V428" i="4"/>
  <c r="S427" i="4"/>
  <c r="R427" i="4"/>
  <c r="Q427" i="4"/>
  <c r="AA1969" i="1"/>
  <c r="Z1969" i="1"/>
  <c r="AB1969" i="1" s="1"/>
  <c r="Y1969" i="1"/>
  <c r="W1969" i="1"/>
  <c r="W1976" i="1" s="1"/>
  <c r="V1969" i="1"/>
  <c r="U1969" i="1"/>
  <c r="X1969" i="1" s="1"/>
  <c r="S1969" i="1"/>
  <c r="R1969" i="1"/>
  <c r="Q1969" i="1"/>
  <c r="AB459" i="4"/>
  <c r="X459" i="4"/>
  <c r="T459" i="4"/>
  <c r="AC459" i="4" s="1"/>
  <c r="AA421" i="4"/>
  <c r="Z421" i="4"/>
  <c r="AB421" i="4" s="1"/>
  <c r="Y421" i="4"/>
  <c r="W421" i="4"/>
  <c r="W428" i="4" s="1"/>
  <c r="V421" i="4"/>
  <c r="U421" i="4"/>
  <c r="S421" i="4"/>
  <c r="R421" i="4"/>
  <c r="Q421" i="4"/>
  <c r="E1885" i="1"/>
  <c r="I1885" i="1"/>
  <c r="M1885" i="1"/>
  <c r="N1885" i="1"/>
  <c r="N1909" i="1"/>
  <c r="M1909" i="1"/>
  <c r="I1909" i="1"/>
  <c r="E1909" i="1"/>
  <c r="T1944" i="1"/>
  <c r="X1944" i="1"/>
  <c r="AB1944" i="1"/>
  <c r="AC1944" i="1"/>
  <c r="T1945" i="1"/>
  <c r="X1945" i="1"/>
  <c r="AB1945" i="1"/>
  <c r="AC1945" i="1"/>
  <c r="T1946" i="1"/>
  <c r="X1946" i="1"/>
  <c r="AB1946" i="1"/>
  <c r="AC1946" i="1"/>
  <c r="AB1986" i="1"/>
  <c r="X1986" i="1"/>
  <c r="T1986" i="1"/>
  <c r="AC1986" i="1" s="1"/>
  <c r="AB1873" i="1"/>
  <c r="X1873" i="1"/>
  <c r="T1873" i="1"/>
  <c r="AC1873" i="1" s="1"/>
  <c r="AB1911" i="1"/>
  <c r="X1911" i="1"/>
  <c r="T1911" i="1"/>
  <c r="AC1911" i="1" s="1"/>
  <c r="T1924" i="1"/>
  <c r="X1924" i="1"/>
  <c r="AB1924" i="1"/>
  <c r="AC1924" i="1"/>
  <c r="T1925" i="1"/>
  <c r="AC1925" i="1" s="1"/>
  <c r="X1925" i="1"/>
  <c r="AB1925" i="1"/>
  <c r="T1969" i="1"/>
  <c r="AC1968" i="1"/>
  <c r="AB1968" i="1"/>
  <c r="X1968" i="1"/>
  <c r="T1968" i="1"/>
  <c r="T1970" i="1"/>
  <c r="X1970" i="1"/>
  <c r="AB1970" i="1"/>
  <c r="AC1970" i="1"/>
  <c r="T1971" i="1"/>
  <c r="X1971" i="1"/>
  <c r="AB1971" i="1"/>
  <c r="AC1971" i="1"/>
  <c r="T1972" i="1"/>
  <c r="X1972" i="1"/>
  <c r="AB1972" i="1"/>
  <c r="AC1972" i="1"/>
  <c r="T1973" i="1"/>
  <c r="AB1973" i="1"/>
  <c r="T1974" i="1"/>
  <c r="X1974" i="1"/>
  <c r="AB1974" i="1"/>
  <c r="T1975" i="1"/>
  <c r="X1975" i="1"/>
  <c r="T2008" i="1"/>
  <c r="X2008" i="1"/>
  <c r="AB2008" i="1"/>
  <c r="AC2008" i="1"/>
  <c r="AB2016" i="1"/>
  <c r="X2016" i="1"/>
  <c r="T2016" i="1"/>
  <c r="AC2016" i="1" s="1"/>
  <c r="AB2015" i="1"/>
  <c r="X2015" i="1"/>
  <c r="T2015" i="1"/>
  <c r="AC2015" i="1" s="1"/>
  <c r="AB2057" i="1"/>
  <c r="X2057" i="1"/>
  <c r="T2057" i="1"/>
  <c r="AC2057" i="1" s="1"/>
  <c r="AB2056" i="1"/>
  <c r="X2056" i="1"/>
  <c r="T2056" i="1"/>
  <c r="AC2056" i="1" s="1"/>
  <c r="AB2059" i="1"/>
  <c r="X2059" i="1"/>
  <c r="T2059" i="1"/>
  <c r="AC2059" i="1" s="1"/>
  <c r="AB2058" i="1"/>
  <c r="X2058" i="1"/>
  <c r="T2058" i="1"/>
  <c r="AC2058" i="1" s="1"/>
  <c r="AB2061" i="1"/>
  <c r="X2061" i="1"/>
  <c r="T2061" i="1"/>
  <c r="AC2061" i="1" s="1"/>
  <c r="AB2060" i="1"/>
  <c r="X2060" i="1"/>
  <c r="T2060" i="1"/>
  <c r="AC2060" i="1" s="1"/>
  <c r="T2030" i="1"/>
  <c r="X2030" i="1"/>
  <c r="AB2030" i="1"/>
  <c r="AC2030" i="1"/>
  <c r="T2031" i="1"/>
  <c r="X2031" i="1"/>
  <c r="AB2031" i="1"/>
  <c r="AC2031" i="1"/>
  <c r="AB2072" i="1"/>
  <c r="X2072" i="1"/>
  <c r="T2072" i="1"/>
  <c r="AC2072" i="1" s="1"/>
  <c r="V2105" i="1"/>
  <c r="R2105" i="1"/>
  <c r="T2050" i="1"/>
  <c r="X2050" i="1"/>
  <c r="AB2050" i="1"/>
  <c r="AC2050" i="1"/>
  <c r="T2051" i="1"/>
  <c r="X2051" i="1"/>
  <c r="AB2051" i="1"/>
  <c r="AC2051" i="1"/>
  <c r="T2115" i="1"/>
  <c r="X2115" i="1"/>
  <c r="AB2115" i="1"/>
  <c r="AC2115" i="1"/>
  <c r="L2234" i="1"/>
  <c r="K2234" i="1"/>
  <c r="J2234" i="1"/>
  <c r="M2234" i="1" s="1"/>
  <c r="H2234" i="1"/>
  <c r="G2234" i="1"/>
  <c r="F2234" i="1"/>
  <c r="I2234" i="1" s="1"/>
  <c r="D2234" i="1"/>
  <c r="C2234" i="1"/>
  <c r="B2234" i="1"/>
  <c r="E2234" i="1" s="1"/>
  <c r="N2234" i="1" s="1"/>
  <c r="M2233" i="1"/>
  <c r="I2233" i="1"/>
  <c r="E2233" i="1"/>
  <c r="N2233" i="1" s="1"/>
  <c r="M2232" i="1"/>
  <c r="I2232" i="1"/>
  <c r="E2232" i="1"/>
  <c r="N2232" i="1" s="1"/>
  <c r="M2231" i="1"/>
  <c r="I2231" i="1"/>
  <c r="E2231" i="1"/>
  <c r="N2231" i="1" s="1"/>
  <c r="M2230" i="1"/>
  <c r="I2230" i="1"/>
  <c r="E2230" i="1"/>
  <c r="N2230" i="1" s="1"/>
  <c r="M2229" i="1"/>
  <c r="I2229" i="1"/>
  <c r="E2229" i="1"/>
  <c r="N2229" i="1" s="1"/>
  <c r="M2228" i="1"/>
  <c r="I2228" i="1"/>
  <c r="E2228" i="1"/>
  <c r="N2228" i="1" s="1"/>
  <c r="M2227" i="1"/>
  <c r="I2227" i="1"/>
  <c r="E2227" i="1"/>
  <c r="N2227" i="1" s="1"/>
  <c r="M2226" i="1"/>
  <c r="I2226" i="1"/>
  <c r="E2226" i="1"/>
  <c r="N2226" i="1" s="1"/>
  <c r="M2225" i="1"/>
  <c r="I2225" i="1"/>
  <c r="E2225" i="1"/>
  <c r="N2225" i="1" s="1"/>
  <c r="M2224" i="1"/>
  <c r="I2224" i="1"/>
  <c r="E2224" i="1"/>
  <c r="N2224" i="1" s="1"/>
  <c r="M2223" i="1"/>
  <c r="I2223" i="1"/>
  <c r="E2223" i="1"/>
  <c r="N2223" i="1" s="1"/>
  <c r="M2222" i="1"/>
  <c r="I2222" i="1"/>
  <c r="E2222" i="1"/>
  <c r="N2222" i="1" s="1"/>
  <c r="M2221" i="1"/>
  <c r="I2221" i="1"/>
  <c r="E2221" i="1"/>
  <c r="N2221" i="1" s="1"/>
  <c r="M2220" i="1"/>
  <c r="I2220" i="1"/>
  <c r="E2220" i="1"/>
  <c r="N2220" i="1" s="1"/>
  <c r="M2219" i="1"/>
  <c r="I2219" i="1"/>
  <c r="E2219" i="1"/>
  <c r="N2219" i="1" s="1"/>
  <c r="M2218" i="1"/>
  <c r="I2218" i="1"/>
  <c r="E2218" i="1"/>
  <c r="N2218" i="1" s="1"/>
  <c r="M2217" i="1"/>
  <c r="I2217" i="1"/>
  <c r="E2217" i="1"/>
  <c r="N2217" i="1" s="1"/>
  <c r="M2216" i="1"/>
  <c r="I2216" i="1"/>
  <c r="E2216" i="1"/>
  <c r="N2216" i="1" s="1"/>
  <c r="M2215" i="1"/>
  <c r="I2215" i="1"/>
  <c r="E2215" i="1"/>
  <c r="N2215" i="1" s="1"/>
  <c r="M2214" i="1"/>
  <c r="I2214" i="1"/>
  <c r="E2214" i="1"/>
  <c r="N2214" i="1" s="1"/>
  <c r="M2213" i="1"/>
  <c r="I2213" i="1"/>
  <c r="E2213" i="1"/>
  <c r="N2213" i="1" s="1"/>
  <c r="M2212" i="1"/>
  <c r="I2212" i="1"/>
  <c r="E2212" i="1"/>
  <c r="N2212" i="1" s="1"/>
  <c r="M2211" i="1"/>
  <c r="I2211" i="1"/>
  <c r="E2211" i="1"/>
  <c r="N2211" i="1" s="1"/>
  <c r="M2210" i="1"/>
  <c r="I2210" i="1"/>
  <c r="E2210" i="1"/>
  <c r="N2210" i="1" s="1"/>
  <c r="N2208" i="1"/>
  <c r="M2208" i="1"/>
  <c r="I2208" i="1"/>
  <c r="E2208" i="1"/>
  <c r="N2207" i="1"/>
  <c r="M2207" i="1"/>
  <c r="I2207" i="1"/>
  <c r="E2207" i="1"/>
  <c r="N2206" i="1"/>
  <c r="M2206" i="1"/>
  <c r="I2206" i="1"/>
  <c r="E2206" i="1"/>
  <c r="N2205" i="1"/>
  <c r="M2205" i="1"/>
  <c r="I2205" i="1"/>
  <c r="E2205" i="1"/>
  <c r="N2204" i="1"/>
  <c r="M2204" i="1"/>
  <c r="I2204" i="1"/>
  <c r="E2204" i="1"/>
  <c r="N2203" i="1"/>
  <c r="M2203" i="1"/>
  <c r="I2203" i="1"/>
  <c r="E2203" i="1"/>
  <c r="N2202" i="1"/>
  <c r="M2202" i="1"/>
  <c r="I2202" i="1"/>
  <c r="E2202" i="1"/>
  <c r="N2201" i="1"/>
  <c r="M2201" i="1"/>
  <c r="I2201" i="1"/>
  <c r="E2201" i="1"/>
  <c r="N2200" i="1"/>
  <c r="M2200" i="1"/>
  <c r="I2200" i="1"/>
  <c r="E2200" i="1"/>
  <c r="N2199" i="1"/>
  <c r="M2199" i="1"/>
  <c r="I2199" i="1"/>
  <c r="E2199" i="1"/>
  <c r="AA2234" i="1"/>
  <c r="Z2234" i="1"/>
  <c r="Y2234" i="1"/>
  <c r="W2234" i="1"/>
  <c r="V2234" i="1"/>
  <c r="U2234" i="1"/>
  <c r="S2234" i="1"/>
  <c r="R2234" i="1"/>
  <c r="Q2234" i="1"/>
  <c r="AB2227" i="1"/>
  <c r="X2227" i="1"/>
  <c r="T2227" i="1"/>
  <c r="AB2226" i="1"/>
  <c r="X2226" i="1"/>
  <c r="T2226" i="1"/>
  <c r="AB2225" i="1"/>
  <c r="X2225" i="1"/>
  <c r="T2225" i="1"/>
  <c r="AC2225" i="1" s="1"/>
  <c r="AB2224" i="1"/>
  <c r="X2224" i="1"/>
  <c r="T2224" i="1"/>
  <c r="AC2224" i="1" s="1"/>
  <c r="AB2223" i="1"/>
  <c r="X2223" i="1"/>
  <c r="T2223" i="1"/>
  <c r="AC2223" i="1" s="1"/>
  <c r="AB2222" i="1"/>
  <c r="X2222" i="1"/>
  <c r="T2222" i="1"/>
  <c r="AC2222" i="1" s="1"/>
  <c r="AB2221" i="1"/>
  <c r="X2221" i="1"/>
  <c r="T2221" i="1"/>
  <c r="AC2221" i="1" s="1"/>
  <c r="AB2220" i="1"/>
  <c r="X2220" i="1"/>
  <c r="T2220" i="1"/>
  <c r="AC2220" i="1" s="1"/>
  <c r="AB2219" i="1"/>
  <c r="X2219" i="1"/>
  <c r="T2219" i="1"/>
  <c r="AC2219" i="1" s="1"/>
  <c r="AB2218" i="1"/>
  <c r="X2218" i="1"/>
  <c r="T2218" i="1"/>
  <c r="AC2218" i="1" s="1"/>
  <c r="AB2217" i="1"/>
  <c r="X2217" i="1"/>
  <c r="T2217" i="1"/>
  <c r="AC2217" i="1" s="1"/>
  <c r="AB2216" i="1"/>
  <c r="X2216" i="1"/>
  <c r="T2216" i="1"/>
  <c r="AC2216" i="1" s="1"/>
  <c r="AB2215" i="1"/>
  <c r="X2215" i="1"/>
  <c r="T2215" i="1"/>
  <c r="AC2215" i="1" s="1"/>
  <c r="AB2214" i="1"/>
  <c r="X2214" i="1"/>
  <c r="T2214" i="1"/>
  <c r="AC2214" i="1" s="1"/>
  <c r="AB2213" i="1"/>
  <c r="X2213" i="1"/>
  <c r="T2213" i="1"/>
  <c r="AC2213" i="1" s="1"/>
  <c r="AB2212" i="1"/>
  <c r="X2212" i="1"/>
  <c r="T2212" i="1"/>
  <c r="AC2212" i="1" s="1"/>
  <c r="AB2211" i="1"/>
  <c r="X2211" i="1"/>
  <c r="T2211" i="1"/>
  <c r="AC2211" i="1" s="1"/>
  <c r="AB2210" i="1"/>
  <c r="X2210" i="1"/>
  <c r="T2210" i="1"/>
  <c r="AC2208" i="1"/>
  <c r="AB2208" i="1"/>
  <c r="X2208" i="1"/>
  <c r="T2208" i="1"/>
  <c r="AC2207" i="1"/>
  <c r="AB2207" i="1"/>
  <c r="X2207" i="1"/>
  <c r="T2207" i="1"/>
  <c r="AC2206" i="1"/>
  <c r="AB2206" i="1"/>
  <c r="X2206" i="1"/>
  <c r="T2206" i="1"/>
  <c r="AC2205" i="1"/>
  <c r="AB2205" i="1"/>
  <c r="X2205" i="1"/>
  <c r="T2205" i="1"/>
  <c r="AC2204" i="1"/>
  <c r="AB2204" i="1"/>
  <c r="X2204" i="1"/>
  <c r="T2204" i="1"/>
  <c r="AC2203" i="1"/>
  <c r="AB2203" i="1"/>
  <c r="X2203" i="1"/>
  <c r="T2203" i="1"/>
  <c r="AC2202" i="1"/>
  <c r="AB2202" i="1"/>
  <c r="X2202" i="1"/>
  <c r="T2202" i="1"/>
  <c r="AC2200" i="1"/>
  <c r="AB2200" i="1"/>
  <c r="X2200" i="1"/>
  <c r="T2200" i="1"/>
  <c r="AC2199" i="1"/>
  <c r="AB2199" i="1"/>
  <c r="X2199" i="1"/>
  <c r="T2199" i="1"/>
  <c r="T1965" i="1"/>
  <c r="X1965" i="1"/>
  <c r="AB1965" i="1"/>
  <c r="AC1965" i="1"/>
  <c r="AB464" i="4"/>
  <c r="X464" i="4"/>
  <c r="T464" i="4"/>
  <c r="AB463" i="4"/>
  <c r="X463" i="4"/>
  <c r="AC463" i="4" s="1"/>
  <c r="T463" i="4"/>
  <c r="AB461" i="4"/>
  <c r="X461" i="4"/>
  <c r="T461" i="4"/>
  <c r="AC461" i="4" s="1"/>
  <c r="AB460" i="4"/>
  <c r="X460" i="4"/>
  <c r="T460" i="4"/>
  <c r="AC460" i="4" s="1"/>
  <c r="AA382" i="4"/>
  <c r="Z382" i="4"/>
  <c r="Y382" i="4"/>
  <c r="W382" i="4"/>
  <c r="V382" i="4"/>
  <c r="U382" i="4"/>
  <c r="X382" i="4" s="1"/>
  <c r="S382" i="4"/>
  <c r="R382" i="4"/>
  <c r="Q382" i="4"/>
  <c r="AB1880" i="1"/>
  <c r="AB462" i="4"/>
  <c r="X462" i="4"/>
  <c r="T462" i="4"/>
  <c r="AC462" i="4" s="1"/>
  <c r="X419" i="4"/>
  <c r="T419" i="4"/>
  <c r="X418" i="4"/>
  <c r="T418" i="4"/>
  <c r="T424" i="4"/>
  <c r="X424" i="4"/>
  <c r="AB424" i="4"/>
  <c r="T425" i="4"/>
  <c r="X425" i="4"/>
  <c r="T2116" i="1"/>
  <c r="X2116" i="1"/>
  <c r="AB2116" i="1"/>
  <c r="AC2116" i="1"/>
  <c r="AA2191" i="1"/>
  <c r="Z2191" i="1"/>
  <c r="Y2191" i="1"/>
  <c r="W2191" i="1"/>
  <c r="V2191" i="1"/>
  <c r="U2191" i="1"/>
  <c r="S2191" i="1"/>
  <c r="R2191" i="1"/>
  <c r="Q2191" i="1"/>
  <c r="L2191" i="1"/>
  <c r="K2191" i="1"/>
  <c r="J2191" i="1"/>
  <c r="M2191" i="1" s="1"/>
  <c r="H2191" i="1"/>
  <c r="G2191" i="1"/>
  <c r="F2191" i="1"/>
  <c r="I2191" i="1" s="1"/>
  <c r="N2191" i="1" s="1"/>
  <c r="D2191" i="1"/>
  <c r="C2191" i="1"/>
  <c r="B2191" i="1"/>
  <c r="E2191" i="1" s="1"/>
  <c r="M2190" i="1"/>
  <c r="I2190" i="1"/>
  <c r="E2190" i="1"/>
  <c r="N2190" i="1" s="1"/>
  <c r="M2189" i="1"/>
  <c r="I2189" i="1"/>
  <c r="E2189" i="1"/>
  <c r="N2189" i="1" s="1"/>
  <c r="M2188" i="1"/>
  <c r="I2188" i="1"/>
  <c r="E2188" i="1"/>
  <c r="N2188" i="1" s="1"/>
  <c r="M2187" i="1"/>
  <c r="I2187" i="1"/>
  <c r="E2187" i="1"/>
  <c r="N2187" i="1" s="1"/>
  <c r="M2186" i="1"/>
  <c r="I2186" i="1"/>
  <c r="E2186" i="1"/>
  <c r="N2186" i="1" s="1"/>
  <c r="M2185" i="1"/>
  <c r="I2185" i="1"/>
  <c r="E2185" i="1"/>
  <c r="N2185" i="1" s="1"/>
  <c r="M2184" i="1"/>
  <c r="I2184" i="1"/>
  <c r="E2184" i="1"/>
  <c r="N2184" i="1" s="1"/>
  <c r="M2183" i="1"/>
  <c r="I2183" i="1"/>
  <c r="E2183" i="1"/>
  <c r="N2183" i="1" s="1"/>
  <c r="AB2182" i="1"/>
  <c r="X2182" i="1"/>
  <c r="T2182" i="1"/>
  <c r="AC2182" i="1" s="1"/>
  <c r="M2182" i="1"/>
  <c r="I2182" i="1"/>
  <c r="E2182" i="1"/>
  <c r="N2182" i="1" s="1"/>
  <c r="AB2181" i="1"/>
  <c r="X2181" i="1"/>
  <c r="T2181" i="1"/>
  <c r="AC2181" i="1" s="1"/>
  <c r="M2181" i="1"/>
  <c r="I2181" i="1"/>
  <c r="E2181" i="1"/>
  <c r="N2181" i="1" s="1"/>
  <c r="AB2180" i="1"/>
  <c r="X2180" i="1"/>
  <c r="T2180" i="1"/>
  <c r="AC2180" i="1" s="1"/>
  <c r="M2180" i="1"/>
  <c r="I2180" i="1"/>
  <c r="E2180" i="1"/>
  <c r="N2180" i="1" s="1"/>
  <c r="AB2179" i="1"/>
  <c r="X2179" i="1"/>
  <c r="T2179" i="1"/>
  <c r="AC2179" i="1" s="1"/>
  <c r="M2179" i="1"/>
  <c r="I2179" i="1"/>
  <c r="E2179" i="1"/>
  <c r="N2179" i="1" s="1"/>
  <c r="AB2178" i="1"/>
  <c r="X2178" i="1"/>
  <c r="T2178" i="1"/>
  <c r="AC2178" i="1" s="1"/>
  <c r="M2178" i="1"/>
  <c r="I2178" i="1"/>
  <c r="E2178" i="1"/>
  <c r="N2178" i="1" s="1"/>
  <c r="AB2177" i="1"/>
  <c r="X2177" i="1"/>
  <c r="T2177" i="1"/>
  <c r="AC2177" i="1" s="1"/>
  <c r="M2177" i="1"/>
  <c r="I2177" i="1"/>
  <c r="E2177" i="1"/>
  <c r="N2177" i="1" s="1"/>
  <c r="AB2176" i="1"/>
  <c r="X2176" i="1"/>
  <c r="T2176" i="1"/>
  <c r="AC2176" i="1" s="1"/>
  <c r="M2176" i="1"/>
  <c r="I2176" i="1"/>
  <c r="E2176" i="1"/>
  <c r="N2176" i="1" s="1"/>
  <c r="AB2175" i="1"/>
  <c r="X2175" i="1"/>
  <c r="T2175" i="1"/>
  <c r="AC2175" i="1" s="1"/>
  <c r="M2175" i="1"/>
  <c r="I2175" i="1"/>
  <c r="E2175" i="1"/>
  <c r="N2175" i="1" s="1"/>
  <c r="AB2174" i="1"/>
  <c r="X2174" i="1"/>
  <c r="T2174" i="1"/>
  <c r="AC2174" i="1" s="1"/>
  <c r="M2174" i="1"/>
  <c r="I2174" i="1"/>
  <c r="E2174" i="1"/>
  <c r="N2174" i="1" s="1"/>
  <c r="AB2173" i="1"/>
  <c r="X2173" i="1"/>
  <c r="T2173" i="1"/>
  <c r="AC2173" i="1" s="1"/>
  <c r="M2173" i="1"/>
  <c r="I2173" i="1"/>
  <c r="E2173" i="1"/>
  <c r="N2173" i="1" s="1"/>
  <c r="AB2172" i="1"/>
  <c r="X2172" i="1"/>
  <c r="T2172" i="1"/>
  <c r="AC2172" i="1" s="1"/>
  <c r="M2172" i="1"/>
  <c r="I2172" i="1"/>
  <c r="E2172" i="1"/>
  <c r="N2172" i="1" s="1"/>
  <c r="AB2171" i="1"/>
  <c r="X2171" i="1"/>
  <c r="T2171" i="1"/>
  <c r="AC2171" i="1" s="1"/>
  <c r="M2171" i="1"/>
  <c r="I2171" i="1"/>
  <c r="E2171" i="1"/>
  <c r="N2171" i="1" s="1"/>
  <c r="AB2170" i="1"/>
  <c r="X2170" i="1"/>
  <c r="T2170" i="1"/>
  <c r="AC2170" i="1" s="1"/>
  <c r="M2170" i="1"/>
  <c r="I2170" i="1"/>
  <c r="E2170" i="1"/>
  <c r="N2170" i="1" s="1"/>
  <c r="AB2169" i="1"/>
  <c r="X2169" i="1"/>
  <c r="T2169" i="1"/>
  <c r="AC2169" i="1" s="1"/>
  <c r="M2169" i="1"/>
  <c r="I2169" i="1"/>
  <c r="E2169" i="1"/>
  <c r="N2169" i="1" s="1"/>
  <c r="AB2168" i="1"/>
  <c r="X2168" i="1"/>
  <c r="T2168" i="1"/>
  <c r="AC2168" i="1" s="1"/>
  <c r="M2168" i="1"/>
  <c r="I2168" i="1"/>
  <c r="E2168" i="1"/>
  <c r="N2168" i="1" s="1"/>
  <c r="AB2167" i="1"/>
  <c r="AB2191" i="1" s="1"/>
  <c r="X2167" i="1"/>
  <c r="T2167" i="1"/>
  <c r="AC2167" i="1" s="1"/>
  <c r="M2167" i="1"/>
  <c r="I2167" i="1"/>
  <c r="E2167" i="1"/>
  <c r="N2167" i="1" s="1"/>
  <c r="AB2165" i="1"/>
  <c r="X2165" i="1"/>
  <c r="T2165" i="1"/>
  <c r="AC2165" i="1" s="1"/>
  <c r="M2165" i="1"/>
  <c r="I2165" i="1"/>
  <c r="E2165" i="1"/>
  <c r="N2165" i="1" s="1"/>
  <c r="AB2164" i="1"/>
  <c r="X2164" i="1"/>
  <c r="T2164" i="1"/>
  <c r="AC2164" i="1" s="1"/>
  <c r="M2164" i="1"/>
  <c r="I2164" i="1"/>
  <c r="E2164" i="1"/>
  <c r="N2164" i="1" s="1"/>
  <c r="AB2163" i="1"/>
  <c r="X2163" i="1"/>
  <c r="T2163" i="1"/>
  <c r="AC2163" i="1" s="1"/>
  <c r="M2163" i="1"/>
  <c r="I2163" i="1"/>
  <c r="E2163" i="1"/>
  <c r="N2163" i="1" s="1"/>
  <c r="AB2162" i="1"/>
  <c r="X2162" i="1"/>
  <c r="T2162" i="1"/>
  <c r="AC2162" i="1" s="1"/>
  <c r="M2162" i="1"/>
  <c r="I2162" i="1"/>
  <c r="E2162" i="1"/>
  <c r="N2162" i="1" s="1"/>
  <c r="AB2161" i="1"/>
  <c r="X2161" i="1"/>
  <c r="T2161" i="1"/>
  <c r="AC2161" i="1" s="1"/>
  <c r="M2161" i="1"/>
  <c r="I2161" i="1"/>
  <c r="E2161" i="1"/>
  <c r="N2161" i="1" s="1"/>
  <c r="AB2160" i="1"/>
  <c r="X2160" i="1"/>
  <c r="T2160" i="1"/>
  <c r="AC2160" i="1" s="1"/>
  <c r="M2160" i="1"/>
  <c r="I2160" i="1"/>
  <c r="E2160" i="1"/>
  <c r="N2160" i="1" s="1"/>
  <c r="M2159" i="1"/>
  <c r="I2159" i="1"/>
  <c r="E2159" i="1"/>
  <c r="N2159" i="1" s="1"/>
  <c r="M2158" i="1"/>
  <c r="I2158" i="1"/>
  <c r="E2158" i="1"/>
  <c r="N2158" i="1" s="1"/>
  <c r="AB2157" i="1"/>
  <c r="X2157" i="1"/>
  <c r="T2157" i="1"/>
  <c r="AC2157" i="1" s="1"/>
  <c r="M2157" i="1"/>
  <c r="I2157" i="1"/>
  <c r="E2157" i="1"/>
  <c r="N2157" i="1" s="1"/>
  <c r="AB2156" i="1"/>
  <c r="X2156" i="1"/>
  <c r="T2156" i="1"/>
  <c r="AC2156" i="1" s="1"/>
  <c r="M2156" i="1"/>
  <c r="I2156" i="1"/>
  <c r="E2156" i="1"/>
  <c r="N2156" i="1" s="1"/>
  <c r="T417" i="4"/>
  <c r="X417" i="4"/>
  <c r="AB417" i="4"/>
  <c r="AB418" i="4"/>
  <c r="AB419" i="4"/>
  <c r="AC419" i="4"/>
  <c r="T420" i="4"/>
  <c r="AC420" i="4" s="1"/>
  <c r="X420" i="4"/>
  <c r="AB420" i="4"/>
  <c r="T421" i="4"/>
  <c r="X421" i="4"/>
  <c r="T413" i="4"/>
  <c r="X413" i="4"/>
  <c r="AB413" i="4"/>
  <c r="AC413" i="4"/>
  <c r="T414" i="4"/>
  <c r="X414" i="4"/>
  <c r="AB414" i="4"/>
  <c r="AC414" i="4"/>
  <c r="AB466" i="4"/>
  <c r="X466" i="4"/>
  <c r="T466" i="4"/>
  <c r="AC466" i="4" s="1"/>
  <c r="AB465" i="4"/>
  <c r="X465" i="4"/>
  <c r="T465" i="4"/>
  <c r="AC465" i="4" s="1"/>
  <c r="L600" i="4"/>
  <c r="K600" i="4"/>
  <c r="J600" i="4"/>
  <c r="M600" i="4" s="1"/>
  <c r="H600" i="4"/>
  <c r="G600" i="4"/>
  <c r="F600" i="4"/>
  <c r="I600" i="4" s="1"/>
  <c r="D600" i="4"/>
  <c r="C600" i="4"/>
  <c r="B600" i="4"/>
  <c r="E600" i="4" s="1"/>
  <c r="N600" i="4" s="1"/>
  <c r="M599" i="4"/>
  <c r="I599" i="4"/>
  <c r="E599" i="4"/>
  <c r="N599" i="4" s="1"/>
  <c r="M598" i="4"/>
  <c r="I598" i="4"/>
  <c r="E598" i="4"/>
  <c r="N598" i="4" s="1"/>
  <c r="M597" i="4"/>
  <c r="I597" i="4"/>
  <c r="E597" i="4"/>
  <c r="N597" i="4" s="1"/>
  <c r="M596" i="4"/>
  <c r="I596" i="4"/>
  <c r="E596" i="4"/>
  <c r="N596" i="4" s="1"/>
  <c r="M595" i="4"/>
  <c r="I595" i="4"/>
  <c r="E595" i="4"/>
  <c r="N595" i="4" s="1"/>
  <c r="M594" i="4"/>
  <c r="I594" i="4"/>
  <c r="E594" i="4"/>
  <c r="N594" i="4" s="1"/>
  <c r="M593" i="4"/>
  <c r="I593" i="4"/>
  <c r="E593" i="4"/>
  <c r="N593" i="4" s="1"/>
  <c r="M592" i="4"/>
  <c r="I592" i="4"/>
  <c r="E592" i="4"/>
  <c r="N592" i="4" s="1"/>
  <c r="M591" i="4"/>
  <c r="I591" i="4"/>
  <c r="E591" i="4"/>
  <c r="N591" i="4" s="1"/>
  <c r="M590" i="4"/>
  <c r="I590" i="4"/>
  <c r="E590" i="4"/>
  <c r="N590" i="4" s="1"/>
  <c r="M589" i="4"/>
  <c r="I589" i="4"/>
  <c r="E589" i="4"/>
  <c r="N589" i="4" s="1"/>
  <c r="M588" i="4"/>
  <c r="I588" i="4"/>
  <c r="E588" i="4"/>
  <c r="N588" i="4" s="1"/>
  <c r="M587" i="4"/>
  <c r="I587" i="4"/>
  <c r="E587" i="4"/>
  <c r="N587" i="4" s="1"/>
  <c r="M586" i="4"/>
  <c r="I586" i="4"/>
  <c r="E586" i="4"/>
  <c r="N586" i="4" s="1"/>
  <c r="M585" i="4"/>
  <c r="I585" i="4"/>
  <c r="E585" i="4"/>
  <c r="N585" i="4" s="1"/>
  <c r="M584" i="4"/>
  <c r="I584" i="4"/>
  <c r="E584" i="4"/>
  <c r="N584" i="4" s="1"/>
  <c r="M583" i="4"/>
  <c r="I583" i="4"/>
  <c r="E583" i="4"/>
  <c r="N583" i="4" s="1"/>
  <c r="M582" i="4"/>
  <c r="I582" i="4"/>
  <c r="E582" i="4"/>
  <c r="N582" i="4" s="1"/>
  <c r="M581" i="4"/>
  <c r="I581" i="4"/>
  <c r="E581" i="4"/>
  <c r="N581" i="4" s="1"/>
  <c r="M580" i="4"/>
  <c r="I580" i="4"/>
  <c r="E580" i="4"/>
  <c r="N580" i="4" s="1"/>
  <c r="M579" i="4"/>
  <c r="I579" i="4"/>
  <c r="E579" i="4"/>
  <c r="N579" i="4" s="1"/>
  <c r="M578" i="4"/>
  <c r="I578" i="4"/>
  <c r="E578" i="4"/>
  <c r="N578" i="4" s="1"/>
  <c r="M577" i="4"/>
  <c r="I577" i="4"/>
  <c r="E577" i="4"/>
  <c r="N577" i="4" s="1"/>
  <c r="M576" i="4"/>
  <c r="I576" i="4"/>
  <c r="E576" i="4"/>
  <c r="N576" i="4" s="1"/>
  <c r="N574" i="4"/>
  <c r="M574" i="4"/>
  <c r="I574" i="4"/>
  <c r="E574" i="4"/>
  <c r="N573" i="4"/>
  <c r="M573" i="4"/>
  <c r="I573" i="4"/>
  <c r="E573" i="4"/>
  <c r="N572" i="4"/>
  <c r="M572" i="4"/>
  <c r="I572" i="4"/>
  <c r="E572" i="4"/>
  <c r="N571" i="4"/>
  <c r="M571" i="4"/>
  <c r="I571" i="4"/>
  <c r="E571" i="4"/>
  <c r="N570" i="4"/>
  <c r="M570" i="4"/>
  <c r="I570" i="4"/>
  <c r="E570" i="4"/>
  <c r="N569" i="4"/>
  <c r="M569" i="4"/>
  <c r="I569" i="4"/>
  <c r="E569" i="4"/>
  <c r="N568" i="4"/>
  <c r="M568" i="4"/>
  <c r="I568" i="4"/>
  <c r="E568" i="4"/>
  <c r="N567" i="4"/>
  <c r="M567" i="4"/>
  <c r="I567" i="4"/>
  <c r="E567" i="4"/>
  <c r="N566" i="4"/>
  <c r="M566" i="4"/>
  <c r="I566" i="4"/>
  <c r="E566" i="4"/>
  <c r="N565" i="4"/>
  <c r="M565" i="4"/>
  <c r="I565" i="4"/>
  <c r="E565" i="4"/>
  <c r="L557" i="4"/>
  <c r="K557" i="4"/>
  <c r="J557" i="4"/>
  <c r="M557" i="4" s="1"/>
  <c r="H557" i="4"/>
  <c r="G557" i="4"/>
  <c r="F557" i="4"/>
  <c r="I557" i="4" s="1"/>
  <c r="D557" i="4"/>
  <c r="C557" i="4"/>
  <c r="B557" i="4"/>
  <c r="E557" i="4" s="1"/>
  <c r="N557" i="4" s="1"/>
  <c r="M556" i="4"/>
  <c r="I556" i="4"/>
  <c r="E556" i="4"/>
  <c r="N556" i="4" s="1"/>
  <c r="M555" i="4"/>
  <c r="I555" i="4"/>
  <c r="E555" i="4"/>
  <c r="N555" i="4" s="1"/>
  <c r="M554" i="4"/>
  <c r="I554" i="4"/>
  <c r="E554" i="4"/>
  <c r="N554" i="4" s="1"/>
  <c r="M553" i="4"/>
  <c r="I553" i="4"/>
  <c r="E553" i="4"/>
  <c r="N553" i="4" s="1"/>
  <c r="M552" i="4"/>
  <c r="I552" i="4"/>
  <c r="E552" i="4"/>
  <c r="N552" i="4" s="1"/>
  <c r="M551" i="4"/>
  <c r="I551" i="4"/>
  <c r="E551" i="4"/>
  <c r="N551" i="4" s="1"/>
  <c r="M550" i="4"/>
  <c r="I550" i="4"/>
  <c r="E550" i="4"/>
  <c r="N550" i="4" s="1"/>
  <c r="M549" i="4"/>
  <c r="I549" i="4"/>
  <c r="E549" i="4"/>
  <c r="N549" i="4" s="1"/>
  <c r="M548" i="4"/>
  <c r="I548" i="4"/>
  <c r="E548" i="4"/>
  <c r="N548" i="4" s="1"/>
  <c r="M547" i="4"/>
  <c r="I547" i="4"/>
  <c r="E547" i="4"/>
  <c r="N547" i="4" s="1"/>
  <c r="M546" i="4"/>
  <c r="I546" i="4"/>
  <c r="E546" i="4"/>
  <c r="N546" i="4" s="1"/>
  <c r="M545" i="4"/>
  <c r="I545" i="4"/>
  <c r="E545" i="4"/>
  <c r="N545" i="4" s="1"/>
  <c r="M544" i="4"/>
  <c r="I544" i="4"/>
  <c r="E544" i="4"/>
  <c r="N544" i="4" s="1"/>
  <c r="M543" i="4"/>
  <c r="I543" i="4"/>
  <c r="E543" i="4"/>
  <c r="N543" i="4" s="1"/>
  <c r="M542" i="4"/>
  <c r="I542" i="4"/>
  <c r="E542" i="4"/>
  <c r="N542" i="4" s="1"/>
  <c r="M541" i="4"/>
  <c r="I541" i="4"/>
  <c r="E541" i="4"/>
  <c r="N541" i="4" s="1"/>
  <c r="M540" i="4"/>
  <c r="I540" i="4"/>
  <c r="E540" i="4"/>
  <c r="N540" i="4" s="1"/>
  <c r="M539" i="4"/>
  <c r="I539" i="4"/>
  <c r="E539" i="4"/>
  <c r="N539" i="4" s="1"/>
  <c r="M538" i="4"/>
  <c r="I538" i="4"/>
  <c r="E538" i="4"/>
  <c r="N538" i="4" s="1"/>
  <c r="M537" i="4"/>
  <c r="I537" i="4"/>
  <c r="E537" i="4"/>
  <c r="N537" i="4" s="1"/>
  <c r="M536" i="4"/>
  <c r="I536" i="4"/>
  <c r="E536" i="4"/>
  <c r="N536" i="4" s="1"/>
  <c r="M535" i="4"/>
  <c r="I535" i="4"/>
  <c r="E535" i="4"/>
  <c r="N535" i="4" s="1"/>
  <c r="M534" i="4"/>
  <c r="I534" i="4"/>
  <c r="E534" i="4"/>
  <c r="N534" i="4" s="1"/>
  <c r="M533" i="4"/>
  <c r="I533" i="4"/>
  <c r="E533" i="4"/>
  <c r="N533" i="4" s="1"/>
  <c r="N531" i="4"/>
  <c r="M531" i="4"/>
  <c r="I531" i="4"/>
  <c r="E531" i="4"/>
  <c r="N530" i="4"/>
  <c r="M530" i="4"/>
  <c r="I530" i="4"/>
  <c r="E530" i="4"/>
  <c r="N529" i="4"/>
  <c r="M529" i="4"/>
  <c r="I529" i="4"/>
  <c r="E529" i="4"/>
  <c r="N528" i="4"/>
  <c r="M528" i="4"/>
  <c r="I528" i="4"/>
  <c r="E528" i="4"/>
  <c r="N527" i="4"/>
  <c r="M527" i="4"/>
  <c r="I527" i="4"/>
  <c r="E527" i="4"/>
  <c r="N526" i="4"/>
  <c r="M526" i="4"/>
  <c r="I526" i="4"/>
  <c r="E526" i="4"/>
  <c r="N525" i="4"/>
  <c r="M525" i="4"/>
  <c r="I525" i="4"/>
  <c r="E525" i="4"/>
  <c r="N524" i="4"/>
  <c r="M524" i="4"/>
  <c r="I524" i="4"/>
  <c r="E524" i="4"/>
  <c r="N523" i="4"/>
  <c r="M523" i="4"/>
  <c r="I523" i="4"/>
  <c r="E523" i="4"/>
  <c r="N522" i="4"/>
  <c r="M522" i="4"/>
  <c r="I522" i="4"/>
  <c r="E522" i="4"/>
  <c r="AB556" i="4"/>
  <c r="X556" i="4"/>
  <c r="T556" i="4"/>
  <c r="AC556" i="4" s="1"/>
  <c r="AB555" i="4"/>
  <c r="X555" i="4"/>
  <c r="T555" i="4"/>
  <c r="T525" i="4"/>
  <c r="X525" i="4"/>
  <c r="AB525" i="4"/>
  <c r="AC525" i="4"/>
  <c r="T526" i="4"/>
  <c r="X526" i="4"/>
  <c r="AB526" i="4"/>
  <c r="AC526" i="4"/>
  <c r="AA600" i="4"/>
  <c r="Z600" i="4"/>
  <c r="Y600" i="4"/>
  <c r="AB600" i="4" s="1"/>
  <c r="W600" i="4"/>
  <c r="V600" i="4"/>
  <c r="U600" i="4"/>
  <c r="X600" i="4" s="1"/>
  <c r="S600" i="4"/>
  <c r="R600" i="4"/>
  <c r="Q600" i="4"/>
  <c r="T600" i="4" s="1"/>
  <c r="AB599" i="4"/>
  <c r="X599" i="4"/>
  <c r="T599" i="4"/>
  <c r="AC599" i="4" s="1"/>
  <c r="AB598" i="4"/>
  <c r="X598" i="4"/>
  <c r="T598" i="4"/>
  <c r="AC598" i="4" s="1"/>
  <c r="AB597" i="4"/>
  <c r="X597" i="4"/>
  <c r="T597" i="4"/>
  <c r="AC597" i="4" s="1"/>
  <c r="AB596" i="4"/>
  <c r="X596" i="4"/>
  <c r="T596" i="4"/>
  <c r="AC596" i="4" s="1"/>
  <c r="AB595" i="4"/>
  <c r="X595" i="4"/>
  <c r="T595" i="4"/>
  <c r="AC595" i="4" s="1"/>
  <c r="AB594" i="4"/>
  <c r="X594" i="4"/>
  <c r="T594" i="4"/>
  <c r="AC594" i="4" s="1"/>
  <c r="AB593" i="4"/>
  <c r="X593" i="4"/>
  <c r="T593" i="4"/>
  <c r="AC593" i="4" s="1"/>
  <c r="AB592" i="4"/>
  <c r="X592" i="4"/>
  <c r="T592" i="4"/>
  <c r="AC592" i="4" s="1"/>
  <c r="AB591" i="4"/>
  <c r="X591" i="4"/>
  <c r="T591" i="4"/>
  <c r="AC591" i="4" s="1"/>
  <c r="AB590" i="4"/>
  <c r="X590" i="4"/>
  <c r="T590" i="4"/>
  <c r="AC590" i="4" s="1"/>
  <c r="AB589" i="4"/>
  <c r="X589" i="4"/>
  <c r="T589" i="4"/>
  <c r="AC589" i="4" s="1"/>
  <c r="AB588" i="4"/>
  <c r="X588" i="4"/>
  <c r="T588" i="4"/>
  <c r="AC588" i="4" s="1"/>
  <c r="AB587" i="4"/>
  <c r="X587" i="4"/>
  <c r="T587" i="4"/>
  <c r="AC587" i="4" s="1"/>
  <c r="AB586" i="4"/>
  <c r="X586" i="4"/>
  <c r="T586" i="4"/>
  <c r="AC586" i="4" s="1"/>
  <c r="AB585" i="4"/>
  <c r="X585" i="4"/>
  <c r="T585" i="4"/>
  <c r="AC585" i="4" s="1"/>
  <c r="AB584" i="4"/>
  <c r="X584" i="4"/>
  <c r="T584" i="4"/>
  <c r="AC584" i="4" s="1"/>
  <c r="AB583" i="4"/>
  <c r="X583" i="4"/>
  <c r="T583" i="4"/>
  <c r="AC583" i="4" s="1"/>
  <c r="AB582" i="4"/>
  <c r="X582" i="4"/>
  <c r="T582" i="4"/>
  <c r="AC582" i="4" s="1"/>
  <c r="AB581" i="4"/>
  <c r="X581" i="4"/>
  <c r="T581" i="4"/>
  <c r="AC581" i="4" s="1"/>
  <c r="AB580" i="4"/>
  <c r="X580" i="4"/>
  <c r="T580" i="4"/>
  <c r="AC580" i="4" s="1"/>
  <c r="AB579" i="4"/>
  <c r="X579" i="4"/>
  <c r="T579" i="4"/>
  <c r="AC579" i="4" s="1"/>
  <c r="AB578" i="4"/>
  <c r="X578" i="4"/>
  <c r="T578" i="4"/>
  <c r="AC578" i="4" s="1"/>
  <c r="AB577" i="4"/>
  <c r="X577" i="4"/>
  <c r="T577" i="4"/>
  <c r="AC577" i="4" s="1"/>
  <c r="AB576" i="4"/>
  <c r="X576" i="4"/>
  <c r="T576" i="4"/>
  <c r="AC576" i="4" s="1"/>
  <c r="AC574" i="4"/>
  <c r="AB574" i="4"/>
  <c r="X574" i="4"/>
  <c r="T574" i="4"/>
  <c r="AC573" i="4"/>
  <c r="AB573" i="4"/>
  <c r="X573" i="4"/>
  <c r="T573" i="4"/>
  <c r="AC572" i="4"/>
  <c r="AB572" i="4"/>
  <c r="X572" i="4"/>
  <c r="T572" i="4"/>
  <c r="AC571" i="4"/>
  <c r="AB571" i="4"/>
  <c r="X571" i="4"/>
  <c r="T571" i="4"/>
  <c r="AC570" i="4"/>
  <c r="AB570" i="4"/>
  <c r="X570" i="4"/>
  <c r="T570" i="4"/>
  <c r="AC569" i="4"/>
  <c r="AB569" i="4"/>
  <c r="X569" i="4"/>
  <c r="T569" i="4"/>
  <c r="AC568" i="4"/>
  <c r="AB568" i="4"/>
  <c r="X568" i="4"/>
  <c r="T568" i="4"/>
  <c r="AC567" i="4"/>
  <c r="AB567" i="4"/>
  <c r="X567" i="4"/>
  <c r="T567" i="4"/>
  <c r="AC566" i="4"/>
  <c r="AB566" i="4"/>
  <c r="X566" i="4"/>
  <c r="T566" i="4"/>
  <c r="AC565" i="4"/>
  <c r="AB565" i="4"/>
  <c r="X565" i="4"/>
  <c r="T565" i="4"/>
  <c r="AB505" i="4"/>
  <c r="X505" i="4"/>
  <c r="T505" i="4"/>
  <c r="AB504" i="4"/>
  <c r="X504" i="4"/>
  <c r="T504" i="4"/>
  <c r="AB468" i="4"/>
  <c r="X468" i="4"/>
  <c r="T468" i="4"/>
  <c r="AB467" i="4"/>
  <c r="X467" i="4"/>
  <c r="T467" i="4"/>
  <c r="AB470" i="4"/>
  <c r="X470" i="4"/>
  <c r="T470" i="4"/>
  <c r="AC470" i="4" s="1"/>
  <c r="AB469" i="4"/>
  <c r="X469" i="4"/>
  <c r="T469" i="4"/>
  <c r="AC469" i="4" s="1"/>
  <c r="AB507" i="4"/>
  <c r="X507" i="4"/>
  <c r="T507" i="4"/>
  <c r="AC507" i="4" s="1"/>
  <c r="AB506" i="4"/>
  <c r="X506" i="4"/>
  <c r="T506" i="4"/>
  <c r="AC506" i="4" s="1"/>
  <c r="AB509" i="4"/>
  <c r="X509" i="4"/>
  <c r="T509" i="4"/>
  <c r="AC509" i="4" s="1"/>
  <c r="AB508" i="4"/>
  <c r="X508" i="4"/>
  <c r="T508" i="4"/>
  <c r="AC508" i="4" s="1"/>
  <c r="AA513" i="4"/>
  <c r="Z513" i="4"/>
  <c r="Y513" i="4"/>
  <c r="AB513" i="4" s="1"/>
  <c r="W513" i="4"/>
  <c r="V513" i="4"/>
  <c r="V514" i="4" s="1"/>
  <c r="U513" i="4"/>
  <c r="X513" i="4" s="1"/>
  <c r="S513" i="4"/>
  <c r="R513" i="4"/>
  <c r="R514" i="4" s="1"/>
  <c r="Q513" i="4"/>
  <c r="T513" i="4" s="1"/>
  <c r="AB512" i="4"/>
  <c r="X512" i="4"/>
  <c r="T512" i="4"/>
  <c r="AC512" i="4" s="1"/>
  <c r="AA511" i="4"/>
  <c r="AB511" i="4" s="1"/>
  <c r="Z511" i="4"/>
  <c r="Y511" i="4"/>
  <c r="W511" i="4"/>
  <c r="W514" i="4" s="1"/>
  <c r="V511" i="4"/>
  <c r="U511" i="4"/>
  <c r="S511" i="4"/>
  <c r="S514" i="4" s="1"/>
  <c r="R511" i="4"/>
  <c r="Q511" i="4"/>
  <c r="AB510" i="4"/>
  <c r="AC510" i="4" s="1"/>
  <c r="X510" i="4"/>
  <c r="T510" i="4"/>
  <c r="T482" i="4"/>
  <c r="X482" i="4"/>
  <c r="AB482" i="4"/>
  <c r="AC482" i="4"/>
  <c r="T483" i="4"/>
  <c r="X483" i="4"/>
  <c r="AB483" i="4"/>
  <c r="AC483" i="4"/>
  <c r="AA557" i="4"/>
  <c r="Z557" i="4"/>
  <c r="Y557" i="4"/>
  <c r="W557" i="4"/>
  <c r="V557" i="4"/>
  <c r="U557" i="4"/>
  <c r="S557" i="4"/>
  <c r="R557" i="4"/>
  <c r="Q557" i="4"/>
  <c r="AB545" i="4"/>
  <c r="X545" i="4"/>
  <c r="T545" i="4"/>
  <c r="AC545" i="4" s="1"/>
  <c r="AB544" i="4"/>
  <c r="X544" i="4"/>
  <c r="T544" i="4"/>
  <c r="AC544" i="4" s="1"/>
  <c r="AB543" i="4"/>
  <c r="X543" i="4"/>
  <c r="T543" i="4"/>
  <c r="AC543" i="4" s="1"/>
  <c r="AB542" i="4"/>
  <c r="X542" i="4"/>
  <c r="T542" i="4"/>
  <c r="AC542" i="4" s="1"/>
  <c r="AB541" i="4"/>
  <c r="X541" i="4"/>
  <c r="T541" i="4"/>
  <c r="AC541" i="4" s="1"/>
  <c r="AB540" i="4"/>
  <c r="X540" i="4"/>
  <c r="T540" i="4"/>
  <c r="AC540" i="4" s="1"/>
  <c r="AB539" i="4"/>
  <c r="X539" i="4"/>
  <c r="T539" i="4"/>
  <c r="AC539" i="4" s="1"/>
  <c r="AB538" i="4"/>
  <c r="X538" i="4"/>
  <c r="T538" i="4"/>
  <c r="AC538" i="4" s="1"/>
  <c r="AB537" i="4"/>
  <c r="X537" i="4"/>
  <c r="T537" i="4"/>
  <c r="AC537" i="4" s="1"/>
  <c r="AB536" i="4"/>
  <c r="X536" i="4"/>
  <c r="T536" i="4"/>
  <c r="AC536" i="4" s="1"/>
  <c r="AB535" i="4"/>
  <c r="X535" i="4"/>
  <c r="T535" i="4"/>
  <c r="AC535" i="4" s="1"/>
  <c r="AB534" i="4"/>
  <c r="X534" i="4"/>
  <c r="T534" i="4"/>
  <c r="AC534" i="4" s="1"/>
  <c r="AB533" i="4"/>
  <c r="X533" i="4"/>
  <c r="T533" i="4"/>
  <c r="AC533" i="4" s="1"/>
  <c r="AB531" i="4"/>
  <c r="X531" i="4"/>
  <c r="AC531" i="4" s="1"/>
  <c r="T531" i="4"/>
  <c r="AB530" i="4"/>
  <c r="X530" i="4"/>
  <c r="T530" i="4"/>
  <c r="AC530" i="4" s="1"/>
  <c r="AB529" i="4"/>
  <c r="X529" i="4"/>
  <c r="T529" i="4"/>
  <c r="AC529" i="4" s="1"/>
  <c r="AB528" i="4"/>
  <c r="X528" i="4"/>
  <c r="T528" i="4"/>
  <c r="AC528" i="4" s="1"/>
  <c r="AB527" i="4"/>
  <c r="X527" i="4"/>
  <c r="T527" i="4"/>
  <c r="AC527" i="4" s="1"/>
  <c r="AB524" i="4"/>
  <c r="X524" i="4"/>
  <c r="T524" i="4"/>
  <c r="AC524" i="4" s="1"/>
  <c r="AB523" i="4"/>
  <c r="X523" i="4"/>
  <c r="T523" i="4"/>
  <c r="AC523" i="4" s="1"/>
  <c r="AB522" i="4"/>
  <c r="X522" i="4"/>
  <c r="T522" i="4"/>
  <c r="AC522" i="4" s="1"/>
  <c r="L2148" i="1"/>
  <c r="M2148" i="1" s="1"/>
  <c r="K2148" i="1"/>
  <c r="J2148" i="1"/>
  <c r="H2148" i="1"/>
  <c r="I2148" i="1" s="1"/>
  <c r="G2148" i="1"/>
  <c r="F2148" i="1"/>
  <c r="D2148" i="1"/>
  <c r="E2148" i="1" s="1"/>
  <c r="C2148" i="1"/>
  <c r="B2148" i="1"/>
  <c r="M2147" i="1"/>
  <c r="N2147" i="1" s="1"/>
  <c r="I2147" i="1"/>
  <c r="E2147" i="1"/>
  <c r="M2146" i="1"/>
  <c r="N2146" i="1" s="1"/>
  <c r="I2146" i="1"/>
  <c r="E2146" i="1"/>
  <c r="M2145" i="1"/>
  <c r="N2145" i="1" s="1"/>
  <c r="I2145" i="1"/>
  <c r="E2145" i="1"/>
  <c r="M2144" i="1"/>
  <c r="N2144" i="1" s="1"/>
  <c r="I2144" i="1"/>
  <c r="E2144" i="1"/>
  <c r="M2143" i="1"/>
  <c r="N2143" i="1" s="1"/>
  <c r="I2143" i="1"/>
  <c r="E2143" i="1"/>
  <c r="M2142" i="1"/>
  <c r="N2142" i="1" s="1"/>
  <c r="I2142" i="1"/>
  <c r="E2142" i="1"/>
  <c r="M2141" i="1"/>
  <c r="N2141" i="1" s="1"/>
  <c r="I2141" i="1"/>
  <c r="E2141" i="1"/>
  <c r="M2140" i="1"/>
  <c r="N2140" i="1" s="1"/>
  <c r="I2140" i="1"/>
  <c r="E2140" i="1"/>
  <c r="M2139" i="1"/>
  <c r="N2139" i="1" s="1"/>
  <c r="I2139" i="1"/>
  <c r="E2139" i="1"/>
  <c r="M2138" i="1"/>
  <c r="N2138" i="1" s="1"/>
  <c r="I2138" i="1"/>
  <c r="E2138" i="1"/>
  <c r="M2137" i="1"/>
  <c r="N2137" i="1" s="1"/>
  <c r="I2137" i="1"/>
  <c r="E2137" i="1"/>
  <c r="M2136" i="1"/>
  <c r="N2136" i="1" s="1"/>
  <c r="I2136" i="1"/>
  <c r="E2136" i="1"/>
  <c r="M2135" i="1"/>
  <c r="N2135" i="1" s="1"/>
  <c r="I2135" i="1"/>
  <c r="E2135" i="1"/>
  <c r="M2134" i="1"/>
  <c r="N2134" i="1" s="1"/>
  <c r="I2134" i="1"/>
  <c r="E2134" i="1"/>
  <c r="M2133" i="1"/>
  <c r="N2133" i="1" s="1"/>
  <c r="I2133" i="1"/>
  <c r="E2133" i="1"/>
  <c r="M2132" i="1"/>
  <c r="N2132" i="1" s="1"/>
  <c r="I2132" i="1"/>
  <c r="E2132" i="1"/>
  <c r="M2131" i="1"/>
  <c r="N2131" i="1" s="1"/>
  <c r="I2131" i="1"/>
  <c r="E2131" i="1"/>
  <c r="M2130" i="1"/>
  <c r="N2130" i="1" s="1"/>
  <c r="I2130" i="1"/>
  <c r="E2130" i="1"/>
  <c r="M2129" i="1"/>
  <c r="N2129" i="1" s="1"/>
  <c r="I2129" i="1"/>
  <c r="E2129" i="1"/>
  <c r="M2128" i="1"/>
  <c r="N2128" i="1" s="1"/>
  <c r="I2128" i="1"/>
  <c r="E2128" i="1"/>
  <c r="M2127" i="1"/>
  <c r="N2127" i="1" s="1"/>
  <c r="I2127" i="1"/>
  <c r="E2127" i="1"/>
  <c r="M2126" i="1"/>
  <c r="N2126" i="1" s="1"/>
  <c r="I2126" i="1"/>
  <c r="E2126" i="1"/>
  <c r="M2125" i="1"/>
  <c r="N2125" i="1" s="1"/>
  <c r="I2125" i="1"/>
  <c r="E2125" i="1"/>
  <c r="M2124" i="1"/>
  <c r="N2124" i="1" s="1"/>
  <c r="I2124" i="1"/>
  <c r="E2124" i="1"/>
  <c r="N2122" i="1"/>
  <c r="M2122" i="1"/>
  <c r="I2122" i="1"/>
  <c r="E2122" i="1"/>
  <c r="N2121" i="1"/>
  <c r="M2121" i="1"/>
  <c r="I2121" i="1"/>
  <c r="E2121" i="1"/>
  <c r="N2120" i="1"/>
  <c r="M2120" i="1"/>
  <c r="I2120" i="1"/>
  <c r="E2120" i="1"/>
  <c r="N2119" i="1"/>
  <c r="M2119" i="1"/>
  <c r="I2119" i="1"/>
  <c r="E2119" i="1"/>
  <c r="N2118" i="1"/>
  <c r="M2118" i="1"/>
  <c r="I2118" i="1"/>
  <c r="E2118" i="1"/>
  <c r="N2117" i="1"/>
  <c r="M2117" i="1"/>
  <c r="I2117" i="1"/>
  <c r="E2117" i="1"/>
  <c r="N2116" i="1"/>
  <c r="M2116" i="1"/>
  <c r="I2116" i="1"/>
  <c r="E2116" i="1"/>
  <c r="N2115" i="1"/>
  <c r="M2115" i="1"/>
  <c r="I2115" i="1"/>
  <c r="E2115" i="1"/>
  <c r="N2114" i="1"/>
  <c r="M2114" i="1"/>
  <c r="I2114" i="1"/>
  <c r="E2114" i="1"/>
  <c r="N2113" i="1"/>
  <c r="M2113" i="1"/>
  <c r="I2113" i="1"/>
  <c r="E2113" i="1"/>
  <c r="L2105" i="1"/>
  <c r="M2105" i="1" s="1"/>
  <c r="K2105" i="1"/>
  <c r="J2105" i="1"/>
  <c r="H2105" i="1"/>
  <c r="I2105" i="1" s="1"/>
  <c r="G2105" i="1"/>
  <c r="F2105" i="1"/>
  <c r="D2105" i="1"/>
  <c r="E2105" i="1" s="1"/>
  <c r="C2105" i="1"/>
  <c r="B2105" i="1"/>
  <c r="M2104" i="1"/>
  <c r="N2104" i="1" s="1"/>
  <c r="I2104" i="1"/>
  <c r="E2104" i="1"/>
  <c r="M2103" i="1"/>
  <c r="N2103" i="1" s="1"/>
  <c r="I2103" i="1"/>
  <c r="E2103" i="1"/>
  <c r="M2102" i="1"/>
  <c r="N2102" i="1" s="1"/>
  <c r="I2102" i="1"/>
  <c r="E2102" i="1"/>
  <c r="M2101" i="1"/>
  <c r="N2101" i="1" s="1"/>
  <c r="I2101" i="1"/>
  <c r="E2101" i="1"/>
  <c r="M2100" i="1"/>
  <c r="N2100" i="1" s="1"/>
  <c r="I2100" i="1"/>
  <c r="E2100" i="1"/>
  <c r="M2099" i="1"/>
  <c r="N2099" i="1" s="1"/>
  <c r="I2099" i="1"/>
  <c r="E2099" i="1"/>
  <c r="M2098" i="1"/>
  <c r="N2098" i="1" s="1"/>
  <c r="I2098" i="1"/>
  <c r="E2098" i="1"/>
  <c r="M2097" i="1"/>
  <c r="N2097" i="1" s="1"/>
  <c r="I2097" i="1"/>
  <c r="E2097" i="1"/>
  <c r="M2096" i="1"/>
  <c r="N2096" i="1" s="1"/>
  <c r="I2096" i="1"/>
  <c r="E2096" i="1"/>
  <c r="M2095" i="1"/>
  <c r="N2095" i="1" s="1"/>
  <c r="I2095" i="1"/>
  <c r="E2095" i="1"/>
  <c r="M2094" i="1"/>
  <c r="N2094" i="1" s="1"/>
  <c r="I2094" i="1"/>
  <c r="E2094" i="1"/>
  <c r="M2093" i="1"/>
  <c r="N2093" i="1" s="1"/>
  <c r="I2093" i="1"/>
  <c r="E2093" i="1"/>
  <c r="M2092" i="1"/>
  <c r="N2092" i="1" s="1"/>
  <c r="I2092" i="1"/>
  <c r="E2092" i="1"/>
  <c r="M2091" i="1"/>
  <c r="N2091" i="1" s="1"/>
  <c r="I2091" i="1"/>
  <c r="E2091" i="1"/>
  <c r="M2090" i="1"/>
  <c r="N2090" i="1" s="1"/>
  <c r="I2090" i="1"/>
  <c r="E2090" i="1"/>
  <c r="M2089" i="1"/>
  <c r="N2089" i="1" s="1"/>
  <c r="I2089" i="1"/>
  <c r="E2089" i="1"/>
  <c r="M2088" i="1"/>
  <c r="N2088" i="1" s="1"/>
  <c r="I2088" i="1"/>
  <c r="E2088" i="1"/>
  <c r="M2087" i="1"/>
  <c r="N2087" i="1" s="1"/>
  <c r="I2087" i="1"/>
  <c r="E2087" i="1"/>
  <c r="M2086" i="1"/>
  <c r="N2086" i="1" s="1"/>
  <c r="I2086" i="1"/>
  <c r="E2086" i="1"/>
  <c r="M2085" i="1"/>
  <c r="N2085" i="1" s="1"/>
  <c r="I2085" i="1"/>
  <c r="E2085" i="1"/>
  <c r="M2084" i="1"/>
  <c r="N2084" i="1" s="1"/>
  <c r="I2084" i="1"/>
  <c r="E2084" i="1"/>
  <c r="M2083" i="1"/>
  <c r="N2083" i="1" s="1"/>
  <c r="I2083" i="1"/>
  <c r="E2083" i="1"/>
  <c r="M2082" i="1"/>
  <c r="N2082" i="1" s="1"/>
  <c r="I2082" i="1"/>
  <c r="E2082" i="1"/>
  <c r="M2081" i="1"/>
  <c r="N2081" i="1" s="1"/>
  <c r="I2081" i="1"/>
  <c r="E2081" i="1"/>
  <c r="N2079" i="1"/>
  <c r="M2079" i="1"/>
  <c r="I2079" i="1"/>
  <c r="E2079" i="1"/>
  <c r="N2078" i="1"/>
  <c r="M2078" i="1"/>
  <c r="I2078" i="1"/>
  <c r="E2078" i="1"/>
  <c r="N2077" i="1"/>
  <c r="M2077" i="1"/>
  <c r="I2077" i="1"/>
  <c r="E2077" i="1"/>
  <c r="N2076" i="1"/>
  <c r="M2076" i="1"/>
  <c r="I2076" i="1"/>
  <c r="E2076" i="1"/>
  <c r="N2075" i="1"/>
  <c r="M2075" i="1"/>
  <c r="I2075" i="1"/>
  <c r="E2075" i="1"/>
  <c r="N2074" i="1"/>
  <c r="M2074" i="1"/>
  <c r="I2074" i="1"/>
  <c r="E2074" i="1"/>
  <c r="N2073" i="1"/>
  <c r="M2073" i="1"/>
  <c r="I2073" i="1"/>
  <c r="E2073" i="1"/>
  <c r="N2072" i="1"/>
  <c r="M2072" i="1"/>
  <c r="I2072" i="1"/>
  <c r="E2072" i="1"/>
  <c r="N2071" i="1"/>
  <c r="M2071" i="1"/>
  <c r="I2071" i="1"/>
  <c r="E2071" i="1"/>
  <c r="N2070" i="1"/>
  <c r="M2070" i="1"/>
  <c r="I2070" i="1"/>
  <c r="E2070" i="1"/>
  <c r="T2117" i="1"/>
  <c r="X2117" i="1"/>
  <c r="AB2117" i="1"/>
  <c r="AC2117" i="1"/>
  <c r="T2118" i="1"/>
  <c r="X2118" i="1"/>
  <c r="AB2118" i="1"/>
  <c r="AC2118" i="1"/>
  <c r="T2074" i="1"/>
  <c r="X2074" i="1"/>
  <c r="AB2074" i="1"/>
  <c r="AC2074" i="1"/>
  <c r="Y2148" i="1"/>
  <c r="U2148" i="1"/>
  <c r="S2148" i="1"/>
  <c r="Q2148" i="1"/>
  <c r="AB2133" i="1"/>
  <c r="X2133" i="1"/>
  <c r="T2133" i="1"/>
  <c r="AC2133" i="1" s="1"/>
  <c r="AB2132" i="1"/>
  <c r="X2132" i="1"/>
  <c r="T2132" i="1"/>
  <c r="AC2132" i="1" s="1"/>
  <c r="AB2131" i="1"/>
  <c r="X2131" i="1"/>
  <c r="T2131" i="1"/>
  <c r="AC2131" i="1" s="1"/>
  <c r="AB2130" i="1"/>
  <c r="X2130" i="1"/>
  <c r="T2130" i="1"/>
  <c r="AC2130" i="1" s="1"/>
  <c r="AB2129" i="1"/>
  <c r="X2129" i="1"/>
  <c r="T2129" i="1"/>
  <c r="AC2129" i="1" s="1"/>
  <c r="AB2128" i="1"/>
  <c r="X2128" i="1"/>
  <c r="T2128" i="1"/>
  <c r="AC2128" i="1" s="1"/>
  <c r="AB2127" i="1"/>
  <c r="X2127" i="1"/>
  <c r="T2127" i="1"/>
  <c r="AC2127" i="1" s="1"/>
  <c r="AB2126" i="1"/>
  <c r="X2126" i="1"/>
  <c r="T2126" i="1"/>
  <c r="AC2126" i="1" s="1"/>
  <c r="AB2125" i="1"/>
  <c r="X2125" i="1"/>
  <c r="T2125" i="1"/>
  <c r="AC2125" i="1" s="1"/>
  <c r="AB2124" i="1"/>
  <c r="X2124" i="1"/>
  <c r="T2124" i="1"/>
  <c r="AC2122" i="1"/>
  <c r="AB2122" i="1"/>
  <c r="X2122" i="1"/>
  <c r="T2122" i="1"/>
  <c r="AC2121" i="1"/>
  <c r="AB2121" i="1"/>
  <c r="X2121" i="1"/>
  <c r="T2121" i="1"/>
  <c r="AC2120" i="1"/>
  <c r="AB2120" i="1"/>
  <c r="X2120" i="1"/>
  <c r="T2120" i="1"/>
  <c r="AC2119" i="1"/>
  <c r="AB2119" i="1"/>
  <c r="X2119" i="1"/>
  <c r="T2119" i="1"/>
  <c r="AC2114" i="1"/>
  <c r="AB2114" i="1"/>
  <c r="X2114" i="1"/>
  <c r="T2114" i="1"/>
  <c r="AC2113" i="1"/>
  <c r="AB2113" i="1"/>
  <c r="X2113" i="1"/>
  <c r="T2113" i="1"/>
  <c r="T1922" i="1"/>
  <c r="X1922" i="1"/>
  <c r="AB1922" i="1"/>
  <c r="T1923" i="1"/>
  <c r="X1923" i="1"/>
  <c r="AB1923" i="1"/>
  <c r="T2017" i="1"/>
  <c r="X2017" i="1"/>
  <c r="AB2017" i="1"/>
  <c r="AC2017" i="1"/>
  <c r="T2018" i="1"/>
  <c r="X2018" i="1"/>
  <c r="AB2018" i="1"/>
  <c r="AC2018" i="1"/>
  <c r="T2007" i="1"/>
  <c r="X2007" i="1"/>
  <c r="AB2007" i="1"/>
  <c r="AC2007" i="1"/>
  <c r="Z2062" i="1"/>
  <c r="S2062" i="1"/>
  <c r="T2032" i="1"/>
  <c r="X2032" i="1"/>
  <c r="AB2032" i="1"/>
  <c r="AC2032" i="1"/>
  <c r="AA2105" i="1"/>
  <c r="Z2105" i="1"/>
  <c r="Y2105" i="1"/>
  <c r="W2105" i="1"/>
  <c r="U2105" i="1"/>
  <c r="S2105" i="1"/>
  <c r="Q2105" i="1"/>
  <c r="AB2094" i="1"/>
  <c r="X2094" i="1"/>
  <c r="T2094" i="1"/>
  <c r="AC2094" i="1" s="1"/>
  <c r="AB2093" i="1"/>
  <c r="X2093" i="1"/>
  <c r="T2093" i="1"/>
  <c r="AC2093" i="1" s="1"/>
  <c r="AB2092" i="1"/>
  <c r="X2092" i="1"/>
  <c r="T2092" i="1"/>
  <c r="AC2092" i="1" s="1"/>
  <c r="AB2091" i="1"/>
  <c r="X2091" i="1"/>
  <c r="T2091" i="1"/>
  <c r="AC2091" i="1" s="1"/>
  <c r="AB2090" i="1"/>
  <c r="X2090" i="1"/>
  <c r="T2090" i="1"/>
  <c r="AC2090" i="1" s="1"/>
  <c r="AB2089" i="1"/>
  <c r="X2089" i="1"/>
  <c r="T2089" i="1"/>
  <c r="AC2089" i="1" s="1"/>
  <c r="AB2088" i="1"/>
  <c r="X2088" i="1"/>
  <c r="T2088" i="1"/>
  <c r="AC2088" i="1" s="1"/>
  <c r="AB2087" i="1"/>
  <c r="X2087" i="1"/>
  <c r="T2087" i="1"/>
  <c r="AC2087" i="1" s="1"/>
  <c r="AB2086" i="1"/>
  <c r="X2086" i="1"/>
  <c r="T2086" i="1"/>
  <c r="AC2086" i="1" s="1"/>
  <c r="AB2085" i="1"/>
  <c r="X2085" i="1"/>
  <c r="T2085" i="1"/>
  <c r="AC2085" i="1" s="1"/>
  <c r="AB2084" i="1"/>
  <c r="X2084" i="1"/>
  <c r="T2084" i="1"/>
  <c r="AC2084" i="1" s="1"/>
  <c r="AB2083" i="1"/>
  <c r="X2083" i="1"/>
  <c r="T2083" i="1"/>
  <c r="AC2083" i="1" s="1"/>
  <c r="AB2082" i="1"/>
  <c r="X2082" i="1"/>
  <c r="T2082" i="1"/>
  <c r="AC2082" i="1" s="1"/>
  <c r="AB2081" i="1"/>
  <c r="X2081" i="1"/>
  <c r="T2081" i="1"/>
  <c r="AC2079" i="1"/>
  <c r="AB2079" i="1"/>
  <c r="X2079" i="1"/>
  <c r="T2079" i="1"/>
  <c r="AC2078" i="1"/>
  <c r="AB2078" i="1"/>
  <c r="X2078" i="1"/>
  <c r="T2078" i="1"/>
  <c r="AC2077" i="1"/>
  <c r="AB2077" i="1"/>
  <c r="X2077" i="1"/>
  <c r="T2077" i="1"/>
  <c r="AC2076" i="1"/>
  <c r="AB2076" i="1"/>
  <c r="X2076" i="1"/>
  <c r="T2076" i="1"/>
  <c r="AC2075" i="1"/>
  <c r="AB2075" i="1"/>
  <c r="X2075" i="1"/>
  <c r="T2075" i="1"/>
  <c r="AC2073" i="1"/>
  <c r="AB2073" i="1"/>
  <c r="X2073" i="1"/>
  <c r="T2073" i="1"/>
  <c r="AC2071" i="1"/>
  <c r="AB2071" i="1"/>
  <c r="X2071" i="1"/>
  <c r="T2071" i="1"/>
  <c r="AC2070" i="1"/>
  <c r="AB2070" i="1"/>
  <c r="X2070" i="1"/>
  <c r="T2070" i="1"/>
  <c r="AB1882" i="1"/>
  <c r="E1828" i="1"/>
  <c r="I1828" i="1"/>
  <c r="M1828" i="1"/>
  <c r="N1828" i="1"/>
  <c r="M1827" i="1"/>
  <c r="I1827" i="1"/>
  <c r="E1827" i="1"/>
  <c r="N1827" i="1" s="1"/>
  <c r="AB1834" i="1"/>
  <c r="X1834" i="1"/>
  <c r="T1834" i="1"/>
  <c r="AC1834" i="1" s="1"/>
  <c r="T1964" i="1"/>
  <c r="X1964" i="1"/>
  <c r="AB1964" i="1"/>
  <c r="T1880" i="1"/>
  <c r="AB1879" i="1"/>
  <c r="X1879" i="1"/>
  <c r="T1879" i="1"/>
  <c r="T1919" i="1"/>
  <c r="X1919" i="1"/>
  <c r="AB1919" i="1"/>
  <c r="AC1919" i="1"/>
  <c r="T1920" i="1"/>
  <c r="X1920" i="1"/>
  <c r="AB1920" i="1"/>
  <c r="AC1920" i="1"/>
  <c r="T1921" i="1"/>
  <c r="X1921" i="1"/>
  <c r="AB1921" i="1"/>
  <c r="L2062" i="1"/>
  <c r="K2062" i="1"/>
  <c r="J2062" i="1"/>
  <c r="M2062" i="1" s="1"/>
  <c r="H2062" i="1"/>
  <c r="G2062" i="1"/>
  <c r="F2062" i="1"/>
  <c r="I2062" i="1" s="1"/>
  <c r="D2062" i="1"/>
  <c r="C2062" i="1"/>
  <c r="B2062" i="1"/>
  <c r="E2062" i="1" s="1"/>
  <c r="M2061" i="1"/>
  <c r="I2061" i="1"/>
  <c r="E2061" i="1"/>
  <c r="N2061" i="1" s="1"/>
  <c r="M2060" i="1"/>
  <c r="I2060" i="1"/>
  <c r="E2060" i="1"/>
  <c r="N2060" i="1" s="1"/>
  <c r="M2059" i="1"/>
  <c r="I2059" i="1"/>
  <c r="E2059" i="1"/>
  <c r="N2059" i="1" s="1"/>
  <c r="M2058" i="1"/>
  <c r="I2058" i="1"/>
  <c r="E2058" i="1"/>
  <c r="N2058" i="1" s="1"/>
  <c r="M2057" i="1"/>
  <c r="I2057" i="1"/>
  <c r="E2057" i="1"/>
  <c r="N2057" i="1" s="1"/>
  <c r="M2056" i="1"/>
  <c r="I2056" i="1"/>
  <c r="E2056" i="1"/>
  <c r="N2056" i="1" s="1"/>
  <c r="M2055" i="1"/>
  <c r="I2055" i="1"/>
  <c r="E2055" i="1"/>
  <c r="N2055" i="1" s="1"/>
  <c r="M2054" i="1"/>
  <c r="I2054" i="1"/>
  <c r="E2054" i="1"/>
  <c r="N2054" i="1" s="1"/>
  <c r="M2053" i="1"/>
  <c r="I2053" i="1"/>
  <c r="E2053" i="1"/>
  <c r="N2053" i="1" s="1"/>
  <c r="M2052" i="1"/>
  <c r="I2052" i="1"/>
  <c r="E2052" i="1"/>
  <c r="N2052" i="1" s="1"/>
  <c r="M2051" i="1"/>
  <c r="I2051" i="1"/>
  <c r="E2051" i="1"/>
  <c r="N2051" i="1" s="1"/>
  <c r="M2050" i="1"/>
  <c r="I2050" i="1"/>
  <c r="E2050" i="1"/>
  <c r="N2050" i="1" s="1"/>
  <c r="M2049" i="1"/>
  <c r="I2049" i="1"/>
  <c r="E2049" i="1"/>
  <c r="N2049" i="1" s="1"/>
  <c r="M2048" i="1"/>
  <c r="I2048" i="1"/>
  <c r="E2048" i="1"/>
  <c r="N2048" i="1" s="1"/>
  <c r="M2047" i="1"/>
  <c r="I2047" i="1"/>
  <c r="E2047" i="1"/>
  <c r="N2047" i="1" s="1"/>
  <c r="M2046" i="1"/>
  <c r="I2046" i="1"/>
  <c r="E2046" i="1"/>
  <c r="N2046" i="1" s="1"/>
  <c r="M2045" i="1"/>
  <c r="I2045" i="1"/>
  <c r="E2045" i="1"/>
  <c r="N2045" i="1" s="1"/>
  <c r="M2044" i="1"/>
  <c r="I2044" i="1"/>
  <c r="E2044" i="1"/>
  <c r="N2044" i="1" s="1"/>
  <c r="M2043" i="1"/>
  <c r="I2043" i="1"/>
  <c r="E2043" i="1"/>
  <c r="N2043" i="1" s="1"/>
  <c r="M2042" i="1"/>
  <c r="I2042" i="1"/>
  <c r="E2042" i="1"/>
  <c r="N2042" i="1" s="1"/>
  <c r="M2041" i="1"/>
  <c r="I2041" i="1"/>
  <c r="E2041" i="1"/>
  <c r="N2041" i="1" s="1"/>
  <c r="M2040" i="1"/>
  <c r="I2040" i="1"/>
  <c r="E2040" i="1"/>
  <c r="N2040" i="1" s="1"/>
  <c r="M2039" i="1"/>
  <c r="I2039" i="1"/>
  <c r="E2039" i="1"/>
  <c r="N2039" i="1" s="1"/>
  <c r="M2038" i="1"/>
  <c r="I2038" i="1"/>
  <c r="E2038" i="1"/>
  <c r="N2038" i="1" s="1"/>
  <c r="N2036" i="1"/>
  <c r="M2036" i="1"/>
  <c r="I2036" i="1"/>
  <c r="E2036" i="1"/>
  <c r="N2035" i="1"/>
  <c r="M2035" i="1"/>
  <c r="I2035" i="1"/>
  <c r="E2035" i="1"/>
  <c r="N2034" i="1"/>
  <c r="M2034" i="1"/>
  <c r="I2034" i="1"/>
  <c r="E2034" i="1"/>
  <c r="N2033" i="1"/>
  <c r="M2033" i="1"/>
  <c r="I2033" i="1"/>
  <c r="E2033" i="1"/>
  <c r="N2032" i="1"/>
  <c r="M2032" i="1"/>
  <c r="I2032" i="1"/>
  <c r="E2032" i="1"/>
  <c r="N2031" i="1"/>
  <c r="M2031" i="1"/>
  <c r="I2031" i="1"/>
  <c r="E2031" i="1"/>
  <c r="N2030" i="1"/>
  <c r="M2030" i="1"/>
  <c r="I2030" i="1"/>
  <c r="E2030" i="1"/>
  <c r="N2029" i="1"/>
  <c r="M2029" i="1"/>
  <c r="I2029" i="1"/>
  <c r="E2029" i="1"/>
  <c r="N2028" i="1"/>
  <c r="M2028" i="1"/>
  <c r="I2028" i="1"/>
  <c r="E2028" i="1"/>
  <c r="N2027" i="1"/>
  <c r="M2027" i="1"/>
  <c r="I2027" i="1"/>
  <c r="E2027" i="1"/>
  <c r="T1988" i="1"/>
  <c r="X1988" i="1"/>
  <c r="AB1988" i="1"/>
  <c r="AC1988" i="1"/>
  <c r="AA2062" i="1"/>
  <c r="Y2062" i="1"/>
  <c r="W2062" i="1"/>
  <c r="V2062" i="1"/>
  <c r="U2062" i="1"/>
  <c r="Q2062" i="1"/>
  <c r="AB2049" i="1"/>
  <c r="X2049" i="1"/>
  <c r="T2049" i="1"/>
  <c r="AC2049" i="1" s="1"/>
  <c r="AB2048" i="1"/>
  <c r="X2048" i="1"/>
  <c r="T2048" i="1"/>
  <c r="AB2047" i="1"/>
  <c r="X2047" i="1"/>
  <c r="T2047" i="1"/>
  <c r="AC2047" i="1" s="1"/>
  <c r="AB2046" i="1"/>
  <c r="X2046" i="1"/>
  <c r="T2046" i="1"/>
  <c r="AB2045" i="1"/>
  <c r="X2045" i="1"/>
  <c r="T2045" i="1"/>
  <c r="AC2045" i="1" s="1"/>
  <c r="AB2044" i="1"/>
  <c r="X2044" i="1"/>
  <c r="T2044" i="1"/>
  <c r="AC2044" i="1" s="1"/>
  <c r="AB2043" i="1"/>
  <c r="X2043" i="1"/>
  <c r="T2043" i="1"/>
  <c r="AC2043" i="1" s="1"/>
  <c r="AB2042" i="1"/>
  <c r="X2042" i="1"/>
  <c r="T2042" i="1"/>
  <c r="AC2042" i="1" s="1"/>
  <c r="AB2041" i="1"/>
  <c r="X2041" i="1"/>
  <c r="T2041" i="1"/>
  <c r="AC2041" i="1" s="1"/>
  <c r="AB2040" i="1"/>
  <c r="X2040" i="1"/>
  <c r="T2040" i="1"/>
  <c r="AC2040" i="1" s="1"/>
  <c r="AB2039" i="1"/>
  <c r="X2039" i="1"/>
  <c r="T2039" i="1"/>
  <c r="AC2039" i="1" s="1"/>
  <c r="AB2038" i="1"/>
  <c r="X2038" i="1"/>
  <c r="T2038" i="1"/>
  <c r="AC2036" i="1"/>
  <c r="AB2036" i="1"/>
  <c r="X2036" i="1"/>
  <c r="T2036" i="1"/>
  <c r="AC2035" i="1"/>
  <c r="AB2035" i="1"/>
  <c r="X2035" i="1"/>
  <c r="T2035" i="1"/>
  <c r="AC2034" i="1"/>
  <c r="AB2034" i="1"/>
  <c r="X2034" i="1"/>
  <c r="T2034" i="1"/>
  <c r="AC2033" i="1"/>
  <c r="AB2033" i="1"/>
  <c r="X2033" i="1"/>
  <c r="T2033" i="1"/>
  <c r="AC2029" i="1"/>
  <c r="AB2029" i="1"/>
  <c r="X2029" i="1"/>
  <c r="T2029" i="1"/>
  <c r="AC2028" i="1"/>
  <c r="AB2028" i="1"/>
  <c r="X2028" i="1"/>
  <c r="T2028" i="1"/>
  <c r="AC2027" i="1"/>
  <c r="AB2027" i="1"/>
  <c r="X2027" i="1"/>
  <c r="T2027" i="1"/>
  <c r="AB1844" i="1"/>
  <c r="X1844" i="1"/>
  <c r="L514" i="4"/>
  <c r="M514" i="4" s="1"/>
  <c r="K514" i="4"/>
  <c r="J514" i="4"/>
  <c r="H514" i="4"/>
  <c r="I514" i="4" s="1"/>
  <c r="G514" i="4"/>
  <c r="F514" i="4"/>
  <c r="D514" i="4"/>
  <c r="E514" i="4" s="1"/>
  <c r="C514" i="4"/>
  <c r="B514" i="4"/>
  <c r="M513" i="4"/>
  <c r="N513" i="4" s="1"/>
  <c r="I513" i="4"/>
  <c r="E513" i="4"/>
  <c r="M512" i="4"/>
  <c r="N512" i="4" s="1"/>
  <c r="I512" i="4"/>
  <c r="E512" i="4"/>
  <c r="M511" i="4"/>
  <c r="N511" i="4" s="1"/>
  <c r="I511" i="4"/>
  <c r="E511" i="4"/>
  <c r="M510" i="4"/>
  <c r="N510" i="4" s="1"/>
  <c r="I510" i="4"/>
  <c r="E510" i="4"/>
  <c r="M509" i="4"/>
  <c r="N509" i="4" s="1"/>
  <c r="I509" i="4"/>
  <c r="E509" i="4"/>
  <c r="M508" i="4"/>
  <c r="N508" i="4" s="1"/>
  <c r="I508" i="4"/>
  <c r="E508" i="4"/>
  <c r="M507" i="4"/>
  <c r="N507" i="4" s="1"/>
  <c r="I507" i="4"/>
  <c r="E507" i="4"/>
  <c r="M506" i="4"/>
  <c r="N506" i="4" s="1"/>
  <c r="I506" i="4"/>
  <c r="E506" i="4"/>
  <c r="M505" i="4"/>
  <c r="N505" i="4" s="1"/>
  <c r="I505" i="4"/>
  <c r="E505" i="4"/>
  <c r="M504" i="4"/>
  <c r="N504" i="4" s="1"/>
  <c r="I504" i="4"/>
  <c r="E504" i="4"/>
  <c r="M503" i="4"/>
  <c r="N503" i="4" s="1"/>
  <c r="I503" i="4"/>
  <c r="E503" i="4"/>
  <c r="M502" i="4"/>
  <c r="N502" i="4" s="1"/>
  <c r="I502" i="4"/>
  <c r="E502" i="4"/>
  <c r="M501" i="4"/>
  <c r="N501" i="4" s="1"/>
  <c r="I501" i="4"/>
  <c r="E501" i="4"/>
  <c r="M500" i="4"/>
  <c r="N500" i="4" s="1"/>
  <c r="I500" i="4"/>
  <c r="E500" i="4"/>
  <c r="M499" i="4"/>
  <c r="N499" i="4" s="1"/>
  <c r="I499" i="4"/>
  <c r="E499" i="4"/>
  <c r="M498" i="4"/>
  <c r="N498" i="4" s="1"/>
  <c r="I498" i="4"/>
  <c r="E498" i="4"/>
  <c r="M497" i="4"/>
  <c r="N497" i="4" s="1"/>
  <c r="I497" i="4"/>
  <c r="E497" i="4"/>
  <c r="M496" i="4"/>
  <c r="N496" i="4" s="1"/>
  <c r="I496" i="4"/>
  <c r="E496" i="4"/>
  <c r="M495" i="4"/>
  <c r="N495" i="4" s="1"/>
  <c r="I495" i="4"/>
  <c r="E495" i="4"/>
  <c r="M494" i="4"/>
  <c r="N494" i="4" s="1"/>
  <c r="I494" i="4"/>
  <c r="E494" i="4"/>
  <c r="M493" i="4"/>
  <c r="N493" i="4" s="1"/>
  <c r="I493" i="4"/>
  <c r="E493" i="4"/>
  <c r="M492" i="4"/>
  <c r="N492" i="4" s="1"/>
  <c r="I492" i="4"/>
  <c r="E492" i="4"/>
  <c r="M491" i="4"/>
  <c r="N491" i="4" s="1"/>
  <c r="I491" i="4"/>
  <c r="E491" i="4"/>
  <c r="M490" i="4"/>
  <c r="N490" i="4" s="1"/>
  <c r="I490" i="4"/>
  <c r="E490" i="4"/>
  <c r="N488" i="4"/>
  <c r="M488" i="4"/>
  <c r="I488" i="4"/>
  <c r="E488" i="4"/>
  <c r="N487" i="4"/>
  <c r="M487" i="4"/>
  <c r="I487" i="4"/>
  <c r="E487" i="4"/>
  <c r="N486" i="4"/>
  <c r="M486" i="4"/>
  <c r="I486" i="4"/>
  <c r="E486" i="4"/>
  <c r="N485" i="4"/>
  <c r="M485" i="4"/>
  <c r="I485" i="4"/>
  <c r="E485" i="4"/>
  <c r="N484" i="4"/>
  <c r="M484" i="4"/>
  <c r="I484" i="4"/>
  <c r="E484" i="4"/>
  <c r="N483" i="4"/>
  <c r="M483" i="4"/>
  <c r="I483" i="4"/>
  <c r="E483" i="4"/>
  <c r="N482" i="4"/>
  <c r="M482" i="4"/>
  <c r="I482" i="4"/>
  <c r="E482" i="4"/>
  <c r="N481" i="4"/>
  <c r="M481" i="4"/>
  <c r="I481" i="4"/>
  <c r="E481" i="4"/>
  <c r="N480" i="4"/>
  <c r="M480" i="4"/>
  <c r="I480" i="4"/>
  <c r="E480" i="4"/>
  <c r="N479" i="4"/>
  <c r="M479" i="4"/>
  <c r="I479" i="4"/>
  <c r="E479" i="4"/>
  <c r="T439" i="4"/>
  <c r="X439" i="4"/>
  <c r="AB439" i="4"/>
  <c r="AC439" i="4"/>
  <c r="T481" i="4"/>
  <c r="X481" i="4"/>
  <c r="AB481" i="4"/>
  <c r="AC481" i="4"/>
  <c r="Z514" i="4"/>
  <c r="Y514" i="4"/>
  <c r="U514" i="4"/>
  <c r="Q514" i="4"/>
  <c r="AB503" i="4"/>
  <c r="X503" i="4"/>
  <c r="T503" i="4"/>
  <c r="AB502" i="4"/>
  <c r="X502" i="4"/>
  <c r="T502" i="4"/>
  <c r="AB501" i="4"/>
  <c r="X501" i="4"/>
  <c r="T501" i="4"/>
  <c r="AC501" i="4" s="1"/>
  <c r="AB500" i="4"/>
  <c r="X500" i="4"/>
  <c r="T500" i="4"/>
  <c r="AC500" i="4" s="1"/>
  <c r="AB499" i="4"/>
  <c r="X499" i="4"/>
  <c r="T499" i="4"/>
  <c r="AC499" i="4" s="1"/>
  <c r="AB498" i="4"/>
  <c r="X498" i="4"/>
  <c r="T498" i="4"/>
  <c r="AC498" i="4" s="1"/>
  <c r="AB497" i="4"/>
  <c r="X497" i="4"/>
  <c r="T497" i="4"/>
  <c r="AC497" i="4" s="1"/>
  <c r="AB496" i="4"/>
  <c r="X496" i="4"/>
  <c r="T496" i="4"/>
  <c r="AC496" i="4" s="1"/>
  <c r="AB495" i="4"/>
  <c r="X495" i="4"/>
  <c r="T495" i="4"/>
  <c r="AC495" i="4" s="1"/>
  <c r="AB494" i="4"/>
  <c r="X494" i="4"/>
  <c r="T494" i="4"/>
  <c r="AC494" i="4" s="1"/>
  <c r="AB493" i="4"/>
  <c r="X493" i="4"/>
  <c r="T493" i="4"/>
  <c r="AC493" i="4" s="1"/>
  <c r="AB492" i="4"/>
  <c r="X492" i="4"/>
  <c r="T492" i="4"/>
  <c r="AC492" i="4" s="1"/>
  <c r="AB491" i="4"/>
  <c r="X491" i="4"/>
  <c r="T491" i="4"/>
  <c r="AC491" i="4" s="1"/>
  <c r="AB490" i="4"/>
  <c r="X490" i="4"/>
  <c r="T490" i="4"/>
  <c r="AC490" i="4" s="1"/>
  <c r="AC488" i="4"/>
  <c r="AB488" i="4"/>
  <c r="X488" i="4"/>
  <c r="T488" i="4"/>
  <c r="AC487" i="4"/>
  <c r="AB487" i="4"/>
  <c r="X487" i="4"/>
  <c r="T487" i="4"/>
  <c r="AC486" i="4"/>
  <c r="AB486" i="4"/>
  <c r="X486" i="4"/>
  <c r="T486" i="4"/>
  <c r="AC485" i="4"/>
  <c r="AB485" i="4"/>
  <c r="X485" i="4"/>
  <c r="T485" i="4"/>
  <c r="AC484" i="4"/>
  <c r="AB484" i="4"/>
  <c r="X484" i="4"/>
  <c r="T484" i="4"/>
  <c r="AC480" i="4"/>
  <c r="AB480" i="4"/>
  <c r="X480" i="4"/>
  <c r="T480" i="4"/>
  <c r="AC479" i="4"/>
  <c r="AB479" i="4"/>
  <c r="X479" i="4"/>
  <c r="T479" i="4"/>
  <c r="L2019" i="1"/>
  <c r="M2019" i="1" s="1"/>
  <c r="K2019" i="1"/>
  <c r="J2019" i="1"/>
  <c r="H2019" i="1"/>
  <c r="I2019" i="1" s="1"/>
  <c r="G2019" i="1"/>
  <c r="F2019" i="1"/>
  <c r="D2019" i="1"/>
  <c r="E2019" i="1" s="1"/>
  <c r="C2019" i="1"/>
  <c r="B2019" i="1"/>
  <c r="M2018" i="1"/>
  <c r="N2018" i="1" s="1"/>
  <c r="I2018" i="1"/>
  <c r="E2018" i="1"/>
  <c r="M2017" i="1"/>
  <c r="N2017" i="1" s="1"/>
  <c r="I2017" i="1"/>
  <c r="E2017" i="1"/>
  <c r="M2016" i="1"/>
  <c r="N2016" i="1" s="1"/>
  <c r="I2016" i="1"/>
  <c r="E2016" i="1"/>
  <c r="M2015" i="1"/>
  <c r="N2015" i="1" s="1"/>
  <c r="I2015" i="1"/>
  <c r="E2015" i="1"/>
  <c r="M2014" i="1"/>
  <c r="N2014" i="1" s="1"/>
  <c r="I2014" i="1"/>
  <c r="E2014" i="1"/>
  <c r="M2013" i="1"/>
  <c r="N2013" i="1" s="1"/>
  <c r="I2013" i="1"/>
  <c r="E2013" i="1"/>
  <c r="M2012" i="1"/>
  <c r="N2012" i="1" s="1"/>
  <c r="I2012" i="1"/>
  <c r="E2012" i="1"/>
  <c r="M2011" i="1"/>
  <c r="N2011" i="1" s="1"/>
  <c r="I2011" i="1"/>
  <c r="E2011" i="1"/>
  <c r="M2010" i="1"/>
  <c r="N2010" i="1" s="1"/>
  <c r="I2010" i="1"/>
  <c r="E2010" i="1"/>
  <c r="M2009" i="1"/>
  <c r="N2009" i="1" s="1"/>
  <c r="I2009" i="1"/>
  <c r="E2009" i="1"/>
  <c r="M2008" i="1"/>
  <c r="N2008" i="1" s="1"/>
  <c r="I2008" i="1"/>
  <c r="E2008" i="1"/>
  <c r="M2007" i="1"/>
  <c r="N2007" i="1" s="1"/>
  <c r="I2007" i="1"/>
  <c r="E2007" i="1"/>
  <c r="M2006" i="1"/>
  <c r="N2006" i="1" s="1"/>
  <c r="I2006" i="1"/>
  <c r="E2006" i="1"/>
  <c r="M2005" i="1"/>
  <c r="N2005" i="1" s="1"/>
  <c r="I2005" i="1"/>
  <c r="E2005" i="1"/>
  <c r="M2004" i="1"/>
  <c r="N2004" i="1" s="1"/>
  <c r="I2004" i="1"/>
  <c r="E2004" i="1"/>
  <c r="M2003" i="1"/>
  <c r="N2003" i="1" s="1"/>
  <c r="I2003" i="1"/>
  <c r="E2003" i="1"/>
  <c r="M2002" i="1"/>
  <c r="N2002" i="1" s="1"/>
  <c r="I2002" i="1"/>
  <c r="E2002" i="1"/>
  <c r="M2001" i="1"/>
  <c r="N2001" i="1" s="1"/>
  <c r="I2001" i="1"/>
  <c r="E2001" i="1"/>
  <c r="M2000" i="1"/>
  <c r="N2000" i="1" s="1"/>
  <c r="I2000" i="1"/>
  <c r="E2000" i="1"/>
  <c r="M1999" i="1"/>
  <c r="N1999" i="1" s="1"/>
  <c r="I1999" i="1"/>
  <c r="E1999" i="1"/>
  <c r="M1998" i="1"/>
  <c r="N1998" i="1" s="1"/>
  <c r="I1998" i="1"/>
  <c r="E1998" i="1"/>
  <c r="M1997" i="1"/>
  <c r="N1997" i="1" s="1"/>
  <c r="I1997" i="1"/>
  <c r="E1997" i="1"/>
  <c r="M1996" i="1"/>
  <c r="N1996" i="1" s="1"/>
  <c r="I1996" i="1"/>
  <c r="E1996" i="1"/>
  <c r="M1995" i="1"/>
  <c r="N1995" i="1" s="1"/>
  <c r="I1995" i="1"/>
  <c r="E1995" i="1"/>
  <c r="N1993" i="1"/>
  <c r="M1993" i="1"/>
  <c r="I1993" i="1"/>
  <c r="E1993" i="1"/>
  <c r="N1992" i="1"/>
  <c r="M1992" i="1"/>
  <c r="I1992" i="1"/>
  <c r="E1992" i="1"/>
  <c r="N1991" i="1"/>
  <c r="M1991" i="1"/>
  <c r="I1991" i="1"/>
  <c r="E1991" i="1"/>
  <c r="N1990" i="1"/>
  <c r="M1990" i="1"/>
  <c r="I1990" i="1"/>
  <c r="E1990" i="1"/>
  <c r="N1989" i="1"/>
  <c r="M1989" i="1"/>
  <c r="I1989" i="1"/>
  <c r="E1989" i="1"/>
  <c r="N1988" i="1"/>
  <c r="M1988" i="1"/>
  <c r="I1988" i="1"/>
  <c r="E1988" i="1"/>
  <c r="N1987" i="1"/>
  <c r="M1987" i="1"/>
  <c r="I1987" i="1"/>
  <c r="E1987" i="1"/>
  <c r="N1986" i="1"/>
  <c r="M1986" i="1"/>
  <c r="I1986" i="1"/>
  <c r="E1986" i="1"/>
  <c r="N1985" i="1"/>
  <c r="M1985" i="1"/>
  <c r="I1985" i="1"/>
  <c r="E1985" i="1"/>
  <c r="N1984" i="1"/>
  <c r="M1984" i="1"/>
  <c r="I1984" i="1"/>
  <c r="E1984" i="1"/>
  <c r="T1987" i="1"/>
  <c r="X1987" i="1"/>
  <c r="AB1987" i="1"/>
  <c r="AC1987" i="1"/>
  <c r="AA2019" i="1"/>
  <c r="Z2019" i="1"/>
  <c r="Y2019" i="1"/>
  <c r="W2019" i="1"/>
  <c r="V2019" i="1"/>
  <c r="U2019" i="1"/>
  <c r="S2019" i="1"/>
  <c r="R2019" i="1"/>
  <c r="Q2019" i="1"/>
  <c r="AB2006" i="1"/>
  <c r="X2006" i="1"/>
  <c r="T2006" i="1"/>
  <c r="AC2006" i="1" s="1"/>
  <c r="AB2005" i="1"/>
  <c r="X2005" i="1"/>
  <c r="T2005" i="1"/>
  <c r="AC2005" i="1" s="1"/>
  <c r="AB2004" i="1"/>
  <c r="X2004" i="1"/>
  <c r="T2004" i="1"/>
  <c r="AC2004" i="1" s="1"/>
  <c r="AB2003" i="1"/>
  <c r="X2003" i="1"/>
  <c r="T2003" i="1"/>
  <c r="AC2003" i="1" s="1"/>
  <c r="AB2002" i="1"/>
  <c r="X2002" i="1"/>
  <c r="T2002" i="1"/>
  <c r="AC2002" i="1" s="1"/>
  <c r="AB2001" i="1"/>
  <c r="X2001" i="1"/>
  <c r="T2001" i="1"/>
  <c r="AC2001" i="1" s="1"/>
  <c r="AB2000" i="1"/>
  <c r="X2000" i="1"/>
  <c r="T2000" i="1"/>
  <c r="AC2000" i="1" s="1"/>
  <c r="AB1999" i="1"/>
  <c r="X1999" i="1"/>
  <c r="T1999" i="1"/>
  <c r="AC1999" i="1" s="1"/>
  <c r="AB1998" i="1"/>
  <c r="X1998" i="1"/>
  <c r="T1998" i="1"/>
  <c r="AC1998" i="1" s="1"/>
  <c r="AB1997" i="1"/>
  <c r="X1997" i="1"/>
  <c r="T1997" i="1"/>
  <c r="AC1997" i="1" s="1"/>
  <c r="AB1996" i="1"/>
  <c r="X1996" i="1"/>
  <c r="T1996" i="1"/>
  <c r="AC1996" i="1" s="1"/>
  <c r="AB1995" i="1"/>
  <c r="X1995" i="1"/>
  <c r="T1995" i="1"/>
  <c r="AC1993" i="1"/>
  <c r="AB1993" i="1"/>
  <c r="X1993" i="1"/>
  <c r="T1993" i="1"/>
  <c r="AC1992" i="1"/>
  <c r="AB1992" i="1"/>
  <c r="X1992" i="1"/>
  <c r="T1992" i="1"/>
  <c r="AC1991" i="1"/>
  <c r="AB1991" i="1"/>
  <c r="X1991" i="1"/>
  <c r="T1991" i="1"/>
  <c r="AC1990" i="1"/>
  <c r="AB1990" i="1"/>
  <c r="X1990" i="1"/>
  <c r="T1990" i="1"/>
  <c r="AC1989" i="1"/>
  <c r="AB1989" i="1"/>
  <c r="X1989" i="1"/>
  <c r="T1989" i="1"/>
  <c r="AC1985" i="1"/>
  <c r="AB1985" i="1"/>
  <c r="X1985" i="1"/>
  <c r="T1985" i="1"/>
  <c r="AC1984" i="1"/>
  <c r="AB1984" i="1"/>
  <c r="X1984" i="1"/>
  <c r="T1984" i="1"/>
  <c r="AB1803" i="1"/>
  <c r="X1803" i="1"/>
  <c r="AB1799" i="1"/>
  <c r="W1804" i="1"/>
  <c r="X1799" i="1"/>
  <c r="AB1840" i="1"/>
  <c r="W1847" i="1"/>
  <c r="X1798" i="1"/>
  <c r="W342" i="4"/>
  <c r="T1882" i="1"/>
  <c r="AB1881" i="1"/>
  <c r="X1881" i="1"/>
  <c r="T1881" i="1"/>
  <c r="X335" i="4"/>
  <c r="X1796" i="1"/>
  <c r="T395" i="4"/>
  <c r="AC395" i="4" s="1"/>
  <c r="X395" i="4"/>
  <c r="AB395" i="4"/>
  <c r="AC376" i="4"/>
  <c r="AC332" i="4"/>
  <c r="AB474" i="4"/>
  <c r="X474" i="4"/>
  <c r="T474" i="4"/>
  <c r="T1900" i="1"/>
  <c r="AC1900" i="1" s="1"/>
  <c r="X1900" i="1"/>
  <c r="AB1900" i="1"/>
  <c r="T1901" i="1"/>
  <c r="AC1901" i="1" s="1"/>
  <c r="X1901" i="1"/>
  <c r="AB1901" i="1"/>
  <c r="AB1979" i="1"/>
  <c r="X1979" i="1"/>
  <c r="T1979" i="1"/>
  <c r="S1720" i="1"/>
  <c r="U1720" i="1"/>
  <c r="W1720" i="1"/>
  <c r="Z1720" i="1"/>
  <c r="AA1720" i="1"/>
  <c r="X1754" i="1"/>
  <c r="E241" i="4"/>
  <c r="N241" i="4" s="1"/>
  <c r="I241" i="4"/>
  <c r="M241" i="4"/>
  <c r="E242" i="4"/>
  <c r="I242" i="4"/>
  <c r="M242" i="4"/>
  <c r="E243" i="4"/>
  <c r="N243" i="4" s="1"/>
  <c r="I243" i="4"/>
  <c r="M243" i="4"/>
  <c r="T396" i="4"/>
  <c r="X396" i="4"/>
  <c r="AB396" i="4"/>
  <c r="AC352" i="4"/>
  <c r="AB352" i="4"/>
  <c r="X352" i="4"/>
  <c r="T352" i="4"/>
  <c r="AB1857" i="1"/>
  <c r="X1857" i="1"/>
  <c r="T1857" i="1"/>
  <c r="AC1857" i="1" s="1"/>
  <c r="T292" i="4"/>
  <c r="AC292" i="4" s="1"/>
  <c r="X292" i="4"/>
  <c r="AB292" i="4"/>
  <c r="T293" i="4"/>
  <c r="AC293" i="4" s="1"/>
  <c r="X293" i="4"/>
  <c r="AB293" i="4"/>
  <c r="AB247" i="4"/>
  <c r="X247" i="4"/>
  <c r="T247" i="4"/>
  <c r="AB246" i="4"/>
  <c r="AC246" i="4" s="1"/>
  <c r="X246" i="4"/>
  <c r="T246" i="4"/>
  <c r="T1708" i="1"/>
  <c r="X1708" i="1"/>
  <c r="AB1708" i="1"/>
  <c r="AC1708" i="1"/>
  <c r="M1710" i="1"/>
  <c r="I1710" i="1"/>
  <c r="E1710" i="1"/>
  <c r="N1710" i="1" s="1"/>
  <c r="AB1737" i="1"/>
  <c r="X1737" i="1"/>
  <c r="T1737" i="1"/>
  <c r="AC1737" i="1" s="1"/>
  <c r="X1756" i="1"/>
  <c r="T1749" i="1"/>
  <c r="X1749" i="1"/>
  <c r="AB1749" i="1"/>
  <c r="T1750" i="1"/>
  <c r="X1750" i="1"/>
  <c r="AB1750" i="1"/>
  <c r="T1751" i="1"/>
  <c r="X1751" i="1"/>
  <c r="AB1751" i="1"/>
  <c r="T1752" i="1"/>
  <c r="X1752" i="1"/>
  <c r="AB1752" i="1"/>
  <c r="T1753" i="1"/>
  <c r="X1753" i="1"/>
  <c r="AB1753" i="1"/>
  <c r="T1754" i="1"/>
  <c r="AB1754" i="1"/>
  <c r="T1755" i="1"/>
  <c r="X1755" i="1"/>
  <c r="AB1755" i="1"/>
  <c r="T1756" i="1"/>
  <c r="AB1756" i="1"/>
  <c r="T1757" i="1"/>
  <c r="X1757" i="1"/>
  <c r="AB1757" i="1"/>
  <c r="S1761" i="1"/>
  <c r="T1758" i="1"/>
  <c r="AC1758" i="1" s="1"/>
  <c r="X1758" i="1"/>
  <c r="AB1758" i="1"/>
  <c r="T1759" i="1"/>
  <c r="X1759" i="1"/>
  <c r="AB1759" i="1"/>
  <c r="T1760" i="1"/>
  <c r="X1760" i="1"/>
  <c r="AB1760" i="1"/>
  <c r="AB1798" i="1"/>
  <c r="R1804" i="1"/>
  <c r="AB1797" i="1"/>
  <c r="X1797" i="1"/>
  <c r="T1797" i="1"/>
  <c r="AB1796" i="1"/>
  <c r="T1796" i="1"/>
  <c r="AB1795" i="1"/>
  <c r="X1795" i="1"/>
  <c r="T1795" i="1"/>
  <c r="T1799" i="1"/>
  <c r="T1800" i="1"/>
  <c r="X1800" i="1"/>
  <c r="AB1800" i="1"/>
  <c r="T1801" i="1"/>
  <c r="X1801" i="1"/>
  <c r="AB1801" i="1"/>
  <c r="X1840" i="1"/>
  <c r="T1840" i="1"/>
  <c r="AB1839" i="1"/>
  <c r="X1839" i="1"/>
  <c r="T1839" i="1"/>
  <c r="M222" i="4"/>
  <c r="I222" i="4"/>
  <c r="E222" i="4"/>
  <c r="E1575" i="1"/>
  <c r="I1575" i="1"/>
  <c r="M1575" i="1"/>
  <c r="N1575" i="1"/>
  <c r="E1576" i="1"/>
  <c r="I1576" i="1"/>
  <c r="M1576" i="1"/>
  <c r="N1576" i="1"/>
  <c r="U1761" i="1"/>
  <c r="T332" i="4"/>
  <c r="X332" i="4"/>
  <c r="AB332" i="4"/>
  <c r="T333" i="4"/>
  <c r="AC333" i="4" s="1"/>
  <c r="X333" i="4"/>
  <c r="AB333" i="4"/>
  <c r="AB379" i="4"/>
  <c r="X379" i="4"/>
  <c r="T379" i="4"/>
  <c r="AB378" i="4"/>
  <c r="X378" i="4"/>
  <c r="T378" i="4"/>
  <c r="T353" i="4"/>
  <c r="X353" i="4"/>
  <c r="AB353" i="4"/>
  <c r="T373" i="4"/>
  <c r="X373" i="4"/>
  <c r="AB373" i="4"/>
  <c r="T374" i="4"/>
  <c r="AC374" i="4" s="1"/>
  <c r="X374" i="4"/>
  <c r="AB374" i="4"/>
  <c r="T375" i="4"/>
  <c r="AC375" i="4" s="1"/>
  <c r="X375" i="4"/>
  <c r="AB375" i="4"/>
  <c r="T376" i="4"/>
  <c r="X376" i="4"/>
  <c r="AB376" i="4"/>
  <c r="T377" i="4"/>
  <c r="X377" i="4"/>
  <c r="AB377" i="4"/>
  <c r="AB380" i="4"/>
  <c r="X380" i="4"/>
  <c r="T380" i="4"/>
  <c r="AB382" i="4"/>
  <c r="T382" i="4"/>
  <c r="AB381" i="4"/>
  <c r="X381" i="4"/>
  <c r="T381" i="4"/>
  <c r="AB384" i="4"/>
  <c r="X384" i="4"/>
  <c r="T384" i="4"/>
  <c r="AB383" i="4"/>
  <c r="X383" i="4"/>
  <c r="T383" i="4"/>
  <c r="AB423" i="4"/>
  <c r="X423" i="4"/>
  <c r="T423" i="4"/>
  <c r="AB422" i="4"/>
  <c r="X422" i="4"/>
  <c r="T422" i="4"/>
  <c r="T427" i="4"/>
  <c r="AB426" i="4"/>
  <c r="X426" i="4"/>
  <c r="T426" i="4"/>
  <c r="AC426" i="4" s="1"/>
  <c r="T1858" i="1"/>
  <c r="X1858" i="1"/>
  <c r="AB1858" i="1"/>
  <c r="AC1858" i="1"/>
  <c r="T1877" i="1"/>
  <c r="X1877" i="1"/>
  <c r="AB1877" i="1"/>
  <c r="T1878" i="1"/>
  <c r="X1878" i="1"/>
  <c r="AB1878" i="1"/>
  <c r="T1883" i="1"/>
  <c r="X1883" i="1"/>
  <c r="AB1883" i="1"/>
  <c r="T1884" i="1"/>
  <c r="AB1885" i="1"/>
  <c r="X1885" i="1"/>
  <c r="T1885" i="1"/>
  <c r="AB1887" i="1"/>
  <c r="T1887" i="1"/>
  <c r="AB1886" i="1"/>
  <c r="X1886" i="1"/>
  <c r="T1886" i="1"/>
  <c r="AC1886" i="1" s="1"/>
  <c r="AB1889" i="1"/>
  <c r="X1889" i="1"/>
  <c r="T1889" i="1"/>
  <c r="AB1888" i="1"/>
  <c r="X1888" i="1"/>
  <c r="T1888" i="1"/>
  <c r="L1976" i="1"/>
  <c r="K1976" i="1"/>
  <c r="J1976" i="1"/>
  <c r="H1976" i="1"/>
  <c r="G1976" i="1"/>
  <c r="F1976" i="1"/>
  <c r="D1976" i="1"/>
  <c r="C1976" i="1"/>
  <c r="B1976" i="1"/>
  <c r="M1975" i="1"/>
  <c r="I1975" i="1"/>
  <c r="E1975" i="1"/>
  <c r="N1975" i="1" s="1"/>
  <c r="M1974" i="1"/>
  <c r="I1974" i="1"/>
  <c r="E1974" i="1"/>
  <c r="N1974" i="1" s="1"/>
  <c r="M1973" i="1"/>
  <c r="I1973" i="1"/>
  <c r="E1973" i="1"/>
  <c r="N1973" i="1" s="1"/>
  <c r="M1972" i="1"/>
  <c r="I1972" i="1"/>
  <c r="E1972" i="1"/>
  <c r="N1972" i="1" s="1"/>
  <c r="M1971" i="1"/>
  <c r="I1971" i="1"/>
  <c r="E1971" i="1"/>
  <c r="N1971" i="1" s="1"/>
  <c r="M1970" i="1"/>
  <c r="I1970" i="1"/>
  <c r="E1970" i="1"/>
  <c r="N1970" i="1" s="1"/>
  <c r="M1969" i="1"/>
  <c r="I1969" i="1"/>
  <c r="E1969" i="1"/>
  <c r="N1969" i="1" s="1"/>
  <c r="M1968" i="1"/>
  <c r="I1968" i="1"/>
  <c r="E1968" i="1"/>
  <c r="N1968" i="1" s="1"/>
  <c r="M1967" i="1"/>
  <c r="I1967" i="1"/>
  <c r="E1967" i="1"/>
  <c r="N1967" i="1" s="1"/>
  <c r="M1966" i="1"/>
  <c r="I1966" i="1"/>
  <c r="E1966" i="1"/>
  <c r="N1966" i="1" s="1"/>
  <c r="M1965" i="1"/>
  <c r="I1965" i="1"/>
  <c r="E1965" i="1"/>
  <c r="N1965" i="1" s="1"/>
  <c r="M1964" i="1"/>
  <c r="I1964" i="1"/>
  <c r="E1964" i="1"/>
  <c r="N1964" i="1" s="1"/>
  <c r="M1963" i="1"/>
  <c r="I1963" i="1"/>
  <c r="E1963" i="1"/>
  <c r="N1963" i="1" s="1"/>
  <c r="M1962" i="1"/>
  <c r="I1962" i="1"/>
  <c r="E1962" i="1"/>
  <c r="N1962" i="1" s="1"/>
  <c r="M1961" i="1"/>
  <c r="I1961" i="1"/>
  <c r="E1961" i="1"/>
  <c r="N1961" i="1" s="1"/>
  <c r="M1960" i="1"/>
  <c r="I1960" i="1"/>
  <c r="E1960" i="1"/>
  <c r="N1960" i="1" s="1"/>
  <c r="M1959" i="1"/>
  <c r="I1959" i="1"/>
  <c r="E1959" i="1"/>
  <c r="N1959" i="1" s="1"/>
  <c r="M1958" i="1"/>
  <c r="I1958" i="1"/>
  <c r="E1958" i="1"/>
  <c r="M1957" i="1"/>
  <c r="I1957" i="1"/>
  <c r="E1957" i="1"/>
  <c r="N1957" i="1" s="1"/>
  <c r="M1956" i="1"/>
  <c r="I1956" i="1"/>
  <c r="E1956" i="1"/>
  <c r="N1956" i="1" s="1"/>
  <c r="M1955" i="1"/>
  <c r="I1955" i="1"/>
  <c r="E1955" i="1"/>
  <c r="M1954" i="1"/>
  <c r="I1954" i="1"/>
  <c r="E1954" i="1"/>
  <c r="N1954" i="1" s="1"/>
  <c r="M1953" i="1"/>
  <c r="I1953" i="1"/>
  <c r="E1953" i="1"/>
  <c r="M1952" i="1"/>
  <c r="I1952" i="1"/>
  <c r="E1952" i="1"/>
  <c r="N1952" i="1" s="1"/>
  <c r="N1950" i="1"/>
  <c r="M1950" i="1"/>
  <c r="I1950" i="1"/>
  <c r="E1950" i="1"/>
  <c r="N1949" i="1"/>
  <c r="M1949" i="1"/>
  <c r="I1949" i="1"/>
  <c r="E1949" i="1"/>
  <c r="N1948" i="1"/>
  <c r="M1948" i="1"/>
  <c r="I1948" i="1"/>
  <c r="E1948" i="1"/>
  <c r="N1947" i="1"/>
  <c r="M1947" i="1"/>
  <c r="I1947" i="1"/>
  <c r="E1947" i="1"/>
  <c r="N1946" i="1"/>
  <c r="M1946" i="1"/>
  <c r="I1946" i="1"/>
  <c r="E1946" i="1"/>
  <c r="N1945" i="1"/>
  <c r="M1945" i="1"/>
  <c r="I1945" i="1"/>
  <c r="E1945" i="1"/>
  <c r="N1944" i="1"/>
  <c r="M1944" i="1"/>
  <c r="I1944" i="1"/>
  <c r="E1944" i="1"/>
  <c r="N1943" i="1"/>
  <c r="M1943" i="1"/>
  <c r="I1943" i="1"/>
  <c r="E1943" i="1"/>
  <c r="M1942" i="1"/>
  <c r="I1942" i="1"/>
  <c r="E1942" i="1"/>
  <c r="M1941" i="1"/>
  <c r="I1941" i="1"/>
  <c r="E1941" i="1"/>
  <c r="AA1976" i="1"/>
  <c r="Y1976" i="1"/>
  <c r="S1976" i="1"/>
  <c r="Q1976" i="1"/>
  <c r="AB1963" i="1"/>
  <c r="X1963" i="1"/>
  <c r="T1963" i="1"/>
  <c r="AB1962" i="1"/>
  <c r="X1962" i="1"/>
  <c r="T1962" i="1"/>
  <c r="AB1961" i="1"/>
  <c r="X1961" i="1"/>
  <c r="T1961" i="1"/>
  <c r="AB1960" i="1"/>
  <c r="X1960" i="1"/>
  <c r="T1960" i="1"/>
  <c r="AB1959" i="1"/>
  <c r="AC1959" i="1" s="1"/>
  <c r="X1959" i="1"/>
  <c r="T1959" i="1"/>
  <c r="AB1958" i="1"/>
  <c r="X1958" i="1"/>
  <c r="T1958" i="1"/>
  <c r="AB1957" i="1"/>
  <c r="X1957" i="1"/>
  <c r="T1957" i="1"/>
  <c r="AB1956" i="1"/>
  <c r="X1956" i="1"/>
  <c r="T1956" i="1"/>
  <c r="AB1955" i="1"/>
  <c r="X1955" i="1"/>
  <c r="T1955" i="1"/>
  <c r="AB1954" i="1"/>
  <c r="X1954" i="1"/>
  <c r="T1954" i="1"/>
  <c r="AC1950" i="1"/>
  <c r="AB1950" i="1"/>
  <c r="X1950" i="1"/>
  <c r="T1950" i="1"/>
  <c r="AC1949" i="1"/>
  <c r="AB1949" i="1"/>
  <c r="X1949" i="1"/>
  <c r="T1949" i="1"/>
  <c r="AC1948" i="1"/>
  <c r="AB1948" i="1"/>
  <c r="X1948" i="1"/>
  <c r="T1948" i="1"/>
  <c r="AC1947" i="1"/>
  <c r="AB1947" i="1"/>
  <c r="X1947" i="1"/>
  <c r="T1947" i="1"/>
  <c r="AC1943" i="1"/>
  <c r="AB1943" i="1"/>
  <c r="X1943" i="1"/>
  <c r="T1943" i="1"/>
  <c r="AC1942" i="1"/>
  <c r="AB1942" i="1"/>
  <c r="X1942" i="1"/>
  <c r="T1942" i="1"/>
  <c r="AC1941" i="1"/>
  <c r="AB1941" i="1"/>
  <c r="X1941" i="1"/>
  <c r="T1941" i="1"/>
  <c r="T366" i="4"/>
  <c r="X366" i="4"/>
  <c r="AB366" i="4"/>
  <c r="T367" i="4"/>
  <c r="X367" i="4"/>
  <c r="AB367" i="4"/>
  <c r="T368" i="4"/>
  <c r="X368" i="4"/>
  <c r="AB368" i="4"/>
  <c r="T369" i="4"/>
  <c r="X369" i="4"/>
  <c r="AB369" i="4"/>
  <c r="T370" i="4"/>
  <c r="X370" i="4"/>
  <c r="AB370" i="4"/>
  <c r="T371" i="4"/>
  <c r="X371" i="4"/>
  <c r="AB371" i="4"/>
  <c r="AC371" i="4" s="1"/>
  <c r="T372" i="4"/>
  <c r="AC372" i="4" s="1"/>
  <c r="X372" i="4"/>
  <c r="AB372" i="4"/>
  <c r="T1869" i="1"/>
  <c r="X1869" i="1"/>
  <c r="AB1869" i="1"/>
  <c r="AC1869" i="1"/>
  <c r="T1870" i="1"/>
  <c r="X1870" i="1"/>
  <c r="AB1870" i="1"/>
  <c r="T1871" i="1"/>
  <c r="X1871" i="1"/>
  <c r="AB1871" i="1"/>
  <c r="T1872" i="1"/>
  <c r="X1872" i="1"/>
  <c r="AB1872" i="1"/>
  <c r="AC1872" i="1"/>
  <c r="T1874" i="1"/>
  <c r="X1874" i="1"/>
  <c r="AB1874" i="1"/>
  <c r="AC1874" i="1"/>
  <c r="T1875" i="1"/>
  <c r="X1875" i="1"/>
  <c r="AB1875" i="1"/>
  <c r="T1876" i="1"/>
  <c r="X1876" i="1"/>
  <c r="AB1876" i="1"/>
  <c r="L471" i="4"/>
  <c r="K471" i="4"/>
  <c r="J471" i="4"/>
  <c r="M471" i="4" s="1"/>
  <c r="H471" i="4"/>
  <c r="G471" i="4"/>
  <c r="F471" i="4"/>
  <c r="D471" i="4"/>
  <c r="C471" i="4"/>
  <c r="B471" i="4"/>
  <c r="M470" i="4"/>
  <c r="I470" i="4"/>
  <c r="E470" i="4"/>
  <c r="N470" i="4" s="1"/>
  <c r="M469" i="4"/>
  <c r="I469" i="4"/>
  <c r="E469" i="4"/>
  <c r="M468" i="4"/>
  <c r="I468" i="4"/>
  <c r="E468" i="4"/>
  <c r="M467" i="4"/>
  <c r="I467" i="4"/>
  <c r="E467" i="4"/>
  <c r="N467" i="4" s="1"/>
  <c r="M466" i="4"/>
  <c r="I466" i="4"/>
  <c r="E466" i="4"/>
  <c r="M465" i="4"/>
  <c r="I465" i="4"/>
  <c r="E465" i="4"/>
  <c r="M464" i="4"/>
  <c r="I464" i="4"/>
  <c r="E464" i="4"/>
  <c r="M463" i="4"/>
  <c r="I463" i="4"/>
  <c r="E463" i="4"/>
  <c r="N463" i="4" s="1"/>
  <c r="M462" i="4"/>
  <c r="I462" i="4"/>
  <c r="E462" i="4"/>
  <c r="N462" i="4" s="1"/>
  <c r="M461" i="4"/>
  <c r="I461" i="4"/>
  <c r="E461" i="4"/>
  <c r="M460" i="4"/>
  <c r="I460" i="4"/>
  <c r="E460" i="4"/>
  <c r="M459" i="4"/>
  <c r="I459" i="4"/>
  <c r="E459" i="4"/>
  <c r="N459" i="4" s="1"/>
  <c r="M458" i="4"/>
  <c r="I458" i="4"/>
  <c r="E458" i="4"/>
  <c r="M457" i="4"/>
  <c r="I457" i="4"/>
  <c r="E457" i="4"/>
  <c r="M456" i="4"/>
  <c r="I456" i="4"/>
  <c r="E456" i="4"/>
  <c r="M455" i="4"/>
  <c r="I455" i="4"/>
  <c r="E455" i="4"/>
  <c r="N455" i="4" s="1"/>
  <c r="M454" i="4"/>
  <c r="I454" i="4"/>
  <c r="E454" i="4"/>
  <c r="N454" i="4" s="1"/>
  <c r="M453" i="4"/>
  <c r="I453" i="4"/>
  <c r="E453" i="4"/>
  <c r="M452" i="4"/>
  <c r="I452" i="4"/>
  <c r="E452" i="4"/>
  <c r="M451" i="4"/>
  <c r="I451" i="4"/>
  <c r="E451" i="4"/>
  <c r="N451" i="4" s="1"/>
  <c r="M450" i="4"/>
  <c r="I450" i="4"/>
  <c r="E450" i="4"/>
  <c r="M449" i="4"/>
  <c r="I449" i="4"/>
  <c r="E449" i="4"/>
  <c r="M448" i="4"/>
  <c r="I448" i="4"/>
  <c r="E448" i="4"/>
  <c r="M447" i="4"/>
  <c r="I447" i="4"/>
  <c r="E447" i="4"/>
  <c r="N447" i="4" s="1"/>
  <c r="M445" i="4"/>
  <c r="I445" i="4"/>
  <c r="E445" i="4"/>
  <c r="N445" i="4" s="1"/>
  <c r="M444" i="4"/>
  <c r="I444" i="4"/>
  <c r="E444" i="4"/>
  <c r="N444" i="4" s="1"/>
  <c r="M443" i="4"/>
  <c r="I443" i="4"/>
  <c r="E443" i="4"/>
  <c r="N443" i="4" s="1"/>
  <c r="M442" i="4"/>
  <c r="I442" i="4"/>
  <c r="E442" i="4"/>
  <c r="N442" i="4" s="1"/>
  <c r="M441" i="4"/>
  <c r="I441" i="4"/>
  <c r="E441" i="4"/>
  <c r="N441" i="4" s="1"/>
  <c r="M440" i="4"/>
  <c r="I440" i="4"/>
  <c r="E440" i="4"/>
  <c r="N440" i="4" s="1"/>
  <c r="M439" i="4"/>
  <c r="I439" i="4"/>
  <c r="E439" i="4"/>
  <c r="N439" i="4" s="1"/>
  <c r="M438" i="4"/>
  <c r="I438" i="4"/>
  <c r="E438" i="4"/>
  <c r="N438" i="4" s="1"/>
  <c r="M437" i="4"/>
  <c r="I437" i="4"/>
  <c r="E437" i="4"/>
  <c r="N437" i="4" s="1"/>
  <c r="M436" i="4"/>
  <c r="I436" i="4"/>
  <c r="E436" i="4"/>
  <c r="N436" i="4" s="1"/>
  <c r="AA471" i="4"/>
  <c r="Z471" i="4"/>
  <c r="Y471" i="4"/>
  <c r="W471" i="4"/>
  <c r="U471" i="4"/>
  <c r="S471" i="4"/>
  <c r="R471" i="4"/>
  <c r="Q471" i="4"/>
  <c r="AB457" i="4"/>
  <c r="X457" i="4"/>
  <c r="T457" i="4"/>
  <c r="AB456" i="4"/>
  <c r="AC456" i="4" s="1"/>
  <c r="X456" i="4"/>
  <c r="T456" i="4"/>
  <c r="AB455" i="4"/>
  <c r="X455" i="4"/>
  <c r="T455" i="4"/>
  <c r="AB454" i="4"/>
  <c r="X454" i="4"/>
  <c r="T454" i="4"/>
  <c r="AB453" i="4"/>
  <c r="X453" i="4"/>
  <c r="T453" i="4"/>
  <c r="AB452" i="4"/>
  <c r="X452" i="4"/>
  <c r="T452" i="4"/>
  <c r="AB451" i="4"/>
  <c r="X451" i="4"/>
  <c r="T451" i="4"/>
  <c r="AB450" i="4"/>
  <c r="X450" i="4"/>
  <c r="T450" i="4"/>
  <c r="AB449" i="4"/>
  <c r="X449" i="4"/>
  <c r="T449" i="4"/>
  <c r="AB448" i="4"/>
  <c r="AC448" i="4" s="1"/>
  <c r="X448" i="4"/>
  <c r="T448" i="4"/>
  <c r="AB447" i="4"/>
  <c r="AC447" i="4" s="1"/>
  <c r="X447" i="4"/>
  <c r="T447" i="4"/>
  <c r="AB445" i="4"/>
  <c r="X445" i="4"/>
  <c r="AC445" i="4" s="1"/>
  <c r="T445" i="4"/>
  <c r="AB444" i="4"/>
  <c r="X444" i="4"/>
  <c r="T444" i="4"/>
  <c r="AC444" i="4" s="1"/>
  <c r="AB443" i="4"/>
  <c r="X443" i="4"/>
  <c r="T443" i="4"/>
  <c r="AC443" i="4" s="1"/>
  <c r="AB442" i="4"/>
  <c r="X442" i="4"/>
  <c r="T442" i="4"/>
  <c r="AC442" i="4" s="1"/>
  <c r="AB441" i="4"/>
  <c r="X441" i="4"/>
  <c r="AC441" i="4" s="1"/>
  <c r="T441" i="4"/>
  <c r="AB440" i="4"/>
  <c r="X440" i="4"/>
  <c r="T440" i="4"/>
  <c r="AB438" i="4"/>
  <c r="X438" i="4"/>
  <c r="T438" i="4"/>
  <c r="AC437" i="4"/>
  <c r="AB437" i="4"/>
  <c r="X437" i="4"/>
  <c r="T437" i="4"/>
  <c r="AB436" i="4"/>
  <c r="AC436" i="4" s="1"/>
  <c r="X436" i="4"/>
  <c r="T436" i="4"/>
  <c r="Z1718" i="1"/>
  <c r="W1718" i="1"/>
  <c r="U1718" i="1"/>
  <c r="L1933" i="1"/>
  <c r="K1933" i="1"/>
  <c r="J1933" i="1"/>
  <c r="H1933" i="1"/>
  <c r="G1933" i="1"/>
  <c r="F1933" i="1"/>
  <c r="D1933" i="1"/>
  <c r="C1933" i="1"/>
  <c r="B1933" i="1"/>
  <c r="M1932" i="1"/>
  <c r="I1932" i="1"/>
  <c r="E1932" i="1"/>
  <c r="N1932" i="1" s="1"/>
  <c r="M1931" i="1"/>
  <c r="I1931" i="1"/>
  <c r="E1931" i="1"/>
  <c r="N1931" i="1" s="1"/>
  <c r="M1930" i="1"/>
  <c r="I1930" i="1"/>
  <c r="E1930" i="1"/>
  <c r="N1930" i="1" s="1"/>
  <c r="M1929" i="1"/>
  <c r="I1929" i="1"/>
  <c r="E1929" i="1"/>
  <c r="M1928" i="1"/>
  <c r="I1928" i="1"/>
  <c r="E1928" i="1"/>
  <c r="N1928" i="1" s="1"/>
  <c r="M1927" i="1"/>
  <c r="I1927" i="1"/>
  <c r="E1927" i="1"/>
  <c r="M1926" i="1"/>
  <c r="I1926" i="1"/>
  <c r="E1926" i="1"/>
  <c r="N1926" i="1" s="1"/>
  <c r="M1925" i="1"/>
  <c r="I1925" i="1"/>
  <c r="E1925" i="1"/>
  <c r="N1925" i="1" s="1"/>
  <c r="M1924" i="1"/>
  <c r="I1924" i="1"/>
  <c r="E1924" i="1"/>
  <c r="N1924" i="1" s="1"/>
  <c r="M1923" i="1"/>
  <c r="I1923" i="1"/>
  <c r="E1923" i="1"/>
  <c r="N1923" i="1" s="1"/>
  <c r="M1922" i="1"/>
  <c r="I1922" i="1"/>
  <c r="E1922" i="1"/>
  <c r="N1922" i="1" s="1"/>
  <c r="M1921" i="1"/>
  <c r="I1921" i="1"/>
  <c r="E1921" i="1"/>
  <c r="M1920" i="1"/>
  <c r="I1920" i="1"/>
  <c r="E1920" i="1"/>
  <c r="M1919" i="1"/>
  <c r="I1919" i="1"/>
  <c r="E1919" i="1"/>
  <c r="N1919" i="1" s="1"/>
  <c r="M1918" i="1"/>
  <c r="I1918" i="1"/>
  <c r="E1918" i="1"/>
  <c r="M1917" i="1"/>
  <c r="I1917" i="1"/>
  <c r="E1917" i="1"/>
  <c r="N1917" i="1" s="1"/>
  <c r="M1916" i="1"/>
  <c r="I1916" i="1"/>
  <c r="E1916" i="1"/>
  <c r="N1916" i="1" s="1"/>
  <c r="M1915" i="1"/>
  <c r="I1915" i="1"/>
  <c r="E1915" i="1"/>
  <c r="N1915" i="1" s="1"/>
  <c r="M1914" i="1"/>
  <c r="I1914" i="1"/>
  <c r="E1914" i="1"/>
  <c r="M1913" i="1"/>
  <c r="I1913" i="1"/>
  <c r="E1913" i="1"/>
  <c r="M1912" i="1"/>
  <c r="I1912" i="1"/>
  <c r="E1912" i="1"/>
  <c r="N1912" i="1" s="1"/>
  <c r="M1911" i="1"/>
  <c r="I1911" i="1"/>
  <c r="E1911" i="1"/>
  <c r="N1911" i="1" s="1"/>
  <c r="M1910" i="1"/>
  <c r="I1910" i="1"/>
  <c r="E1910" i="1"/>
  <c r="N1910" i="1" s="1"/>
  <c r="M1907" i="1"/>
  <c r="I1907" i="1"/>
  <c r="E1907" i="1"/>
  <c r="N1907" i="1" s="1"/>
  <c r="M1906" i="1"/>
  <c r="I1906" i="1"/>
  <c r="E1906" i="1"/>
  <c r="N1906" i="1" s="1"/>
  <c r="M1905" i="1"/>
  <c r="I1905" i="1"/>
  <c r="E1905" i="1"/>
  <c r="N1905" i="1" s="1"/>
  <c r="M1904" i="1"/>
  <c r="I1904" i="1"/>
  <c r="E1904" i="1"/>
  <c r="M1903" i="1"/>
  <c r="I1903" i="1"/>
  <c r="E1903" i="1"/>
  <c r="M1902" i="1"/>
  <c r="I1902" i="1"/>
  <c r="E1902" i="1"/>
  <c r="M1901" i="1"/>
  <c r="I1901" i="1"/>
  <c r="E1901" i="1"/>
  <c r="M1900" i="1"/>
  <c r="I1900" i="1"/>
  <c r="E1900" i="1"/>
  <c r="M1899" i="1"/>
  <c r="I1899" i="1"/>
  <c r="E1899" i="1"/>
  <c r="N1899" i="1" s="1"/>
  <c r="M1898" i="1"/>
  <c r="I1898" i="1"/>
  <c r="E1898" i="1"/>
  <c r="N1898" i="1" s="1"/>
  <c r="T1836" i="1"/>
  <c r="AC1836" i="1" s="1"/>
  <c r="X1836" i="1"/>
  <c r="AB1836" i="1"/>
  <c r="T1837" i="1"/>
  <c r="X1837" i="1"/>
  <c r="AB1837" i="1"/>
  <c r="T1838" i="1"/>
  <c r="X1838" i="1"/>
  <c r="AB1838" i="1"/>
  <c r="AC1838" i="1"/>
  <c r="T1841" i="1"/>
  <c r="X1841" i="1"/>
  <c r="AB1841" i="1"/>
  <c r="T1842" i="1"/>
  <c r="X1842" i="1"/>
  <c r="AB1842" i="1"/>
  <c r="T1843" i="1"/>
  <c r="X1843" i="1"/>
  <c r="AB1843" i="1"/>
  <c r="T1844" i="1"/>
  <c r="T1845" i="1"/>
  <c r="X1845" i="1"/>
  <c r="AB1845" i="1"/>
  <c r="T1846" i="1"/>
  <c r="X1846" i="1"/>
  <c r="AB1846" i="1"/>
  <c r="T1747" i="1"/>
  <c r="X1747" i="1"/>
  <c r="AB1747" i="1"/>
  <c r="AC1747" i="1"/>
  <c r="T1748" i="1"/>
  <c r="X1748" i="1"/>
  <c r="AB1748" i="1"/>
  <c r="AC1748" i="1"/>
  <c r="T1793" i="1"/>
  <c r="X1793" i="1"/>
  <c r="AB1793" i="1"/>
  <c r="T1794" i="1"/>
  <c r="X1794" i="1"/>
  <c r="AB1794" i="1"/>
  <c r="AC1794" i="1"/>
  <c r="T1791" i="1"/>
  <c r="X1791" i="1"/>
  <c r="AB1791" i="1"/>
  <c r="AC1791" i="1"/>
  <c r="T1792" i="1"/>
  <c r="X1792" i="1"/>
  <c r="AB1792" i="1"/>
  <c r="T1815" i="1"/>
  <c r="X1815" i="1"/>
  <c r="AB1815" i="1"/>
  <c r="AC1815" i="1"/>
  <c r="T1855" i="1"/>
  <c r="X1855" i="1"/>
  <c r="AB1855" i="1"/>
  <c r="AC1855" i="1" s="1"/>
  <c r="T1856" i="1"/>
  <c r="X1856" i="1"/>
  <c r="AB1856" i="1"/>
  <c r="AC1856" i="1" s="1"/>
  <c r="T1859" i="1"/>
  <c r="X1859" i="1"/>
  <c r="AC1859" i="1" s="1"/>
  <c r="AB1859" i="1"/>
  <c r="T1860" i="1"/>
  <c r="X1860" i="1"/>
  <c r="AC1860" i="1" s="1"/>
  <c r="AB1860" i="1"/>
  <c r="T1861" i="1"/>
  <c r="X1861" i="1"/>
  <c r="AC1861" i="1" s="1"/>
  <c r="AB1861" i="1"/>
  <c r="T1862" i="1"/>
  <c r="X1862" i="1"/>
  <c r="AC1862" i="1" s="1"/>
  <c r="AB1862" i="1"/>
  <c r="T1863" i="1"/>
  <c r="X1863" i="1"/>
  <c r="AC1863" i="1" s="1"/>
  <c r="AB1863" i="1"/>
  <c r="T1864" i="1"/>
  <c r="X1864" i="1"/>
  <c r="AC1864" i="1" s="1"/>
  <c r="AB1864" i="1"/>
  <c r="T1866" i="1"/>
  <c r="X1866" i="1"/>
  <c r="AB1866" i="1"/>
  <c r="T1867" i="1"/>
  <c r="X1867" i="1"/>
  <c r="AB1867" i="1"/>
  <c r="T1868" i="1"/>
  <c r="X1868" i="1"/>
  <c r="AB1868" i="1"/>
  <c r="Q1890" i="1"/>
  <c r="R1890" i="1"/>
  <c r="S1890" i="1"/>
  <c r="AA1890" i="1"/>
  <c r="T1898" i="1"/>
  <c r="X1898" i="1"/>
  <c r="AC1898" i="1" s="1"/>
  <c r="AB1898" i="1"/>
  <c r="T1899" i="1"/>
  <c r="X1899" i="1"/>
  <c r="AC1899" i="1" s="1"/>
  <c r="AB1899" i="1"/>
  <c r="T1902" i="1"/>
  <c r="X1902" i="1"/>
  <c r="AC1902" i="1" s="1"/>
  <c r="AB1902" i="1"/>
  <c r="T1903" i="1"/>
  <c r="X1903" i="1"/>
  <c r="AC1903" i="1" s="1"/>
  <c r="AB1903" i="1"/>
  <c r="T1904" i="1"/>
  <c r="X1904" i="1"/>
  <c r="AC1904" i="1" s="1"/>
  <c r="AB1904" i="1"/>
  <c r="T1905" i="1"/>
  <c r="X1905" i="1"/>
  <c r="AC1905" i="1" s="1"/>
  <c r="AB1905" i="1"/>
  <c r="T1906" i="1"/>
  <c r="X1906" i="1"/>
  <c r="AC1906" i="1" s="1"/>
  <c r="AB1906" i="1"/>
  <c r="T1907" i="1"/>
  <c r="X1907" i="1"/>
  <c r="AC1907" i="1" s="1"/>
  <c r="AB1907" i="1"/>
  <c r="T1909" i="1"/>
  <c r="X1909" i="1"/>
  <c r="AB1909" i="1"/>
  <c r="T1910" i="1"/>
  <c r="X1910" i="1"/>
  <c r="AB1910" i="1"/>
  <c r="T1912" i="1"/>
  <c r="X1912" i="1"/>
  <c r="AB1912" i="1"/>
  <c r="T1913" i="1"/>
  <c r="X1913" i="1"/>
  <c r="AB1913" i="1"/>
  <c r="T1914" i="1"/>
  <c r="X1914" i="1"/>
  <c r="AB1914" i="1"/>
  <c r="T1915" i="1"/>
  <c r="X1915" i="1"/>
  <c r="AB1915" i="1"/>
  <c r="T1916" i="1"/>
  <c r="X1916" i="1"/>
  <c r="AB1916" i="1"/>
  <c r="T1917" i="1"/>
  <c r="X1917" i="1"/>
  <c r="AB1917" i="1"/>
  <c r="T1918" i="1"/>
  <c r="X1918" i="1"/>
  <c r="AB1918" i="1"/>
  <c r="Q1933" i="1"/>
  <c r="R1933" i="1"/>
  <c r="S1933" i="1"/>
  <c r="Y1933" i="1"/>
  <c r="T1674" i="1"/>
  <c r="X337" i="4"/>
  <c r="T1663" i="1"/>
  <c r="E1671" i="1"/>
  <c r="I1671" i="1"/>
  <c r="M1671" i="1"/>
  <c r="N1671" i="1"/>
  <c r="M1670" i="1"/>
  <c r="I1670" i="1"/>
  <c r="E1670" i="1"/>
  <c r="N1670" i="1" s="1"/>
  <c r="M1669" i="1"/>
  <c r="I1669" i="1"/>
  <c r="E1669" i="1"/>
  <c r="N1669" i="1" s="1"/>
  <c r="Y1675" i="1"/>
  <c r="X1674" i="1"/>
  <c r="AA299" i="4"/>
  <c r="Z299" i="4"/>
  <c r="W299" i="4"/>
  <c r="R299" i="4"/>
  <c r="T1665" i="1"/>
  <c r="X1665" i="1"/>
  <c r="AB1665" i="1"/>
  <c r="AC1665" i="1"/>
  <c r="T1666" i="1"/>
  <c r="X1666" i="1"/>
  <c r="AB1666" i="1"/>
  <c r="AC1666" i="1"/>
  <c r="AB1668" i="1"/>
  <c r="X1668" i="1"/>
  <c r="T1668" i="1"/>
  <c r="AC1668" i="1" s="1"/>
  <c r="AB1667" i="1"/>
  <c r="X1667" i="1"/>
  <c r="T1667" i="1"/>
  <c r="AC1667" i="1" s="1"/>
  <c r="W256" i="4"/>
  <c r="X249" i="4"/>
  <c r="T1771" i="1"/>
  <c r="X1771" i="1"/>
  <c r="AB1771" i="1"/>
  <c r="AC1771" i="1"/>
  <c r="AB1728" i="1"/>
  <c r="X1728" i="1"/>
  <c r="T1728" i="1"/>
  <c r="AC1728" i="1" s="1"/>
  <c r="W1675" i="1"/>
  <c r="X253" i="4"/>
  <c r="T1664" i="1"/>
  <c r="X1664" i="1"/>
  <c r="AB1664" i="1"/>
  <c r="AC1664" i="1"/>
  <c r="AB1673" i="1"/>
  <c r="X1673" i="1"/>
  <c r="T1673" i="1"/>
  <c r="AB1710" i="1"/>
  <c r="X1710" i="1"/>
  <c r="T1710" i="1"/>
  <c r="AC1710" i="1" s="1"/>
  <c r="X1712" i="1"/>
  <c r="T1712" i="1"/>
  <c r="AB1711" i="1"/>
  <c r="X1711" i="1"/>
  <c r="T1711" i="1"/>
  <c r="T1713" i="1"/>
  <c r="X1713" i="1"/>
  <c r="AB1713" i="1"/>
  <c r="T1714" i="1"/>
  <c r="X1714" i="1"/>
  <c r="AB1714" i="1"/>
  <c r="T1715" i="1"/>
  <c r="X1715" i="1"/>
  <c r="AB1715" i="1"/>
  <c r="L428" i="4"/>
  <c r="K428" i="4"/>
  <c r="J428" i="4"/>
  <c r="M428" i="4" s="1"/>
  <c r="H428" i="4"/>
  <c r="G428" i="4"/>
  <c r="F428" i="4"/>
  <c r="I428" i="4" s="1"/>
  <c r="D428" i="4"/>
  <c r="C428" i="4"/>
  <c r="B428" i="4"/>
  <c r="E428" i="4" s="1"/>
  <c r="M427" i="4"/>
  <c r="I427" i="4"/>
  <c r="E427" i="4"/>
  <c r="M426" i="4"/>
  <c r="I426" i="4"/>
  <c r="E426" i="4"/>
  <c r="M425" i="4"/>
  <c r="I425" i="4"/>
  <c r="E425" i="4"/>
  <c r="N425" i="4" s="1"/>
  <c r="M424" i="4"/>
  <c r="I424" i="4"/>
  <c r="E424" i="4"/>
  <c r="M423" i="4"/>
  <c r="I423" i="4"/>
  <c r="E423" i="4"/>
  <c r="M422" i="4"/>
  <c r="I422" i="4"/>
  <c r="E422" i="4"/>
  <c r="N422" i="4" s="1"/>
  <c r="M421" i="4"/>
  <c r="I421" i="4"/>
  <c r="E421" i="4"/>
  <c r="N421" i="4" s="1"/>
  <c r="M420" i="4"/>
  <c r="I420" i="4"/>
  <c r="E420" i="4"/>
  <c r="N420" i="4" s="1"/>
  <c r="M419" i="4"/>
  <c r="I419" i="4"/>
  <c r="E419" i="4"/>
  <c r="M418" i="4"/>
  <c r="I418" i="4"/>
  <c r="E418" i="4"/>
  <c r="M417" i="4"/>
  <c r="I417" i="4"/>
  <c r="E417" i="4"/>
  <c r="N417" i="4" s="1"/>
  <c r="M416" i="4"/>
  <c r="I416" i="4"/>
  <c r="E416" i="4"/>
  <c r="M415" i="4"/>
  <c r="I415" i="4"/>
  <c r="E415" i="4"/>
  <c r="M414" i="4"/>
  <c r="I414" i="4"/>
  <c r="E414" i="4"/>
  <c r="N414" i="4" s="1"/>
  <c r="M413" i="4"/>
  <c r="I413" i="4"/>
  <c r="E413" i="4"/>
  <c r="N413" i="4" s="1"/>
  <c r="M412" i="4"/>
  <c r="I412" i="4"/>
  <c r="E412" i="4"/>
  <c r="N412" i="4" s="1"/>
  <c r="M411" i="4"/>
  <c r="I411" i="4"/>
  <c r="E411" i="4"/>
  <c r="M410" i="4"/>
  <c r="I410" i="4"/>
  <c r="E410" i="4"/>
  <c r="M409" i="4"/>
  <c r="I409" i="4"/>
  <c r="E409" i="4"/>
  <c r="N409" i="4" s="1"/>
  <c r="M408" i="4"/>
  <c r="I408" i="4"/>
  <c r="E408" i="4"/>
  <c r="M407" i="4"/>
  <c r="I407" i="4"/>
  <c r="E407" i="4"/>
  <c r="M406" i="4"/>
  <c r="I406" i="4"/>
  <c r="E406" i="4"/>
  <c r="N406" i="4" s="1"/>
  <c r="M405" i="4"/>
  <c r="I405" i="4"/>
  <c r="E405" i="4"/>
  <c r="N405" i="4" s="1"/>
  <c r="M404" i="4"/>
  <c r="I404" i="4"/>
  <c r="E404" i="4"/>
  <c r="N404" i="4" s="1"/>
  <c r="M402" i="4"/>
  <c r="N402" i="4" s="1"/>
  <c r="I402" i="4"/>
  <c r="E402" i="4"/>
  <c r="N401" i="4"/>
  <c r="M401" i="4"/>
  <c r="I401" i="4"/>
  <c r="E401" i="4"/>
  <c r="M400" i="4"/>
  <c r="N400" i="4" s="1"/>
  <c r="I400" i="4"/>
  <c r="E400" i="4"/>
  <c r="N399" i="4"/>
  <c r="M399" i="4"/>
  <c r="I399" i="4"/>
  <c r="E399" i="4"/>
  <c r="M398" i="4"/>
  <c r="N398" i="4" s="1"/>
  <c r="I398" i="4"/>
  <c r="E398" i="4"/>
  <c r="N397" i="4"/>
  <c r="M397" i="4"/>
  <c r="I397" i="4"/>
  <c r="E397" i="4"/>
  <c r="M396" i="4"/>
  <c r="N396" i="4" s="1"/>
  <c r="I396" i="4"/>
  <c r="E396" i="4"/>
  <c r="N395" i="4"/>
  <c r="M395" i="4"/>
  <c r="I395" i="4"/>
  <c r="E395" i="4"/>
  <c r="M394" i="4"/>
  <c r="N394" i="4" s="1"/>
  <c r="I394" i="4"/>
  <c r="E394" i="4"/>
  <c r="N393" i="4"/>
  <c r="M393" i="4"/>
  <c r="I393" i="4"/>
  <c r="E393" i="4"/>
  <c r="T290" i="4"/>
  <c r="X290" i="4"/>
  <c r="AB290" i="4"/>
  <c r="T291" i="4"/>
  <c r="AC291" i="4" s="1"/>
  <c r="X291" i="4"/>
  <c r="AB291" i="4"/>
  <c r="AB296" i="4"/>
  <c r="X296" i="4"/>
  <c r="T296" i="4"/>
  <c r="AB295" i="4"/>
  <c r="X295" i="4"/>
  <c r="T295" i="4"/>
  <c r="AB294" i="4"/>
  <c r="X294" i="4"/>
  <c r="T294" i="4"/>
  <c r="AB337" i="4"/>
  <c r="T337" i="4"/>
  <c r="AB336" i="4"/>
  <c r="X336" i="4"/>
  <c r="T336" i="4"/>
  <c r="T335" i="4"/>
  <c r="AB334" i="4"/>
  <c r="X334" i="4"/>
  <c r="T334" i="4"/>
  <c r="T233" i="4"/>
  <c r="AC233" i="4" s="1"/>
  <c r="X233" i="4"/>
  <c r="AB233" i="4"/>
  <c r="T234" i="4"/>
  <c r="X234" i="4"/>
  <c r="AB234" i="4"/>
  <c r="AB232" i="4"/>
  <c r="X232" i="4"/>
  <c r="T232" i="4"/>
  <c r="AB206" i="4"/>
  <c r="X206" i="4"/>
  <c r="T206" i="4"/>
  <c r="AB205" i="4"/>
  <c r="X205" i="4"/>
  <c r="T205" i="4"/>
  <c r="AC205" i="4" s="1"/>
  <c r="T207" i="4"/>
  <c r="X207" i="4"/>
  <c r="AB207" i="4"/>
  <c r="T208" i="4"/>
  <c r="X208" i="4"/>
  <c r="AB208" i="4"/>
  <c r="AB212" i="4"/>
  <c r="X212" i="4"/>
  <c r="T212" i="4"/>
  <c r="AB211" i="4"/>
  <c r="X211" i="4"/>
  <c r="T211" i="4"/>
  <c r="R256" i="4"/>
  <c r="R258" i="4" s="1"/>
  <c r="AB249" i="4"/>
  <c r="T249" i="4"/>
  <c r="AB248" i="4"/>
  <c r="X248" i="4"/>
  <c r="T248" i="4"/>
  <c r="T250" i="4"/>
  <c r="X250" i="4"/>
  <c r="AB250" i="4"/>
  <c r="T251" i="4"/>
  <c r="X251" i="4"/>
  <c r="AB251" i="4"/>
  <c r="T252" i="4"/>
  <c r="X252" i="4"/>
  <c r="AB252" i="4"/>
  <c r="T253" i="4"/>
  <c r="AB253" i="4"/>
  <c r="T254" i="4"/>
  <c r="X254" i="4"/>
  <c r="AB254" i="4"/>
  <c r="T255" i="4"/>
  <c r="X255" i="4"/>
  <c r="AB255" i="4"/>
  <c r="T288" i="4"/>
  <c r="X288" i="4"/>
  <c r="AB288" i="4"/>
  <c r="AC288" i="4"/>
  <c r="T289" i="4"/>
  <c r="AC289" i="4" s="1"/>
  <c r="X289" i="4"/>
  <c r="AB289" i="4"/>
  <c r="T297" i="4"/>
  <c r="X297" i="4"/>
  <c r="AB297" i="4"/>
  <c r="T298" i="4"/>
  <c r="X298" i="4"/>
  <c r="AB298" i="4"/>
  <c r="AB341" i="4"/>
  <c r="X341" i="4"/>
  <c r="T341" i="4"/>
  <c r="AB340" i="4"/>
  <c r="X340" i="4"/>
  <c r="T340" i="4"/>
  <c r="AB339" i="4"/>
  <c r="X339" i="4"/>
  <c r="T339" i="4"/>
  <c r="AB338" i="4"/>
  <c r="X338" i="4"/>
  <c r="T338" i="4"/>
  <c r="T309" i="4"/>
  <c r="AC309" i="4" s="1"/>
  <c r="X309" i="4"/>
  <c r="AB309" i="4"/>
  <c r="T350" i="4"/>
  <c r="X350" i="4"/>
  <c r="AC350" i="4" s="1"/>
  <c r="AB350" i="4"/>
  <c r="T351" i="4"/>
  <c r="X351" i="4"/>
  <c r="AB351" i="4"/>
  <c r="T354" i="4"/>
  <c r="X354" i="4"/>
  <c r="AB354" i="4"/>
  <c r="T355" i="4"/>
  <c r="X355" i="4"/>
  <c r="AB355" i="4"/>
  <c r="T356" i="4"/>
  <c r="X356" i="4"/>
  <c r="AB356" i="4"/>
  <c r="T357" i="4"/>
  <c r="X357" i="4"/>
  <c r="AB357" i="4"/>
  <c r="T358" i="4"/>
  <c r="X358" i="4"/>
  <c r="AB358" i="4"/>
  <c r="T359" i="4"/>
  <c r="X359" i="4"/>
  <c r="AC359" i="4" s="1"/>
  <c r="AB359" i="4"/>
  <c r="T361" i="4"/>
  <c r="X361" i="4"/>
  <c r="AB361" i="4"/>
  <c r="T362" i="4"/>
  <c r="X362" i="4"/>
  <c r="AB362" i="4"/>
  <c r="T363" i="4"/>
  <c r="X363" i="4"/>
  <c r="AB363" i="4"/>
  <c r="T364" i="4"/>
  <c r="X364" i="4"/>
  <c r="AB364" i="4"/>
  <c r="T365" i="4"/>
  <c r="X365" i="4"/>
  <c r="AB365" i="4"/>
  <c r="Q385" i="4"/>
  <c r="R385" i="4"/>
  <c r="S385" i="4"/>
  <c r="U385" i="4"/>
  <c r="V385" i="4"/>
  <c r="W385" i="4"/>
  <c r="Y385" i="4"/>
  <c r="Z385" i="4"/>
  <c r="AA385" i="4"/>
  <c r="T393" i="4"/>
  <c r="X393" i="4"/>
  <c r="AC393" i="4" s="1"/>
  <c r="AB393" i="4"/>
  <c r="T394" i="4"/>
  <c r="X394" i="4"/>
  <c r="AB394" i="4"/>
  <c r="T397" i="4"/>
  <c r="X397" i="4"/>
  <c r="AB397" i="4"/>
  <c r="T398" i="4"/>
  <c r="X398" i="4"/>
  <c r="AB398" i="4"/>
  <c r="T399" i="4"/>
  <c r="X399" i="4"/>
  <c r="AB399" i="4"/>
  <c r="T400" i="4"/>
  <c r="X400" i="4"/>
  <c r="AB400" i="4"/>
  <c r="T401" i="4"/>
  <c r="X401" i="4"/>
  <c r="AB401" i="4"/>
  <c r="T402" i="4"/>
  <c r="X402" i="4"/>
  <c r="AC402" i="4" s="1"/>
  <c r="AB402" i="4"/>
  <c r="T404" i="4"/>
  <c r="X404" i="4"/>
  <c r="AB404" i="4"/>
  <c r="T405" i="4"/>
  <c r="X405" i="4"/>
  <c r="AB405" i="4"/>
  <c r="T406" i="4"/>
  <c r="AC406" i="4" s="1"/>
  <c r="X406" i="4"/>
  <c r="AB406" i="4"/>
  <c r="T407" i="4"/>
  <c r="AC407" i="4" s="1"/>
  <c r="X407" i="4"/>
  <c r="AB407" i="4"/>
  <c r="T408" i="4"/>
  <c r="X408" i="4"/>
  <c r="AB408" i="4"/>
  <c r="T409" i="4"/>
  <c r="X409" i="4"/>
  <c r="AB409" i="4"/>
  <c r="T410" i="4"/>
  <c r="X410" i="4"/>
  <c r="AB410" i="4"/>
  <c r="T411" i="4"/>
  <c r="X411" i="4"/>
  <c r="AB411" i="4"/>
  <c r="T412" i="4"/>
  <c r="X412" i="4"/>
  <c r="AB412" i="4"/>
  <c r="Q428" i="4"/>
  <c r="R428" i="4"/>
  <c r="S428" i="4"/>
  <c r="AA428" i="4"/>
  <c r="Q213" i="4"/>
  <c r="E197" i="4"/>
  <c r="N197" i="4" s="1"/>
  <c r="I197" i="4"/>
  <c r="M197" i="4"/>
  <c r="M234" i="4"/>
  <c r="I234" i="4"/>
  <c r="E234" i="4"/>
  <c r="M232" i="4"/>
  <c r="I232" i="4"/>
  <c r="E232" i="4"/>
  <c r="N232" i="4" s="1"/>
  <c r="T200" i="4"/>
  <c r="AC200" i="4" s="1"/>
  <c r="X200" i="4"/>
  <c r="AB200" i="4"/>
  <c r="AB126" i="4"/>
  <c r="AB166" i="4"/>
  <c r="AB1415" i="1"/>
  <c r="AB1416" i="1"/>
  <c r="E196" i="4"/>
  <c r="I196" i="4"/>
  <c r="M196" i="4"/>
  <c r="L385" i="4"/>
  <c r="K385" i="4"/>
  <c r="J385" i="4"/>
  <c r="H385" i="4"/>
  <c r="G385" i="4"/>
  <c r="F385" i="4"/>
  <c r="D385" i="4"/>
  <c r="C385" i="4"/>
  <c r="B385" i="4"/>
  <c r="M384" i="4"/>
  <c r="I384" i="4"/>
  <c r="E384" i="4"/>
  <c r="N384" i="4" s="1"/>
  <c r="M383" i="4"/>
  <c r="I383" i="4"/>
  <c r="E383" i="4"/>
  <c r="M382" i="4"/>
  <c r="I382" i="4"/>
  <c r="E382" i="4"/>
  <c r="M381" i="4"/>
  <c r="I381" i="4"/>
  <c r="E381" i="4"/>
  <c r="N381" i="4" s="1"/>
  <c r="M380" i="4"/>
  <c r="I380" i="4"/>
  <c r="E380" i="4"/>
  <c r="N380" i="4" s="1"/>
  <c r="M379" i="4"/>
  <c r="I379" i="4"/>
  <c r="E379" i="4"/>
  <c r="N379" i="4" s="1"/>
  <c r="M378" i="4"/>
  <c r="I378" i="4"/>
  <c r="E378" i="4"/>
  <c r="M377" i="4"/>
  <c r="I377" i="4"/>
  <c r="E377" i="4"/>
  <c r="M376" i="4"/>
  <c r="I376" i="4"/>
  <c r="E376" i="4"/>
  <c r="N376" i="4" s="1"/>
  <c r="M375" i="4"/>
  <c r="I375" i="4"/>
  <c r="E375" i="4"/>
  <c r="M374" i="4"/>
  <c r="I374" i="4"/>
  <c r="E374" i="4"/>
  <c r="M373" i="4"/>
  <c r="I373" i="4"/>
  <c r="E373" i="4"/>
  <c r="N373" i="4" s="1"/>
  <c r="M372" i="4"/>
  <c r="I372" i="4"/>
  <c r="E372" i="4"/>
  <c r="N372" i="4" s="1"/>
  <c r="M371" i="4"/>
  <c r="I371" i="4"/>
  <c r="E371" i="4"/>
  <c r="N371" i="4" s="1"/>
  <c r="M370" i="4"/>
  <c r="I370" i="4"/>
  <c r="E370" i="4"/>
  <c r="M369" i="4"/>
  <c r="I369" i="4"/>
  <c r="E369" i="4"/>
  <c r="M368" i="4"/>
  <c r="I368" i="4"/>
  <c r="E368" i="4"/>
  <c r="N368" i="4" s="1"/>
  <c r="M367" i="4"/>
  <c r="I367" i="4"/>
  <c r="E367" i="4"/>
  <c r="M366" i="4"/>
  <c r="I366" i="4"/>
  <c r="E366" i="4"/>
  <c r="M365" i="4"/>
  <c r="I365" i="4"/>
  <c r="E365" i="4"/>
  <c r="N365" i="4" s="1"/>
  <c r="M364" i="4"/>
  <c r="I364" i="4"/>
  <c r="E364" i="4"/>
  <c r="N364" i="4" s="1"/>
  <c r="M363" i="4"/>
  <c r="I363" i="4"/>
  <c r="E363" i="4"/>
  <c r="M362" i="4"/>
  <c r="I362" i="4"/>
  <c r="E362" i="4"/>
  <c r="M361" i="4"/>
  <c r="I361" i="4"/>
  <c r="E361" i="4"/>
  <c r="M359" i="4"/>
  <c r="I359" i="4"/>
  <c r="E359" i="4"/>
  <c r="N359" i="4" s="1"/>
  <c r="M358" i="4"/>
  <c r="I358" i="4"/>
  <c r="E358" i="4"/>
  <c r="M357" i="4"/>
  <c r="I357" i="4"/>
  <c r="E357" i="4"/>
  <c r="M356" i="4"/>
  <c r="I356" i="4"/>
  <c r="E356" i="4"/>
  <c r="N356" i="4" s="1"/>
  <c r="M355" i="4"/>
  <c r="I355" i="4"/>
  <c r="E355" i="4"/>
  <c r="N355" i="4" s="1"/>
  <c r="M354" i="4"/>
  <c r="I354" i="4"/>
  <c r="E354" i="4"/>
  <c r="N354" i="4" s="1"/>
  <c r="M353" i="4"/>
  <c r="I353" i="4"/>
  <c r="E353" i="4"/>
  <c r="M352" i="4"/>
  <c r="I352" i="4"/>
  <c r="E352" i="4"/>
  <c r="M351" i="4"/>
  <c r="I351" i="4"/>
  <c r="E351" i="4"/>
  <c r="N351" i="4" s="1"/>
  <c r="M350" i="4"/>
  <c r="I350" i="4"/>
  <c r="E350" i="4"/>
  <c r="T1774" i="1"/>
  <c r="X1774" i="1"/>
  <c r="AB1774" i="1"/>
  <c r="L1890" i="1"/>
  <c r="K1890" i="1"/>
  <c r="J1890" i="1"/>
  <c r="H1890" i="1"/>
  <c r="G1890" i="1"/>
  <c r="F1890" i="1"/>
  <c r="D1890" i="1"/>
  <c r="C1890" i="1"/>
  <c r="B1890" i="1"/>
  <c r="M1889" i="1"/>
  <c r="I1889" i="1"/>
  <c r="E1889" i="1"/>
  <c r="N1889" i="1" s="1"/>
  <c r="M1888" i="1"/>
  <c r="I1888" i="1"/>
  <c r="E1888" i="1"/>
  <c r="M1887" i="1"/>
  <c r="I1887" i="1"/>
  <c r="E1887" i="1"/>
  <c r="N1887" i="1" s="1"/>
  <c r="M1886" i="1"/>
  <c r="I1886" i="1"/>
  <c r="E1886" i="1"/>
  <c r="M1884" i="1"/>
  <c r="I1884" i="1"/>
  <c r="E1884" i="1"/>
  <c r="M1883" i="1"/>
  <c r="I1883" i="1"/>
  <c r="E1883" i="1"/>
  <c r="N1883" i="1" s="1"/>
  <c r="M1882" i="1"/>
  <c r="I1882" i="1"/>
  <c r="E1882" i="1"/>
  <c r="M1881" i="1"/>
  <c r="I1881" i="1"/>
  <c r="E1881" i="1"/>
  <c r="M1880" i="1"/>
  <c r="I1880" i="1"/>
  <c r="E1880" i="1"/>
  <c r="M1879" i="1"/>
  <c r="I1879" i="1"/>
  <c r="E1879" i="1"/>
  <c r="M1878" i="1"/>
  <c r="I1878" i="1"/>
  <c r="E1878" i="1"/>
  <c r="M1877" i="1"/>
  <c r="I1877" i="1"/>
  <c r="E1877" i="1"/>
  <c r="M1876" i="1"/>
  <c r="I1876" i="1"/>
  <c r="E1876" i="1"/>
  <c r="M1875" i="1"/>
  <c r="I1875" i="1"/>
  <c r="E1875" i="1"/>
  <c r="N1875" i="1" s="1"/>
  <c r="M1874" i="1"/>
  <c r="I1874" i="1"/>
  <c r="E1874" i="1"/>
  <c r="M1873" i="1"/>
  <c r="I1873" i="1"/>
  <c r="E1873" i="1"/>
  <c r="M1872" i="1"/>
  <c r="I1872" i="1"/>
  <c r="E1872" i="1"/>
  <c r="M1871" i="1"/>
  <c r="I1871" i="1"/>
  <c r="E1871" i="1"/>
  <c r="M1870" i="1"/>
  <c r="I1870" i="1"/>
  <c r="E1870" i="1"/>
  <c r="M1869" i="1"/>
  <c r="I1869" i="1"/>
  <c r="E1869" i="1"/>
  <c r="M1868" i="1"/>
  <c r="I1868" i="1"/>
  <c r="E1868" i="1"/>
  <c r="M1867" i="1"/>
  <c r="I1867" i="1"/>
  <c r="E1867" i="1"/>
  <c r="M1866" i="1"/>
  <c r="I1866" i="1"/>
  <c r="E1866" i="1"/>
  <c r="M1864" i="1"/>
  <c r="I1864" i="1"/>
  <c r="N1864" i="1" s="1"/>
  <c r="E1864" i="1"/>
  <c r="M1863" i="1"/>
  <c r="I1863" i="1"/>
  <c r="N1863" i="1" s="1"/>
  <c r="E1863" i="1"/>
  <c r="M1862" i="1"/>
  <c r="I1862" i="1"/>
  <c r="N1862" i="1" s="1"/>
  <c r="E1862" i="1"/>
  <c r="M1861" i="1"/>
  <c r="I1861" i="1"/>
  <c r="N1861" i="1" s="1"/>
  <c r="E1861" i="1"/>
  <c r="M1860" i="1"/>
  <c r="I1860" i="1"/>
  <c r="E1860" i="1"/>
  <c r="M1859" i="1"/>
  <c r="I1859" i="1"/>
  <c r="E1859" i="1"/>
  <c r="M1858" i="1"/>
  <c r="I1858" i="1"/>
  <c r="E1858" i="1"/>
  <c r="M1857" i="1"/>
  <c r="I1857" i="1"/>
  <c r="E1857" i="1"/>
  <c r="M1856" i="1"/>
  <c r="I1856" i="1"/>
  <c r="E1856" i="1"/>
  <c r="M1855" i="1"/>
  <c r="I1855" i="1"/>
  <c r="E1855" i="1"/>
  <c r="T1803" i="1"/>
  <c r="AB1802" i="1"/>
  <c r="X1802" i="1"/>
  <c r="T1802" i="1"/>
  <c r="L1847" i="1"/>
  <c r="K1847" i="1"/>
  <c r="J1847" i="1"/>
  <c r="H1847" i="1"/>
  <c r="G1847" i="1"/>
  <c r="F1847" i="1"/>
  <c r="D1847" i="1"/>
  <c r="C1847" i="1"/>
  <c r="B1847" i="1"/>
  <c r="M1846" i="1"/>
  <c r="I1846" i="1"/>
  <c r="E1846" i="1"/>
  <c r="M1845" i="1"/>
  <c r="I1845" i="1"/>
  <c r="E1845" i="1"/>
  <c r="M1844" i="1"/>
  <c r="I1844" i="1"/>
  <c r="E1844" i="1"/>
  <c r="M1843" i="1"/>
  <c r="I1843" i="1"/>
  <c r="E1843" i="1"/>
  <c r="M1842" i="1"/>
  <c r="I1842" i="1"/>
  <c r="E1842" i="1"/>
  <c r="M1841" i="1"/>
  <c r="I1841" i="1"/>
  <c r="E1841" i="1"/>
  <c r="M1840" i="1"/>
  <c r="I1840" i="1"/>
  <c r="E1840" i="1"/>
  <c r="M1839" i="1"/>
  <c r="I1839" i="1"/>
  <c r="E1839" i="1"/>
  <c r="M1838" i="1"/>
  <c r="I1838" i="1"/>
  <c r="E1838" i="1"/>
  <c r="M1837" i="1"/>
  <c r="I1837" i="1"/>
  <c r="E1837" i="1"/>
  <c r="M1836" i="1"/>
  <c r="I1836" i="1"/>
  <c r="E1836" i="1"/>
  <c r="M1835" i="1"/>
  <c r="I1835" i="1"/>
  <c r="E1835" i="1"/>
  <c r="M1834" i="1"/>
  <c r="I1834" i="1"/>
  <c r="E1834" i="1"/>
  <c r="M1833" i="1"/>
  <c r="I1833" i="1"/>
  <c r="E1833" i="1"/>
  <c r="M1832" i="1"/>
  <c r="I1832" i="1"/>
  <c r="E1832" i="1"/>
  <c r="M1831" i="1"/>
  <c r="I1831" i="1"/>
  <c r="E1831" i="1"/>
  <c r="M1830" i="1"/>
  <c r="I1830" i="1"/>
  <c r="E1830" i="1"/>
  <c r="M1829" i="1"/>
  <c r="I1829" i="1"/>
  <c r="E1829" i="1"/>
  <c r="M1826" i="1"/>
  <c r="I1826" i="1"/>
  <c r="E1826" i="1"/>
  <c r="M1825" i="1"/>
  <c r="I1825" i="1"/>
  <c r="E1825" i="1"/>
  <c r="M1824" i="1"/>
  <c r="I1824" i="1"/>
  <c r="E1824" i="1"/>
  <c r="M1823" i="1"/>
  <c r="I1823" i="1"/>
  <c r="E1823" i="1"/>
  <c r="M1821" i="1"/>
  <c r="I1821" i="1"/>
  <c r="N1821" i="1" s="1"/>
  <c r="E1821" i="1"/>
  <c r="M1820" i="1"/>
  <c r="I1820" i="1"/>
  <c r="N1820" i="1" s="1"/>
  <c r="E1820" i="1"/>
  <c r="M1819" i="1"/>
  <c r="I1819" i="1"/>
  <c r="N1819" i="1" s="1"/>
  <c r="E1819" i="1"/>
  <c r="M1818" i="1"/>
  <c r="I1818" i="1"/>
  <c r="N1818" i="1" s="1"/>
  <c r="E1818" i="1"/>
  <c r="M1817" i="1"/>
  <c r="I1817" i="1"/>
  <c r="N1817" i="1" s="1"/>
  <c r="E1817" i="1"/>
  <c r="M1816" i="1"/>
  <c r="I1816" i="1"/>
  <c r="N1816" i="1" s="1"/>
  <c r="E1816" i="1"/>
  <c r="M1815" i="1"/>
  <c r="I1815" i="1"/>
  <c r="N1815" i="1" s="1"/>
  <c r="E1815" i="1"/>
  <c r="M1814" i="1"/>
  <c r="I1814" i="1"/>
  <c r="N1814" i="1" s="1"/>
  <c r="E1814" i="1"/>
  <c r="M1813" i="1"/>
  <c r="I1813" i="1"/>
  <c r="E1813" i="1"/>
  <c r="M1812" i="1"/>
  <c r="I1812" i="1"/>
  <c r="E1812" i="1"/>
  <c r="T1814" i="1"/>
  <c r="X1814" i="1"/>
  <c r="AB1814" i="1"/>
  <c r="AC1814" i="1"/>
  <c r="T1816" i="1"/>
  <c r="X1816" i="1"/>
  <c r="AB1816" i="1"/>
  <c r="AC1816" i="1"/>
  <c r="T1817" i="1"/>
  <c r="X1817" i="1"/>
  <c r="AB1817" i="1"/>
  <c r="AC1817" i="1"/>
  <c r="T1818" i="1"/>
  <c r="X1818" i="1"/>
  <c r="AB1818" i="1"/>
  <c r="AC1818" i="1"/>
  <c r="AA1847" i="1"/>
  <c r="U1847" i="1"/>
  <c r="S1847" i="1"/>
  <c r="R1847" i="1"/>
  <c r="Q1847" i="1"/>
  <c r="AB1835" i="1"/>
  <c r="X1835" i="1"/>
  <c r="T1835" i="1"/>
  <c r="AB1833" i="1"/>
  <c r="X1833" i="1"/>
  <c r="T1833" i="1"/>
  <c r="AB1832" i="1"/>
  <c r="X1832" i="1"/>
  <c r="T1832" i="1"/>
  <c r="AB1831" i="1"/>
  <c r="X1831" i="1"/>
  <c r="T1831" i="1"/>
  <c r="AB1830" i="1"/>
  <c r="X1830" i="1"/>
  <c r="T1830" i="1"/>
  <c r="AB1829" i="1"/>
  <c r="X1829" i="1"/>
  <c r="T1829" i="1"/>
  <c r="AB1828" i="1"/>
  <c r="X1828" i="1"/>
  <c r="T1828" i="1"/>
  <c r="AB1827" i="1"/>
  <c r="X1827" i="1"/>
  <c r="T1827" i="1"/>
  <c r="AC1827" i="1" s="1"/>
  <c r="AB1826" i="1"/>
  <c r="X1826" i="1"/>
  <c r="T1826" i="1"/>
  <c r="AB1825" i="1"/>
  <c r="X1825" i="1"/>
  <c r="T1825" i="1"/>
  <c r="AC1825" i="1" s="1"/>
  <c r="AB1824" i="1"/>
  <c r="X1824" i="1"/>
  <c r="T1824" i="1"/>
  <c r="AB1823" i="1"/>
  <c r="X1823" i="1"/>
  <c r="T1823" i="1"/>
  <c r="AB1821" i="1"/>
  <c r="X1821" i="1"/>
  <c r="T1821" i="1"/>
  <c r="AC1821" i="1" s="1"/>
  <c r="AB1820" i="1"/>
  <c r="X1820" i="1"/>
  <c r="T1820" i="1"/>
  <c r="AC1820" i="1" s="1"/>
  <c r="AB1819" i="1"/>
  <c r="X1819" i="1"/>
  <c r="T1819" i="1"/>
  <c r="AC1819" i="1" s="1"/>
  <c r="AB1813" i="1"/>
  <c r="X1813" i="1"/>
  <c r="T1813" i="1"/>
  <c r="AC1813" i="1" s="1"/>
  <c r="AB1812" i="1"/>
  <c r="X1812" i="1"/>
  <c r="T1812" i="1"/>
  <c r="AC1812" i="1" s="1"/>
  <c r="W1632" i="1"/>
  <c r="V1632" i="1"/>
  <c r="R1632" i="1"/>
  <c r="S1589" i="1"/>
  <c r="X1580" i="1"/>
  <c r="W1589" i="1"/>
  <c r="AA1589" i="1"/>
  <c r="AB210" i="4"/>
  <c r="V213" i="4"/>
  <c r="X210" i="4"/>
  <c r="T1610" i="1"/>
  <c r="X1610" i="1"/>
  <c r="AB1610" i="1"/>
  <c r="AC1610" i="1"/>
  <c r="AB1577" i="1"/>
  <c r="X1577" i="1"/>
  <c r="T1577" i="1"/>
  <c r="T153" i="4"/>
  <c r="X153" i="4"/>
  <c r="AB153" i="4"/>
  <c r="AC153" i="4"/>
  <c r="T154" i="4"/>
  <c r="X154" i="4"/>
  <c r="AB154" i="4"/>
  <c r="AB192" i="4"/>
  <c r="X192" i="4"/>
  <c r="T192" i="4"/>
  <c r="AC192" i="4" s="1"/>
  <c r="AB191" i="4"/>
  <c r="X191" i="4"/>
  <c r="T191" i="4"/>
  <c r="AC191" i="4" s="1"/>
  <c r="V170" i="4"/>
  <c r="AA1675" i="1"/>
  <c r="S1675" i="1"/>
  <c r="X1588" i="1"/>
  <c r="E104" i="4"/>
  <c r="I104" i="4"/>
  <c r="M104" i="4"/>
  <c r="N104" i="4"/>
  <c r="E105" i="4"/>
  <c r="N105" i="4" s="1"/>
  <c r="I105" i="4"/>
  <c r="M105" i="4"/>
  <c r="E106" i="4"/>
  <c r="I106" i="4"/>
  <c r="M106" i="4"/>
  <c r="N106" i="4"/>
  <c r="M148" i="4"/>
  <c r="I148" i="4"/>
  <c r="E148" i="4"/>
  <c r="M147" i="4"/>
  <c r="I147" i="4"/>
  <c r="E147" i="4"/>
  <c r="N147" i="4" s="1"/>
  <c r="M146" i="4"/>
  <c r="I146" i="4"/>
  <c r="E146" i="4"/>
  <c r="T105" i="4"/>
  <c r="AC105" i="4" s="1"/>
  <c r="X105" i="4"/>
  <c r="AB105" i="4"/>
  <c r="T106" i="4"/>
  <c r="AC106" i="4" s="1"/>
  <c r="X106" i="4"/>
  <c r="AB106" i="4"/>
  <c r="T107" i="4"/>
  <c r="AC107" i="4" s="1"/>
  <c r="X107" i="4"/>
  <c r="AB107" i="4"/>
  <c r="T108" i="4"/>
  <c r="AC108" i="4" s="1"/>
  <c r="X108" i="4"/>
  <c r="AB108" i="4"/>
  <c r="T109" i="4"/>
  <c r="AC109" i="4" s="1"/>
  <c r="X109" i="4"/>
  <c r="AB109" i="4"/>
  <c r="T110" i="4"/>
  <c r="X110" i="4"/>
  <c r="AB110" i="4"/>
  <c r="AB151" i="4"/>
  <c r="X151" i="4"/>
  <c r="T151" i="4"/>
  <c r="AB150" i="4"/>
  <c r="X150" i="4"/>
  <c r="T150" i="4"/>
  <c r="AC150" i="4" s="1"/>
  <c r="AB149" i="4"/>
  <c r="X149" i="4"/>
  <c r="T149" i="4"/>
  <c r="AB148" i="4"/>
  <c r="X148" i="4"/>
  <c r="T148" i="4"/>
  <c r="AC148" i="4" s="1"/>
  <c r="AB147" i="4"/>
  <c r="X147" i="4"/>
  <c r="T147" i="4"/>
  <c r="AC147" i="4" s="1"/>
  <c r="AB146" i="4"/>
  <c r="X146" i="4"/>
  <c r="T146" i="4"/>
  <c r="Y1632" i="1"/>
  <c r="U1632" i="1"/>
  <c r="AB1541" i="1"/>
  <c r="X1545" i="1"/>
  <c r="AB1535" i="1"/>
  <c r="E1471" i="1"/>
  <c r="X1535" i="1"/>
  <c r="E1500" i="1"/>
  <c r="T1502" i="1"/>
  <c r="T313" i="4"/>
  <c r="X313" i="4"/>
  <c r="AB313" i="4"/>
  <c r="AC313" i="4"/>
  <c r="L342" i="4"/>
  <c r="K342" i="4"/>
  <c r="J342" i="4"/>
  <c r="H342" i="4"/>
  <c r="G342" i="4"/>
  <c r="F342" i="4"/>
  <c r="D342" i="4"/>
  <c r="C342" i="4"/>
  <c r="B342" i="4"/>
  <c r="M341" i="4"/>
  <c r="N341" i="4" s="1"/>
  <c r="I341" i="4"/>
  <c r="E341" i="4"/>
  <c r="M340" i="4"/>
  <c r="I340" i="4"/>
  <c r="E340" i="4"/>
  <c r="M339" i="4"/>
  <c r="N339" i="4" s="1"/>
  <c r="I339" i="4"/>
  <c r="E339" i="4"/>
  <c r="M338" i="4"/>
  <c r="I338" i="4"/>
  <c r="E338" i="4"/>
  <c r="M337" i="4"/>
  <c r="I337" i="4"/>
  <c r="E337" i="4"/>
  <c r="M336" i="4"/>
  <c r="I336" i="4"/>
  <c r="E336" i="4"/>
  <c r="M335" i="4"/>
  <c r="I335" i="4"/>
  <c r="E335" i="4"/>
  <c r="M334" i="4"/>
  <c r="I334" i="4"/>
  <c r="E334" i="4"/>
  <c r="M333" i="4"/>
  <c r="I333" i="4"/>
  <c r="E333" i="4"/>
  <c r="M332" i="4"/>
  <c r="I332" i="4"/>
  <c r="E332" i="4"/>
  <c r="M331" i="4"/>
  <c r="I331" i="4"/>
  <c r="E331" i="4"/>
  <c r="M330" i="4"/>
  <c r="I330" i="4"/>
  <c r="E330" i="4"/>
  <c r="M329" i="4"/>
  <c r="I329" i="4"/>
  <c r="E329" i="4"/>
  <c r="M328" i="4"/>
  <c r="I328" i="4"/>
  <c r="E328" i="4"/>
  <c r="M327" i="4"/>
  <c r="I327" i="4"/>
  <c r="E327" i="4"/>
  <c r="M326" i="4"/>
  <c r="I326" i="4"/>
  <c r="E326" i="4"/>
  <c r="M325" i="4"/>
  <c r="I325" i="4"/>
  <c r="E325" i="4"/>
  <c r="M324" i="4"/>
  <c r="I324" i="4"/>
  <c r="E324" i="4"/>
  <c r="M323" i="4"/>
  <c r="I323" i="4"/>
  <c r="E323" i="4"/>
  <c r="M322" i="4"/>
  <c r="I322" i="4"/>
  <c r="E322" i="4"/>
  <c r="M321" i="4"/>
  <c r="I321" i="4"/>
  <c r="E321" i="4"/>
  <c r="M320" i="4"/>
  <c r="I320" i="4"/>
  <c r="E320" i="4"/>
  <c r="M319" i="4"/>
  <c r="I319" i="4"/>
  <c r="E319" i="4"/>
  <c r="M318" i="4"/>
  <c r="I318" i="4"/>
  <c r="E318" i="4"/>
  <c r="N316" i="4"/>
  <c r="M316" i="4"/>
  <c r="I316" i="4"/>
  <c r="E316" i="4"/>
  <c r="M315" i="4"/>
  <c r="I315" i="4"/>
  <c r="N315" i="4" s="1"/>
  <c r="E315" i="4"/>
  <c r="N314" i="4"/>
  <c r="M314" i="4"/>
  <c r="I314" i="4"/>
  <c r="E314" i="4"/>
  <c r="M313" i="4"/>
  <c r="I313" i="4"/>
  <c r="N313" i="4" s="1"/>
  <c r="E313" i="4"/>
  <c r="M312" i="4"/>
  <c r="I312" i="4"/>
  <c r="E312" i="4"/>
  <c r="M311" i="4"/>
  <c r="I311" i="4"/>
  <c r="E311" i="4"/>
  <c r="M310" i="4"/>
  <c r="I310" i="4"/>
  <c r="E310" i="4"/>
  <c r="M309" i="4"/>
  <c r="I309" i="4"/>
  <c r="E309" i="4"/>
  <c r="M308" i="4"/>
  <c r="I308" i="4"/>
  <c r="E308" i="4"/>
  <c r="M307" i="4"/>
  <c r="I307" i="4"/>
  <c r="E307" i="4"/>
  <c r="T269" i="4"/>
  <c r="AC269" i="4" s="1"/>
  <c r="X269" i="4"/>
  <c r="AB269" i="4"/>
  <c r="T270" i="4"/>
  <c r="X270" i="4"/>
  <c r="AB270" i="4"/>
  <c r="T310" i="4"/>
  <c r="AC310" i="4" s="1"/>
  <c r="X310" i="4"/>
  <c r="AB310" i="4"/>
  <c r="T311" i="4"/>
  <c r="AC311" i="4" s="1"/>
  <c r="X311" i="4"/>
  <c r="AB311" i="4"/>
  <c r="AA342" i="4"/>
  <c r="Y342" i="4"/>
  <c r="U342" i="4"/>
  <c r="S342" i="4"/>
  <c r="R342" i="4"/>
  <c r="Q342" i="4"/>
  <c r="AB331" i="4"/>
  <c r="AC331" i="4" s="1"/>
  <c r="X331" i="4"/>
  <c r="T331" i="4"/>
  <c r="AB330" i="4"/>
  <c r="AC330" i="4" s="1"/>
  <c r="X330" i="4"/>
  <c r="T330" i="4"/>
  <c r="AB329" i="4"/>
  <c r="X329" i="4"/>
  <c r="T329" i="4"/>
  <c r="AB328" i="4"/>
  <c r="X328" i="4"/>
  <c r="T328" i="4"/>
  <c r="AB327" i="4"/>
  <c r="X327" i="4"/>
  <c r="T327" i="4"/>
  <c r="AB326" i="4"/>
  <c r="X326" i="4"/>
  <c r="T326" i="4"/>
  <c r="AB325" i="4"/>
  <c r="X325" i="4"/>
  <c r="T325" i="4"/>
  <c r="AB324" i="4"/>
  <c r="X324" i="4"/>
  <c r="T324" i="4"/>
  <c r="AB323" i="4"/>
  <c r="X323" i="4"/>
  <c r="T323" i="4"/>
  <c r="AB322" i="4"/>
  <c r="AC322" i="4" s="1"/>
  <c r="X322" i="4"/>
  <c r="T322" i="4"/>
  <c r="AB321" i="4"/>
  <c r="X321" i="4"/>
  <c r="T321" i="4"/>
  <c r="AB320" i="4"/>
  <c r="X320" i="4"/>
  <c r="T320" i="4"/>
  <c r="AB319" i="4"/>
  <c r="X319" i="4"/>
  <c r="T319" i="4"/>
  <c r="AB318" i="4"/>
  <c r="X318" i="4"/>
  <c r="T318" i="4"/>
  <c r="AB316" i="4"/>
  <c r="AC316" i="4" s="1"/>
  <c r="X316" i="4"/>
  <c r="T316" i="4"/>
  <c r="AB315" i="4"/>
  <c r="X315" i="4"/>
  <c r="T315" i="4"/>
  <c r="AB314" i="4"/>
  <c r="AC314" i="4" s="1"/>
  <c r="X314" i="4"/>
  <c r="T314" i="4"/>
  <c r="AB312" i="4"/>
  <c r="X312" i="4"/>
  <c r="AC312" i="4" s="1"/>
  <c r="T312" i="4"/>
  <c r="AB308" i="4"/>
  <c r="AC308" i="4" s="1"/>
  <c r="X308" i="4"/>
  <c r="T308" i="4"/>
  <c r="AB307" i="4"/>
  <c r="X307" i="4"/>
  <c r="AC307" i="4" s="1"/>
  <c r="T307" i="4"/>
  <c r="L1804" i="1"/>
  <c r="K1804" i="1"/>
  <c r="J1804" i="1"/>
  <c r="H1804" i="1"/>
  <c r="G1804" i="1"/>
  <c r="F1804" i="1"/>
  <c r="D1804" i="1"/>
  <c r="C1804" i="1"/>
  <c r="B1804" i="1"/>
  <c r="M1803" i="1"/>
  <c r="I1803" i="1"/>
  <c r="E1803" i="1"/>
  <c r="M1802" i="1"/>
  <c r="I1802" i="1"/>
  <c r="E1802" i="1"/>
  <c r="M1801" i="1"/>
  <c r="I1801" i="1"/>
  <c r="E1801" i="1"/>
  <c r="M1800" i="1"/>
  <c r="I1800" i="1"/>
  <c r="E1800" i="1"/>
  <c r="M1799" i="1"/>
  <c r="I1799" i="1"/>
  <c r="E1799" i="1"/>
  <c r="M1798" i="1"/>
  <c r="I1798" i="1"/>
  <c r="E1798" i="1"/>
  <c r="M1797" i="1"/>
  <c r="I1797" i="1"/>
  <c r="E1797" i="1"/>
  <c r="M1796" i="1"/>
  <c r="I1796" i="1"/>
  <c r="E1796" i="1"/>
  <c r="M1795" i="1"/>
  <c r="I1795" i="1"/>
  <c r="E1795" i="1"/>
  <c r="M1794" i="1"/>
  <c r="I1794" i="1"/>
  <c r="E1794" i="1"/>
  <c r="M1793" i="1"/>
  <c r="I1793" i="1"/>
  <c r="E1793" i="1"/>
  <c r="M1792" i="1"/>
  <c r="I1792" i="1"/>
  <c r="E1792" i="1"/>
  <c r="M1791" i="1"/>
  <c r="I1791" i="1"/>
  <c r="E1791" i="1"/>
  <c r="M1790" i="1"/>
  <c r="I1790" i="1"/>
  <c r="E1790" i="1"/>
  <c r="M1789" i="1"/>
  <c r="I1789" i="1"/>
  <c r="E1789" i="1"/>
  <c r="M1788" i="1"/>
  <c r="I1788" i="1"/>
  <c r="E1788" i="1"/>
  <c r="M1787" i="1"/>
  <c r="I1787" i="1"/>
  <c r="E1787" i="1"/>
  <c r="M1786" i="1"/>
  <c r="I1786" i="1"/>
  <c r="E1786" i="1"/>
  <c r="M1785" i="1"/>
  <c r="I1785" i="1"/>
  <c r="E1785" i="1"/>
  <c r="M1784" i="1"/>
  <c r="I1784" i="1"/>
  <c r="E1784" i="1"/>
  <c r="M1783" i="1"/>
  <c r="I1783" i="1"/>
  <c r="E1783" i="1"/>
  <c r="M1782" i="1"/>
  <c r="I1782" i="1"/>
  <c r="E1782" i="1"/>
  <c r="M1781" i="1"/>
  <c r="I1781" i="1"/>
  <c r="E1781" i="1"/>
  <c r="M1780" i="1"/>
  <c r="I1780" i="1"/>
  <c r="E1780" i="1"/>
  <c r="M1778" i="1"/>
  <c r="I1778" i="1"/>
  <c r="E1778" i="1"/>
  <c r="N1778" i="1" s="1"/>
  <c r="M1777" i="1"/>
  <c r="I1777" i="1"/>
  <c r="E1777" i="1"/>
  <c r="N1777" i="1" s="1"/>
  <c r="M1776" i="1"/>
  <c r="I1776" i="1"/>
  <c r="E1776" i="1"/>
  <c r="N1776" i="1" s="1"/>
  <c r="M1775" i="1"/>
  <c r="I1775" i="1"/>
  <c r="E1775" i="1"/>
  <c r="N1775" i="1" s="1"/>
  <c r="M1774" i="1"/>
  <c r="I1774" i="1"/>
  <c r="E1774" i="1"/>
  <c r="N1774" i="1" s="1"/>
  <c r="M1773" i="1"/>
  <c r="I1773" i="1"/>
  <c r="E1773" i="1"/>
  <c r="N1773" i="1" s="1"/>
  <c r="M1772" i="1"/>
  <c r="I1772" i="1"/>
  <c r="E1772" i="1"/>
  <c r="N1772" i="1" s="1"/>
  <c r="M1771" i="1"/>
  <c r="I1771" i="1"/>
  <c r="E1771" i="1"/>
  <c r="N1771" i="1" s="1"/>
  <c r="M1770" i="1"/>
  <c r="I1770" i="1"/>
  <c r="E1770" i="1"/>
  <c r="M1769" i="1"/>
  <c r="I1769" i="1"/>
  <c r="E1769" i="1"/>
  <c r="L1761" i="1"/>
  <c r="K1761" i="1"/>
  <c r="J1761" i="1"/>
  <c r="H1761" i="1"/>
  <c r="G1761" i="1"/>
  <c r="F1761" i="1"/>
  <c r="D1761" i="1"/>
  <c r="C1761" i="1"/>
  <c r="B1761" i="1"/>
  <c r="M1760" i="1"/>
  <c r="I1760" i="1"/>
  <c r="E1760" i="1"/>
  <c r="M1759" i="1"/>
  <c r="I1759" i="1"/>
  <c r="E1759" i="1"/>
  <c r="M1758" i="1"/>
  <c r="I1758" i="1"/>
  <c r="E1758" i="1"/>
  <c r="M1757" i="1"/>
  <c r="I1757" i="1"/>
  <c r="E1757" i="1"/>
  <c r="M1756" i="1"/>
  <c r="I1756" i="1"/>
  <c r="E1756" i="1"/>
  <c r="M1755" i="1"/>
  <c r="I1755" i="1"/>
  <c r="E1755" i="1"/>
  <c r="M1754" i="1"/>
  <c r="I1754" i="1"/>
  <c r="E1754" i="1"/>
  <c r="M1753" i="1"/>
  <c r="I1753" i="1"/>
  <c r="E1753" i="1"/>
  <c r="M1752" i="1"/>
  <c r="I1752" i="1"/>
  <c r="E1752" i="1"/>
  <c r="M1751" i="1"/>
  <c r="I1751" i="1"/>
  <c r="E1751" i="1"/>
  <c r="M1750" i="1"/>
  <c r="I1750" i="1"/>
  <c r="E1750" i="1"/>
  <c r="M1749" i="1"/>
  <c r="I1749" i="1"/>
  <c r="E1749" i="1"/>
  <c r="M1748" i="1"/>
  <c r="I1748" i="1"/>
  <c r="E1748" i="1"/>
  <c r="M1747" i="1"/>
  <c r="I1747" i="1"/>
  <c r="E1747" i="1"/>
  <c r="M1746" i="1"/>
  <c r="I1746" i="1"/>
  <c r="E1746" i="1"/>
  <c r="M1745" i="1"/>
  <c r="I1745" i="1"/>
  <c r="E1745" i="1"/>
  <c r="M1744" i="1"/>
  <c r="I1744" i="1"/>
  <c r="E1744" i="1"/>
  <c r="M1743" i="1"/>
  <c r="I1743" i="1"/>
  <c r="E1743" i="1"/>
  <c r="M1742" i="1"/>
  <c r="I1742" i="1"/>
  <c r="E1742" i="1"/>
  <c r="M1741" i="1"/>
  <c r="I1741" i="1"/>
  <c r="E1741" i="1"/>
  <c r="M1740" i="1"/>
  <c r="I1740" i="1"/>
  <c r="E1740" i="1"/>
  <c r="M1739" i="1"/>
  <c r="I1739" i="1"/>
  <c r="E1739" i="1"/>
  <c r="M1738" i="1"/>
  <c r="I1738" i="1"/>
  <c r="E1738" i="1"/>
  <c r="M1737" i="1"/>
  <c r="I1737" i="1"/>
  <c r="E1737" i="1"/>
  <c r="M1735" i="1"/>
  <c r="I1735" i="1"/>
  <c r="N1735" i="1" s="1"/>
  <c r="E1735" i="1"/>
  <c r="M1734" i="1"/>
  <c r="I1734" i="1"/>
  <c r="N1734" i="1" s="1"/>
  <c r="E1734" i="1"/>
  <c r="M1733" i="1"/>
  <c r="I1733" i="1"/>
  <c r="N1733" i="1" s="1"/>
  <c r="E1733" i="1"/>
  <c r="M1732" i="1"/>
  <c r="I1732" i="1"/>
  <c r="N1732" i="1" s="1"/>
  <c r="E1732" i="1"/>
  <c r="M1731" i="1"/>
  <c r="I1731" i="1"/>
  <c r="N1731" i="1" s="1"/>
  <c r="E1731" i="1"/>
  <c r="M1730" i="1"/>
  <c r="I1730" i="1"/>
  <c r="N1730" i="1" s="1"/>
  <c r="E1730" i="1"/>
  <c r="M1729" i="1"/>
  <c r="I1729" i="1"/>
  <c r="E1729" i="1"/>
  <c r="M1728" i="1"/>
  <c r="I1728" i="1"/>
  <c r="N1728" i="1" s="1"/>
  <c r="E1728" i="1"/>
  <c r="M1727" i="1"/>
  <c r="I1727" i="1"/>
  <c r="E1727" i="1"/>
  <c r="M1726" i="1"/>
  <c r="I1726" i="1"/>
  <c r="N1726" i="1" s="1"/>
  <c r="E1726" i="1"/>
  <c r="T1727" i="1"/>
  <c r="X1727" i="1"/>
  <c r="AB1727" i="1"/>
  <c r="AC1727" i="1"/>
  <c r="T1731" i="1"/>
  <c r="X1731" i="1"/>
  <c r="AB1731" i="1"/>
  <c r="T1773" i="1"/>
  <c r="X1773" i="1"/>
  <c r="AB1773" i="1"/>
  <c r="AA1804" i="1"/>
  <c r="Y1804" i="1"/>
  <c r="S1804" i="1"/>
  <c r="Q1804" i="1"/>
  <c r="AB1790" i="1"/>
  <c r="X1790" i="1"/>
  <c r="T1790" i="1"/>
  <c r="AB1789" i="1"/>
  <c r="X1789" i="1"/>
  <c r="T1789" i="1"/>
  <c r="AB1788" i="1"/>
  <c r="X1788" i="1"/>
  <c r="T1788" i="1"/>
  <c r="AB1787" i="1"/>
  <c r="X1787" i="1"/>
  <c r="T1787" i="1"/>
  <c r="AB1786" i="1"/>
  <c r="X1786" i="1"/>
  <c r="T1786" i="1"/>
  <c r="AB1785" i="1"/>
  <c r="X1785" i="1"/>
  <c r="T1785" i="1"/>
  <c r="AB1784" i="1"/>
  <c r="X1784" i="1"/>
  <c r="T1784" i="1"/>
  <c r="AB1783" i="1"/>
  <c r="X1783" i="1"/>
  <c r="T1783" i="1"/>
  <c r="AC1783" i="1" s="1"/>
  <c r="AB1782" i="1"/>
  <c r="X1782" i="1"/>
  <c r="T1782" i="1"/>
  <c r="AB1781" i="1"/>
  <c r="X1781" i="1"/>
  <c r="T1781" i="1"/>
  <c r="AC1781" i="1" s="1"/>
  <c r="AB1780" i="1"/>
  <c r="X1780" i="1"/>
  <c r="T1780" i="1"/>
  <c r="AB1778" i="1"/>
  <c r="X1778" i="1"/>
  <c r="AC1778" i="1" s="1"/>
  <c r="T1778" i="1"/>
  <c r="AB1777" i="1"/>
  <c r="X1777" i="1"/>
  <c r="AC1777" i="1" s="1"/>
  <c r="T1777" i="1"/>
  <c r="AB1776" i="1"/>
  <c r="X1776" i="1"/>
  <c r="AC1776" i="1" s="1"/>
  <c r="T1776" i="1"/>
  <c r="AB1775" i="1"/>
  <c r="X1775" i="1"/>
  <c r="AC1775" i="1" s="1"/>
  <c r="T1775" i="1"/>
  <c r="AB1772" i="1"/>
  <c r="X1772" i="1"/>
  <c r="AC1772" i="1" s="1"/>
  <c r="T1772" i="1"/>
  <c r="AB1770" i="1"/>
  <c r="X1770" i="1"/>
  <c r="AC1770" i="1" s="1"/>
  <c r="T1770" i="1"/>
  <c r="AB1769" i="1"/>
  <c r="X1769" i="1"/>
  <c r="AC1769" i="1" s="1"/>
  <c r="T1769" i="1"/>
  <c r="T1623" i="1"/>
  <c r="X1623" i="1"/>
  <c r="AB1623" i="1"/>
  <c r="T1624" i="1"/>
  <c r="X1624" i="1"/>
  <c r="AB1624" i="1"/>
  <c r="T1620" i="1"/>
  <c r="X1620" i="1"/>
  <c r="AB1620" i="1"/>
  <c r="T1621" i="1"/>
  <c r="X1621" i="1"/>
  <c r="AB1621" i="1"/>
  <c r="AC1621" i="1"/>
  <c r="T1622" i="1"/>
  <c r="X1622" i="1"/>
  <c r="AB1622" i="1"/>
  <c r="AB1627" i="1"/>
  <c r="X1627" i="1"/>
  <c r="T1627" i="1"/>
  <c r="AB1626" i="1"/>
  <c r="X1626" i="1"/>
  <c r="T1626" i="1"/>
  <c r="AB1625" i="1"/>
  <c r="X1625" i="1"/>
  <c r="T1625" i="1"/>
  <c r="AB1629" i="1"/>
  <c r="X1629" i="1"/>
  <c r="T1629" i="1"/>
  <c r="AB1628" i="1"/>
  <c r="X1628" i="1"/>
  <c r="T1628" i="1"/>
  <c r="T1670" i="1"/>
  <c r="AB1669" i="1"/>
  <c r="X1669" i="1"/>
  <c r="T1669" i="1"/>
  <c r="AB1672" i="1"/>
  <c r="X1672" i="1"/>
  <c r="T1672" i="1"/>
  <c r="AB1671" i="1"/>
  <c r="X1671" i="1"/>
  <c r="T1671" i="1"/>
  <c r="AB1717" i="1"/>
  <c r="X1717" i="1"/>
  <c r="T1717" i="1"/>
  <c r="AB1716" i="1"/>
  <c r="X1716" i="1"/>
  <c r="T1716" i="1"/>
  <c r="T1685" i="1"/>
  <c r="X1685" i="1"/>
  <c r="AB1685" i="1"/>
  <c r="AC1685" i="1"/>
  <c r="T1686" i="1"/>
  <c r="X1686" i="1"/>
  <c r="AB1686" i="1"/>
  <c r="AC1686" i="1"/>
  <c r="T1687" i="1"/>
  <c r="X1687" i="1"/>
  <c r="AB1687" i="1"/>
  <c r="AC1687" i="1"/>
  <c r="T1688" i="1"/>
  <c r="X1688" i="1"/>
  <c r="AB1688" i="1"/>
  <c r="AC1688" i="1"/>
  <c r="T1689" i="1"/>
  <c r="X1689" i="1"/>
  <c r="AB1689" i="1"/>
  <c r="AC1689" i="1"/>
  <c r="T1690" i="1"/>
  <c r="X1690" i="1"/>
  <c r="AB1690" i="1"/>
  <c r="AC1690" i="1"/>
  <c r="AA1761" i="1"/>
  <c r="Y1761" i="1"/>
  <c r="Q1761" i="1"/>
  <c r="AB1746" i="1"/>
  <c r="X1746" i="1"/>
  <c r="T1746" i="1"/>
  <c r="AC1746" i="1" s="1"/>
  <c r="AB1745" i="1"/>
  <c r="X1745" i="1"/>
  <c r="T1745" i="1"/>
  <c r="AB1744" i="1"/>
  <c r="X1744" i="1"/>
  <c r="T1744" i="1"/>
  <c r="AC1744" i="1" s="1"/>
  <c r="AB1743" i="1"/>
  <c r="X1743" i="1"/>
  <c r="T1743" i="1"/>
  <c r="AB1742" i="1"/>
  <c r="X1742" i="1"/>
  <c r="T1742" i="1"/>
  <c r="AC1742" i="1" s="1"/>
  <c r="AB1741" i="1"/>
  <c r="X1741" i="1"/>
  <c r="T1741" i="1"/>
  <c r="AB1740" i="1"/>
  <c r="X1740" i="1"/>
  <c r="T1740" i="1"/>
  <c r="AC1740" i="1" s="1"/>
  <c r="AB1739" i="1"/>
  <c r="X1739" i="1"/>
  <c r="T1739" i="1"/>
  <c r="AB1738" i="1"/>
  <c r="X1738" i="1"/>
  <c r="T1738" i="1"/>
  <c r="AC1738" i="1" s="1"/>
  <c r="AB1735" i="1"/>
  <c r="X1735" i="1"/>
  <c r="AC1735" i="1" s="1"/>
  <c r="T1735" i="1"/>
  <c r="AB1734" i="1"/>
  <c r="X1734" i="1"/>
  <c r="AC1734" i="1" s="1"/>
  <c r="T1734" i="1"/>
  <c r="AB1733" i="1"/>
  <c r="X1733" i="1"/>
  <c r="AC1733" i="1" s="1"/>
  <c r="T1733" i="1"/>
  <c r="AB1732" i="1"/>
  <c r="X1732" i="1"/>
  <c r="AC1732" i="1" s="1"/>
  <c r="T1732" i="1"/>
  <c r="AB1730" i="1"/>
  <c r="X1730" i="1"/>
  <c r="AC1730" i="1" s="1"/>
  <c r="T1730" i="1"/>
  <c r="AB1729" i="1"/>
  <c r="X1729" i="1"/>
  <c r="AC1729" i="1" s="1"/>
  <c r="T1729" i="1"/>
  <c r="AB1726" i="1"/>
  <c r="X1726" i="1"/>
  <c r="AC1726" i="1" s="1"/>
  <c r="T1726" i="1"/>
  <c r="X1537" i="1"/>
  <c r="E1491" i="1"/>
  <c r="I1491" i="1"/>
  <c r="M1491" i="1"/>
  <c r="N1491" i="1"/>
  <c r="AB202" i="4"/>
  <c r="X202" i="4"/>
  <c r="T202" i="4"/>
  <c r="AB203" i="4"/>
  <c r="X203" i="4"/>
  <c r="T203" i="4"/>
  <c r="AC203" i="4" s="1"/>
  <c r="E1486" i="1"/>
  <c r="I1486" i="1"/>
  <c r="M1486" i="1"/>
  <c r="N1486" i="1"/>
  <c r="E1487" i="1"/>
  <c r="I1487" i="1"/>
  <c r="M1487" i="1"/>
  <c r="N1487" i="1"/>
  <c r="M1485" i="1"/>
  <c r="I1485" i="1"/>
  <c r="E1485" i="1"/>
  <c r="AB204" i="4"/>
  <c r="X204" i="4"/>
  <c r="T204" i="4"/>
  <c r="L1718" i="1"/>
  <c r="K1718" i="1"/>
  <c r="J1718" i="1"/>
  <c r="H1718" i="1"/>
  <c r="G1718" i="1"/>
  <c r="F1718" i="1"/>
  <c r="D1718" i="1"/>
  <c r="C1718" i="1"/>
  <c r="B1718" i="1"/>
  <c r="M1717" i="1"/>
  <c r="I1717" i="1"/>
  <c r="E1717" i="1"/>
  <c r="N1717" i="1" s="1"/>
  <c r="M1716" i="1"/>
  <c r="I1716" i="1"/>
  <c r="E1716" i="1"/>
  <c r="M1715" i="1"/>
  <c r="I1715" i="1"/>
  <c r="E1715" i="1"/>
  <c r="N1715" i="1" s="1"/>
  <c r="M1714" i="1"/>
  <c r="I1714" i="1"/>
  <c r="E1714" i="1"/>
  <c r="M1713" i="1"/>
  <c r="I1713" i="1"/>
  <c r="E1713" i="1"/>
  <c r="N1713" i="1" s="1"/>
  <c r="M1712" i="1"/>
  <c r="I1712" i="1"/>
  <c r="E1712" i="1"/>
  <c r="M1711" i="1"/>
  <c r="I1711" i="1"/>
  <c r="E1711" i="1"/>
  <c r="N1711" i="1" s="1"/>
  <c r="M1709" i="1"/>
  <c r="I1709" i="1"/>
  <c r="E1709" i="1"/>
  <c r="N1709" i="1" s="1"/>
  <c r="M1708" i="1"/>
  <c r="I1708" i="1"/>
  <c r="E1708" i="1"/>
  <c r="M1707" i="1"/>
  <c r="I1707" i="1"/>
  <c r="E1707" i="1"/>
  <c r="M1706" i="1"/>
  <c r="I1706" i="1"/>
  <c r="E1706" i="1"/>
  <c r="M1705" i="1"/>
  <c r="I1705" i="1"/>
  <c r="E1705" i="1"/>
  <c r="M1704" i="1"/>
  <c r="I1704" i="1"/>
  <c r="E1704" i="1"/>
  <c r="M1703" i="1"/>
  <c r="I1703" i="1"/>
  <c r="E1703" i="1"/>
  <c r="N1703" i="1" s="1"/>
  <c r="M1702" i="1"/>
  <c r="I1702" i="1"/>
  <c r="E1702" i="1"/>
  <c r="M1701" i="1"/>
  <c r="I1701" i="1"/>
  <c r="E1701" i="1"/>
  <c r="M1700" i="1"/>
  <c r="I1700" i="1"/>
  <c r="E1700" i="1"/>
  <c r="M1699" i="1"/>
  <c r="I1699" i="1"/>
  <c r="E1699" i="1"/>
  <c r="N1699" i="1" s="1"/>
  <c r="M1698" i="1"/>
  <c r="I1698" i="1"/>
  <c r="E1698" i="1"/>
  <c r="M1697" i="1"/>
  <c r="I1697" i="1"/>
  <c r="E1697" i="1"/>
  <c r="M1696" i="1"/>
  <c r="I1696" i="1"/>
  <c r="E1696" i="1"/>
  <c r="M1695" i="1"/>
  <c r="I1695" i="1"/>
  <c r="E1695" i="1"/>
  <c r="N1695" i="1" s="1"/>
  <c r="M1694" i="1"/>
  <c r="I1694" i="1"/>
  <c r="E1694" i="1"/>
  <c r="M1692" i="1"/>
  <c r="I1692" i="1"/>
  <c r="N1692" i="1" s="1"/>
  <c r="E1692" i="1"/>
  <c r="M1691" i="1"/>
  <c r="I1691" i="1"/>
  <c r="N1691" i="1" s="1"/>
  <c r="E1691" i="1"/>
  <c r="M1690" i="1"/>
  <c r="I1690" i="1"/>
  <c r="N1690" i="1" s="1"/>
  <c r="E1690" i="1"/>
  <c r="M1689" i="1"/>
  <c r="I1689" i="1"/>
  <c r="N1689" i="1" s="1"/>
  <c r="E1689" i="1"/>
  <c r="M1688" i="1"/>
  <c r="I1688" i="1"/>
  <c r="N1688" i="1" s="1"/>
  <c r="E1688" i="1"/>
  <c r="M1687" i="1"/>
  <c r="I1687" i="1"/>
  <c r="E1687" i="1"/>
  <c r="M1686" i="1"/>
  <c r="I1686" i="1"/>
  <c r="N1686" i="1" s="1"/>
  <c r="E1686" i="1"/>
  <c r="M1685" i="1"/>
  <c r="I1685" i="1"/>
  <c r="N1685" i="1" s="1"/>
  <c r="E1685" i="1"/>
  <c r="M1684" i="1"/>
  <c r="I1684" i="1"/>
  <c r="E1684" i="1"/>
  <c r="M1683" i="1"/>
  <c r="I1683" i="1"/>
  <c r="E1683" i="1"/>
  <c r="T1529" i="1"/>
  <c r="X1529" i="1"/>
  <c r="AB1529" i="1"/>
  <c r="T1530" i="1"/>
  <c r="X1530" i="1"/>
  <c r="AB1530" i="1"/>
  <c r="AC1530" i="1" s="1"/>
  <c r="T1531" i="1"/>
  <c r="X1531" i="1"/>
  <c r="AB1531" i="1"/>
  <c r="T1532" i="1"/>
  <c r="X1532" i="1"/>
  <c r="AB1532" i="1"/>
  <c r="T1533" i="1"/>
  <c r="X1533" i="1"/>
  <c r="AB1533" i="1"/>
  <c r="T1534" i="1"/>
  <c r="X1534" i="1"/>
  <c r="AB1534" i="1"/>
  <c r="T1535" i="1"/>
  <c r="T1536" i="1"/>
  <c r="X1536" i="1"/>
  <c r="AB1536" i="1"/>
  <c r="T1537" i="1"/>
  <c r="AB1537" i="1"/>
  <c r="T1538" i="1"/>
  <c r="X1538" i="1"/>
  <c r="AB1538" i="1"/>
  <c r="T1539" i="1"/>
  <c r="X1539" i="1"/>
  <c r="AB1539" i="1"/>
  <c r="T1540" i="1"/>
  <c r="X1540" i="1"/>
  <c r="AB1540" i="1"/>
  <c r="T1541" i="1"/>
  <c r="X1541" i="1"/>
  <c r="AB1545" i="1"/>
  <c r="T1545" i="1"/>
  <c r="AB1544" i="1"/>
  <c r="X1544" i="1"/>
  <c r="T1544" i="1"/>
  <c r="AB1543" i="1"/>
  <c r="X1543" i="1"/>
  <c r="T1543" i="1"/>
  <c r="AB1542" i="1"/>
  <c r="X1542" i="1"/>
  <c r="T1542" i="1"/>
  <c r="AB1581" i="1"/>
  <c r="X1581" i="1"/>
  <c r="T1581" i="1"/>
  <c r="AB1584" i="1"/>
  <c r="X1584" i="1"/>
  <c r="T1584" i="1"/>
  <c r="AB1583" i="1"/>
  <c r="X1583" i="1"/>
  <c r="T1583" i="1"/>
  <c r="AB1582" i="1"/>
  <c r="X1582" i="1"/>
  <c r="T1582" i="1"/>
  <c r="T1579" i="1"/>
  <c r="X1579" i="1"/>
  <c r="AB1579" i="1"/>
  <c r="AB1588" i="1"/>
  <c r="T1588" i="1"/>
  <c r="AB1587" i="1"/>
  <c r="X1587" i="1"/>
  <c r="T1587" i="1"/>
  <c r="AB1586" i="1"/>
  <c r="X1586" i="1"/>
  <c r="T1586" i="1"/>
  <c r="AB1585" i="1"/>
  <c r="X1585" i="1"/>
  <c r="T1585" i="1"/>
  <c r="T1578" i="1"/>
  <c r="X1578" i="1"/>
  <c r="AB1578" i="1"/>
  <c r="AC1578" i="1"/>
  <c r="T1631" i="1"/>
  <c r="AB1630" i="1"/>
  <c r="X1630" i="1"/>
  <c r="T1630" i="1"/>
  <c r="T1642" i="1"/>
  <c r="X1642" i="1"/>
  <c r="AB1642" i="1"/>
  <c r="T1643" i="1"/>
  <c r="X1643" i="1"/>
  <c r="AB1643" i="1"/>
  <c r="T1644" i="1"/>
  <c r="X1644" i="1"/>
  <c r="AB1644" i="1"/>
  <c r="T1645" i="1"/>
  <c r="X1645" i="1"/>
  <c r="AB1645" i="1"/>
  <c r="T1646" i="1"/>
  <c r="X1646" i="1"/>
  <c r="AB1646" i="1"/>
  <c r="AA1718" i="1"/>
  <c r="Y1718" i="1"/>
  <c r="Y1720" i="1" s="1"/>
  <c r="V1718" i="1"/>
  <c r="V1720" i="1" s="1"/>
  <c r="S1718" i="1"/>
  <c r="Q1718" i="1"/>
  <c r="Q1720" i="1" s="1"/>
  <c r="AB1709" i="1"/>
  <c r="X1709" i="1"/>
  <c r="T1709" i="1"/>
  <c r="AB1707" i="1"/>
  <c r="X1707" i="1"/>
  <c r="T1707" i="1"/>
  <c r="AB1706" i="1"/>
  <c r="X1706" i="1"/>
  <c r="T1706" i="1"/>
  <c r="AC1706" i="1" s="1"/>
  <c r="AB1705" i="1"/>
  <c r="X1705" i="1"/>
  <c r="T1705" i="1"/>
  <c r="AB1704" i="1"/>
  <c r="X1704" i="1"/>
  <c r="T1704" i="1"/>
  <c r="AB1703" i="1"/>
  <c r="X1703" i="1"/>
  <c r="T1703" i="1"/>
  <c r="AB1702" i="1"/>
  <c r="X1702" i="1"/>
  <c r="T1702" i="1"/>
  <c r="AC1702" i="1" s="1"/>
  <c r="AB1701" i="1"/>
  <c r="X1701" i="1"/>
  <c r="T1701" i="1"/>
  <c r="AB1700" i="1"/>
  <c r="X1700" i="1"/>
  <c r="T1700" i="1"/>
  <c r="AC1700" i="1" s="1"/>
  <c r="AB1699" i="1"/>
  <c r="X1699" i="1"/>
  <c r="T1699" i="1"/>
  <c r="AB1698" i="1"/>
  <c r="X1698" i="1"/>
  <c r="T1698" i="1"/>
  <c r="AB1697" i="1"/>
  <c r="X1697" i="1"/>
  <c r="T1697" i="1"/>
  <c r="AB1696" i="1"/>
  <c r="X1696" i="1"/>
  <c r="T1696" i="1"/>
  <c r="AB1695" i="1"/>
  <c r="X1695" i="1"/>
  <c r="T1695" i="1"/>
  <c r="AB1694" i="1"/>
  <c r="X1694" i="1"/>
  <c r="T1694" i="1"/>
  <c r="AB1692" i="1"/>
  <c r="X1692" i="1"/>
  <c r="AC1692" i="1" s="1"/>
  <c r="T1692" i="1"/>
  <c r="AB1691" i="1"/>
  <c r="X1691" i="1"/>
  <c r="T1691" i="1"/>
  <c r="AB1684" i="1"/>
  <c r="X1684" i="1"/>
  <c r="AC1684" i="1" s="1"/>
  <c r="T1684" i="1"/>
  <c r="AB1683" i="1"/>
  <c r="X1683" i="1"/>
  <c r="T1683" i="1"/>
  <c r="X1457" i="1"/>
  <c r="X1455" i="1"/>
  <c r="Y127" i="4"/>
  <c r="X1502" i="1"/>
  <c r="X1500" i="1"/>
  <c r="T1598" i="1"/>
  <c r="X1598" i="1"/>
  <c r="AB1598" i="1"/>
  <c r="T1599" i="1"/>
  <c r="X1599" i="1"/>
  <c r="AB1599" i="1"/>
  <c r="T1600" i="1"/>
  <c r="X1600" i="1"/>
  <c r="AB1600" i="1"/>
  <c r="T1601" i="1"/>
  <c r="X1601" i="1"/>
  <c r="AB1601" i="1"/>
  <c r="T1641" i="1"/>
  <c r="X1641" i="1"/>
  <c r="AB1641" i="1"/>
  <c r="AB83" i="4"/>
  <c r="V84" i="4"/>
  <c r="V1460" i="1"/>
  <c r="AB1455" i="1"/>
  <c r="AB1678" i="1"/>
  <c r="X1678" i="1"/>
  <c r="T1678" i="1"/>
  <c r="L1675" i="1"/>
  <c r="K1675" i="1"/>
  <c r="J1675" i="1"/>
  <c r="H1675" i="1"/>
  <c r="G1675" i="1"/>
  <c r="F1675" i="1"/>
  <c r="D1675" i="1"/>
  <c r="C1675" i="1"/>
  <c r="B1675" i="1"/>
  <c r="M1674" i="1"/>
  <c r="I1674" i="1"/>
  <c r="E1674" i="1"/>
  <c r="M1673" i="1"/>
  <c r="I1673" i="1"/>
  <c r="E1673" i="1"/>
  <c r="M1672" i="1"/>
  <c r="I1672" i="1"/>
  <c r="E1672" i="1"/>
  <c r="M1668" i="1"/>
  <c r="I1668" i="1"/>
  <c r="E1668" i="1"/>
  <c r="M1667" i="1"/>
  <c r="I1667" i="1"/>
  <c r="E1667" i="1"/>
  <c r="M1666" i="1"/>
  <c r="I1666" i="1"/>
  <c r="E1666" i="1"/>
  <c r="M1665" i="1"/>
  <c r="I1665" i="1"/>
  <c r="E1665" i="1"/>
  <c r="M1664" i="1"/>
  <c r="I1664" i="1"/>
  <c r="E1664" i="1"/>
  <c r="N1664" i="1" s="1"/>
  <c r="AB1663" i="1"/>
  <c r="X1663" i="1"/>
  <c r="M1663" i="1"/>
  <c r="I1663" i="1"/>
  <c r="E1663" i="1"/>
  <c r="AB1662" i="1"/>
  <c r="X1662" i="1"/>
  <c r="T1662" i="1"/>
  <c r="M1662" i="1"/>
  <c r="I1662" i="1"/>
  <c r="E1662" i="1"/>
  <c r="N1662" i="1" s="1"/>
  <c r="AB1661" i="1"/>
  <c r="X1661" i="1"/>
  <c r="T1661" i="1"/>
  <c r="M1661" i="1"/>
  <c r="I1661" i="1"/>
  <c r="E1661" i="1"/>
  <c r="AB1660" i="1"/>
  <c r="X1660" i="1"/>
  <c r="T1660" i="1"/>
  <c r="M1660" i="1"/>
  <c r="I1660" i="1"/>
  <c r="E1660" i="1"/>
  <c r="AB1659" i="1"/>
  <c r="X1659" i="1"/>
  <c r="T1659" i="1"/>
  <c r="M1659" i="1"/>
  <c r="I1659" i="1"/>
  <c r="E1659" i="1"/>
  <c r="N1659" i="1" s="1"/>
  <c r="AB1658" i="1"/>
  <c r="X1658" i="1"/>
  <c r="T1658" i="1"/>
  <c r="M1658" i="1"/>
  <c r="I1658" i="1"/>
  <c r="E1658" i="1"/>
  <c r="N1658" i="1" s="1"/>
  <c r="AB1657" i="1"/>
  <c r="X1657" i="1"/>
  <c r="T1657" i="1"/>
  <c r="M1657" i="1"/>
  <c r="I1657" i="1"/>
  <c r="E1657" i="1"/>
  <c r="N1657" i="1" s="1"/>
  <c r="AB1656" i="1"/>
  <c r="X1656" i="1"/>
  <c r="T1656" i="1"/>
  <c r="M1656" i="1"/>
  <c r="I1656" i="1"/>
  <c r="E1656" i="1"/>
  <c r="N1656" i="1" s="1"/>
  <c r="AB1655" i="1"/>
  <c r="X1655" i="1"/>
  <c r="T1655" i="1"/>
  <c r="M1655" i="1"/>
  <c r="I1655" i="1"/>
  <c r="E1655" i="1"/>
  <c r="AB1654" i="1"/>
  <c r="X1654" i="1"/>
  <c r="T1654" i="1"/>
  <c r="M1654" i="1"/>
  <c r="I1654" i="1"/>
  <c r="E1654" i="1"/>
  <c r="AB1653" i="1"/>
  <c r="X1653" i="1"/>
  <c r="T1653" i="1"/>
  <c r="M1653" i="1"/>
  <c r="I1653" i="1"/>
  <c r="E1653" i="1"/>
  <c r="AB1652" i="1"/>
  <c r="X1652" i="1"/>
  <c r="T1652" i="1"/>
  <c r="M1652" i="1"/>
  <c r="I1652" i="1"/>
  <c r="E1652" i="1"/>
  <c r="AB1651" i="1"/>
  <c r="X1651" i="1"/>
  <c r="T1651" i="1"/>
  <c r="M1651" i="1"/>
  <c r="I1651" i="1"/>
  <c r="E1651" i="1"/>
  <c r="N1651" i="1" s="1"/>
  <c r="AB1649" i="1"/>
  <c r="X1649" i="1"/>
  <c r="T1649" i="1"/>
  <c r="M1649" i="1"/>
  <c r="I1649" i="1"/>
  <c r="N1649" i="1" s="1"/>
  <c r="E1649" i="1"/>
  <c r="AB1648" i="1"/>
  <c r="X1648" i="1"/>
  <c r="T1648" i="1"/>
  <c r="M1648" i="1"/>
  <c r="I1648" i="1"/>
  <c r="E1648" i="1"/>
  <c r="N1648" i="1" s="1"/>
  <c r="AB1647" i="1"/>
  <c r="X1647" i="1"/>
  <c r="T1647" i="1"/>
  <c r="M1647" i="1"/>
  <c r="I1647" i="1"/>
  <c r="N1647" i="1" s="1"/>
  <c r="E1647" i="1"/>
  <c r="M1646" i="1"/>
  <c r="I1646" i="1"/>
  <c r="N1646" i="1" s="1"/>
  <c r="E1646" i="1"/>
  <c r="M1645" i="1"/>
  <c r="I1645" i="1"/>
  <c r="N1645" i="1" s="1"/>
  <c r="E1645" i="1"/>
  <c r="M1644" i="1"/>
  <c r="I1644" i="1"/>
  <c r="N1644" i="1" s="1"/>
  <c r="E1644" i="1"/>
  <c r="M1643" i="1"/>
  <c r="I1643" i="1"/>
  <c r="N1643" i="1" s="1"/>
  <c r="E1643" i="1"/>
  <c r="M1642" i="1"/>
  <c r="I1642" i="1"/>
  <c r="N1642" i="1" s="1"/>
  <c r="E1642" i="1"/>
  <c r="M1641" i="1"/>
  <c r="I1641" i="1"/>
  <c r="E1641" i="1"/>
  <c r="AB1640" i="1"/>
  <c r="X1640" i="1"/>
  <c r="T1640" i="1"/>
  <c r="M1640" i="1"/>
  <c r="I1640" i="1"/>
  <c r="E1640" i="1"/>
  <c r="AB81" i="4"/>
  <c r="AB1459" i="1"/>
  <c r="AB162" i="4"/>
  <c r="X162" i="4"/>
  <c r="T162" i="4"/>
  <c r="AB77" i="4"/>
  <c r="X77" i="4"/>
  <c r="X83" i="4"/>
  <c r="T1603" i="1"/>
  <c r="X1603" i="1"/>
  <c r="AB1603" i="1"/>
  <c r="T1604" i="1"/>
  <c r="X1604" i="1"/>
  <c r="AB1604" i="1"/>
  <c r="T1605" i="1"/>
  <c r="X1605" i="1"/>
  <c r="AB1605" i="1"/>
  <c r="T1606" i="1"/>
  <c r="X1606" i="1"/>
  <c r="AB1606" i="1"/>
  <c r="AB1556" i="1"/>
  <c r="X1556" i="1"/>
  <c r="T1556" i="1"/>
  <c r="AC1556" i="1" s="1"/>
  <c r="AB1513" i="1"/>
  <c r="X1513" i="1"/>
  <c r="T1513" i="1"/>
  <c r="L299" i="4"/>
  <c r="K299" i="4"/>
  <c r="J299" i="4"/>
  <c r="H299" i="4"/>
  <c r="G299" i="4"/>
  <c r="F299" i="4"/>
  <c r="D299" i="4"/>
  <c r="C299" i="4"/>
  <c r="B299" i="4"/>
  <c r="M298" i="4"/>
  <c r="I298" i="4"/>
  <c r="E298" i="4"/>
  <c r="M297" i="4"/>
  <c r="I297" i="4"/>
  <c r="E297" i="4"/>
  <c r="M296" i="4"/>
  <c r="I296" i="4"/>
  <c r="E296" i="4"/>
  <c r="M295" i="4"/>
  <c r="N295" i="4" s="1"/>
  <c r="I295" i="4"/>
  <c r="E295" i="4"/>
  <c r="M294" i="4"/>
  <c r="I294" i="4"/>
  <c r="E294" i="4"/>
  <c r="M293" i="4"/>
  <c r="I293" i="4"/>
  <c r="E293" i="4"/>
  <c r="M292" i="4"/>
  <c r="N292" i="4" s="1"/>
  <c r="I292" i="4"/>
  <c r="E292" i="4"/>
  <c r="M291" i="4"/>
  <c r="N291" i="4" s="1"/>
  <c r="I291" i="4"/>
  <c r="E291" i="4"/>
  <c r="M290" i="4"/>
  <c r="I290" i="4"/>
  <c r="E290" i="4"/>
  <c r="M289" i="4"/>
  <c r="I289" i="4"/>
  <c r="E289" i="4"/>
  <c r="M288" i="4"/>
  <c r="I288" i="4"/>
  <c r="E288" i="4"/>
  <c r="M287" i="4"/>
  <c r="N287" i="4" s="1"/>
  <c r="I287" i="4"/>
  <c r="E287" i="4"/>
  <c r="M286" i="4"/>
  <c r="I286" i="4"/>
  <c r="E286" i="4"/>
  <c r="M285" i="4"/>
  <c r="I285" i="4"/>
  <c r="E285" i="4"/>
  <c r="M284" i="4"/>
  <c r="N284" i="4" s="1"/>
  <c r="I284" i="4"/>
  <c r="E284" i="4"/>
  <c r="M283" i="4"/>
  <c r="N283" i="4" s="1"/>
  <c r="I283" i="4"/>
  <c r="E283" i="4"/>
  <c r="M282" i="4"/>
  <c r="I282" i="4"/>
  <c r="E282" i="4"/>
  <c r="M281" i="4"/>
  <c r="I281" i="4"/>
  <c r="E281" i="4"/>
  <c r="M280" i="4"/>
  <c r="I280" i="4"/>
  <c r="E280" i="4"/>
  <c r="M279" i="4"/>
  <c r="I279" i="4"/>
  <c r="E279" i="4"/>
  <c r="M278" i="4"/>
  <c r="I278" i="4"/>
  <c r="E278" i="4"/>
  <c r="M277" i="4"/>
  <c r="I277" i="4"/>
  <c r="E277" i="4"/>
  <c r="M276" i="4"/>
  <c r="I276" i="4"/>
  <c r="E276" i="4"/>
  <c r="M275" i="4"/>
  <c r="I275" i="4"/>
  <c r="E275" i="4"/>
  <c r="M273" i="4"/>
  <c r="I273" i="4"/>
  <c r="N273" i="4" s="1"/>
  <c r="E273" i="4"/>
  <c r="N272" i="4"/>
  <c r="M272" i="4"/>
  <c r="I272" i="4"/>
  <c r="E272" i="4"/>
  <c r="M271" i="4"/>
  <c r="I271" i="4"/>
  <c r="N271" i="4" s="1"/>
  <c r="E271" i="4"/>
  <c r="N270" i="4"/>
  <c r="M270" i="4"/>
  <c r="I270" i="4"/>
  <c r="E270" i="4"/>
  <c r="M269" i="4"/>
  <c r="I269" i="4"/>
  <c r="N269" i="4" s="1"/>
  <c r="E269" i="4"/>
  <c r="N268" i="4"/>
  <c r="M268" i="4"/>
  <c r="I268" i="4"/>
  <c r="E268" i="4"/>
  <c r="M267" i="4"/>
  <c r="I267" i="4"/>
  <c r="N267" i="4" s="1"/>
  <c r="E267" i="4"/>
  <c r="N266" i="4"/>
  <c r="M266" i="4"/>
  <c r="I266" i="4"/>
  <c r="E266" i="4"/>
  <c r="M265" i="4"/>
  <c r="I265" i="4"/>
  <c r="E265" i="4"/>
  <c r="M264" i="4"/>
  <c r="I264" i="4"/>
  <c r="N264" i="4" s="1"/>
  <c r="E264" i="4"/>
  <c r="Y299" i="4"/>
  <c r="U299" i="4"/>
  <c r="S299" i="4"/>
  <c r="Q299" i="4"/>
  <c r="AB287" i="4"/>
  <c r="AC287" i="4" s="1"/>
  <c r="X287" i="4"/>
  <c r="T287" i="4"/>
  <c r="AB286" i="4"/>
  <c r="X286" i="4"/>
  <c r="T286" i="4"/>
  <c r="AB285" i="4"/>
  <c r="AC285" i="4" s="1"/>
  <c r="X285" i="4"/>
  <c r="T285" i="4"/>
  <c r="AB284" i="4"/>
  <c r="X284" i="4"/>
  <c r="T284" i="4"/>
  <c r="AB283" i="4"/>
  <c r="X283" i="4"/>
  <c r="T283" i="4"/>
  <c r="AB282" i="4"/>
  <c r="X282" i="4"/>
  <c r="T282" i="4"/>
  <c r="AB281" i="4"/>
  <c r="X281" i="4"/>
  <c r="T281" i="4"/>
  <c r="AB280" i="4"/>
  <c r="AC280" i="4" s="1"/>
  <c r="X280" i="4"/>
  <c r="T280" i="4"/>
  <c r="AB279" i="4"/>
  <c r="X279" i="4"/>
  <c r="T279" i="4"/>
  <c r="AB278" i="4"/>
  <c r="X278" i="4"/>
  <c r="T278" i="4"/>
  <c r="AB277" i="4"/>
  <c r="X277" i="4"/>
  <c r="T277" i="4"/>
  <c r="AB276" i="4"/>
  <c r="X276" i="4"/>
  <c r="T276" i="4"/>
  <c r="AB275" i="4"/>
  <c r="X275" i="4"/>
  <c r="T275" i="4"/>
  <c r="AB273" i="4"/>
  <c r="AC273" i="4" s="1"/>
  <c r="X273" i="4"/>
  <c r="T273" i="4"/>
  <c r="AB272" i="4"/>
  <c r="X272" i="4"/>
  <c r="T272" i="4"/>
  <c r="AC272" i="4" s="1"/>
  <c r="AB271" i="4"/>
  <c r="AC271" i="4" s="1"/>
  <c r="X271" i="4"/>
  <c r="T271" i="4"/>
  <c r="AB268" i="4"/>
  <c r="X268" i="4"/>
  <c r="T268" i="4"/>
  <c r="AC268" i="4" s="1"/>
  <c r="AB267" i="4"/>
  <c r="AC267" i="4" s="1"/>
  <c r="X267" i="4"/>
  <c r="T267" i="4"/>
  <c r="AB266" i="4"/>
  <c r="X266" i="4"/>
  <c r="T266" i="4"/>
  <c r="AC265" i="4"/>
  <c r="AB265" i="4"/>
  <c r="X265" i="4"/>
  <c r="T265" i="4"/>
  <c r="AB264" i="4"/>
  <c r="X264" i="4"/>
  <c r="T264" i="4"/>
  <c r="AC264" i="4" s="1"/>
  <c r="X1416" i="1"/>
  <c r="AB1414" i="1"/>
  <c r="X1414" i="1"/>
  <c r="X61" i="4"/>
  <c r="AB62" i="4"/>
  <c r="X62" i="4"/>
  <c r="T62" i="4"/>
  <c r="AC62" i="4" s="1"/>
  <c r="AB1438" i="1"/>
  <c r="X1438" i="1"/>
  <c r="T1438" i="1"/>
  <c r="E1425" i="1"/>
  <c r="E1437" i="1"/>
  <c r="I1437" i="1"/>
  <c r="M1437" i="1"/>
  <c r="N1437" i="1"/>
  <c r="E1438" i="1"/>
  <c r="I1438" i="1"/>
  <c r="M1438" i="1"/>
  <c r="N1438" i="1"/>
  <c r="AB122" i="4"/>
  <c r="T27" i="4"/>
  <c r="X27" i="4"/>
  <c r="AB27" i="4"/>
  <c r="AC27" i="4"/>
  <c r="AB60" i="4"/>
  <c r="X60" i="4"/>
  <c r="T60" i="4"/>
  <c r="AB1453" i="1"/>
  <c r="X1498" i="1"/>
  <c r="AB209" i="4"/>
  <c r="L256" i="4"/>
  <c r="K256" i="4"/>
  <c r="J256" i="4"/>
  <c r="H256" i="4"/>
  <c r="G256" i="4"/>
  <c r="F256" i="4"/>
  <c r="D256" i="4"/>
  <c r="C256" i="4"/>
  <c r="B256" i="4"/>
  <c r="M255" i="4"/>
  <c r="I255" i="4"/>
  <c r="E255" i="4"/>
  <c r="M254" i="4"/>
  <c r="I254" i="4"/>
  <c r="E254" i="4"/>
  <c r="M253" i="4"/>
  <c r="I253" i="4"/>
  <c r="E253" i="4"/>
  <c r="N253" i="4" s="1"/>
  <c r="M252" i="4"/>
  <c r="I252" i="4"/>
  <c r="E252" i="4"/>
  <c r="M251" i="4"/>
  <c r="I251" i="4"/>
  <c r="E251" i="4"/>
  <c r="N251" i="4" s="1"/>
  <c r="M250" i="4"/>
  <c r="I250" i="4"/>
  <c r="E250" i="4"/>
  <c r="M249" i="4"/>
  <c r="I249" i="4"/>
  <c r="E249" i="4"/>
  <c r="M248" i="4"/>
  <c r="I248" i="4"/>
  <c r="E248" i="4"/>
  <c r="N248" i="4" s="1"/>
  <c r="M247" i="4"/>
  <c r="I247" i="4"/>
  <c r="E247" i="4"/>
  <c r="M246" i="4"/>
  <c r="I246" i="4"/>
  <c r="E246" i="4"/>
  <c r="M245" i="4"/>
  <c r="I245" i="4"/>
  <c r="E245" i="4"/>
  <c r="N245" i="4" s="1"/>
  <c r="M244" i="4"/>
  <c r="I244" i="4"/>
  <c r="E244" i="4"/>
  <c r="M240" i="4"/>
  <c r="I240" i="4"/>
  <c r="E240" i="4"/>
  <c r="M239" i="4"/>
  <c r="I239" i="4"/>
  <c r="E239" i="4"/>
  <c r="M238" i="4"/>
  <c r="I238" i="4"/>
  <c r="E238" i="4"/>
  <c r="M237" i="4"/>
  <c r="I237" i="4"/>
  <c r="E237" i="4"/>
  <c r="M236" i="4"/>
  <c r="I236" i="4"/>
  <c r="E236" i="4"/>
  <c r="M235" i="4"/>
  <c r="I235" i="4"/>
  <c r="E235" i="4"/>
  <c r="M233" i="4"/>
  <c r="I233" i="4"/>
  <c r="E233" i="4"/>
  <c r="N233" i="4" s="1"/>
  <c r="N230" i="4"/>
  <c r="M230" i="4"/>
  <c r="I230" i="4"/>
  <c r="E230" i="4"/>
  <c r="M229" i="4"/>
  <c r="I229" i="4"/>
  <c r="E229" i="4"/>
  <c r="N229" i="4" s="1"/>
  <c r="N228" i="4"/>
  <c r="M228" i="4"/>
  <c r="I228" i="4"/>
  <c r="E228" i="4"/>
  <c r="M227" i="4"/>
  <c r="I227" i="4"/>
  <c r="E227" i="4"/>
  <c r="N227" i="4" s="1"/>
  <c r="N226" i="4"/>
  <c r="M226" i="4"/>
  <c r="I226" i="4"/>
  <c r="E226" i="4"/>
  <c r="M225" i="4"/>
  <c r="I225" i="4"/>
  <c r="E225" i="4"/>
  <c r="N225" i="4" s="1"/>
  <c r="N224" i="4"/>
  <c r="M224" i="4"/>
  <c r="I224" i="4"/>
  <c r="E224" i="4"/>
  <c r="M223" i="4"/>
  <c r="I223" i="4"/>
  <c r="E223" i="4"/>
  <c r="M221" i="4"/>
  <c r="I221" i="4"/>
  <c r="E221" i="4"/>
  <c r="T209" i="4"/>
  <c r="X209" i="4"/>
  <c r="T210" i="4"/>
  <c r="T201" i="4"/>
  <c r="X201" i="4"/>
  <c r="AB201" i="4"/>
  <c r="T244" i="4"/>
  <c r="AC244" i="4" s="1"/>
  <c r="X244" i="4"/>
  <c r="AB244" i="4"/>
  <c r="T245" i="4"/>
  <c r="X245" i="4"/>
  <c r="AB245" i="4"/>
  <c r="AC245" i="4"/>
  <c r="AA256" i="4"/>
  <c r="Z256" i="4"/>
  <c r="U256" i="4"/>
  <c r="S256" i="4"/>
  <c r="AB243" i="4"/>
  <c r="X243" i="4"/>
  <c r="T243" i="4"/>
  <c r="AB242" i="4"/>
  <c r="X242" i="4"/>
  <c r="AC242" i="4" s="1"/>
  <c r="T242" i="4"/>
  <c r="AB241" i="4"/>
  <c r="X241" i="4"/>
  <c r="T241" i="4"/>
  <c r="AB240" i="4"/>
  <c r="X240" i="4"/>
  <c r="T240" i="4"/>
  <c r="AB239" i="4"/>
  <c r="X239" i="4"/>
  <c r="T239" i="4"/>
  <c r="AB238" i="4"/>
  <c r="X238" i="4"/>
  <c r="T238" i="4"/>
  <c r="AB237" i="4"/>
  <c r="X237" i="4"/>
  <c r="T237" i="4"/>
  <c r="AB236" i="4"/>
  <c r="X236" i="4"/>
  <c r="AC236" i="4" s="1"/>
  <c r="T236" i="4"/>
  <c r="AB235" i="4"/>
  <c r="X235" i="4"/>
  <c r="T235" i="4"/>
  <c r="AB230" i="4"/>
  <c r="X230" i="4"/>
  <c r="T230" i="4"/>
  <c r="AB229" i="4"/>
  <c r="AC229" i="4" s="1"/>
  <c r="X229" i="4"/>
  <c r="T229" i="4"/>
  <c r="AB228" i="4"/>
  <c r="X228" i="4"/>
  <c r="T228" i="4"/>
  <c r="AB227" i="4"/>
  <c r="AC227" i="4" s="1"/>
  <c r="X227" i="4"/>
  <c r="T227" i="4"/>
  <c r="AB226" i="4"/>
  <c r="X226" i="4"/>
  <c r="T226" i="4"/>
  <c r="AB225" i="4"/>
  <c r="X225" i="4"/>
  <c r="T225" i="4"/>
  <c r="AB224" i="4"/>
  <c r="X224" i="4"/>
  <c r="T224" i="4"/>
  <c r="AB223" i="4"/>
  <c r="X223" i="4"/>
  <c r="T223" i="4"/>
  <c r="AB222" i="4"/>
  <c r="X222" i="4"/>
  <c r="T222" i="4"/>
  <c r="AB221" i="4"/>
  <c r="X221" i="4"/>
  <c r="T221" i="4"/>
  <c r="T1407" i="1"/>
  <c r="X1407" i="1"/>
  <c r="AB1407" i="1"/>
  <c r="AC1407" i="1"/>
  <c r="T1408" i="1"/>
  <c r="X1408" i="1"/>
  <c r="AB1408" i="1"/>
  <c r="AB1373" i="1"/>
  <c r="X1373" i="1"/>
  <c r="T1373" i="1"/>
  <c r="AB1372" i="1"/>
  <c r="X1372" i="1"/>
  <c r="T1372" i="1"/>
  <c r="AB1371" i="1"/>
  <c r="X1371" i="1"/>
  <c r="T1371" i="1"/>
  <c r="AC1371" i="1" s="1"/>
  <c r="AB1370" i="1"/>
  <c r="X1370" i="1"/>
  <c r="T1370" i="1"/>
  <c r="AB1369" i="1"/>
  <c r="X1369" i="1"/>
  <c r="T1369" i="1"/>
  <c r="AC1369" i="1" s="1"/>
  <c r="X1410" i="1"/>
  <c r="AB119" i="4"/>
  <c r="X119" i="4"/>
  <c r="T119" i="4"/>
  <c r="AB1495" i="1"/>
  <c r="X1495" i="1"/>
  <c r="T1495" i="1"/>
  <c r="T1384" i="1"/>
  <c r="X1384" i="1"/>
  <c r="AB1384" i="1"/>
  <c r="T1385" i="1"/>
  <c r="X1385" i="1"/>
  <c r="AB1385" i="1"/>
  <c r="T1386" i="1"/>
  <c r="X1386" i="1"/>
  <c r="AB1386" i="1"/>
  <c r="AB1428" i="1"/>
  <c r="X1428" i="1"/>
  <c r="T1428" i="1"/>
  <c r="AC1428" i="1" s="1"/>
  <c r="AB1427" i="1"/>
  <c r="X1427" i="1"/>
  <c r="T1427" i="1"/>
  <c r="AB1426" i="1"/>
  <c r="X1426" i="1"/>
  <c r="T1426" i="1"/>
  <c r="AC1426" i="1" s="1"/>
  <c r="L1632" i="1"/>
  <c r="K1632" i="1"/>
  <c r="J1632" i="1"/>
  <c r="H1632" i="1"/>
  <c r="G1632" i="1"/>
  <c r="F1632" i="1"/>
  <c r="D1632" i="1"/>
  <c r="C1632" i="1"/>
  <c r="B1632" i="1"/>
  <c r="M1631" i="1"/>
  <c r="I1631" i="1"/>
  <c r="E1631" i="1"/>
  <c r="M1630" i="1"/>
  <c r="I1630" i="1"/>
  <c r="E1630" i="1"/>
  <c r="M1629" i="1"/>
  <c r="I1629" i="1"/>
  <c r="E1629" i="1"/>
  <c r="M1628" i="1"/>
  <c r="I1628" i="1"/>
  <c r="E1628" i="1"/>
  <c r="M1627" i="1"/>
  <c r="I1627" i="1"/>
  <c r="E1627" i="1"/>
  <c r="M1626" i="1"/>
  <c r="I1626" i="1"/>
  <c r="E1626" i="1"/>
  <c r="M1625" i="1"/>
  <c r="I1625" i="1"/>
  <c r="E1625" i="1"/>
  <c r="M1624" i="1"/>
  <c r="I1624" i="1"/>
  <c r="E1624" i="1"/>
  <c r="M1623" i="1"/>
  <c r="I1623" i="1"/>
  <c r="E1623" i="1"/>
  <c r="M1622" i="1"/>
  <c r="I1622" i="1"/>
  <c r="E1622" i="1"/>
  <c r="M1621" i="1"/>
  <c r="I1621" i="1"/>
  <c r="E1621" i="1"/>
  <c r="M1620" i="1"/>
  <c r="I1620" i="1"/>
  <c r="E1620" i="1"/>
  <c r="M1619" i="1"/>
  <c r="I1619" i="1"/>
  <c r="E1619" i="1"/>
  <c r="M1618" i="1"/>
  <c r="I1618" i="1"/>
  <c r="E1618" i="1"/>
  <c r="M1617" i="1"/>
  <c r="I1617" i="1"/>
  <c r="E1617" i="1"/>
  <c r="M1616" i="1"/>
  <c r="I1616" i="1"/>
  <c r="E1616" i="1"/>
  <c r="M1615" i="1"/>
  <c r="I1615" i="1"/>
  <c r="E1615" i="1"/>
  <c r="M1614" i="1"/>
  <c r="I1614" i="1"/>
  <c r="E1614" i="1"/>
  <c r="M1613" i="1"/>
  <c r="I1613" i="1"/>
  <c r="E1613" i="1"/>
  <c r="M1612" i="1"/>
  <c r="I1612" i="1"/>
  <c r="E1612" i="1"/>
  <c r="M1611" i="1"/>
  <c r="I1611" i="1"/>
  <c r="E1611" i="1"/>
  <c r="M1610" i="1"/>
  <c r="I1610" i="1"/>
  <c r="E1610" i="1"/>
  <c r="M1609" i="1"/>
  <c r="I1609" i="1"/>
  <c r="E1609" i="1"/>
  <c r="M1608" i="1"/>
  <c r="I1608" i="1"/>
  <c r="E1608" i="1"/>
  <c r="M1606" i="1"/>
  <c r="I1606" i="1"/>
  <c r="N1606" i="1" s="1"/>
  <c r="E1606" i="1"/>
  <c r="M1605" i="1"/>
  <c r="I1605" i="1"/>
  <c r="N1605" i="1" s="1"/>
  <c r="E1605" i="1"/>
  <c r="M1604" i="1"/>
  <c r="I1604" i="1"/>
  <c r="E1604" i="1"/>
  <c r="M1603" i="1"/>
  <c r="I1603" i="1"/>
  <c r="E1603" i="1"/>
  <c r="M1602" i="1"/>
  <c r="I1602" i="1"/>
  <c r="E1602" i="1"/>
  <c r="M1601" i="1"/>
  <c r="I1601" i="1"/>
  <c r="E1601" i="1"/>
  <c r="M1600" i="1"/>
  <c r="I1600" i="1"/>
  <c r="E1600" i="1"/>
  <c r="M1599" i="1"/>
  <c r="I1599" i="1"/>
  <c r="E1599" i="1"/>
  <c r="M1598" i="1"/>
  <c r="I1598" i="1"/>
  <c r="N1598" i="1" s="1"/>
  <c r="E1598" i="1"/>
  <c r="M1597" i="1"/>
  <c r="I1597" i="1"/>
  <c r="E1597" i="1"/>
  <c r="T1512" i="1"/>
  <c r="X1512" i="1"/>
  <c r="AB1512" i="1"/>
  <c r="AC1512" i="1"/>
  <c r="T1557" i="1"/>
  <c r="X1557" i="1"/>
  <c r="AB1557" i="1"/>
  <c r="AA1632" i="1"/>
  <c r="S1632" i="1"/>
  <c r="Q1632" i="1"/>
  <c r="AB1619" i="1"/>
  <c r="X1619" i="1"/>
  <c r="T1619" i="1"/>
  <c r="AB1618" i="1"/>
  <c r="X1618" i="1"/>
  <c r="T1618" i="1"/>
  <c r="AC1618" i="1" s="1"/>
  <c r="AB1617" i="1"/>
  <c r="X1617" i="1"/>
  <c r="T1617" i="1"/>
  <c r="AB1616" i="1"/>
  <c r="X1616" i="1"/>
  <c r="T1616" i="1"/>
  <c r="AB1615" i="1"/>
  <c r="X1615" i="1"/>
  <c r="T1615" i="1"/>
  <c r="AB1614" i="1"/>
  <c r="X1614" i="1"/>
  <c r="T1614" i="1"/>
  <c r="AB1613" i="1"/>
  <c r="X1613" i="1"/>
  <c r="T1613" i="1"/>
  <c r="AB1612" i="1"/>
  <c r="X1612" i="1"/>
  <c r="T1612" i="1"/>
  <c r="AB1611" i="1"/>
  <c r="X1611" i="1"/>
  <c r="T1611" i="1"/>
  <c r="AB1609" i="1"/>
  <c r="X1609" i="1"/>
  <c r="T1609" i="1"/>
  <c r="AB1608" i="1"/>
  <c r="X1608" i="1"/>
  <c r="T1608" i="1"/>
  <c r="AB1602" i="1"/>
  <c r="X1602" i="1"/>
  <c r="T1602" i="1"/>
  <c r="AB1597" i="1"/>
  <c r="X1597" i="1"/>
  <c r="T1597" i="1"/>
  <c r="AC1597" i="1" s="1"/>
  <c r="AB120" i="4"/>
  <c r="X120" i="4"/>
  <c r="T120" i="4"/>
  <c r="AB1496" i="1"/>
  <c r="X1496" i="1"/>
  <c r="T1496" i="1"/>
  <c r="Y1374" i="1"/>
  <c r="AA1374" i="1"/>
  <c r="T1429" i="1"/>
  <c r="X1429" i="1"/>
  <c r="AB1429" i="1"/>
  <c r="AC1429" i="1"/>
  <c r="L1589" i="1"/>
  <c r="K1589" i="1"/>
  <c r="J1589" i="1"/>
  <c r="H1589" i="1"/>
  <c r="G1589" i="1"/>
  <c r="F1589" i="1"/>
  <c r="D1589" i="1"/>
  <c r="C1589" i="1"/>
  <c r="B1589" i="1"/>
  <c r="M1588" i="1"/>
  <c r="I1588" i="1"/>
  <c r="E1588" i="1"/>
  <c r="N1588" i="1" s="1"/>
  <c r="M1587" i="1"/>
  <c r="I1587" i="1"/>
  <c r="E1587" i="1"/>
  <c r="M1586" i="1"/>
  <c r="I1586" i="1"/>
  <c r="E1586" i="1"/>
  <c r="N1586" i="1" s="1"/>
  <c r="M1585" i="1"/>
  <c r="I1585" i="1"/>
  <c r="E1585" i="1"/>
  <c r="M1584" i="1"/>
  <c r="I1584" i="1"/>
  <c r="E1584" i="1"/>
  <c r="N1584" i="1" s="1"/>
  <c r="M1583" i="1"/>
  <c r="I1583" i="1"/>
  <c r="E1583" i="1"/>
  <c r="M1582" i="1"/>
  <c r="I1582" i="1"/>
  <c r="E1582" i="1"/>
  <c r="N1582" i="1" s="1"/>
  <c r="M1581" i="1"/>
  <c r="I1581" i="1"/>
  <c r="E1581" i="1"/>
  <c r="M1580" i="1"/>
  <c r="I1580" i="1"/>
  <c r="E1580" i="1"/>
  <c r="N1580" i="1" s="1"/>
  <c r="M1579" i="1"/>
  <c r="I1579" i="1"/>
  <c r="E1579" i="1"/>
  <c r="M1578" i="1"/>
  <c r="I1578" i="1"/>
  <c r="E1578" i="1"/>
  <c r="N1578" i="1" s="1"/>
  <c r="M1577" i="1"/>
  <c r="I1577" i="1"/>
  <c r="E1577" i="1"/>
  <c r="M1574" i="1"/>
  <c r="I1574" i="1"/>
  <c r="E1574" i="1"/>
  <c r="M1573" i="1"/>
  <c r="I1573" i="1"/>
  <c r="E1573" i="1"/>
  <c r="M1572" i="1"/>
  <c r="I1572" i="1"/>
  <c r="E1572" i="1"/>
  <c r="M1571" i="1"/>
  <c r="I1571" i="1"/>
  <c r="E1571" i="1"/>
  <c r="M1570" i="1"/>
  <c r="I1570" i="1"/>
  <c r="E1570" i="1"/>
  <c r="M1569" i="1"/>
  <c r="I1569" i="1"/>
  <c r="E1569" i="1"/>
  <c r="M1568" i="1"/>
  <c r="I1568" i="1"/>
  <c r="E1568" i="1"/>
  <c r="N1568" i="1" s="1"/>
  <c r="M1567" i="1"/>
  <c r="I1567" i="1"/>
  <c r="E1567" i="1"/>
  <c r="M1566" i="1"/>
  <c r="I1566" i="1"/>
  <c r="E1566" i="1"/>
  <c r="M1565" i="1"/>
  <c r="I1565" i="1"/>
  <c r="E1565" i="1"/>
  <c r="M1563" i="1"/>
  <c r="I1563" i="1"/>
  <c r="N1563" i="1" s="1"/>
  <c r="E1563" i="1"/>
  <c r="M1562" i="1"/>
  <c r="I1562" i="1"/>
  <c r="N1562" i="1" s="1"/>
  <c r="E1562" i="1"/>
  <c r="M1561" i="1"/>
  <c r="I1561" i="1"/>
  <c r="N1561" i="1" s="1"/>
  <c r="E1561" i="1"/>
  <c r="M1560" i="1"/>
  <c r="I1560" i="1"/>
  <c r="N1560" i="1" s="1"/>
  <c r="E1560" i="1"/>
  <c r="M1559" i="1"/>
  <c r="I1559" i="1"/>
  <c r="N1559" i="1" s="1"/>
  <c r="E1559" i="1"/>
  <c r="M1558" i="1"/>
  <c r="I1558" i="1"/>
  <c r="N1558" i="1" s="1"/>
  <c r="E1558" i="1"/>
  <c r="M1557" i="1"/>
  <c r="I1557" i="1"/>
  <c r="N1557" i="1" s="1"/>
  <c r="E1557" i="1"/>
  <c r="M1556" i="1"/>
  <c r="I1556" i="1"/>
  <c r="N1556" i="1" s="1"/>
  <c r="E1556" i="1"/>
  <c r="M1555" i="1"/>
  <c r="I1555" i="1"/>
  <c r="E1555" i="1"/>
  <c r="N1555" i="1" s="1"/>
  <c r="M1554" i="1"/>
  <c r="I1554" i="1"/>
  <c r="E1554" i="1"/>
  <c r="T1446" i="1"/>
  <c r="X1446" i="1"/>
  <c r="AB1446" i="1"/>
  <c r="T1447" i="1"/>
  <c r="X1447" i="1"/>
  <c r="AB1447" i="1"/>
  <c r="AC1447" i="1"/>
  <c r="T1448" i="1"/>
  <c r="X1448" i="1"/>
  <c r="AB1448" i="1"/>
  <c r="T1449" i="1"/>
  <c r="X1449" i="1"/>
  <c r="AB1449" i="1"/>
  <c r="T1450" i="1"/>
  <c r="X1450" i="1"/>
  <c r="AB1450" i="1"/>
  <c r="T1451" i="1"/>
  <c r="X1451" i="1"/>
  <c r="AB1451" i="1"/>
  <c r="T1453" i="1"/>
  <c r="AB1452" i="1"/>
  <c r="X1452" i="1"/>
  <c r="T1452" i="1"/>
  <c r="T1454" i="1"/>
  <c r="X1454" i="1"/>
  <c r="AB1454" i="1"/>
  <c r="T1455" i="1"/>
  <c r="T1456" i="1"/>
  <c r="X1456" i="1"/>
  <c r="AB1456" i="1"/>
  <c r="T1457" i="1"/>
  <c r="AB1498" i="1"/>
  <c r="T1498" i="1"/>
  <c r="AB1497" i="1"/>
  <c r="X1497" i="1"/>
  <c r="T1497" i="1"/>
  <c r="AB1500" i="1"/>
  <c r="T1500" i="1"/>
  <c r="AB1499" i="1"/>
  <c r="X1499" i="1"/>
  <c r="T1499" i="1"/>
  <c r="AB1502" i="1"/>
  <c r="AB1501" i="1"/>
  <c r="X1501" i="1"/>
  <c r="T1501" i="1"/>
  <c r="T1470" i="1"/>
  <c r="X1470" i="1"/>
  <c r="AB1470" i="1"/>
  <c r="T1494" i="1"/>
  <c r="X1494" i="1"/>
  <c r="AB1494" i="1"/>
  <c r="T1511" i="1"/>
  <c r="X1511" i="1"/>
  <c r="AB1511" i="1"/>
  <c r="T1514" i="1"/>
  <c r="X1514" i="1"/>
  <c r="AB1514" i="1"/>
  <c r="AC1514" i="1" s="1"/>
  <c r="T1515" i="1"/>
  <c r="X1515" i="1"/>
  <c r="AB1515" i="1"/>
  <c r="T1516" i="1"/>
  <c r="X1516" i="1"/>
  <c r="AB1516" i="1"/>
  <c r="AC1516" i="1" s="1"/>
  <c r="T1517" i="1"/>
  <c r="X1517" i="1"/>
  <c r="AB1517" i="1"/>
  <c r="T1518" i="1"/>
  <c r="X1518" i="1"/>
  <c r="AB1518" i="1"/>
  <c r="AC1518" i="1" s="1"/>
  <c r="T1519" i="1"/>
  <c r="X1519" i="1"/>
  <c r="AB1519" i="1"/>
  <c r="T1520" i="1"/>
  <c r="X1520" i="1"/>
  <c r="AB1520" i="1"/>
  <c r="AC1520" i="1" s="1"/>
  <c r="T1522" i="1"/>
  <c r="X1522" i="1"/>
  <c r="AC1522" i="1" s="1"/>
  <c r="AB1522" i="1"/>
  <c r="T1523" i="1"/>
  <c r="X1523" i="1"/>
  <c r="AB1523" i="1"/>
  <c r="T1524" i="1"/>
  <c r="X1524" i="1"/>
  <c r="AB1524" i="1"/>
  <c r="T1525" i="1"/>
  <c r="X1525" i="1"/>
  <c r="AB1525" i="1"/>
  <c r="T1526" i="1"/>
  <c r="X1526" i="1"/>
  <c r="AB1526" i="1"/>
  <c r="T1527" i="1"/>
  <c r="X1527" i="1"/>
  <c r="AB1527" i="1"/>
  <c r="T1528" i="1"/>
  <c r="X1528" i="1"/>
  <c r="AB1528" i="1"/>
  <c r="Q1546" i="1"/>
  <c r="R1546" i="1"/>
  <c r="S1546" i="1"/>
  <c r="Y1546" i="1"/>
  <c r="AA1546" i="1"/>
  <c r="T1554" i="1"/>
  <c r="X1554" i="1"/>
  <c r="AB1554" i="1"/>
  <c r="T1555" i="1"/>
  <c r="X1555" i="1"/>
  <c r="AB1555" i="1"/>
  <c r="T1558" i="1"/>
  <c r="X1558" i="1"/>
  <c r="AB1558" i="1"/>
  <c r="T1559" i="1"/>
  <c r="X1559" i="1"/>
  <c r="AB1559" i="1"/>
  <c r="T1560" i="1"/>
  <c r="X1560" i="1"/>
  <c r="AB1560" i="1"/>
  <c r="T1561" i="1"/>
  <c r="X1561" i="1"/>
  <c r="AB1561" i="1"/>
  <c r="T1562" i="1"/>
  <c r="X1562" i="1"/>
  <c r="AB1562" i="1"/>
  <c r="T1563" i="1"/>
  <c r="X1563" i="1"/>
  <c r="AB1563" i="1"/>
  <c r="T1565" i="1"/>
  <c r="X1565" i="1"/>
  <c r="AC1565" i="1" s="1"/>
  <c r="AB1565" i="1"/>
  <c r="T1566" i="1"/>
  <c r="X1566" i="1"/>
  <c r="AB1566" i="1"/>
  <c r="T1567" i="1"/>
  <c r="X1567" i="1"/>
  <c r="AC1567" i="1" s="1"/>
  <c r="AB1567" i="1"/>
  <c r="T1568" i="1"/>
  <c r="X1568" i="1"/>
  <c r="AB1568" i="1"/>
  <c r="T1569" i="1"/>
  <c r="X1569" i="1"/>
  <c r="AC1569" i="1" s="1"/>
  <c r="AB1569" i="1"/>
  <c r="T1570" i="1"/>
  <c r="X1570" i="1"/>
  <c r="AB1570" i="1"/>
  <c r="T1571" i="1"/>
  <c r="X1571" i="1"/>
  <c r="AB1571" i="1"/>
  <c r="T1572" i="1"/>
  <c r="X1572" i="1"/>
  <c r="AB1572" i="1"/>
  <c r="T1573" i="1"/>
  <c r="X1573" i="1"/>
  <c r="AB1573" i="1"/>
  <c r="T1574" i="1"/>
  <c r="X1574" i="1"/>
  <c r="AB1574" i="1"/>
  <c r="T1575" i="1"/>
  <c r="X1575" i="1"/>
  <c r="AB1575" i="1"/>
  <c r="T1576" i="1"/>
  <c r="X1576" i="1"/>
  <c r="AB1576" i="1"/>
  <c r="R1589" i="1"/>
  <c r="L213" i="4"/>
  <c r="K213" i="4"/>
  <c r="J213" i="4"/>
  <c r="H213" i="4"/>
  <c r="G213" i="4"/>
  <c r="F213" i="4"/>
  <c r="D213" i="4"/>
  <c r="C213" i="4"/>
  <c r="B213" i="4"/>
  <c r="M212" i="4"/>
  <c r="I212" i="4"/>
  <c r="E212" i="4"/>
  <c r="N212" i="4" s="1"/>
  <c r="M211" i="4"/>
  <c r="I211" i="4"/>
  <c r="E211" i="4"/>
  <c r="M210" i="4"/>
  <c r="I210" i="4"/>
  <c r="E210" i="4"/>
  <c r="M209" i="4"/>
  <c r="I209" i="4"/>
  <c r="E209" i="4"/>
  <c r="N209" i="4" s="1"/>
  <c r="M208" i="4"/>
  <c r="I208" i="4"/>
  <c r="E208" i="4"/>
  <c r="M207" i="4"/>
  <c r="I207" i="4"/>
  <c r="E207" i="4"/>
  <c r="N207" i="4" s="1"/>
  <c r="M206" i="4"/>
  <c r="I206" i="4"/>
  <c r="E206" i="4"/>
  <c r="N206" i="4" s="1"/>
  <c r="M205" i="4"/>
  <c r="I205" i="4"/>
  <c r="E205" i="4"/>
  <c r="N205" i="4" s="1"/>
  <c r="M204" i="4"/>
  <c r="I204" i="4"/>
  <c r="E204" i="4"/>
  <c r="N204" i="4" s="1"/>
  <c r="M203" i="4"/>
  <c r="I203" i="4"/>
  <c r="E203" i="4"/>
  <c r="M202" i="4"/>
  <c r="I202" i="4"/>
  <c r="E202" i="4"/>
  <c r="M201" i="4"/>
  <c r="I201" i="4"/>
  <c r="E201" i="4"/>
  <c r="N201" i="4" s="1"/>
  <c r="M200" i="4"/>
  <c r="I200" i="4"/>
  <c r="E200" i="4"/>
  <c r="M199" i="4"/>
  <c r="I199" i="4"/>
  <c r="E199" i="4"/>
  <c r="N199" i="4" s="1"/>
  <c r="M198" i="4"/>
  <c r="I198" i="4"/>
  <c r="E198" i="4"/>
  <c r="N198" i="4" s="1"/>
  <c r="M195" i="4"/>
  <c r="I195" i="4"/>
  <c r="E195" i="4"/>
  <c r="N195" i="4" s="1"/>
  <c r="M194" i="4"/>
  <c r="I194" i="4"/>
  <c r="E194" i="4"/>
  <c r="M193" i="4"/>
  <c r="I193" i="4"/>
  <c r="E193" i="4"/>
  <c r="M192" i="4"/>
  <c r="I192" i="4"/>
  <c r="E192" i="4"/>
  <c r="M191" i="4"/>
  <c r="I191" i="4"/>
  <c r="E191" i="4"/>
  <c r="N191" i="4" s="1"/>
  <c r="M190" i="4"/>
  <c r="I190" i="4"/>
  <c r="E190" i="4"/>
  <c r="M189" i="4"/>
  <c r="I189" i="4"/>
  <c r="E189" i="4"/>
  <c r="M187" i="4"/>
  <c r="I187" i="4"/>
  <c r="N187" i="4" s="1"/>
  <c r="E187" i="4"/>
  <c r="M186" i="4"/>
  <c r="I186" i="4"/>
  <c r="E186" i="4"/>
  <c r="N186" i="4" s="1"/>
  <c r="M185" i="4"/>
  <c r="I185" i="4"/>
  <c r="E185" i="4"/>
  <c r="M184" i="4"/>
  <c r="I184" i="4"/>
  <c r="E184" i="4"/>
  <c r="M183" i="4"/>
  <c r="I183" i="4"/>
  <c r="E183" i="4"/>
  <c r="M182" i="4"/>
  <c r="I182" i="4"/>
  <c r="N182" i="4" s="1"/>
  <c r="E182" i="4"/>
  <c r="M181" i="4"/>
  <c r="I181" i="4"/>
  <c r="E181" i="4"/>
  <c r="M180" i="4"/>
  <c r="I180" i="4"/>
  <c r="E180" i="4"/>
  <c r="N179" i="4"/>
  <c r="M179" i="4"/>
  <c r="I179" i="4"/>
  <c r="E179" i="4"/>
  <c r="M178" i="4"/>
  <c r="I178" i="4"/>
  <c r="E178" i="4"/>
  <c r="T116" i="4"/>
  <c r="X116" i="4"/>
  <c r="AB116" i="4"/>
  <c r="T117" i="4"/>
  <c r="X117" i="4"/>
  <c r="AB117" i="4"/>
  <c r="AC117" i="4" s="1"/>
  <c r="T118" i="4"/>
  <c r="X118" i="4"/>
  <c r="AB118" i="4"/>
  <c r="T121" i="4"/>
  <c r="X121" i="4"/>
  <c r="AB121" i="4"/>
  <c r="T122" i="4"/>
  <c r="X122" i="4"/>
  <c r="T123" i="4"/>
  <c r="X123" i="4"/>
  <c r="AB123" i="4"/>
  <c r="T124" i="4"/>
  <c r="X124" i="4"/>
  <c r="AB124" i="4"/>
  <c r="X126" i="4"/>
  <c r="T126" i="4"/>
  <c r="AB125" i="4"/>
  <c r="X125" i="4"/>
  <c r="T125" i="4"/>
  <c r="AB165" i="4"/>
  <c r="X165" i="4"/>
  <c r="T165" i="4"/>
  <c r="AB167" i="4"/>
  <c r="X167" i="4"/>
  <c r="T167" i="4"/>
  <c r="X166" i="4"/>
  <c r="T166" i="4"/>
  <c r="AB169" i="4"/>
  <c r="X169" i="4"/>
  <c r="T169" i="4"/>
  <c r="AB168" i="4"/>
  <c r="X168" i="4"/>
  <c r="T168" i="4"/>
  <c r="AA213" i="4"/>
  <c r="Y213" i="4"/>
  <c r="S213" i="4"/>
  <c r="R213" i="4"/>
  <c r="AB199" i="4"/>
  <c r="X199" i="4"/>
  <c r="T199" i="4"/>
  <c r="AB198" i="4"/>
  <c r="X198" i="4"/>
  <c r="T198" i="4"/>
  <c r="AB197" i="4"/>
  <c r="X197" i="4"/>
  <c r="T197" i="4"/>
  <c r="AB196" i="4"/>
  <c r="X196" i="4"/>
  <c r="T196" i="4"/>
  <c r="AB195" i="4"/>
  <c r="X195" i="4"/>
  <c r="T195" i="4"/>
  <c r="AB194" i="4"/>
  <c r="X194" i="4"/>
  <c r="T194" i="4"/>
  <c r="AB193" i="4"/>
  <c r="X193" i="4"/>
  <c r="T193" i="4"/>
  <c r="AB190" i="4"/>
  <c r="X190" i="4"/>
  <c r="T190" i="4"/>
  <c r="AB189" i="4"/>
  <c r="X189" i="4"/>
  <c r="T189" i="4"/>
  <c r="AB187" i="4"/>
  <c r="AC187" i="4" s="1"/>
  <c r="X187" i="4"/>
  <c r="T187" i="4"/>
  <c r="AB186" i="4"/>
  <c r="X186" i="4"/>
  <c r="T186" i="4"/>
  <c r="AC186" i="4" s="1"/>
  <c r="AB185" i="4"/>
  <c r="AC185" i="4" s="1"/>
  <c r="X185" i="4"/>
  <c r="T185" i="4"/>
  <c r="AB184" i="4"/>
  <c r="X184" i="4"/>
  <c r="T184" i="4"/>
  <c r="AC184" i="4" s="1"/>
  <c r="AC183" i="4"/>
  <c r="AB183" i="4"/>
  <c r="X183" i="4"/>
  <c r="T183" i="4"/>
  <c r="AB182" i="4"/>
  <c r="X182" i="4"/>
  <c r="T182" i="4"/>
  <c r="AC182" i="4" s="1"/>
  <c r="AB181" i="4"/>
  <c r="AC181" i="4" s="1"/>
  <c r="X181" i="4"/>
  <c r="T181" i="4"/>
  <c r="AB180" i="4"/>
  <c r="X180" i="4"/>
  <c r="T180" i="4"/>
  <c r="AC180" i="4" s="1"/>
  <c r="AB179" i="4"/>
  <c r="AC179" i="4" s="1"/>
  <c r="X179" i="4"/>
  <c r="T179" i="4"/>
  <c r="AB178" i="4"/>
  <c r="X178" i="4"/>
  <c r="T178" i="4"/>
  <c r="AC178" i="4" s="1"/>
  <c r="AB75" i="4"/>
  <c r="X75" i="4"/>
  <c r="T75" i="4"/>
  <c r="M1356" i="1"/>
  <c r="I1356" i="1"/>
  <c r="E1356" i="1"/>
  <c r="T1365" i="1"/>
  <c r="X1365" i="1"/>
  <c r="AB1365" i="1"/>
  <c r="T1366" i="1"/>
  <c r="X1366" i="1"/>
  <c r="AB1366" i="1"/>
  <c r="AC1366" i="1"/>
  <c r="T1367" i="1"/>
  <c r="AC1367" i="1" s="1"/>
  <c r="X1367" i="1"/>
  <c r="AB1367" i="1"/>
  <c r="T1368" i="1"/>
  <c r="X1368" i="1"/>
  <c r="AB1368" i="1"/>
  <c r="R1374" i="1"/>
  <c r="AB1410" i="1"/>
  <c r="T1410" i="1"/>
  <c r="AB1409" i="1"/>
  <c r="X1409" i="1"/>
  <c r="T1409" i="1"/>
  <c r="T1363" i="1"/>
  <c r="X1363" i="1"/>
  <c r="AB1363" i="1"/>
  <c r="T1364" i="1"/>
  <c r="X1364" i="1"/>
  <c r="AB1364" i="1"/>
  <c r="AB1412" i="1"/>
  <c r="X1412" i="1"/>
  <c r="T1412" i="1"/>
  <c r="AB1411" i="1"/>
  <c r="X1411" i="1"/>
  <c r="T1411" i="1"/>
  <c r="AB79" i="4"/>
  <c r="X36" i="4"/>
  <c r="AB1324" i="1"/>
  <c r="X1324" i="1"/>
  <c r="AB40" i="4"/>
  <c r="W41" i="4"/>
  <c r="V41" i="4"/>
  <c r="AB36" i="4"/>
  <c r="Z1331" i="1"/>
  <c r="AB1326" i="1"/>
  <c r="X1325" i="1"/>
  <c r="T1325" i="1"/>
  <c r="X1330" i="1"/>
  <c r="T74" i="4"/>
  <c r="AC74" i="4" s="1"/>
  <c r="X74" i="4"/>
  <c r="AB74" i="4"/>
  <c r="AB76" i="4"/>
  <c r="X76" i="4"/>
  <c r="T76" i="4"/>
  <c r="T73" i="4"/>
  <c r="AC73" i="4" s="1"/>
  <c r="X73" i="4"/>
  <c r="AB73" i="4"/>
  <c r="L170" i="4"/>
  <c r="K170" i="4"/>
  <c r="J170" i="4"/>
  <c r="M170" i="4" s="1"/>
  <c r="H170" i="4"/>
  <c r="G170" i="4"/>
  <c r="F170" i="4"/>
  <c r="D170" i="4"/>
  <c r="C170" i="4"/>
  <c r="B170" i="4"/>
  <c r="M169" i="4"/>
  <c r="I169" i="4"/>
  <c r="E169" i="4"/>
  <c r="N169" i="4" s="1"/>
  <c r="M168" i="4"/>
  <c r="I168" i="4"/>
  <c r="E168" i="4"/>
  <c r="M167" i="4"/>
  <c r="I167" i="4"/>
  <c r="E167" i="4"/>
  <c r="N167" i="4" s="1"/>
  <c r="M166" i="4"/>
  <c r="I166" i="4"/>
  <c r="E166" i="4"/>
  <c r="M165" i="4"/>
  <c r="I165" i="4"/>
  <c r="E165" i="4"/>
  <c r="M164" i="4"/>
  <c r="I164" i="4"/>
  <c r="E164" i="4"/>
  <c r="N164" i="4" s="1"/>
  <c r="M163" i="4"/>
  <c r="I163" i="4"/>
  <c r="E163" i="4"/>
  <c r="M162" i="4"/>
  <c r="I162" i="4"/>
  <c r="E162" i="4"/>
  <c r="M161" i="4"/>
  <c r="I161" i="4"/>
  <c r="E161" i="4"/>
  <c r="N161" i="4" s="1"/>
  <c r="M160" i="4"/>
  <c r="I160" i="4"/>
  <c r="E160" i="4"/>
  <c r="M159" i="4"/>
  <c r="I159" i="4"/>
  <c r="E159" i="4"/>
  <c r="N159" i="4" s="1"/>
  <c r="M158" i="4"/>
  <c r="I158" i="4"/>
  <c r="E158" i="4"/>
  <c r="M157" i="4"/>
  <c r="I157" i="4"/>
  <c r="E157" i="4"/>
  <c r="M156" i="4"/>
  <c r="I156" i="4"/>
  <c r="E156" i="4"/>
  <c r="N156" i="4" s="1"/>
  <c r="M155" i="4"/>
  <c r="I155" i="4"/>
  <c r="E155" i="4"/>
  <c r="M154" i="4"/>
  <c r="I154" i="4"/>
  <c r="E154" i="4"/>
  <c r="M153" i="4"/>
  <c r="I153" i="4"/>
  <c r="E153" i="4"/>
  <c r="N153" i="4" s="1"/>
  <c r="M152" i="4"/>
  <c r="I152" i="4"/>
  <c r="E152" i="4"/>
  <c r="M151" i="4"/>
  <c r="I151" i="4"/>
  <c r="E151" i="4"/>
  <c r="N151" i="4" s="1"/>
  <c r="M150" i="4"/>
  <c r="I150" i="4"/>
  <c r="E150" i="4"/>
  <c r="M149" i="4"/>
  <c r="I149" i="4"/>
  <c r="E149" i="4"/>
  <c r="M144" i="4"/>
  <c r="I144" i="4"/>
  <c r="E144" i="4"/>
  <c r="N144" i="4" s="1"/>
  <c r="N143" i="4"/>
  <c r="M143" i="4"/>
  <c r="I143" i="4"/>
  <c r="E143" i="4"/>
  <c r="M142" i="4"/>
  <c r="I142" i="4"/>
  <c r="E142" i="4"/>
  <c r="N142" i="4" s="1"/>
  <c r="N141" i="4"/>
  <c r="M141" i="4"/>
  <c r="I141" i="4"/>
  <c r="E141" i="4"/>
  <c r="M140" i="4"/>
  <c r="I140" i="4"/>
  <c r="E140" i="4"/>
  <c r="N140" i="4" s="1"/>
  <c r="N139" i="4"/>
  <c r="M139" i="4"/>
  <c r="I139" i="4"/>
  <c r="E139" i="4"/>
  <c r="M138" i="4"/>
  <c r="I138" i="4"/>
  <c r="E138" i="4"/>
  <c r="N138" i="4" s="1"/>
  <c r="N137" i="4"/>
  <c r="M137" i="4"/>
  <c r="I137" i="4"/>
  <c r="E137" i="4"/>
  <c r="M136" i="4"/>
  <c r="I136" i="4"/>
  <c r="E136" i="4"/>
  <c r="N136" i="4" s="1"/>
  <c r="M135" i="4"/>
  <c r="I135" i="4"/>
  <c r="E135" i="4"/>
  <c r="AA170" i="4"/>
  <c r="Z170" i="4"/>
  <c r="Y170" i="4"/>
  <c r="W170" i="4"/>
  <c r="U170" i="4"/>
  <c r="S170" i="4"/>
  <c r="R170" i="4"/>
  <c r="Q170" i="4"/>
  <c r="AB164" i="4"/>
  <c r="T164" i="4"/>
  <c r="AB163" i="4"/>
  <c r="X163" i="4"/>
  <c r="T163" i="4"/>
  <c r="AB161" i="4"/>
  <c r="X161" i="4"/>
  <c r="T161" i="4"/>
  <c r="AB160" i="4"/>
  <c r="X160" i="4"/>
  <c r="T160" i="4"/>
  <c r="AC160" i="4" s="1"/>
  <c r="AB159" i="4"/>
  <c r="X159" i="4"/>
  <c r="T159" i="4"/>
  <c r="AC159" i="4" s="1"/>
  <c r="AB158" i="4"/>
  <c r="X158" i="4"/>
  <c r="T158" i="4"/>
  <c r="AB157" i="4"/>
  <c r="X157" i="4"/>
  <c r="T157" i="4"/>
  <c r="AC157" i="4" s="1"/>
  <c r="AB156" i="4"/>
  <c r="X156" i="4"/>
  <c r="T156" i="4"/>
  <c r="AB155" i="4"/>
  <c r="X155" i="4"/>
  <c r="T155" i="4"/>
  <c r="AB152" i="4"/>
  <c r="X152" i="4"/>
  <c r="T152" i="4"/>
  <c r="AC152" i="4" s="1"/>
  <c r="AC144" i="4"/>
  <c r="AB144" i="4"/>
  <c r="X144" i="4"/>
  <c r="T144" i="4"/>
  <c r="AB143" i="4"/>
  <c r="X143" i="4"/>
  <c r="T143" i="4"/>
  <c r="AC143" i="4" s="1"/>
  <c r="AC142" i="4"/>
  <c r="AB142" i="4"/>
  <c r="X142" i="4"/>
  <c r="T142" i="4"/>
  <c r="AB141" i="4"/>
  <c r="X141" i="4"/>
  <c r="T141" i="4"/>
  <c r="AC140" i="4"/>
  <c r="AB140" i="4"/>
  <c r="X140" i="4"/>
  <c r="T140" i="4"/>
  <c r="AB139" i="4"/>
  <c r="X139" i="4"/>
  <c r="T139" i="4"/>
  <c r="AC139" i="4" s="1"/>
  <c r="AC138" i="4"/>
  <c r="AB138" i="4"/>
  <c r="X138" i="4"/>
  <c r="T138" i="4"/>
  <c r="AB137" i="4"/>
  <c r="X137" i="4"/>
  <c r="T137" i="4"/>
  <c r="AC137" i="4" s="1"/>
  <c r="AC136" i="4"/>
  <c r="AB136" i="4"/>
  <c r="X136" i="4"/>
  <c r="T136" i="4"/>
  <c r="AB135" i="4"/>
  <c r="X135" i="4"/>
  <c r="T135" i="4"/>
  <c r="L1546" i="1"/>
  <c r="K1546" i="1"/>
  <c r="J1546" i="1"/>
  <c r="H1546" i="1"/>
  <c r="G1546" i="1"/>
  <c r="F1546" i="1"/>
  <c r="D1546" i="1"/>
  <c r="C1546" i="1"/>
  <c r="B1546" i="1"/>
  <c r="M1545" i="1"/>
  <c r="I1545" i="1"/>
  <c r="E1545" i="1"/>
  <c r="M1544" i="1"/>
  <c r="I1544" i="1"/>
  <c r="E1544" i="1"/>
  <c r="M1543" i="1"/>
  <c r="I1543" i="1"/>
  <c r="E1543" i="1"/>
  <c r="M1542" i="1"/>
  <c r="I1542" i="1"/>
  <c r="E1542" i="1"/>
  <c r="M1541" i="1"/>
  <c r="I1541" i="1"/>
  <c r="E1541" i="1"/>
  <c r="M1540" i="1"/>
  <c r="I1540" i="1"/>
  <c r="E1540" i="1"/>
  <c r="M1539" i="1"/>
  <c r="I1539" i="1"/>
  <c r="E1539" i="1"/>
  <c r="M1538" i="1"/>
  <c r="I1538" i="1"/>
  <c r="E1538" i="1"/>
  <c r="M1537" i="1"/>
  <c r="I1537" i="1"/>
  <c r="E1537" i="1"/>
  <c r="M1536" i="1"/>
  <c r="I1536" i="1"/>
  <c r="E1536" i="1"/>
  <c r="M1535" i="1"/>
  <c r="I1535" i="1"/>
  <c r="E1535" i="1"/>
  <c r="M1534" i="1"/>
  <c r="I1534" i="1"/>
  <c r="E1534" i="1"/>
  <c r="M1533" i="1"/>
  <c r="I1533" i="1"/>
  <c r="E1533" i="1"/>
  <c r="M1532" i="1"/>
  <c r="I1532" i="1"/>
  <c r="E1532" i="1"/>
  <c r="M1531" i="1"/>
  <c r="I1531" i="1"/>
  <c r="E1531" i="1"/>
  <c r="M1530" i="1"/>
  <c r="I1530" i="1"/>
  <c r="E1530" i="1"/>
  <c r="M1529" i="1"/>
  <c r="I1529" i="1"/>
  <c r="E1529" i="1"/>
  <c r="M1528" i="1"/>
  <c r="I1528" i="1"/>
  <c r="E1528" i="1"/>
  <c r="M1527" i="1"/>
  <c r="I1527" i="1"/>
  <c r="E1527" i="1"/>
  <c r="M1526" i="1"/>
  <c r="I1526" i="1"/>
  <c r="E1526" i="1"/>
  <c r="M1525" i="1"/>
  <c r="I1525" i="1"/>
  <c r="E1525" i="1"/>
  <c r="M1524" i="1"/>
  <c r="I1524" i="1"/>
  <c r="E1524" i="1"/>
  <c r="M1523" i="1"/>
  <c r="I1523" i="1"/>
  <c r="E1523" i="1"/>
  <c r="M1522" i="1"/>
  <c r="I1522" i="1"/>
  <c r="E1522" i="1"/>
  <c r="M1520" i="1"/>
  <c r="I1520" i="1"/>
  <c r="E1520" i="1"/>
  <c r="N1520" i="1" s="1"/>
  <c r="M1519" i="1"/>
  <c r="I1519" i="1"/>
  <c r="E1519" i="1"/>
  <c r="N1519" i="1" s="1"/>
  <c r="M1518" i="1"/>
  <c r="I1518" i="1"/>
  <c r="E1518" i="1"/>
  <c r="N1518" i="1" s="1"/>
  <c r="M1517" i="1"/>
  <c r="I1517" i="1"/>
  <c r="E1517" i="1"/>
  <c r="N1517" i="1" s="1"/>
  <c r="M1516" i="1"/>
  <c r="I1516" i="1"/>
  <c r="E1516" i="1"/>
  <c r="M1515" i="1"/>
  <c r="I1515" i="1"/>
  <c r="E1515" i="1"/>
  <c r="M1514" i="1"/>
  <c r="I1514" i="1"/>
  <c r="E1514" i="1"/>
  <c r="M1513" i="1"/>
  <c r="I1513" i="1"/>
  <c r="E1513" i="1"/>
  <c r="M1512" i="1"/>
  <c r="I1512" i="1"/>
  <c r="E1512" i="1"/>
  <c r="M1511" i="1"/>
  <c r="I1511" i="1"/>
  <c r="E1511" i="1"/>
  <c r="T1471" i="1"/>
  <c r="X1471" i="1"/>
  <c r="AB1471" i="1"/>
  <c r="AC1471" i="1"/>
  <c r="L1503" i="1"/>
  <c r="K1503" i="1"/>
  <c r="J1503" i="1"/>
  <c r="H1503" i="1"/>
  <c r="G1503" i="1"/>
  <c r="F1503" i="1"/>
  <c r="D1503" i="1"/>
  <c r="C1503" i="1"/>
  <c r="B1503" i="1"/>
  <c r="M1502" i="1"/>
  <c r="I1502" i="1"/>
  <c r="E1502" i="1"/>
  <c r="M1501" i="1"/>
  <c r="I1501" i="1"/>
  <c r="E1501" i="1"/>
  <c r="M1500" i="1"/>
  <c r="I1500" i="1"/>
  <c r="M1499" i="1"/>
  <c r="I1499" i="1"/>
  <c r="E1499" i="1"/>
  <c r="M1498" i="1"/>
  <c r="I1498" i="1"/>
  <c r="E1498" i="1"/>
  <c r="M1497" i="1"/>
  <c r="I1497" i="1"/>
  <c r="E1497" i="1"/>
  <c r="M1496" i="1"/>
  <c r="I1496" i="1"/>
  <c r="E1496" i="1"/>
  <c r="M1495" i="1"/>
  <c r="I1495" i="1"/>
  <c r="E1495" i="1"/>
  <c r="M1494" i="1"/>
  <c r="I1494" i="1"/>
  <c r="E1494" i="1"/>
  <c r="M1493" i="1"/>
  <c r="I1493" i="1"/>
  <c r="E1493" i="1"/>
  <c r="M1492" i="1"/>
  <c r="I1492" i="1"/>
  <c r="E1492" i="1"/>
  <c r="M1490" i="1"/>
  <c r="I1490" i="1"/>
  <c r="E1490" i="1"/>
  <c r="M1489" i="1"/>
  <c r="I1489" i="1"/>
  <c r="E1489" i="1"/>
  <c r="M1488" i="1"/>
  <c r="I1488" i="1"/>
  <c r="E1488" i="1"/>
  <c r="M1484" i="1"/>
  <c r="I1484" i="1"/>
  <c r="E1484" i="1"/>
  <c r="M1483" i="1"/>
  <c r="I1483" i="1"/>
  <c r="E1483" i="1"/>
  <c r="M1482" i="1"/>
  <c r="I1482" i="1"/>
  <c r="E1482" i="1"/>
  <c r="M1481" i="1"/>
  <c r="I1481" i="1"/>
  <c r="E1481" i="1"/>
  <c r="M1480" i="1"/>
  <c r="I1480" i="1"/>
  <c r="E1480" i="1"/>
  <c r="M1479" i="1"/>
  <c r="I1479" i="1"/>
  <c r="E1479" i="1"/>
  <c r="M1477" i="1"/>
  <c r="I1477" i="1"/>
  <c r="E1477" i="1"/>
  <c r="N1477" i="1" s="1"/>
  <c r="M1476" i="1"/>
  <c r="I1476" i="1"/>
  <c r="E1476" i="1"/>
  <c r="N1476" i="1" s="1"/>
  <c r="M1475" i="1"/>
  <c r="I1475" i="1"/>
  <c r="E1475" i="1"/>
  <c r="N1475" i="1" s="1"/>
  <c r="M1474" i="1"/>
  <c r="I1474" i="1"/>
  <c r="E1474" i="1"/>
  <c r="N1474" i="1" s="1"/>
  <c r="M1473" i="1"/>
  <c r="I1473" i="1"/>
  <c r="E1473" i="1"/>
  <c r="N1473" i="1" s="1"/>
  <c r="M1472" i="1"/>
  <c r="I1472" i="1"/>
  <c r="E1472" i="1"/>
  <c r="N1472" i="1" s="1"/>
  <c r="M1471" i="1"/>
  <c r="I1471" i="1"/>
  <c r="M1470" i="1"/>
  <c r="I1470" i="1"/>
  <c r="E1470" i="1"/>
  <c r="M1469" i="1"/>
  <c r="I1469" i="1"/>
  <c r="E1469" i="1"/>
  <c r="M1468" i="1"/>
  <c r="I1468" i="1"/>
  <c r="E1468" i="1"/>
  <c r="T1387" i="1"/>
  <c r="X1387" i="1"/>
  <c r="AB1387" i="1"/>
  <c r="T1388" i="1"/>
  <c r="X1388" i="1"/>
  <c r="AB1388" i="1"/>
  <c r="T1389" i="1"/>
  <c r="X1389" i="1"/>
  <c r="AB1389" i="1"/>
  <c r="T1406" i="1"/>
  <c r="X1406" i="1"/>
  <c r="AB1406" i="1"/>
  <c r="T1416" i="1"/>
  <c r="X1415" i="1"/>
  <c r="T1415" i="1"/>
  <c r="T1414" i="1"/>
  <c r="AB1413" i="1"/>
  <c r="X1413" i="1"/>
  <c r="T1413" i="1"/>
  <c r="T1459" i="1"/>
  <c r="AB1458" i="1"/>
  <c r="X1458" i="1"/>
  <c r="T1458" i="1"/>
  <c r="T1430" i="1"/>
  <c r="X1430" i="1"/>
  <c r="AB1430" i="1"/>
  <c r="AA1503" i="1"/>
  <c r="Y1503" i="1"/>
  <c r="U1503" i="1"/>
  <c r="S1503" i="1"/>
  <c r="Q1503" i="1"/>
  <c r="AB1493" i="1"/>
  <c r="X1493" i="1"/>
  <c r="T1493" i="1"/>
  <c r="AB1492" i="1"/>
  <c r="X1492" i="1"/>
  <c r="T1492" i="1"/>
  <c r="AB1491" i="1"/>
  <c r="X1491" i="1"/>
  <c r="T1491" i="1"/>
  <c r="AB1490" i="1"/>
  <c r="X1490" i="1"/>
  <c r="T1490" i="1"/>
  <c r="AC1490" i="1" s="1"/>
  <c r="AB1489" i="1"/>
  <c r="X1489" i="1"/>
  <c r="T1489" i="1"/>
  <c r="AB1488" i="1"/>
  <c r="X1488" i="1"/>
  <c r="T1488" i="1"/>
  <c r="AB1487" i="1"/>
  <c r="X1487" i="1"/>
  <c r="T1487" i="1"/>
  <c r="AB1486" i="1"/>
  <c r="X1486" i="1"/>
  <c r="T1486" i="1"/>
  <c r="AC1486" i="1" s="1"/>
  <c r="AB1485" i="1"/>
  <c r="X1485" i="1"/>
  <c r="T1485" i="1"/>
  <c r="AB1484" i="1"/>
  <c r="X1484" i="1"/>
  <c r="T1484" i="1"/>
  <c r="AC1484" i="1" s="1"/>
  <c r="AB1483" i="1"/>
  <c r="X1483" i="1"/>
  <c r="T1483" i="1"/>
  <c r="AB1482" i="1"/>
  <c r="X1482" i="1"/>
  <c r="T1482" i="1"/>
  <c r="AC1482" i="1" s="1"/>
  <c r="AB1481" i="1"/>
  <c r="X1481" i="1"/>
  <c r="T1481" i="1"/>
  <c r="AB1480" i="1"/>
  <c r="X1480" i="1"/>
  <c r="T1480" i="1"/>
  <c r="AC1480" i="1" s="1"/>
  <c r="AB1479" i="1"/>
  <c r="X1479" i="1"/>
  <c r="T1479" i="1"/>
  <c r="AB1477" i="1"/>
  <c r="X1477" i="1"/>
  <c r="AC1477" i="1" s="1"/>
  <c r="T1477" i="1"/>
  <c r="AB1476" i="1"/>
  <c r="X1476" i="1"/>
  <c r="AC1476" i="1" s="1"/>
  <c r="T1476" i="1"/>
  <c r="AB1475" i="1"/>
  <c r="X1475" i="1"/>
  <c r="AC1475" i="1" s="1"/>
  <c r="T1475" i="1"/>
  <c r="AB1474" i="1"/>
  <c r="X1474" i="1"/>
  <c r="AC1474" i="1" s="1"/>
  <c r="T1474" i="1"/>
  <c r="AB1473" i="1"/>
  <c r="X1473" i="1"/>
  <c r="AC1473" i="1" s="1"/>
  <c r="T1473" i="1"/>
  <c r="AB1472" i="1"/>
  <c r="X1472" i="1"/>
  <c r="AC1472" i="1" s="1"/>
  <c r="T1472" i="1"/>
  <c r="AB1469" i="1"/>
  <c r="X1469" i="1"/>
  <c r="AC1469" i="1" s="1"/>
  <c r="T1469" i="1"/>
  <c r="AB1468" i="1"/>
  <c r="X1468" i="1"/>
  <c r="AC1468" i="1" s="1"/>
  <c r="T1468" i="1"/>
  <c r="AB1311" i="1"/>
  <c r="X1311" i="1"/>
  <c r="AC1311" i="1" s="1"/>
  <c r="T1311" i="1"/>
  <c r="AB1310" i="1"/>
  <c r="X1310" i="1"/>
  <c r="T1310" i="1"/>
  <c r="AC1310" i="1" s="1"/>
  <c r="C1272" i="1"/>
  <c r="AA1331" i="1"/>
  <c r="X1285" i="1"/>
  <c r="T1278" i="1"/>
  <c r="X1278" i="1"/>
  <c r="AB1278" i="1"/>
  <c r="T1279" i="1"/>
  <c r="X1279" i="1"/>
  <c r="AB1279" i="1"/>
  <c r="AB1277" i="1"/>
  <c r="X1277" i="1"/>
  <c r="T1277" i="1"/>
  <c r="AC1277" i="1" s="1"/>
  <c r="AB1276" i="1"/>
  <c r="X1276" i="1"/>
  <c r="T1276" i="1"/>
  <c r="AB1275" i="1"/>
  <c r="X1275" i="1"/>
  <c r="T1275" i="1"/>
  <c r="AC1275" i="1" s="1"/>
  <c r="AB1274" i="1"/>
  <c r="X1274" i="1"/>
  <c r="T1274" i="1"/>
  <c r="AB1273" i="1"/>
  <c r="X1273" i="1"/>
  <c r="T1273" i="1"/>
  <c r="AC1273" i="1" s="1"/>
  <c r="AB1272" i="1"/>
  <c r="X1272" i="1"/>
  <c r="T1272" i="1"/>
  <c r="AB1271" i="1"/>
  <c r="X1271" i="1"/>
  <c r="T1271" i="1"/>
  <c r="AC1271" i="1" s="1"/>
  <c r="AB1270" i="1"/>
  <c r="X1270" i="1"/>
  <c r="T1270" i="1"/>
  <c r="AB1269" i="1"/>
  <c r="X1269" i="1"/>
  <c r="T1269" i="1"/>
  <c r="AC1269" i="1" s="1"/>
  <c r="AB1268" i="1"/>
  <c r="X1268" i="1"/>
  <c r="T1268" i="1"/>
  <c r="AB1267" i="1"/>
  <c r="X1267" i="1"/>
  <c r="T1267" i="1"/>
  <c r="AC1267" i="1" s="1"/>
  <c r="AB1266" i="1"/>
  <c r="X1266" i="1"/>
  <c r="T1266" i="1"/>
  <c r="AB1265" i="1"/>
  <c r="X1265" i="1"/>
  <c r="T1265" i="1"/>
  <c r="AC1265" i="1" s="1"/>
  <c r="AB1264" i="1"/>
  <c r="X1264" i="1"/>
  <c r="T1264" i="1"/>
  <c r="AB1234" i="1"/>
  <c r="X1234" i="1"/>
  <c r="T1234" i="1"/>
  <c r="AC1234" i="1" s="1"/>
  <c r="AB1233" i="1"/>
  <c r="X1233" i="1"/>
  <c r="T1233" i="1"/>
  <c r="AB1232" i="1"/>
  <c r="X1232" i="1"/>
  <c r="T1232" i="1"/>
  <c r="AC1232" i="1" s="1"/>
  <c r="AB1231" i="1"/>
  <c r="X1231" i="1"/>
  <c r="T1231" i="1"/>
  <c r="AB1230" i="1"/>
  <c r="X1230" i="1"/>
  <c r="T1230" i="1"/>
  <c r="AC1230" i="1" s="1"/>
  <c r="AB1229" i="1"/>
  <c r="X1229" i="1"/>
  <c r="T1229" i="1"/>
  <c r="AB1228" i="1"/>
  <c r="X1228" i="1"/>
  <c r="T1228" i="1"/>
  <c r="AC1228" i="1" s="1"/>
  <c r="AB1227" i="1"/>
  <c r="X1227" i="1"/>
  <c r="T1227" i="1"/>
  <c r="AB1226" i="1"/>
  <c r="X1226" i="1"/>
  <c r="T1226" i="1"/>
  <c r="AC1226" i="1" s="1"/>
  <c r="AB1225" i="1"/>
  <c r="X1225" i="1"/>
  <c r="T1225" i="1"/>
  <c r="AB1224" i="1"/>
  <c r="X1224" i="1"/>
  <c r="T1224" i="1"/>
  <c r="AC1224" i="1" s="1"/>
  <c r="AB1223" i="1"/>
  <c r="X1223" i="1"/>
  <c r="T1223" i="1"/>
  <c r="AB1222" i="1"/>
  <c r="X1222" i="1"/>
  <c r="T1222" i="1"/>
  <c r="AC1222" i="1" s="1"/>
  <c r="AB1221" i="1"/>
  <c r="X1221" i="1"/>
  <c r="T1221" i="1"/>
  <c r="AB1193" i="1"/>
  <c r="X1193" i="1"/>
  <c r="T1193" i="1"/>
  <c r="AC1193" i="1" s="1"/>
  <c r="AB1192" i="1"/>
  <c r="X1192" i="1"/>
  <c r="T1192" i="1"/>
  <c r="AB1285" i="1"/>
  <c r="X1328" i="1"/>
  <c r="X1287" i="1"/>
  <c r="T18" i="4"/>
  <c r="X18" i="4"/>
  <c r="AB18" i="4"/>
  <c r="T19" i="4"/>
  <c r="X19" i="4"/>
  <c r="AB19" i="4"/>
  <c r="M19" i="4"/>
  <c r="I19" i="4"/>
  <c r="E19" i="4"/>
  <c r="X38" i="4"/>
  <c r="AC7" i="4"/>
  <c r="X1283" i="1"/>
  <c r="E1235" i="1"/>
  <c r="I1235" i="1"/>
  <c r="M1235" i="1"/>
  <c r="G1234" i="1"/>
  <c r="I1234" i="1" s="1"/>
  <c r="E1233" i="1"/>
  <c r="I1233" i="1"/>
  <c r="M1233" i="1"/>
  <c r="M6" i="4"/>
  <c r="I6" i="4"/>
  <c r="E6" i="4"/>
  <c r="AB1240" i="1"/>
  <c r="X1240" i="1"/>
  <c r="U1245" i="1"/>
  <c r="X1242" i="1"/>
  <c r="T1235" i="1"/>
  <c r="X1235" i="1"/>
  <c r="AB1235" i="1"/>
  <c r="T1236" i="1"/>
  <c r="X1236" i="1"/>
  <c r="AB1236" i="1"/>
  <c r="T1237" i="1"/>
  <c r="X1237" i="1"/>
  <c r="AB1237" i="1"/>
  <c r="T1238" i="1"/>
  <c r="X1238" i="1"/>
  <c r="AB1238" i="1"/>
  <c r="T1239" i="1"/>
  <c r="X1239" i="1"/>
  <c r="AB1239" i="1"/>
  <c r="T1240" i="1"/>
  <c r="T1241" i="1"/>
  <c r="X1241" i="1"/>
  <c r="AB1241" i="1"/>
  <c r="T1242" i="1"/>
  <c r="AB1242" i="1"/>
  <c r="T1243" i="1"/>
  <c r="X1243" i="1"/>
  <c r="AB1243" i="1"/>
  <c r="Q1245" i="1"/>
  <c r="AB1244" i="1"/>
  <c r="AB1463" i="1"/>
  <c r="X1463" i="1"/>
  <c r="T1463" i="1"/>
  <c r="Z1245" i="1"/>
  <c r="L1460" i="1"/>
  <c r="K1460" i="1"/>
  <c r="J1460" i="1"/>
  <c r="H1460" i="1"/>
  <c r="G1460" i="1"/>
  <c r="F1460" i="1"/>
  <c r="D1460" i="1"/>
  <c r="C1460" i="1"/>
  <c r="B1460" i="1"/>
  <c r="M1459" i="1"/>
  <c r="I1459" i="1"/>
  <c r="E1459" i="1"/>
  <c r="M1458" i="1"/>
  <c r="I1458" i="1"/>
  <c r="E1458" i="1"/>
  <c r="N1458" i="1" s="1"/>
  <c r="M1457" i="1"/>
  <c r="I1457" i="1"/>
  <c r="E1457" i="1"/>
  <c r="M1456" i="1"/>
  <c r="I1456" i="1"/>
  <c r="E1456" i="1"/>
  <c r="M1455" i="1"/>
  <c r="I1455" i="1"/>
  <c r="E1455" i="1"/>
  <c r="M1454" i="1"/>
  <c r="I1454" i="1"/>
  <c r="E1454" i="1"/>
  <c r="M1453" i="1"/>
  <c r="I1453" i="1"/>
  <c r="E1453" i="1"/>
  <c r="M1452" i="1"/>
  <c r="I1452" i="1"/>
  <c r="E1452" i="1"/>
  <c r="N1452" i="1" s="1"/>
  <c r="M1451" i="1"/>
  <c r="I1451" i="1"/>
  <c r="E1451" i="1"/>
  <c r="M1450" i="1"/>
  <c r="I1450" i="1"/>
  <c r="E1450" i="1"/>
  <c r="M1449" i="1"/>
  <c r="I1449" i="1"/>
  <c r="E1449" i="1"/>
  <c r="M1448" i="1"/>
  <c r="I1448" i="1"/>
  <c r="E1448" i="1"/>
  <c r="M1447" i="1"/>
  <c r="I1447" i="1"/>
  <c r="E1447" i="1"/>
  <c r="M1446" i="1"/>
  <c r="I1446" i="1"/>
  <c r="E1446" i="1"/>
  <c r="N1446" i="1" s="1"/>
  <c r="M1445" i="1"/>
  <c r="I1445" i="1"/>
  <c r="E1445" i="1"/>
  <c r="M1444" i="1"/>
  <c r="I1444" i="1"/>
  <c r="E1444" i="1"/>
  <c r="N1444" i="1" s="1"/>
  <c r="M1443" i="1"/>
  <c r="I1443" i="1"/>
  <c r="E1443" i="1"/>
  <c r="M1442" i="1"/>
  <c r="I1442" i="1"/>
  <c r="E1442" i="1"/>
  <c r="N1442" i="1" s="1"/>
  <c r="M1441" i="1"/>
  <c r="I1441" i="1"/>
  <c r="E1441" i="1"/>
  <c r="M1440" i="1"/>
  <c r="I1440" i="1"/>
  <c r="E1440" i="1"/>
  <c r="M1439" i="1"/>
  <c r="I1439" i="1"/>
  <c r="E1439" i="1"/>
  <c r="M1436" i="1"/>
  <c r="I1436" i="1"/>
  <c r="E1436" i="1"/>
  <c r="M1434" i="1"/>
  <c r="I1434" i="1"/>
  <c r="N1434" i="1" s="1"/>
  <c r="E1434" i="1"/>
  <c r="M1433" i="1"/>
  <c r="I1433" i="1"/>
  <c r="E1433" i="1"/>
  <c r="M1432" i="1"/>
  <c r="I1432" i="1"/>
  <c r="E1432" i="1"/>
  <c r="M1431" i="1"/>
  <c r="I1431" i="1"/>
  <c r="E1431" i="1"/>
  <c r="M1430" i="1"/>
  <c r="I1430" i="1"/>
  <c r="E1430" i="1"/>
  <c r="M1429" i="1"/>
  <c r="I1429" i="1"/>
  <c r="E1429" i="1"/>
  <c r="M1428" i="1"/>
  <c r="I1428" i="1"/>
  <c r="E1428" i="1"/>
  <c r="M1427" i="1"/>
  <c r="I1427" i="1"/>
  <c r="E1427" i="1"/>
  <c r="M1426" i="1"/>
  <c r="I1426" i="1"/>
  <c r="E1426" i="1"/>
  <c r="M1425" i="1"/>
  <c r="I1425" i="1"/>
  <c r="N1425" i="1"/>
  <c r="AB1322" i="1"/>
  <c r="X1322" i="1"/>
  <c r="T1322" i="1"/>
  <c r="AA1460" i="1"/>
  <c r="Y1460" i="1"/>
  <c r="S1460" i="1"/>
  <c r="R1460" i="1"/>
  <c r="Q1460" i="1"/>
  <c r="AB1445" i="1"/>
  <c r="X1445" i="1"/>
  <c r="T1445" i="1"/>
  <c r="AB1444" i="1"/>
  <c r="X1444" i="1"/>
  <c r="T1444" i="1"/>
  <c r="AB1443" i="1"/>
  <c r="X1443" i="1"/>
  <c r="T1443" i="1"/>
  <c r="AB1442" i="1"/>
  <c r="X1442" i="1"/>
  <c r="T1442" i="1"/>
  <c r="AB1441" i="1"/>
  <c r="X1441" i="1"/>
  <c r="T1441" i="1"/>
  <c r="AB1440" i="1"/>
  <c r="X1440" i="1"/>
  <c r="T1440" i="1"/>
  <c r="AC1440" i="1" s="1"/>
  <c r="AB1439" i="1"/>
  <c r="X1439" i="1"/>
  <c r="T1439" i="1"/>
  <c r="AB1437" i="1"/>
  <c r="X1437" i="1"/>
  <c r="T1437" i="1"/>
  <c r="AB1436" i="1"/>
  <c r="X1436" i="1"/>
  <c r="T1436" i="1"/>
  <c r="AB1434" i="1"/>
  <c r="X1434" i="1"/>
  <c r="AC1434" i="1" s="1"/>
  <c r="T1434" i="1"/>
  <c r="AB1433" i="1"/>
  <c r="X1433" i="1"/>
  <c r="AC1433" i="1" s="1"/>
  <c r="T1433" i="1"/>
  <c r="AB1432" i="1"/>
  <c r="X1432" i="1"/>
  <c r="AC1432" i="1" s="1"/>
  <c r="T1432" i="1"/>
  <c r="AB1431" i="1"/>
  <c r="X1431" i="1"/>
  <c r="AC1431" i="1" s="1"/>
  <c r="T1431" i="1"/>
  <c r="AB1425" i="1"/>
  <c r="X1425" i="1"/>
  <c r="AC1425" i="1" s="1"/>
  <c r="T1425" i="1"/>
  <c r="T1280" i="1"/>
  <c r="X1280" i="1"/>
  <c r="AB1280" i="1"/>
  <c r="T1285" i="1"/>
  <c r="AB1284" i="1"/>
  <c r="X1284" i="1"/>
  <c r="T1284" i="1"/>
  <c r="AB1281" i="1"/>
  <c r="X1281" i="1"/>
  <c r="T1281" i="1"/>
  <c r="AB1282" i="1"/>
  <c r="X1282" i="1"/>
  <c r="T1282" i="1"/>
  <c r="X79" i="4"/>
  <c r="T79" i="4"/>
  <c r="AB78" i="4"/>
  <c r="AC78" i="4" s="1"/>
  <c r="X78" i="4"/>
  <c r="T78" i="4"/>
  <c r="AB38" i="4"/>
  <c r="T38" i="4"/>
  <c r="T39" i="4"/>
  <c r="X39" i="4"/>
  <c r="AB39" i="4"/>
  <c r="T40" i="4"/>
  <c r="X40" i="4"/>
  <c r="AA959" i="1"/>
  <c r="Z959" i="1"/>
  <c r="Y959" i="1"/>
  <c r="W959" i="1"/>
  <c r="V959" i="1"/>
  <c r="U959" i="1"/>
  <c r="X959" i="1" s="1"/>
  <c r="S959" i="1"/>
  <c r="R959" i="1"/>
  <c r="Q959" i="1"/>
  <c r="AB1189" i="1"/>
  <c r="X1189" i="1"/>
  <c r="T1189" i="1"/>
  <c r="E1176" i="1"/>
  <c r="I1176" i="1"/>
  <c r="I1133" i="1"/>
  <c r="E1133" i="1"/>
  <c r="M1133" i="1"/>
  <c r="E1221" i="1"/>
  <c r="I1221" i="1"/>
  <c r="M1221" i="1"/>
  <c r="N1221" i="1"/>
  <c r="M1188" i="1"/>
  <c r="I1188" i="1"/>
  <c r="E1188" i="1"/>
  <c r="M1189" i="1"/>
  <c r="I1189" i="1"/>
  <c r="N1189" i="1" s="1"/>
  <c r="E1189" i="1"/>
  <c r="AB1185" i="1"/>
  <c r="X1185" i="1"/>
  <c r="T1185" i="1"/>
  <c r="AC1185" i="1" s="1"/>
  <c r="E1187" i="1"/>
  <c r="I1187" i="1"/>
  <c r="M1187" i="1"/>
  <c r="M1223" i="1"/>
  <c r="I1223" i="1"/>
  <c r="E1223" i="1"/>
  <c r="M1222" i="1"/>
  <c r="I1222" i="1"/>
  <c r="E1222" i="1"/>
  <c r="AA385" i="1"/>
  <c r="Z385" i="1"/>
  <c r="Y385" i="1"/>
  <c r="W385" i="1"/>
  <c r="V385" i="1"/>
  <c r="U385" i="1"/>
  <c r="S385" i="1"/>
  <c r="R385" i="1"/>
  <c r="Q385" i="1"/>
  <c r="AA428" i="1"/>
  <c r="Z428" i="1"/>
  <c r="Y428" i="1"/>
  <c r="W428" i="1"/>
  <c r="V428" i="1"/>
  <c r="U428" i="1"/>
  <c r="S428" i="1"/>
  <c r="R428" i="1"/>
  <c r="Q428" i="1"/>
  <c r="AA471" i="1"/>
  <c r="Z471" i="1"/>
  <c r="Y471" i="1"/>
  <c r="W471" i="1"/>
  <c r="V471" i="1"/>
  <c r="U471" i="1"/>
  <c r="S471" i="1"/>
  <c r="R471" i="1"/>
  <c r="Q471" i="1"/>
  <c r="AA514" i="1"/>
  <c r="Z514" i="1"/>
  <c r="Y514" i="1"/>
  <c r="W514" i="1"/>
  <c r="V514" i="1"/>
  <c r="U514" i="1"/>
  <c r="S514" i="1"/>
  <c r="R514" i="1"/>
  <c r="Q514" i="1"/>
  <c r="AA557" i="1"/>
  <c r="Z557" i="1"/>
  <c r="Y557" i="1"/>
  <c r="W557" i="1"/>
  <c r="V557" i="1"/>
  <c r="U557" i="1"/>
  <c r="S557" i="1"/>
  <c r="R557" i="1"/>
  <c r="Q557" i="1"/>
  <c r="AA600" i="1"/>
  <c r="Z600" i="1"/>
  <c r="Y600" i="1"/>
  <c r="W600" i="1"/>
  <c r="V600" i="1"/>
  <c r="U600" i="1"/>
  <c r="S600" i="1"/>
  <c r="R600" i="1"/>
  <c r="Q600" i="1"/>
  <c r="Z643" i="1"/>
  <c r="R643" i="1"/>
  <c r="AA686" i="1"/>
  <c r="Z686" i="1"/>
  <c r="Y686" i="1"/>
  <c r="W686" i="1"/>
  <c r="V686" i="1"/>
  <c r="U686" i="1"/>
  <c r="S686" i="1"/>
  <c r="R686" i="1"/>
  <c r="Q686" i="1"/>
  <c r="AA729" i="1"/>
  <c r="Z729" i="1"/>
  <c r="Y729" i="1"/>
  <c r="W729" i="1"/>
  <c r="V729" i="1"/>
  <c r="U729" i="1"/>
  <c r="S729" i="1"/>
  <c r="R729" i="1"/>
  <c r="Q729" i="1"/>
  <c r="AA772" i="1"/>
  <c r="Z772" i="1"/>
  <c r="Y772" i="1"/>
  <c r="W772" i="1"/>
  <c r="V772" i="1"/>
  <c r="U772" i="1"/>
  <c r="S772" i="1"/>
  <c r="R772" i="1"/>
  <c r="Q772" i="1"/>
  <c r="AA815" i="1"/>
  <c r="Z815" i="1"/>
  <c r="Y815" i="1"/>
  <c r="W815" i="1"/>
  <c r="V815" i="1"/>
  <c r="U815" i="1"/>
  <c r="S815" i="1"/>
  <c r="R815" i="1"/>
  <c r="Q815" i="1"/>
  <c r="AA858" i="1"/>
  <c r="Z858" i="1"/>
  <c r="Y858" i="1"/>
  <c r="W858" i="1"/>
  <c r="V858" i="1"/>
  <c r="U858" i="1"/>
  <c r="S858" i="1"/>
  <c r="R858" i="1"/>
  <c r="Q858" i="1"/>
  <c r="AA901" i="1"/>
  <c r="Z901" i="1"/>
  <c r="Y901" i="1"/>
  <c r="W901" i="1"/>
  <c r="V901" i="1"/>
  <c r="U901" i="1"/>
  <c r="S901" i="1"/>
  <c r="R901" i="1"/>
  <c r="Q901" i="1"/>
  <c r="AA944" i="1"/>
  <c r="Z944" i="1"/>
  <c r="Y944" i="1"/>
  <c r="W944" i="1"/>
  <c r="V944" i="1"/>
  <c r="U944" i="1"/>
  <c r="S944" i="1"/>
  <c r="R944" i="1"/>
  <c r="Q944" i="1"/>
  <c r="AA987" i="1"/>
  <c r="Z987" i="1"/>
  <c r="Y987" i="1"/>
  <c r="W987" i="1"/>
  <c r="V987" i="1"/>
  <c r="U987" i="1"/>
  <c r="S987" i="1"/>
  <c r="R987" i="1"/>
  <c r="Q987" i="1"/>
  <c r="AA1030" i="1"/>
  <c r="Z1030" i="1"/>
  <c r="Y1030" i="1"/>
  <c r="W1030" i="1"/>
  <c r="V1030" i="1"/>
  <c r="U1030" i="1"/>
  <c r="S1030" i="1"/>
  <c r="R1030" i="1"/>
  <c r="Q1030" i="1"/>
  <c r="AA1073" i="1"/>
  <c r="Z1073" i="1"/>
  <c r="Y1073" i="1"/>
  <c r="W1073" i="1"/>
  <c r="V1073" i="1"/>
  <c r="U1073" i="1"/>
  <c r="S1073" i="1"/>
  <c r="R1073" i="1"/>
  <c r="Q1073" i="1"/>
  <c r="W1116" i="1"/>
  <c r="U1116" i="1"/>
  <c r="AA1159" i="1"/>
  <c r="Z1159" i="1"/>
  <c r="Y1159" i="1"/>
  <c r="W1159" i="1"/>
  <c r="V1159" i="1"/>
  <c r="U1159" i="1"/>
  <c r="S1159" i="1"/>
  <c r="R1159" i="1"/>
  <c r="Q1159" i="1"/>
  <c r="AA1202" i="1"/>
  <c r="Z1202" i="1"/>
  <c r="Y1202" i="1"/>
  <c r="W1202" i="1"/>
  <c r="V1202" i="1"/>
  <c r="U1202" i="1"/>
  <c r="S1202" i="1"/>
  <c r="R1202" i="1"/>
  <c r="Q1202" i="1"/>
  <c r="AA1245" i="1"/>
  <c r="S1245" i="1"/>
  <c r="R1245" i="1"/>
  <c r="AA1288" i="1"/>
  <c r="Y1288" i="1"/>
  <c r="S1288" i="1"/>
  <c r="R1288" i="1"/>
  <c r="Q1288" i="1"/>
  <c r="Y1331" i="1"/>
  <c r="S1331" i="1"/>
  <c r="R1331" i="1"/>
  <c r="Q1331" i="1"/>
  <c r="S1374" i="1"/>
  <c r="Q1374" i="1"/>
  <c r="R1417" i="1"/>
  <c r="S1417" i="1"/>
  <c r="AA1417" i="1"/>
  <c r="Q1417" i="1"/>
  <c r="T32" i="4"/>
  <c r="X32" i="4"/>
  <c r="AB32" i="4"/>
  <c r="AC32" i="4"/>
  <c r="T33" i="4"/>
  <c r="X33" i="4"/>
  <c r="AB33" i="4"/>
  <c r="AC33" i="4"/>
  <c r="T34" i="4"/>
  <c r="X34" i="4"/>
  <c r="AB34" i="4"/>
  <c r="T35" i="4"/>
  <c r="X35" i="4"/>
  <c r="AB35" i="4"/>
  <c r="T36" i="4"/>
  <c r="T37" i="4"/>
  <c r="X37" i="4"/>
  <c r="AB37" i="4"/>
  <c r="X81" i="4"/>
  <c r="T81" i="4"/>
  <c r="AB80" i="4"/>
  <c r="X80" i="4"/>
  <c r="T80" i="4"/>
  <c r="T83" i="4"/>
  <c r="AB82" i="4"/>
  <c r="X82" i="4"/>
  <c r="T82" i="4"/>
  <c r="AB1182" i="1"/>
  <c r="X1182" i="1"/>
  <c r="T1182" i="1"/>
  <c r="X1200" i="1"/>
  <c r="AB1198" i="1"/>
  <c r="X1198" i="1"/>
  <c r="AB1200" i="1"/>
  <c r="T1200" i="1"/>
  <c r="I1047" i="1"/>
  <c r="E1047" i="1"/>
  <c r="T1324" i="1"/>
  <c r="T1326" i="1"/>
  <c r="X1155" i="1"/>
  <c r="AB1155" i="1"/>
  <c r="AB1196" i="1"/>
  <c r="X1196" i="1"/>
  <c r="T1196" i="1"/>
  <c r="AB1195" i="1"/>
  <c r="X1195" i="1"/>
  <c r="T1195" i="1"/>
  <c r="J1146" i="1"/>
  <c r="F1146" i="1"/>
  <c r="I1146" i="1" s="1"/>
  <c r="B1146" i="1"/>
  <c r="AB1142" i="1"/>
  <c r="X1142" i="1"/>
  <c r="T1142" i="1"/>
  <c r="AC1142" i="1" s="1"/>
  <c r="X1113" i="1"/>
  <c r="L1417" i="1"/>
  <c r="K1417" i="1"/>
  <c r="J1417" i="1"/>
  <c r="H1417" i="1"/>
  <c r="G1417" i="1"/>
  <c r="F1417" i="1"/>
  <c r="D1417" i="1"/>
  <c r="C1417" i="1"/>
  <c r="B1417" i="1"/>
  <c r="M1416" i="1"/>
  <c r="I1416" i="1"/>
  <c r="E1416" i="1"/>
  <c r="M1415" i="1"/>
  <c r="I1415" i="1"/>
  <c r="E1415" i="1"/>
  <c r="M1414" i="1"/>
  <c r="I1414" i="1"/>
  <c r="E1414" i="1"/>
  <c r="M1413" i="1"/>
  <c r="I1413" i="1"/>
  <c r="E1413" i="1"/>
  <c r="M1412" i="1"/>
  <c r="I1412" i="1"/>
  <c r="E1412" i="1"/>
  <c r="M1411" i="1"/>
  <c r="I1411" i="1"/>
  <c r="E1411" i="1"/>
  <c r="M1410" i="1"/>
  <c r="I1410" i="1"/>
  <c r="E1410" i="1"/>
  <c r="M1409" i="1"/>
  <c r="I1409" i="1"/>
  <c r="E1409" i="1"/>
  <c r="M1408" i="1"/>
  <c r="I1408" i="1"/>
  <c r="E1408" i="1"/>
  <c r="M1407" i="1"/>
  <c r="I1407" i="1"/>
  <c r="E1407" i="1"/>
  <c r="M1406" i="1"/>
  <c r="I1406" i="1"/>
  <c r="E1406" i="1"/>
  <c r="M1405" i="1"/>
  <c r="I1405" i="1"/>
  <c r="E1405" i="1"/>
  <c r="M1404" i="1"/>
  <c r="I1404" i="1"/>
  <c r="E1404" i="1"/>
  <c r="M1403" i="1"/>
  <c r="I1403" i="1"/>
  <c r="E1403" i="1"/>
  <c r="M1402" i="1"/>
  <c r="I1402" i="1"/>
  <c r="E1402" i="1"/>
  <c r="M1401" i="1"/>
  <c r="I1401" i="1"/>
  <c r="E1401" i="1"/>
  <c r="M1400" i="1"/>
  <c r="I1400" i="1"/>
  <c r="E1400" i="1"/>
  <c r="M1399" i="1"/>
  <c r="I1399" i="1"/>
  <c r="E1399" i="1"/>
  <c r="M1398" i="1"/>
  <c r="I1398" i="1"/>
  <c r="E1398" i="1"/>
  <c r="M1397" i="1"/>
  <c r="I1397" i="1"/>
  <c r="E1397" i="1"/>
  <c r="M1396" i="1"/>
  <c r="I1396" i="1"/>
  <c r="E1396" i="1"/>
  <c r="M1395" i="1"/>
  <c r="I1395" i="1"/>
  <c r="E1395" i="1"/>
  <c r="M1394" i="1"/>
  <c r="I1394" i="1"/>
  <c r="E1394" i="1"/>
  <c r="M1393" i="1"/>
  <c r="I1393" i="1"/>
  <c r="E1393" i="1"/>
  <c r="M1391" i="1"/>
  <c r="I1391" i="1"/>
  <c r="E1391" i="1"/>
  <c r="N1391" i="1" s="1"/>
  <c r="M1390" i="1"/>
  <c r="I1390" i="1"/>
  <c r="E1390" i="1"/>
  <c r="N1390" i="1" s="1"/>
  <c r="M1389" i="1"/>
  <c r="I1389" i="1"/>
  <c r="E1389" i="1"/>
  <c r="N1389" i="1" s="1"/>
  <c r="M1388" i="1"/>
  <c r="I1388" i="1"/>
  <c r="E1388" i="1"/>
  <c r="N1388" i="1" s="1"/>
  <c r="M1387" i="1"/>
  <c r="I1387" i="1"/>
  <c r="E1387" i="1"/>
  <c r="N1387" i="1" s="1"/>
  <c r="M1386" i="1"/>
  <c r="I1386" i="1"/>
  <c r="E1386" i="1"/>
  <c r="N1386" i="1" s="1"/>
  <c r="M1385" i="1"/>
  <c r="I1385" i="1"/>
  <c r="E1385" i="1"/>
  <c r="N1385" i="1" s="1"/>
  <c r="M1384" i="1"/>
  <c r="I1384" i="1"/>
  <c r="E1384" i="1"/>
  <c r="M1383" i="1"/>
  <c r="I1383" i="1"/>
  <c r="E1383" i="1"/>
  <c r="M1382" i="1"/>
  <c r="I1382" i="1"/>
  <c r="E1382" i="1"/>
  <c r="T1342" i="1"/>
  <c r="X1342" i="1"/>
  <c r="AB1342" i="1"/>
  <c r="AB1405" i="1"/>
  <c r="X1405" i="1"/>
  <c r="T1405" i="1"/>
  <c r="AB1404" i="1"/>
  <c r="X1404" i="1"/>
  <c r="T1404" i="1"/>
  <c r="AB1403" i="1"/>
  <c r="X1403" i="1"/>
  <c r="T1403" i="1"/>
  <c r="AB1402" i="1"/>
  <c r="X1402" i="1"/>
  <c r="T1402" i="1"/>
  <c r="AB1401" i="1"/>
  <c r="X1401" i="1"/>
  <c r="T1401" i="1"/>
  <c r="AB1400" i="1"/>
  <c r="X1400" i="1"/>
  <c r="T1400" i="1"/>
  <c r="AB1399" i="1"/>
  <c r="X1399" i="1"/>
  <c r="T1399" i="1"/>
  <c r="AC1399" i="1" s="1"/>
  <c r="AB1398" i="1"/>
  <c r="X1398" i="1"/>
  <c r="T1398" i="1"/>
  <c r="AB1397" i="1"/>
  <c r="X1397" i="1"/>
  <c r="T1397" i="1"/>
  <c r="AB1396" i="1"/>
  <c r="X1396" i="1"/>
  <c r="T1396" i="1"/>
  <c r="AB1395" i="1"/>
  <c r="X1395" i="1"/>
  <c r="T1395" i="1"/>
  <c r="AC1395" i="1" s="1"/>
  <c r="AB1394" i="1"/>
  <c r="X1394" i="1"/>
  <c r="T1394" i="1"/>
  <c r="AB1393" i="1"/>
  <c r="X1393" i="1"/>
  <c r="T1393" i="1"/>
  <c r="AB1391" i="1"/>
  <c r="X1391" i="1"/>
  <c r="T1391" i="1"/>
  <c r="AC1391" i="1" s="1"/>
  <c r="AB1390" i="1"/>
  <c r="X1390" i="1"/>
  <c r="T1390" i="1"/>
  <c r="AC1390" i="1" s="1"/>
  <c r="AB1383" i="1"/>
  <c r="X1383" i="1"/>
  <c r="T1383" i="1"/>
  <c r="AC1383" i="1" s="1"/>
  <c r="AB1382" i="1"/>
  <c r="X1382" i="1"/>
  <c r="T1382" i="1"/>
  <c r="AC1382" i="1" s="1"/>
  <c r="T1321" i="1"/>
  <c r="X1321" i="1"/>
  <c r="AB1321" i="1"/>
  <c r="T1323" i="1"/>
  <c r="X1323" i="1"/>
  <c r="AB1323" i="1"/>
  <c r="AB1325" i="1"/>
  <c r="T1327" i="1"/>
  <c r="X1327" i="1"/>
  <c r="AB1327" i="1"/>
  <c r="T1328" i="1"/>
  <c r="T1329" i="1"/>
  <c r="X1329" i="1"/>
  <c r="AB1329" i="1"/>
  <c r="T1330" i="1"/>
  <c r="AB1330" i="1"/>
  <c r="T6" i="4"/>
  <c r="X6" i="4"/>
  <c r="AB6" i="4"/>
  <c r="AB51" i="4"/>
  <c r="X51" i="4"/>
  <c r="T51" i="4"/>
  <c r="T93" i="4"/>
  <c r="X93" i="4"/>
  <c r="AB93" i="4"/>
  <c r="X1158" i="1"/>
  <c r="L1374" i="1"/>
  <c r="K1374" i="1"/>
  <c r="J1374" i="1"/>
  <c r="H1374" i="1"/>
  <c r="G1374" i="1"/>
  <c r="F1374" i="1"/>
  <c r="D1374" i="1"/>
  <c r="C1374" i="1"/>
  <c r="B1374" i="1"/>
  <c r="M1373" i="1"/>
  <c r="I1373" i="1"/>
  <c r="E1373" i="1"/>
  <c r="M1372" i="1"/>
  <c r="I1372" i="1"/>
  <c r="E1372" i="1"/>
  <c r="M1371" i="1"/>
  <c r="I1371" i="1"/>
  <c r="E1371" i="1"/>
  <c r="M1370" i="1"/>
  <c r="I1370" i="1"/>
  <c r="E1370" i="1"/>
  <c r="M1369" i="1"/>
  <c r="I1369" i="1"/>
  <c r="E1369" i="1"/>
  <c r="M1368" i="1"/>
  <c r="I1368" i="1"/>
  <c r="E1368" i="1"/>
  <c r="M1367" i="1"/>
  <c r="I1367" i="1"/>
  <c r="E1367" i="1"/>
  <c r="M1366" i="1"/>
  <c r="I1366" i="1"/>
  <c r="E1366" i="1"/>
  <c r="M1365" i="1"/>
  <c r="I1365" i="1"/>
  <c r="E1365" i="1"/>
  <c r="M1364" i="1"/>
  <c r="I1364" i="1"/>
  <c r="E1364" i="1"/>
  <c r="M1363" i="1"/>
  <c r="I1363" i="1"/>
  <c r="E1363" i="1"/>
  <c r="M1362" i="1"/>
  <c r="I1362" i="1"/>
  <c r="E1362" i="1"/>
  <c r="M1361" i="1"/>
  <c r="I1361" i="1"/>
  <c r="E1361" i="1"/>
  <c r="M1360" i="1"/>
  <c r="I1360" i="1"/>
  <c r="E1360" i="1"/>
  <c r="M1359" i="1"/>
  <c r="I1359" i="1"/>
  <c r="E1359" i="1"/>
  <c r="M1358" i="1"/>
  <c r="I1358" i="1"/>
  <c r="E1358" i="1"/>
  <c r="M1357" i="1"/>
  <c r="I1357" i="1"/>
  <c r="E1357" i="1"/>
  <c r="M1355" i="1"/>
  <c r="I1355" i="1"/>
  <c r="E1355" i="1"/>
  <c r="M1354" i="1"/>
  <c r="I1354" i="1"/>
  <c r="E1354" i="1"/>
  <c r="M1353" i="1"/>
  <c r="I1353" i="1"/>
  <c r="E1353" i="1"/>
  <c r="M1352" i="1"/>
  <c r="I1352" i="1"/>
  <c r="E1352" i="1"/>
  <c r="M1351" i="1"/>
  <c r="I1351" i="1"/>
  <c r="E1351" i="1"/>
  <c r="M1350" i="1"/>
  <c r="I1350" i="1"/>
  <c r="E1350" i="1"/>
  <c r="M1348" i="1"/>
  <c r="I1348" i="1"/>
  <c r="E1348" i="1"/>
  <c r="M1347" i="1"/>
  <c r="I1347" i="1"/>
  <c r="E1347" i="1"/>
  <c r="N1347" i="1" s="1"/>
  <c r="M1346" i="1"/>
  <c r="I1346" i="1"/>
  <c r="E1346" i="1"/>
  <c r="N1346" i="1" s="1"/>
  <c r="M1345" i="1"/>
  <c r="I1345" i="1"/>
  <c r="E1345" i="1"/>
  <c r="N1345" i="1" s="1"/>
  <c r="M1344" i="1"/>
  <c r="I1344" i="1"/>
  <c r="E1344" i="1"/>
  <c r="N1344" i="1" s="1"/>
  <c r="M1343" i="1"/>
  <c r="I1343" i="1"/>
  <c r="E1343" i="1"/>
  <c r="N1343" i="1" s="1"/>
  <c r="M1342" i="1"/>
  <c r="I1342" i="1"/>
  <c r="E1342" i="1"/>
  <c r="M1341" i="1"/>
  <c r="I1341" i="1"/>
  <c r="E1341" i="1"/>
  <c r="N1341" i="1" s="1"/>
  <c r="M1340" i="1"/>
  <c r="I1340" i="1"/>
  <c r="E1340" i="1"/>
  <c r="M1339" i="1"/>
  <c r="I1339" i="1"/>
  <c r="E1339" i="1"/>
  <c r="L1331" i="1"/>
  <c r="K1331" i="1"/>
  <c r="J1331" i="1"/>
  <c r="H1331" i="1"/>
  <c r="G1331" i="1"/>
  <c r="F1331" i="1"/>
  <c r="D1331" i="1"/>
  <c r="C1331" i="1"/>
  <c r="B1331" i="1"/>
  <c r="M1330" i="1"/>
  <c r="I1330" i="1"/>
  <c r="E1330" i="1"/>
  <c r="M1329" i="1"/>
  <c r="I1329" i="1"/>
  <c r="E1329" i="1"/>
  <c r="M1328" i="1"/>
  <c r="I1328" i="1"/>
  <c r="E1328" i="1"/>
  <c r="M1327" i="1"/>
  <c r="I1327" i="1"/>
  <c r="E1327" i="1"/>
  <c r="M1326" i="1"/>
  <c r="I1326" i="1"/>
  <c r="E1326" i="1"/>
  <c r="M1325" i="1"/>
  <c r="I1325" i="1"/>
  <c r="E1325" i="1"/>
  <c r="M1324" i="1"/>
  <c r="I1324" i="1"/>
  <c r="E1324" i="1"/>
  <c r="M1323" i="1"/>
  <c r="I1323" i="1"/>
  <c r="E1323" i="1"/>
  <c r="M1322" i="1"/>
  <c r="I1322" i="1"/>
  <c r="E1322" i="1"/>
  <c r="M1321" i="1"/>
  <c r="I1321" i="1"/>
  <c r="E1321" i="1"/>
  <c r="M1320" i="1"/>
  <c r="I1320" i="1"/>
  <c r="E1320" i="1"/>
  <c r="M1319" i="1"/>
  <c r="I1319" i="1"/>
  <c r="E1319" i="1"/>
  <c r="M1318" i="1"/>
  <c r="I1318" i="1"/>
  <c r="E1318" i="1"/>
  <c r="M1317" i="1"/>
  <c r="I1317" i="1"/>
  <c r="E1317" i="1"/>
  <c r="M1316" i="1"/>
  <c r="I1316" i="1"/>
  <c r="E1316" i="1"/>
  <c r="M1315" i="1"/>
  <c r="I1315" i="1"/>
  <c r="E1315" i="1"/>
  <c r="M1314" i="1"/>
  <c r="I1314" i="1"/>
  <c r="E1314" i="1"/>
  <c r="M1313" i="1"/>
  <c r="I1313" i="1"/>
  <c r="E1313" i="1"/>
  <c r="M1312" i="1"/>
  <c r="I1312" i="1"/>
  <c r="E1312" i="1"/>
  <c r="M1311" i="1"/>
  <c r="I1311" i="1"/>
  <c r="E1311" i="1"/>
  <c r="M1310" i="1"/>
  <c r="I1310" i="1"/>
  <c r="E1310" i="1"/>
  <c r="M1309" i="1"/>
  <c r="I1309" i="1"/>
  <c r="E1309" i="1"/>
  <c r="M1308" i="1"/>
  <c r="I1308" i="1"/>
  <c r="E1308" i="1"/>
  <c r="M1307" i="1"/>
  <c r="I1307" i="1"/>
  <c r="E1307" i="1"/>
  <c r="M1305" i="1"/>
  <c r="I1305" i="1"/>
  <c r="N1305" i="1" s="1"/>
  <c r="E1305" i="1"/>
  <c r="M1304" i="1"/>
  <c r="I1304" i="1"/>
  <c r="N1304" i="1" s="1"/>
  <c r="E1304" i="1"/>
  <c r="M1303" i="1"/>
  <c r="I1303" i="1"/>
  <c r="N1303" i="1" s="1"/>
  <c r="E1303" i="1"/>
  <c r="M1302" i="1"/>
  <c r="I1302" i="1"/>
  <c r="N1302" i="1" s="1"/>
  <c r="E1302" i="1"/>
  <c r="M1301" i="1"/>
  <c r="I1301" i="1"/>
  <c r="N1301" i="1" s="1"/>
  <c r="E1301" i="1"/>
  <c r="M1300" i="1"/>
  <c r="I1300" i="1"/>
  <c r="N1300" i="1" s="1"/>
  <c r="E1300" i="1"/>
  <c r="M1299" i="1"/>
  <c r="I1299" i="1"/>
  <c r="N1299" i="1" s="1"/>
  <c r="E1299" i="1"/>
  <c r="M1298" i="1"/>
  <c r="I1298" i="1"/>
  <c r="E1298" i="1"/>
  <c r="M1297" i="1"/>
  <c r="I1297" i="1"/>
  <c r="E1297" i="1"/>
  <c r="M1296" i="1"/>
  <c r="I1296" i="1"/>
  <c r="E1296" i="1"/>
  <c r="T1197" i="1"/>
  <c r="X1197" i="1"/>
  <c r="AB1197" i="1"/>
  <c r="T1198" i="1"/>
  <c r="T1199" i="1"/>
  <c r="X1199" i="1"/>
  <c r="AB1199" i="1"/>
  <c r="AB1158" i="1"/>
  <c r="T1158" i="1"/>
  <c r="AB1157" i="1"/>
  <c r="X1157" i="1"/>
  <c r="T1157" i="1"/>
  <c r="AB1156" i="1"/>
  <c r="X1156" i="1"/>
  <c r="T1156" i="1"/>
  <c r="T1155" i="1"/>
  <c r="AB1154" i="1"/>
  <c r="X1154" i="1"/>
  <c r="T1154" i="1"/>
  <c r="AB1153" i="1"/>
  <c r="X1153" i="1"/>
  <c r="T1153" i="1"/>
  <c r="AC1153" i="1" s="1"/>
  <c r="AB1152" i="1"/>
  <c r="X1152" i="1"/>
  <c r="T1152" i="1"/>
  <c r="T1283" i="1"/>
  <c r="AB1283" i="1"/>
  <c r="T1287" i="1"/>
  <c r="AB1286" i="1"/>
  <c r="X1286" i="1"/>
  <c r="T1286" i="1"/>
  <c r="T1299" i="1"/>
  <c r="X1299" i="1"/>
  <c r="AB1299" i="1"/>
  <c r="T1300" i="1"/>
  <c r="X1300" i="1"/>
  <c r="AB1300" i="1"/>
  <c r="AB1362" i="1"/>
  <c r="X1362" i="1"/>
  <c r="T1362" i="1"/>
  <c r="AC1362" i="1" s="1"/>
  <c r="AB1361" i="1"/>
  <c r="X1361" i="1"/>
  <c r="T1361" i="1"/>
  <c r="AB1360" i="1"/>
  <c r="X1360" i="1"/>
  <c r="T1360" i="1"/>
  <c r="AB1359" i="1"/>
  <c r="X1359" i="1"/>
  <c r="T1359" i="1"/>
  <c r="AB1358" i="1"/>
  <c r="X1358" i="1"/>
  <c r="T1358" i="1"/>
  <c r="AC1358" i="1" s="1"/>
  <c r="AB1357" i="1"/>
  <c r="X1357" i="1"/>
  <c r="T1357" i="1"/>
  <c r="AB1356" i="1"/>
  <c r="X1356" i="1"/>
  <c r="T1356" i="1"/>
  <c r="AB1355" i="1"/>
  <c r="X1355" i="1"/>
  <c r="T1355" i="1"/>
  <c r="AB1354" i="1"/>
  <c r="X1354" i="1"/>
  <c r="T1354" i="1"/>
  <c r="AC1354" i="1" s="1"/>
  <c r="AB1353" i="1"/>
  <c r="X1353" i="1"/>
  <c r="T1353" i="1"/>
  <c r="AB1352" i="1"/>
  <c r="X1352" i="1"/>
  <c r="T1352" i="1"/>
  <c r="AB1351" i="1"/>
  <c r="X1351" i="1"/>
  <c r="T1351" i="1"/>
  <c r="AB1350" i="1"/>
  <c r="X1350" i="1"/>
  <c r="T1350" i="1"/>
  <c r="AB1348" i="1"/>
  <c r="X1348" i="1"/>
  <c r="T1348" i="1"/>
  <c r="AC1348" i="1" s="1"/>
  <c r="AB1347" i="1"/>
  <c r="X1347" i="1"/>
  <c r="T1347" i="1"/>
  <c r="AC1347" i="1" s="1"/>
  <c r="AB1346" i="1"/>
  <c r="X1346" i="1"/>
  <c r="T1346" i="1"/>
  <c r="AC1346" i="1" s="1"/>
  <c r="AB1345" i="1"/>
  <c r="X1345" i="1"/>
  <c r="T1345" i="1"/>
  <c r="AC1345" i="1" s="1"/>
  <c r="AB1344" i="1"/>
  <c r="X1344" i="1"/>
  <c r="T1344" i="1"/>
  <c r="AC1344" i="1" s="1"/>
  <c r="AB1343" i="1"/>
  <c r="X1343" i="1"/>
  <c r="T1343" i="1"/>
  <c r="AC1343" i="1" s="1"/>
  <c r="AB1341" i="1"/>
  <c r="X1341" i="1"/>
  <c r="T1341" i="1"/>
  <c r="AC1341" i="1" s="1"/>
  <c r="AB1340" i="1"/>
  <c r="X1340" i="1"/>
  <c r="T1340" i="1"/>
  <c r="AB1339" i="1"/>
  <c r="X1339" i="1"/>
  <c r="AC1339" i="1" s="1"/>
  <c r="T1339" i="1"/>
  <c r="T1256" i="1"/>
  <c r="X1256" i="1"/>
  <c r="AB1256" i="1"/>
  <c r="T1298" i="1"/>
  <c r="X1298" i="1"/>
  <c r="AB1298" i="1"/>
  <c r="AB1320" i="1"/>
  <c r="X1320" i="1"/>
  <c r="T1320" i="1"/>
  <c r="AB1319" i="1"/>
  <c r="X1319" i="1"/>
  <c r="T1319" i="1"/>
  <c r="AB1318" i="1"/>
  <c r="X1318" i="1"/>
  <c r="T1318" i="1"/>
  <c r="AB1317" i="1"/>
  <c r="X1317" i="1"/>
  <c r="T1317" i="1"/>
  <c r="AB1316" i="1"/>
  <c r="X1316" i="1"/>
  <c r="T1316" i="1"/>
  <c r="AB1315" i="1"/>
  <c r="X1315" i="1"/>
  <c r="T1315" i="1"/>
  <c r="AB1314" i="1"/>
  <c r="X1314" i="1"/>
  <c r="T1314" i="1"/>
  <c r="AB1313" i="1"/>
  <c r="X1313" i="1"/>
  <c r="T1313" i="1"/>
  <c r="AB1312" i="1"/>
  <c r="X1312" i="1"/>
  <c r="T1312" i="1"/>
  <c r="AC1312" i="1" s="1"/>
  <c r="AB1309" i="1"/>
  <c r="X1309" i="1"/>
  <c r="T1309" i="1"/>
  <c r="AB1308" i="1"/>
  <c r="X1308" i="1"/>
  <c r="T1308" i="1"/>
  <c r="AC1308" i="1" s="1"/>
  <c r="AB1307" i="1"/>
  <c r="X1307" i="1"/>
  <c r="T1307" i="1"/>
  <c r="AB1305" i="1"/>
  <c r="X1305" i="1"/>
  <c r="AC1305" i="1" s="1"/>
  <c r="T1305" i="1"/>
  <c r="AB1304" i="1"/>
  <c r="X1304" i="1"/>
  <c r="AC1304" i="1" s="1"/>
  <c r="T1304" i="1"/>
  <c r="AB1303" i="1"/>
  <c r="X1303" i="1"/>
  <c r="AC1303" i="1" s="1"/>
  <c r="T1303" i="1"/>
  <c r="AB1302" i="1"/>
  <c r="X1302" i="1"/>
  <c r="AC1302" i="1" s="1"/>
  <c r="T1302" i="1"/>
  <c r="AB1301" i="1"/>
  <c r="X1301" i="1"/>
  <c r="AC1301" i="1" s="1"/>
  <c r="T1301" i="1"/>
  <c r="AB1297" i="1"/>
  <c r="X1297" i="1"/>
  <c r="AC1297" i="1" s="1"/>
  <c r="T1297" i="1"/>
  <c r="AB1296" i="1"/>
  <c r="X1296" i="1"/>
  <c r="AC1296" i="1" s="1"/>
  <c r="T1296" i="1"/>
  <c r="AB1108" i="1"/>
  <c r="X1108" i="1"/>
  <c r="T1108" i="1"/>
  <c r="AC1108" i="1" s="1"/>
  <c r="AB1201" i="1"/>
  <c r="X1201" i="1"/>
  <c r="T1201" i="1"/>
  <c r="AB1104" i="1"/>
  <c r="X1104" i="1"/>
  <c r="T1104" i="1"/>
  <c r="AC1104" i="1" s="1"/>
  <c r="L1104" i="1"/>
  <c r="H1104" i="1"/>
  <c r="H1116" i="1" s="1"/>
  <c r="AB1115" i="1"/>
  <c r="M1083" i="1"/>
  <c r="I1083" i="1"/>
  <c r="E1083" i="1"/>
  <c r="AB1100" i="1"/>
  <c r="X1100" i="1"/>
  <c r="T1100" i="1"/>
  <c r="T1151" i="1"/>
  <c r="X1151" i="1"/>
  <c r="AB1151" i="1"/>
  <c r="L1288" i="1"/>
  <c r="K1288" i="1"/>
  <c r="J1288" i="1"/>
  <c r="H1288" i="1"/>
  <c r="G1288" i="1"/>
  <c r="F1288" i="1"/>
  <c r="D1288" i="1"/>
  <c r="C1288" i="1"/>
  <c r="B1288" i="1"/>
  <c r="M1287" i="1"/>
  <c r="I1287" i="1"/>
  <c r="E1287" i="1"/>
  <c r="N1287" i="1" s="1"/>
  <c r="M1286" i="1"/>
  <c r="I1286" i="1"/>
  <c r="E1286" i="1"/>
  <c r="M1285" i="1"/>
  <c r="I1285" i="1"/>
  <c r="E1285" i="1"/>
  <c r="M1284" i="1"/>
  <c r="I1284" i="1"/>
  <c r="E1284" i="1"/>
  <c r="M1283" i="1"/>
  <c r="I1283" i="1"/>
  <c r="E1283" i="1"/>
  <c r="M1282" i="1"/>
  <c r="I1282" i="1"/>
  <c r="E1282" i="1"/>
  <c r="M1281" i="1"/>
  <c r="I1281" i="1"/>
  <c r="E1281" i="1"/>
  <c r="M1280" i="1"/>
  <c r="I1280" i="1"/>
  <c r="E1280" i="1"/>
  <c r="M1279" i="1"/>
  <c r="I1279" i="1"/>
  <c r="E1279" i="1"/>
  <c r="N1279" i="1" s="1"/>
  <c r="M1278" i="1"/>
  <c r="I1278" i="1"/>
  <c r="E1278" i="1"/>
  <c r="M1277" i="1"/>
  <c r="I1277" i="1"/>
  <c r="E1277" i="1"/>
  <c r="M1276" i="1"/>
  <c r="I1276" i="1"/>
  <c r="E1276" i="1"/>
  <c r="M1275" i="1"/>
  <c r="I1275" i="1"/>
  <c r="E1275" i="1"/>
  <c r="N1275" i="1" s="1"/>
  <c r="M1274" i="1"/>
  <c r="I1274" i="1"/>
  <c r="E1274" i="1"/>
  <c r="M1273" i="1"/>
  <c r="I1273" i="1"/>
  <c r="E1273" i="1"/>
  <c r="M1272" i="1"/>
  <c r="I1272" i="1"/>
  <c r="E1272" i="1"/>
  <c r="M1271" i="1"/>
  <c r="I1271" i="1"/>
  <c r="E1271" i="1"/>
  <c r="M1270" i="1"/>
  <c r="I1270" i="1"/>
  <c r="E1270" i="1"/>
  <c r="M1269" i="1"/>
  <c r="I1269" i="1"/>
  <c r="E1269" i="1"/>
  <c r="M1268" i="1"/>
  <c r="I1268" i="1"/>
  <c r="E1268" i="1"/>
  <c r="M1267" i="1"/>
  <c r="I1267" i="1"/>
  <c r="E1267" i="1"/>
  <c r="N1267" i="1" s="1"/>
  <c r="M1266" i="1"/>
  <c r="I1266" i="1"/>
  <c r="E1266" i="1"/>
  <c r="M1265" i="1"/>
  <c r="I1265" i="1"/>
  <c r="E1265" i="1"/>
  <c r="M1264" i="1"/>
  <c r="I1264" i="1"/>
  <c r="E1264" i="1"/>
  <c r="M1262" i="1"/>
  <c r="I1262" i="1"/>
  <c r="E1262" i="1"/>
  <c r="N1262" i="1" s="1"/>
  <c r="M1261" i="1"/>
  <c r="I1261" i="1"/>
  <c r="E1261" i="1"/>
  <c r="M1260" i="1"/>
  <c r="I1260" i="1"/>
  <c r="E1260" i="1"/>
  <c r="N1260" i="1" s="1"/>
  <c r="M1259" i="1"/>
  <c r="I1259" i="1"/>
  <c r="E1259" i="1"/>
  <c r="M1258" i="1"/>
  <c r="I1258" i="1"/>
  <c r="E1258" i="1"/>
  <c r="M1257" i="1"/>
  <c r="I1257" i="1"/>
  <c r="E1257" i="1"/>
  <c r="M1256" i="1"/>
  <c r="I1256" i="1"/>
  <c r="E1256" i="1"/>
  <c r="M1255" i="1"/>
  <c r="I1255" i="1"/>
  <c r="E1255" i="1"/>
  <c r="M1254" i="1"/>
  <c r="I1254" i="1"/>
  <c r="E1254" i="1"/>
  <c r="N1254" i="1" s="1"/>
  <c r="M1253" i="1"/>
  <c r="I1253" i="1"/>
  <c r="E1253" i="1"/>
  <c r="T1212" i="1"/>
  <c r="X1212" i="1"/>
  <c r="AB1212" i="1"/>
  <c r="AC1212" i="1" s="1"/>
  <c r="T1213" i="1"/>
  <c r="X1213" i="1"/>
  <c r="AB1213" i="1"/>
  <c r="AC1213" i="1"/>
  <c r="T1149" i="1"/>
  <c r="X1149" i="1"/>
  <c r="AB1149" i="1"/>
  <c r="T1150" i="1"/>
  <c r="X1150" i="1"/>
  <c r="AB1150" i="1"/>
  <c r="AB1262" i="1"/>
  <c r="X1262" i="1"/>
  <c r="T1262" i="1"/>
  <c r="AC1262" i="1" s="1"/>
  <c r="AB1261" i="1"/>
  <c r="X1261" i="1"/>
  <c r="T1261" i="1"/>
  <c r="AB1260" i="1"/>
  <c r="X1260" i="1"/>
  <c r="T1260" i="1"/>
  <c r="AB1259" i="1"/>
  <c r="X1259" i="1"/>
  <c r="T1259" i="1"/>
  <c r="AB1258" i="1"/>
  <c r="X1258" i="1"/>
  <c r="T1258" i="1"/>
  <c r="AC1258" i="1" s="1"/>
  <c r="AB1257" i="1"/>
  <c r="X1257" i="1"/>
  <c r="T1257" i="1"/>
  <c r="AB1255" i="1"/>
  <c r="X1255" i="1"/>
  <c r="T1255" i="1"/>
  <c r="AB1254" i="1"/>
  <c r="X1254" i="1"/>
  <c r="T1254" i="1"/>
  <c r="AB1253" i="1"/>
  <c r="X1253" i="1"/>
  <c r="AC1253" i="1" s="1"/>
  <c r="T1253" i="1"/>
  <c r="AA1111" i="1"/>
  <c r="AA1116" i="1" s="1"/>
  <c r="Z1111" i="1"/>
  <c r="Z1116" i="1" s="1"/>
  <c r="Y1111" i="1"/>
  <c r="Y1116" i="1" s="1"/>
  <c r="W1111" i="1"/>
  <c r="V1111" i="1"/>
  <c r="V1116" i="1" s="1"/>
  <c r="U1111" i="1"/>
  <c r="S1111" i="1"/>
  <c r="S1116" i="1" s="1"/>
  <c r="R1111" i="1"/>
  <c r="R1116" i="1" s="1"/>
  <c r="Q1111" i="1"/>
  <c r="T1111" i="1" s="1"/>
  <c r="AB1096" i="1"/>
  <c r="X1096" i="1"/>
  <c r="T1096" i="1"/>
  <c r="X1072" i="1"/>
  <c r="AB1072" i="1"/>
  <c r="M1041" i="1"/>
  <c r="I1041" i="1"/>
  <c r="E1041" i="1"/>
  <c r="M1040" i="1"/>
  <c r="I1040" i="1"/>
  <c r="E1040" i="1"/>
  <c r="AB1026" i="1"/>
  <c r="X1027" i="1"/>
  <c r="AB1066" i="1"/>
  <c r="X1066" i="1"/>
  <c r="J1054" i="1"/>
  <c r="J1073" i="1" s="1"/>
  <c r="F1054" i="1"/>
  <c r="B1054" i="1"/>
  <c r="B1073" i="1" s="1"/>
  <c r="AB1054" i="1"/>
  <c r="X1054" i="1"/>
  <c r="AC1054" i="1" s="1"/>
  <c r="T1054" i="1"/>
  <c r="X1065" i="1"/>
  <c r="E1039" i="1"/>
  <c r="I1039" i="1"/>
  <c r="M1039" i="1"/>
  <c r="M998" i="1"/>
  <c r="I998" i="1"/>
  <c r="E998" i="1"/>
  <c r="N998" i="1" s="1"/>
  <c r="T1148" i="1"/>
  <c r="X1148" i="1"/>
  <c r="AB1148" i="1"/>
  <c r="AB1111" i="1"/>
  <c r="L1245" i="1"/>
  <c r="K1245" i="1"/>
  <c r="J1245" i="1"/>
  <c r="H1245" i="1"/>
  <c r="F1245" i="1"/>
  <c r="D1245" i="1"/>
  <c r="C1245" i="1"/>
  <c r="B1245" i="1"/>
  <c r="M1244" i="1"/>
  <c r="I1244" i="1"/>
  <c r="E1244" i="1"/>
  <c r="M1243" i="1"/>
  <c r="I1243" i="1"/>
  <c r="E1243" i="1"/>
  <c r="M1242" i="1"/>
  <c r="I1242" i="1"/>
  <c r="E1242" i="1"/>
  <c r="M1241" i="1"/>
  <c r="I1241" i="1"/>
  <c r="E1241" i="1"/>
  <c r="M1240" i="1"/>
  <c r="I1240" i="1"/>
  <c r="E1240" i="1"/>
  <c r="M1239" i="1"/>
  <c r="I1239" i="1"/>
  <c r="E1239" i="1"/>
  <c r="M1238" i="1"/>
  <c r="I1238" i="1"/>
  <c r="E1238" i="1"/>
  <c r="M1237" i="1"/>
  <c r="I1237" i="1"/>
  <c r="E1237" i="1"/>
  <c r="M1236" i="1"/>
  <c r="I1236" i="1"/>
  <c r="E1236" i="1"/>
  <c r="M1234" i="1"/>
  <c r="E1234" i="1"/>
  <c r="M1232" i="1"/>
  <c r="I1232" i="1"/>
  <c r="E1232" i="1"/>
  <c r="M1231" i="1"/>
  <c r="I1231" i="1"/>
  <c r="E1231" i="1"/>
  <c r="M1230" i="1"/>
  <c r="I1230" i="1"/>
  <c r="E1230" i="1"/>
  <c r="M1229" i="1"/>
  <c r="I1229" i="1"/>
  <c r="E1229" i="1"/>
  <c r="M1228" i="1"/>
  <c r="I1228" i="1"/>
  <c r="E1228" i="1"/>
  <c r="M1227" i="1"/>
  <c r="I1227" i="1"/>
  <c r="E1227" i="1"/>
  <c r="M1226" i="1"/>
  <c r="I1226" i="1"/>
  <c r="E1226" i="1"/>
  <c r="M1225" i="1"/>
  <c r="I1225" i="1"/>
  <c r="E1225" i="1"/>
  <c r="M1224" i="1"/>
  <c r="I1224" i="1"/>
  <c r="E1224" i="1"/>
  <c r="M1219" i="1"/>
  <c r="I1219" i="1"/>
  <c r="E1219" i="1"/>
  <c r="M1218" i="1"/>
  <c r="I1218" i="1"/>
  <c r="E1218" i="1"/>
  <c r="M1217" i="1"/>
  <c r="I1217" i="1"/>
  <c r="E1217" i="1"/>
  <c r="N1217" i="1" s="1"/>
  <c r="M1216" i="1"/>
  <c r="I1216" i="1"/>
  <c r="E1216" i="1"/>
  <c r="M1215" i="1"/>
  <c r="I1215" i="1"/>
  <c r="E1215" i="1"/>
  <c r="M1214" i="1"/>
  <c r="I1214" i="1"/>
  <c r="E1214" i="1"/>
  <c r="M1213" i="1"/>
  <c r="I1213" i="1"/>
  <c r="E1213" i="1"/>
  <c r="M1212" i="1"/>
  <c r="I1212" i="1"/>
  <c r="E1212" i="1"/>
  <c r="M1211" i="1"/>
  <c r="I1211" i="1"/>
  <c r="E1211" i="1"/>
  <c r="M1210" i="1"/>
  <c r="I1210" i="1"/>
  <c r="E1210" i="1"/>
  <c r="AB1219" i="1"/>
  <c r="X1219" i="1"/>
  <c r="AC1219" i="1" s="1"/>
  <c r="T1219" i="1"/>
  <c r="AB1218" i="1"/>
  <c r="X1218" i="1"/>
  <c r="T1218" i="1"/>
  <c r="AC1218" i="1" s="1"/>
  <c r="AB1217" i="1"/>
  <c r="X1217" i="1"/>
  <c r="T1217" i="1"/>
  <c r="AC1217" i="1" s="1"/>
  <c r="AB1216" i="1"/>
  <c r="X1216" i="1"/>
  <c r="T1216" i="1"/>
  <c r="AB1215" i="1"/>
  <c r="X1215" i="1"/>
  <c r="AC1215" i="1" s="1"/>
  <c r="T1215" i="1"/>
  <c r="AB1214" i="1"/>
  <c r="X1214" i="1"/>
  <c r="T1214" i="1"/>
  <c r="AC1214" i="1" s="1"/>
  <c r="AB1211" i="1"/>
  <c r="X1211" i="1"/>
  <c r="T1211" i="1"/>
  <c r="AC1211" i="1" s="1"/>
  <c r="AB1210" i="1"/>
  <c r="X1210" i="1"/>
  <c r="T1210" i="1"/>
  <c r="T1169" i="1"/>
  <c r="X1169" i="1"/>
  <c r="AB1169" i="1"/>
  <c r="M101" i="4"/>
  <c r="I101" i="4"/>
  <c r="E101" i="4"/>
  <c r="N101" i="4" s="1"/>
  <c r="M100" i="4"/>
  <c r="I100" i="4"/>
  <c r="E100" i="4"/>
  <c r="M99" i="4"/>
  <c r="I99" i="4"/>
  <c r="E99" i="4"/>
  <c r="M98" i="4"/>
  <c r="I98" i="4"/>
  <c r="E98" i="4"/>
  <c r="N98" i="4" s="1"/>
  <c r="M97" i="4"/>
  <c r="I97" i="4"/>
  <c r="E97" i="4"/>
  <c r="N97" i="4" s="1"/>
  <c r="M96" i="4"/>
  <c r="I96" i="4"/>
  <c r="E96" i="4"/>
  <c r="N96" i="4" s="1"/>
  <c r="M95" i="4"/>
  <c r="I95" i="4"/>
  <c r="E95" i="4"/>
  <c r="M94" i="4"/>
  <c r="I94" i="4"/>
  <c r="E94" i="4"/>
  <c r="M93" i="4"/>
  <c r="I93" i="4"/>
  <c r="E93" i="4"/>
  <c r="N93" i="4" s="1"/>
  <c r="M92" i="4"/>
  <c r="I92" i="4"/>
  <c r="E92" i="4"/>
  <c r="M58" i="4"/>
  <c r="I58" i="4"/>
  <c r="E58" i="4"/>
  <c r="M57" i="4"/>
  <c r="I57" i="4"/>
  <c r="E57" i="4"/>
  <c r="N57" i="4" s="1"/>
  <c r="M56" i="4"/>
  <c r="I56" i="4"/>
  <c r="N56" i="4" s="1"/>
  <c r="E56" i="4"/>
  <c r="M55" i="4"/>
  <c r="I55" i="4"/>
  <c r="E55" i="4"/>
  <c r="N55" i="4" s="1"/>
  <c r="M54" i="4"/>
  <c r="I54" i="4"/>
  <c r="E54" i="4"/>
  <c r="N53" i="4"/>
  <c r="M53" i="4"/>
  <c r="I53" i="4"/>
  <c r="E53" i="4"/>
  <c r="M52" i="4"/>
  <c r="I52" i="4"/>
  <c r="E52" i="4"/>
  <c r="M51" i="4"/>
  <c r="I51" i="4"/>
  <c r="E51" i="4"/>
  <c r="M50" i="4"/>
  <c r="I50" i="4"/>
  <c r="E50" i="4"/>
  <c r="N50" i="4" s="1"/>
  <c r="M49" i="4"/>
  <c r="I49" i="4"/>
  <c r="E49" i="4"/>
  <c r="T77" i="4"/>
  <c r="AB72" i="4"/>
  <c r="X72" i="4"/>
  <c r="T72" i="4"/>
  <c r="AC72" i="4" s="1"/>
  <c r="AB71" i="4"/>
  <c r="X71" i="4"/>
  <c r="T71" i="4"/>
  <c r="AB70" i="4"/>
  <c r="X70" i="4"/>
  <c r="T70" i="4"/>
  <c r="AB69" i="4"/>
  <c r="X69" i="4"/>
  <c r="T69" i="4"/>
  <c r="AC69" i="4" s="1"/>
  <c r="AB68" i="4"/>
  <c r="X68" i="4"/>
  <c r="T68" i="4"/>
  <c r="AB67" i="4"/>
  <c r="X67" i="4"/>
  <c r="T67" i="4"/>
  <c r="AB66" i="4"/>
  <c r="X66" i="4"/>
  <c r="T66" i="4"/>
  <c r="AB65" i="4"/>
  <c r="X65" i="4"/>
  <c r="T65" i="4"/>
  <c r="AB64" i="4"/>
  <c r="X64" i="4"/>
  <c r="T64" i="4"/>
  <c r="AB63" i="4"/>
  <c r="X63" i="4"/>
  <c r="T63" i="4"/>
  <c r="AB61" i="4"/>
  <c r="T61" i="4"/>
  <c r="AB115" i="4"/>
  <c r="X115" i="4"/>
  <c r="T115" i="4"/>
  <c r="AC115" i="4" s="1"/>
  <c r="AB114" i="4"/>
  <c r="X114" i="4"/>
  <c r="T114" i="4"/>
  <c r="AB113" i="4"/>
  <c r="X113" i="4"/>
  <c r="T113" i="4"/>
  <c r="AB112" i="4"/>
  <c r="X112" i="4"/>
  <c r="T112" i="4"/>
  <c r="AC112" i="4" s="1"/>
  <c r="AB111" i="4"/>
  <c r="X111" i="4"/>
  <c r="T111" i="4"/>
  <c r="AB104" i="4"/>
  <c r="X104" i="4"/>
  <c r="T104" i="4"/>
  <c r="AB103" i="4"/>
  <c r="X103" i="4"/>
  <c r="T103" i="4"/>
  <c r="M126" i="4"/>
  <c r="I126" i="4"/>
  <c r="E126" i="4"/>
  <c r="N126" i="4" s="1"/>
  <c r="M125" i="4"/>
  <c r="I125" i="4"/>
  <c r="E125" i="4"/>
  <c r="N125" i="4" s="1"/>
  <c r="M124" i="4"/>
  <c r="I124" i="4"/>
  <c r="E124" i="4"/>
  <c r="M123" i="4"/>
  <c r="I123" i="4"/>
  <c r="E123" i="4"/>
  <c r="M122" i="4"/>
  <c r="I122" i="4"/>
  <c r="E122" i="4"/>
  <c r="N122" i="4" s="1"/>
  <c r="M121" i="4"/>
  <c r="I121" i="4"/>
  <c r="E121" i="4"/>
  <c r="M120" i="4"/>
  <c r="I120" i="4"/>
  <c r="E120" i="4"/>
  <c r="M119" i="4"/>
  <c r="I119" i="4"/>
  <c r="E119" i="4"/>
  <c r="N119" i="4" s="1"/>
  <c r="M118" i="4"/>
  <c r="I118" i="4"/>
  <c r="E118" i="4"/>
  <c r="N118" i="4" s="1"/>
  <c r="M117" i="4"/>
  <c r="I117" i="4"/>
  <c r="E117" i="4"/>
  <c r="N117" i="4" s="1"/>
  <c r="M116" i="4"/>
  <c r="I116" i="4"/>
  <c r="E116" i="4"/>
  <c r="M115" i="4"/>
  <c r="I115" i="4"/>
  <c r="E115" i="4"/>
  <c r="M114" i="4"/>
  <c r="I114" i="4"/>
  <c r="E114" i="4"/>
  <c r="N114" i="4" s="1"/>
  <c r="M113" i="4"/>
  <c r="I113" i="4"/>
  <c r="E113" i="4"/>
  <c r="M112" i="4"/>
  <c r="I112" i="4"/>
  <c r="E112" i="4"/>
  <c r="M111" i="4"/>
  <c r="I111" i="4"/>
  <c r="E111" i="4"/>
  <c r="N111" i="4" s="1"/>
  <c r="M110" i="4"/>
  <c r="I110" i="4"/>
  <c r="E110" i="4"/>
  <c r="N110" i="4" s="1"/>
  <c r="M109" i="4"/>
  <c r="I109" i="4"/>
  <c r="E109" i="4"/>
  <c r="N109" i="4" s="1"/>
  <c r="M108" i="4"/>
  <c r="I108" i="4"/>
  <c r="E108" i="4"/>
  <c r="M107" i="4"/>
  <c r="I107" i="4"/>
  <c r="E107" i="4"/>
  <c r="M103" i="4"/>
  <c r="I103" i="4"/>
  <c r="E103" i="4"/>
  <c r="M83" i="4"/>
  <c r="I83" i="4"/>
  <c r="E83" i="4"/>
  <c r="M82" i="4"/>
  <c r="N82" i="4" s="1"/>
  <c r="I82" i="4"/>
  <c r="E82" i="4"/>
  <c r="M81" i="4"/>
  <c r="I81" i="4"/>
  <c r="E81" i="4"/>
  <c r="N81" i="4" s="1"/>
  <c r="M80" i="4"/>
  <c r="I80" i="4"/>
  <c r="E80" i="4"/>
  <c r="N80" i="4" s="1"/>
  <c r="M79" i="4"/>
  <c r="I79" i="4"/>
  <c r="E79" i="4"/>
  <c r="M78" i="4"/>
  <c r="I78" i="4"/>
  <c r="E78" i="4"/>
  <c r="M77" i="4"/>
  <c r="I77" i="4"/>
  <c r="E77" i="4"/>
  <c r="M76" i="4"/>
  <c r="I76" i="4"/>
  <c r="E76" i="4"/>
  <c r="M75" i="4"/>
  <c r="I75" i="4"/>
  <c r="E75" i="4"/>
  <c r="M74" i="4"/>
  <c r="I74" i="4"/>
  <c r="E74" i="4"/>
  <c r="M73" i="4"/>
  <c r="I73" i="4"/>
  <c r="E73" i="4"/>
  <c r="M72" i="4"/>
  <c r="I72" i="4"/>
  <c r="E72" i="4"/>
  <c r="N72" i="4" s="1"/>
  <c r="M71" i="4"/>
  <c r="I71" i="4"/>
  <c r="E71" i="4"/>
  <c r="N71" i="4" s="1"/>
  <c r="M70" i="4"/>
  <c r="I70" i="4"/>
  <c r="E70" i="4"/>
  <c r="M69" i="4"/>
  <c r="I69" i="4"/>
  <c r="E69" i="4"/>
  <c r="M68" i="4"/>
  <c r="I68" i="4"/>
  <c r="E68" i="4"/>
  <c r="N68" i="4" s="1"/>
  <c r="M67" i="4"/>
  <c r="N67" i="4" s="1"/>
  <c r="I67" i="4"/>
  <c r="E67" i="4"/>
  <c r="M66" i="4"/>
  <c r="I66" i="4"/>
  <c r="E66" i="4"/>
  <c r="M65" i="4"/>
  <c r="I65" i="4"/>
  <c r="E65" i="4"/>
  <c r="N65" i="4" s="1"/>
  <c r="M64" i="4"/>
  <c r="I64" i="4"/>
  <c r="E64" i="4"/>
  <c r="M63" i="4"/>
  <c r="I63" i="4"/>
  <c r="E63" i="4"/>
  <c r="N63" i="4" s="1"/>
  <c r="M62" i="4"/>
  <c r="I62" i="4"/>
  <c r="E62" i="4"/>
  <c r="M61" i="4"/>
  <c r="I61" i="4"/>
  <c r="E61" i="4"/>
  <c r="M60" i="4"/>
  <c r="I60" i="4"/>
  <c r="E60" i="4"/>
  <c r="N60" i="4" s="1"/>
  <c r="M40" i="4"/>
  <c r="I40" i="4"/>
  <c r="E40" i="4"/>
  <c r="M39" i="4"/>
  <c r="N39" i="4" s="1"/>
  <c r="I39" i="4"/>
  <c r="E39" i="4"/>
  <c r="M38" i="4"/>
  <c r="I38" i="4"/>
  <c r="N38" i="4" s="1"/>
  <c r="E38" i="4"/>
  <c r="M37" i="4"/>
  <c r="I37" i="4"/>
  <c r="E37" i="4"/>
  <c r="M36" i="4"/>
  <c r="I36" i="4"/>
  <c r="E36" i="4"/>
  <c r="N35" i="4"/>
  <c r="M35" i="4"/>
  <c r="I35" i="4"/>
  <c r="E35" i="4"/>
  <c r="M34" i="4"/>
  <c r="I34" i="4"/>
  <c r="E34" i="4"/>
  <c r="N34" i="4" s="1"/>
  <c r="M33" i="4"/>
  <c r="I33" i="4"/>
  <c r="E33" i="4"/>
  <c r="M32" i="4"/>
  <c r="N32" i="4" s="1"/>
  <c r="I32" i="4"/>
  <c r="E32" i="4"/>
  <c r="M31" i="4"/>
  <c r="I31" i="4"/>
  <c r="E31" i="4"/>
  <c r="N31" i="4" s="1"/>
  <c r="M30" i="4"/>
  <c r="I30" i="4"/>
  <c r="E30" i="4"/>
  <c r="M29" i="4"/>
  <c r="I29" i="4"/>
  <c r="E29" i="4"/>
  <c r="N29" i="4" s="1"/>
  <c r="M28" i="4"/>
  <c r="I28" i="4"/>
  <c r="E28" i="4"/>
  <c r="M27" i="4"/>
  <c r="I27" i="4"/>
  <c r="E27" i="4"/>
  <c r="M26" i="4"/>
  <c r="I26" i="4"/>
  <c r="E26" i="4"/>
  <c r="M25" i="4"/>
  <c r="I25" i="4"/>
  <c r="E25" i="4"/>
  <c r="N25" i="4" s="1"/>
  <c r="M24" i="4"/>
  <c r="I24" i="4"/>
  <c r="E24" i="4"/>
  <c r="M23" i="4"/>
  <c r="I23" i="4"/>
  <c r="E23" i="4"/>
  <c r="M22" i="4"/>
  <c r="I22" i="4"/>
  <c r="E22" i="4"/>
  <c r="M21" i="4"/>
  <c r="I21" i="4"/>
  <c r="E21" i="4"/>
  <c r="M20" i="4"/>
  <c r="I20" i="4"/>
  <c r="E20" i="4"/>
  <c r="M18" i="4"/>
  <c r="I18" i="4"/>
  <c r="E18" i="4"/>
  <c r="M17" i="4"/>
  <c r="I17" i="4"/>
  <c r="E17" i="4"/>
  <c r="T17" i="4"/>
  <c r="X17" i="4"/>
  <c r="AB17" i="4"/>
  <c r="T20" i="4"/>
  <c r="X20" i="4"/>
  <c r="AB20" i="4"/>
  <c r="AC20" i="4" s="1"/>
  <c r="T21" i="4"/>
  <c r="X21" i="4"/>
  <c r="AB21" i="4"/>
  <c r="T22" i="4"/>
  <c r="AC22" i="4" s="1"/>
  <c r="X22" i="4"/>
  <c r="AB22" i="4"/>
  <c r="T23" i="4"/>
  <c r="X23" i="4"/>
  <c r="AB23" i="4"/>
  <c r="T24" i="4"/>
  <c r="X24" i="4"/>
  <c r="AB24" i="4"/>
  <c r="T25" i="4"/>
  <c r="X25" i="4"/>
  <c r="AB25" i="4"/>
  <c r="T26" i="4"/>
  <c r="X26" i="4"/>
  <c r="AB26" i="4"/>
  <c r="T28" i="4"/>
  <c r="X28" i="4"/>
  <c r="AB28" i="4"/>
  <c r="AC28" i="4" s="1"/>
  <c r="T29" i="4"/>
  <c r="X29" i="4"/>
  <c r="AB29" i="4"/>
  <c r="AC29" i="4"/>
  <c r="T30" i="4"/>
  <c r="X30" i="4"/>
  <c r="AB30" i="4"/>
  <c r="T31" i="4"/>
  <c r="AC31" i="4" s="1"/>
  <c r="X31" i="4"/>
  <c r="AB31" i="4"/>
  <c r="E5" i="4"/>
  <c r="I5" i="4"/>
  <c r="M5" i="4"/>
  <c r="E7" i="4"/>
  <c r="I7" i="4"/>
  <c r="M7" i="4"/>
  <c r="E8" i="4"/>
  <c r="I8" i="4"/>
  <c r="M8" i="4"/>
  <c r="E9" i="4"/>
  <c r="I9" i="4"/>
  <c r="M9" i="4"/>
  <c r="E10" i="4"/>
  <c r="N10" i="4" s="1"/>
  <c r="I10" i="4"/>
  <c r="M10" i="4"/>
  <c r="AA127" i="4"/>
  <c r="Z127" i="4"/>
  <c r="W127" i="4"/>
  <c r="V127" i="4"/>
  <c r="S127" i="4"/>
  <c r="R127" i="4"/>
  <c r="Q127" i="4"/>
  <c r="L127" i="4"/>
  <c r="K127" i="4"/>
  <c r="J127" i="4"/>
  <c r="H127" i="4"/>
  <c r="G127" i="4"/>
  <c r="F127" i="4"/>
  <c r="D127" i="4"/>
  <c r="C127" i="4"/>
  <c r="B127" i="4"/>
  <c r="AB101" i="4"/>
  <c r="X101" i="4"/>
  <c r="T101" i="4"/>
  <c r="AB100" i="4"/>
  <c r="X100" i="4"/>
  <c r="T100" i="4"/>
  <c r="AB99" i="4"/>
  <c r="X99" i="4"/>
  <c r="T99" i="4"/>
  <c r="AC99" i="4" s="1"/>
  <c r="AB98" i="4"/>
  <c r="X98" i="4"/>
  <c r="T98" i="4"/>
  <c r="AB97" i="4"/>
  <c r="X97" i="4"/>
  <c r="T97" i="4"/>
  <c r="AB96" i="4"/>
  <c r="AC96" i="4" s="1"/>
  <c r="X96" i="4"/>
  <c r="T96" i="4"/>
  <c r="AB95" i="4"/>
  <c r="X95" i="4"/>
  <c r="AC95" i="4" s="1"/>
  <c r="T95" i="4"/>
  <c r="AB94" i="4"/>
  <c r="X94" i="4"/>
  <c r="T94" i="4"/>
  <c r="AB92" i="4"/>
  <c r="X92" i="4"/>
  <c r="T92" i="4"/>
  <c r="AA84" i="4"/>
  <c r="W84" i="4"/>
  <c r="S84" i="4"/>
  <c r="R84" i="4"/>
  <c r="Q84" i="4"/>
  <c r="L84" i="4"/>
  <c r="J84" i="4"/>
  <c r="H84" i="4"/>
  <c r="G84" i="4"/>
  <c r="F84" i="4"/>
  <c r="D84" i="4"/>
  <c r="B84" i="4"/>
  <c r="K84" i="4"/>
  <c r="AB58" i="4"/>
  <c r="X58" i="4"/>
  <c r="T58" i="4"/>
  <c r="AB57" i="4"/>
  <c r="X57" i="4"/>
  <c r="T57" i="4"/>
  <c r="AB56" i="4"/>
  <c r="AC56" i="4" s="1"/>
  <c r="X56" i="4"/>
  <c r="T56" i="4"/>
  <c r="AB55" i="4"/>
  <c r="X55" i="4"/>
  <c r="T55" i="4"/>
  <c r="AB54" i="4"/>
  <c r="X54" i="4"/>
  <c r="T54" i="4"/>
  <c r="AB53" i="4"/>
  <c r="X53" i="4"/>
  <c r="T53" i="4"/>
  <c r="AB52" i="4"/>
  <c r="X52" i="4"/>
  <c r="T52" i="4"/>
  <c r="AB50" i="4"/>
  <c r="X50" i="4"/>
  <c r="T50" i="4"/>
  <c r="AB49" i="4"/>
  <c r="X49" i="4"/>
  <c r="T49" i="4"/>
  <c r="AA41" i="4"/>
  <c r="Y41" i="4"/>
  <c r="S41" i="4"/>
  <c r="R41" i="4"/>
  <c r="Q41" i="4"/>
  <c r="L41" i="4"/>
  <c r="K41" i="4"/>
  <c r="J41" i="4"/>
  <c r="H41" i="4"/>
  <c r="G41" i="4"/>
  <c r="F41" i="4"/>
  <c r="D41" i="4"/>
  <c r="C41" i="4"/>
  <c r="B41" i="4"/>
  <c r="AA16" i="4"/>
  <c r="Z16" i="4"/>
  <c r="Y16" i="4"/>
  <c r="W16" i="4"/>
  <c r="V16" i="4"/>
  <c r="U16" i="4"/>
  <c r="S16" i="4"/>
  <c r="R16" i="4"/>
  <c r="Q16" i="4"/>
  <c r="L16" i="4"/>
  <c r="K16" i="4"/>
  <c r="J16" i="4"/>
  <c r="H16" i="4"/>
  <c r="G16" i="4"/>
  <c r="F16" i="4"/>
  <c r="D16" i="4"/>
  <c r="C16" i="4"/>
  <c r="B16" i="4"/>
  <c r="AC15" i="4"/>
  <c r="AB15" i="4"/>
  <c r="X15" i="4"/>
  <c r="T15" i="4"/>
  <c r="M15" i="4"/>
  <c r="I15" i="4"/>
  <c r="E15" i="4"/>
  <c r="AB14" i="4"/>
  <c r="X14" i="4"/>
  <c r="T14" i="4"/>
  <c r="M14" i="4"/>
  <c r="I14" i="4"/>
  <c r="E14" i="4"/>
  <c r="AB13" i="4"/>
  <c r="X13" i="4"/>
  <c r="T13" i="4"/>
  <c r="AC13" i="4" s="1"/>
  <c r="M13" i="4"/>
  <c r="I13" i="4"/>
  <c r="E13" i="4"/>
  <c r="AB12" i="4"/>
  <c r="X12" i="4"/>
  <c r="T12" i="4"/>
  <c r="AC12" i="4" s="1"/>
  <c r="M12" i="4"/>
  <c r="I12" i="4"/>
  <c r="N12" i="4" s="1"/>
  <c r="E12" i="4"/>
  <c r="AB11" i="4"/>
  <c r="X11" i="4"/>
  <c r="T11" i="4"/>
  <c r="M11" i="4"/>
  <c r="I11" i="4"/>
  <c r="E11" i="4"/>
  <c r="N11" i="4" s="1"/>
  <c r="AB10" i="4"/>
  <c r="X10" i="4"/>
  <c r="T10" i="4"/>
  <c r="AB9" i="4"/>
  <c r="X9" i="4"/>
  <c r="T9" i="4"/>
  <c r="AC9" i="4" s="1"/>
  <c r="AB8" i="4"/>
  <c r="X8" i="4"/>
  <c r="T8" i="4"/>
  <c r="AB7" i="4"/>
  <c r="X7" i="4"/>
  <c r="T7" i="4"/>
  <c r="AB5" i="4"/>
  <c r="X5" i="4"/>
  <c r="T5" i="4"/>
  <c r="AB1020" i="1"/>
  <c r="X1020" i="1"/>
  <c r="T1020" i="1"/>
  <c r="T1112" i="1"/>
  <c r="X1112" i="1"/>
  <c r="AB1112" i="1"/>
  <c r="T1113" i="1"/>
  <c r="AB1113" i="1"/>
  <c r="T1114" i="1"/>
  <c r="X1114" i="1"/>
  <c r="AB1114" i="1"/>
  <c r="T1115" i="1"/>
  <c r="T1023" i="1"/>
  <c r="X1023" i="1"/>
  <c r="AB1023" i="1"/>
  <c r="T1066" i="1"/>
  <c r="T1067" i="1"/>
  <c r="X1067" i="1"/>
  <c r="AB1067" i="1"/>
  <c r="AB1065" i="1"/>
  <c r="T1065" i="1"/>
  <c r="AB1027" i="1"/>
  <c r="T1027" i="1"/>
  <c r="X1026" i="1"/>
  <c r="T1026" i="1"/>
  <c r="AB1025" i="1"/>
  <c r="X1025" i="1"/>
  <c r="T1025" i="1"/>
  <c r="AB1024" i="1"/>
  <c r="X1024" i="1"/>
  <c r="T1024" i="1"/>
  <c r="AB1017" i="1"/>
  <c r="X1017" i="1"/>
  <c r="T1017" i="1"/>
  <c r="AC1017" i="1" s="1"/>
  <c r="AB1070" i="1"/>
  <c r="X1070" i="1"/>
  <c r="X1029" i="1"/>
  <c r="AB1013" i="1"/>
  <c r="X1013" i="1"/>
  <c r="T1013" i="1"/>
  <c r="L1202" i="1"/>
  <c r="K1202" i="1"/>
  <c r="J1202" i="1"/>
  <c r="H1202" i="1"/>
  <c r="G1202" i="1"/>
  <c r="F1202" i="1"/>
  <c r="D1202" i="1"/>
  <c r="C1202" i="1"/>
  <c r="B1202" i="1"/>
  <c r="M1201" i="1"/>
  <c r="I1201" i="1"/>
  <c r="E1201" i="1"/>
  <c r="N1201" i="1" s="1"/>
  <c r="M1200" i="1"/>
  <c r="I1200" i="1"/>
  <c r="E1200" i="1"/>
  <c r="M1199" i="1"/>
  <c r="I1199" i="1"/>
  <c r="E1199" i="1"/>
  <c r="M1198" i="1"/>
  <c r="I1198" i="1"/>
  <c r="E1198" i="1"/>
  <c r="M1197" i="1"/>
  <c r="I1197" i="1"/>
  <c r="E1197" i="1"/>
  <c r="M1196" i="1"/>
  <c r="I1196" i="1"/>
  <c r="E1196" i="1"/>
  <c r="M1195" i="1"/>
  <c r="I1195" i="1"/>
  <c r="E1195" i="1"/>
  <c r="M1194" i="1"/>
  <c r="I1194" i="1"/>
  <c r="E1194" i="1"/>
  <c r="M1193" i="1"/>
  <c r="I1193" i="1"/>
  <c r="E1193" i="1"/>
  <c r="N1193" i="1" s="1"/>
  <c r="M1192" i="1"/>
  <c r="I1192" i="1"/>
  <c r="E1192" i="1"/>
  <c r="M1191" i="1"/>
  <c r="I1191" i="1"/>
  <c r="E1191" i="1"/>
  <c r="M1190" i="1"/>
  <c r="I1190" i="1"/>
  <c r="E1190" i="1"/>
  <c r="M1186" i="1"/>
  <c r="I1186" i="1"/>
  <c r="E1186" i="1"/>
  <c r="N1186" i="1" s="1"/>
  <c r="M1185" i="1"/>
  <c r="I1185" i="1"/>
  <c r="E1185" i="1"/>
  <c r="M1184" i="1"/>
  <c r="I1184" i="1"/>
  <c r="E1184" i="1"/>
  <c r="M1183" i="1"/>
  <c r="I1183" i="1"/>
  <c r="E1183" i="1"/>
  <c r="M1182" i="1"/>
  <c r="I1182" i="1"/>
  <c r="E1182" i="1"/>
  <c r="M1181" i="1"/>
  <c r="I1181" i="1"/>
  <c r="E1181" i="1"/>
  <c r="M1180" i="1"/>
  <c r="I1180" i="1"/>
  <c r="E1180" i="1"/>
  <c r="M1179" i="1"/>
  <c r="I1179" i="1"/>
  <c r="E1179" i="1"/>
  <c r="M1178" i="1"/>
  <c r="I1178" i="1"/>
  <c r="E1178" i="1"/>
  <c r="M1176" i="1"/>
  <c r="M1175" i="1"/>
  <c r="I1175" i="1"/>
  <c r="E1175" i="1"/>
  <c r="N1175" i="1" s="1"/>
  <c r="M1174" i="1"/>
  <c r="I1174" i="1"/>
  <c r="E1174" i="1"/>
  <c r="M1173" i="1"/>
  <c r="I1173" i="1"/>
  <c r="E1173" i="1"/>
  <c r="N1173" i="1" s="1"/>
  <c r="M1172" i="1"/>
  <c r="I1172" i="1"/>
  <c r="E1172" i="1"/>
  <c r="M1171" i="1"/>
  <c r="I1171" i="1"/>
  <c r="E1171" i="1"/>
  <c r="N1171" i="1" s="1"/>
  <c r="M1170" i="1"/>
  <c r="I1170" i="1"/>
  <c r="E1170" i="1"/>
  <c r="M1169" i="1"/>
  <c r="I1169" i="1"/>
  <c r="E1169" i="1"/>
  <c r="M1168" i="1"/>
  <c r="I1168" i="1"/>
  <c r="E1168" i="1"/>
  <c r="M1167" i="1"/>
  <c r="I1167" i="1"/>
  <c r="E1167" i="1"/>
  <c r="L1159" i="1"/>
  <c r="K1159" i="1"/>
  <c r="J1159" i="1"/>
  <c r="H1159" i="1"/>
  <c r="G1159" i="1"/>
  <c r="F1159" i="1"/>
  <c r="D1159" i="1"/>
  <c r="C1159" i="1"/>
  <c r="B1159" i="1"/>
  <c r="M1158" i="1"/>
  <c r="I1158" i="1"/>
  <c r="E1158" i="1"/>
  <c r="M1157" i="1"/>
  <c r="I1157" i="1"/>
  <c r="E1157" i="1"/>
  <c r="M1156" i="1"/>
  <c r="I1156" i="1"/>
  <c r="E1156" i="1"/>
  <c r="M1155" i="1"/>
  <c r="I1155" i="1"/>
  <c r="E1155" i="1"/>
  <c r="M1154" i="1"/>
  <c r="I1154" i="1"/>
  <c r="E1154" i="1"/>
  <c r="M1153" i="1"/>
  <c r="I1153" i="1"/>
  <c r="E1153" i="1"/>
  <c r="M1152" i="1"/>
  <c r="I1152" i="1"/>
  <c r="E1152" i="1"/>
  <c r="M1151" i="1"/>
  <c r="I1151" i="1"/>
  <c r="E1151" i="1"/>
  <c r="M1150" i="1"/>
  <c r="I1150" i="1"/>
  <c r="E1150" i="1"/>
  <c r="M1149" i="1"/>
  <c r="I1149" i="1"/>
  <c r="E1149" i="1"/>
  <c r="M1148" i="1"/>
  <c r="I1148" i="1"/>
  <c r="E1148" i="1"/>
  <c r="M1147" i="1"/>
  <c r="I1147" i="1"/>
  <c r="E1147" i="1"/>
  <c r="M1146" i="1"/>
  <c r="E1146" i="1"/>
  <c r="M1145" i="1"/>
  <c r="I1145" i="1"/>
  <c r="E1145" i="1"/>
  <c r="M1144" i="1"/>
  <c r="I1144" i="1"/>
  <c r="E1144" i="1"/>
  <c r="M1143" i="1"/>
  <c r="I1143" i="1"/>
  <c r="E1143" i="1"/>
  <c r="M1142" i="1"/>
  <c r="I1142" i="1"/>
  <c r="E1142" i="1"/>
  <c r="M1141" i="1"/>
  <c r="I1141" i="1"/>
  <c r="E1141" i="1"/>
  <c r="M1140" i="1"/>
  <c r="I1140" i="1"/>
  <c r="E1140" i="1"/>
  <c r="M1139" i="1"/>
  <c r="I1139" i="1"/>
  <c r="E1139" i="1"/>
  <c r="M1138" i="1"/>
  <c r="I1138" i="1"/>
  <c r="E1138" i="1"/>
  <c r="M1137" i="1"/>
  <c r="I1137" i="1"/>
  <c r="E1137" i="1"/>
  <c r="M1136" i="1"/>
  <c r="I1136" i="1"/>
  <c r="E1136" i="1"/>
  <c r="M1135" i="1"/>
  <c r="I1135" i="1"/>
  <c r="E1135" i="1"/>
  <c r="M1132" i="1"/>
  <c r="I1132" i="1"/>
  <c r="N1132" i="1" s="1"/>
  <c r="E1132" i="1"/>
  <c r="M1131" i="1"/>
  <c r="I1131" i="1"/>
  <c r="E1131" i="1"/>
  <c r="N1131" i="1" s="1"/>
  <c r="M1130" i="1"/>
  <c r="I1130" i="1"/>
  <c r="E1130" i="1"/>
  <c r="N1130" i="1" s="1"/>
  <c r="M1129" i="1"/>
  <c r="I1129" i="1"/>
  <c r="E1129" i="1"/>
  <c r="M1128" i="1"/>
  <c r="I1128" i="1"/>
  <c r="E1128" i="1"/>
  <c r="M1127" i="1"/>
  <c r="I1127" i="1"/>
  <c r="E1127" i="1"/>
  <c r="M1126" i="1"/>
  <c r="I1126" i="1"/>
  <c r="E1126" i="1"/>
  <c r="M1125" i="1"/>
  <c r="I1125" i="1"/>
  <c r="E1125" i="1"/>
  <c r="M1124" i="1"/>
  <c r="I1124" i="1"/>
  <c r="E1124" i="1"/>
  <c r="T1126" i="1"/>
  <c r="X1126" i="1"/>
  <c r="AC1126" i="1" s="1"/>
  <c r="AB1126" i="1"/>
  <c r="T1109" i="1"/>
  <c r="X1109" i="1"/>
  <c r="AB1109" i="1"/>
  <c r="T1110" i="1"/>
  <c r="X1110" i="1"/>
  <c r="AB1110" i="1"/>
  <c r="AB1194" i="1"/>
  <c r="X1194" i="1"/>
  <c r="T1194" i="1"/>
  <c r="AB1191" i="1"/>
  <c r="X1191" i="1"/>
  <c r="T1191" i="1"/>
  <c r="AB1190" i="1"/>
  <c r="X1190" i="1"/>
  <c r="T1190" i="1"/>
  <c r="AC1190" i="1" s="1"/>
  <c r="AB1188" i="1"/>
  <c r="X1188" i="1"/>
  <c r="T1188" i="1"/>
  <c r="AB1187" i="1"/>
  <c r="X1187" i="1"/>
  <c r="T1187" i="1"/>
  <c r="AB1186" i="1"/>
  <c r="X1186" i="1"/>
  <c r="T1186" i="1"/>
  <c r="AB1184" i="1"/>
  <c r="X1184" i="1"/>
  <c r="T1184" i="1"/>
  <c r="AB1183" i="1"/>
  <c r="X1183" i="1"/>
  <c r="T1183" i="1"/>
  <c r="AB1181" i="1"/>
  <c r="X1181" i="1"/>
  <c r="T1181" i="1"/>
  <c r="AC1181" i="1" s="1"/>
  <c r="AB1180" i="1"/>
  <c r="X1180" i="1"/>
  <c r="T1180" i="1"/>
  <c r="AB1179" i="1"/>
  <c r="X1179" i="1"/>
  <c r="T1179" i="1"/>
  <c r="AB1178" i="1"/>
  <c r="X1178" i="1"/>
  <c r="T1178" i="1"/>
  <c r="AB1176" i="1"/>
  <c r="X1176" i="1"/>
  <c r="T1176" i="1"/>
  <c r="AC1176" i="1" s="1"/>
  <c r="AB1175" i="1"/>
  <c r="X1175" i="1"/>
  <c r="AC1175" i="1" s="1"/>
  <c r="T1175" i="1"/>
  <c r="AB1174" i="1"/>
  <c r="X1174" i="1"/>
  <c r="T1174" i="1"/>
  <c r="AC1174" i="1" s="1"/>
  <c r="AB1173" i="1"/>
  <c r="X1173" i="1"/>
  <c r="AC1173" i="1" s="1"/>
  <c r="T1173" i="1"/>
  <c r="AB1172" i="1"/>
  <c r="X1172" i="1"/>
  <c r="T1172" i="1"/>
  <c r="AC1172" i="1" s="1"/>
  <c r="AB1171" i="1"/>
  <c r="X1171" i="1"/>
  <c r="AC1171" i="1" s="1"/>
  <c r="T1171" i="1"/>
  <c r="AB1170" i="1"/>
  <c r="X1170" i="1"/>
  <c r="T1170" i="1"/>
  <c r="AC1170" i="1" s="1"/>
  <c r="AB1168" i="1"/>
  <c r="X1168" i="1"/>
  <c r="AC1168" i="1" s="1"/>
  <c r="T1168" i="1"/>
  <c r="AB1167" i="1"/>
  <c r="X1167" i="1"/>
  <c r="T1167" i="1"/>
  <c r="AC1167" i="1" s="1"/>
  <c r="T1063" i="1"/>
  <c r="X1063" i="1"/>
  <c r="AB1063" i="1"/>
  <c r="T1064" i="1"/>
  <c r="X1064" i="1"/>
  <c r="AB1064" i="1"/>
  <c r="T1068" i="1"/>
  <c r="X1068" i="1"/>
  <c r="AB1068" i="1"/>
  <c r="T1069" i="1"/>
  <c r="X1069" i="1"/>
  <c r="AB1069" i="1"/>
  <c r="T1070" i="1"/>
  <c r="T1071" i="1"/>
  <c r="X1071" i="1"/>
  <c r="AB1071" i="1"/>
  <c r="T1072" i="1"/>
  <c r="T1021" i="1"/>
  <c r="X1021" i="1"/>
  <c r="AB1021" i="1"/>
  <c r="T1022" i="1"/>
  <c r="X1022" i="1"/>
  <c r="AB1022" i="1"/>
  <c r="T1019" i="1"/>
  <c r="X1019" i="1"/>
  <c r="AB1019" i="1"/>
  <c r="AB1028" i="1"/>
  <c r="X1028" i="1"/>
  <c r="T1028" i="1"/>
  <c r="T1018" i="1"/>
  <c r="X1018" i="1"/>
  <c r="AB1018" i="1"/>
  <c r="T1083" i="1"/>
  <c r="X1083" i="1"/>
  <c r="AB1083" i="1"/>
  <c r="AB1147" i="1"/>
  <c r="X1147" i="1"/>
  <c r="T1147" i="1"/>
  <c r="AB1146" i="1"/>
  <c r="X1146" i="1"/>
  <c r="T1146" i="1"/>
  <c r="AB1145" i="1"/>
  <c r="X1145" i="1"/>
  <c r="T1145" i="1"/>
  <c r="AB1144" i="1"/>
  <c r="X1144" i="1"/>
  <c r="T1144" i="1"/>
  <c r="AB1143" i="1"/>
  <c r="X1143" i="1"/>
  <c r="T1143" i="1"/>
  <c r="AB1141" i="1"/>
  <c r="X1141" i="1"/>
  <c r="T1141" i="1"/>
  <c r="AB1140" i="1"/>
  <c r="X1140" i="1"/>
  <c r="T1140" i="1"/>
  <c r="AB1139" i="1"/>
  <c r="X1139" i="1"/>
  <c r="T1139" i="1"/>
  <c r="AB1138" i="1"/>
  <c r="X1138" i="1"/>
  <c r="T1138" i="1"/>
  <c r="AB1137" i="1"/>
  <c r="X1137" i="1"/>
  <c r="T1137" i="1"/>
  <c r="AB1136" i="1"/>
  <c r="AB1159" i="1" s="1"/>
  <c r="X1136" i="1"/>
  <c r="T1136" i="1"/>
  <c r="T1159" i="1" s="1"/>
  <c r="AB1135" i="1"/>
  <c r="X1135" i="1"/>
  <c r="X1159" i="1" s="1"/>
  <c r="T1135" i="1"/>
  <c r="AB1133" i="1"/>
  <c r="X1133" i="1"/>
  <c r="T1133" i="1"/>
  <c r="AB1132" i="1"/>
  <c r="X1132" i="1"/>
  <c r="AC1132" i="1" s="1"/>
  <c r="T1132" i="1"/>
  <c r="AB1131" i="1"/>
  <c r="X1131" i="1"/>
  <c r="T1131" i="1"/>
  <c r="AB1130" i="1"/>
  <c r="X1130" i="1"/>
  <c r="T1130" i="1"/>
  <c r="AB1129" i="1"/>
  <c r="X1129" i="1"/>
  <c r="T1129" i="1"/>
  <c r="AB1128" i="1"/>
  <c r="X1128" i="1"/>
  <c r="T1128" i="1"/>
  <c r="AB1127" i="1"/>
  <c r="X1127" i="1"/>
  <c r="T1127" i="1"/>
  <c r="AB1125" i="1"/>
  <c r="X1125" i="1"/>
  <c r="T1125" i="1"/>
  <c r="AB1124" i="1"/>
  <c r="X1124" i="1"/>
  <c r="T1124" i="1"/>
  <c r="T956" i="1"/>
  <c r="X956" i="1"/>
  <c r="AB956" i="1"/>
  <c r="T957" i="1"/>
  <c r="X957" i="1"/>
  <c r="AB957" i="1"/>
  <c r="AC957" i="1" s="1"/>
  <c r="AB999" i="1"/>
  <c r="X999" i="1"/>
  <c r="T999" i="1"/>
  <c r="AB998" i="1"/>
  <c r="X998" i="1"/>
  <c r="T998" i="1"/>
  <c r="AB986" i="1"/>
  <c r="X986" i="1"/>
  <c r="T958" i="1"/>
  <c r="X958" i="1"/>
  <c r="AB958" i="1"/>
  <c r="AB959" i="1"/>
  <c r="T959" i="1"/>
  <c r="T978" i="1"/>
  <c r="X978" i="1"/>
  <c r="AB978" i="1"/>
  <c r="AB1007" i="1"/>
  <c r="X1007" i="1"/>
  <c r="T1007" i="1"/>
  <c r="AB1006" i="1"/>
  <c r="X1006" i="1"/>
  <c r="T1006" i="1"/>
  <c r="AB984" i="1"/>
  <c r="X984" i="1"/>
  <c r="AB969" i="1"/>
  <c r="X969" i="1"/>
  <c r="T969" i="1"/>
  <c r="X985" i="1"/>
  <c r="AB985" i="1"/>
  <c r="AB981" i="1"/>
  <c r="X981" i="1"/>
  <c r="AB937" i="1"/>
  <c r="X937" i="1"/>
  <c r="T937" i="1"/>
  <c r="AB936" i="1"/>
  <c r="X936" i="1"/>
  <c r="T936" i="1"/>
  <c r="AB963" i="1"/>
  <c r="X963" i="1"/>
  <c r="X987" i="1" s="1"/>
  <c r="T963" i="1"/>
  <c r="F936" i="1"/>
  <c r="I936" i="1" s="1"/>
  <c r="AB934" i="1"/>
  <c r="X934" i="1"/>
  <c r="T934" i="1"/>
  <c r="AB932" i="1"/>
  <c r="X932" i="1"/>
  <c r="T932" i="1"/>
  <c r="AC932" i="1" s="1"/>
  <c r="C929" i="1"/>
  <c r="E929" i="1" s="1"/>
  <c r="L1116" i="1"/>
  <c r="K1116" i="1"/>
  <c r="J1116" i="1"/>
  <c r="G1116" i="1"/>
  <c r="F1116" i="1"/>
  <c r="D1116" i="1"/>
  <c r="C1116" i="1"/>
  <c r="B1116" i="1"/>
  <c r="M1115" i="1"/>
  <c r="I1115" i="1"/>
  <c r="E1115" i="1"/>
  <c r="M1114" i="1"/>
  <c r="I1114" i="1"/>
  <c r="E1114" i="1"/>
  <c r="M1113" i="1"/>
  <c r="I1113" i="1"/>
  <c r="E1113" i="1"/>
  <c r="M1112" i="1"/>
  <c r="I1112" i="1"/>
  <c r="E1112" i="1"/>
  <c r="M1111" i="1"/>
  <c r="I1111" i="1"/>
  <c r="E1111" i="1"/>
  <c r="M1110" i="1"/>
  <c r="I1110" i="1"/>
  <c r="E1110" i="1"/>
  <c r="M1109" i="1"/>
  <c r="I1109" i="1"/>
  <c r="E1109" i="1"/>
  <c r="M1108" i="1"/>
  <c r="I1108" i="1"/>
  <c r="E1108" i="1"/>
  <c r="M1107" i="1"/>
  <c r="I1107" i="1"/>
  <c r="E1107" i="1"/>
  <c r="M1106" i="1"/>
  <c r="I1106" i="1"/>
  <c r="E1106" i="1"/>
  <c r="M1105" i="1"/>
  <c r="I1105" i="1"/>
  <c r="E1105" i="1"/>
  <c r="M1104" i="1"/>
  <c r="I1104" i="1"/>
  <c r="E1104" i="1"/>
  <c r="M1103" i="1"/>
  <c r="I1103" i="1"/>
  <c r="E1103" i="1"/>
  <c r="M1102" i="1"/>
  <c r="I1102" i="1"/>
  <c r="E1102" i="1"/>
  <c r="M1101" i="1"/>
  <c r="I1101" i="1"/>
  <c r="E1101" i="1"/>
  <c r="M1100" i="1"/>
  <c r="I1100" i="1"/>
  <c r="E1100" i="1"/>
  <c r="M1099" i="1"/>
  <c r="I1099" i="1"/>
  <c r="E1099" i="1"/>
  <c r="M1098" i="1"/>
  <c r="I1098" i="1"/>
  <c r="E1098" i="1"/>
  <c r="M1097" i="1"/>
  <c r="I1097" i="1"/>
  <c r="E1097" i="1"/>
  <c r="M1096" i="1"/>
  <c r="I1096" i="1"/>
  <c r="E1096" i="1"/>
  <c r="M1095" i="1"/>
  <c r="I1095" i="1"/>
  <c r="E1095" i="1"/>
  <c r="M1094" i="1"/>
  <c r="I1094" i="1"/>
  <c r="E1094" i="1"/>
  <c r="M1093" i="1"/>
  <c r="I1093" i="1"/>
  <c r="E1093" i="1"/>
  <c r="M1092" i="1"/>
  <c r="I1092" i="1"/>
  <c r="E1092" i="1"/>
  <c r="M1090" i="1"/>
  <c r="I1090" i="1"/>
  <c r="E1090" i="1"/>
  <c r="N1090" i="1" s="1"/>
  <c r="M1089" i="1"/>
  <c r="I1089" i="1"/>
  <c r="E1089" i="1"/>
  <c r="M1088" i="1"/>
  <c r="I1088" i="1"/>
  <c r="E1088" i="1"/>
  <c r="N1088" i="1" s="1"/>
  <c r="M1087" i="1"/>
  <c r="I1087" i="1"/>
  <c r="E1087" i="1"/>
  <c r="M1086" i="1"/>
  <c r="I1086" i="1"/>
  <c r="E1086" i="1"/>
  <c r="M1085" i="1"/>
  <c r="I1085" i="1"/>
  <c r="E1085" i="1"/>
  <c r="M1084" i="1"/>
  <c r="I1084" i="1"/>
  <c r="E1084" i="1"/>
  <c r="M1082" i="1"/>
  <c r="I1082" i="1"/>
  <c r="E1082" i="1"/>
  <c r="M1081" i="1"/>
  <c r="I1081" i="1"/>
  <c r="E1081" i="1"/>
  <c r="AB1107" i="1"/>
  <c r="X1107" i="1"/>
  <c r="T1107" i="1"/>
  <c r="AB1106" i="1"/>
  <c r="X1106" i="1"/>
  <c r="T1106" i="1"/>
  <c r="AB1105" i="1"/>
  <c r="X1105" i="1"/>
  <c r="T1105" i="1"/>
  <c r="AB1103" i="1"/>
  <c r="X1103" i="1"/>
  <c r="T1103" i="1"/>
  <c r="AB1102" i="1"/>
  <c r="X1102" i="1"/>
  <c r="T1102" i="1"/>
  <c r="AB1101" i="1"/>
  <c r="X1101" i="1"/>
  <c r="T1101" i="1"/>
  <c r="AB1099" i="1"/>
  <c r="X1099" i="1"/>
  <c r="T1099" i="1"/>
  <c r="AB1098" i="1"/>
  <c r="X1098" i="1"/>
  <c r="T1098" i="1"/>
  <c r="AB1097" i="1"/>
  <c r="X1097" i="1"/>
  <c r="T1097" i="1"/>
  <c r="AB1095" i="1"/>
  <c r="X1095" i="1"/>
  <c r="T1095" i="1"/>
  <c r="AB1094" i="1"/>
  <c r="X1094" i="1"/>
  <c r="T1094" i="1"/>
  <c r="AB1093" i="1"/>
  <c r="X1093" i="1"/>
  <c r="T1093" i="1"/>
  <c r="AB1092" i="1"/>
  <c r="AB1116" i="1" s="1"/>
  <c r="X1092" i="1"/>
  <c r="T1092" i="1"/>
  <c r="T1116" i="1" s="1"/>
  <c r="AB1090" i="1"/>
  <c r="X1090" i="1"/>
  <c r="T1090" i="1"/>
  <c r="AB1089" i="1"/>
  <c r="X1089" i="1"/>
  <c r="T1089" i="1"/>
  <c r="AB1088" i="1"/>
  <c r="X1088" i="1"/>
  <c r="T1088" i="1"/>
  <c r="AC1088" i="1" s="1"/>
  <c r="AB1087" i="1"/>
  <c r="X1087" i="1"/>
  <c r="T1087" i="1"/>
  <c r="AB1086" i="1"/>
  <c r="X1086" i="1"/>
  <c r="T1086" i="1"/>
  <c r="AB1085" i="1"/>
  <c r="X1085" i="1"/>
  <c r="T1085" i="1"/>
  <c r="AB1084" i="1"/>
  <c r="X1084" i="1"/>
  <c r="T1084" i="1"/>
  <c r="AB1082" i="1"/>
  <c r="X1082" i="1"/>
  <c r="T1082" i="1"/>
  <c r="AB1081" i="1"/>
  <c r="X1081" i="1"/>
  <c r="T1081" i="1"/>
  <c r="K928" i="1"/>
  <c r="M928" i="1" s="1"/>
  <c r="G928" i="1"/>
  <c r="I928" i="1" s="1"/>
  <c r="K927" i="1"/>
  <c r="G927" i="1"/>
  <c r="G944" i="1" s="1"/>
  <c r="C927" i="1"/>
  <c r="E916" i="1"/>
  <c r="I916" i="1"/>
  <c r="M916" i="1"/>
  <c r="E917" i="1"/>
  <c r="I917" i="1"/>
  <c r="M917" i="1"/>
  <c r="E918" i="1"/>
  <c r="I918" i="1"/>
  <c r="M918" i="1"/>
  <c r="N918" i="1" s="1"/>
  <c r="AB927" i="1"/>
  <c r="X927" i="1"/>
  <c r="T927" i="1"/>
  <c r="M875" i="1"/>
  <c r="I875" i="1"/>
  <c r="E875" i="1"/>
  <c r="H923" i="1"/>
  <c r="AB924" i="1"/>
  <c r="X924" i="1"/>
  <c r="AC924" i="1" s="1"/>
  <c r="T924" i="1"/>
  <c r="F922" i="1"/>
  <c r="AB943" i="1"/>
  <c r="X943" i="1"/>
  <c r="T911" i="1"/>
  <c r="X911" i="1"/>
  <c r="AB911" i="1"/>
  <c r="T912" i="1"/>
  <c r="X912" i="1"/>
  <c r="AB912" i="1"/>
  <c r="AB954" i="1"/>
  <c r="X954" i="1"/>
  <c r="T954" i="1"/>
  <c r="AB953" i="1"/>
  <c r="X953" i="1"/>
  <c r="T953" i="1"/>
  <c r="T920" i="1"/>
  <c r="X920" i="1"/>
  <c r="AB920" i="1"/>
  <c r="AB897" i="1"/>
  <c r="X897" i="1"/>
  <c r="AC897" i="1" s="1"/>
  <c r="T897" i="1"/>
  <c r="AB895" i="1"/>
  <c r="X895" i="1"/>
  <c r="T895" i="1"/>
  <c r="L1073" i="1"/>
  <c r="K1073" i="1"/>
  <c r="H1073" i="1"/>
  <c r="G1073" i="1"/>
  <c r="F1073" i="1"/>
  <c r="D1073" i="1"/>
  <c r="C1073" i="1"/>
  <c r="M1072" i="1"/>
  <c r="I1072" i="1"/>
  <c r="E1072" i="1"/>
  <c r="M1071" i="1"/>
  <c r="I1071" i="1"/>
  <c r="E1071" i="1"/>
  <c r="M1070" i="1"/>
  <c r="I1070" i="1"/>
  <c r="E1070" i="1"/>
  <c r="M1069" i="1"/>
  <c r="I1069" i="1"/>
  <c r="E1069" i="1"/>
  <c r="M1068" i="1"/>
  <c r="I1068" i="1"/>
  <c r="E1068" i="1"/>
  <c r="N1068" i="1" s="1"/>
  <c r="M1067" i="1"/>
  <c r="I1067" i="1"/>
  <c r="E1067" i="1"/>
  <c r="M1066" i="1"/>
  <c r="I1066" i="1"/>
  <c r="E1066" i="1"/>
  <c r="N1066" i="1" s="1"/>
  <c r="M1065" i="1"/>
  <c r="I1065" i="1"/>
  <c r="E1065" i="1"/>
  <c r="M1064" i="1"/>
  <c r="I1064" i="1"/>
  <c r="E1064" i="1"/>
  <c r="M1063" i="1"/>
  <c r="I1063" i="1"/>
  <c r="E1063" i="1"/>
  <c r="AB1062" i="1"/>
  <c r="X1062" i="1"/>
  <c r="T1062" i="1"/>
  <c r="M1062" i="1"/>
  <c r="I1062" i="1"/>
  <c r="E1062" i="1"/>
  <c r="AB1061" i="1"/>
  <c r="X1061" i="1"/>
  <c r="T1061" i="1"/>
  <c r="M1061" i="1"/>
  <c r="I1061" i="1"/>
  <c r="E1061" i="1"/>
  <c r="AB1060" i="1"/>
  <c r="X1060" i="1"/>
  <c r="T1060" i="1"/>
  <c r="M1060" i="1"/>
  <c r="I1060" i="1"/>
  <c r="E1060" i="1"/>
  <c r="AB1059" i="1"/>
  <c r="X1059" i="1"/>
  <c r="T1059" i="1"/>
  <c r="M1059" i="1"/>
  <c r="I1059" i="1"/>
  <c r="E1059" i="1"/>
  <c r="AB1058" i="1"/>
  <c r="X1058" i="1"/>
  <c r="T1058" i="1"/>
  <c r="M1058" i="1"/>
  <c r="I1058" i="1"/>
  <c r="E1058" i="1"/>
  <c r="AB1057" i="1"/>
  <c r="X1057" i="1"/>
  <c r="T1057" i="1"/>
  <c r="M1057" i="1"/>
  <c r="I1057" i="1"/>
  <c r="E1057" i="1"/>
  <c r="AB1056" i="1"/>
  <c r="X1056" i="1"/>
  <c r="T1056" i="1"/>
  <c r="M1056" i="1"/>
  <c r="I1056" i="1"/>
  <c r="E1056" i="1"/>
  <c r="AB1055" i="1"/>
  <c r="AB1073" i="1" s="1"/>
  <c r="X1055" i="1"/>
  <c r="T1055" i="1"/>
  <c r="T1073" i="1" s="1"/>
  <c r="M1055" i="1"/>
  <c r="I1055" i="1"/>
  <c r="E1055" i="1"/>
  <c r="I1054" i="1"/>
  <c r="AB1053" i="1"/>
  <c r="X1053" i="1"/>
  <c r="T1053" i="1"/>
  <c r="M1053" i="1"/>
  <c r="I1053" i="1"/>
  <c r="E1053" i="1"/>
  <c r="N1053" i="1" s="1"/>
  <c r="AB1052" i="1"/>
  <c r="X1052" i="1"/>
  <c r="T1052" i="1"/>
  <c r="M1052" i="1"/>
  <c r="I1052" i="1"/>
  <c r="E1052" i="1"/>
  <c r="AB1051" i="1"/>
  <c r="X1051" i="1"/>
  <c r="T1051" i="1"/>
  <c r="M1051" i="1"/>
  <c r="I1051" i="1"/>
  <c r="E1051" i="1"/>
  <c r="AB1050" i="1"/>
  <c r="X1050" i="1"/>
  <c r="T1050" i="1"/>
  <c r="M1050" i="1"/>
  <c r="I1050" i="1"/>
  <c r="E1050" i="1"/>
  <c r="AB1049" i="1"/>
  <c r="X1049" i="1"/>
  <c r="X1073" i="1" s="1"/>
  <c r="T1049" i="1"/>
  <c r="M1049" i="1"/>
  <c r="I1049" i="1"/>
  <c r="E1049" i="1"/>
  <c r="AB1047" i="1"/>
  <c r="X1047" i="1"/>
  <c r="T1047" i="1"/>
  <c r="M1047" i="1"/>
  <c r="N1047" i="1" s="1"/>
  <c r="AB1046" i="1"/>
  <c r="X1046" i="1"/>
  <c r="AC1046" i="1" s="1"/>
  <c r="T1046" i="1"/>
  <c r="M1046" i="1"/>
  <c r="I1046" i="1"/>
  <c r="E1046" i="1"/>
  <c r="AB1045" i="1"/>
  <c r="X1045" i="1"/>
  <c r="AC1045" i="1" s="1"/>
  <c r="T1045" i="1"/>
  <c r="M1045" i="1"/>
  <c r="I1045" i="1"/>
  <c r="E1045" i="1"/>
  <c r="AB1044" i="1"/>
  <c r="X1044" i="1"/>
  <c r="T1044" i="1"/>
  <c r="M1044" i="1"/>
  <c r="I1044" i="1"/>
  <c r="E1044" i="1"/>
  <c r="AB1043" i="1"/>
  <c r="X1043" i="1"/>
  <c r="T1043" i="1"/>
  <c r="M1043" i="1"/>
  <c r="I1043" i="1"/>
  <c r="E1043" i="1"/>
  <c r="AB1042" i="1"/>
  <c r="X1042" i="1"/>
  <c r="AC1042" i="1" s="1"/>
  <c r="T1042" i="1"/>
  <c r="M1042" i="1"/>
  <c r="I1042" i="1"/>
  <c r="E1042" i="1"/>
  <c r="AB1041" i="1"/>
  <c r="X1041" i="1"/>
  <c r="AC1041" i="1" s="1"/>
  <c r="T1041" i="1"/>
  <c r="AB1040" i="1"/>
  <c r="X1040" i="1"/>
  <c r="T1040" i="1"/>
  <c r="AB1039" i="1"/>
  <c r="X1039" i="1"/>
  <c r="T1039" i="1"/>
  <c r="AB1038" i="1"/>
  <c r="X1038" i="1"/>
  <c r="T1038" i="1"/>
  <c r="M1038" i="1"/>
  <c r="I1038" i="1"/>
  <c r="E1038" i="1"/>
  <c r="K886" i="1"/>
  <c r="K901" i="1" s="1"/>
  <c r="C886" i="1"/>
  <c r="L1030" i="1"/>
  <c r="K1030" i="1"/>
  <c r="J1030" i="1"/>
  <c r="H1030" i="1"/>
  <c r="G1030" i="1"/>
  <c r="F1030" i="1"/>
  <c r="D1030" i="1"/>
  <c r="C1030" i="1"/>
  <c r="B1030" i="1"/>
  <c r="M1029" i="1"/>
  <c r="I1029" i="1"/>
  <c r="E1029" i="1"/>
  <c r="M1028" i="1"/>
  <c r="I1028" i="1"/>
  <c r="E1028" i="1"/>
  <c r="M1027" i="1"/>
  <c r="I1027" i="1"/>
  <c r="E1027" i="1"/>
  <c r="M1026" i="1"/>
  <c r="I1026" i="1"/>
  <c r="E1026" i="1"/>
  <c r="M1025" i="1"/>
  <c r="I1025" i="1"/>
  <c r="E1025" i="1"/>
  <c r="M1024" i="1"/>
  <c r="I1024" i="1"/>
  <c r="E1024" i="1"/>
  <c r="M1023" i="1"/>
  <c r="I1023" i="1"/>
  <c r="E1023" i="1"/>
  <c r="M1022" i="1"/>
  <c r="I1022" i="1"/>
  <c r="E1022" i="1"/>
  <c r="M1021" i="1"/>
  <c r="I1021" i="1"/>
  <c r="E1021" i="1"/>
  <c r="M1020" i="1"/>
  <c r="I1020" i="1"/>
  <c r="E1020" i="1"/>
  <c r="M1019" i="1"/>
  <c r="I1019" i="1"/>
  <c r="E1019" i="1"/>
  <c r="M1018" i="1"/>
  <c r="I1018" i="1"/>
  <c r="E1018" i="1"/>
  <c r="M1017" i="1"/>
  <c r="I1017" i="1"/>
  <c r="E1017" i="1"/>
  <c r="M1016" i="1"/>
  <c r="I1016" i="1"/>
  <c r="E1016" i="1"/>
  <c r="M1015" i="1"/>
  <c r="I1015" i="1"/>
  <c r="N1015" i="1" s="1"/>
  <c r="E1015" i="1"/>
  <c r="M1014" i="1"/>
  <c r="I1014" i="1"/>
  <c r="E1014" i="1"/>
  <c r="M1013" i="1"/>
  <c r="I1013" i="1"/>
  <c r="E1013" i="1"/>
  <c r="M1012" i="1"/>
  <c r="I1012" i="1"/>
  <c r="E1012" i="1"/>
  <c r="M1011" i="1"/>
  <c r="I1011" i="1"/>
  <c r="E1011" i="1"/>
  <c r="M1010" i="1"/>
  <c r="I1010" i="1"/>
  <c r="E1010" i="1"/>
  <c r="M1009" i="1"/>
  <c r="I1009" i="1"/>
  <c r="E1009" i="1"/>
  <c r="M1008" i="1"/>
  <c r="I1008" i="1"/>
  <c r="E1008" i="1"/>
  <c r="M1007" i="1"/>
  <c r="I1007" i="1"/>
  <c r="N1007" i="1" s="1"/>
  <c r="E1007" i="1"/>
  <c r="M1006" i="1"/>
  <c r="I1006" i="1"/>
  <c r="E1006" i="1"/>
  <c r="M1004" i="1"/>
  <c r="I1004" i="1"/>
  <c r="E1004" i="1"/>
  <c r="N1004" i="1" s="1"/>
  <c r="M1003" i="1"/>
  <c r="I1003" i="1"/>
  <c r="E1003" i="1"/>
  <c r="M1002" i="1"/>
  <c r="I1002" i="1"/>
  <c r="N1002" i="1" s="1"/>
  <c r="E1002" i="1"/>
  <c r="M1001" i="1"/>
  <c r="I1001" i="1"/>
  <c r="E1001" i="1"/>
  <c r="N1001" i="1" s="1"/>
  <c r="M1000" i="1"/>
  <c r="I1000" i="1"/>
  <c r="E1000" i="1"/>
  <c r="M999" i="1"/>
  <c r="I999" i="1"/>
  <c r="E999" i="1"/>
  <c r="M997" i="1"/>
  <c r="I997" i="1"/>
  <c r="E997" i="1"/>
  <c r="M996" i="1"/>
  <c r="I996" i="1"/>
  <c r="E996" i="1"/>
  <c r="M995" i="1"/>
  <c r="I995" i="1"/>
  <c r="E995" i="1"/>
  <c r="T938" i="1"/>
  <c r="X938" i="1"/>
  <c r="AB938" i="1"/>
  <c r="T939" i="1"/>
  <c r="X939" i="1"/>
  <c r="AC939" i="1" s="1"/>
  <c r="AB939" i="1"/>
  <c r="T896" i="1"/>
  <c r="X896" i="1"/>
  <c r="AB896" i="1"/>
  <c r="AC896" i="1" s="1"/>
  <c r="T898" i="1"/>
  <c r="X898" i="1"/>
  <c r="AB898" i="1"/>
  <c r="AB940" i="1"/>
  <c r="X940" i="1"/>
  <c r="T940" i="1"/>
  <c r="AB899" i="1"/>
  <c r="AB941" i="1"/>
  <c r="X941" i="1"/>
  <c r="T941" i="1"/>
  <c r="AC941" i="1" s="1"/>
  <c r="AB942" i="1"/>
  <c r="X942" i="1"/>
  <c r="T942" i="1"/>
  <c r="T943" i="1"/>
  <c r="T868" i="1"/>
  <c r="X868" i="1"/>
  <c r="AB868" i="1"/>
  <c r="AC868" i="1"/>
  <c r="T869" i="1"/>
  <c r="X869" i="1"/>
  <c r="AB869" i="1"/>
  <c r="T910" i="1"/>
  <c r="X910" i="1"/>
  <c r="AB910" i="1"/>
  <c r="T952" i="1"/>
  <c r="X952" i="1"/>
  <c r="AB952" i="1"/>
  <c r="T955" i="1"/>
  <c r="X955" i="1"/>
  <c r="AB955" i="1"/>
  <c r="AC955" i="1"/>
  <c r="T960" i="1"/>
  <c r="X960" i="1"/>
  <c r="AB960" i="1"/>
  <c r="T961" i="1"/>
  <c r="X961" i="1"/>
  <c r="AB961" i="1"/>
  <c r="T964" i="1"/>
  <c r="X964" i="1"/>
  <c r="AB964" i="1"/>
  <c r="AB987" i="1" s="1"/>
  <c r="T965" i="1"/>
  <c r="X965" i="1"/>
  <c r="AB965" i="1"/>
  <c r="T966" i="1"/>
  <c r="X966" i="1"/>
  <c r="AB966" i="1"/>
  <c r="T967" i="1"/>
  <c r="X967" i="1"/>
  <c r="AB967" i="1"/>
  <c r="T968" i="1"/>
  <c r="X968" i="1"/>
  <c r="AB968" i="1"/>
  <c r="T970" i="1"/>
  <c r="X970" i="1"/>
  <c r="AB970" i="1"/>
  <c r="T971" i="1"/>
  <c r="X971" i="1"/>
  <c r="AB971" i="1"/>
  <c r="T972" i="1"/>
  <c r="X972" i="1"/>
  <c r="AB972" i="1"/>
  <c r="T973" i="1"/>
  <c r="X973" i="1"/>
  <c r="AB973" i="1"/>
  <c r="T974" i="1"/>
  <c r="X974" i="1"/>
  <c r="AB974" i="1"/>
  <c r="T975" i="1"/>
  <c r="X975" i="1"/>
  <c r="AB975" i="1"/>
  <c r="AC975" i="1" s="1"/>
  <c r="T976" i="1"/>
  <c r="X976" i="1"/>
  <c r="AB976" i="1"/>
  <c r="T977" i="1"/>
  <c r="X977" i="1"/>
  <c r="AB977" i="1"/>
  <c r="AC977" i="1" s="1"/>
  <c r="T979" i="1"/>
  <c r="X979" i="1"/>
  <c r="AB979" i="1"/>
  <c r="T980" i="1"/>
  <c r="X980" i="1"/>
  <c r="AB980" i="1"/>
  <c r="T981" i="1"/>
  <c r="T982" i="1"/>
  <c r="X982" i="1"/>
  <c r="AB982" i="1"/>
  <c r="AC982" i="1" s="1"/>
  <c r="T983" i="1"/>
  <c r="X983" i="1"/>
  <c r="AB983" i="1"/>
  <c r="T984" i="1"/>
  <c r="T986" i="1"/>
  <c r="T995" i="1"/>
  <c r="X995" i="1"/>
  <c r="AB995" i="1"/>
  <c r="T996" i="1"/>
  <c r="X996" i="1"/>
  <c r="AC996" i="1" s="1"/>
  <c r="AB996" i="1"/>
  <c r="T997" i="1"/>
  <c r="X997" i="1"/>
  <c r="AB997" i="1"/>
  <c r="T1000" i="1"/>
  <c r="X1000" i="1"/>
  <c r="AB1000" i="1"/>
  <c r="T1001" i="1"/>
  <c r="X1001" i="1"/>
  <c r="AB1001" i="1"/>
  <c r="T1002" i="1"/>
  <c r="X1002" i="1"/>
  <c r="AB1002" i="1"/>
  <c r="T1003" i="1"/>
  <c r="X1003" i="1"/>
  <c r="AB1003" i="1"/>
  <c r="T1004" i="1"/>
  <c r="X1004" i="1"/>
  <c r="AB1004" i="1"/>
  <c r="T1008" i="1"/>
  <c r="X1008" i="1"/>
  <c r="AB1008" i="1"/>
  <c r="T1009" i="1"/>
  <c r="X1009" i="1"/>
  <c r="AB1009" i="1"/>
  <c r="T1010" i="1"/>
  <c r="X1010" i="1"/>
  <c r="AB1010" i="1"/>
  <c r="T1011" i="1"/>
  <c r="X1011" i="1"/>
  <c r="AB1011" i="1"/>
  <c r="T1012" i="1"/>
  <c r="X1012" i="1"/>
  <c r="AB1012" i="1"/>
  <c r="T1014" i="1"/>
  <c r="X1014" i="1"/>
  <c r="AB1014" i="1"/>
  <c r="T1015" i="1"/>
  <c r="X1015" i="1"/>
  <c r="AB1015" i="1"/>
  <c r="T1016" i="1"/>
  <c r="X1016" i="1"/>
  <c r="AB1016" i="1"/>
  <c r="T1029" i="1"/>
  <c r="AB1029" i="1"/>
  <c r="AB891" i="1"/>
  <c r="X891" i="1"/>
  <c r="T891" i="1"/>
  <c r="T871" i="1"/>
  <c r="X871" i="1"/>
  <c r="AB871" i="1"/>
  <c r="AB857" i="1"/>
  <c r="X857" i="1"/>
  <c r="AB886" i="1"/>
  <c r="X886" i="1"/>
  <c r="T886" i="1"/>
  <c r="F846" i="1"/>
  <c r="AB880" i="1"/>
  <c r="X880" i="1"/>
  <c r="T880" i="1"/>
  <c r="L987" i="1"/>
  <c r="K987" i="1"/>
  <c r="J987" i="1"/>
  <c r="H987" i="1"/>
  <c r="G987" i="1"/>
  <c r="F987" i="1"/>
  <c r="D987" i="1"/>
  <c r="C987" i="1"/>
  <c r="B987" i="1"/>
  <c r="M986" i="1"/>
  <c r="I986" i="1"/>
  <c r="E986" i="1"/>
  <c r="M985" i="1"/>
  <c r="I985" i="1"/>
  <c r="E985" i="1"/>
  <c r="M984" i="1"/>
  <c r="I984" i="1"/>
  <c r="E984" i="1"/>
  <c r="M983" i="1"/>
  <c r="I983" i="1"/>
  <c r="E983" i="1"/>
  <c r="M982" i="1"/>
  <c r="I982" i="1"/>
  <c r="E982" i="1"/>
  <c r="M981" i="1"/>
  <c r="I981" i="1"/>
  <c r="E981" i="1"/>
  <c r="M980" i="1"/>
  <c r="I980" i="1"/>
  <c r="E980" i="1"/>
  <c r="M979" i="1"/>
  <c r="I979" i="1"/>
  <c r="E979" i="1"/>
  <c r="M978" i="1"/>
  <c r="I978" i="1"/>
  <c r="E978" i="1"/>
  <c r="M977" i="1"/>
  <c r="I977" i="1"/>
  <c r="E977" i="1"/>
  <c r="M976" i="1"/>
  <c r="I976" i="1"/>
  <c r="E976" i="1"/>
  <c r="M975" i="1"/>
  <c r="I975" i="1"/>
  <c r="E975" i="1"/>
  <c r="M974" i="1"/>
  <c r="I974" i="1"/>
  <c r="E974" i="1"/>
  <c r="M973" i="1"/>
  <c r="I973" i="1"/>
  <c r="E973" i="1"/>
  <c r="M972" i="1"/>
  <c r="I972" i="1"/>
  <c r="E972" i="1"/>
  <c r="M971" i="1"/>
  <c r="I971" i="1"/>
  <c r="E971" i="1"/>
  <c r="M970" i="1"/>
  <c r="I970" i="1"/>
  <c r="E970" i="1"/>
  <c r="M969" i="1"/>
  <c r="I969" i="1"/>
  <c r="E969" i="1"/>
  <c r="M968" i="1"/>
  <c r="I968" i="1"/>
  <c r="E968" i="1"/>
  <c r="M967" i="1"/>
  <c r="I967" i="1"/>
  <c r="E967" i="1"/>
  <c r="M966" i="1"/>
  <c r="I966" i="1"/>
  <c r="E966" i="1"/>
  <c r="M965" i="1"/>
  <c r="I965" i="1"/>
  <c r="E965" i="1"/>
  <c r="M964" i="1"/>
  <c r="I964" i="1"/>
  <c r="E964" i="1"/>
  <c r="M963" i="1"/>
  <c r="I963" i="1"/>
  <c r="E963" i="1"/>
  <c r="M961" i="1"/>
  <c r="I961" i="1"/>
  <c r="E961" i="1"/>
  <c r="N961" i="1" s="1"/>
  <c r="M960" i="1"/>
  <c r="I960" i="1"/>
  <c r="E960" i="1"/>
  <c r="M959" i="1"/>
  <c r="I959" i="1"/>
  <c r="E959" i="1"/>
  <c r="M958" i="1"/>
  <c r="I958" i="1"/>
  <c r="E958" i="1"/>
  <c r="M957" i="1"/>
  <c r="I957" i="1"/>
  <c r="E957" i="1"/>
  <c r="M956" i="1"/>
  <c r="I956" i="1"/>
  <c r="E956" i="1"/>
  <c r="M955" i="1"/>
  <c r="I955" i="1"/>
  <c r="E955" i="1"/>
  <c r="M954" i="1"/>
  <c r="I954" i="1"/>
  <c r="E954" i="1"/>
  <c r="M953" i="1"/>
  <c r="I953" i="1"/>
  <c r="E953" i="1"/>
  <c r="M952" i="1"/>
  <c r="I952" i="1"/>
  <c r="E952" i="1"/>
  <c r="AB845" i="1"/>
  <c r="X845" i="1"/>
  <c r="T845" i="1"/>
  <c r="J840" i="1"/>
  <c r="F840" i="1"/>
  <c r="AB839" i="1"/>
  <c r="X839" i="1"/>
  <c r="T839" i="1"/>
  <c r="AB808" i="1"/>
  <c r="K815" i="1"/>
  <c r="G815" i="1"/>
  <c r="F808" i="1"/>
  <c r="AB836" i="1"/>
  <c r="X836" i="1"/>
  <c r="T836" i="1"/>
  <c r="AC836" i="1" s="1"/>
  <c r="X809" i="1"/>
  <c r="AB834" i="1"/>
  <c r="X834" i="1"/>
  <c r="T834" i="1"/>
  <c r="AB806" i="1"/>
  <c r="X806" i="1"/>
  <c r="T806" i="1"/>
  <c r="AB810" i="1"/>
  <c r="AB851" i="1"/>
  <c r="X851" i="1"/>
  <c r="T804" i="1"/>
  <c r="X804" i="1"/>
  <c r="AB804" i="1"/>
  <c r="X812" i="1"/>
  <c r="E797" i="1"/>
  <c r="I797" i="1"/>
  <c r="M797" i="1"/>
  <c r="M796" i="1"/>
  <c r="I796" i="1"/>
  <c r="E796" i="1"/>
  <c r="AB814" i="1"/>
  <c r="AB800" i="1"/>
  <c r="X800" i="1"/>
  <c r="T800" i="1"/>
  <c r="AB799" i="1"/>
  <c r="X799" i="1"/>
  <c r="T799" i="1"/>
  <c r="AB798" i="1"/>
  <c r="X798" i="1"/>
  <c r="T798" i="1"/>
  <c r="AB797" i="1"/>
  <c r="X797" i="1"/>
  <c r="T797" i="1"/>
  <c r="AB796" i="1"/>
  <c r="X796" i="1"/>
  <c r="T796" i="1"/>
  <c r="L944" i="1"/>
  <c r="J944" i="1"/>
  <c r="F944" i="1"/>
  <c r="D944" i="1"/>
  <c r="B944" i="1"/>
  <c r="M943" i="1"/>
  <c r="I943" i="1"/>
  <c r="E943" i="1"/>
  <c r="M942" i="1"/>
  <c r="I942" i="1"/>
  <c r="E942" i="1"/>
  <c r="M941" i="1"/>
  <c r="I941" i="1"/>
  <c r="E941" i="1"/>
  <c r="M940" i="1"/>
  <c r="I940" i="1"/>
  <c r="E940" i="1"/>
  <c r="M939" i="1"/>
  <c r="I939" i="1"/>
  <c r="E939" i="1"/>
  <c r="M938" i="1"/>
  <c r="I938" i="1"/>
  <c r="E938" i="1"/>
  <c r="M937" i="1"/>
  <c r="I937" i="1"/>
  <c r="E937" i="1"/>
  <c r="M936" i="1"/>
  <c r="E936" i="1"/>
  <c r="M935" i="1"/>
  <c r="I935" i="1"/>
  <c r="E935" i="1"/>
  <c r="M934" i="1"/>
  <c r="I934" i="1"/>
  <c r="E934" i="1"/>
  <c r="M933" i="1"/>
  <c r="I933" i="1"/>
  <c r="E933" i="1"/>
  <c r="M932" i="1"/>
  <c r="I932" i="1"/>
  <c r="E932" i="1"/>
  <c r="M931" i="1"/>
  <c r="I931" i="1"/>
  <c r="E931" i="1"/>
  <c r="M930" i="1"/>
  <c r="I930" i="1"/>
  <c r="E930" i="1"/>
  <c r="M929" i="1"/>
  <c r="I929" i="1"/>
  <c r="E928" i="1"/>
  <c r="M927" i="1"/>
  <c r="I927" i="1"/>
  <c r="E927" i="1"/>
  <c r="M926" i="1"/>
  <c r="I926" i="1"/>
  <c r="E926" i="1"/>
  <c r="M925" i="1"/>
  <c r="I925" i="1"/>
  <c r="E925" i="1"/>
  <c r="M924" i="1"/>
  <c r="I924" i="1"/>
  <c r="E924" i="1"/>
  <c r="M923" i="1"/>
  <c r="E923" i="1"/>
  <c r="M922" i="1"/>
  <c r="I922" i="1"/>
  <c r="E922" i="1"/>
  <c r="M921" i="1"/>
  <c r="I921" i="1"/>
  <c r="E921" i="1"/>
  <c r="M920" i="1"/>
  <c r="I920" i="1"/>
  <c r="E920" i="1"/>
  <c r="M915" i="1"/>
  <c r="I915" i="1"/>
  <c r="E915" i="1"/>
  <c r="M914" i="1"/>
  <c r="I914" i="1"/>
  <c r="E914" i="1"/>
  <c r="M913" i="1"/>
  <c r="I913" i="1"/>
  <c r="E913" i="1"/>
  <c r="M912" i="1"/>
  <c r="I912" i="1"/>
  <c r="E912" i="1"/>
  <c r="M911" i="1"/>
  <c r="I911" i="1"/>
  <c r="E911" i="1"/>
  <c r="M910" i="1"/>
  <c r="I910" i="1"/>
  <c r="E910" i="1"/>
  <c r="M909" i="1"/>
  <c r="I909" i="1"/>
  <c r="E909" i="1"/>
  <c r="T900" i="1"/>
  <c r="X900" i="1"/>
  <c r="AB900" i="1"/>
  <c r="AB935" i="1"/>
  <c r="X935" i="1"/>
  <c r="T935" i="1"/>
  <c r="AB933" i="1"/>
  <c r="X933" i="1"/>
  <c r="T933" i="1"/>
  <c r="AB931" i="1"/>
  <c r="X931" i="1"/>
  <c r="T931" i="1"/>
  <c r="AB930" i="1"/>
  <c r="X930" i="1"/>
  <c r="T930" i="1"/>
  <c r="AB929" i="1"/>
  <c r="X929" i="1"/>
  <c r="T929" i="1"/>
  <c r="AB928" i="1"/>
  <c r="X928" i="1"/>
  <c r="T928" i="1"/>
  <c r="AB926" i="1"/>
  <c r="X926" i="1"/>
  <c r="T926" i="1"/>
  <c r="AB925" i="1"/>
  <c r="X925" i="1"/>
  <c r="T925" i="1"/>
  <c r="AB923" i="1"/>
  <c r="X923" i="1"/>
  <c r="T923" i="1"/>
  <c r="AB922" i="1"/>
  <c r="X922" i="1"/>
  <c r="T922" i="1"/>
  <c r="AB921" i="1"/>
  <c r="X921" i="1"/>
  <c r="T921" i="1"/>
  <c r="AB918" i="1"/>
  <c r="X918" i="1"/>
  <c r="T918" i="1"/>
  <c r="AB917" i="1"/>
  <c r="X917" i="1"/>
  <c r="T917" i="1"/>
  <c r="AB916" i="1"/>
  <c r="X916" i="1"/>
  <c r="T916" i="1"/>
  <c r="AB915" i="1"/>
  <c r="X915" i="1"/>
  <c r="T915" i="1"/>
  <c r="AB914" i="1"/>
  <c r="X914" i="1"/>
  <c r="T914" i="1"/>
  <c r="AB913" i="1"/>
  <c r="X913" i="1"/>
  <c r="T913" i="1"/>
  <c r="AC913" i="1" s="1"/>
  <c r="AB909" i="1"/>
  <c r="X909" i="1"/>
  <c r="T909" i="1"/>
  <c r="AB795" i="1"/>
  <c r="X795" i="1"/>
  <c r="T795" i="1"/>
  <c r="AC795" i="1" s="1"/>
  <c r="AB794" i="1"/>
  <c r="X794" i="1"/>
  <c r="T794" i="1"/>
  <c r="AB793" i="1"/>
  <c r="AB815" i="1" s="1"/>
  <c r="X793" i="1"/>
  <c r="T793" i="1"/>
  <c r="T815" i="1" s="1"/>
  <c r="AB792" i="1"/>
  <c r="X792" i="1"/>
  <c r="T792" i="1"/>
  <c r="AB768" i="1"/>
  <c r="X768" i="1"/>
  <c r="T768" i="1"/>
  <c r="T770" i="1"/>
  <c r="X770" i="1"/>
  <c r="AB770" i="1"/>
  <c r="T771" i="1"/>
  <c r="X771" i="1"/>
  <c r="AB771" i="1"/>
  <c r="X808" i="1"/>
  <c r="T808" i="1"/>
  <c r="T809" i="1"/>
  <c r="AB809" i="1"/>
  <c r="T810" i="1"/>
  <c r="X810" i="1"/>
  <c r="T811" i="1"/>
  <c r="X811" i="1"/>
  <c r="AB811" i="1"/>
  <c r="T807" i="1"/>
  <c r="X807" i="1"/>
  <c r="AB807" i="1"/>
  <c r="AB850" i="1"/>
  <c r="X850" i="1"/>
  <c r="T850" i="1"/>
  <c r="AB852" i="1"/>
  <c r="X852" i="1"/>
  <c r="T852" i="1"/>
  <c r="T791" i="1"/>
  <c r="X791" i="1"/>
  <c r="X815" i="1" s="1"/>
  <c r="AB791" i="1"/>
  <c r="AB767" i="1"/>
  <c r="X767" i="1"/>
  <c r="T767" i="1"/>
  <c r="AB766" i="1"/>
  <c r="X766" i="1"/>
  <c r="T766" i="1"/>
  <c r="T769" i="1"/>
  <c r="X769" i="1"/>
  <c r="AB769" i="1"/>
  <c r="AB765" i="1"/>
  <c r="X765" i="1"/>
  <c r="T765" i="1"/>
  <c r="AB764" i="1"/>
  <c r="X764" i="1"/>
  <c r="T764" i="1"/>
  <c r="T722" i="1"/>
  <c r="X722" i="1"/>
  <c r="AB722" i="1"/>
  <c r="T723" i="1"/>
  <c r="X723" i="1"/>
  <c r="AB723" i="1"/>
  <c r="AC723" i="1"/>
  <c r="T724" i="1"/>
  <c r="X724" i="1"/>
  <c r="AB724" i="1"/>
  <c r="T725" i="1"/>
  <c r="X725" i="1"/>
  <c r="AB725" i="1"/>
  <c r="T726" i="1"/>
  <c r="X726" i="1"/>
  <c r="AB726" i="1"/>
  <c r="T727" i="1"/>
  <c r="X727" i="1"/>
  <c r="AB727" i="1"/>
  <c r="T728" i="1"/>
  <c r="X728" i="1"/>
  <c r="AB728" i="1"/>
  <c r="D759" i="1"/>
  <c r="D772" i="1" s="1"/>
  <c r="AB760" i="1"/>
  <c r="X760" i="1"/>
  <c r="T760" i="1"/>
  <c r="M752" i="1"/>
  <c r="I752" i="1"/>
  <c r="E752" i="1"/>
  <c r="AB754" i="1"/>
  <c r="X754" i="1"/>
  <c r="T754" i="1"/>
  <c r="I750" i="1"/>
  <c r="E725" i="1"/>
  <c r="I725" i="1"/>
  <c r="M725" i="1"/>
  <c r="M748" i="1"/>
  <c r="I748" i="1"/>
  <c r="E748" i="1"/>
  <c r="T812" i="1"/>
  <c r="AB812" i="1"/>
  <c r="T813" i="1"/>
  <c r="X813" i="1"/>
  <c r="AB813" i="1"/>
  <c r="T814" i="1"/>
  <c r="X814" i="1"/>
  <c r="AB750" i="1"/>
  <c r="X750" i="1"/>
  <c r="AC750" i="1" s="1"/>
  <c r="T750" i="1"/>
  <c r="E724" i="1"/>
  <c r="I724" i="1"/>
  <c r="M724" i="1"/>
  <c r="AB719" i="1"/>
  <c r="X719" i="1"/>
  <c r="T719" i="1"/>
  <c r="AB715" i="1"/>
  <c r="AB694" i="1"/>
  <c r="X694" i="1"/>
  <c r="T694" i="1"/>
  <c r="T853" i="1"/>
  <c r="X853" i="1"/>
  <c r="AB853" i="1"/>
  <c r="T854" i="1"/>
  <c r="X854" i="1"/>
  <c r="AB854" i="1"/>
  <c r="T855" i="1"/>
  <c r="AB855" i="1"/>
  <c r="T856" i="1"/>
  <c r="X856" i="1"/>
  <c r="AB856" i="1"/>
  <c r="T857" i="1"/>
  <c r="AB711" i="1"/>
  <c r="X711" i="1"/>
  <c r="T711" i="1"/>
  <c r="F711" i="1"/>
  <c r="K711" i="1"/>
  <c r="M711" i="1" s="1"/>
  <c r="G711" i="1"/>
  <c r="T709" i="1"/>
  <c r="X709" i="1"/>
  <c r="AB709" i="1"/>
  <c r="M712" i="1"/>
  <c r="I712" i="1"/>
  <c r="E712" i="1"/>
  <c r="L901" i="1"/>
  <c r="J901" i="1"/>
  <c r="H901" i="1"/>
  <c r="G901" i="1"/>
  <c r="F901" i="1"/>
  <c r="D901" i="1"/>
  <c r="C901" i="1"/>
  <c r="B901" i="1"/>
  <c r="M900" i="1"/>
  <c r="I900" i="1"/>
  <c r="E900" i="1"/>
  <c r="M899" i="1"/>
  <c r="I899" i="1"/>
  <c r="E899" i="1"/>
  <c r="M898" i="1"/>
  <c r="I898" i="1"/>
  <c r="E898" i="1"/>
  <c r="M897" i="1"/>
  <c r="I897" i="1"/>
  <c r="E897" i="1"/>
  <c r="M896" i="1"/>
  <c r="I896" i="1"/>
  <c r="E896" i="1"/>
  <c r="M895" i="1"/>
  <c r="I895" i="1"/>
  <c r="E895" i="1"/>
  <c r="M894" i="1"/>
  <c r="I894" i="1"/>
  <c r="E894" i="1"/>
  <c r="M893" i="1"/>
  <c r="I893" i="1"/>
  <c r="E893" i="1"/>
  <c r="M892" i="1"/>
  <c r="I892" i="1"/>
  <c r="E892" i="1"/>
  <c r="M891" i="1"/>
  <c r="I891" i="1"/>
  <c r="E891" i="1"/>
  <c r="M890" i="1"/>
  <c r="I890" i="1"/>
  <c r="E890" i="1"/>
  <c r="M889" i="1"/>
  <c r="I889" i="1"/>
  <c r="E889" i="1"/>
  <c r="M888" i="1"/>
  <c r="I888" i="1"/>
  <c r="E888" i="1"/>
  <c r="M887" i="1"/>
  <c r="I887" i="1"/>
  <c r="E887" i="1"/>
  <c r="M886" i="1"/>
  <c r="I886" i="1"/>
  <c r="E886" i="1"/>
  <c r="M885" i="1"/>
  <c r="I885" i="1"/>
  <c r="E885" i="1"/>
  <c r="M884" i="1"/>
  <c r="I884" i="1"/>
  <c r="E884" i="1"/>
  <c r="M883" i="1"/>
  <c r="I883" i="1"/>
  <c r="E883" i="1"/>
  <c r="M882" i="1"/>
  <c r="I882" i="1"/>
  <c r="E882" i="1"/>
  <c r="M881" i="1"/>
  <c r="I881" i="1"/>
  <c r="E881" i="1"/>
  <c r="M880" i="1"/>
  <c r="I880" i="1"/>
  <c r="E880" i="1"/>
  <c r="M879" i="1"/>
  <c r="I879" i="1"/>
  <c r="E879" i="1"/>
  <c r="M878" i="1"/>
  <c r="I878" i="1"/>
  <c r="E878" i="1"/>
  <c r="M877" i="1"/>
  <c r="I877" i="1"/>
  <c r="E877" i="1"/>
  <c r="M874" i="1"/>
  <c r="I874" i="1"/>
  <c r="E874" i="1"/>
  <c r="N874" i="1" s="1"/>
  <c r="M873" i="1"/>
  <c r="I873" i="1"/>
  <c r="E873" i="1"/>
  <c r="M872" i="1"/>
  <c r="I872" i="1"/>
  <c r="E872" i="1"/>
  <c r="M871" i="1"/>
  <c r="I871" i="1"/>
  <c r="E871" i="1"/>
  <c r="M870" i="1"/>
  <c r="I870" i="1"/>
  <c r="E870" i="1"/>
  <c r="M869" i="1"/>
  <c r="I869" i="1"/>
  <c r="E869" i="1"/>
  <c r="M868" i="1"/>
  <c r="I868" i="1"/>
  <c r="E868" i="1"/>
  <c r="M867" i="1"/>
  <c r="I867" i="1"/>
  <c r="E867" i="1"/>
  <c r="M866" i="1"/>
  <c r="I866" i="1"/>
  <c r="E866" i="1"/>
  <c r="T710" i="1"/>
  <c r="X710" i="1"/>
  <c r="AB710" i="1"/>
  <c r="AB708" i="1"/>
  <c r="X708" i="1"/>
  <c r="T708" i="1"/>
  <c r="AB707" i="1"/>
  <c r="X707" i="1"/>
  <c r="T707" i="1"/>
  <c r="AB706" i="1"/>
  <c r="AB729" i="1" s="1"/>
  <c r="X706" i="1"/>
  <c r="T706" i="1"/>
  <c r="T729" i="1" s="1"/>
  <c r="AB705" i="1"/>
  <c r="X705" i="1"/>
  <c r="X729" i="1" s="1"/>
  <c r="T705" i="1"/>
  <c r="AB678" i="1"/>
  <c r="X678" i="1"/>
  <c r="T678" i="1"/>
  <c r="AB677" i="1"/>
  <c r="X677" i="1"/>
  <c r="T677" i="1"/>
  <c r="AB676" i="1"/>
  <c r="X676" i="1"/>
  <c r="T676" i="1"/>
  <c r="AB721" i="1"/>
  <c r="X721" i="1"/>
  <c r="T721" i="1"/>
  <c r="T716" i="1"/>
  <c r="X716" i="1"/>
  <c r="AB716" i="1"/>
  <c r="T717" i="1"/>
  <c r="X717" i="1"/>
  <c r="AB717" i="1"/>
  <c r="T718" i="1"/>
  <c r="X718" i="1"/>
  <c r="AB718" i="1"/>
  <c r="AB748" i="1"/>
  <c r="X748" i="1"/>
  <c r="T748" i="1"/>
  <c r="T720" i="1"/>
  <c r="X720" i="1"/>
  <c r="AB720" i="1"/>
  <c r="T780" i="1"/>
  <c r="X780" i="1"/>
  <c r="AB780" i="1"/>
  <c r="T781" i="1"/>
  <c r="X781" i="1"/>
  <c r="AB781" i="1"/>
  <c r="T782" i="1"/>
  <c r="X782" i="1"/>
  <c r="AB782" i="1"/>
  <c r="T783" i="1"/>
  <c r="X783" i="1"/>
  <c r="AB783" i="1"/>
  <c r="T784" i="1"/>
  <c r="X784" i="1"/>
  <c r="AB784" i="1"/>
  <c r="T785" i="1"/>
  <c r="X785" i="1"/>
  <c r="AB785" i="1"/>
  <c r="T786" i="1"/>
  <c r="X786" i="1"/>
  <c r="AC786" i="1" s="1"/>
  <c r="AB786" i="1"/>
  <c r="T787" i="1"/>
  <c r="X787" i="1"/>
  <c r="AB787" i="1"/>
  <c r="T788" i="1"/>
  <c r="X788" i="1"/>
  <c r="AB788" i="1"/>
  <c r="T789" i="1"/>
  <c r="X789" i="1"/>
  <c r="AB789" i="1"/>
  <c r="T801" i="1"/>
  <c r="X801" i="1"/>
  <c r="AB801" i="1"/>
  <c r="T802" i="1"/>
  <c r="X802" i="1"/>
  <c r="AB802" i="1"/>
  <c r="T803" i="1"/>
  <c r="X803" i="1"/>
  <c r="AB803" i="1"/>
  <c r="T805" i="1"/>
  <c r="X805" i="1"/>
  <c r="AB805" i="1"/>
  <c r="T823" i="1"/>
  <c r="X823" i="1"/>
  <c r="AB823" i="1"/>
  <c r="T824" i="1"/>
  <c r="X824" i="1"/>
  <c r="AB824" i="1"/>
  <c r="T825" i="1"/>
  <c r="X825" i="1"/>
  <c r="AB825" i="1"/>
  <c r="T826" i="1"/>
  <c r="X826" i="1"/>
  <c r="AB826" i="1"/>
  <c r="T827" i="1"/>
  <c r="X827" i="1"/>
  <c r="AB827" i="1"/>
  <c r="T828" i="1"/>
  <c r="X828" i="1"/>
  <c r="AB828" i="1"/>
  <c r="T829" i="1"/>
  <c r="X829" i="1"/>
  <c r="AB829" i="1"/>
  <c r="T830" i="1"/>
  <c r="X830" i="1"/>
  <c r="AB830" i="1"/>
  <c r="T831" i="1"/>
  <c r="X831" i="1"/>
  <c r="AB831" i="1"/>
  <c r="T832" i="1"/>
  <c r="X832" i="1"/>
  <c r="AB832" i="1"/>
  <c r="T835" i="1"/>
  <c r="X835" i="1"/>
  <c r="AB835" i="1"/>
  <c r="T837" i="1"/>
  <c r="X837" i="1"/>
  <c r="AB837" i="1"/>
  <c r="T838" i="1"/>
  <c r="X838" i="1"/>
  <c r="AB838" i="1"/>
  <c r="T840" i="1"/>
  <c r="X840" i="1"/>
  <c r="AB840" i="1"/>
  <c r="T841" i="1"/>
  <c r="X841" i="1"/>
  <c r="AB841" i="1"/>
  <c r="T842" i="1"/>
  <c r="X842" i="1"/>
  <c r="AB842" i="1"/>
  <c r="T843" i="1"/>
  <c r="X843" i="1"/>
  <c r="AB843" i="1"/>
  <c r="T844" i="1"/>
  <c r="X844" i="1"/>
  <c r="AB844" i="1"/>
  <c r="T846" i="1"/>
  <c r="X846" i="1"/>
  <c r="AB846" i="1"/>
  <c r="T847" i="1"/>
  <c r="X847" i="1"/>
  <c r="AB847" i="1"/>
  <c r="T848" i="1"/>
  <c r="X848" i="1"/>
  <c r="AB848" i="1"/>
  <c r="T849" i="1"/>
  <c r="X849" i="1"/>
  <c r="AB849" i="1"/>
  <c r="T866" i="1"/>
  <c r="X866" i="1"/>
  <c r="AB866" i="1"/>
  <c r="T867" i="1"/>
  <c r="X867" i="1"/>
  <c r="AB867" i="1"/>
  <c r="T870" i="1"/>
  <c r="X870" i="1"/>
  <c r="AB870" i="1"/>
  <c r="T872" i="1"/>
  <c r="X872" i="1"/>
  <c r="AB872" i="1"/>
  <c r="T873" i="1"/>
  <c r="X873" i="1"/>
  <c r="AB873" i="1"/>
  <c r="T874" i="1"/>
  <c r="X874" i="1"/>
  <c r="AB874" i="1"/>
  <c r="T875" i="1"/>
  <c r="X875" i="1"/>
  <c r="AB875" i="1"/>
  <c r="T877" i="1"/>
  <c r="X877" i="1"/>
  <c r="AB877" i="1"/>
  <c r="AB901" i="1" s="1"/>
  <c r="T878" i="1"/>
  <c r="X878" i="1"/>
  <c r="AB878" i="1"/>
  <c r="T879" i="1"/>
  <c r="X879" i="1"/>
  <c r="AB879" i="1"/>
  <c r="T881" i="1"/>
  <c r="X881" i="1"/>
  <c r="AB881" i="1"/>
  <c r="T882" i="1"/>
  <c r="X882" i="1"/>
  <c r="AB882" i="1"/>
  <c r="T883" i="1"/>
  <c r="X883" i="1"/>
  <c r="AB883" i="1"/>
  <c r="T884" i="1"/>
  <c r="X884" i="1"/>
  <c r="AB884" i="1"/>
  <c r="T885" i="1"/>
  <c r="X885" i="1"/>
  <c r="AB885" i="1"/>
  <c r="T887" i="1"/>
  <c r="X887" i="1"/>
  <c r="AB887" i="1"/>
  <c r="T888" i="1"/>
  <c r="X888" i="1"/>
  <c r="AB888" i="1"/>
  <c r="T889" i="1"/>
  <c r="X889" i="1"/>
  <c r="AB889" i="1"/>
  <c r="T890" i="1"/>
  <c r="X890" i="1"/>
  <c r="AB890" i="1"/>
  <c r="T892" i="1"/>
  <c r="X892" i="1"/>
  <c r="AB892" i="1"/>
  <c r="T893" i="1"/>
  <c r="X893" i="1"/>
  <c r="AB893" i="1"/>
  <c r="T894" i="1"/>
  <c r="X894" i="1"/>
  <c r="AB894" i="1"/>
  <c r="E711" i="1"/>
  <c r="M710" i="1"/>
  <c r="I710" i="1"/>
  <c r="E710" i="1"/>
  <c r="E655" i="1"/>
  <c r="I655" i="1"/>
  <c r="M655" i="1"/>
  <c r="M694" i="1"/>
  <c r="I694" i="1"/>
  <c r="E694" i="1"/>
  <c r="E668" i="1"/>
  <c r="I668" i="1"/>
  <c r="M668" i="1"/>
  <c r="E669" i="1"/>
  <c r="I669" i="1"/>
  <c r="M669" i="1"/>
  <c r="M706" i="1"/>
  <c r="I706" i="1"/>
  <c r="E706" i="1"/>
  <c r="M705" i="1"/>
  <c r="I705" i="1"/>
  <c r="E705" i="1"/>
  <c r="AB675" i="1"/>
  <c r="X675" i="1"/>
  <c r="T675" i="1"/>
  <c r="L858" i="1"/>
  <c r="K858" i="1"/>
  <c r="J858" i="1"/>
  <c r="H858" i="1"/>
  <c r="G858" i="1"/>
  <c r="D858" i="1"/>
  <c r="C858" i="1"/>
  <c r="B858" i="1"/>
  <c r="M857" i="1"/>
  <c r="I857" i="1"/>
  <c r="E857" i="1"/>
  <c r="M856" i="1"/>
  <c r="I856" i="1"/>
  <c r="E856" i="1"/>
  <c r="M855" i="1"/>
  <c r="I855" i="1"/>
  <c r="E855" i="1"/>
  <c r="M854" i="1"/>
  <c r="I854" i="1"/>
  <c r="E854" i="1"/>
  <c r="M853" i="1"/>
  <c r="I853" i="1"/>
  <c r="E853" i="1"/>
  <c r="M852" i="1"/>
  <c r="I852" i="1"/>
  <c r="E852" i="1"/>
  <c r="M851" i="1"/>
  <c r="I851" i="1"/>
  <c r="E851" i="1"/>
  <c r="M850" i="1"/>
  <c r="I850" i="1"/>
  <c r="E850" i="1"/>
  <c r="M849" i="1"/>
  <c r="I849" i="1"/>
  <c r="E849" i="1"/>
  <c r="M848" i="1"/>
  <c r="I848" i="1"/>
  <c r="E848" i="1"/>
  <c r="M847" i="1"/>
  <c r="I847" i="1"/>
  <c r="E847" i="1"/>
  <c r="M846" i="1"/>
  <c r="I846" i="1"/>
  <c r="E846" i="1"/>
  <c r="M845" i="1"/>
  <c r="I845" i="1"/>
  <c r="E845" i="1"/>
  <c r="M844" i="1"/>
  <c r="I844" i="1"/>
  <c r="E844" i="1"/>
  <c r="M843" i="1"/>
  <c r="I843" i="1"/>
  <c r="E843" i="1"/>
  <c r="M842" i="1"/>
  <c r="I842" i="1"/>
  <c r="E842" i="1"/>
  <c r="M841" i="1"/>
  <c r="I841" i="1"/>
  <c r="E841" i="1"/>
  <c r="M840" i="1"/>
  <c r="E840" i="1"/>
  <c r="M839" i="1"/>
  <c r="I839" i="1"/>
  <c r="E839" i="1"/>
  <c r="M838" i="1"/>
  <c r="I838" i="1"/>
  <c r="E838" i="1"/>
  <c r="M837" i="1"/>
  <c r="I837" i="1"/>
  <c r="E837" i="1"/>
  <c r="M836" i="1"/>
  <c r="I836" i="1"/>
  <c r="E836" i="1"/>
  <c r="M835" i="1"/>
  <c r="I835" i="1"/>
  <c r="E835" i="1"/>
  <c r="M834" i="1"/>
  <c r="I834" i="1"/>
  <c r="E834" i="1"/>
  <c r="M832" i="1"/>
  <c r="I832" i="1"/>
  <c r="E832" i="1"/>
  <c r="M831" i="1"/>
  <c r="I831" i="1"/>
  <c r="E831" i="1"/>
  <c r="M830" i="1"/>
  <c r="I830" i="1"/>
  <c r="E830" i="1"/>
  <c r="M829" i="1"/>
  <c r="I829" i="1"/>
  <c r="E829" i="1"/>
  <c r="M828" i="1"/>
  <c r="I828" i="1"/>
  <c r="E828" i="1"/>
  <c r="M827" i="1"/>
  <c r="I827" i="1"/>
  <c r="E827" i="1"/>
  <c r="M826" i="1"/>
  <c r="I826" i="1"/>
  <c r="E826" i="1"/>
  <c r="M825" i="1"/>
  <c r="I825" i="1"/>
  <c r="E825" i="1"/>
  <c r="M824" i="1"/>
  <c r="I824" i="1"/>
  <c r="E824" i="1"/>
  <c r="M823" i="1"/>
  <c r="I823" i="1"/>
  <c r="E823" i="1"/>
  <c r="AB684" i="1"/>
  <c r="M625" i="1"/>
  <c r="I625" i="1"/>
  <c r="E624" i="1"/>
  <c r="E625" i="1"/>
  <c r="E660" i="1"/>
  <c r="I660" i="1"/>
  <c r="M660" i="1"/>
  <c r="M574" i="1"/>
  <c r="I574" i="1"/>
  <c r="E574" i="1"/>
  <c r="AB669" i="1"/>
  <c r="X669" i="1"/>
  <c r="T669" i="1"/>
  <c r="T666" i="1"/>
  <c r="X666" i="1"/>
  <c r="AB666" i="1"/>
  <c r="AB633" i="1"/>
  <c r="X633" i="1"/>
  <c r="T633" i="1"/>
  <c r="AB628" i="1"/>
  <c r="X628" i="1"/>
  <c r="T628" i="1"/>
  <c r="AB640" i="1"/>
  <c r="AB621" i="1"/>
  <c r="X621" i="1"/>
  <c r="T621" i="1"/>
  <c r="M581" i="1"/>
  <c r="M582" i="1"/>
  <c r="M583" i="1"/>
  <c r="M584" i="1"/>
  <c r="M585" i="1"/>
  <c r="M586" i="1"/>
  <c r="M587" i="1"/>
  <c r="I581" i="1"/>
  <c r="I582" i="1"/>
  <c r="I583" i="1"/>
  <c r="I584" i="1"/>
  <c r="I585" i="1"/>
  <c r="I586" i="1"/>
  <c r="I587" i="1"/>
  <c r="I588" i="1"/>
  <c r="E583" i="1"/>
  <c r="E584" i="1"/>
  <c r="E585" i="1"/>
  <c r="E586" i="1"/>
  <c r="E587" i="1"/>
  <c r="E588" i="1"/>
  <c r="J588" i="1"/>
  <c r="M588" i="1" s="1"/>
  <c r="AA636" i="1"/>
  <c r="Z636" i="1"/>
  <c r="Y636" i="1"/>
  <c r="Y643" i="1" s="1"/>
  <c r="W636" i="1"/>
  <c r="W643" i="1" s="1"/>
  <c r="V636" i="1"/>
  <c r="V643" i="1" s="1"/>
  <c r="U636" i="1"/>
  <c r="U643" i="1" s="1"/>
  <c r="S636" i="1"/>
  <c r="S643" i="1" s="1"/>
  <c r="R636" i="1"/>
  <c r="Q636" i="1"/>
  <c r="Q643" i="1" s="1"/>
  <c r="AB591" i="1"/>
  <c r="X591" i="1"/>
  <c r="T591" i="1"/>
  <c r="AB592" i="1"/>
  <c r="X592" i="1"/>
  <c r="T592" i="1"/>
  <c r="AB590" i="1"/>
  <c r="X590" i="1"/>
  <c r="T590" i="1"/>
  <c r="N585" i="1"/>
  <c r="X598" i="1"/>
  <c r="AB589" i="1"/>
  <c r="X589" i="1"/>
  <c r="T589" i="1"/>
  <c r="AB642" i="1"/>
  <c r="AB596" i="1"/>
  <c r="X596" i="1"/>
  <c r="AB679" i="1"/>
  <c r="X679" i="1"/>
  <c r="T679" i="1"/>
  <c r="T545" i="1"/>
  <c r="X545" i="1"/>
  <c r="AB545" i="1"/>
  <c r="T546" i="1"/>
  <c r="X546" i="1"/>
  <c r="AB546" i="1"/>
  <c r="AB579" i="1"/>
  <c r="X579" i="1"/>
  <c r="T579" i="1"/>
  <c r="AB578" i="1"/>
  <c r="X578" i="1"/>
  <c r="T578" i="1"/>
  <c r="AB637" i="1"/>
  <c r="X637" i="1"/>
  <c r="T637" i="1"/>
  <c r="T544" i="1"/>
  <c r="X544" i="1"/>
  <c r="AB544" i="1"/>
  <c r="AB577" i="1"/>
  <c r="X577" i="1"/>
  <c r="T577" i="1"/>
  <c r="T738" i="1"/>
  <c r="X738" i="1"/>
  <c r="AB738" i="1"/>
  <c r="T739" i="1"/>
  <c r="X739" i="1"/>
  <c r="AB739" i="1"/>
  <c r="L815" i="1"/>
  <c r="J815" i="1"/>
  <c r="H815" i="1"/>
  <c r="F815" i="1"/>
  <c r="D815" i="1"/>
  <c r="C815" i="1"/>
  <c r="B815" i="1"/>
  <c r="M814" i="1"/>
  <c r="I814" i="1"/>
  <c r="E814" i="1"/>
  <c r="M813" i="1"/>
  <c r="I813" i="1"/>
  <c r="E813" i="1"/>
  <c r="M812" i="1"/>
  <c r="I812" i="1"/>
  <c r="E812" i="1"/>
  <c r="M811" i="1"/>
  <c r="I811" i="1"/>
  <c r="E811" i="1"/>
  <c r="M810" i="1"/>
  <c r="I810" i="1"/>
  <c r="E810" i="1"/>
  <c r="M809" i="1"/>
  <c r="I809" i="1"/>
  <c r="E809" i="1"/>
  <c r="M808" i="1"/>
  <c r="E808" i="1"/>
  <c r="M807" i="1"/>
  <c r="I807" i="1"/>
  <c r="E807" i="1"/>
  <c r="M806" i="1"/>
  <c r="I806" i="1"/>
  <c r="E806" i="1"/>
  <c r="M805" i="1"/>
  <c r="I805" i="1"/>
  <c r="E805" i="1"/>
  <c r="M804" i="1"/>
  <c r="I804" i="1"/>
  <c r="E804" i="1"/>
  <c r="M803" i="1"/>
  <c r="I803" i="1"/>
  <c r="E803" i="1"/>
  <c r="M802" i="1"/>
  <c r="I802" i="1"/>
  <c r="E802" i="1"/>
  <c r="M801" i="1"/>
  <c r="I801" i="1"/>
  <c r="E801" i="1"/>
  <c r="M800" i="1"/>
  <c r="I800" i="1"/>
  <c r="E800" i="1"/>
  <c r="M799" i="1"/>
  <c r="I799" i="1"/>
  <c r="E799" i="1"/>
  <c r="M798" i="1"/>
  <c r="I798" i="1"/>
  <c r="E798" i="1"/>
  <c r="M795" i="1"/>
  <c r="I795" i="1"/>
  <c r="E795" i="1"/>
  <c r="M794" i="1"/>
  <c r="I794" i="1"/>
  <c r="E794" i="1"/>
  <c r="M793" i="1"/>
  <c r="I793" i="1"/>
  <c r="E793" i="1"/>
  <c r="M792" i="1"/>
  <c r="I792" i="1"/>
  <c r="E792" i="1"/>
  <c r="M791" i="1"/>
  <c r="I791" i="1"/>
  <c r="E791" i="1"/>
  <c r="M789" i="1"/>
  <c r="I789" i="1"/>
  <c r="E789" i="1"/>
  <c r="M788" i="1"/>
  <c r="I788" i="1"/>
  <c r="E788" i="1"/>
  <c r="M787" i="1"/>
  <c r="I787" i="1"/>
  <c r="E787" i="1"/>
  <c r="M786" i="1"/>
  <c r="I786" i="1"/>
  <c r="E786" i="1"/>
  <c r="M785" i="1"/>
  <c r="I785" i="1"/>
  <c r="E785" i="1"/>
  <c r="M784" i="1"/>
  <c r="I784" i="1"/>
  <c r="E784" i="1"/>
  <c r="M783" i="1"/>
  <c r="I783" i="1"/>
  <c r="E783" i="1"/>
  <c r="M782" i="1"/>
  <c r="I782" i="1"/>
  <c r="E782" i="1"/>
  <c r="M781" i="1"/>
  <c r="I781" i="1"/>
  <c r="E781" i="1"/>
  <c r="M780" i="1"/>
  <c r="I780" i="1"/>
  <c r="E780" i="1"/>
  <c r="T555" i="1"/>
  <c r="AB552" i="1"/>
  <c r="X555" i="1"/>
  <c r="T543" i="1"/>
  <c r="X543" i="1"/>
  <c r="AB543" i="1"/>
  <c r="T547" i="1"/>
  <c r="X547" i="1"/>
  <c r="AB547" i="1"/>
  <c r="T548" i="1"/>
  <c r="X548" i="1"/>
  <c r="AB548" i="1"/>
  <c r="T549" i="1"/>
  <c r="X549" i="1"/>
  <c r="AB549" i="1"/>
  <c r="T550" i="1"/>
  <c r="X550" i="1"/>
  <c r="AB550" i="1"/>
  <c r="T551" i="1"/>
  <c r="X551" i="1"/>
  <c r="AB551" i="1"/>
  <c r="T552" i="1"/>
  <c r="X552" i="1"/>
  <c r="T553" i="1"/>
  <c r="X553" i="1"/>
  <c r="AB553" i="1"/>
  <c r="T554" i="1"/>
  <c r="X554" i="1"/>
  <c r="AB554" i="1"/>
  <c r="AB555" i="1"/>
  <c r="T556" i="1"/>
  <c r="X556" i="1"/>
  <c r="AB556" i="1"/>
  <c r="T593" i="1"/>
  <c r="X593" i="1"/>
  <c r="AB593" i="1"/>
  <c r="T594" i="1"/>
  <c r="X594" i="1"/>
  <c r="AB594" i="1"/>
  <c r="T595" i="1"/>
  <c r="X595" i="1"/>
  <c r="AB595" i="1"/>
  <c r="AB502" i="1"/>
  <c r="X502" i="1"/>
  <c r="T502" i="1"/>
  <c r="L506" i="1"/>
  <c r="AB497" i="1"/>
  <c r="X497" i="1"/>
  <c r="T497" i="1"/>
  <c r="T634" i="1"/>
  <c r="X634" i="1"/>
  <c r="AC634" i="1" s="1"/>
  <c r="AB634" i="1"/>
  <c r="T635" i="1"/>
  <c r="X635" i="1"/>
  <c r="AB635" i="1"/>
  <c r="X640" i="1"/>
  <c r="T640" i="1"/>
  <c r="AB639" i="1"/>
  <c r="X639" i="1"/>
  <c r="T639" i="1"/>
  <c r="AB638" i="1"/>
  <c r="X638" i="1"/>
  <c r="T638" i="1"/>
  <c r="T596" i="1"/>
  <c r="AB598" i="1"/>
  <c r="T598" i="1"/>
  <c r="AB597" i="1"/>
  <c r="X597" i="1"/>
  <c r="T597" i="1"/>
  <c r="T505" i="1"/>
  <c r="X505" i="1"/>
  <c r="AB505" i="1"/>
  <c r="AB504" i="1"/>
  <c r="X504" i="1"/>
  <c r="T504" i="1"/>
  <c r="AB506" i="1"/>
  <c r="X506" i="1"/>
  <c r="T506" i="1"/>
  <c r="K493" i="1"/>
  <c r="H493" i="1"/>
  <c r="H514" i="1" s="1"/>
  <c r="AB682" i="1"/>
  <c r="X682" i="1"/>
  <c r="T682" i="1"/>
  <c r="AB683" i="1"/>
  <c r="X683" i="1"/>
  <c r="T683" i="1"/>
  <c r="AB507" i="1"/>
  <c r="X507" i="1"/>
  <c r="T507" i="1"/>
  <c r="AB513" i="1"/>
  <c r="L772" i="1"/>
  <c r="K772" i="1"/>
  <c r="J772" i="1"/>
  <c r="H772" i="1"/>
  <c r="G772" i="1"/>
  <c r="F772" i="1"/>
  <c r="C772" i="1"/>
  <c r="B772" i="1"/>
  <c r="M771" i="1"/>
  <c r="I771" i="1"/>
  <c r="E771" i="1"/>
  <c r="M770" i="1"/>
  <c r="I770" i="1"/>
  <c r="E770" i="1"/>
  <c r="M769" i="1"/>
  <c r="I769" i="1"/>
  <c r="E769" i="1"/>
  <c r="M768" i="1"/>
  <c r="I768" i="1"/>
  <c r="E768" i="1"/>
  <c r="M767" i="1"/>
  <c r="I767" i="1"/>
  <c r="E767" i="1"/>
  <c r="M766" i="1"/>
  <c r="I766" i="1"/>
  <c r="E766" i="1"/>
  <c r="M765" i="1"/>
  <c r="I765" i="1"/>
  <c r="E765" i="1"/>
  <c r="M764" i="1"/>
  <c r="I764" i="1"/>
  <c r="E764" i="1"/>
  <c r="M763" i="1"/>
  <c r="I763" i="1"/>
  <c r="E763" i="1"/>
  <c r="M762" i="1"/>
  <c r="I762" i="1"/>
  <c r="E762" i="1"/>
  <c r="M761" i="1"/>
  <c r="I761" i="1"/>
  <c r="E761" i="1"/>
  <c r="M760" i="1"/>
  <c r="I760" i="1"/>
  <c r="E760" i="1"/>
  <c r="M759" i="1"/>
  <c r="I759" i="1"/>
  <c r="E759" i="1"/>
  <c r="M758" i="1"/>
  <c r="I758" i="1"/>
  <c r="E758" i="1"/>
  <c r="M757" i="1"/>
  <c r="I757" i="1"/>
  <c r="E757" i="1"/>
  <c r="M756" i="1"/>
  <c r="I756" i="1"/>
  <c r="E756" i="1"/>
  <c r="M755" i="1"/>
  <c r="I755" i="1"/>
  <c r="E755" i="1"/>
  <c r="M754" i="1"/>
  <c r="I754" i="1"/>
  <c r="E754" i="1"/>
  <c r="M753" i="1"/>
  <c r="I753" i="1"/>
  <c r="E753" i="1"/>
  <c r="M751" i="1"/>
  <c r="I751" i="1"/>
  <c r="E751" i="1"/>
  <c r="M750" i="1"/>
  <c r="E750" i="1"/>
  <c r="M749" i="1"/>
  <c r="I749" i="1"/>
  <c r="E749" i="1"/>
  <c r="M746" i="1"/>
  <c r="I746" i="1"/>
  <c r="E746" i="1"/>
  <c r="M745" i="1"/>
  <c r="I745" i="1"/>
  <c r="E745" i="1"/>
  <c r="M744" i="1"/>
  <c r="I744" i="1"/>
  <c r="E744" i="1"/>
  <c r="M743" i="1"/>
  <c r="I743" i="1"/>
  <c r="E743" i="1"/>
  <c r="M742" i="1"/>
  <c r="I742" i="1"/>
  <c r="E742" i="1"/>
  <c r="M741" i="1"/>
  <c r="I741" i="1"/>
  <c r="E741" i="1"/>
  <c r="M740" i="1"/>
  <c r="I740" i="1"/>
  <c r="E740" i="1"/>
  <c r="M739" i="1"/>
  <c r="I739" i="1"/>
  <c r="E739" i="1"/>
  <c r="M738" i="1"/>
  <c r="I738" i="1"/>
  <c r="E738" i="1"/>
  <c r="M737" i="1"/>
  <c r="I737" i="1"/>
  <c r="E737" i="1"/>
  <c r="T695" i="1"/>
  <c r="X695" i="1"/>
  <c r="AB695" i="1"/>
  <c r="T696" i="1"/>
  <c r="X696" i="1"/>
  <c r="AB696" i="1"/>
  <c r="AB763" i="1"/>
  <c r="X763" i="1"/>
  <c r="T763" i="1"/>
  <c r="AB762" i="1"/>
  <c r="X762" i="1"/>
  <c r="T762" i="1"/>
  <c r="AB761" i="1"/>
  <c r="X761" i="1"/>
  <c r="T761" i="1"/>
  <c r="AB759" i="1"/>
  <c r="X759" i="1"/>
  <c r="T759" i="1"/>
  <c r="AB758" i="1"/>
  <c r="X758" i="1"/>
  <c r="T758" i="1"/>
  <c r="AB757" i="1"/>
  <c r="X757" i="1"/>
  <c r="T757" i="1"/>
  <c r="AB756" i="1"/>
  <c r="X756" i="1"/>
  <c r="T756" i="1"/>
  <c r="AB755" i="1"/>
  <c r="X755" i="1"/>
  <c r="T755" i="1"/>
  <c r="AB753" i="1"/>
  <c r="X753" i="1"/>
  <c r="T753" i="1"/>
  <c r="AB752" i="1"/>
  <c r="X752" i="1"/>
  <c r="T752" i="1"/>
  <c r="AB751" i="1"/>
  <c r="X751" i="1"/>
  <c r="T751" i="1"/>
  <c r="AB749" i="1"/>
  <c r="X749" i="1"/>
  <c r="T749" i="1"/>
  <c r="AB746" i="1"/>
  <c r="X746" i="1"/>
  <c r="T746" i="1"/>
  <c r="AB745" i="1"/>
  <c r="X745" i="1"/>
  <c r="T745" i="1"/>
  <c r="AB744" i="1"/>
  <c r="X744" i="1"/>
  <c r="T744" i="1"/>
  <c r="AB743" i="1"/>
  <c r="X743" i="1"/>
  <c r="T743" i="1"/>
  <c r="AB742" i="1"/>
  <c r="X742" i="1"/>
  <c r="T742" i="1"/>
  <c r="AB741" i="1"/>
  <c r="X741" i="1"/>
  <c r="T741" i="1"/>
  <c r="AB740" i="1"/>
  <c r="X740" i="1"/>
  <c r="T740" i="1"/>
  <c r="AB737" i="1"/>
  <c r="X737" i="1"/>
  <c r="T737" i="1"/>
  <c r="E479" i="1"/>
  <c r="I479" i="1"/>
  <c r="M479" i="1"/>
  <c r="M439" i="1"/>
  <c r="I439" i="1"/>
  <c r="E439" i="1"/>
  <c r="N439" i="1" s="1"/>
  <c r="M440" i="1"/>
  <c r="I440" i="1"/>
  <c r="E440" i="1"/>
  <c r="T490" i="1"/>
  <c r="X490" i="1"/>
  <c r="AB490" i="1"/>
  <c r="AB456" i="1"/>
  <c r="X456" i="1"/>
  <c r="T456" i="1"/>
  <c r="AB457" i="1"/>
  <c r="X457" i="1"/>
  <c r="T457" i="1"/>
  <c r="L729" i="1"/>
  <c r="J729" i="1"/>
  <c r="H729" i="1"/>
  <c r="G729" i="1"/>
  <c r="D729" i="1"/>
  <c r="C729" i="1"/>
  <c r="B729" i="1"/>
  <c r="M728" i="1"/>
  <c r="I728" i="1"/>
  <c r="E728" i="1"/>
  <c r="M727" i="1"/>
  <c r="I727" i="1"/>
  <c r="E727" i="1"/>
  <c r="M726" i="1"/>
  <c r="I726" i="1"/>
  <c r="E726" i="1"/>
  <c r="M723" i="1"/>
  <c r="I723" i="1"/>
  <c r="E723" i="1"/>
  <c r="M722" i="1"/>
  <c r="I722" i="1"/>
  <c r="E722" i="1"/>
  <c r="M721" i="1"/>
  <c r="I721" i="1"/>
  <c r="E721" i="1"/>
  <c r="M720" i="1"/>
  <c r="I720" i="1"/>
  <c r="E720" i="1"/>
  <c r="M719" i="1"/>
  <c r="I719" i="1"/>
  <c r="E719" i="1"/>
  <c r="M718" i="1"/>
  <c r="I718" i="1"/>
  <c r="E718" i="1"/>
  <c r="M717" i="1"/>
  <c r="I717" i="1"/>
  <c r="E717" i="1"/>
  <c r="M716" i="1"/>
  <c r="I716" i="1"/>
  <c r="E716" i="1"/>
  <c r="M715" i="1"/>
  <c r="I715" i="1"/>
  <c r="E715" i="1"/>
  <c r="M714" i="1"/>
  <c r="I714" i="1"/>
  <c r="E714" i="1"/>
  <c r="M713" i="1"/>
  <c r="I713" i="1"/>
  <c r="E713" i="1"/>
  <c r="M709" i="1"/>
  <c r="I709" i="1"/>
  <c r="E709" i="1"/>
  <c r="M708" i="1"/>
  <c r="I708" i="1"/>
  <c r="E708" i="1"/>
  <c r="M707" i="1"/>
  <c r="I707" i="1"/>
  <c r="E707" i="1"/>
  <c r="M703" i="1"/>
  <c r="I703" i="1"/>
  <c r="E703" i="1"/>
  <c r="M702" i="1"/>
  <c r="I702" i="1"/>
  <c r="E702" i="1"/>
  <c r="M701" i="1"/>
  <c r="I701" i="1"/>
  <c r="E701" i="1"/>
  <c r="M700" i="1"/>
  <c r="I700" i="1"/>
  <c r="E700" i="1"/>
  <c r="M699" i="1"/>
  <c r="I699" i="1"/>
  <c r="E699" i="1"/>
  <c r="M698" i="1"/>
  <c r="I698" i="1"/>
  <c r="E698" i="1"/>
  <c r="M697" i="1"/>
  <c r="I697" i="1"/>
  <c r="E697" i="1"/>
  <c r="M696" i="1"/>
  <c r="I696" i="1"/>
  <c r="E696" i="1"/>
  <c r="M695" i="1"/>
  <c r="I695" i="1"/>
  <c r="E695" i="1"/>
  <c r="T684" i="1"/>
  <c r="X684" i="1"/>
  <c r="T685" i="1"/>
  <c r="X685" i="1"/>
  <c r="AB685" i="1"/>
  <c r="X715" i="1"/>
  <c r="T715" i="1"/>
  <c r="AB714" i="1"/>
  <c r="X714" i="1"/>
  <c r="T714" i="1"/>
  <c r="AB713" i="1"/>
  <c r="X713" i="1"/>
  <c r="T713" i="1"/>
  <c r="AB712" i="1"/>
  <c r="X712" i="1"/>
  <c r="T712" i="1"/>
  <c r="AB703" i="1"/>
  <c r="X703" i="1"/>
  <c r="T703" i="1"/>
  <c r="AC703" i="1" s="1"/>
  <c r="AB702" i="1"/>
  <c r="X702" i="1"/>
  <c r="T702" i="1"/>
  <c r="AB701" i="1"/>
  <c r="X701" i="1"/>
  <c r="T701" i="1"/>
  <c r="AB700" i="1"/>
  <c r="X700" i="1"/>
  <c r="T700" i="1"/>
  <c r="AB699" i="1"/>
  <c r="X699" i="1"/>
  <c r="T699" i="1"/>
  <c r="AB698" i="1"/>
  <c r="X698" i="1"/>
  <c r="T698" i="1"/>
  <c r="AB697" i="1"/>
  <c r="X697" i="1"/>
  <c r="T697" i="1"/>
  <c r="AC697" i="1" s="1"/>
  <c r="AB455" i="1"/>
  <c r="X455" i="1"/>
  <c r="T455" i="1"/>
  <c r="T464" i="1"/>
  <c r="X464" i="1"/>
  <c r="AB464" i="1"/>
  <c r="AB465" i="1"/>
  <c r="X465" i="1"/>
  <c r="T465" i="1"/>
  <c r="AB509" i="1"/>
  <c r="X509" i="1"/>
  <c r="T462" i="1"/>
  <c r="X462" i="1"/>
  <c r="AB462" i="1"/>
  <c r="T463" i="1"/>
  <c r="X463" i="1"/>
  <c r="AB463" i="1"/>
  <c r="AB511" i="1"/>
  <c r="X511" i="1"/>
  <c r="T511" i="1"/>
  <c r="AB510" i="1"/>
  <c r="X510" i="1"/>
  <c r="T510" i="1"/>
  <c r="T508" i="1"/>
  <c r="X508" i="1"/>
  <c r="AB508" i="1"/>
  <c r="X513" i="1"/>
  <c r="T513" i="1"/>
  <c r="AB512" i="1"/>
  <c r="X512" i="1"/>
  <c r="T512" i="1"/>
  <c r="AB467" i="1"/>
  <c r="X467" i="1"/>
  <c r="T467" i="1"/>
  <c r="AB466" i="1"/>
  <c r="X466" i="1"/>
  <c r="T466" i="1"/>
  <c r="L686" i="1"/>
  <c r="K686" i="1"/>
  <c r="J686" i="1"/>
  <c r="H686" i="1"/>
  <c r="G686" i="1"/>
  <c r="F686" i="1"/>
  <c r="D686" i="1"/>
  <c r="C686" i="1"/>
  <c r="B686" i="1"/>
  <c r="M685" i="1"/>
  <c r="I685" i="1"/>
  <c r="E685" i="1"/>
  <c r="M684" i="1"/>
  <c r="I684" i="1"/>
  <c r="E684" i="1"/>
  <c r="M683" i="1"/>
  <c r="I683" i="1"/>
  <c r="E683" i="1"/>
  <c r="M682" i="1"/>
  <c r="I682" i="1"/>
  <c r="E682" i="1"/>
  <c r="M681" i="1"/>
  <c r="I681" i="1"/>
  <c r="E681" i="1"/>
  <c r="M680" i="1"/>
  <c r="I680" i="1"/>
  <c r="E680" i="1"/>
  <c r="M679" i="1"/>
  <c r="I679" i="1"/>
  <c r="E679" i="1"/>
  <c r="M678" i="1"/>
  <c r="I678" i="1"/>
  <c r="E678" i="1"/>
  <c r="M677" i="1"/>
  <c r="I677" i="1"/>
  <c r="E677" i="1"/>
  <c r="M676" i="1"/>
  <c r="I676" i="1"/>
  <c r="E676" i="1"/>
  <c r="M675" i="1"/>
  <c r="I675" i="1"/>
  <c r="E675" i="1"/>
  <c r="M674" i="1"/>
  <c r="I674" i="1"/>
  <c r="E674" i="1"/>
  <c r="M673" i="1"/>
  <c r="I673" i="1"/>
  <c r="E673" i="1"/>
  <c r="M672" i="1"/>
  <c r="I672" i="1"/>
  <c r="E672" i="1"/>
  <c r="M671" i="1"/>
  <c r="I671" i="1"/>
  <c r="E671" i="1"/>
  <c r="M670" i="1"/>
  <c r="I670" i="1"/>
  <c r="E670" i="1"/>
  <c r="M667" i="1"/>
  <c r="I667" i="1"/>
  <c r="E667" i="1"/>
  <c r="M666" i="1"/>
  <c r="I666" i="1"/>
  <c r="E666" i="1"/>
  <c r="M665" i="1"/>
  <c r="I665" i="1"/>
  <c r="E665" i="1"/>
  <c r="M664" i="1"/>
  <c r="I664" i="1"/>
  <c r="E664" i="1"/>
  <c r="M663" i="1"/>
  <c r="I663" i="1"/>
  <c r="E663" i="1"/>
  <c r="M662" i="1"/>
  <c r="I662" i="1"/>
  <c r="E662" i="1"/>
  <c r="M659" i="1"/>
  <c r="I659" i="1"/>
  <c r="E659" i="1"/>
  <c r="M658" i="1"/>
  <c r="I658" i="1"/>
  <c r="E658" i="1"/>
  <c r="M657" i="1"/>
  <c r="I657" i="1"/>
  <c r="E657" i="1"/>
  <c r="M656" i="1"/>
  <c r="I656" i="1"/>
  <c r="E656" i="1"/>
  <c r="M654" i="1"/>
  <c r="I654" i="1"/>
  <c r="E654" i="1"/>
  <c r="M653" i="1"/>
  <c r="I653" i="1"/>
  <c r="E653" i="1"/>
  <c r="M652" i="1"/>
  <c r="I652" i="1"/>
  <c r="E652" i="1"/>
  <c r="M651" i="1"/>
  <c r="I651" i="1"/>
  <c r="E651" i="1"/>
  <c r="T658" i="1"/>
  <c r="X658" i="1"/>
  <c r="AB658" i="1"/>
  <c r="T659" i="1"/>
  <c r="X659" i="1"/>
  <c r="AB659" i="1"/>
  <c r="AB653" i="1"/>
  <c r="X653" i="1"/>
  <c r="T653" i="1"/>
  <c r="AB652" i="1"/>
  <c r="X652" i="1"/>
  <c r="T652" i="1"/>
  <c r="AB641" i="1"/>
  <c r="X641" i="1"/>
  <c r="T641" i="1"/>
  <c r="T615" i="1"/>
  <c r="X615" i="1"/>
  <c r="AB615" i="1"/>
  <c r="T616" i="1"/>
  <c r="X616" i="1"/>
  <c r="AB616" i="1"/>
  <c r="AB681" i="1"/>
  <c r="X681" i="1"/>
  <c r="T681" i="1"/>
  <c r="X680" i="1"/>
  <c r="T680" i="1"/>
  <c r="AB674" i="1"/>
  <c r="X674" i="1"/>
  <c r="T674" i="1"/>
  <c r="AB673" i="1"/>
  <c r="X673" i="1"/>
  <c r="T673" i="1"/>
  <c r="AB672" i="1"/>
  <c r="X672" i="1"/>
  <c r="T672" i="1"/>
  <c r="AB671" i="1"/>
  <c r="X671" i="1"/>
  <c r="T671" i="1"/>
  <c r="AB670" i="1"/>
  <c r="X670" i="1"/>
  <c r="T670" i="1"/>
  <c r="AB668" i="1"/>
  <c r="X668" i="1"/>
  <c r="T668" i="1"/>
  <c r="AB667" i="1"/>
  <c r="X667" i="1"/>
  <c r="T667" i="1"/>
  <c r="AB665" i="1"/>
  <c r="X665" i="1"/>
  <c r="T665" i="1"/>
  <c r="AB664" i="1"/>
  <c r="X664" i="1"/>
  <c r="T664" i="1"/>
  <c r="AB663" i="1"/>
  <c r="X663" i="1"/>
  <c r="T663" i="1"/>
  <c r="AB662" i="1"/>
  <c r="X662" i="1"/>
  <c r="X686" i="1" s="1"/>
  <c r="T662" i="1"/>
  <c r="AB660" i="1"/>
  <c r="X660" i="1"/>
  <c r="T660" i="1"/>
  <c r="AB657" i="1"/>
  <c r="X657" i="1"/>
  <c r="T657" i="1"/>
  <c r="AB656" i="1"/>
  <c r="X656" i="1"/>
  <c r="T656" i="1"/>
  <c r="AB655" i="1"/>
  <c r="X655" i="1"/>
  <c r="T655" i="1"/>
  <c r="AB654" i="1"/>
  <c r="X654" i="1"/>
  <c r="T654" i="1"/>
  <c r="AB651" i="1"/>
  <c r="X651" i="1"/>
  <c r="T651" i="1"/>
  <c r="AB450" i="1"/>
  <c r="X450" i="1"/>
  <c r="T450" i="1"/>
  <c r="X469" i="1"/>
  <c r="AB469" i="1"/>
  <c r="T469" i="1"/>
  <c r="AB468" i="1"/>
  <c r="X468" i="1"/>
  <c r="T468" i="1"/>
  <c r="AB470" i="1"/>
  <c r="X470" i="1"/>
  <c r="T470" i="1"/>
  <c r="AB420" i="1"/>
  <c r="X420" i="1"/>
  <c r="T420" i="1"/>
  <c r="T418" i="1"/>
  <c r="X418" i="1"/>
  <c r="AB418" i="1"/>
  <c r="T419" i="1"/>
  <c r="X419" i="1"/>
  <c r="AB419" i="1"/>
  <c r="AB422" i="1"/>
  <c r="X422" i="1"/>
  <c r="T422" i="1"/>
  <c r="AB421" i="1"/>
  <c r="X421" i="1"/>
  <c r="T421" i="1"/>
  <c r="T417" i="1"/>
  <c r="X417" i="1"/>
  <c r="AB417" i="1"/>
  <c r="AB449" i="1"/>
  <c r="X449" i="1"/>
  <c r="T449" i="1"/>
  <c r="AB448" i="1"/>
  <c r="X448" i="1"/>
  <c r="X471" i="1" s="1"/>
  <c r="T448" i="1"/>
  <c r="AB447" i="1"/>
  <c r="AB471" i="1" s="1"/>
  <c r="X447" i="1"/>
  <c r="T447" i="1"/>
  <c r="T471" i="1" s="1"/>
  <c r="AB416" i="1"/>
  <c r="X416" i="1"/>
  <c r="T416" i="1"/>
  <c r="T423" i="1"/>
  <c r="X423" i="1"/>
  <c r="AB423" i="1"/>
  <c r="AB411" i="1"/>
  <c r="X411" i="1"/>
  <c r="T411" i="1"/>
  <c r="L643" i="1"/>
  <c r="K643" i="1"/>
  <c r="J643" i="1"/>
  <c r="H643" i="1"/>
  <c r="G643" i="1"/>
  <c r="F643" i="1"/>
  <c r="D643" i="1"/>
  <c r="C643" i="1"/>
  <c r="B643" i="1"/>
  <c r="M642" i="1"/>
  <c r="I642" i="1"/>
  <c r="E642" i="1"/>
  <c r="M641" i="1"/>
  <c r="I641" i="1"/>
  <c r="E641" i="1"/>
  <c r="M640" i="1"/>
  <c r="I640" i="1"/>
  <c r="E640" i="1"/>
  <c r="M639" i="1"/>
  <c r="I639" i="1"/>
  <c r="E639" i="1"/>
  <c r="M638" i="1"/>
  <c r="I638" i="1"/>
  <c r="E638" i="1"/>
  <c r="M637" i="1"/>
  <c r="I637" i="1"/>
  <c r="E637" i="1"/>
  <c r="M636" i="1"/>
  <c r="I636" i="1"/>
  <c r="E636" i="1"/>
  <c r="M635" i="1"/>
  <c r="I635" i="1"/>
  <c r="E635" i="1"/>
  <c r="M634" i="1"/>
  <c r="I634" i="1"/>
  <c r="E634" i="1"/>
  <c r="M633" i="1"/>
  <c r="I633" i="1"/>
  <c r="E633" i="1"/>
  <c r="M632" i="1"/>
  <c r="I632" i="1"/>
  <c r="E632" i="1"/>
  <c r="M631" i="1"/>
  <c r="I631" i="1"/>
  <c r="E631" i="1"/>
  <c r="M630" i="1"/>
  <c r="I630" i="1"/>
  <c r="E630" i="1"/>
  <c r="M629" i="1"/>
  <c r="I629" i="1"/>
  <c r="E629" i="1"/>
  <c r="M628" i="1"/>
  <c r="I628" i="1"/>
  <c r="E628" i="1"/>
  <c r="M627" i="1"/>
  <c r="I627" i="1"/>
  <c r="E627" i="1"/>
  <c r="M626" i="1"/>
  <c r="I626" i="1"/>
  <c r="E626" i="1"/>
  <c r="M624" i="1"/>
  <c r="I624" i="1"/>
  <c r="M623" i="1"/>
  <c r="I623" i="1"/>
  <c r="E623" i="1"/>
  <c r="M622" i="1"/>
  <c r="I622" i="1"/>
  <c r="E622" i="1"/>
  <c r="M621" i="1"/>
  <c r="I621" i="1"/>
  <c r="E621" i="1"/>
  <c r="M620" i="1"/>
  <c r="I620" i="1"/>
  <c r="E620" i="1"/>
  <c r="M619" i="1"/>
  <c r="I619" i="1"/>
  <c r="E619" i="1"/>
  <c r="M617" i="1"/>
  <c r="I617" i="1"/>
  <c r="E617" i="1"/>
  <c r="M616" i="1"/>
  <c r="I616" i="1"/>
  <c r="E616" i="1"/>
  <c r="M615" i="1"/>
  <c r="I615" i="1"/>
  <c r="E615" i="1"/>
  <c r="M614" i="1"/>
  <c r="I614" i="1"/>
  <c r="E614" i="1"/>
  <c r="M613" i="1"/>
  <c r="I613" i="1"/>
  <c r="E613" i="1"/>
  <c r="M612" i="1"/>
  <c r="I612" i="1"/>
  <c r="E612" i="1"/>
  <c r="N612" i="1" s="1"/>
  <c r="M611" i="1"/>
  <c r="I611" i="1"/>
  <c r="E611" i="1"/>
  <c r="M610" i="1"/>
  <c r="I610" i="1"/>
  <c r="E610" i="1"/>
  <c r="M609" i="1"/>
  <c r="I609" i="1"/>
  <c r="E609" i="1"/>
  <c r="M608" i="1"/>
  <c r="I608" i="1"/>
  <c r="E608" i="1"/>
  <c r="T572" i="1"/>
  <c r="X572" i="1"/>
  <c r="AB572" i="1"/>
  <c r="AB632" i="1"/>
  <c r="X632" i="1"/>
  <c r="T632" i="1"/>
  <c r="AB631" i="1"/>
  <c r="X631" i="1"/>
  <c r="T631" i="1"/>
  <c r="AB630" i="1"/>
  <c r="X630" i="1"/>
  <c r="T630" i="1"/>
  <c r="AB629" i="1"/>
  <c r="X629" i="1"/>
  <c r="T629" i="1"/>
  <c r="AB627" i="1"/>
  <c r="X627" i="1"/>
  <c r="T627" i="1"/>
  <c r="AB626" i="1"/>
  <c r="X626" i="1"/>
  <c r="T626" i="1"/>
  <c r="AB625" i="1"/>
  <c r="X625" i="1"/>
  <c r="T625" i="1"/>
  <c r="AB624" i="1"/>
  <c r="X624" i="1"/>
  <c r="T624" i="1"/>
  <c r="AB623" i="1"/>
  <c r="X623" i="1"/>
  <c r="T623" i="1"/>
  <c r="AB622" i="1"/>
  <c r="X622" i="1"/>
  <c r="T622" i="1"/>
  <c r="AB620" i="1"/>
  <c r="X620" i="1"/>
  <c r="T620" i="1"/>
  <c r="AB619" i="1"/>
  <c r="X619" i="1"/>
  <c r="T619" i="1"/>
  <c r="AB617" i="1"/>
  <c r="X617" i="1"/>
  <c r="T617" i="1"/>
  <c r="AB614" i="1"/>
  <c r="X614" i="1"/>
  <c r="T614" i="1"/>
  <c r="AB613" i="1"/>
  <c r="X613" i="1"/>
  <c r="T613" i="1"/>
  <c r="AB612" i="1"/>
  <c r="X612" i="1"/>
  <c r="T612" i="1"/>
  <c r="AB611" i="1"/>
  <c r="X611" i="1"/>
  <c r="T611" i="1"/>
  <c r="AB610" i="1"/>
  <c r="X610" i="1"/>
  <c r="T610" i="1"/>
  <c r="AB609" i="1"/>
  <c r="X609" i="1"/>
  <c r="T609" i="1"/>
  <c r="AB608" i="1"/>
  <c r="X608" i="1"/>
  <c r="T608" i="1"/>
  <c r="T437" i="1"/>
  <c r="X437" i="1"/>
  <c r="AB437" i="1"/>
  <c r="T438" i="1"/>
  <c r="X438" i="1"/>
  <c r="AB438" i="1"/>
  <c r="T439" i="1"/>
  <c r="X439" i="1"/>
  <c r="AB439" i="1"/>
  <c r="AB397" i="1"/>
  <c r="X397" i="1"/>
  <c r="T397" i="1"/>
  <c r="AB396" i="1"/>
  <c r="X396" i="1"/>
  <c r="T396" i="1"/>
  <c r="AB408" i="1"/>
  <c r="X408" i="1"/>
  <c r="T408" i="1"/>
  <c r="T359" i="1"/>
  <c r="X359" i="1"/>
  <c r="AB359" i="1"/>
  <c r="E384" i="1"/>
  <c r="I384" i="1"/>
  <c r="M384" i="1"/>
  <c r="L600" i="1"/>
  <c r="K600" i="1"/>
  <c r="J600" i="1"/>
  <c r="H600" i="1"/>
  <c r="G600" i="1"/>
  <c r="F600" i="1"/>
  <c r="D600" i="1"/>
  <c r="C600" i="1"/>
  <c r="B600" i="1"/>
  <c r="M599" i="1"/>
  <c r="I599" i="1"/>
  <c r="E599" i="1"/>
  <c r="M598" i="1"/>
  <c r="I598" i="1"/>
  <c r="E598" i="1"/>
  <c r="M597" i="1"/>
  <c r="I597" i="1"/>
  <c r="E597" i="1"/>
  <c r="M596" i="1"/>
  <c r="I596" i="1"/>
  <c r="E596" i="1"/>
  <c r="M595" i="1"/>
  <c r="I595" i="1"/>
  <c r="E595" i="1"/>
  <c r="M594" i="1"/>
  <c r="I594" i="1"/>
  <c r="E594" i="1"/>
  <c r="M593" i="1"/>
  <c r="I593" i="1"/>
  <c r="E593" i="1"/>
  <c r="M592" i="1"/>
  <c r="I592" i="1"/>
  <c r="E592" i="1"/>
  <c r="M591" i="1"/>
  <c r="I591" i="1"/>
  <c r="E591" i="1"/>
  <c r="M590" i="1"/>
  <c r="I590" i="1"/>
  <c r="E590" i="1"/>
  <c r="M589" i="1"/>
  <c r="I589" i="1"/>
  <c r="E589" i="1"/>
  <c r="E582" i="1"/>
  <c r="E581" i="1"/>
  <c r="M580" i="1"/>
  <c r="I580" i="1"/>
  <c r="E580" i="1"/>
  <c r="M579" i="1"/>
  <c r="I579" i="1"/>
  <c r="E579" i="1"/>
  <c r="M578" i="1"/>
  <c r="I578" i="1"/>
  <c r="E578" i="1"/>
  <c r="M577" i="1"/>
  <c r="I577" i="1"/>
  <c r="E577" i="1"/>
  <c r="M576" i="1"/>
  <c r="I576" i="1"/>
  <c r="E576" i="1"/>
  <c r="M573" i="1"/>
  <c r="I573" i="1"/>
  <c r="E573" i="1"/>
  <c r="M572" i="1"/>
  <c r="I572" i="1"/>
  <c r="E572" i="1"/>
  <c r="N572" i="1" s="1"/>
  <c r="M571" i="1"/>
  <c r="I571" i="1"/>
  <c r="E571" i="1"/>
  <c r="M570" i="1"/>
  <c r="I570" i="1"/>
  <c r="E570" i="1"/>
  <c r="N570" i="1" s="1"/>
  <c r="M569" i="1"/>
  <c r="I569" i="1"/>
  <c r="E569" i="1"/>
  <c r="M568" i="1"/>
  <c r="I568" i="1"/>
  <c r="E568" i="1"/>
  <c r="M567" i="1"/>
  <c r="I567" i="1"/>
  <c r="E567" i="1"/>
  <c r="M566" i="1"/>
  <c r="I566" i="1"/>
  <c r="E566" i="1"/>
  <c r="M565" i="1"/>
  <c r="I565" i="1"/>
  <c r="E565" i="1"/>
  <c r="AB588" i="1"/>
  <c r="X588" i="1"/>
  <c r="T588" i="1"/>
  <c r="AB587" i="1"/>
  <c r="X587" i="1"/>
  <c r="T587" i="1"/>
  <c r="AB586" i="1"/>
  <c r="X586" i="1"/>
  <c r="T586" i="1"/>
  <c r="AB585" i="1"/>
  <c r="X585" i="1"/>
  <c r="T585" i="1"/>
  <c r="AB584" i="1"/>
  <c r="X584" i="1"/>
  <c r="T584" i="1"/>
  <c r="AB583" i="1"/>
  <c r="X583" i="1"/>
  <c r="T583" i="1"/>
  <c r="AB582" i="1"/>
  <c r="X582" i="1"/>
  <c r="T582" i="1"/>
  <c r="AB581" i="1"/>
  <c r="X581" i="1"/>
  <c r="T581" i="1"/>
  <c r="AB580" i="1"/>
  <c r="X580" i="1"/>
  <c r="T580" i="1"/>
  <c r="AB576" i="1"/>
  <c r="X576" i="1"/>
  <c r="T576" i="1"/>
  <c r="AB574" i="1"/>
  <c r="X574" i="1"/>
  <c r="T574" i="1"/>
  <c r="AB573" i="1"/>
  <c r="X573" i="1"/>
  <c r="T573" i="1"/>
  <c r="AB571" i="1"/>
  <c r="X571" i="1"/>
  <c r="T571" i="1"/>
  <c r="AB570" i="1"/>
  <c r="X570" i="1"/>
  <c r="T570" i="1"/>
  <c r="AB569" i="1"/>
  <c r="X569" i="1"/>
  <c r="T569" i="1"/>
  <c r="AB568" i="1"/>
  <c r="X568" i="1"/>
  <c r="T568" i="1"/>
  <c r="AB567" i="1"/>
  <c r="X567" i="1"/>
  <c r="T567" i="1"/>
  <c r="AB566" i="1"/>
  <c r="X566" i="1"/>
  <c r="T566" i="1"/>
  <c r="AB565" i="1"/>
  <c r="X565" i="1"/>
  <c r="T565" i="1"/>
  <c r="AB424" i="1"/>
  <c r="X424" i="1"/>
  <c r="T424" i="1"/>
  <c r="T523" i="1"/>
  <c r="X523" i="1"/>
  <c r="AB523" i="1"/>
  <c r="L557" i="1"/>
  <c r="K557" i="1"/>
  <c r="J557" i="1"/>
  <c r="H557" i="1"/>
  <c r="G557" i="1"/>
  <c r="F557" i="1"/>
  <c r="D557" i="1"/>
  <c r="C557" i="1"/>
  <c r="B557" i="1"/>
  <c r="M556" i="1"/>
  <c r="I556" i="1"/>
  <c r="E556" i="1"/>
  <c r="M555" i="1"/>
  <c r="I555" i="1"/>
  <c r="E555" i="1"/>
  <c r="M554" i="1"/>
  <c r="I554" i="1"/>
  <c r="E554" i="1"/>
  <c r="M553" i="1"/>
  <c r="I553" i="1"/>
  <c r="E553" i="1"/>
  <c r="M552" i="1"/>
  <c r="I552" i="1"/>
  <c r="E552" i="1"/>
  <c r="N552" i="1" s="1"/>
  <c r="M551" i="1"/>
  <c r="I551" i="1"/>
  <c r="E551" i="1"/>
  <c r="M550" i="1"/>
  <c r="I550" i="1"/>
  <c r="E550" i="1"/>
  <c r="N550" i="1" s="1"/>
  <c r="M549" i="1"/>
  <c r="I549" i="1"/>
  <c r="E549" i="1"/>
  <c r="M548" i="1"/>
  <c r="I548" i="1"/>
  <c r="E548" i="1"/>
  <c r="N548" i="1" s="1"/>
  <c r="M547" i="1"/>
  <c r="I547" i="1"/>
  <c r="E547" i="1"/>
  <c r="M546" i="1"/>
  <c r="I546" i="1"/>
  <c r="E546" i="1"/>
  <c r="M545" i="1"/>
  <c r="I545" i="1"/>
  <c r="E545" i="1"/>
  <c r="M544" i="1"/>
  <c r="I544" i="1"/>
  <c r="E544" i="1"/>
  <c r="N544" i="1" s="1"/>
  <c r="M543" i="1"/>
  <c r="I543" i="1"/>
  <c r="E543" i="1"/>
  <c r="AB542" i="1"/>
  <c r="X542" i="1"/>
  <c r="T542" i="1"/>
  <c r="M542" i="1"/>
  <c r="I542" i="1"/>
  <c r="E542" i="1"/>
  <c r="AB541" i="1"/>
  <c r="X541" i="1"/>
  <c r="T541" i="1"/>
  <c r="M541" i="1"/>
  <c r="I541" i="1"/>
  <c r="E541" i="1"/>
  <c r="AB540" i="1"/>
  <c r="X540" i="1"/>
  <c r="T540" i="1"/>
  <c r="M540" i="1"/>
  <c r="I540" i="1"/>
  <c r="E540" i="1"/>
  <c r="AB539" i="1"/>
  <c r="X539" i="1"/>
  <c r="T539" i="1"/>
  <c r="M539" i="1"/>
  <c r="I539" i="1"/>
  <c r="E539" i="1"/>
  <c r="AB538" i="1"/>
  <c r="X538" i="1"/>
  <c r="T538" i="1"/>
  <c r="M538" i="1"/>
  <c r="I538" i="1"/>
  <c r="E538" i="1"/>
  <c r="AB537" i="1"/>
  <c r="X537" i="1"/>
  <c r="T537" i="1"/>
  <c r="M537" i="1"/>
  <c r="I537" i="1"/>
  <c r="E537" i="1"/>
  <c r="AB536" i="1"/>
  <c r="X536" i="1"/>
  <c r="T536" i="1"/>
  <c r="M536" i="1"/>
  <c r="I536" i="1"/>
  <c r="E536" i="1"/>
  <c r="AB535" i="1"/>
  <c r="X535" i="1"/>
  <c r="T535" i="1"/>
  <c r="M535" i="1"/>
  <c r="I535" i="1"/>
  <c r="E535" i="1"/>
  <c r="AB534" i="1"/>
  <c r="X534" i="1"/>
  <c r="T534" i="1"/>
  <c r="M534" i="1"/>
  <c r="I534" i="1"/>
  <c r="E534" i="1"/>
  <c r="AB533" i="1"/>
  <c r="AB557" i="1" s="1"/>
  <c r="X533" i="1"/>
  <c r="X557" i="1" s="1"/>
  <c r="T533" i="1"/>
  <c r="T557" i="1" s="1"/>
  <c r="M533" i="1"/>
  <c r="I533" i="1"/>
  <c r="E533" i="1"/>
  <c r="AB531" i="1"/>
  <c r="X531" i="1"/>
  <c r="T531" i="1"/>
  <c r="M531" i="1"/>
  <c r="I531" i="1"/>
  <c r="E531" i="1"/>
  <c r="AB530" i="1"/>
  <c r="X530" i="1"/>
  <c r="T530" i="1"/>
  <c r="M530" i="1"/>
  <c r="I530" i="1"/>
  <c r="E530" i="1"/>
  <c r="AB529" i="1"/>
  <c r="X529" i="1"/>
  <c r="T529" i="1"/>
  <c r="M529" i="1"/>
  <c r="I529" i="1"/>
  <c r="E529" i="1"/>
  <c r="AB528" i="1"/>
  <c r="X528" i="1"/>
  <c r="T528" i="1"/>
  <c r="M528" i="1"/>
  <c r="I528" i="1"/>
  <c r="E528" i="1"/>
  <c r="AB527" i="1"/>
  <c r="X527" i="1"/>
  <c r="T527" i="1"/>
  <c r="M527" i="1"/>
  <c r="I527" i="1"/>
  <c r="E527" i="1"/>
  <c r="AB526" i="1"/>
  <c r="X526" i="1"/>
  <c r="T526" i="1"/>
  <c r="M526" i="1"/>
  <c r="I526" i="1"/>
  <c r="E526" i="1"/>
  <c r="AB525" i="1"/>
  <c r="X525" i="1"/>
  <c r="T525" i="1"/>
  <c r="M525" i="1"/>
  <c r="I525" i="1"/>
  <c r="E525" i="1"/>
  <c r="AB524" i="1"/>
  <c r="X524" i="1"/>
  <c r="T524" i="1"/>
  <c r="M524" i="1"/>
  <c r="I524" i="1"/>
  <c r="E524" i="1"/>
  <c r="M523" i="1"/>
  <c r="I523" i="1"/>
  <c r="E523" i="1"/>
  <c r="AB522" i="1"/>
  <c r="X522" i="1"/>
  <c r="T522" i="1"/>
  <c r="M522" i="1"/>
  <c r="I522" i="1"/>
  <c r="E522" i="1"/>
  <c r="T405" i="1"/>
  <c r="X405" i="1"/>
  <c r="AB405" i="1"/>
  <c r="AB404" i="1"/>
  <c r="X404" i="1"/>
  <c r="T404" i="1"/>
  <c r="AB374" i="1"/>
  <c r="X374" i="1"/>
  <c r="T374" i="1"/>
  <c r="T375" i="1"/>
  <c r="X375" i="1"/>
  <c r="AB375" i="1"/>
  <c r="AB373" i="1"/>
  <c r="X373" i="1"/>
  <c r="T373" i="1"/>
  <c r="AB372" i="1"/>
  <c r="X372" i="1"/>
  <c r="T372" i="1"/>
  <c r="AB371" i="1"/>
  <c r="X371" i="1"/>
  <c r="T371" i="1"/>
  <c r="AB370" i="1"/>
  <c r="X370" i="1"/>
  <c r="T370" i="1"/>
  <c r="AB369" i="1"/>
  <c r="X369" i="1"/>
  <c r="T369" i="1"/>
  <c r="AB368" i="1"/>
  <c r="X368" i="1"/>
  <c r="T368" i="1"/>
  <c r="AB367" i="1"/>
  <c r="X367" i="1"/>
  <c r="T367" i="1"/>
  <c r="AB366" i="1"/>
  <c r="X366" i="1"/>
  <c r="T366" i="1"/>
  <c r="AB365" i="1"/>
  <c r="X365" i="1"/>
  <c r="T365" i="1"/>
  <c r="AB364" i="1"/>
  <c r="X364" i="1"/>
  <c r="T364" i="1"/>
  <c r="AB363" i="1"/>
  <c r="X363" i="1"/>
  <c r="T363" i="1"/>
  <c r="AB362" i="1"/>
  <c r="X362" i="1"/>
  <c r="T362" i="1"/>
  <c r="AB361" i="1"/>
  <c r="AB385" i="1" s="1"/>
  <c r="X361" i="1"/>
  <c r="X385" i="1" s="1"/>
  <c r="T361" i="1"/>
  <c r="T385" i="1" s="1"/>
  <c r="AB332" i="1"/>
  <c r="X332" i="1"/>
  <c r="T332" i="1"/>
  <c r="AB331" i="1"/>
  <c r="X331" i="1"/>
  <c r="T331" i="1"/>
  <c r="AB330" i="1"/>
  <c r="X330" i="1"/>
  <c r="T330" i="1"/>
  <c r="AB329" i="1"/>
  <c r="X329" i="1"/>
  <c r="T329" i="1"/>
  <c r="AB328" i="1"/>
  <c r="X328" i="1"/>
  <c r="T328" i="1"/>
  <c r="AB327" i="1"/>
  <c r="X327" i="1"/>
  <c r="T327" i="1"/>
  <c r="AB326" i="1"/>
  <c r="X326" i="1"/>
  <c r="T326" i="1"/>
  <c r="AB325" i="1"/>
  <c r="X325" i="1"/>
  <c r="T325" i="1"/>
  <c r="AB324" i="1"/>
  <c r="X324" i="1"/>
  <c r="T324" i="1"/>
  <c r="AB323" i="1"/>
  <c r="X323" i="1"/>
  <c r="T323" i="1"/>
  <c r="AB322" i="1"/>
  <c r="X322" i="1"/>
  <c r="T322" i="1"/>
  <c r="AB321" i="1"/>
  <c r="X321" i="1"/>
  <c r="T321" i="1"/>
  <c r="AB320" i="1"/>
  <c r="X320" i="1"/>
  <c r="T320" i="1"/>
  <c r="AB319" i="1"/>
  <c r="X319" i="1"/>
  <c r="T319" i="1"/>
  <c r="AB318" i="1"/>
  <c r="X318" i="1"/>
  <c r="T318" i="1"/>
  <c r="AB291" i="1"/>
  <c r="X291" i="1"/>
  <c r="T291" i="1"/>
  <c r="AB290" i="1"/>
  <c r="X290" i="1"/>
  <c r="T290" i="1"/>
  <c r="AB289" i="1"/>
  <c r="X289" i="1"/>
  <c r="T289" i="1"/>
  <c r="AB288" i="1"/>
  <c r="X288" i="1"/>
  <c r="T288" i="1"/>
  <c r="AB287" i="1"/>
  <c r="X287" i="1"/>
  <c r="T287" i="1"/>
  <c r="AB286" i="1"/>
  <c r="X286" i="1"/>
  <c r="T286" i="1"/>
  <c r="AB285" i="1"/>
  <c r="X285" i="1"/>
  <c r="T285" i="1"/>
  <c r="AB284" i="1"/>
  <c r="X284" i="1"/>
  <c r="T284" i="1"/>
  <c r="AB283" i="1"/>
  <c r="X283" i="1"/>
  <c r="T283" i="1"/>
  <c r="AB282" i="1"/>
  <c r="X282" i="1"/>
  <c r="T282" i="1"/>
  <c r="AB281" i="1"/>
  <c r="X281" i="1"/>
  <c r="T281" i="1"/>
  <c r="AB280" i="1"/>
  <c r="X280" i="1"/>
  <c r="T280" i="1"/>
  <c r="AB279" i="1"/>
  <c r="X279" i="1"/>
  <c r="T279" i="1"/>
  <c r="AB278" i="1"/>
  <c r="X278" i="1"/>
  <c r="T278" i="1"/>
  <c r="AB277" i="1"/>
  <c r="X277" i="1"/>
  <c r="T277" i="1"/>
  <c r="AB276" i="1"/>
  <c r="X276" i="1"/>
  <c r="T276" i="1"/>
  <c r="AB275" i="1"/>
  <c r="X275" i="1"/>
  <c r="T275" i="1"/>
  <c r="AB247" i="1"/>
  <c r="X247" i="1"/>
  <c r="T247" i="1"/>
  <c r="AB246" i="1"/>
  <c r="X246" i="1"/>
  <c r="T246" i="1"/>
  <c r="AB384" i="1"/>
  <c r="AB426" i="1"/>
  <c r="X426" i="1"/>
  <c r="T426" i="1"/>
  <c r="AB425" i="1"/>
  <c r="X425" i="1"/>
  <c r="T425" i="1"/>
  <c r="E427" i="1"/>
  <c r="I427" i="1"/>
  <c r="M427" i="1"/>
  <c r="T402" i="1"/>
  <c r="X402" i="1"/>
  <c r="AB402" i="1"/>
  <c r="AB427" i="1"/>
  <c r="X427" i="1"/>
  <c r="T427" i="1"/>
  <c r="X384" i="1"/>
  <c r="T384" i="1"/>
  <c r="AB383" i="1"/>
  <c r="X383" i="1"/>
  <c r="T383" i="1"/>
  <c r="AB382" i="1"/>
  <c r="X382" i="1"/>
  <c r="T382" i="1"/>
  <c r="AB381" i="1"/>
  <c r="X381" i="1"/>
  <c r="T381" i="1"/>
  <c r="AB380" i="1"/>
  <c r="X380" i="1"/>
  <c r="T380" i="1"/>
  <c r="AB379" i="1"/>
  <c r="X379" i="1"/>
  <c r="T379" i="1"/>
  <c r="AB378" i="1"/>
  <c r="X378" i="1"/>
  <c r="T378" i="1"/>
  <c r="AB377" i="1"/>
  <c r="X377" i="1"/>
  <c r="T377" i="1"/>
  <c r="T401" i="1"/>
  <c r="X401" i="1"/>
  <c r="AB401" i="1"/>
  <c r="T461" i="1"/>
  <c r="X461" i="1"/>
  <c r="AB461" i="1"/>
  <c r="E352" i="1"/>
  <c r="I352" i="1"/>
  <c r="M352" i="1"/>
  <c r="M351" i="1"/>
  <c r="I351" i="1"/>
  <c r="E351" i="1"/>
  <c r="K330" i="1"/>
  <c r="M330" i="1" s="1"/>
  <c r="G330" i="1"/>
  <c r="G342" i="1" s="1"/>
  <c r="C330" i="1"/>
  <c r="C342" i="1" s="1"/>
  <c r="T355" i="1"/>
  <c r="AC355" i="1" s="1"/>
  <c r="X355" i="1"/>
  <c r="AB355" i="1"/>
  <c r="AB354" i="1"/>
  <c r="X354" i="1"/>
  <c r="T354" i="1"/>
  <c r="L514" i="1"/>
  <c r="K514" i="1"/>
  <c r="J514" i="1"/>
  <c r="G514" i="1"/>
  <c r="F514" i="1"/>
  <c r="D514" i="1"/>
  <c r="C514" i="1"/>
  <c r="B514" i="1"/>
  <c r="M513" i="1"/>
  <c r="I513" i="1"/>
  <c r="E513" i="1"/>
  <c r="M512" i="1"/>
  <c r="I512" i="1"/>
  <c r="E512" i="1"/>
  <c r="M511" i="1"/>
  <c r="I511" i="1"/>
  <c r="E511" i="1"/>
  <c r="M510" i="1"/>
  <c r="I510" i="1"/>
  <c r="E510" i="1"/>
  <c r="M509" i="1"/>
  <c r="I509" i="1"/>
  <c r="E509" i="1"/>
  <c r="M508" i="1"/>
  <c r="I508" i="1"/>
  <c r="E508" i="1"/>
  <c r="M507" i="1"/>
  <c r="I507" i="1"/>
  <c r="E507" i="1"/>
  <c r="M506" i="1"/>
  <c r="I506" i="1"/>
  <c r="E506" i="1"/>
  <c r="M505" i="1"/>
  <c r="I505" i="1"/>
  <c r="E505" i="1"/>
  <c r="M504" i="1"/>
  <c r="I504" i="1"/>
  <c r="E504" i="1"/>
  <c r="M503" i="1"/>
  <c r="I503" i="1"/>
  <c r="E503" i="1"/>
  <c r="M502" i="1"/>
  <c r="I502" i="1"/>
  <c r="E502" i="1"/>
  <c r="M501" i="1"/>
  <c r="I501" i="1"/>
  <c r="E501" i="1"/>
  <c r="M500" i="1"/>
  <c r="I500" i="1"/>
  <c r="E500" i="1"/>
  <c r="M499" i="1"/>
  <c r="I499" i="1"/>
  <c r="E499" i="1"/>
  <c r="M498" i="1"/>
  <c r="I498" i="1"/>
  <c r="E498" i="1"/>
  <c r="M497" i="1"/>
  <c r="I497" i="1"/>
  <c r="E497" i="1"/>
  <c r="M496" i="1"/>
  <c r="I496" i="1"/>
  <c r="E496" i="1"/>
  <c r="M495" i="1"/>
  <c r="I495" i="1"/>
  <c r="E495" i="1"/>
  <c r="M494" i="1"/>
  <c r="I494" i="1"/>
  <c r="E494" i="1"/>
  <c r="M493" i="1"/>
  <c r="E493" i="1"/>
  <c r="M492" i="1"/>
  <c r="I492" i="1"/>
  <c r="E492" i="1"/>
  <c r="M491" i="1"/>
  <c r="I491" i="1"/>
  <c r="E491" i="1"/>
  <c r="M490" i="1"/>
  <c r="I490" i="1"/>
  <c r="E490" i="1"/>
  <c r="M488" i="1"/>
  <c r="I488" i="1"/>
  <c r="E488" i="1"/>
  <c r="N488" i="1" s="1"/>
  <c r="M487" i="1"/>
  <c r="I487" i="1"/>
  <c r="E487" i="1"/>
  <c r="M486" i="1"/>
  <c r="I486" i="1"/>
  <c r="E486" i="1"/>
  <c r="M485" i="1"/>
  <c r="I485" i="1"/>
  <c r="E485" i="1"/>
  <c r="M484" i="1"/>
  <c r="I484" i="1"/>
  <c r="E484" i="1"/>
  <c r="M483" i="1"/>
  <c r="I483" i="1"/>
  <c r="E483" i="1"/>
  <c r="M482" i="1"/>
  <c r="I482" i="1"/>
  <c r="E482" i="1"/>
  <c r="M481" i="1"/>
  <c r="I481" i="1"/>
  <c r="E481" i="1"/>
  <c r="M480" i="1"/>
  <c r="I480" i="1"/>
  <c r="E480" i="1"/>
  <c r="T395" i="1"/>
  <c r="X395" i="1"/>
  <c r="AB395" i="1"/>
  <c r="T398" i="1"/>
  <c r="X398" i="1"/>
  <c r="AB398" i="1"/>
  <c r="AB503" i="1"/>
  <c r="X503" i="1"/>
  <c r="T503" i="1"/>
  <c r="AB501" i="1"/>
  <c r="X501" i="1"/>
  <c r="T501" i="1"/>
  <c r="AB500" i="1"/>
  <c r="X500" i="1"/>
  <c r="T500" i="1"/>
  <c r="AB499" i="1"/>
  <c r="X499" i="1"/>
  <c r="T499" i="1"/>
  <c r="AB498" i="1"/>
  <c r="X498" i="1"/>
  <c r="T498" i="1"/>
  <c r="AB496" i="1"/>
  <c r="X496" i="1"/>
  <c r="T496" i="1"/>
  <c r="AC496" i="1" s="1"/>
  <c r="AB495" i="1"/>
  <c r="X495" i="1"/>
  <c r="T495" i="1"/>
  <c r="AB494" i="1"/>
  <c r="X494" i="1"/>
  <c r="T494" i="1"/>
  <c r="AB493" i="1"/>
  <c r="X493" i="1"/>
  <c r="T493" i="1"/>
  <c r="AB492" i="1"/>
  <c r="X492" i="1"/>
  <c r="T492" i="1"/>
  <c r="AB491" i="1"/>
  <c r="X491" i="1"/>
  <c r="T491" i="1"/>
  <c r="AB488" i="1"/>
  <c r="X488" i="1"/>
  <c r="T488" i="1"/>
  <c r="AB487" i="1"/>
  <c r="X487" i="1"/>
  <c r="T487" i="1"/>
  <c r="AB486" i="1"/>
  <c r="X486" i="1"/>
  <c r="T486" i="1"/>
  <c r="AC486" i="1" s="1"/>
  <c r="AB485" i="1"/>
  <c r="X485" i="1"/>
  <c r="T485" i="1"/>
  <c r="AB484" i="1"/>
  <c r="X484" i="1"/>
  <c r="T484" i="1"/>
  <c r="AB483" i="1"/>
  <c r="X483" i="1"/>
  <c r="T483" i="1"/>
  <c r="AB482" i="1"/>
  <c r="X482" i="1"/>
  <c r="T482" i="1"/>
  <c r="AB481" i="1"/>
  <c r="X481" i="1"/>
  <c r="T481" i="1"/>
  <c r="AB480" i="1"/>
  <c r="X480" i="1"/>
  <c r="T480" i="1"/>
  <c r="AB479" i="1"/>
  <c r="X479" i="1"/>
  <c r="T479" i="1"/>
  <c r="AC479" i="1" s="1"/>
  <c r="T376" i="1"/>
  <c r="X376" i="1"/>
  <c r="AB376" i="1"/>
  <c r="AB339" i="1"/>
  <c r="T339" i="1"/>
  <c r="AB338" i="1"/>
  <c r="X338" i="1"/>
  <c r="T338" i="1"/>
  <c r="AB334" i="1"/>
  <c r="X334" i="1"/>
  <c r="T334" i="1"/>
  <c r="AB333" i="1"/>
  <c r="X333" i="1"/>
  <c r="T333" i="1"/>
  <c r="AB337" i="1"/>
  <c r="T337" i="1"/>
  <c r="AB336" i="1"/>
  <c r="X336" i="1"/>
  <c r="T336" i="1"/>
  <c r="AB335" i="1"/>
  <c r="X335" i="1"/>
  <c r="T335" i="1"/>
  <c r="T394" i="1"/>
  <c r="X394" i="1"/>
  <c r="AB394" i="1"/>
  <c r="T358" i="1"/>
  <c r="X358" i="1"/>
  <c r="AB358" i="1"/>
  <c r="AB296" i="1"/>
  <c r="T309" i="1"/>
  <c r="X309" i="1"/>
  <c r="AB309" i="1"/>
  <c r="AB268" i="1"/>
  <c r="X268" i="1"/>
  <c r="T268" i="1"/>
  <c r="L471" i="1"/>
  <c r="K471" i="1"/>
  <c r="J471" i="1"/>
  <c r="H471" i="1"/>
  <c r="G471" i="1"/>
  <c r="F471" i="1"/>
  <c r="D471" i="1"/>
  <c r="C471" i="1"/>
  <c r="B471" i="1"/>
  <c r="M470" i="1"/>
  <c r="I470" i="1"/>
  <c r="E470" i="1"/>
  <c r="M469" i="1"/>
  <c r="I469" i="1"/>
  <c r="E469" i="1"/>
  <c r="M468" i="1"/>
  <c r="I468" i="1"/>
  <c r="E468" i="1"/>
  <c r="M467" i="1"/>
  <c r="I467" i="1"/>
  <c r="E467" i="1"/>
  <c r="M466" i="1"/>
  <c r="I466" i="1"/>
  <c r="E466" i="1"/>
  <c r="M465" i="1"/>
  <c r="I465" i="1"/>
  <c r="E465" i="1"/>
  <c r="M464" i="1"/>
  <c r="I464" i="1"/>
  <c r="E464" i="1"/>
  <c r="M463" i="1"/>
  <c r="I463" i="1"/>
  <c r="E463" i="1"/>
  <c r="M462" i="1"/>
  <c r="I462" i="1"/>
  <c r="E462" i="1"/>
  <c r="M461" i="1"/>
  <c r="I461" i="1"/>
  <c r="E461" i="1"/>
  <c r="M460" i="1"/>
  <c r="I460" i="1"/>
  <c r="E460" i="1"/>
  <c r="M459" i="1"/>
  <c r="I459" i="1"/>
  <c r="E459" i="1"/>
  <c r="M458" i="1"/>
  <c r="I458" i="1"/>
  <c r="E458" i="1"/>
  <c r="M457" i="1"/>
  <c r="I457" i="1"/>
  <c r="E457" i="1"/>
  <c r="M456" i="1"/>
  <c r="I456" i="1"/>
  <c r="E456" i="1"/>
  <c r="M455" i="1"/>
  <c r="I455" i="1"/>
  <c r="E455" i="1"/>
  <c r="M454" i="1"/>
  <c r="I454" i="1"/>
  <c r="E454" i="1"/>
  <c r="M453" i="1"/>
  <c r="I453" i="1"/>
  <c r="E453" i="1"/>
  <c r="M452" i="1"/>
  <c r="I452" i="1"/>
  <c r="E452" i="1"/>
  <c r="M451" i="1"/>
  <c r="I451" i="1"/>
  <c r="E451" i="1"/>
  <c r="M450" i="1"/>
  <c r="I450" i="1"/>
  <c r="E450" i="1"/>
  <c r="M449" i="1"/>
  <c r="I449" i="1"/>
  <c r="E449" i="1"/>
  <c r="M448" i="1"/>
  <c r="I448" i="1"/>
  <c r="E448" i="1"/>
  <c r="M447" i="1"/>
  <c r="I447" i="1"/>
  <c r="E447" i="1"/>
  <c r="M445" i="1"/>
  <c r="I445" i="1"/>
  <c r="E445" i="1"/>
  <c r="N445" i="1" s="1"/>
  <c r="M444" i="1"/>
  <c r="I444" i="1"/>
  <c r="E444" i="1"/>
  <c r="M443" i="1"/>
  <c r="I443" i="1"/>
  <c r="E443" i="1"/>
  <c r="M442" i="1"/>
  <c r="I442" i="1"/>
  <c r="E442" i="1"/>
  <c r="M441" i="1"/>
  <c r="I441" i="1"/>
  <c r="E441" i="1"/>
  <c r="M438" i="1"/>
  <c r="I438" i="1"/>
  <c r="E438" i="1"/>
  <c r="M437" i="1"/>
  <c r="I437" i="1"/>
  <c r="E437" i="1"/>
  <c r="M436" i="1"/>
  <c r="I436" i="1"/>
  <c r="E436" i="1"/>
  <c r="T440" i="1"/>
  <c r="X440" i="1"/>
  <c r="AB440" i="1"/>
  <c r="AB460" i="1"/>
  <c r="X460" i="1"/>
  <c r="T460" i="1"/>
  <c r="AB459" i="1"/>
  <c r="X459" i="1"/>
  <c r="T459" i="1"/>
  <c r="AB458" i="1"/>
  <c r="X458" i="1"/>
  <c r="T458" i="1"/>
  <c r="AB454" i="1"/>
  <c r="X454" i="1"/>
  <c r="T454" i="1"/>
  <c r="AB453" i="1"/>
  <c r="X453" i="1"/>
  <c r="T453" i="1"/>
  <c r="AB452" i="1"/>
  <c r="X452" i="1"/>
  <c r="T452" i="1"/>
  <c r="AB451" i="1"/>
  <c r="X451" i="1"/>
  <c r="T451" i="1"/>
  <c r="AB445" i="1"/>
  <c r="X445" i="1"/>
  <c r="T445" i="1"/>
  <c r="AB444" i="1"/>
  <c r="X444" i="1"/>
  <c r="T444" i="1"/>
  <c r="AB443" i="1"/>
  <c r="X443" i="1"/>
  <c r="T443" i="1"/>
  <c r="AB442" i="1"/>
  <c r="X442" i="1"/>
  <c r="T442" i="1"/>
  <c r="AB441" i="1"/>
  <c r="X441" i="1"/>
  <c r="T441" i="1"/>
  <c r="AB436" i="1"/>
  <c r="X436" i="1"/>
  <c r="T436" i="1"/>
  <c r="T292" i="1"/>
  <c r="X292" i="1"/>
  <c r="AB292" i="1"/>
  <c r="T269" i="1"/>
  <c r="X269" i="1"/>
  <c r="AB269" i="1"/>
  <c r="AB294" i="1"/>
  <c r="X294" i="1"/>
  <c r="T294" i="1"/>
  <c r="AB293" i="1"/>
  <c r="X293" i="1"/>
  <c r="T293" i="1"/>
  <c r="T250" i="1"/>
  <c r="X250" i="1"/>
  <c r="AB250" i="1"/>
  <c r="T251" i="1"/>
  <c r="X251" i="1"/>
  <c r="AB251" i="1"/>
  <c r="T252" i="1"/>
  <c r="X252" i="1"/>
  <c r="AB252" i="1"/>
  <c r="T253" i="1"/>
  <c r="X253" i="1"/>
  <c r="AB253" i="1"/>
  <c r="T254" i="1"/>
  <c r="X254" i="1"/>
  <c r="AB254" i="1"/>
  <c r="T255" i="1"/>
  <c r="X255" i="1"/>
  <c r="AB255" i="1"/>
  <c r="AB295" i="1"/>
  <c r="X295" i="1"/>
  <c r="T295" i="1"/>
  <c r="AB340" i="1"/>
  <c r="X340" i="1"/>
  <c r="T340" i="1"/>
  <c r="AB298" i="1"/>
  <c r="X298" i="1"/>
  <c r="E247" i="1"/>
  <c r="I247" i="1"/>
  <c r="M247" i="1"/>
  <c r="AB242" i="1"/>
  <c r="X242" i="1"/>
  <c r="T242" i="1"/>
  <c r="AB240" i="1"/>
  <c r="X240" i="1"/>
  <c r="T240" i="1"/>
  <c r="M241" i="1"/>
  <c r="I241" i="1"/>
  <c r="E241" i="1"/>
  <c r="M239" i="1"/>
  <c r="I239" i="1"/>
  <c r="E239" i="1"/>
  <c r="M238" i="1"/>
  <c r="I238" i="1"/>
  <c r="E238" i="1"/>
  <c r="M237" i="1"/>
  <c r="I237" i="1"/>
  <c r="E237" i="1"/>
  <c r="M236" i="1"/>
  <c r="I236" i="1"/>
  <c r="E236" i="1"/>
  <c r="M235" i="1"/>
  <c r="I235" i="1"/>
  <c r="E235" i="1"/>
  <c r="AB237" i="1"/>
  <c r="X237" i="1"/>
  <c r="T237" i="1"/>
  <c r="AB249" i="1"/>
  <c r="X249" i="1"/>
  <c r="T249" i="1"/>
  <c r="AB248" i="1"/>
  <c r="X248" i="1"/>
  <c r="T248" i="1"/>
  <c r="X296" i="1"/>
  <c r="T296" i="1"/>
  <c r="AB234" i="1"/>
  <c r="X234" i="1"/>
  <c r="T234" i="1"/>
  <c r="AB233" i="1"/>
  <c r="X233" i="1"/>
  <c r="T233" i="1"/>
  <c r="T205" i="1"/>
  <c r="X205" i="1"/>
  <c r="AB205" i="1"/>
  <c r="T431" i="1"/>
  <c r="L428" i="1"/>
  <c r="K428" i="1"/>
  <c r="J428" i="1"/>
  <c r="H428" i="1"/>
  <c r="G428" i="1"/>
  <c r="F428" i="1"/>
  <c r="D428" i="1"/>
  <c r="C428" i="1"/>
  <c r="B428" i="1"/>
  <c r="M426" i="1"/>
  <c r="I426" i="1"/>
  <c r="E426" i="1"/>
  <c r="M425" i="1"/>
  <c r="I425" i="1"/>
  <c r="E425" i="1"/>
  <c r="M424" i="1"/>
  <c r="I424" i="1"/>
  <c r="E424" i="1"/>
  <c r="M423" i="1"/>
  <c r="I423" i="1"/>
  <c r="E423" i="1"/>
  <c r="M422" i="1"/>
  <c r="I422" i="1"/>
  <c r="E422" i="1"/>
  <c r="M421" i="1"/>
  <c r="I421" i="1"/>
  <c r="E421" i="1"/>
  <c r="M420" i="1"/>
  <c r="I420" i="1"/>
  <c r="E420" i="1"/>
  <c r="M419" i="1"/>
  <c r="I419" i="1"/>
  <c r="E419" i="1"/>
  <c r="M418" i="1"/>
  <c r="I418" i="1"/>
  <c r="E418" i="1"/>
  <c r="M417" i="1"/>
  <c r="I417" i="1"/>
  <c r="E417" i="1"/>
  <c r="M416" i="1"/>
  <c r="I416" i="1"/>
  <c r="E416" i="1"/>
  <c r="M415" i="1"/>
  <c r="I415" i="1"/>
  <c r="E415" i="1"/>
  <c r="M414" i="1"/>
  <c r="I414" i="1"/>
  <c r="E414" i="1"/>
  <c r="M413" i="1"/>
  <c r="I413" i="1"/>
  <c r="E413" i="1"/>
  <c r="M412" i="1"/>
  <c r="I412" i="1"/>
  <c r="E412" i="1"/>
  <c r="M411" i="1"/>
  <c r="I411" i="1"/>
  <c r="E411" i="1"/>
  <c r="M410" i="1"/>
  <c r="I410" i="1"/>
  <c r="E410" i="1"/>
  <c r="M409" i="1"/>
  <c r="I409" i="1"/>
  <c r="E409" i="1"/>
  <c r="M408" i="1"/>
  <c r="I408" i="1"/>
  <c r="E408" i="1"/>
  <c r="M407" i="1"/>
  <c r="I407" i="1"/>
  <c r="E407" i="1"/>
  <c r="M406" i="1"/>
  <c r="I406" i="1"/>
  <c r="E406" i="1"/>
  <c r="M405" i="1"/>
  <c r="I405" i="1"/>
  <c r="E405" i="1"/>
  <c r="M404" i="1"/>
  <c r="I404" i="1"/>
  <c r="E404" i="1"/>
  <c r="M402" i="1"/>
  <c r="I402" i="1"/>
  <c r="E402" i="1"/>
  <c r="M401" i="1"/>
  <c r="I401" i="1"/>
  <c r="E401" i="1"/>
  <c r="M400" i="1"/>
  <c r="I400" i="1"/>
  <c r="E400" i="1"/>
  <c r="M399" i="1"/>
  <c r="I399" i="1"/>
  <c r="E399" i="1"/>
  <c r="M398" i="1"/>
  <c r="I398" i="1"/>
  <c r="E398" i="1"/>
  <c r="M397" i="1"/>
  <c r="I397" i="1"/>
  <c r="E397" i="1"/>
  <c r="M396" i="1"/>
  <c r="I396" i="1"/>
  <c r="E396" i="1"/>
  <c r="M395" i="1"/>
  <c r="I395" i="1"/>
  <c r="E395" i="1"/>
  <c r="M394" i="1"/>
  <c r="I394" i="1"/>
  <c r="E394" i="1"/>
  <c r="M393" i="1"/>
  <c r="I393" i="1"/>
  <c r="E393" i="1"/>
  <c r="T297" i="1"/>
  <c r="X297" i="1"/>
  <c r="AB297" i="1"/>
  <c r="T298" i="1"/>
  <c r="AB341" i="1"/>
  <c r="X341" i="1"/>
  <c r="T341" i="1"/>
  <c r="AB415" i="1"/>
  <c r="X415" i="1"/>
  <c r="T415" i="1"/>
  <c r="AB414" i="1"/>
  <c r="X414" i="1"/>
  <c r="T414" i="1"/>
  <c r="AB413" i="1"/>
  <c r="X413" i="1"/>
  <c r="T413" i="1"/>
  <c r="AB412" i="1"/>
  <c r="X412" i="1"/>
  <c r="T412" i="1"/>
  <c r="AB410" i="1"/>
  <c r="X410" i="1"/>
  <c r="T410" i="1"/>
  <c r="AB409" i="1"/>
  <c r="X409" i="1"/>
  <c r="T409" i="1"/>
  <c r="AB407" i="1"/>
  <c r="X407" i="1"/>
  <c r="T407" i="1"/>
  <c r="AB406" i="1"/>
  <c r="X406" i="1"/>
  <c r="T406" i="1"/>
  <c r="AB400" i="1"/>
  <c r="X400" i="1"/>
  <c r="T400" i="1"/>
  <c r="AB399" i="1"/>
  <c r="X399" i="1"/>
  <c r="T399" i="1"/>
  <c r="AB393" i="1"/>
  <c r="X393" i="1"/>
  <c r="T393" i="1"/>
  <c r="L385" i="1"/>
  <c r="K385" i="1"/>
  <c r="J385" i="1"/>
  <c r="H385" i="1"/>
  <c r="G385" i="1"/>
  <c r="F385" i="1"/>
  <c r="D385" i="1"/>
  <c r="C385" i="1"/>
  <c r="B385" i="1"/>
  <c r="M383" i="1"/>
  <c r="I383" i="1"/>
  <c r="E383" i="1"/>
  <c r="M382" i="1"/>
  <c r="I382" i="1"/>
  <c r="E382" i="1"/>
  <c r="M381" i="1"/>
  <c r="I381" i="1"/>
  <c r="E381" i="1"/>
  <c r="M380" i="1"/>
  <c r="I380" i="1"/>
  <c r="E380" i="1"/>
  <c r="M379" i="1"/>
  <c r="I379" i="1"/>
  <c r="E379" i="1"/>
  <c r="M378" i="1"/>
  <c r="I378" i="1"/>
  <c r="E378" i="1"/>
  <c r="M377" i="1"/>
  <c r="I377" i="1"/>
  <c r="E377" i="1"/>
  <c r="M376" i="1"/>
  <c r="I376" i="1"/>
  <c r="E376" i="1"/>
  <c r="M375" i="1"/>
  <c r="I375" i="1"/>
  <c r="E375" i="1"/>
  <c r="M374" i="1"/>
  <c r="I374" i="1"/>
  <c r="E374" i="1"/>
  <c r="M373" i="1"/>
  <c r="I373" i="1"/>
  <c r="E373" i="1"/>
  <c r="M372" i="1"/>
  <c r="I372" i="1"/>
  <c r="E372" i="1"/>
  <c r="M371" i="1"/>
  <c r="I371" i="1"/>
  <c r="E371" i="1"/>
  <c r="M370" i="1"/>
  <c r="I370" i="1"/>
  <c r="E370" i="1"/>
  <c r="M369" i="1"/>
  <c r="I369" i="1"/>
  <c r="E369" i="1"/>
  <c r="M368" i="1"/>
  <c r="I368" i="1"/>
  <c r="E368" i="1"/>
  <c r="M367" i="1"/>
  <c r="I367" i="1"/>
  <c r="E367" i="1"/>
  <c r="M366" i="1"/>
  <c r="I366" i="1"/>
  <c r="E366" i="1"/>
  <c r="M365" i="1"/>
  <c r="I365" i="1"/>
  <c r="E365" i="1"/>
  <c r="M364" i="1"/>
  <c r="I364" i="1"/>
  <c r="E364" i="1"/>
  <c r="M363" i="1"/>
  <c r="I363" i="1"/>
  <c r="E363" i="1"/>
  <c r="M362" i="1"/>
  <c r="I362" i="1"/>
  <c r="E362" i="1"/>
  <c r="M361" i="1"/>
  <c r="I361" i="1"/>
  <c r="E361" i="1"/>
  <c r="M359" i="1"/>
  <c r="I359" i="1"/>
  <c r="E359" i="1"/>
  <c r="M358" i="1"/>
  <c r="I358" i="1"/>
  <c r="E358" i="1"/>
  <c r="M357" i="1"/>
  <c r="I357" i="1"/>
  <c r="E357" i="1"/>
  <c r="M356" i="1"/>
  <c r="I356" i="1"/>
  <c r="E356" i="1"/>
  <c r="M355" i="1"/>
  <c r="I355" i="1"/>
  <c r="E355" i="1"/>
  <c r="M354" i="1"/>
  <c r="I354" i="1"/>
  <c r="E354" i="1"/>
  <c r="M353" i="1"/>
  <c r="I353" i="1"/>
  <c r="E353" i="1"/>
  <c r="M350" i="1"/>
  <c r="I350" i="1"/>
  <c r="E350" i="1"/>
  <c r="AB357" i="1"/>
  <c r="X357" i="1"/>
  <c r="T357" i="1"/>
  <c r="AB356" i="1"/>
  <c r="X356" i="1"/>
  <c r="T356" i="1"/>
  <c r="AB353" i="1"/>
  <c r="X353" i="1"/>
  <c r="T353" i="1"/>
  <c r="AB352" i="1"/>
  <c r="X352" i="1"/>
  <c r="T352" i="1"/>
  <c r="AC352" i="1" s="1"/>
  <c r="AB351" i="1"/>
  <c r="X351" i="1"/>
  <c r="T351" i="1"/>
  <c r="AB350" i="1"/>
  <c r="X350" i="1"/>
  <c r="T350" i="1"/>
  <c r="AB202" i="1"/>
  <c r="X202" i="1"/>
  <c r="T202" i="1"/>
  <c r="AB201" i="1"/>
  <c r="X201" i="1"/>
  <c r="T201" i="1"/>
  <c r="D198" i="1"/>
  <c r="AA342" i="1"/>
  <c r="Y342" i="1"/>
  <c r="W342" i="1"/>
  <c r="U342" i="1"/>
  <c r="S342" i="1"/>
  <c r="Q342" i="1"/>
  <c r="L342" i="1"/>
  <c r="J342" i="1"/>
  <c r="H342" i="1"/>
  <c r="F342" i="1"/>
  <c r="D342" i="1"/>
  <c r="B342" i="1"/>
  <c r="M341" i="1"/>
  <c r="I341" i="1"/>
  <c r="E341" i="1"/>
  <c r="M340" i="1"/>
  <c r="I340" i="1"/>
  <c r="E340" i="1"/>
  <c r="M339" i="1"/>
  <c r="I339" i="1"/>
  <c r="E339" i="1"/>
  <c r="M338" i="1"/>
  <c r="I338" i="1"/>
  <c r="E338" i="1"/>
  <c r="M337" i="1"/>
  <c r="I337" i="1"/>
  <c r="E337" i="1"/>
  <c r="M336" i="1"/>
  <c r="I336" i="1"/>
  <c r="E336" i="1"/>
  <c r="M335" i="1"/>
  <c r="I335" i="1"/>
  <c r="E335" i="1"/>
  <c r="M334" i="1"/>
  <c r="I334" i="1"/>
  <c r="E334" i="1"/>
  <c r="M333" i="1"/>
  <c r="I333" i="1"/>
  <c r="E333" i="1"/>
  <c r="M332" i="1"/>
  <c r="I332" i="1"/>
  <c r="E332" i="1"/>
  <c r="M331" i="1"/>
  <c r="I331" i="1"/>
  <c r="E331" i="1"/>
  <c r="M329" i="1"/>
  <c r="I329" i="1"/>
  <c r="E329" i="1"/>
  <c r="M328" i="1"/>
  <c r="I328" i="1"/>
  <c r="E328" i="1"/>
  <c r="M327" i="1"/>
  <c r="I327" i="1"/>
  <c r="E327" i="1"/>
  <c r="M326" i="1"/>
  <c r="I326" i="1"/>
  <c r="E326" i="1"/>
  <c r="M325" i="1"/>
  <c r="I325" i="1"/>
  <c r="E325" i="1"/>
  <c r="M324" i="1"/>
  <c r="I324" i="1"/>
  <c r="E324" i="1"/>
  <c r="M323" i="1"/>
  <c r="I323" i="1"/>
  <c r="E323" i="1"/>
  <c r="M322" i="1"/>
  <c r="I322" i="1"/>
  <c r="E322" i="1"/>
  <c r="M321" i="1"/>
  <c r="I321" i="1"/>
  <c r="E321" i="1"/>
  <c r="M320" i="1"/>
  <c r="I320" i="1"/>
  <c r="E320" i="1"/>
  <c r="M319" i="1"/>
  <c r="I319" i="1"/>
  <c r="E319" i="1"/>
  <c r="M318" i="1"/>
  <c r="I318" i="1"/>
  <c r="E318" i="1"/>
  <c r="AB316" i="1"/>
  <c r="X316" i="1"/>
  <c r="T316" i="1"/>
  <c r="AC316" i="1" s="1"/>
  <c r="M316" i="1"/>
  <c r="I316" i="1"/>
  <c r="E316" i="1"/>
  <c r="AB315" i="1"/>
  <c r="X315" i="1"/>
  <c r="T315" i="1"/>
  <c r="AC315" i="1" s="1"/>
  <c r="M315" i="1"/>
  <c r="I315" i="1"/>
  <c r="E315" i="1"/>
  <c r="AB314" i="1"/>
  <c r="X314" i="1"/>
  <c r="T314" i="1"/>
  <c r="M314" i="1"/>
  <c r="I314" i="1"/>
  <c r="E314" i="1"/>
  <c r="AB313" i="1"/>
  <c r="X313" i="1"/>
  <c r="T313" i="1"/>
  <c r="M313" i="1"/>
  <c r="I313" i="1"/>
  <c r="E313" i="1"/>
  <c r="AB312" i="1"/>
  <c r="X312" i="1"/>
  <c r="T312" i="1"/>
  <c r="M312" i="1"/>
  <c r="I312" i="1"/>
  <c r="E312" i="1"/>
  <c r="AB311" i="1"/>
  <c r="X311" i="1"/>
  <c r="T311" i="1"/>
  <c r="M311" i="1"/>
  <c r="I311" i="1"/>
  <c r="N311" i="1" s="1"/>
  <c r="E311" i="1"/>
  <c r="AB310" i="1"/>
  <c r="X310" i="1"/>
  <c r="T310" i="1"/>
  <c r="M310" i="1"/>
  <c r="I310" i="1"/>
  <c r="E310" i="1"/>
  <c r="M309" i="1"/>
  <c r="I309" i="1"/>
  <c r="E309" i="1"/>
  <c r="AB308" i="1"/>
  <c r="X308" i="1"/>
  <c r="T308" i="1"/>
  <c r="M308" i="1"/>
  <c r="I308" i="1"/>
  <c r="E308" i="1"/>
  <c r="AB307" i="1"/>
  <c r="X307" i="1"/>
  <c r="T307" i="1"/>
  <c r="M307" i="1"/>
  <c r="I307" i="1"/>
  <c r="E307" i="1"/>
  <c r="AB193" i="1"/>
  <c r="X193" i="1"/>
  <c r="T193" i="1"/>
  <c r="T178" i="1"/>
  <c r="X178" i="1"/>
  <c r="T179" i="1"/>
  <c r="X179" i="1"/>
  <c r="T180" i="1"/>
  <c r="X180" i="1"/>
  <c r="T181" i="1"/>
  <c r="X181" i="1"/>
  <c r="T182" i="1"/>
  <c r="X182" i="1"/>
  <c r="T183" i="1"/>
  <c r="X183" i="1"/>
  <c r="T211" i="1"/>
  <c r="X211" i="1"/>
  <c r="AB180" i="1"/>
  <c r="AB223" i="1"/>
  <c r="X223" i="1"/>
  <c r="T223" i="1"/>
  <c r="AB266" i="1"/>
  <c r="X266" i="1"/>
  <c r="T266" i="1"/>
  <c r="T165" i="1"/>
  <c r="X165" i="1"/>
  <c r="AB165" i="1"/>
  <c r="AB189" i="1"/>
  <c r="X189" i="1"/>
  <c r="T189" i="1"/>
  <c r="Y168" i="1"/>
  <c r="Z168" i="1"/>
  <c r="AA168" i="1"/>
  <c r="N1942" i="1" l="1"/>
  <c r="AC1960" i="1"/>
  <c r="M1976" i="1"/>
  <c r="N1958" i="1"/>
  <c r="E1976" i="1"/>
  <c r="N1941" i="1"/>
  <c r="M385" i="4"/>
  <c r="AC370" i="4"/>
  <c r="AC554" i="4"/>
  <c r="AC553" i="4"/>
  <c r="AC2226" i="1"/>
  <c r="AB2234" i="1"/>
  <c r="AC2227" i="1"/>
  <c r="AC1958" i="1"/>
  <c r="N1904" i="1"/>
  <c r="AC502" i="4"/>
  <c r="AC2184" i="1"/>
  <c r="AC2191" i="1" s="1"/>
  <c r="N1955" i="1"/>
  <c r="N1953" i="1"/>
  <c r="E2277" i="1"/>
  <c r="I2277" i="1"/>
  <c r="M2277" i="1"/>
  <c r="Z2148" i="1"/>
  <c r="V2148" i="1"/>
  <c r="T2145" i="1"/>
  <c r="AC2145" i="1" s="1"/>
  <c r="T2234" i="1"/>
  <c r="X2234" i="1"/>
  <c r="AC2253" i="1"/>
  <c r="AC2277" i="1" s="1"/>
  <c r="AC1957" i="1"/>
  <c r="I1976" i="1"/>
  <c r="AC424" i="4"/>
  <c r="Y428" i="4"/>
  <c r="AC425" i="4"/>
  <c r="AC369" i="4"/>
  <c r="AC1974" i="1"/>
  <c r="AC1975" i="1"/>
  <c r="AC1956" i="1"/>
  <c r="AC368" i="4"/>
  <c r="N1929" i="1"/>
  <c r="AC1955" i="1"/>
  <c r="N1903" i="1"/>
  <c r="N1927" i="1"/>
  <c r="AC1932" i="1"/>
  <c r="N363" i="4"/>
  <c r="AC1954" i="1"/>
  <c r="AC1953" i="1"/>
  <c r="AC1927" i="1"/>
  <c r="AC1967" i="1"/>
  <c r="AC1883" i="1"/>
  <c r="Z1890" i="1"/>
  <c r="V1890" i="1"/>
  <c r="AC366" i="4"/>
  <c r="N1902" i="1"/>
  <c r="N1901" i="1"/>
  <c r="AC1923" i="1"/>
  <c r="AC418" i="4"/>
  <c r="AC417" i="4"/>
  <c r="X1887" i="1"/>
  <c r="AC1887" i="1" s="1"/>
  <c r="N1921" i="1"/>
  <c r="N1920" i="1"/>
  <c r="N1918" i="1"/>
  <c r="AC326" i="4"/>
  <c r="N312" i="4"/>
  <c r="AC1921" i="1"/>
  <c r="N1900" i="1"/>
  <c r="N333" i="4"/>
  <c r="N1914" i="1"/>
  <c r="M1933" i="1"/>
  <c r="N1913" i="1"/>
  <c r="X427" i="4"/>
  <c r="AC364" i="4"/>
  <c r="U1976" i="1"/>
  <c r="AC1969" i="1"/>
  <c r="AC1917" i="1"/>
  <c r="X1884" i="1"/>
  <c r="AC1884" i="1" s="1"/>
  <c r="AC1916" i="1"/>
  <c r="AC1915" i="1"/>
  <c r="Z428" i="4"/>
  <c r="AB428" i="4" s="1"/>
  <c r="AC421" i="4"/>
  <c r="AC363" i="4"/>
  <c r="Z1933" i="1"/>
  <c r="U1933" i="1"/>
  <c r="V1933" i="1"/>
  <c r="AC1914" i="1"/>
  <c r="N331" i="4"/>
  <c r="I1933" i="1"/>
  <c r="AC1913" i="1"/>
  <c r="E1933" i="1"/>
  <c r="AC1912" i="1"/>
  <c r="X2148" i="1"/>
  <c r="AB2148" i="1"/>
  <c r="AC1879" i="1"/>
  <c r="X1973" i="1"/>
  <c r="AC1973" i="1" s="1"/>
  <c r="Z1976" i="1"/>
  <c r="T2148" i="1"/>
  <c r="AC2210" i="1"/>
  <c r="AC2234" i="1" s="1"/>
  <c r="AC1910" i="1"/>
  <c r="N1860" i="1"/>
  <c r="AC1909" i="1"/>
  <c r="N1881" i="1"/>
  <c r="AC504" i="4"/>
  <c r="AC464" i="4"/>
  <c r="AC382" i="4"/>
  <c r="AC1878" i="1"/>
  <c r="N1859" i="1"/>
  <c r="N1879" i="1"/>
  <c r="AC1875" i="1"/>
  <c r="X1880" i="1"/>
  <c r="AC1880" i="1" s="1"/>
  <c r="AC1876" i="1"/>
  <c r="N1877" i="1"/>
  <c r="N1858" i="1"/>
  <c r="T2191" i="1"/>
  <c r="AC1964" i="1"/>
  <c r="AC1877" i="1"/>
  <c r="AC1922" i="1"/>
  <c r="AC2048" i="1"/>
  <c r="AC1888" i="1"/>
  <c r="AC1918" i="1"/>
  <c r="AC1962" i="1"/>
  <c r="AC1961" i="1"/>
  <c r="AC2046" i="1"/>
  <c r="AC1963" i="1"/>
  <c r="AC323" i="4"/>
  <c r="N310" i="4"/>
  <c r="W1933" i="1"/>
  <c r="N1873" i="1"/>
  <c r="N325" i="4"/>
  <c r="N1871" i="1"/>
  <c r="AC555" i="4"/>
  <c r="AB2105" i="1"/>
  <c r="N1857" i="1"/>
  <c r="AC1871" i="1"/>
  <c r="AC467" i="4"/>
  <c r="AC468" i="4"/>
  <c r="N1869" i="1"/>
  <c r="N1856" i="1"/>
  <c r="AC1870" i="1"/>
  <c r="AC503" i="4"/>
  <c r="N1867" i="1"/>
  <c r="I1890" i="1"/>
  <c r="N1855" i="1"/>
  <c r="AC379" i="4"/>
  <c r="T557" i="4"/>
  <c r="AB557" i="4"/>
  <c r="X557" i="4"/>
  <c r="AC600" i="4"/>
  <c r="AC505" i="4"/>
  <c r="AC513" i="4"/>
  <c r="AA514" i="4"/>
  <c r="AB514" i="4" s="1"/>
  <c r="T511" i="4"/>
  <c r="X511" i="4"/>
  <c r="N2148" i="1"/>
  <c r="N2105" i="1"/>
  <c r="X2105" i="1"/>
  <c r="T2105" i="1"/>
  <c r="AC2124" i="1"/>
  <c r="R2062" i="1"/>
  <c r="T2062" i="1"/>
  <c r="X2062" i="1"/>
  <c r="AC2081" i="1"/>
  <c r="AC1868" i="1"/>
  <c r="Y1890" i="1"/>
  <c r="AC1867" i="1"/>
  <c r="N323" i="4"/>
  <c r="N308" i="4"/>
  <c r="AC1866" i="1"/>
  <c r="N307" i="4"/>
  <c r="X1882" i="1"/>
  <c r="AC1835" i="1"/>
  <c r="AC1833" i="1"/>
  <c r="N1813" i="1"/>
  <c r="AC1842" i="1"/>
  <c r="AC1889" i="1"/>
  <c r="AC1831" i="1"/>
  <c r="N1812" i="1"/>
  <c r="V471" i="4"/>
  <c r="X471" i="4" s="1"/>
  <c r="AC318" i="4"/>
  <c r="AC1829" i="1"/>
  <c r="AB2019" i="1"/>
  <c r="T2019" i="1"/>
  <c r="X2019" i="1"/>
  <c r="N2062" i="1"/>
  <c r="AC2038" i="1"/>
  <c r="N279" i="4"/>
  <c r="AC383" i="4"/>
  <c r="AC1841" i="1"/>
  <c r="AC1885" i="1"/>
  <c r="AC1843" i="1"/>
  <c r="AC353" i="4"/>
  <c r="N278" i="4"/>
  <c r="E299" i="4"/>
  <c r="AC1845" i="1"/>
  <c r="T471" i="4"/>
  <c r="T1976" i="1"/>
  <c r="N514" i="4"/>
  <c r="X514" i="4"/>
  <c r="T514" i="4"/>
  <c r="N2019" i="1"/>
  <c r="AC1995" i="1"/>
  <c r="AC1839" i="1"/>
  <c r="AC1800" i="1"/>
  <c r="AB1976" i="1"/>
  <c r="AB471" i="4"/>
  <c r="AC110" i="4"/>
  <c r="N15" i="4"/>
  <c r="AC53" i="4"/>
  <c r="N33" i="4"/>
  <c r="N70" i="4"/>
  <c r="AC222" i="4"/>
  <c r="AC230" i="4"/>
  <c r="AC377" i="4"/>
  <c r="AC8" i="4"/>
  <c r="E342" i="4"/>
  <c r="N73" i="4"/>
  <c r="AC270" i="4"/>
  <c r="AC290" i="4"/>
  <c r="AC396" i="4"/>
  <c r="AC55" i="4"/>
  <c r="AA258" i="4"/>
  <c r="N318" i="4"/>
  <c r="N326" i="4"/>
  <c r="N334" i="4"/>
  <c r="AC154" i="4"/>
  <c r="N242" i="4"/>
  <c r="N14" i="4"/>
  <c r="AC25" i="4"/>
  <c r="AC23" i="4"/>
  <c r="AC141" i="4"/>
  <c r="N150" i="4"/>
  <c r="N158" i="4"/>
  <c r="N166" i="4"/>
  <c r="AC116" i="4"/>
  <c r="N311" i="4"/>
  <c r="AC93" i="4"/>
  <c r="N239" i="4"/>
  <c r="N250" i="4"/>
  <c r="AC118" i="4"/>
  <c r="S258" i="4"/>
  <c r="AC315" i="4"/>
  <c r="N309" i="4"/>
  <c r="AC373" i="4"/>
  <c r="AC10" i="4"/>
  <c r="N13" i="4"/>
  <c r="AC57" i="4"/>
  <c r="AC51" i="4"/>
  <c r="AC19" i="4"/>
  <c r="AC135" i="4"/>
  <c r="N265" i="4"/>
  <c r="AC225" i="4"/>
  <c r="AC283" i="4"/>
  <c r="N282" i="4"/>
  <c r="N290" i="4"/>
  <c r="N298" i="4"/>
  <c r="AC321" i="4"/>
  <c r="AC329" i="4"/>
  <c r="N321" i="4"/>
  <c r="N329" i="4"/>
  <c r="N337" i="4"/>
  <c r="AC411" i="4"/>
  <c r="AC399" i="4"/>
  <c r="AC356" i="4"/>
  <c r="AC451" i="4"/>
  <c r="AC50" i="4"/>
  <c r="AC30" i="4"/>
  <c r="N36" i="4"/>
  <c r="N66" i="4"/>
  <c r="N74" i="4"/>
  <c r="N76" i="4"/>
  <c r="N112" i="4"/>
  <c r="N120" i="4"/>
  <c r="N58" i="4"/>
  <c r="N99" i="4"/>
  <c r="N19" i="4"/>
  <c r="AC228" i="4"/>
  <c r="AC235" i="4"/>
  <c r="AC243" i="4"/>
  <c r="AC286" i="4"/>
  <c r="N285" i="4"/>
  <c r="N293" i="4"/>
  <c r="M299" i="4"/>
  <c r="AC324" i="4"/>
  <c r="N324" i="4"/>
  <c r="N332" i="4"/>
  <c r="N340" i="4"/>
  <c r="AC166" i="4"/>
  <c r="AC408" i="4"/>
  <c r="AC394" i="4"/>
  <c r="AC365" i="4"/>
  <c r="AC351" i="4"/>
  <c r="N428" i="4"/>
  <c r="AC454" i="4"/>
  <c r="N449" i="4"/>
  <c r="N457" i="4"/>
  <c r="N465" i="4"/>
  <c r="AC24" i="4"/>
  <c r="N22" i="4"/>
  <c r="N37" i="4"/>
  <c r="N69" i="4"/>
  <c r="N77" i="4"/>
  <c r="N79" i="4"/>
  <c r="N107" i="4"/>
  <c r="N115" i="4"/>
  <c r="N123" i="4"/>
  <c r="N51" i="4"/>
  <c r="AC155" i="4"/>
  <c r="N154" i="4"/>
  <c r="N162" i="4"/>
  <c r="E170" i="4"/>
  <c r="AC169" i="4"/>
  <c r="N202" i="4"/>
  <c r="N210" i="4"/>
  <c r="AC223" i="4"/>
  <c r="N223" i="4"/>
  <c r="N246" i="4"/>
  <c r="N254" i="4"/>
  <c r="AC281" i="4"/>
  <c r="N280" i="4"/>
  <c r="N288" i="4"/>
  <c r="N296" i="4"/>
  <c r="AC319" i="4"/>
  <c r="AC327" i="4"/>
  <c r="N319" i="4"/>
  <c r="N327" i="4"/>
  <c r="N335" i="4"/>
  <c r="I342" i="4"/>
  <c r="AC151" i="4"/>
  <c r="N357" i="4"/>
  <c r="N366" i="4"/>
  <c r="N374" i="4"/>
  <c r="N382" i="4"/>
  <c r="N234" i="4"/>
  <c r="AC405" i="4"/>
  <c r="AC401" i="4"/>
  <c r="AC362" i="4"/>
  <c r="AC358" i="4"/>
  <c r="AC338" i="4"/>
  <c r="AC206" i="4"/>
  <c r="N407" i="4"/>
  <c r="N415" i="4"/>
  <c r="N423" i="4"/>
  <c r="AC449" i="4"/>
  <c r="AC457" i="4"/>
  <c r="N452" i="4"/>
  <c r="N460" i="4"/>
  <c r="N468" i="4"/>
  <c r="AC384" i="4"/>
  <c r="AC158" i="4"/>
  <c r="N149" i="4"/>
  <c r="N157" i="4"/>
  <c r="N165" i="4"/>
  <c r="AC226" i="4"/>
  <c r="N249" i="4"/>
  <c r="AC284" i="4"/>
  <c r="N322" i="4"/>
  <c r="N330" i="4"/>
  <c r="N338" i="4"/>
  <c r="AC146" i="4"/>
  <c r="N148" i="4"/>
  <c r="N352" i="4"/>
  <c r="N361" i="4"/>
  <c r="N369" i="4"/>
  <c r="N377" i="4"/>
  <c r="E385" i="4"/>
  <c r="AC410" i="4"/>
  <c r="AC398" i="4"/>
  <c r="AC355" i="4"/>
  <c r="AC341" i="4"/>
  <c r="AC211" i="4"/>
  <c r="AC295" i="4"/>
  <c r="N410" i="4"/>
  <c r="N418" i="4"/>
  <c r="N426" i="4"/>
  <c r="AC440" i="4"/>
  <c r="AC452" i="4"/>
  <c r="E471" i="4"/>
  <c r="N471" i="4" s="1"/>
  <c r="AC427" i="4"/>
  <c r="AC380" i="4"/>
  <c r="N222" i="4"/>
  <c r="N40" i="4"/>
  <c r="N61" i="4"/>
  <c r="N75" i="4"/>
  <c r="N83" i="4"/>
  <c r="N113" i="4"/>
  <c r="N121" i="4"/>
  <c r="AC111" i="4"/>
  <c r="AC113" i="4"/>
  <c r="AC70" i="4"/>
  <c r="N54" i="4"/>
  <c r="N92" i="4"/>
  <c r="N94" i="4"/>
  <c r="N100" i="4"/>
  <c r="N6" i="4"/>
  <c r="AC161" i="4"/>
  <c r="N152" i="4"/>
  <c r="N160" i="4"/>
  <c r="N168" i="4"/>
  <c r="N200" i="4"/>
  <c r="N208" i="4"/>
  <c r="N244" i="4"/>
  <c r="N252" i="4"/>
  <c r="AC60" i="4"/>
  <c r="N286" i="4"/>
  <c r="N294" i="4"/>
  <c r="AC325" i="4"/>
  <c r="AC149" i="4"/>
  <c r="AC455" i="4"/>
  <c r="N450" i="4"/>
  <c r="N458" i="4"/>
  <c r="N466" i="4"/>
  <c r="AC97" i="4"/>
  <c r="AC21" i="4"/>
  <c r="N30" i="4"/>
  <c r="N62" i="4"/>
  <c r="N64" i="4"/>
  <c r="N78" i="4"/>
  <c r="N108" i="4"/>
  <c r="N116" i="4"/>
  <c r="N124" i="4"/>
  <c r="AC114" i="4"/>
  <c r="AC68" i="4"/>
  <c r="AC71" i="4"/>
  <c r="N52" i="4"/>
  <c r="N95" i="4"/>
  <c r="AC156" i="4"/>
  <c r="N155" i="4"/>
  <c r="N163" i="4"/>
  <c r="N184" i="4"/>
  <c r="N193" i="4"/>
  <c r="N203" i="4"/>
  <c r="N211" i="4"/>
  <c r="AC224" i="4"/>
  <c r="N247" i="4"/>
  <c r="N255" i="4"/>
  <c r="AC282" i="4"/>
  <c r="N281" i="4"/>
  <c r="N289" i="4"/>
  <c r="N297" i="4"/>
  <c r="AC320" i="4"/>
  <c r="AC328" i="4"/>
  <c r="N320" i="4"/>
  <c r="N328" i="4"/>
  <c r="N336" i="4"/>
  <c r="M342" i="4"/>
  <c r="N146" i="4"/>
  <c r="N350" i="4"/>
  <c r="N358" i="4"/>
  <c r="N367" i="4"/>
  <c r="N375" i="4"/>
  <c r="N383" i="4"/>
  <c r="N196" i="4"/>
  <c r="AC412" i="4"/>
  <c r="AC404" i="4"/>
  <c r="AC400" i="4"/>
  <c r="AC361" i="4"/>
  <c r="AC357" i="4"/>
  <c r="AC339" i="4"/>
  <c r="AC232" i="4"/>
  <c r="N408" i="4"/>
  <c r="N416" i="4"/>
  <c r="N424" i="4"/>
  <c r="AC450" i="4"/>
  <c r="N453" i="4"/>
  <c r="N461" i="4"/>
  <c r="N469" i="4"/>
  <c r="AC381" i="4"/>
  <c r="AC378" i="4"/>
  <c r="AC247" i="4"/>
  <c r="N353" i="4"/>
  <c r="N362" i="4"/>
  <c r="N370" i="4"/>
  <c r="N378" i="4"/>
  <c r="I385" i="4"/>
  <c r="AC409" i="4"/>
  <c r="AC397" i="4"/>
  <c r="AC354" i="4"/>
  <c r="AC212" i="4"/>
  <c r="AC296" i="4"/>
  <c r="N411" i="4"/>
  <c r="N419" i="4"/>
  <c r="N427" i="4"/>
  <c r="AC453" i="4"/>
  <c r="N448" i="4"/>
  <c r="N456" i="4"/>
  <c r="N464" i="4"/>
  <c r="I471" i="4"/>
  <c r="AC367" i="4"/>
  <c r="N277" i="4"/>
  <c r="N1770" i="1"/>
  <c r="N276" i="4"/>
  <c r="AC1792" i="1"/>
  <c r="N1769" i="1"/>
  <c r="I299" i="4"/>
  <c r="N275" i="4"/>
  <c r="AC422" i="4"/>
  <c r="AC423" i="4"/>
  <c r="AC1789" i="1"/>
  <c r="N1729" i="1"/>
  <c r="AC1787" i="1"/>
  <c r="Y1847" i="1"/>
  <c r="AC1840" i="1"/>
  <c r="AC1785" i="1"/>
  <c r="N1727" i="1"/>
  <c r="Z1847" i="1"/>
  <c r="AC1844" i="1"/>
  <c r="V1847" i="1"/>
  <c r="AC1757" i="1"/>
  <c r="AC1755" i="1"/>
  <c r="AC1752" i="1"/>
  <c r="AC1846" i="1"/>
  <c r="AB1933" i="1"/>
  <c r="N1687" i="1"/>
  <c r="AC208" i="4"/>
  <c r="AC279" i="4"/>
  <c r="AC1750" i="1"/>
  <c r="AC1799" i="1"/>
  <c r="AC1749" i="1"/>
  <c r="AC278" i="4"/>
  <c r="Z342" i="4"/>
  <c r="AB342" i="4" s="1"/>
  <c r="AC277" i="4"/>
  <c r="AC1882" i="1"/>
  <c r="AC1881" i="1"/>
  <c r="AC1801" i="1"/>
  <c r="AB335" i="4"/>
  <c r="AC335" i="4" s="1"/>
  <c r="AC276" i="4"/>
  <c r="AC275" i="4"/>
  <c r="AC1795" i="1"/>
  <c r="U1804" i="1"/>
  <c r="AC1797" i="1"/>
  <c r="AC1796" i="1"/>
  <c r="AC438" i="4"/>
  <c r="AC1793" i="1"/>
  <c r="AC1751" i="1"/>
  <c r="AC1837" i="1"/>
  <c r="AC1754" i="1"/>
  <c r="AC221" i="4"/>
  <c r="N240" i="4"/>
  <c r="AC1753" i="1"/>
  <c r="AC1716" i="1"/>
  <c r="AC294" i="4"/>
  <c r="AC1714" i="1"/>
  <c r="AC1715" i="1"/>
  <c r="AC1759" i="1"/>
  <c r="AC1756" i="1"/>
  <c r="AC1760" i="1"/>
  <c r="Z1804" i="1"/>
  <c r="V1804" i="1"/>
  <c r="T1798" i="1"/>
  <c r="AC1798" i="1" s="1"/>
  <c r="AC1704" i="1"/>
  <c r="N1707" i="1"/>
  <c r="N1705" i="1"/>
  <c r="N221" i="4"/>
  <c r="N1684" i="1"/>
  <c r="X1933" i="1"/>
  <c r="T428" i="4"/>
  <c r="X428" i="4"/>
  <c r="N1701" i="1"/>
  <c r="N1683" i="1"/>
  <c r="N238" i="4"/>
  <c r="AC241" i="4"/>
  <c r="AC1711" i="1"/>
  <c r="AC1698" i="1"/>
  <c r="N237" i="4"/>
  <c r="T385" i="4"/>
  <c r="X385" i="4"/>
  <c r="AB385" i="4"/>
  <c r="AB1890" i="1"/>
  <c r="N1641" i="1"/>
  <c r="N1697" i="1"/>
  <c r="I1718" i="1"/>
  <c r="W1761" i="1"/>
  <c r="Z1761" i="1"/>
  <c r="V1761" i="1"/>
  <c r="R1761" i="1"/>
  <c r="T1933" i="1"/>
  <c r="T1890" i="1"/>
  <c r="AC1803" i="1"/>
  <c r="AC1696" i="1"/>
  <c r="N185" i="4"/>
  <c r="N1673" i="1"/>
  <c r="AC1713" i="1"/>
  <c r="AC1673" i="1"/>
  <c r="AC255" i="4"/>
  <c r="V342" i="4"/>
  <c r="X342" i="4" s="1"/>
  <c r="AC336" i="4"/>
  <c r="AC240" i="4"/>
  <c r="AC239" i="4"/>
  <c r="AC337" i="4"/>
  <c r="AB1674" i="1"/>
  <c r="AC1674" i="1" s="1"/>
  <c r="N236" i="4"/>
  <c r="N1667" i="1"/>
  <c r="AC298" i="4"/>
  <c r="AC238" i="4"/>
  <c r="N1640" i="1"/>
  <c r="AC237" i="4"/>
  <c r="V299" i="4"/>
  <c r="X299" i="4" s="1"/>
  <c r="AC340" i="4"/>
  <c r="AC334" i="4"/>
  <c r="AC297" i="4"/>
  <c r="AC250" i="4"/>
  <c r="AC251" i="4"/>
  <c r="AC249" i="4"/>
  <c r="V256" i="4"/>
  <c r="AC248" i="4"/>
  <c r="N1665" i="1"/>
  <c r="X1670" i="1"/>
  <c r="X1675" i="1" s="1"/>
  <c r="AB1670" i="1"/>
  <c r="N1663" i="1"/>
  <c r="AC252" i="4"/>
  <c r="AC253" i="4"/>
  <c r="AC234" i="4"/>
  <c r="AC207" i="4"/>
  <c r="R1718" i="1"/>
  <c r="R1720" i="1" s="1"/>
  <c r="AB1712" i="1"/>
  <c r="AC1712" i="1" s="1"/>
  <c r="R1675" i="1"/>
  <c r="AC254" i="4"/>
  <c r="Q256" i="4"/>
  <c r="T256" i="4" s="1"/>
  <c r="Y256" i="4"/>
  <c r="AB256" i="4" s="1"/>
  <c r="N235" i="4"/>
  <c r="N1661" i="1"/>
  <c r="AC204" i="4"/>
  <c r="N1660" i="1"/>
  <c r="E256" i="4"/>
  <c r="M256" i="4"/>
  <c r="AC201" i="4"/>
  <c r="N183" i="4"/>
  <c r="I256" i="4"/>
  <c r="N1604" i="1"/>
  <c r="N1655" i="1"/>
  <c r="N1654" i="1"/>
  <c r="N1603" i="1"/>
  <c r="N1653" i="1"/>
  <c r="M1675" i="1"/>
  <c r="N1652" i="1"/>
  <c r="E1675" i="1"/>
  <c r="AC1622" i="1"/>
  <c r="AC199" i="4"/>
  <c r="N181" i="4"/>
  <c r="N1602" i="1"/>
  <c r="N194" i="4"/>
  <c r="N1601" i="1"/>
  <c r="N309" i="1"/>
  <c r="AC445" i="1"/>
  <c r="AC309" i="1"/>
  <c r="T428" i="1"/>
  <c r="AB428" i="1"/>
  <c r="AB514" i="1"/>
  <c r="AC635" i="1"/>
  <c r="AB636" i="1"/>
  <c r="AB643" i="1" s="1"/>
  <c r="AA643" i="1"/>
  <c r="N660" i="1"/>
  <c r="N669" i="1"/>
  <c r="AC879" i="1"/>
  <c r="X772" i="1"/>
  <c r="AC709" i="1"/>
  <c r="AC727" i="1"/>
  <c r="AC722" i="1"/>
  <c r="AC834" i="1"/>
  <c r="AB858" i="1"/>
  <c r="F858" i="1"/>
  <c r="I840" i="1"/>
  <c r="N978" i="1"/>
  <c r="N982" i="1"/>
  <c r="N986" i="1"/>
  <c r="AC910" i="1"/>
  <c r="AB944" i="1"/>
  <c r="T944" i="1"/>
  <c r="T1030" i="1"/>
  <c r="AB1030" i="1"/>
  <c r="AC1019" i="1"/>
  <c r="AC1021" i="1"/>
  <c r="AC1071" i="1"/>
  <c r="AC1169" i="1"/>
  <c r="N1229" i="1"/>
  <c r="AC1298" i="1"/>
  <c r="AC1299" i="1"/>
  <c r="N1310" i="1"/>
  <c r="N1324" i="1"/>
  <c r="N1326" i="1"/>
  <c r="N1328" i="1"/>
  <c r="N1330" i="1"/>
  <c r="AC1342" i="1"/>
  <c r="AC1238" i="1"/>
  <c r="AC1236" i="1"/>
  <c r="AC1279" i="1"/>
  <c r="AC1406" i="1"/>
  <c r="AC1388" i="1"/>
  <c r="AC1470" i="1"/>
  <c r="AC1602" i="1"/>
  <c r="N1615" i="1"/>
  <c r="N1621" i="1"/>
  <c r="N1623" i="1"/>
  <c r="N1625" i="1"/>
  <c r="N1627" i="1"/>
  <c r="N1629" i="1"/>
  <c r="N1631" i="1"/>
  <c r="AC1385" i="1"/>
  <c r="AC1606" i="1"/>
  <c r="AC1604" i="1"/>
  <c r="AC1601" i="1"/>
  <c r="AC1599" i="1"/>
  <c r="AC1646" i="1"/>
  <c r="AC1644" i="1"/>
  <c r="AC1642" i="1"/>
  <c r="AC1529" i="1"/>
  <c r="AC1773" i="1"/>
  <c r="N1738" i="1"/>
  <c r="N1740" i="1"/>
  <c r="N1742" i="1"/>
  <c r="N1744" i="1"/>
  <c r="N1746" i="1"/>
  <c r="N1748" i="1"/>
  <c r="N1750" i="1"/>
  <c r="N1752" i="1"/>
  <c r="N1754" i="1"/>
  <c r="N1756" i="1"/>
  <c r="N1758" i="1"/>
  <c r="N1760" i="1"/>
  <c r="I1761" i="1"/>
  <c r="N1780" i="1"/>
  <c r="N1782" i="1"/>
  <c r="N1784" i="1"/>
  <c r="N1786" i="1"/>
  <c r="N1788" i="1"/>
  <c r="N1790" i="1"/>
  <c r="N1792" i="1"/>
  <c r="N1794" i="1"/>
  <c r="N1796" i="1"/>
  <c r="N1798" i="1"/>
  <c r="N1800" i="1"/>
  <c r="N1802" i="1"/>
  <c r="E1804" i="1"/>
  <c r="Q1675" i="1"/>
  <c r="Z1675" i="1"/>
  <c r="AB1580" i="1"/>
  <c r="T1580" i="1"/>
  <c r="AC1580" i="1" s="1"/>
  <c r="Q1589" i="1"/>
  <c r="Z1632" i="1"/>
  <c r="AB1631" i="1"/>
  <c r="AB1632" i="1" s="1"/>
  <c r="AC1774" i="1"/>
  <c r="N328" i="1"/>
  <c r="I330" i="1"/>
  <c r="N332" i="1"/>
  <c r="AC350" i="1"/>
  <c r="N394" i="1"/>
  <c r="N398" i="1"/>
  <c r="N402" i="1"/>
  <c r="AC253" i="1"/>
  <c r="AC436" i="1"/>
  <c r="N485" i="1"/>
  <c r="N487" i="1"/>
  <c r="N427" i="1"/>
  <c r="X428" i="1"/>
  <c r="N543" i="1"/>
  <c r="N545" i="1"/>
  <c r="N547" i="1"/>
  <c r="N549" i="1"/>
  <c r="T686" i="1"/>
  <c r="X514" i="1"/>
  <c r="T772" i="1"/>
  <c r="AB772" i="1"/>
  <c r="AC769" i="1"/>
  <c r="AC771" i="1"/>
  <c r="AC961" i="1"/>
  <c r="AC952" i="1"/>
  <c r="N1018" i="1"/>
  <c r="E1054" i="1"/>
  <c r="M1054" i="1"/>
  <c r="X944" i="1"/>
  <c r="AC912" i="1"/>
  <c r="N1109" i="1"/>
  <c r="AC936" i="1"/>
  <c r="X1030" i="1"/>
  <c r="N1237" i="1"/>
  <c r="N1241" i="1"/>
  <c r="N1243" i="1"/>
  <c r="G1245" i="1"/>
  <c r="AC1150" i="1"/>
  <c r="AC1151" i="1"/>
  <c r="AC1256" i="1"/>
  <c r="AC1300" i="1"/>
  <c r="N1351" i="1"/>
  <c r="N1362" i="1"/>
  <c r="N1364" i="1"/>
  <c r="N1366" i="1"/>
  <c r="N1368" i="1"/>
  <c r="N1370" i="1"/>
  <c r="N1372" i="1"/>
  <c r="N1413" i="1"/>
  <c r="Q1116" i="1"/>
  <c r="N1133" i="1"/>
  <c r="AC1241" i="1"/>
  <c r="AC1237" i="1"/>
  <c r="N1235" i="1"/>
  <c r="AC1278" i="1"/>
  <c r="AC1389" i="1"/>
  <c r="N1471" i="1"/>
  <c r="N1499" i="1"/>
  <c r="N1522" i="1"/>
  <c r="N1528" i="1"/>
  <c r="N1536" i="1"/>
  <c r="N1544" i="1"/>
  <c r="AC1563" i="1"/>
  <c r="AC1561" i="1"/>
  <c r="AC1559" i="1"/>
  <c r="AC1555" i="1"/>
  <c r="AC1449" i="1"/>
  <c r="AC1386" i="1"/>
  <c r="AC1384" i="1"/>
  <c r="AC1605" i="1"/>
  <c r="AC1648" i="1"/>
  <c r="N553" i="1"/>
  <c r="N556" i="1"/>
  <c r="N568" i="1"/>
  <c r="N571" i="1"/>
  <c r="AC667" i="1"/>
  <c r="AC615" i="1"/>
  <c r="AC698" i="1"/>
  <c r="AC699" i="1"/>
  <c r="N695" i="1"/>
  <c r="N703" i="1"/>
  <c r="N715" i="1"/>
  <c r="N723" i="1"/>
  <c r="N727" i="1"/>
  <c r="AC628" i="1"/>
  <c r="N574" i="1"/>
  <c r="N828" i="1"/>
  <c r="N853" i="1"/>
  <c r="N855" i="1"/>
  <c r="AC675" i="1"/>
  <c r="AC707" i="1"/>
  <c r="AC710" i="1"/>
  <c r="N873" i="1"/>
  <c r="N712" i="1"/>
  <c r="AC694" i="1"/>
  <c r="AC726" i="1"/>
  <c r="AC764" i="1"/>
  <c r="AC770" i="1"/>
  <c r="AC792" i="1"/>
  <c r="AC916" i="1"/>
  <c r="N937" i="1"/>
  <c r="AC804" i="1"/>
  <c r="AC806" i="1"/>
  <c r="N971" i="1"/>
  <c r="N981" i="1"/>
  <c r="AC871" i="1"/>
  <c r="AC997" i="1"/>
  <c r="AC995" i="1"/>
  <c r="AC972" i="1"/>
  <c r="AC960" i="1"/>
  <c r="AC869" i="1"/>
  <c r="AC898" i="1"/>
  <c r="N995" i="1"/>
  <c r="N1003" i="1"/>
  <c r="N1008" i="1"/>
  <c r="N1014" i="1"/>
  <c r="N1016" i="1"/>
  <c r="N1025" i="1"/>
  <c r="N1027" i="1"/>
  <c r="AC911" i="1"/>
  <c r="N1089" i="1"/>
  <c r="N1098" i="1"/>
  <c r="AC978" i="1"/>
  <c r="AC958" i="1"/>
  <c r="AC999" i="1"/>
  <c r="AC956" i="1"/>
  <c r="AC1124" i="1"/>
  <c r="AC1131" i="1"/>
  <c r="AC1133" i="1"/>
  <c r="AC1137" i="1"/>
  <c r="AC1083" i="1"/>
  <c r="AC1022" i="1"/>
  <c r="AC1068" i="1"/>
  <c r="AC1063" i="1"/>
  <c r="AC1110" i="1"/>
  <c r="N1127" i="1"/>
  <c r="N1196" i="1"/>
  <c r="AC1020" i="1"/>
  <c r="AC1210" i="1"/>
  <c r="AC1216" i="1"/>
  <c r="N1210" i="1"/>
  <c r="N1212" i="1"/>
  <c r="N1214" i="1"/>
  <c r="N1216" i="1"/>
  <c r="N1218" i="1"/>
  <c r="N1226" i="1"/>
  <c r="N1238" i="1"/>
  <c r="N1040" i="1"/>
  <c r="AC1096" i="1"/>
  <c r="AC1254" i="1"/>
  <c r="AC1257" i="1"/>
  <c r="AC1259" i="1"/>
  <c r="AC1261" i="1"/>
  <c r="N1255" i="1"/>
  <c r="N1257" i="1"/>
  <c r="N1259" i="1"/>
  <c r="N1261" i="1"/>
  <c r="N1280" i="1"/>
  <c r="AC1307" i="1"/>
  <c r="AC1315" i="1"/>
  <c r="AC1317" i="1"/>
  <c r="AC1351" i="1"/>
  <c r="AC1353" i="1"/>
  <c r="AC1152" i="1"/>
  <c r="AC1197" i="1"/>
  <c r="N1323" i="1"/>
  <c r="N1325" i="1"/>
  <c r="N1327" i="1"/>
  <c r="N1329" i="1"/>
  <c r="N1348" i="1"/>
  <c r="N1363" i="1"/>
  <c r="N1365" i="1"/>
  <c r="N1367" i="1"/>
  <c r="N1369" i="1"/>
  <c r="N1371" i="1"/>
  <c r="N1373" i="1"/>
  <c r="AC1321" i="1"/>
  <c r="AC1394" i="1"/>
  <c r="AC1396" i="1"/>
  <c r="AC1402" i="1"/>
  <c r="N1398" i="1"/>
  <c r="N1404" i="1"/>
  <c r="N1406" i="1"/>
  <c r="AC1182" i="1"/>
  <c r="N1222" i="1"/>
  <c r="N1188" i="1"/>
  <c r="AC1439" i="1"/>
  <c r="AC1441" i="1"/>
  <c r="AC1443" i="1"/>
  <c r="AC1445" i="1"/>
  <c r="AC1322" i="1"/>
  <c r="N1449" i="1"/>
  <c r="N1455" i="1"/>
  <c r="N1457" i="1"/>
  <c r="AC1235" i="1"/>
  <c r="AC1192" i="1"/>
  <c r="AC1221" i="1"/>
  <c r="AC1223" i="1"/>
  <c r="AC1225" i="1"/>
  <c r="AC1227" i="1"/>
  <c r="AC1229" i="1"/>
  <c r="AC1231" i="1"/>
  <c r="AC1233" i="1"/>
  <c r="AC1264" i="1"/>
  <c r="AC1266" i="1"/>
  <c r="AC1268" i="1"/>
  <c r="AC1270" i="1"/>
  <c r="AC1272" i="1"/>
  <c r="AC1274" i="1"/>
  <c r="AC1276" i="1"/>
  <c r="AC1481" i="1"/>
  <c r="AC1489" i="1"/>
  <c r="AC1387" i="1"/>
  <c r="N1512" i="1"/>
  <c r="N1533" i="1"/>
  <c r="N1541" i="1"/>
  <c r="N1545" i="1"/>
  <c r="N1356" i="1"/>
  <c r="AC1568" i="1"/>
  <c r="AC1562" i="1"/>
  <c r="AC1560" i="1"/>
  <c r="AC1558" i="1"/>
  <c r="AC1554" i="1"/>
  <c r="AC1519" i="1"/>
  <c r="AC1517" i="1"/>
  <c r="AC1515" i="1"/>
  <c r="AC1511" i="1"/>
  <c r="N1577" i="1"/>
  <c r="N1579" i="1"/>
  <c r="N1581" i="1"/>
  <c r="N1583" i="1"/>
  <c r="N1585" i="1"/>
  <c r="N1587" i="1"/>
  <c r="AC1611" i="1"/>
  <c r="AC1613" i="1"/>
  <c r="AC1617" i="1"/>
  <c r="AC1619" i="1"/>
  <c r="N1626" i="1"/>
  <c r="N1628" i="1"/>
  <c r="N1630" i="1"/>
  <c r="AC1427" i="1"/>
  <c r="AC1370" i="1"/>
  <c r="AC1438" i="1"/>
  <c r="AC1513" i="1"/>
  <c r="AC1640" i="1"/>
  <c r="AC1641" i="1"/>
  <c r="AC1600" i="1"/>
  <c r="AC1598" i="1"/>
  <c r="AC1645" i="1"/>
  <c r="AC1643" i="1"/>
  <c r="AC1532" i="1"/>
  <c r="AC1623" i="1"/>
  <c r="AC1731" i="1"/>
  <c r="AC1647" i="1"/>
  <c r="AC1649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N1666" i="1"/>
  <c r="N1668" i="1"/>
  <c r="N1672" i="1"/>
  <c r="N1674" i="1"/>
  <c r="I1675" i="1"/>
  <c r="AC1683" i="1"/>
  <c r="AC1691" i="1"/>
  <c r="AC1695" i="1"/>
  <c r="AC1697" i="1"/>
  <c r="AC1699" i="1"/>
  <c r="AC1701" i="1"/>
  <c r="AC1703" i="1"/>
  <c r="AC1705" i="1"/>
  <c r="AC1707" i="1"/>
  <c r="AC1709" i="1"/>
  <c r="AC1584" i="1"/>
  <c r="N1694" i="1"/>
  <c r="N1696" i="1"/>
  <c r="N1698" i="1"/>
  <c r="N1700" i="1"/>
  <c r="N1702" i="1"/>
  <c r="N1704" i="1"/>
  <c r="N1706" i="1"/>
  <c r="N1708" i="1"/>
  <c r="N1712" i="1"/>
  <c r="N1714" i="1"/>
  <c r="N1716" i="1"/>
  <c r="E1718" i="1"/>
  <c r="M1718" i="1"/>
  <c r="N1485" i="1"/>
  <c r="AC1739" i="1"/>
  <c r="AC1741" i="1"/>
  <c r="AC1743" i="1"/>
  <c r="AC1745" i="1"/>
  <c r="AC1717" i="1"/>
  <c r="AC1669" i="1"/>
  <c r="AC1627" i="1"/>
  <c r="AC1624" i="1"/>
  <c r="AC1782" i="1"/>
  <c r="AC1784" i="1"/>
  <c r="AC1786" i="1"/>
  <c r="AC1788" i="1"/>
  <c r="AC1790" i="1"/>
  <c r="N1737" i="1"/>
  <c r="N1739" i="1"/>
  <c r="N1741" i="1"/>
  <c r="N1743" i="1"/>
  <c r="N1745" i="1"/>
  <c r="N1747" i="1"/>
  <c r="N1749" i="1"/>
  <c r="N1751" i="1"/>
  <c r="N1753" i="1"/>
  <c r="N1755" i="1"/>
  <c r="N1757" i="1"/>
  <c r="N1759" i="1"/>
  <c r="E1761" i="1"/>
  <c r="M1761" i="1"/>
  <c r="N1781" i="1"/>
  <c r="N1783" i="1"/>
  <c r="N1785" i="1"/>
  <c r="N1787" i="1"/>
  <c r="N1789" i="1"/>
  <c r="N1791" i="1"/>
  <c r="N1793" i="1"/>
  <c r="N1795" i="1"/>
  <c r="N1797" i="1"/>
  <c r="N1799" i="1"/>
  <c r="N1801" i="1"/>
  <c r="N1803" i="1"/>
  <c r="I1804" i="1"/>
  <c r="V1675" i="1"/>
  <c r="N1824" i="1"/>
  <c r="N1826" i="1"/>
  <c r="N1830" i="1"/>
  <c r="N1832" i="1"/>
  <c r="N1834" i="1"/>
  <c r="N1836" i="1"/>
  <c r="N1838" i="1"/>
  <c r="N1840" i="1"/>
  <c r="N1842" i="1"/>
  <c r="N1844" i="1"/>
  <c r="N1846" i="1"/>
  <c r="I1847" i="1"/>
  <c r="M1804" i="1"/>
  <c r="U1675" i="1"/>
  <c r="AC1577" i="1"/>
  <c r="AC1824" i="1"/>
  <c r="AC1826" i="1"/>
  <c r="AC1828" i="1"/>
  <c r="AC1830" i="1"/>
  <c r="AC1832" i="1"/>
  <c r="N1823" i="1"/>
  <c r="N1825" i="1"/>
  <c r="N1829" i="1"/>
  <c r="N1831" i="1"/>
  <c r="N1833" i="1"/>
  <c r="N1835" i="1"/>
  <c r="N1837" i="1"/>
  <c r="N1839" i="1"/>
  <c r="N1841" i="1"/>
  <c r="N1843" i="1"/>
  <c r="N1845" i="1"/>
  <c r="E1847" i="1"/>
  <c r="M1847" i="1"/>
  <c r="AC1802" i="1"/>
  <c r="N1866" i="1"/>
  <c r="N1868" i="1"/>
  <c r="N1870" i="1"/>
  <c r="N1872" i="1"/>
  <c r="N1874" i="1"/>
  <c r="N1876" i="1"/>
  <c r="N1878" i="1"/>
  <c r="N1880" i="1"/>
  <c r="N1882" i="1"/>
  <c r="N1884" i="1"/>
  <c r="N1886" i="1"/>
  <c r="N1888" i="1"/>
  <c r="E1890" i="1"/>
  <c r="M1890" i="1"/>
  <c r="X1847" i="1"/>
  <c r="N180" i="4"/>
  <c r="N1600" i="1"/>
  <c r="N1515" i="1"/>
  <c r="N1624" i="1"/>
  <c r="T1847" i="1"/>
  <c r="AB1847" i="1"/>
  <c r="AC1823" i="1"/>
  <c r="AC1620" i="1"/>
  <c r="AC1629" i="1"/>
  <c r="AC1628" i="1"/>
  <c r="AC1583" i="1"/>
  <c r="AC198" i="4"/>
  <c r="AC197" i="4"/>
  <c r="N1622" i="1"/>
  <c r="AC196" i="4"/>
  <c r="AC1672" i="1"/>
  <c r="AC1626" i="1"/>
  <c r="N1620" i="1"/>
  <c r="AC195" i="4"/>
  <c r="N1619" i="1"/>
  <c r="AC1616" i="1"/>
  <c r="N1599" i="1"/>
  <c r="N1618" i="1"/>
  <c r="AC1615" i="1"/>
  <c r="N1617" i="1"/>
  <c r="AC194" i="4"/>
  <c r="AC1614" i="1"/>
  <c r="N1616" i="1"/>
  <c r="AB1804" i="1"/>
  <c r="N192" i="4"/>
  <c r="I213" i="4"/>
  <c r="N1614" i="1"/>
  <c r="N1613" i="1"/>
  <c r="N1612" i="1"/>
  <c r="N1611" i="1"/>
  <c r="W213" i="4"/>
  <c r="W258" i="4" s="1"/>
  <c r="Z213" i="4"/>
  <c r="AC193" i="4"/>
  <c r="AC1612" i="1"/>
  <c r="N190" i="4"/>
  <c r="N1610" i="1"/>
  <c r="X1804" i="1"/>
  <c r="N1597" i="1"/>
  <c r="N1609" i="1"/>
  <c r="AC202" i="4"/>
  <c r="AC1625" i="1"/>
  <c r="AC1586" i="1"/>
  <c r="AC1585" i="1"/>
  <c r="AC1539" i="1"/>
  <c r="AC167" i="4"/>
  <c r="AC1581" i="1"/>
  <c r="M1632" i="1"/>
  <c r="I1632" i="1"/>
  <c r="N1608" i="1"/>
  <c r="E1632" i="1"/>
  <c r="N1574" i="1"/>
  <c r="N1573" i="1"/>
  <c r="N1572" i="1"/>
  <c r="AC1609" i="1"/>
  <c r="N1571" i="1"/>
  <c r="N1570" i="1"/>
  <c r="AC1576" i="1"/>
  <c r="AC163" i="4"/>
  <c r="X164" i="4"/>
  <c r="AC164" i="4" s="1"/>
  <c r="AC1575" i="1"/>
  <c r="N1569" i="1"/>
  <c r="N1567" i="1"/>
  <c r="AC1574" i="1"/>
  <c r="AC1573" i="1"/>
  <c r="I1589" i="1"/>
  <c r="N1566" i="1"/>
  <c r="M1589" i="1"/>
  <c r="N1565" i="1"/>
  <c r="E1589" i="1"/>
  <c r="N1543" i="1"/>
  <c r="AC190" i="4"/>
  <c r="N1542" i="1"/>
  <c r="N135" i="4"/>
  <c r="AC1572" i="1"/>
  <c r="N1554" i="1"/>
  <c r="N1516" i="1"/>
  <c r="AC1582" i="1"/>
  <c r="AC1540" i="1"/>
  <c r="AC1588" i="1"/>
  <c r="AC1587" i="1"/>
  <c r="AC1571" i="1"/>
  <c r="N1540" i="1"/>
  <c r="U213" i="4"/>
  <c r="M213" i="4"/>
  <c r="E213" i="4"/>
  <c r="I170" i="4"/>
  <c r="AC189" i="4"/>
  <c r="N178" i="4"/>
  <c r="AC210" i="4"/>
  <c r="N189" i="4"/>
  <c r="AC1570" i="1"/>
  <c r="AC1533" i="1"/>
  <c r="N1539" i="1"/>
  <c r="AC1630" i="1"/>
  <c r="X1631" i="1"/>
  <c r="AC1631" i="1" s="1"/>
  <c r="N1431" i="1"/>
  <c r="N1538" i="1"/>
  <c r="N1537" i="1"/>
  <c r="Z1589" i="1"/>
  <c r="N1535" i="1"/>
  <c r="AC1566" i="1"/>
  <c r="N1514" i="1"/>
  <c r="N1534" i="1"/>
  <c r="N1532" i="1"/>
  <c r="AC1531" i="1"/>
  <c r="N1513" i="1"/>
  <c r="N1531" i="1"/>
  <c r="V1589" i="1"/>
  <c r="N1530" i="1"/>
  <c r="AC1528" i="1"/>
  <c r="AC1541" i="1"/>
  <c r="N1529" i="1"/>
  <c r="AC1671" i="1"/>
  <c r="AC1538" i="1"/>
  <c r="AC1544" i="1"/>
  <c r="AC1542" i="1"/>
  <c r="AC1543" i="1"/>
  <c r="AC1536" i="1"/>
  <c r="X1761" i="1"/>
  <c r="AB1761" i="1"/>
  <c r="T1761" i="1"/>
  <c r="N1527" i="1"/>
  <c r="N1526" i="1"/>
  <c r="N1525" i="1"/>
  <c r="N1524" i="1"/>
  <c r="N1511" i="1"/>
  <c r="AC1527" i="1"/>
  <c r="M1546" i="1"/>
  <c r="I1546" i="1"/>
  <c r="E1546" i="1"/>
  <c r="N1523" i="1"/>
  <c r="Y1589" i="1"/>
  <c r="U1589" i="1"/>
  <c r="Z1546" i="1"/>
  <c r="AC1526" i="1"/>
  <c r="AC1525" i="1"/>
  <c r="AC1524" i="1"/>
  <c r="AC1523" i="1"/>
  <c r="AC1493" i="1"/>
  <c r="N1470" i="1"/>
  <c r="N1502" i="1"/>
  <c r="AC1492" i="1"/>
  <c r="AC1491" i="1"/>
  <c r="N1501" i="1"/>
  <c r="W1546" i="1"/>
  <c r="N1500" i="1"/>
  <c r="R1503" i="1"/>
  <c r="N1498" i="1"/>
  <c r="N1497" i="1"/>
  <c r="N1496" i="1"/>
  <c r="AC1488" i="1"/>
  <c r="AC1534" i="1"/>
  <c r="AC1535" i="1"/>
  <c r="AC1487" i="1"/>
  <c r="N1469" i="1"/>
  <c r="N1495" i="1"/>
  <c r="N1494" i="1"/>
  <c r="N1493" i="1"/>
  <c r="T342" i="4"/>
  <c r="AC125" i="4"/>
  <c r="AC123" i="4"/>
  <c r="T1804" i="1"/>
  <c r="AC1780" i="1"/>
  <c r="AC1537" i="1"/>
  <c r="AC1485" i="1"/>
  <c r="AC1545" i="1"/>
  <c r="N1492" i="1"/>
  <c r="AC1483" i="1"/>
  <c r="N1468" i="1"/>
  <c r="N1490" i="1"/>
  <c r="N1489" i="1"/>
  <c r="N1488" i="1"/>
  <c r="T1718" i="1"/>
  <c r="T1720" i="1" s="1"/>
  <c r="X1718" i="1"/>
  <c r="X1720" i="1" s="1"/>
  <c r="AC162" i="4"/>
  <c r="AC1579" i="1"/>
  <c r="N1484" i="1"/>
  <c r="N1433" i="1"/>
  <c r="N1432" i="1"/>
  <c r="AC1456" i="1"/>
  <c r="AC1497" i="1"/>
  <c r="AC1495" i="1"/>
  <c r="AC1496" i="1"/>
  <c r="AC1694" i="1"/>
  <c r="AB1589" i="1"/>
  <c r="N103" i="4"/>
  <c r="N1483" i="1"/>
  <c r="N1482" i="1"/>
  <c r="AC1454" i="1"/>
  <c r="N1481" i="1"/>
  <c r="M1503" i="1"/>
  <c r="I1503" i="1"/>
  <c r="N1480" i="1"/>
  <c r="E1503" i="1"/>
  <c r="N1479" i="1"/>
  <c r="AC126" i="4"/>
  <c r="AC104" i="4"/>
  <c r="AC1501" i="1"/>
  <c r="AC1502" i="1"/>
  <c r="AC124" i="4"/>
  <c r="U127" i="4"/>
  <c r="X127" i="4" s="1"/>
  <c r="AC103" i="4"/>
  <c r="W1503" i="1"/>
  <c r="Z1503" i="1"/>
  <c r="N1459" i="1"/>
  <c r="T1675" i="1"/>
  <c r="AC1448" i="1"/>
  <c r="N1456" i="1"/>
  <c r="AC1450" i="1"/>
  <c r="AC1500" i="1"/>
  <c r="N1430" i="1"/>
  <c r="N1454" i="1"/>
  <c r="N1429" i="1"/>
  <c r="AC67" i="4"/>
  <c r="N1453" i="1"/>
  <c r="E1460" i="1"/>
  <c r="AC1430" i="1"/>
  <c r="AC1412" i="1"/>
  <c r="AC66" i="4"/>
  <c r="AB299" i="4"/>
  <c r="AC1651" i="1"/>
  <c r="N1451" i="1"/>
  <c r="AC65" i="4"/>
  <c r="AC1446" i="1"/>
  <c r="N1450" i="1"/>
  <c r="N1448" i="1"/>
  <c r="Z1460" i="1"/>
  <c r="X1453" i="1"/>
  <c r="AC1453" i="1" s="1"/>
  <c r="N1428" i="1"/>
  <c r="AC266" i="4"/>
  <c r="M1460" i="1"/>
  <c r="N1447" i="1"/>
  <c r="Z84" i="4"/>
  <c r="AC76" i="4"/>
  <c r="AC64" i="4"/>
  <c r="AB1457" i="1"/>
  <c r="AB1460" i="1" s="1"/>
  <c r="W1460" i="1"/>
  <c r="AC1444" i="1"/>
  <c r="AC80" i="4"/>
  <c r="AC1603" i="1"/>
  <c r="AC82" i="4"/>
  <c r="AC63" i="4"/>
  <c r="N1445" i="1"/>
  <c r="U1546" i="1"/>
  <c r="V1546" i="1"/>
  <c r="AC1442" i="1"/>
  <c r="N1427" i="1"/>
  <c r="AC1557" i="1"/>
  <c r="AC1455" i="1"/>
  <c r="N1443" i="1"/>
  <c r="N1441" i="1"/>
  <c r="N1426" i="1"/>
  <c r="X1459" i="1"/>
  <c r="AC1459" i="1" s="1"/>
  <c r="T299" i="4"/>
  <c r="AC168" i="4"/>
  <c r="AC1408" i="1"/>
  <c r="AC1451" i="1"/>
  <c r="AC1494" i="1"/>
  <c r="Z1417" i="1"/>
  <c r="N1440" i="1"/>
  <c r="N49" i="4"/>
  <c r="N1439" i="1"/>
  <c r="I1460" i="1"/>
  <c r="AC121" i="4"/>
  <c r="AC122" i="4"/>
  <c r="AC61" i="4"/>
  <c r="U1460" i="1"/>
  <c r="AC1437" i="1"/>
  <c r="AC1498" i="1"/>
  <c r="V1503" i="1"/>
  <c r="AC209" i="4"/>
  <c r="AC119" i="4"/>
  <c r="AB1546" i="1"/>
  <c r="AC1499" i="1"/>
  <c r="AC1458" i="1"/>
  <c r="AC1452" i="1"/>
  <c r="AC1409" i="1"/>
  <c r="AC1405" i="1"/>
  <c r="AC1404" i="1"/>
  <c r="N1436" i="1"/>
  <c r="N1416" i="1"/>
  <c r="N28" i="4"/>
  <c r="W1417" i="1"/>
  <c r="AC1403" i="1"/>
  <c r="N1415" i="1"/>
  <c r="AC1401" i="1"/>
  <c r="N1414" i="1"/>
  <c r="N9" i="4"/>
  <c r="AC1457" i="1"/>
  <c r="AC1400" i="1"/>
  <c r="AC1372" i="1"/>
  <c r="AC1373" i="1"/>
  <c r="N1412" i="1"/>
  <c r="N1411" i="1"/>
  <c r="N1384" i="1"/>
  <c r="Y1417" i="1"/>
  <c r="AC1414" i="1"/>
  <c r="AC1398" i="1"/>
  <c r="N1410" i="1"/>
  <c r="N1409" i="1"/>
  <c r="U1417" i="1"/>
  <c r="AC1410" i="1"/>
  <c r="V1417" i="1"/>
  <c r="AC1397" i="1"/>
  <c r="N1408" i="1"/>
  <c r="N1407" i="1"/>
  <c r="N1405" i="1"/>
  <c r="N27" i="4"/>
  <c r="N1403" i="1"/>
  <c r="N1402" i="1"/>
  <c r="N1401" i="1"/>
  <c r="N1400" i="1"/>
  <c r="N1383" i="1"/>
  <c r="AC1415" i="1"/>
  <c r="AC1413" i="1"/>
  <c r="AC1411" i="1"/>
  <c r="AC26" i="4"/>
  <c r="N8" i="4"/>
  <c r="N26" i="4"/>
  <c r="N1399" i="1"/>
  <c r="N1342" i="1"/>
  <c r="N1397" i="1"/>
  <c r="N1382" i="1"/>
  <c r="AC1416" i="1"/>
  <c r="N1396" i="1"/>
  <c r="I1417" i="1"/>
  <c r="N1395" i="1"/>
  <c r="E1417" i="1"/>
  <c r="X1632" i="1"/>
  <c r="T1632" i="1"/>
  <c r="M1417" i="1"/>
  <c r="N1394" i="1"/>
  <c r="AC1608" i="1"/>
  <c r="T1546" i="1"/>
  <c r="T213" i="4"/>
  <c r="AC165" i="4"/>
  <c r="AC120" i="4"/>
  <c r="AC75" i="4"/>
  <c r="N1393" i="1"/>
  <c r="N1361" i="1"/>
  <c r="AC1368" i="1"/>
  <c r="AC1393" i="1"/>
  <c r="X1589" i="1"/>
  <c r="X1546" i="1"/>
  <c r="AC39" i="4"/>
  <c r="AC1365" i="1"/>
  <c r="N24" i="4"/>
  <c r="N1360" i="1"/>
  <c r="N1359" i="1"/>
  <c r="N23" i="4"/>
  <c r="N1358" i="1"/>
  <c r="AC1364" i="1"/>
  <c r="N1357" i="1"/>
  <c r="AC1363" i="1"/>
  <c r="N7" i="4"/>
  <c r="N1340" i="1"/>
  <c r="U1374" i="1"/>
  <c r="AC1361" i="1"/>
  <c r="W1374" i="1"/>
  <c r="AC1360" i="1"/>
  <c r="N1355" i="1"/>
  <c r="N1354" i="1"/>
  <c r="AC1359" i="1"/>
  <c r="AC1323" i="1"/>
  <c r="E1374" i="1"/>
  <c r="N1353" i="1"/>
  <c r="AB1287" i="1"/>
  <c r="AB1288" i="1" s="1"/>
  <c r="Y84" i="4"/>
  <c r="U84" i="4"/>
  <c r="X84" i="4" s="1"/>
  <c r="M1374" i="1"/>
  <c r="N1352" i="1"/>
  <c r="I1374" i="1"/>
  <c r="Z1374" i="1"/>
  <c r="V1374" i="1"/>
  <c r="AC1357" i="1"/>
  <c r="AC35" i="4"/>
  <c r="AC1356" i="1"/>
  <c r="AB1503" i="1"/>
  <c r="X1503" i="1"/>
  <c r="N1350" i="1"/>
  <c r="N1322" i="1"/>
  <c r="AC1355" i="1"/>
  <c r="N1339" i="1"/>
  <c r="N1298" i="1"/>
  <c r="N1321" i="1"/>
  <c r="AC1352" i="1"/>
  <c r="N1320" i="1"/>
  <c r="N1319" i="1"/>
  <c r="N1318" i="1"/>
  <c r="AC1350" i="1"/>
  <c r="N21" i="4"/>
  <c r="U41" i="4"/>
  <c r="X41" i="4" s="1"/>
  <c r="Z41" i="4"/>
  <c r="AB41" i="4" s="1"/>
  <c r="AC36" i="4"/>
  <c r="N1317" i="1"/>
  <c r="N1316" i="1"/>
  <c r="W1331" i="1"/>
  <c r="AC1319" i="1"/>
  <c r="N1315" i="1"/>
  <c r="AC1318" i="1"/>
  <c r="AC40" i="4"/>
  <c r="AC1329" i="1"/>
  <c r="AC1330" i="1"/>
  <c r="V1331" i="1"/>
  <c r="AC1286" i="1"/>
  <c r="AC1316" i="1"/>
  <c r="T170" i="4"/>
  <c r="AB170" i="4"/>
  <c r="X170" i="4"/>
  <c r="T1503" i="1"/>
  <c r="AB127" i="4"/>
  <c r="X1460" i="1"/>
  <c r="N1314" i="1"/>
  <c r="T1460" i="1"/>
  <c r="AC1479" i="1"/>
  <c r="N20" i="4"/>
  <c r="N1313" i="1"/>
  <c r="AC1314" i="1"/>
  <c r="N1297" i="1"/>
  <c r="N1312" i="1"/>
  <c r="N1311" i="1"/>
  <c r="AC1313" i="1"/>
  <c r="N1296" i="1"/>
  <c r="N1309" i="1"/>
  <c r="N1308" i="1"/>
  <c r="AC18" i="4"/>
  <c r="AC1280" i="1"/>
  <c r="AC1340" i="1"/>
  <c r="M1331" i="1"/>
  <c r="I1331" i="1"/>
  <c r="N1307" i="1"/>
  <c r="E1331" i="1"/>
  <c r="X1326" i="1"/>
  <c r="AC1326" i="1" s="1"/>
  <c r="AC1309" i="1"/>
  <c r="AC1281" i="1"/>
  <c r="N1272" i="1"/>
  <c r="N1256" i="1"/>
  <c r="W1288" i="1"/>
  <c r="AC1327" i="1"/>
  <c r="V1288" i="1"/>
  <c r="AC1284" i="1"/>
  <c r="N1271" i="1"/>
  <c r="AC81" i="4"/>
  <c r="AC83" i="4"/>
  <c r="AC54" i="4"/>
  <c r="AB1328" i="1"/>
  <c r="AC1328" i="1" s="1"/>
  <c r="U1331" i="1"/>
  <c r="Z1288" i="1"/>
  <c r="AC1285" i="1"/>
  <c r="N1253" i="1"/>
  <c r="N1264" i="1"/>
  <c r="E1288" i="1"/>
  <c r="AC1239" i="1"/>
  <c r="AB1417" i="1"/>
  <c r="X1417" i="1"/>
  <c r="AC1243" i="1"/>
  <c r="AC77" i="4"/>
  <c r="T1417" i="1"/>
  <c r="N1233" i="1"/>
  <c r="AC1189" i="1"/>
  <c r="B42" i="4"/>
  <c r="B48" i="4" s="1"/>
  <c r="B59" i="4" s="1"/>
  <c r="B85" i="4" s="1"/>
  <c r="B91" i="4" s="1"/>
  <c r="B102" i="4" s="1"/>
  <c r="K42" i="4"/>
  <c r="K48" i="4" s="1"/>
  <c r="K59" i="4" s="1"/>
  <c r="K85" i="4" s="1"/>
  <c r="K91" i="4" s="1"/>
  <c r="K102" i="4" s="1"/>
  <c r="K128" i="4" s="1"/>
  <c r="K134" i="4" s="1"/>
  <c r="K145" i="4" s="1"/>
  <c r="K171" i="4" s="1"/>
  <c r="K177" i="4" s="1"/>
  <c r="K188" i="4" s="1"/>
  <c r="K214" i="4" s="1"/>
  <c r="K220" i="4" s="1"/>
  <c r="K231" i="4" s="1"/>
  <c r="K257" i="4" s="1"/>
  <c r="K263" i="4" s="1"/>
  <c r="K274" i="4" s="1"/>
  <c r="K300" i="4" s="1"/>
  <c r="K306" i="4" s="1"/>
  <c r="K317" i="4" s="1"/>
  <c r="K343" i="4" s="1"/>
  <c r="K349" i="4" s="1"/>
  <c r="K360" i="4" s="1"/>
  <c r="K386" i="4" s="1"/>
  <c r="K392" i="4" s="1"/>
  <c r="K403" i="4" s="1"/>
  <c r="K429" i="4" s="1"/>
  <c r="K435" i="4" s="1"/>
  <c r="K446" i="4" s="1"/>
  <c r="K472" i="4" s="1"/>
  <c r="K478" i="4" s="1"/>
  <c r="K489" i="4" s="1"/>
  <c r="K515" i="4" s="1"/>
  <c r="K521" i="4" s="1"/>
  <c r="K532" i="4" s="1"/>
  <c r="K558" i="4" s="1"/>
  <c r="K564" i="4" s="1"/>
  <c r="K575" i="4" s="1"/>
  <c r="K601" i="4" s="1"/>
  <c r="AC17" i="4"/>
  <c r="AC1320" i="1"/>
  <c r="AC1240" i="1"/>
  <c r="N1230" i="1"/>
  <c r="AC1242" i="1"/>
  <c r="Y1245" i="1"/>
  <c r="X1244" i="1"/>
  <c r="X1245" i="1" s="1"/>
  <c r="T1244" i="1"/>
  <c r="W1245" i="1"/>
  <c r="V1245" i="1"/>
  <c r="U1288" i="1"/>
  <c r="T1331" i="1"/>
  <c r="AC1436" i="1"/>
  <c r="AC34" i="4"/>
  <c r="L42" i="4"/>
  <c r="L48" i="4" s="1"/>
  <c r="L59" i="4" s="1"/>
  <c r="L85" i="4" s="1"/>
  <c r="L91" i="4" s="1"/>
  <c r="L102" i="4" s="1"/>
  <c r="L128" i="4" s="1"/>
  <c r="L134" i="4" s="1"/>
  <c r="L145" i="4" s="1"/>
  <c r="L171" i="4" s="1"/>
  <c r="L177" i="4" s="1"/>
  <c r="L188" i="4" s="1"/>
  <c r="L214" i="4" s="1"/>
  <c r="L220" i="4" s="1"/>
  <c r="L231" i="4" s="1"/>
  <c r="L257" i="4" s="1"/>
  <c r="L263" i="4" s="1"/>
  <c r="L274" i="4" s="1"/>
  <c r="N18" i="4"/>
  <c r="N1223" i="1"/>
  <c r="AC1201" i="1"/>
  <c r="AC1282" i="1"/>
  <c r="X1288" i="1"/>
  <c r="AC1283" i="1"/>
  <c r="T1288" i="1"/>
  <c r="AC38" i="4"/>
  <c r="AC79" i="4"/>
  <c r="AC37" i="4"/>
  <c r="AB1245" i="1"/>
  <c r="N1169" i="1"/>
  <c r="N1176" i="1"/>
  <c r="AC6" i="4"/>
  <c r="N1194" i="1"/>
  <c r="X1202" i="1"/>
  <c r="AC1195" i="1"/>
  <c r="AC1188" i="1"/>
  <c r="AB1202" i="1"/>
  <c r="T1202" i="1"/>
  <c r="N1191" i="1"/>
  <c r="I1245" i="1"/>
  <c r="M1245" i="1"/>
  <c r="AB1374" i="1"/>
  <c r="X1374" i="1"/>
  <c r="T1374" i="1"/>
  <c r="N1168" i="1"/>
  <c r="N1187" i="1"/>
  <c r="E1245" i="1"/>
  <c r="N1185" i="1"/>
  <c r="E1202" i="1"/>
  <c r="N1183" i="1"/>
  <c r="AC1324" i="1"/>
  <c r="N1181" i="1"/>
  <c r="N1167" i="1"/>
  <c r="AC1199" i="1"/>
  <c r="AC1180" i="1"/>
  <c r="AC1157" i="1"/>
  <c r="M1202" i="1"/>
  <c r="N1178" i="1"/>
  <c r="N1155" i="1"/>
  <c r="N1129" i="1"/>
  <c r="AC1156" i="1"/>
  <c r="AC1200" i="1"/>
  <c r="N1152" i="1"/>
  <c r="N1128" i="1"/>
  <c r="N17" i="4"/>
  <c r="E41" i="4"/>
  <c r="H42" i="4"/>
  <c r="H48" i="4" s="1"/>
  <c r="H59" i="4" s="1"/>
  <c r="H85" i="4" s="1"/>
  <c r="H91" i="4" s="1"/>
  <c r="H102" i="4" s="1"/>
  <c r="H128" i="4" s="1"/>
  <c r="H134" i="4" s="1"/>
  <c r="H145" i="4" s="1"/>
  <c r="H171" i="4" s="1"/>
  <c r="H177" i="4" s="1"/>
  <c r="H188" i="4" s="1"/>
  <c r="H214" i="4" s="1"/>
  <c r="H220" i="4" s="1"/>
  <c r="H231" i="4" s="1"/>
  <c r="H257" i="4" s="1"/>
  <c r="H263" i="4" s="1"/>
  <c r="H274" i="4" s="1"/>
  <c r="H300" i="4" s="1"/>
  <c r="H306" i="4" s="1"/>
  <c r="H317" i="4" s="1"/>
  <c r="H343" i="4" s="1"/>
  <c r="H349" i="4" s="1"/>
  <c r="H360" i="4" s="1"/>
  <c r="H386" i="4" s="1"/>
  <c r="H392" i="4" s="1"/>
  <c r="H403" i="4" s="1"/>
  <c r="H429" i="4" s="1"/>
  <c r="H435" i="4" s="1"/>
  <c r="H446" i="4" s="1"/>
  <c r="H472" i="4" s="1"/>
  <c r="H478" i="4" s="1"/>
  <c r="H489" i="4" s="1"/>
  <c r="H515" i="4" s="1"/>
  <c r="H521" i="4" s="1"/>
  <c r="H532" i="4" s="1"/>
  <c r="H558" i="4" s="1"/>
  <c r="H564" i="4" s="1"/>
  <c r="H575" i="4" s="1"/>
  <c r="H601" i="4" s="1"/>
  <c r="N5" i="4"/>
  <c r="AC1325" i="1"/>
  <c r="AC1196" i="1"/>
  <c r="AC1149" i="1"/>
  <c r="AC1198" i="1"/>
  <c r="N1147" i="1"/>
  <c r="AC1145" i="1"/>
  <c r="N1146" i="1"/>
  <c r="AC1155" i="1"/>
  <c r="AC1154" i="1"/>
  <c r="AC1143" i="1"/>
  <c r="N1144" i="1"/>
  <c r="N1126" i="1"/>
  <c r="AC1113" i="1"/>
  <c r="N1139" i="1"/>
  <c r="N1138" i="1"/>
  <c r="I1159" i="1"/>
  <c r="N1124" i="1"/>
  <c r="AC1158" i="1"/>
  <c r="N1087" i="1"/>
  <c r="AC1135" i="1"/>
  <c r="AC1109" i="1"/>
  <c r="N1113" i="1"/>
  <c r="N1086" i="1"/>
  <c r="N1112" i="1"/>
  <c r="N1110" i="1"/>
  <c r="AC1114" i="1"/>
  <c r="AC1107" i="1"/>
  <c r="AC250" i="1"/>
  <c r="T636" i="1"/>
  <c r="T643" i="1" s="1"/>
  <c r="AC807" i="1"/>
  <c r="N315" i="1"/>
  <c r="E330" i="1"/>
  <c r="N330" i="1" s="1"/>
  <c r="N333" i="1"/>
  <c r="N399" i="1"/>
  <c r="N443" i="1"/>
  <c r="AC487" i="1"/>
  <c r="N483" i="1"/>
  <c r="N486" i="1"/>
  <c r="N524" i="1"/>
  <c r="N528" i="1"/>
  <c r="AC1260" i="1"/>
  <c r="AC485" i="1"/>
  <c r="AC201" i="1"/>
  <c r="N400" i="1"/>
  <c r="AC255" i="1"/>
  <c r="AC358" i="1"/>
  <c r="I493" i="1"/>
  <c r="F729" i="1"/>
  <c r="I729" i="1" s="1"/>
  <c r="I711" i="1"/>
  <c r="N711" i="1" s="1"/>
  <c r="N1174" i="1"/>
  <c r="N1215" i="1"/>
  <c r="AC443" i="1"/>
  <c r="N310" i="1"/>
  <c r="AC351" i="1"/>
  <c r="AC252" i="1"/>
  <c r="AC441" i="1"/>
  <c r="N444" i="1"/>
  <c r="AC488" i="1"/>
  <c r="N482" i="1"/>
  <c r="AC405" i="1"/>
  <c r="N526" i="1"/>
  <c r="N530" i="1"/>
  <c r="N546" i="1"/>
  <c r="AC418" i="1"/>
  <c r="AC702" i="1"/>
  <c r="N870" i="1"/>
  <c r="AC444" i="1"/>
  <c r="AC402" i="1"/>
  <c r="N1085" i="1"/>
  <c r="AC998" i="1"/>
  <c r="N1172" i="1"/>
  <c r="N1213" i="1"/>
  <c r="N316" i="1"/>
  <c r="N401" i="1"/>
  <c r="AC254" i="1"/>
  <c r="AC394" i="1"/>
  <c r="AC484" i="1"/>
  <c r="AC678" i="1"/>
  <c r="N1125" i="1"/>
  <c r="AC165" i="1"/>
  <c r="AC419" i="1"/>
  <c r="AC251" i="1"/>
  <c r="AC442" i="1"/>
  <c r="AC401" i="1"/>
  <c r="AC566" i="1"/>
  <c r="N573" i="1"/>
  <c r="H944" i="1"/>
  <c r="I923" i="1"/>
  <c r="N923" i="1" s="1"/>
  <c r="N1170" i="1"/>
  <c r="N1211" i="1"/>
  <c r="N1219" i="1"/>
  <c r="N1258" i="1"/>
  <c r="N555" i="1"/>
  <c r="AC438" i="1"/>
  <c r="N615" i="1"/>
  <c r="AC659" i="1"/>
  <c r="AC700" i="1"/>
  <c r="N738" i="1"/>
  <c r="N746" i="1"/>
  <c r="N784" i="1"/>
  <c r="N793" i="1"/>
  <c r="N825" i="1"/>
  <c r="N958" i="1"/>
  <c r="N969" i="1"/>
  <c r="N985" i="1"/>
  <c r="AC1002" i="1"/>
  <c r="N1019" i="1"/>
  <c r="N1024" i="1"/>
  <c r="AC1038" i="1"/>
  <c r="AC1050" i="1"/>
  <c r="N1059" i="1"/>
  <c r="N1063" i="1"/>
  <c r="N1071" i="1"/>
  <c r="AC895" i="1"/>
  <c r="AC1082" i="1"/>
  <c r="AC1128" i="1"/>
  <c r="AC1140" i="1"/>
  <c r="N1142" i="1"/>
  <c r="N1150" i="1"/>
  <c r="N1158" i="1"/>
  <c r="N1180" i="1"/>
  <c r="N1228" i="1"/>
  <c r="N1236" i="1"/>
  <c r="N1244" i="1"/>
  <c r="N1266" i="1"/>
  <c r="N1274" i="1"/>
  <c r="N1282" i="1"/>
  <c r="M1288" i="1"/>
  <c r="X1115" i="1"/>
  <c r="N668" i="1"/>
  <c r="AC748" i="1"/>
  <c r="AC728" i="1"/>
  <c r="N796" i="1"/>
  <c r="N980" i="1"/>
  <c r="AC886" i="1"/>
  <c r="AC1086" i="1"/>
  <c r="N1111" i="1"/>
  <c r="N1137" i="1"/>
  <c r="N1145" i="1"/>
  <c r="N1153" i="1"/>
  <c r="M1159" i="1"/>
  <c r="N1199" i="1"/>
  <c r="N1231" i="1"/>
  <c r="N1239" i="1"/>
  <c r="N1269" i="1"/>
  <c r="N1277" i="1"/>
  <c r="N1285" i="1"/>
  <c r="AC397" i="1"/>
  <c r="AC616" i="1"/>
  <c r="AC464" i="1"/>
  <c r="N744" i="1"/>
  <c r="N801" i="1"/>
  <c r="AC546" i="1"/>
  <c r="X636" i="1"/>
  <c r="X643" i="1" s="1"/>
  <c r="AC666" i="1"/>
  <c r="N694" i="1"/>
  <c r="AC676" i="1"/>
  <c r="AC705" i="1"/>
  <c r="N871" i="1"/>
  <c r="AC725" i="1"/>
  <c r="AC914" i="1"/>
  <c r="N915" i="1"/>
  <c r="C944" i="1"/>
  <c r="N983" i="1"/>
  <c r="AC891" i="1"/>
  <c r="AC1004" i="1"/>
  <c r="N1017" i="1"/>
  <c r="N1022" i="1"/>
  <c r="N1028" i="1"/>
  <c r="AC1053" i="1"/>
  <c r="N1058" i="1"/>
  <c r="N1062" i="1"/>
  <c r="N1069" i="1"/>
  <c r="AC953" i="1"/>
  <c r="AC1089" i="1"/>
  <c r="N1114" i="1"/>
  <c r="AC934" i="1"/>
  <c r="AC1125" i="1"/>
  <c r="AC1138" i="1"/>
  <c r="AC1146" i="1"/>
  <c r="AC1183" i="1"/>
  <c r="AC1191" i="1"/>
  <c r="N1140" i="1"/>
  <c r="N1148" i="1"/>
  <c r="N1156" i="1"/>
  <c r="N1224" i="1"/>
  <c r="N1234" i="1"/>
  <c r="N1242" i="1"/>
  <c r="N1083" i="1"/>
  <c r="N551" i="1"/>
  <c r="AC437" i="1"/>
  <c r="N616" i="1"/>
  <c r="AC448" i="1"/>
  <c r="AC658" i="1"/>
  <c r="K729" i="1"/>
  <c r="N739" i="1"/>
  <c r="N843" i="1"/>
  <c r="N851" i="1"/>
  <c r="N869" i="1"/>
  <c r="AC719" i="1"/>
  <c r="AC754" i="1"/>
  <c r="AC765" i="1"/>
  <c r="AC766" i="1"/>
  <c r="AC811" i="1"/>
  <c r="AC793" i="1"/>
  <c r="AC917" i="1"/>
  <c r="AC796" i="1"/>
  <c r="AC845" i="1"/>
  <c r="N959" i="1"/>
  <c r="AC1001" i="1"/>
  <c r="AC971" i="1"/>
  <c r="N1020" i="1"/>
  <c r="AC1039" i="1"/>
  <c r="AC1044" i="1"/>
  <c r="N1046" i="1"/>
  <c r="N1072" i="1"/>
  <c r="AC927" i="1"/>
  <c r="N917" i="1"/>
  <c r="AC1084" i="1"/>
  <c r="N1084" i="1"/>
  <c r="AC1006" i="1"/>
  <c r="AC1129" i="1"/>
  <c r="AC1141" i="1"/>
  <c r="AC1178" i="1"/>
  <c r="AC1186" i="1"/>
  <c r="AC1194" i="1"/>
  <c r="N1135" i="1"/>
  <c r="N1143" i="1"/>
  <c r="N1151" i="1"/>
  <c r="E1159" i="1"/>
  <c r="N1197" i="1"/>
  <c r="AC1013" i="1"/>
  <c r="N1283" i="1"/>
  <c r="AC502" i="1"/>
  <c r="N788" i="1"/>
  <c r="N807" i="1"/>
  <c r="AC669" i="1"/>
  <c r="N838" i="1"/>
  <c r="N748" i="1"/>
  <c r="AC852" i="1"/>
  <c r="AC909" i="1"/>
  <c r="N996" i="1"/>
  <c r="N1026" i="1"/>
  <c r="N1038" i="1"/>
  <c r="N1057" i="1"/>
  <c r="N1061" i="1"/>
  <c r="N1067" i="1"/>
  <c r="AC1087" i="1"/>
  <c r="AC1136" i="1"/>
  <c r="AC1144" i="1"/>
  <c r="N1154" i="1"/>
  <c r="N1184" i="1"/>
  <c r="N1192" i="1"/>
  <c r="N1200" i="1"/>
  <c r="N1232" i="1"/>
  <c r="N1240" i="1"/>
  <c r="N1041" i="1"/>
  <c r="AC1255" i="1"/>
  <c r="N1270" i="1"/>
  <c r="N1278" i="1"/>
  <c r="N1286" i="1"/>
  <c r="AC1100" i="1"/>
  <c r="N554" i="1"/>
  <c r="AC439" i="1"/>
  <c r="AC416" i="1"/>
  <c r="AC701" i="1"/>
  <c r="AC762" i="1"/>
  <c r="N737" i="1"/>
  <c r="N745" i="1"/>
  <c r="N813" i="1"/>
  <c r="AC545" i="1"/>
  <c r="N857" i="1"/>
  <c r="AC844" i="1"/>
  <c r="N872" i="1"/>
  <c r="AC768" i="1"/>
  <c r="AC915" i="1"/>
  <c r="N914" i="1"/>
  <c r="N920" i="1"/>
  <c r="N984" i="1"/>
  <c r="AC880" i="1"/>
  <c r="AC1003" i="1"/>
  <c r="N1023" i="1"/>
  <c r="N1029" i="1"/>
  <c r="AC1043" i="1"/>
  <c r="N1045" i="1"/>
  <c r="AC1047" i="1"/>
  <c r="N1050" i="1"/>
  <c r="AC1058" i="1"/>
  <c r="AC1062" i="1"/>
  <c r="N1070" i="1"/>
  <c r="AC954" i="1"/>
  <c r="AC1081" i="1"/>
  <c r="AC1090" i="1"/>
  <c r="N1115" i="1"/>
  <c r="AC937" i="1"/>
  <c r="AC959" i="1"/>
  <c r="AC1127" i="1"/>
  <c r="AC1139" i="1"/>
  <c r="AC1147" i="1"/>
  <c r="AC1184" i="1"/>
  <c r="N1141" i="1"/>
  <c r="N1149" i="1"/>
  <c r="N1157" i="1"/>
  <c r="N1179" i="1"/>
  <c r="N1195" i="1"/>
  <c r="I1202" i="1"/>
  <c r="N1225" i="1"/>
  <c r="N1227" i="1"/>
  <c r="X1111" i="1"/>
  <c r="X1116" i="1" s="1"/>
  <c r="N1265" i="1"/>
  <c r="N1273" i="1"/>
  <c r="N1281" i="1"/>
  <c r="I1288" i="1"/>
  <c r="N786" i="1"/>
  <c r="N795" i="1"/>
  <c r="N805" i="1"/>
  <c r="AC621" i="1"/>
  <c r="N836" i="1"/>
  <c r="N844" i="1"/>
  <c r="N655" i="1"/>
  <c r="AC782" i="1"/>
  <c r="AC720" i="1"/>
  <c r="N724" i="1"/>
  <c r="N752" i="1"/>
  <c r="AC767" i="1"/>
  <c r="AC794" i="1"/>
  <c r="AC918" i="1"/>
  <c r="AC839" i="1"/>
  <c r="N960" i="1"/>
  <c r="AC1000" i="1"/>
  <c r="N1000" i="1"/>
  <c r="N1021" i="1"/>
  <c r="AC1040" i="1"/>
  <c r="N1056" i="1"/>
  <c r="N916" i="1"/>
  <c r="AC1085" i="1"/>
  <c r="AC963" i="1"/>
  <c r="AC969" i="1"/>
  <c r="AC1007" i="1"/>
  <c r="AC1130" i="1"/>
  <c r="AC1179" i="1"/>
  <c r="AC1187" i="1"/>
  <c r="N1136" i="1"/>
  <c r="N1182" i="1"/>
  <c r="N1190" i="1"/>
  <c r="N1198" i="1"/>
  <c r="N1268" i="1"/>
  <c r="N1276" i="1"/>
  <c r="N1284" i="1"/>
  <c r="N1108" i="1"/>
  <c r="AC1106" i="1"/>
  <c r="N1107" i="1"/>
  <c r="AC1105" i="1"/>
  <c r="N1106" i="1"/>
  <c r="N1105" i="1"/>
  <c r="N1104" i="1"/>
  <c r="AC1115" i="1"/>
  <c r="AC1103" i="1"/>
  <c r="AC1102" i="1"/>
  <c r="N1103" i="1"/>
  <c r="N1102" i="1"/>
  <c r="AC1112" i="1"/>
  <c r="AC1101" i="1"/>
  <c r="N1101" i="1"/>
  <c r="N1100" i="1"/>
  <c r="N1082" i="1"/>
  <c r="N1081" i="1"/>
  <c r="N1099" i="1"/>
  <c r="N1097" i="1"/>
  <c r="AC1099" i="1"/>
  <c r="N1096" i="1"/>
  <c r="N1095" i="1"/>
  <c r="N1094" i="1"/>
  <c r="N1093" i="1"/>
  <c r="N1065" i="1"/>
  <c r="AC1098" i="1"/>
  <c r="AC1097" i="1"/>
  <c r="N1044" i="1"/>
  <c r="N1064" i="1"/>
  <c r="N1043" i="1"/>
  <c r="AC1095" i="1"/>
  <c r="M1116" i="1"/>
  <c r="I1116" i="1"/>
  <c r="N1092" i="1"/>
  <c r="E1116" i="1"/>
  <c r="AC1094" i="1"/>
  <c r="AC1111" i="1"/>
  <c r="AC1093" i="1"/>
  <c r="AC1067" i="1"/>
  <c r="AC1092" i="1"/>
  <c r="AC1116" i="1" s="1"/>
  <c r="AA42" i="4"/>
  <c r="AA48" i="4" s="1"/>
  <c r="AA59" i="4" s="1"/>
  <c r="AA85" i="4" s="1"/>
  <c r="AA91" i="4" s="1"/>
  <c r="AA102" i="4" s="1"/>
  <c r="AA128" i="4" s="1"/>
  <c r="AA134" i="4" s="1"/>
  <c r="AA145" i="4" s="1"/>
  <c r="AA171" i="4" s="1"/>
  <c r="AA177" i="4" s="1"/>
  <c r="AA188" i="4" s="1"/>
  <c r="AA214" i="4" s="1"/>
  <c r="AA220" i="4" s="1"/>
  <c r="AA231" i="4" s="1"/>
  <c r="AA257" i="4" s="1"/>
  <c r="AA263" i="4" s="1"/>
  <c r="AA274" i="4" s="1"/>
  <c r="AA300" i="4" s="1"/>
  <c r="AA306" i="4" s="1"/>
  <c r="AA317" i="4" s="1"/>
  <c r="AA343" i="4" s="1"/>
  <c r="AA349" i="4" s="1"/>
  <c r="AA360" i="4" s="1"/>
  <c r="AA386" i="4" s="1"/>
  <c r="AA392" i="4" s="1"/>
  <c r="AA403" i="4" s="1"/>
  <c r="AA429" i="4" s="1"/>
  <c r="AA435" i="4" s="1"/>
  <c r="AA446" i="4" s="1"/>
  <c r="AA472" i="4" s="1"/>
  <c r="AA478" i="4" s="1"/>
  <c r="AA489" i="4" s="1"/>
  <c r="R42" i="4"/>
  <c r="R48" i="4" s="1"/>
  <c r="R59" i="4" s="1"/>
  <c r="R85" i="4" s="1"/>
  <c r="R91" i="4" s="1"/>
  <c r="R102" i="4" s="1"/>
  <c r="R128" i="4" s="1"/>
  <c r="R134" i="4" s="1"/>
  <c r="R145" i="4" s="1"/>
  <c r="R171" i="4" s="1"/>
  <c r="R177" i="4" s="1"/>
  <c r="R188" i="4" s="1"/>
  <c r="R214" i="4" s="1"/>
  <c r="R220" i="4" s="1"/>
  <c r="R231" i="4" s="1"/>
  <c r="R257" i="4" s="1"/>
  <c r="R263" i="4" s="1"/>
  <c r="R274" i="4" s="1"/>
  <c r="R300" i="4" s="1"/>
  <c r="R306" i="4" s="1"/>
  <c r="R317" i="4" s="1"/>
  <c r="R343" i="4" s="1"/>
  <c r="R349" i="4" s="1"/>
  <c r="R360" i="4" s="1"/>
  <c r="R386" i="4" s="1"/>
  <c r="R392" i="4" s="1"/>
  <c r="R403" i="4" s="1"/>
  <c r="R429" i="4" s="1"/>
  <c r="R435" i="4" s="1"/>
  <c r="R446" i="4" s="1"/>
  <c r="R472" i="4" s="1"/>
  <c r="R478" i="4" s="1"/>
  <c r="R489" i="4" s="1"/>
  <c r="R515" i="4" s="1"/>
  <c r="R521" i="4" s="1"/>
  <c r="R532" i="4" s="1"/>
  <c r="R558" i="4" s="1"/>
  <c r="R564" i="4" s="1"/>
  <c r="R575" i="4" s="1"/>
  <c r="R601" i="4" s="1"/>
  <c r="AC1072" i="1"/>
  <c r="AC1061" i="1"/>
  <c r="AC1148" i="1"/>
  <c r="N1060" i="1"/>
  <c r="N1042" i="1"/>
  <c r="AC1060" i="1"/>
  <c r="AC1059" i="1"/>
  <c r="N1055" i="1"/>
  <c r="AC1027" i="1"/>
  <c r="AC1057" i="1"/>
  <c r="AC1056" i="1"/>
  <c r="AC1055" i="1"/>
  <c r="N1054" i="1"/>
  <c r="N999" i="1"/>
  <c r="N1039" i="1"/>
  <c r="N1052" i="1"/>
  <c r="AC1026" i="1"/>
  <c r="N1051" i="1"/>
  <c r="I1073" i="1"/>
  <c r="M1073" i="1"/>
  <c r="N1049" i="1"/>
  <c r="E1073" i="1"/>
  <c r="AC1052" i="1"/>
  <c r="AC1051" i="1"/>
  <c r="N1013" i="1"/>
  <c r="N1012" i="1"/>
  <c r="AC1066" i="1"/>
  <c r="AC1024" i="1"/>
  <c r="AC1049" i="1"/>
  <c r="N1011" i="1"/>
  <c r="Y42" i="4"/>
  <c r="Y48" i="4" s="1"/>
  <c r="Y59" i="4" s="1"/>
  <c r="Q42" i="4"/>
  <c r="Q48" i="4" s="1"/>
  <c r="Q59" i="4" s="1"/>
  <c r="AC1023" i="1"/>
  <c r="AC1064" i="1"/>
  <c r="V42" i="4"/>
  <c r="V48" i="4" s="1"/>
  <c r="V59" i="4" s="1"/>
  <c r="V85" i="4" s="1"/>
  <c r="V91" i="4" s="1"/>
  <c r="V102" i="4" s="1"/>
  <c r="V128" i="4" s="1"/>
  <c r="V134" i="4" s="1"/>
  <c r="V145" i="4" s="1"/>
  <c r="V171" i="4" s="1"/>
  <c r="V177" i="4" s="1"/>
  <c r="V188" i="4" s="1"/>
  <c r="V214" i="4" s="1"/>
  <c r="V220" i="4" s="1"/>
  <c r="V231" i="4" s="1"/>
  <c r="S42" i="4"/>
  <c r="S48" i="4" s="1"/>
  <c r="S59" i="4" s="1"/>
  <c r="S85" i="4" s="1"/>
  <c r="S91" i="4" s="1"/>
  <c r="S102" i="4" s="1"/>
  <c r="S128" i="4" s="1"/>
  <c r="S134" i="4" s="1"/>
  <c r="S145" i="4" s="1"/>
  <c r="S171" i="4" s="1"/>
  <c r="S177" i="4" s="1"/>
  <c r="S188" i="4" s="1"/>
  <c r="S214" i="4" s="1"/>
  <c r="S220" i="4" s="1"/>
  <c r="S231" i="4" s="1"/>
  <c r="S257" i="4" s="1"/>
  <c r="S263" i="4" s="1"/>
  <c r="S274" i="4" s="1"/>
  <c r="S300" i="4" s="1"/>
  <c r="S306" i="4" s="1"/>
  <c r="S317" i="4" s="1"/>
  <c r="S343" i="4" s="1"/>
  <c r="S349" i="4" s="1"/>
  <c r="S360" i="4" s="1"/>
  <c r="S386" i="4" s="1"/>
  <c r="S392" i="4" s="1"/>
  <c r="S403" i="4" s="1"/>
  <c r="S429" i="4" s="1"/>
  <c r="S435" i="4" s="1"/>
  <c r="S446" i="4" s="1"/>
  <c r="S472" i="4" s="1"/>
  <c r="S478" i="4" s="1"/>
  <c r="S489" i="4" s="1"/>
  <c r="S515" i="4" s="1"/>
  <c r="S521" i="4" s="1"/>
  <c r="S532" i="4" s="1"/>
  <c r="S558" i="4" s="1"/>
  <c r="S564" i="4" s="1"/>
  <c r="S575" i="4" s="1"/>
  <c r="S601" i="4" s="1"/>
  <c r="T16" i="4"/>
  <c r="T127" i="4"/>
  <c r="I127" i="4"/>
  <c r="M127" i="4"/>
  <c r="I84" i="4"/>
  <c r="M84" i="4"/>
  <c r="I41" i="4"/>
  <c r="F42" i="4"/>
  <c r="F48" i="4" s="1"/>
  <c r="F59" i="4" s="1"/>
  <c r="F85" i="4" s="1"/>
  <c r="F91" i="4" s="1"/>
  <c r="F102" i="4" s="1"/>
  <c r="W42" i="4"/>
  <c r="W48" i="4" s="1"/>
  <c r="W59" i="4" s="1"/>
  <c r="W85" i="4" s="1"/>
  <c r="W91" i="4" s="1"/>
  <c r="W102" i="4" s="1"/>
  <c r="W128" i="4" s="1"/>
  <c r="W134" i="4" s="1"/>
  <c r="W145" i="4" s="1"/>
  <c r="W171" i="4" s="1"/>
  <c r="W177" i="4" s="1"/>
  <c r="W188" i="4" s="1"/>
  <c r="AC11" i="4"/>
  <c r="G42" i="4"/>
  <c r="G48" i="4" s="1"/>
  <c r="G59" i="4" s="1"/>
  <c r="G85" i="4" s="1"/>
  <c r="G91" i="4" s="1"/>
  <c r="G102" i="4" s="1"/>
  <c r="G128" i="4" s="1"/>
  <c r="G134" i="4" s="1"/>
  <c r="G145" i="4" s="1"/>
  <c r="G171" i="4" s="1"/>
  <c r="G177" i="4" s="1"/>
  <c r="G188" i="4" s="1"/>
  <c r="G214" i="4" s="1"/>
  <c r="G220" i="4" s="1"/>
  <c r="G231" i="4" s="1"/>
  <c r="G257" i="4" s="1"/>
  <c r="G263" i="4" s="1"/>
  <c r="G274" i="4" s="1"/>
  <c r="G300" i="4" s="1"/>
  <c r="G306" i="4" s="1"/>
  <c r="G317" i="4" s="1"/>
  <c r="G343" i="4" s="1"/>
  <c r="G349" i="4" s="1"/>
  <c r="G360" i="4" s="1"/>
  <c r="G386" i="4" s="1"/>
  <c r="G392" i="4" s="1"/>
  <c r="G403" i="4" s="1"/>
  <c r="G429" i="4" s="1"/>
  <c r="G435" i="4" s="1"/>
  <c r="G446" i="4" s="1"/>
  <c r="G472" i="4" s="1"/>
  <c r="G478" i="4" s="1"/>
  <c r="G489" i="4" s="1"/>
  <c r="G515" i="4" s="1"/>
  <c r="G521" i="4" s="1"/>
  <c r="G532" i="4" s="1"/>
  <c r="G558" i="4" s="1"/>
  <c r="G564" i="4" s="1"/>
  <c r="G575" i="4" s="1"/>
  <c r="G601" i="4" s="1"/>
  <c r="M16" i="4"/>
  <c r="AC49" i="4"/>
  <c r="AC58" i="4"/>
  <c r="E127" i="4"/>
  <c r="M41" i="4"/>
  <c r="C84" i="4"/>
  <c r="E84" i="4" s="1"/>
  <c r="T84" i="4"/>
  <c r="AC98" i="4"/>
  <c r="AC100" i="4"/>
  <c r="I16" i="4"/>
  <c r="X16" i="4"/>
  <c r="E16" i="4"/>
  <c r="J42" i="4"/>
  <c r="J48" i="4" s="1"/>
  <c r="J59" i="4" s="1"/>
  <c r="AB16" i="4"/>
  <c r="T41" i="4"/>
  <c r="C42" i="4"/>
  <c r="C48" i="4" s="1"/>
  <c r="C59" i="4" s="1"/>
  <c r="AC92" i="4"/>
  <c r="AC94" i="4"/>
  <c r="AC101" i="4"/>
  <c r="AC5" i="4"/>
  <c r="AC14" i="4"/>
  <c r="D42" i="4"/>
  <c r="D48" i="4" s="1"/>
  <c r="D59" i="4" s="1"/>
  <c r="D85" i="4" s="1"/>
  <c r="D91" i="4" s="1"/>
  <c r="D102" i="4" s="1"/>
  <c r="D128" i="4" s="1"/>
  <c r="D134" i="4" s="1"/>
  <c r="D145" i="4" s="1"/>
  <c r="D171" i="4" s="1"/>
  <c r="D177" i="4" s="1"/>
  <c r="D188" i="4" s="1"/>
  <c r="D214" i="4" s="1"/>
  <c r="D220" i="4" s="1"/>
  <c r="D231" i="4" s="1"/>
  <c r="D257" i="4" s="1"/>
  <c r="D263" i="4" s="1"/>
  <c r="D274" i="4" s="1"/>
  <c r="D300" i="4" s="1"/>
  <c r="D306" i="4" s="1"/>
  <c r="D317" i="4" s="1"/>
  <c r="D343" i="4" s="1"/>
  <c r="D349" i="4" s="1"/>
  <c r="D360" i="4" s="1"/>
  <c r="D386" i="4" s="1"/>
  <c r="D392" i="4" s="1"/>
  <c r="D403" i="4" s="1"/>
  <c r="D429" i="4" s="1"/>
  <c r="D435" i="4" s="1"/>
  <c r="D446" i="4" s="1"/>
  <c r="D472" i="4" s="1"/>
  <c r="D478" i="4" s="1"/>
  <c r="D489" i="4" s="1"/>
  <c r="D515" i="4" s="1"/>
  <c r="D521" i="4" s="1"/>
  <c r="D532" i="4" s="1"/>
  <c r="D558" i="4" s="1"/>
  <c r="D564" i="4" s="1"/>
  <c r="D575" i="4" s="1"/>
  <c r="D601" i="4" s="1"/>
  <c r="AC52" i="4"/>
  <c r="N1010" i="1"/>
  <c r="N997" i="1"/>
  <c r="N1009" i="1"/>
  <c r="AC1065" i="1"/>
  <c r="AC1025" i="1"/>
  <c r="AC1028" i="1"/>
  <c r="M1030" i="1"/>
  <c r="AC1018" i="1"/>
  <c r="AC1070" i="1"/>
  <c r="AC1069" i="1"/>
  <c r="AC1016" i="1"/>
  <c r="I1030" i="1"/>
  <c r="E1030" i="1"/>
  <c r="N1006" i="1"/>
  <c r="N979" i="1"/>
  <c r="AC1029" i="1"/>
  <c r="AC1015" i="1"/>
  <c r="AC1014" i="1"/>
  <c r="N977" i="1"/>
  <c r="N976" i="1"/>
  <c r="AC1012" i="1"/>
  <c r="AC1011" i="1"/>
  <c r="N975" i="1"/>
  <c r="AC1010" i="1"/>
  <c r="N974" i="1"/>
  <c r="AC1009" i="1"/>
  <c r="AC1008" i="1"/>
  <c r="AC983" i="1"/>
  <c r="N957" i="1"/>
  <c r="N973" i="1"/>
  <c r="N956" i="1"/>
  <c r="N972" i="1"/>
  <c r="AC976" i="1"/>
  <c r="N955" i="1"/>
  <c r="N970" i="1"/>
  <c r="AC974" i="1"/>
  <c r="AC973" i="1"/>
  <c r="N954" i="1"/>
  <c r="N968" i="1"/>
  <c r="N967" i="1"/>
  <c r="AC970" i="1"/>
  <c r="N953" i="1"/>
  <c r="N966" i="1"/>
  <c r="N965" i="1"/>
  <c r="N952" i="1"/>
  <c r="AC968" i="1"/>
  <c r="N964" i="1"/>
  <c r="M987" i="1"/>
  <c r="I987" i="1"/>
  <c r="AC986" i="1"/>
  <c r="AC967" i="1"/>
  <c r="AC966" i="1"/>
  <c r="N963" i="1"/>
  <c r="E987" i="1"/>
  <c r="N943" i="1"/>
  <c r="AC980" i="1"/>
  <c r="AC979" i="1"/>
  <c r="T985" i="1"/>
  <c r="T987" i="1" s="1"/>
  <c r="AC965" i="1"/>
  <c r="N942" i="1"/>
  <c r="N941" i="1"/>
  <c r="AC964" i="1"/>
  <c r="AC938" i="1"/>
  <c r="N940" i="1"/>
  <c r="N939" i="1"/>
  <c r="N938" i="1"/>
  <c r="N936" i="1"/>
  <c r="AC985" i="1"/>
  <c r="AC935" i="1"/>
  <c r="N935" i="1"/>
  <c r="N934" i="1"/>
  <c r="N933" i="1"/>
  <c r="N913" i="1"/>
  <c r="N932" i="1"/>
  <c r="N931" i="1"/>
  <c r="AC984" i="1"/>
  <c r="AC933" i="1"/>
  <c r="N930" i="1"/>
  <c r="N912" i="1"/>
  <c r="N929" i="1"/>
  <c r="AC942" i="1"/>
  <c r="AC931" i="1"/>
  <c r="K944" i="1"/>
  <c r="N928" i="1"/>
  <c r="AC930" i="1"/>
  <c r="N927" i="1"/>
  <c r="AC929" i="1"/>
  <c r="AC928" i="1"/>
  <c r="N926" i="1"/>
  <c r="N911" i="1"/>
  <c r="N875" i="1"/>
  <c r="N925" i="1"/>
  <c r="N924" i="1"/>
  <c r="N910" i="1"/>
  <c r="AC926" i="1"/>
  <c r="AC925" i="1"/>
  <c r="N909" i="1"/>
  <c r="I944" i="1"/>
  <c r="N922" i="1"/>
  <c r="AC940" i="1"/>
  <c r="AC943" i="1"/>
  <c r="AC923" i="1"/>
  <c r="N921" i="1"/>
  <c r="E944" i="1"/>
  <c r="AC922" i="1"/>
  <c r="M944" i="1"/>
  <c r="AC921" i="1"/>
  <c r="AC920" i="1"/>
  <c r="AC944" i="1" s="1"/>
  <c r="AC981" i="1"/>
  <c r="N868" i="1"/>
  <c r="N867" i="1"/>
  <c r="T899" i="1"/>
  <c r="T901" i="1" s="1"/>
  <c r="X899" i="1"/>
  <c r="X901" i="1" s="1"/>
  <c r="AC893" i="1"/>
  <c r="AC856" i="1"/>
  <c r="N866" i="1"/>
  <c r="N849" i="1"/>
  <c r="N881" i="1"/>
  <c r="N879" i="1"/>
  <c r="AC889" i="1"/>
  <c r="N877" i="1"/>
  <c r="AC887" i="1"/>
  <c r="N830" i="1"/>
  <c r="AC885" i="1"/>
  <c r="X855" i="1"/>
  <c r="AC855" i="1" s="1"/>
  <c r="N847" i="1"/>
  <c r="N829" i="1"/>
  <c r="AC857" i="1"/>
  <c r="AC883" i="1"/>
  <c r="N845" i="1"/>
  <c r="AC881" i="1"/>
  <c r="N842" i="1"/>
  <c r="AC877" i="1"/>
  <c r="AC848" i="1"/>
  <c r="N841" i="1"/>
  <c r="AC853" i="1"/>
  <c r="N827" i="1"/>
  <c r="AC846" i="1"/>
  <c r="N826" i="1"/>
  <c r="N840" i="1"/>
  <c r="N839" i="1"/>
  <c r="N837" i="1"/>
  <c r="N811" i="1"/>
  <c r="N824" i="1"/>
  <c r="AC850" i="1"/>
  <c r="AC813" i="1"/>
  <c r="AC900" i="1"/>
  <c r="AC842" i="1"/>
  <c r="AC840" i="1"/>
  <c r="N823" i="1"/>
  <c r="N835" i="1"/>
  <c r="I858" i="1"/>
  <c r="AC838" i="1"/>
  <c r="N809" i="1"/>
  <c r="N834" i="1"/>
  <c r="I808" i="1"/>
  <c r="N808" i="1" s="1"/>
  <c r="N782" i="1"/>
  <c r="N803" i="1"/>
  <c r="N799" i="1"/>
  <c r="AC809" i="1"/>
  <c r="AC803" i="1"/>
  <c r="AC812" i="1"/>
  <c r="AC800" i="1"/>
  <c r="AC799" i="1"/>
  <c r="N797" i="1"/>
  <c r="AC814" i="1"/>
  <c r="AC798" i="1"/>
  <c r="AC797" i="1"/>
  <c r="AC854" i="1"/>
  <c r="AC808" i="1"/>
  <c r="N780" i="1"/>
  <c r="AC810" i="1"/>
  <c r="AC791" i="1"/>
  <c r="T851" i="1"/>
  <c r="AC851" i="1" s="1"/>
  <c r="AC724" i="1"/>
  <c r="N791" i="1"/>
  <c r="E815" i="1"/>
  <c r="N743" i="1"/>
  <c r="N742" i="1"/>
  <c r="AC760" i="1"/>
  <c r="N741" i="1"/>
  <c r="N740" i="1"/>
  <c r="AC758" i="1"/>
  <c r="N725" i="1"/>
  <c r="AC718" i="1"/>
  <c r="AC717" i="1"/>
  <c r="N719" i="1"/>
  <c r="AC716" i="1"/>
  <c r="AC223" i="1"/>
  <c r="AC307" i="1"/>
  <c r="AC357" i="1"/>
  <c r="N354" i="1"/>
  <c r="N356" i="1"/>
  <c r="N358" i="1"/>
  <c r="N373" i="1"/>
  <c r="N377" i="1"/>
  <c r="N381" i="1"/>
  <c r="N235" i="1"/>
  <c r="AC459" i="1"/>
  <c r="AC398" i="1"/>
  <c r="AC375" i="1"/>
  <c r="AC540" i="1"/>
  <c r="N384" i="1"/>
  <c r="AC611" i="1"/>
  <c r="AC617" i="1"/>
  <c r="AC572" i="1"/>
  <c r="N627" i="1"/>
  <c r="N631" i="1"/>
  <c r="N635" i="1"/>
  <c r="N639" i="1"/>
  <c r="AC423" i="1"/>
  <c r="AC455" i="1"/>
  <c r="N479" i="1"/>
  <c r="AC740" i="1"/>
  <c r="AC742" i="1"/>
  <c r="AC744" i="1"/>
  <c r="AC746" i="1"/>
  <c r="AC550" i="1"/>
  <c r="AC544" i="1"/>
  <c r="AC590" i="1"/>
  <c r="AC591" i="1"/>
  <c r="AC633" i="1"/>
  <c r="N832" i="1"/>
  <c r="AC894" i="1"/>
  <c r="AC892" i="1"/>
  <c r="AC890" i="1"/>
  <c r="AC888" i="1"/>
  <c r="AC884" i="1"/>
  <c r="AC882" i="1"/>
  <c r="AC878" i="1"/>
  <c r="AC873" i="1"/>
  <c r="AC849" i="1"/>
  <c r="AC847" i="1"/>
  <c r="AC843" i="1"/>
  <c r="AC841" i="1"/>
  <c r="AC837" i="1"/>
  <c r="AC835" i="1"/>
  <c r="N312" i="1"/>
  <c r="N313" i="1"/>
  <c r="N393" i="1"/>
  <c r="AC440" i="1"/>
  <c r="AC376" i="1"/>
  <c r="N504" i="1"/>
  <c r="N508" i="1"/>
  <c r="N512" i="1"/>
  <c r="AC523" i="1"/>
  <c r="AC567" i="1"/>
  <c r="AC571" i="1"/>
  <c r="N591" i="1"/>
  <c r="N595" i="1"/>
  <c r="N599" i="1"/>
  <c r="AC652" i="1"/>
  <c r="N658" i="1"/>
  <c r="N662" i="1"/>
  <c r="N670" i="1"/>
  <c r="N674" i="1"/>
  <c r="N678" i="1"/>
  <c r="N682" i="1"/>
  <c r="AC467" i="1"/>
  <c r="AC462" i="1"/>
  <c r="AC497" i="1"/>
  <c r="AC543" i="1"/>
  <c r="AC738" i="1"/>
  <c r="N706" i="1"/>
  <c r="N710" i="1"/>
  <c r="AC677" i="1"/>
  <c r="N878" i="1"/>
  <c r="N880" i="1"/>
  <c r="N882" i="1"/>
  <c r="N884" i="1"/>
  <c r="N886" i="1"/>
  <c r="N888" i="1"/>
  <c r="N890" i="1"/>
  <c r="N892" i="1"/>
  <c r="N894" i="1"/>
  <c r="N896" i="1"/>
  <c r="N898" i="1"/>
  <c r="N900" i="1"/>
  <c r="AC711" i="1"/>
  <c r="AC461" i="1"/>
  <c r="N846" i="1"/>
  <c r="N848" i="1"/>
  <c r="N850" i="1"/>
  <c r="N852" i="1"/>
  <c r="N854" i="1"/>
  <c r="N856" i="1"/>
  <c r="E858" i="1"/>
  <c r="M858" i="1"/>
  <c r="N314" i="1"/>
  <c r="N338" i="1"/>
  <c r="K342" i="1"/>
  <c r="AC356" i="1"/>
  <c r="N353" i="1"/>
  <c r="N355" i="1"/>
  <c r="N357" i="1"/>
  <c r="N359" i="1"/>
  <c r="N395" i="1"/>
  <c r="AC453" i="1"/>
  <c r="N448" i="1"/>
  <c r="N464" i="1"/>
  <c r="N468" i="1"/>
  <c r="AC395" i="1"/>
  <c r="AC378" i="1"/>
  <c r="AC382" i="1"/>
  <c r="AC275" i="1"/>
  <c r="AC279" i="1"/>
  <c r="AC283" i="1"/>
  <c r="AC287" i="1"/>
  <c r="AC291" i="1"/>
  <c r="AC321" i="1"/>
  <c r="AC325" i="1"/>
  <c r="AC329" i="1"/>
  <c r="AC361" i="1"/>
  <c r="AC365" i="1"/>
  <c r="AC369" i="1"/>
  <c r="AC373" i="1"/>
  <c r="AC522" i="1"/>
  <c r="N540" i="1"/>
  <c r="N541" i="1"/>
  <c r="AC359" i="1"/>
  <c r="N632" i="1"/>
  <c r="N636" i="1"/>
  <c r="N640" i="1"/>
  <c r="AC417" i="1"/>
  <c r="N702" i="1"/>
  <c r="AC551" i="1"/>
  <c r="AC549" i="1"/>
  <c r="AC592" i="1"/>
  <c r="N831" i="1"/>
  <c r="AC831" i="1"/>
  <c r="AC827" i="1"/>
  <c r="AC823" i="1"/>
  <c r="AC706" i="1"/>
  <c r="AC708" i="1"/>
  <c r="AC311" i="1"/>
  <c r="AC312" i="1"/>
  <c r="N415" i="1"/>
  <c r="AC205" i="1"/>
  <c r="AC249" i="1"/>
  <c r="N237" i="1"/>
  <c r="AC240" i="1"/>
  <c r="N509" i="1"/>
  <c r="N513" i="1"/>
  <c r="AC570" i="1"/>
  <c r="AC576" i="1"/>
  <c r="N592" i="1"/>
  <c r="N596" i="1"/>
  <c r="AC654" i="1"/>
  <c r="AC660" i="1"/>
  <c r="N657" i="1"/>
  <c r="AC490" i="1"/>
  <c r="N751" i="1"/>
  <c r="N755" i="1"/>
  <c r="N759" i="1"/>
  <c r="N763" i="1"/>
  <c r="N767" i="1"/>
  <c r="N771" i="1"/>
  <c r="AC506" i="1"/>
  <c r="AC595" i="1"/>
  <c r="AC547" i="1"/>
  <c r="AC739" i="1"/>
  <c r="AC578" i="1"/>
  <c r="N705" i="1"/>
  <c r="N883" i="1"/>
  <c r="N885" i="1"/>
  <c r="N887" i="1"/>
  <c r="N889" i="1"/>
  <c r="N891" i="1"/>
  <c r="N893" i="1"/>
  <c r="N895" i="1"/>
  <c r="N897" i="1"/>
  <c r="N899" i="1"/>
  <c r="N699" i="1"/>
  <c r="N698" i="1"/>
  <c r="AC721" i="1"/>
  <c r="AC714" i="1"/>
  <c r="E901" i="1"/>
  <c r="M901" i="1"/>
  <c r="I901" i="1"/>
  <c r="AC870" i="1"/>
  <c r="AC866" i="1"/>
  <c r="AC832" i="1"/>
  <c r="AC828" i="1"/>
  <c r="AC787" i="1"/>
  <c r="AC783" i="1"/>
  <c r="AC875" i="1"/>
  <c r="AC867" i="1"/>
  <c r="AC829" i="1"/>
  <c r="AC825" i="1"/>
  <c r="AC805" i="1"/>
  <c r="AC801" i="1"/>
  <c r="AC788" i="1"/>
  <c r="AC784" i="1"/>
  <c r="AC780" i="1"/>
  <c r="AC874" i="1"/>
  <c r="AC824" i="1"/>
  <c r="AC872" i="1"/>
  <c r="AC830" i="1"/>
  <c r="AC826" i="1"/>
  <c r="AC802" i="1"/>
  <c r="AC789" i="1"/>
  <c r="AC785" i="1"/>
  <c r="AC781" i="1"/>
  <c r="M729" i="1"/>
  <c r="N707" i="1"/>
  <c r="AB680" i="1"/>
  <c r="AC680" i="1" s="1"/>
  <c r="N654" i="1"/>
  <c r="AC685" i="1"/>
  <c r="AC683" i="1"/>
  <c r="AC671" i="1"/>
  <c r="N653" i="1"/>
  <c r="N666" i="1"/>
  <c r="N569" i="1"/>
  <c r="E686" i="1"/>
  <c r="AC663" i="1"/>
  <c r="N628" i="1"/>
  <c r="N611" i="1"/>
  <c r="N625" i="1"/>
  <c r="AC629" i="1"/>
  <c r="AC625" i="1"/>
  <c r="N624" i="1"/>
  <c r="N623" i="1"/>
  <c r="N620" i="1"/>
  <c r="AC684" i="1"/>
  <c r="N608" i="1"/>
  <c r="N619" i="1"/>
  <c r="N588" i="1"/>
  <c r="N587" i="1"/>
  <c r="AC636" i="1"/>
  <c r="AC594" i="1"/>
  <c r="X642" i="1"/>
  <c r="T642" i="1"/>
  <c r="AC642" i="1" s="1"/>
  <c r="AB599" i="1"/>
  <c r="AB600" i="1" s="1"/>
  <c r="N341" i="1"/>
  <c r="N337" i="1"/>
  <c r="N376" i="1"/>
  <c r="AC292" i="1"/>
  <c r="AC310" i="1"/>
  <c r="AC314" i="1"/>
  <c r="N331" i="1"/>
  <c r="N335" i="1"/>
  <c r="N336" i="1"/>
  <c r="N340" i="1"/>
  <c r="AC400" i="1"/>
  <c r="N406" i="1"/>
  <c r="N418" i="1"/>
  <c r="N426" i="1"/>
  <c r="AC233" i="1"/>
  <c r="AC248" i="1"/>
  <c r="N236" i="1"/>
  <c r="AC269" i="1"/>
  <c r="N542" i="1"/>
  <c r="N610" i="1"/>
  <c r="N614" i="1"/>
  <c r="N380" i="1"/>
  <c r="AC189" i="1"/>
  <c r="AC193" i="1"/>
  <c r="AC308" i="1"/>
  <c r="AC313" i="1"/>
  <c r="N318" i="1"/>
  <c r="N326" i="1"/>
  <c r="N334" i="1"/>
  <c r="N339" i="1"/>
  <c r="N374" i="1"/>
  <c r="N378" i="1"/>
  <c r="N382" i="1"/>
  <c r="AC399" i="1"/>
  <c r="N409" i="1"/>
  <c r="N417" i="1"/>
  <c r="N425" i="1"/>
  <c r="N239" i="1"/>
  <c r="N247" i="1"/>
  <c r="N453" i="1"/>
  <c r="N457" i="1"/>
  <c r="N461" i="1"/>
  <c r="N609" i="1"/>
  <c r="N613" i="1"/>
  <c r="N617" i="1"/>
  <c r="N375" i="1"/>
  <c r="N379" i="1"/>
  <c r="N383" i="1"/>
  <c r="N404" i="1"/>
  <c r="N420" i="1"/>
  <c r="AC237" i="1"/>
  <c r="AC242" i="1"/>
  <c r="N447" i="1"/>
  <c r="N455" i="1"/>
  <c r="N467" i="1"/>
  <c r="AC336" i="1"/>
  <c r="AC334" i="1"/>
  <c r="AC491" i="1"/>
  <c r="AC500" i="1"/>
  <c r="N484" i="1"/>
  <c r="N495" i="1"/>
  <c r="N507" i="1"/>
  <c r="N511" i="1"/>
  <c r="AC354" i="1"/>
  <c r="AC377" i="1"/>
  <c r="AC381" i="1"/>
  <c r="AC247" i="1"/>
  <c r="AC278" i="1"/>
  <c r="AC282" i="1"/>
  <c r="AC286" i="1"/>
  <c r="AC290" i="1"/>
  <c r="AC320" i="1"/>
  <c r="AC324" i="1"/>
  <c r="AC328" i="1"/>
  <c r="AC332" i="1"/>
  <c r="AC364" i="1"/>
  <c r="AC368" i="1"/>
  <c r="AC372" i="1"/>
  <c r="N523" i="1"/>
  <c r="AC524" i="1"/>
  <c r="AC526" i="1"/>
  <c r="AC528" i="1"/>
  <c r="AC530" i="1"/>
  <c r="AC535" i="1"/>
  <c r="AC537" i="1"/>
  <c r="N538" i="1"/>
  <c r="AC565" i="1"/>
  <c r="AC569" i="1"/>
  <c r="AC574" i="1"/>
  <c r="N586" i="1"/>
  <c r="N590" i="1"/>
  <c r="N594" i="1"/>
  <c r="N598" i="1"/>
  <c r="AC396" i="1"/>
  <c r="AC610" i="1"/>
  <c r="AC614" i="1"/>
  <c r="AC620" i="1"/>
  <c r="AC624" i="1"/>
  <c r="AC632" i="1"/>
  <c r="N622" i="1"/>
  <c r="N626" i="1"/>
  <c r="N630" i="1"/>
  <c r="N634" i="1"/>
  <c r="N638" i="1"/>
  <c r="N642" i="1"/>
  <c r="N652" i="1"/>
  <c r="N656" i="1"/>
  <c r="AC463" i="1"/>
  <c r="N697" i="1"/>
  <c r="N701" i="1"/>
  <c r="AC695" i="1"/>
  <c r="AC454" i="1"/>
  <c r="N450" i="1"/>
  <c r="N458" i="1"/>
  <c r="AC268" i="1"/>
  <c r="AC335" i="1"/>
  <c r="AC333" i="1"/>
  <c r="AC483" i="1"/>
  <c r="AC494" i="1"/>
  <c r="AC499" i="1"/>
  <c r="N490" i="1"/>
  <c r="N510" i="1"/>
  <c r="AC380" i="1"/>
  <c r="AC246" i="1"/>
  <c r="AC277" i="1"/>
  <c r="AC281" i="1"/>
  <c r="AC285" i="1"/>
  <c r="AC289" i="1"/>
  <c r="AC319" i="1"/>
  <c r="AC323" i="1"/>
  <c r="AC327" i="1"/>
  <c r="AC331" i="1"/>
  <c r="AC363" i="1"/>
  <c r="AC367" i="1"/>
  <c r="AC371" i="1"/>
  <c r="AC404" i="1"/>
  <c r="N525" i="1"/>
  <c r="N527" i="1"/>
  <c r="N529" i="1"/>
  <c r="N531" i="1"/>
  <c r="N533" i="1"/>
  <c r="AC542" i="1"/>
  <c r="AC568" i="1"/>
  <c r="AC573" i="1"/>
  <c r="N567" i="1"/>
  <c r="N589" i="1"/>
  <c r="N593" i="1"/>
  <c r="N597" i="1"/>
  <c r="AC613" i="1"/>
  <c r="AC619" i="1"/>
  <c r="AC623" i="1"/>
  <c r="AC627" i="1"/>
  <c r="AC631" i="1"/>
  <c r="N621" i="1"/>
  <c r="N629" i="1"/>
  <c r="N633" i="1"/>
  <c r="N637" i="1"/>
  <c r="N641" i="1"/>
  <c r="M643" i="1"/>
  <c r="AC421" i="1"/>
  <c r="AC656" i="1"/>
  <c r="AC665" i="1"/>
  <c r="AC673" i="1"/>
  <c r="N651" i="1"/>
  <c r="N659" i="1"/>
  <c r="N664" i="1"/>
  <c r="N672" i="1"/>
  <c r="N676" i="1"/>
  <c r="N680" i="1"/>
  <c r="N684" i="1"/>
  <c r="M686" i="1"/>
  <c r="AC712" i="1"/>
  <c r="N696" i="1"/>
  <c r="N700" i="1"/>
  <c r="AC696" i="1"/>
  <c r="AC593" i="1"/>
  <c r="AC493" i="1"/>
  <c r="AC498" i="1"/>
  <c r="AC503" i="1"/>
  <c r="N351" i="1"/>
  <c r="AC379" i="1"/>
  <c r="AC425" i="1"/>
  <c r="AC276" i="1"/>
  <c r="AC280" i="1"/>
  <c r="AC284" i="1"/>
  <c r="AC288" i="1"/>
  <c r="AC318" i="1"/>
  <c r="AC322" i="1"/>
  <c r="AC326" i="1"/>
  <c r="AC330" i="1"/>
  <c r="AC362" i="1"/>
  <c r="AC366" i="1"/>
  <c r="AC370" i="1"/>
  <c r="AC374" i="1"/>
  <c r="AC525" i="1"/>
  <c r="AC527" i="1"/>
  <c r="AC529" i="1"/>
  <c r="AC531" i="1"/>
  <c r="N537" i="1"/>
  <c r="AC538" i="1"/>
  <c r="AC408" i="1"/>
  <c r="AC608" i="1"/>
  <c r="AC612" i="1"/>
  <c r="AC622" i="1"/>
  <c r="AC626" i="1"/>
  <c r="AC630" i="1"/>
  <c r="AC411" i="1"/>
  <c r="AC447" i="1"/>
  <c r="AC422" i="1"/>
  <c r="AC420" i="1"/>
  <c r="AC450" i="1"/>
  <c r="AC657" i="1"/>
  <c r="AC662" i="1"/>
  <c r="AC670" i="1"/>
  <c r="AC674" i="1"/>
  <c r="AC653" i="1"/>
  <c r="N665" i="1"/>
  <c r="N673" i="1"/>
  <c r="N677" i="1"/>
  <c r="N681" i="1"/>
  <c r="N685" i="1"/>
  <c r="AC466" i="1"/>
  <c r="AC465" i="1"/>
  <c r="AC715" i="1"/>
  <c r="N714" i="1"/>
  <c r="N718" i="1"/>
  <c r="N722" i="1"/>
  <c r="N726" i="1"/>
  <c r="N440" i="1"/>
  <c r="AC741" i="1"/>
  <c r="AC745" i="1"/>
  <c r="AC749" i="1"/>
  <c r="AC753" i="1"/>
  <c r="AC757" i="1"/>
  <c r="AC761" i="1"/>
  <c r="N750" i="1"/>
  <c r="N754" i="1"/>
  <c r="N758" i="1"/>
  <c r="N762" i="1"/>
  <c r="N766" i="1"/>
  <c r="N770" i="1"/>
  <c r="M772" i="1"/>
  <c r="AC507" i="1"/>
  <c r="AC640" i="1"/>
  <c r="AC637" i="1"/>
  <c r="N709" i="1"/>
  <c r="N713" i="1"/>
  <c r="N717" i="1"/>
  <c r="N721" i="1"/>
  <c r="E729" i="1"/>
  <c r="AC456" i="1"/>
  <c r="AC752" i="1"/>
  <c r="AC756" i="1"/>
  <c r="N749" i="1"/>
  <c r="N753" i="1"/>
  <c r="N757" i="1"/>
  <c r="N761" i="1"/>
  <c r="N765" i="1"/>
  <c r="N769" i="1"/>
  <c r="I772" i="1"/>
  <c r="AC639" i="1"/>
  <c r="AC556" i="1"/>
  <c r="AC548" i="1"/>
  <c r="N781" i="1"/>
  <c r="N783" i="1"/>
  <c r="N785" i="1"/>
  <c r="N787" i="1"/>
  <c r="N789" i="1"/>
  <c r="N792" i="1"/>
  <c r="N794" i="1"/>
  <c r="N798" i="1"/>
  <c r="N800" i="1"/>
  <c r="N802" i="1"/>
  <c r="N804" i="1"/>
  <c r="N806" i="1"/>
  <c r="N810" i="1"/>
  <c r="N812" i="1"/>
  <c r="N814" i="1"/>
  <c r="M815" i="1"/>
  <c r="AC679" i="1"/>
  <c r="X599" i="1"/>
  <c r="X600" i="1" s="1"/>
  <c r="AC449" i="1"/>
  <c r="AC468" i="1"/>
  <c r="AC655" i="1"/>
  <c r="AC664" i="1"/>
  <c r="AC668" i="1"/>
  <c r="AC672" i="1"/>
  <c r="N663" i="1"/>
  <c r="N667" i="1"/>
  <c r="N671" i="1"/>
  <c r="N675" i="1"/>
  <c r="N679" i="1"/>
  <c r="N683" i="1"/>
  <c r="I686" i="1"/>
  <c r="AC713" i="1"/>
  <c r="N708" i="1"/>
  <c r="N716" i="1"/>
  <c r="N720" i="1"/>
  <c r="N728" i="1"/>
  <c r="AC457" i="1"/>
  <c r="AC737" i="1"/>
  <c r="AC743" i="1"/>
  <c r="AC751" i="1"/>
  <c r="AC755" i="1"/>
  <c r="AC759" i="1"/>
  <c r="AC763" i="1"/>
  <c r="N756" i="1"/>
  <c r="N760" i="1"/>
  <c r="N764" i="1"/>
  <c r="N768" i="1"/>
  <c r="E772" i="1"/>
  <c r="AC682" i="1"/>
  <c r="AC638" i="1"/>
  <c r="I815" i="1"/>
  <c r="AC589" i="1"/>
  <c r="AC577" i="1"/>
  <c r="AC597" i="1"/>
  <c r="AC579" i="1"/>
  <c r="N584" i="1"/>
  <c r="N566" i="1"/>
  <c r="AC588" i="1"/>
  <c r="AC587" i="1"/>
  <c r="AC586" i="1"/>
  <c r="N583" i="1"/>
  <c r="N582" i="1"/>
  <c r="AC596" i="1"/>
  <c r="AC585" i="1"/>
  <c r="N581" i="1"/>
  <c r="N580" i="1"/>
  <c r="N579" i="1"/>
  <c r="N578" i="1"/>
  <c r="AC584" i="1"/>
  <c r="AC598" i="1"/>
  <c r="AC583" i="1"/>
  <c r="N577" i="1"/>
  <c r="AC582" i="1"/>
  <c r="N565" i="1"/>
  <c r="AC581" i="1"/>
  <c r="M600" i="1"/>
  <c r="N576" i="1"/>
  <c r="AC580" i="1"/>
  <c r="N539" i="1"/>
  <c r="N522" i="1"/>
  <c r="AC541" i="1"/>
  <c r="AC641" i="1"/>
  <c r="AC651" i="1"/>
  <c r="AC554" i="1"/>
  <c r="T599" i="1"/>
  <c r="T600" i="1" s="1"/>
  <c r="N536" i="1"/>
  <c r="AC552" i="1"/>
  <c r="AC539" i="1"/>
  <c r="N535" i="1"/>
  <c r="AC553" i="1"/>
  <c r="N534" i="1"/>
  <c r="I557" i="1"/>
  <c r="M557" i="1"/>
  <c r="E557" i="1"/>
  <c r="AC536" i="1"/>
  <c r="AC555" i="1"/>
  <c r="AC534" i="1"/>
  <c r="N506" i="1"/>
  <c r="N505" i="1"/>
  <c r="N503" i="1"/>
  <c r="AC533" i="1"/>
  <c r="AC501" i="1"/>
  <c r="N502" i="1"/>
  <c r="N501" i="1"/>
  <c r="N481" i="1"/>
  <c r="N500" i="1"/>
  <c r="N499" i="1"/>
  <c r="N498" i="1"/>
  <c r="N497" i="1"/>
  <c r="AC681" i="1"/>
  <c r="N480" i="1"/>
  <c r="N496" i="1"/>
  <c r="AC504" i="1"/>
  <c r="AC505" i="1"/>
  <c r="AC508" i="1"/>
  <c r="AC495" i="1"/>
  <c r="AC492" i="1"/>
  <c r="N494" i="1"/>
  <c r="N493" i="1"/>
  <c r="N492" i="1"/>
  <c r="AC609" i="1"/>
  <c r="N491" i="1"/>
  <c r="AC510" i="1"/>
  <c r="M514" i="1"/>
  <c r="N442" i="1"/>
  <c r="N470" i="1"/>
  <c r="AC512" i="1"/>
  <c r="AC513" i="1"/>
  <c r="AC460" i="1"/>
  <c r="N469" i="1"/>
  <c r="N441" i="1"/>
  <c r="N466" i="1"/>
  <c r="AC458" i="1"/>
  <c r="N465" i="1"/>
  <c r="N463" i="1"/>
  <c r="N462" i="1"/>
  <c r="N460" i="1"/>
  <c r="N438" i="1"/>
  <c r="N459" i="1"/>
  <c r="N437" i="1"/>
  <c r="AC482" i="1"/>
  <c r="N456" i="1"/>
  <c r="N454" i="1"/>
  <c r="N452" i="1"/>
  <c r="N424" i="1"/>
  <c r="T509" i="1"/>
  <c r="AC509" i="1" s="1"/>
  <c r="AC511" i="1"/>
  <c r="N451" i="1"/>
  <c r="AC470" i="1"/>
  <c r="N449" i="1"/>
  <c r="AC452" i="1"/>
  <c r="M471" i="1"/>
  <c r="AC451" i="1"/>
  <c r="N436" i="1"/>
  <c r="I471" i="1"/>
  <c r="E471" i="1"/>
  <c r="AC469" i="1"/>
  <c r="N423" i="1"/>
  <c r="N422" i="1"/>
  <c r="N421" i="1"/>
  <c r="N419" i="1"/>
  <c r="AC415" i="1"/>
  <c r="N397" i="1"/>
  <c r="N416" i="1"/>
  <c r="N414" i="1"/>
  <c r="N413" i="1"/>
  <c r="N396" i="1"/>
  <c r="N412" i="1"/>
  <c r="AC414" i="1"/>
  <c r="AC424" i="1"/>
  <c r="AC427" i="1"/>
  <c r="AC413" i="1"/>
  <c r="AC412" i="1"/>
  <c r="N411" i="1"/>
  <c r="AC481" i="1"/>
  <c r="E643" i="1"/>
  <c r="I643" i="1"/>
  <c r="N410" i="1"/>
  <c r="N408" i="1"/>
  <c r="AC410" i="1"/>
  <c r="N407" i="1"/>
  <c r="M428" i="1"/>
  <c r="I428" i="1"/>
  <c r="N405" i="1"/>
  <c r="AC409" i="1"/>
  <c r="N372" i="1"/>
  <c r="E600" i="1"/>
  <c r="I600" i="1"/>
  <c r="AC407" i="1"/>
  <c r="AC406" i="1"/>
  <c r="N371" i="1"/>
  <c r="AC393" i="1"/>
  <c r="N370" i="1"/>
  <c r="N369" i="1"/>
  <c r="AC383" i="1"/>
  <c r="AC426" i="1"/>
  <c r="N368" i="1"/>
  <c r="N352" i="1"/>
  <c r="N367" i="1"/>
  <c r="AC384" i="1"/>
  <c r="N366" i="1"/>
  <c r="AC480" i="1"/>
  <c r="E428" i="1"/>
  <c r="N365" i="1"/>
  <c r="N364" i="1"/>
  <c r="N363" i="1"/>
  <c r="N362" i="1"/>
  <c r="M385" i="1"/>
  <c r="I385" i="1"/>
  <c r="N361" i="1"/>
  <c r="E385" i="1"/>
  <c r="N350" i="1"/>
  <c r="N329" i="1"/>
  <c r="N327" i="1"/>
  <c r="N308" i="1"/>
  <c r="N325" i="1"/>
  <c r="N324" i="1"/>
  <c r="N323" i="1"/>
  <c r="AC338" i="1"/>
  <c r="AC340" i="1"/>
  <c r="N322" i="1"/>
  <c r="I342" i="1"/>
  <c r="N321" i="1"/>
  <c r="N320" i="1"/>
  <c r="N319" i="1"/>
  <c r="AC341" i="1"/>
  <c r="V342" i="1"/>
  <c r="X342" i="1" s="1"/>
  <c r="E514" i="1"/>
  <c r="I514" i="1"/>
  <c r="AC337" i="1"/>
  <c r="R342" i="1"/>
  <c r="T342" i="1" s="1"/>
  <c r="X339" i="1"/>
  <c r="AC339" i="1" s="1"/>
  <c r="AC293" i="1"/>
  <c r="N307" i="1"/>
  <c r="M342" i="1"/>
  <c r="E342" i="1"/>
  <c r="AC353" i="1"/>
  <c r="AC294" i="1"/>
  <c r="AC295" i="1"/>
  <c r="AC297" i="1"/>
  <c r="Z342" i="1"/>
  <c r="AB342" i="1" s="1"/>
  <c r="AC298" i="1"/>
  <c r="AC296" i="1"/>
  <c r="N241" i="1"/>
  <c r="N238" i="1"/>
  <c r="AC234" i="1"/>
  <c r="AC266" i="1"/>
  <c r="AC202" i="1"/>
  <c r="AC180" i="1"/>
  <c r="W168" i="1"/>
  <c r="V168" i="1"/>
  <c r="U168" i="1"/>
  <c r="S168" i="1"/>
  <c r="R168" i="1"/>
  <c r="Q168" i="1"/>
  <c r="AB163" i="1"/>
  <c r="X163" i="1"/>
  <c r="T163" i="1"/>
  <c r="T164" i="1"/>
  <c r="X164" i="1"/>
  <c r="AB164" i="1"/>
  <c r="AB162" i="1"/>
  <c r="X162" i="1"/>
  <c r="T162" i="1"/>
  <c r="AC162" i="1" s="1"/>
  <c r="AB161" i="1"/>
  <c r="X161" i="1"/>
  <c r="T161" i="1"/>
  <c r="AB160" i="1"/>
  <c r="X160" i="1"/>
  <c r="T160" i="1"/>
  <c r="AB159" i="1"/>
  <c r="X159" i="1"/>
  <c r="T159" i="1"/>
  <c r="AB158" i="1"/>
  <c r="X158" i="1"/>
  <c r="T158" i="1"/>
  <c r="AB157" i="1"/>
  <c r="X157" i="1"/>
  <c r="T157" i="1"/>
  <c r="AB156" i="1"/>
  <c r="X156" i="1"/>
  <c r="T156" i="1"/>
  <c r="AB155" i="1"/>
  <c r="X155" i="1"/>
  <c r="T155" i="1"/>
  <c r="AB154" i="1"/>
  <c r="X154" i="1"/>
  <c r="T154" i="1"/>
  <c r="AC154" i="1" s="1"/>
  <c r="AB153" i="1"/>
  <c r="X153" i="1"/>
  <c r="T153" i="1"/>
  <c r="AB152" i="1"/>
  <c r="X152" i="1"/>
  <c r="T152" i="1"/>
  <c r="AB151" i="1"/>
  <c r="X151" i="1"/>
  <c r="T151" i="1"/>
  <c r="AB150" i="1"/>
  <c r="X150" i="1"/>
  <c r="T150" i="1"/>
  <c r="AB149" i="1"/>
  <c r="X149" i="1"/>
  <c r="T149" i="1"/>
  <c r="AB148" i="1"/>
  <c r="X148" i="1"/>
  <c r="T148" i="1"/>
  <c r="AB147" i="1"/>
  <c r="X147" i="1"/>
  <c r="T147" i="1"/>
  <c r="AB146" i="1"/>
  <c r="X146" i="1"/>
  <c r="T146" i="1"/>
  <c r="AC146" i="1" s="1"/>
  <c r="AB119" i="1"/>
  <c r="X119" i="1"/>
  <c r="T119" i="1"/>
  <c r="AB118" i="1"/>
  <c r="X118" i="1"/>
  <c r="T118" i="1"/>
  <c r="AB117" i="1"/>
  <c r="X117" i="1"/>
  <c r="T117" i="1"/>
  <c r="AB116" i="1"/>
  <c r="X116" i="1"/>
  <c r="T116" i="1"/>
  <c r="AB115" i="1"/>
  <c r="X115" i="1"/>
  <c r="T115" i="1"/>
  <c r="AB114" i="1"/>
  <c r="X114" i="1"/>
  <c r="T114" i="1"/>
  <c r="AB113" i="1"/>
  <c r="X113" i="1"/>
  <c r="T113" i="1"/>
  <c r="AB112" i="1"/>
  <c r="X112" i="1"/>
  <c r="T112" i="1"/>
  <c r="AC112" i="1" s="1"/>
  <c r="AB111" i="1"/>
  <c r="X111" i="1"/>
  <c r="T111" i="1"/>
  <c r="AB110" i="1"/>
  <c r="X110" i="1"/>
  <c r="T110" i="1"/>
  <c r="AB109" i="1"/>
  <c r="X109" i="1"/>
  <c r="T109" i="1"/>
  <c r="AB108" i="1"/>
  <c r="X108" i="1"/>
  <c r="T108" i="1"/>
  <c r="AB107" i="1"/>
  <c r="X107" i="1"/>
  <c r="T107" i="1"/>
  <c r="AB106" i="1"/>
  <c r="X106" i="1"/>
  <c r="T106" i="1"/>
  <c r="AB105" i="1"/>
  <c r="X105" i="1"/>
  <c r="T105" i="1"/>
  <c r="AB104" i="1"/>
  <c r="X104" i="1"/>
  <c r="T104" i="1"/>
  <c r="AC104" i="1" s="1"/>
  <c r="AB103" i="1"/>
  <c r="X103" i="1"/>
  <c r="T103" i="1"/>
  <c r="AB75" i="1"/>
  <c r="X75" i="1"/>
  <c r="T75" i="1"/>
  <c r="AB74" i="1"/>
  <c r="X74" i="1"/>
  <c r="T74" i="1"/>
  <c r="AB73" i="1"/>
  <c r="X73" i="1"/>
  <c r="T73" i="1"/>
  <c r="T208" i="1"/>
  <c r="X208" i="1"/>
  <c r="AB208" i="1"/>
  <c r="AA213" i="1"/>
  <c r="AB209" i="1"/>
  <c r="X209" i="1"/>
  <c r="R213" i="1"/>
  <c r="T209" i="1"/>
  <c r="AB167" i="1"/>
  <c r="X167" i="1"/>
  <c r="T167" i="1"/>
  <c r="T166" i="1"/>
  <c r="X166" i="1"/>
  <c r="AB166" i="1"/>
  <c r="AB210" i="1"/>
  <c r="X210" i="1"/>
  <c r="T210" i="1"/>
  <c r="T137" i="1"/>
  <c r="X137" i="1"/>
  <c r="AB137" i="1"/>
  <c r="AB168" i="1"/>
  <c r="T169" i="1"/>
  <c r="X169" i="1"/>
  <c r="AB169" i="1"/>
  <c r="AB212" i="1"/>
  <c r="X212" i="1"/>
  <c r="T212" i="1"/>
  <c r="AB211" i="1"/>
  <c r="AC211" i="1" s="1"/>
  <c r="AB181" i="1"/>
  <c r="AC181" i="1" s="1"/>
  <c r="T206" i="1"/>
  <c r="X206" i="1"/>
  <c r="AB206" i="1"/>
  <c r="T207" i="1"/>
  <c r="X207" i="1"/>
  <c r="AB207" i="1"/>
  <c r="AA299" i="1"/>
  <c r="Z299" i="1"/>
  <c r="Y299" i="1"/>
  <c r="W299" i="1"/>
  <c r="V299" i="1"/>
  <c r="U299" i="1"/>
  <c r="S299" i="1"/>
  <c r="R299" i="1"/>
  <c r="Q299" i="1"/>
  <c r="L299" i="1"/>
  <c r="K299" i="1"/>
  <c r="J299" i="1"/>
  <c r="H299" i="1"/>
  <c r="G299" i="1"/>
  <c r="F299" i="1"/>
  <c r="D299" i="1"/>
  <c r="C299" i="1"/>
  <c r="B299" i="1"/>
  <c r="M298" i="1"/>
  <c r="I298" i="1"/>
  <c r="E298" i="1"/>
  <c r="M297" i="1"/>
  <c r="I297" i="1"/>
  <c r="E297" i="1"/>
  <c r="M296" i="1"/>
  <c r="I296" i="1"/>
  <c r="E296" i="1"/>
  <c r="N296" i="1" s="1"/>
  <c r="M295" i="1"/>
  <c r="I295" i="1"/>
  <c r="E295" i="1"/>
  <c r="M294" i="1"/>
  <c r="I294" i="1"/>
  <c r="E294" i="1"/>
  <c r="M293" i="1"/>
  <c r="I293" i="1"/>
  <c r="E293" i="1"/>
  <c r="M292" i="1"/>
  <c r="I292" i="1"/>
  <c r="E292" i="1"/>
  <c r="M291" i="1"/>
  <c r="I291" i="1"/>
  <c r="E291" i="1"/>
  <c r="M290" i="1"/>
  <c r="I290" i="1"/>
  <c r="E290" i="1"/>
  <c r="M289" i="1"/>
  <c r="I289" i="1"/>
  <c r="E289" i="1"/>
  <c r="M288" i="1"/>
  <c r="I288" i="1"/>
  <c r="E288" i="1"/>
  <c r="M287" i="1"/>
  <c r="I287" i="1"/>
  <c r="E287" i="1"/>
  <c r="M286" i="1"/>
  <c r="I286" i="1"/>
  <c r="E286" i="1"/>
  <c r="M285" i="1"/>
  <c r="I285" i="1"/>
  <c r="E285" i="1"/>
  <c r="M284" i="1"/>
  <c r="I284" i="1"/>
  <c r="E284" i="1"/>
  <c r="M283" i="1"/>
  <c r="I283" i="1"/>
  <c r="E283" i="1"/>
  <c r="M282" i="1"/>
  <c r="I282" i="1"/>
  <c r="E282" i="1"/>
  <c r="M281" i="1"/>
  <c r="I281" i="1"/>
  <c r="E281" i="1"/>
  <c r="M280" i="1"/>
  <c r="I280" i="1"/>
  <c r="E280" i="1"/>
  <c r="M279" i="1"/>
  <c r="I279" i="1"/>
  <c r="E279" i="1"/>
  <c r="M278" i="1"/>
  <c r="I278" i="1"/>
  <c r="E278" i="1"/>
  <c r="M277" i="1"/>
  <c r="I277" i="1"/>
  <c r="E277" i="1"/>
  <c r="M276" i="1"/>
  <c r="I276" i="1"/>
  <c r="E276" i="1"/>
  <c r="M275" i="1"/>
  <c r="I275" i="1"/>
  <c r="E275" i="1"/>
  <c r="AB273" i="1"/>
  <c r="X273" i="1"/>
  <c r="T273" i="1"/>
  <c r="M273" i="1"/>
  <c r="I273" i="1"/>
  <c r="E273" i="1"/>
  <c r="AB272" i="1"/>
  <c r="X272" i="1"/>
  <c r="T272" i="1"/>
  <c r="AC272" i="1" s="1"/>
  <c r="M272" i="1"/>
  <c r="I272" i="1"/>
  <c r="E272" i="1"/>
  <c r="AB271" i="1"/>
  <c r="X271" i="1"/>
  <c r="T271" i="1"/>
  <c r="M271" i="1"/>
  <c r="I271" i="1"/>
  <c r="E271" i="1"/>
  <c r="AB270" i="1"/>
  <c r="X270" i="1"/>
  <c r="T270" i="1"/>
  <c r="M270" i="1"/>
  <c r="I270" i="1"/>
  <c r="E270" i="1"/>
  <c r="M269" i="1"/>
  <c r="I269" i="1"/>
  <c r="E269" i="1"/>
  <c r="M268" i="1"/>
  <c r="I268" i="1"/>
  <c r="E268" i="1"/>
  <c r="AB267" i="1"/>
  <c r="X267" i="1"/>
  <c r="T267" i="1"/>
  <c r="M267" i="1"/>
  <c r="I267" i="1"/>
  <c r="E267" i="1"/>
  <c r="M266" i="1"/>
  <c r="I266" i="1"/>
  <c r="E266" i="1"/>
  <c r="AB265" i="1"/>
  <c r="X265" i="1"/>
  <c r="AC265" i="1" s="1"/>
  <c r="T265" i="1"/>
  <c r="M265" i="1"/>
  <c r="I265" i="1"/>
  <c r="E265" i="1"/>
  <c r="AB264" i="1"/>
  <c r="X264" i="1"/>
  <c r="T264" i="1"/>
  <c r="M264" i="1"/>
  <c r="I264" i="1"/>
  <c r="E264" i="1"/>
  <c r="M136" i="1"/>
  <c r="I136" i="1"/>
  <c r="E136" i="1"/>
  <c r="T120" i="1"/>
  <c r="X120" i="1"/>
  <c r="AB120" i="1"/>
  <c r="T139" i="1"/>
  <c r="X139" i="1"/>
  <c r="AB139" i="1"/>
  <c r="AB126" i="1"/>
  <c r="E135" i="1"/>
  <c r="I135" i="1"/>
  <c r="M135" i="1"/>
  <c r="E118" i="1"/>
  <c r="I118" i="1"/>
  <c r="M118" i="1"/>
  <c r="M146" i="1"/>
  <c r="I146" i="1"/>
  <c r="E146" i="1"/>
  <c r="AA256" i="1"/>
  <c r="Z256" i="1"/>
  <c r="Y256" i="1"/>
  <c r="W256" i="1"/>
  <c r="V256" i="1"/>
  <c r="U256" i="1"/>
  <c r="S256" i="1"/>
  <c r="R256" i="1"/>
  <c r="Q256" i="1"/>
  <c r="L256" i="1"/>
  <c r="K256" i="1"/>
  <c r="J256" i="1"/>
  <c r="H256" i="1"/>
  <c r="G256" i="1"/>
  <c r="F256" i="1"/>
  <c r="D256" i="1"/>
  <c r="C256" i="1"/>
  <c r="B256" i="1"/>
  <c r="M255" i="1"/>
  <c r="I255" i="1"/>
  <c r="E255" i="1"/>
  <c r="M254" i="1"/>
  <c r="I254" i="1"/>
  <c r="E254" i="1"/>
  <c r="M253" i="1"/>
  <c r="I253" i="1"/>
  <c r="E253" i="1"/>
  <c r="M252" i="1"/>
  <c r="I252" i="1"/>
  <c r="E252" i="1"/>
  <c r="M251" i="1"/>
  <c r="I251" i="1"/>
  <c r="E251" i="1"/>
  <c r="M250" i="1"/>
  <c r="I250" i="1"/>
  <c r="E250" i="1"/>
  <c r="M249" i="1"/>
  <c r="I249" i="1"/>
  <c r="E249" i="1"/>
  <c r="M248" i="1"/>
  <c r="I248" i="1"/>
  <c r="E248" i="1"/>
  <c r="M246" i="1"/>
  <c r="I246" i="1"/>
  <c r="E246" i="1"/>
  <c r="AB245" i="1"/>
  <c r="X245" i="1"/>
  <c r="T245" i="1"/>
  <c r="M245" i="1"/>
  <c r="I245" i="1"/>
  <c r="E245" i="1"/>
  <c r="AB244" i="1"/>
  <c r="X244" i="1"/>
  <c r="T244" i="1"/>
  <c r="M244" i="1"/>
  <c r="I244" i="1"/>
  <c r="E244" i="1"/>
  <c r="AB243" i="1"/>
  <c r="X243" i="1"/>
  <c r="T243" i="1"/>
  <c r="M243" i="1"/>
  <c r="I243" i="1"/>
  <c r="E243" i="1"/>
  <c r="M242" i="1"/>
  <c r="I242" i="1"/>
  <c r="E242" i="1"/>
  <c r="AB241" i="1"/>
  <c r="X241" i="1"/>
  <c r="T241" i="1"/>
  <c r="M240" i="1"/>
  <c r="I240" i="1"/>
  <c r="E240" i="1"/>
  <c r="AB239" i="1"/>
  <c r="X239" i="1"/>
  <c r="T239" i="1"/>
  <c r="AB238" i="1"/>
  <c r="X238" i="1"/>
  <c r="T238" i="1"/>
  <c r="AB236" i="1"/>
  <c r="X236" i="1"/>
  <c r="T236" i="1"/>
  <c r="AB235" i="1"/>
  <c r="X235" i="1"/>
  <c r="T235" i="1"/>
  <c r="M234" i="1"/>
  <c r="I234" i="1"/>
  <c r="E234" i="1"/>
  <c r="M233" i="1"/>
  <c r="I233" i="1"/>
  <c r="E233" i="1"/>
  <c r="AB232" i="1"/>
  <c r="X232" i="1"/>
  <c r="T232" i="1"/>
  <c r="M232" i="1"/>
  <c r="I232" i="1"/>
  <c r="E232" i="1"/>
  <c r="AB230" i="1"/>
  <c r="X230" i="1"/>
  <c r="T230" i="1"/>
  <c r="M230" i="1"/>
  <c r="I230" i="1"/>
  <c r="E230" i="1"/>
  <c r="AB229" i="1"/>
  <c r="X229" i="1"/>
  <c r="T229" i="1"/>
  <c r="M229" i="1"/>
  <c r="I229" i="1"/>
  <c r="E229" i="1"/>
  <c r="AB228" i="1"/>
  <c r="X228" i="1"/>
  <c r="T228" i="1"/>
  <c r="M228" i="1"/>
  <c r="I228" i="1"/>
  <c r="E228" i="1"/>
  <c r="AB227" i="1"/>
  <c r="X227" i="1"/>
  <c r="T227" i="1"/>
  <c r="M227" i="1"/>
  <c r="I227" i="1"/>
  <c r="E227" i="1"/>
  <c r="AB226" i="1"/>
  <c r="X226" i="1"/>
  <c r="T226" i="1"/>
  <c r="M226" i="1"/>
  <c r="I226" i="1"/>
  <c r="E226" i="1"/>
  <c r="AB225" i="1"/>
  <c r="X225" i="1"/>
  <c r="T225" i="1"/>
  <c r="M225" i="1"/>
  <c r="I225" i="1"/>
  <c r="E225" i="1"/>
  <c r="AB224" i="1"/>
  <c r="X224" i="1"/>
  <c r="T224" i="1"/>
  <c r="M224" i="1"/>
  <c r="I224" i="1"/>
  <c r="E224" i="1"/>
  <c r="M223" i="1"/>
  <c r="I223" i="1"/>
  <c r="E223" i="1"/>
  <c r="AB222" i="1"/>
  <c r="X222" i="1"/>
  <c r="T222" i="1"/>
  <c r="M222" i="1"/>
  <c r="I222" i="1"/>
  <c r="E222" i="1"/>
  <c r="AB221" i="1"/>
  <c r="X221" i="1"/>
  <c r="T221" i="1"/>
  <c r="M221" i="1"/>
  <c r="I221" i="1"/>
  <c r="E221" i="1"/>
  <c r="T121" i="1"/>
  <c r="X121" i="1"/>
  <c r="AB121" i="1"/>
  <c r="T122" i="1"/>
  <c r="X122" i="1"/>
  <c r="AB122" i="1"/>
  <c r="T123" i="1"/>
  <c r="X123" i="1"/>
  <c r="AB123" i="1"/>
  <c r="X124" i="1"/>
  <c r="AB124" i="1"/>
  <c r="T125" i="1"/>
  <c r="X125" i="1"/>
  <c r="AB125" i="1"/>
  <c r="T126" i="1"/>
  <c r="X126" i="1"/>
  <c r="M117" i="1"/>
  <c r="I117" i="1"/>
  <c r="E117" i="1"/>
  <c r="M116" i="1"/>
  <c r="I116" i="1"/>
  <c r="E116" i="1"/>
  <c r="M115" i="1"/>
  <c r="I115" i="1"/>
  <c r="E115" i="1"/>
  <c r="M114" i="1"/>
  <c r="I114" i="1"/>
  <c r="E114" i="1"/>
  <c r="M113" i="1"/>
  <c r="I113" i="1"/>
  <c r="E113" i="1"/>
  <c r="Y213" i="1"/>
  <c r="W213" i="1"/>
  <c r="U213" i="1"/>
  <c r="Q213" i="1"/>
  <c r="L213" i="1"/>
  <c r="K213" i="1"/>
  <c r="J213" i="1"/>
  <c r="H213" i="1"/>
  <c r="G213" i="1"/>
  <c r="F213" i="1"/>
  <c r="D213" i="1"/>
  <c r="C213" i="1"/>
  <c r="B213" i="1"/>
  <c r="M212" i="1"/>
  <c r="I212" i="1"/>
  <c r="E212" i="1"/>
  <c r="M211" i="1"/>
  <c r="I211" i="1"/>
  <c r="E211" i="1"/>
  <c r="M210" i="1"/>
  <c r="I210" i="1"/>
  <c r="E210" i="1"/>
  <c r="M209" i="1"/>
  <c r="I209" i="1"/>
  <c r="E209" i="1"/>
  <c r="M208" i="1"/>
  <c r="I208" i="1"/>
  <c r="E208" i="1"/>
  <c r="M207" i="1"/>
  <c r="I207" i="1"/>
  <c r="E207" i="1"/>
  <c r="M206" i="1"/>
  <c r="I206" i="1"/>
  <c r="E206" i="1"/>
  <c r="M205" i="1"/>
  <c r="I205" i="1"/>
  <c r="E205" i="1"/>
  <c r="AB204" i="1"/>
  <c r="X204" i="1"/>
  <c r="T204" i="1"/>
  <c r="M204" i="1"/>
  <c r="I204" i="1"/>
  <c r="E204" i="1"/>
  <c r="AB203" i="1"/>
  <c r="X203" i="1"/>
  <c r="T203" i="1"/>
  <c r="M203" i="1"/>
  <c r="I203" i="1"/>
  <c r="E203" i="1"/>
  <c r="M202" i="1"/>
  <c r="I202" i="1"/>
  <c r="E202" i="1"/>
  <c r="M201" i="1"/>
  <c r="I201" i="1"/>
  <c r="E201" i="1"/>
  <c r="AB200" i="1"/>
  <c r="X200" i="1"/>
  <c r="T200" i="1"/>
  <c r="M200" i="1"/>
  <c r="I200" i="1"/>
  <c r="E200" i="1"/>
  <c r="AB199" i="1"/>
  <c r="X199" i="1"/>
  <c r="T199" i="1"/>
  <c r="M199" i="1"/>
  <c r="I199" i="1"/>
  <c r="E199" i="1"/>
  <c r="AB198" i="1"/>
  <c r="X198" i="1"/>
  <c r="T198" i="1"/>
  <c r="M198" i="1"/>
  <c r="I198" i="1"/>
  <c r="E198" i="1"/>
  <c r="AB197" i="1"/>
  <c r="X197" i="1"/>
  <c r="T197" i="1"/>
  <c r="M197" i="1"/>
  <c r="I197" i="1"/>
  <c r="E197" i="1"/>
  <c r="AB196" i="1"/>
  <c r="X196" i="1"/>
  <c r="T196" i="1"/>
  <c r="M196" i="1"/>
  <c r="I196" i="1"/>
  <c r="E196" i="1"/>
  <c r="AB195" i="1"/>
  <c r="X195" i="1"/>
  <c r="T195" i="1"/>
  <c r="M195" i="1"/>
  <c r="I195" i="1"/>
  <c r="E195" i="1"/>
  <c r="AB194" i="1"/>
  <c r="X194" i="1"/>
  <c r="T194" i="1"/>
  <c r="M194" i="1"/>
  <c r="I194" i="1"/>
  <c r="E194" i="1"/>
  <c r="M193" i="1"/>
  <c r="I193" i="1"/>
  <c r="E193" i="1"/>
  <c r="AB192" i="1"/>
  <c r="X192" i="1"/>
  <c r="T192" i="1"/>
  <c r="M192" i="1"/>
  <c r="I192" i="1"/>
  <c r="E192" i="1"/>
  <c r="AB191" i="1"/>
  <c r="X191" i="1"/>
  <c r="T191" i="1"/>
  <c r="M191" i="1"/>
  <c r="I191" i="1"/>
  <c r="E191" i="1"/>
  <c r="AB190" i="1"/>
  <c r="X190" i="1"/>
  <c r="T190" i="1"/>
  <c r="M190" i="1"/>
  <c r="I190" i="1"/>
  <c r="E190" i="1"/>
  <c r="M189" i="1"/>
  <c r="I189" i="1"/>
  <c r="E189" i="1"/>
  <c r="AB187" i="1"/>
  <c r="X187" i="1"/>
  <c r="T187" i="1"/>
  <c r="M187" i="1"/>
  <c r="I187" i="1"/>
  <c r="E187" i="1"/>
  <c r="AB186" i="1"/>
  <c r="X186" i="1"/>
  <c r="T186" i="1"/>
  <c r="M186" i="1"/>
  <c r="I186" i="1"/>
  <c r="E186" i="1"/>
  <c r="AB185" i="1"/>
  <c r="X185" i="1"/>
  <c r="T185" i="1"/>
  <c r="M185" i="1"/>
  <c r="I185" i="1"/>
  <c r="E185" i="1"/>
  <c r="AB184" i="1"/>
  <c r="X184" i="1"/>
  <c r="T184" i="1"/>
  <c r="M184" i="1"/>
  <c r="I184" i="1"/>
  <c r="E184" i="1"/>
  <c r="AB183" i="1"/>
  <c r="AC183" i="1" s="1"/>
  <c r="M183" i="1"/>
  <c r="I183" i="1"/>
  <c r="E183" i="1"/>
  <c r="AB182" i="1"/>
  <c r="AC182" i="1" s="1"/>
  <c r="M182" i="1"/>
  <c r="I182" i="1"/>
  <c r="E182" i="1"/>
  <c r="M181" i="1"/>
  <c r="I181" i="1"/>
  <c r="E181" i="1"/>
  <c r="M180" i="1"/>
  <c r="I180" i="1"/>
  <c r="E180" i="1"/>
  <c r="AB179" i="1"/>
  <c r="AC179" i="1" s="1"/>
  <c r="M179" i="1"/>
  <c r="I179" i="1"/>
  <c r="E179" i="1"/>
  <c r="AB178" i="1"/>
  <c r="M178" i="1"/>
  <c r="I178" i="1"/>
  <c r="E178" i="1"/>
  <c r="AB70" i="1"/>
  <c r="X70" i="1"/>
  <c r="T70" i="1"/>
  <c r="AB65" i="1"/>
  <c r="X65" i="1"/>
  <c r="T65" i="1"/>
  <c r="K67" i="1"/>
  <c r="G67" i="1"/>
  <c r="C67" i="1"/>
  <c r="N1976" i="1" l="1"/>
  <c r="N385" i="4"/>
  <c r="X1976" i="1"/>
  <c r="N2277" i="1"/>
  <c r="AC2148" i="1"/>
  <c r="N1933" i="1"/>
  <c r="X1890" i="1"/>
  <c r="AC557" i="4"/>
  <c r="AA515" i="4"/>
  <c r="AA521" i="4" s="1"/>
  <c r="AA532" i="4" s="1"/>
  <c r="AA558" i="4" s="1"/>
  <c r="AA564" i="4" s="1"/>
  <c r="AA575" i="4" s="1"/>
  <c r="AA601" i="4" s="1"/>
  <c r="AC511" i="4"/>
  <c r="AC2105" i="1"/>
  <c r="AC2062" i="1"/>
  <c r="AB2062" i="1"/>
  <c r="AC1890" i="1"/>
  <c r="N1847" i="1"/>
  <c r="N342" i="4"/>
  <c r="AC2019" i="1"/>
  <c r="AC1933" i="1"/>
  <c r="AC1976" i="1"/>
  <c r="N299" i="4"/>
  <c r="AC471" i="4"/>
  <c r="AC514" i="4"/>
  <c r="N170" i="4"/>
  <c r="T258" i="4"/>
  <c r="R259" i="4" s="1"/>
  <c r="U258" i="4"/>
  <c r="Q258" i="4"/>
  <c r="X256" i="4"/>
  <c r="V258" i="4"/>
  <c r="Z42" i="4"/>
  <c r="Z48" i="4" s="1"/>
  <c r="Z59" i="4" s="1"/>
  <c r="Y258" i="4"/>
  <c r="AB213" i="4"/>
  <c r="Z258" i="4"/>
  <c r="N84" i="4"/>
  <c r="N1804" i="1"/>
  <c r="X1721" i="1"/>
  <c r="V1721" i="1"/>
  <c r="W1721" i="1"/>
  <c r="U1721" i="1"/>
  <c r="T1721" i="1"/>
  <c r="R1721" i="1"/>
  <c r="S1721" i="1"/>
  <c r="Q1721" i="1"/>
  <c r="S259" i="4"/>
  <c r="T259" i="4"/>
  <c r="Q259" i="4"/>
  <c r="N1761" i="1"/>
  <c r="AC428" i="4"/>
  <c r="N256" i="4"/>
  <c r="AC385" i="4"/>
  <c r="AB1675" i="1"/>
  <c r="V257" i="4"/>
  <c r="V263" i="4" s="1"/>
  <c r="V274" i="4" s="1"/>
  <c r="V300" i="4" s="1"/>
  <c r="V306" i="4" s="1"/>
  <c r="V317" i="4" s="1"/>
  <c r="V343" i="4" s="1"/>
  <c r="V349" i="4" s="1"/>
  <c r="V360" i="4" s="1"/>
  <c r="V386" i="4" s="1"/>
  <c r="V392" i="4" s="1"/>
  <c r="V403" i="4" s="1"/>
  <c r="V429" i="4" s="1"/>
  <c r="V435" i="4" s="1"/>
  <c r="V446" i="4" s="1"/>
  <c r="V472" i="4" s="1"/>
  <c r="V478" i="4" s="1"/>
  <c r="V489" i="4" s="1"/>
  <c r="V515" i="4" s="1"/>
  <c r="V521" i="4" s="1"/>
  <c r="V532" i="4" s="1"/>
  <c r="V558" i="4" s="1"/>
  <c r="V564" i="4" s="1"/>
  <c r="V575" i="4" s="1"/>
  <c r="V601" i="4" s="1"/>
  <c r="AC1670" i="1"/>
  <c r="AC1675" i="1" s="1"/>
  <c r="AB1718" i="1"/>
  <c r="AB1720" i="1" s="1"/>
  <c r="AC1718" i="1"/>
  <c r="AC1720" i="1" s="1"/>
  <c r="N1675" i="1"/>
  <c r="AC1761" i="1"/>
  <c r="T1589" i="1"/>
  <c r="N118" i="1"/>
  <c r="AC686" i="1"/>
  <c r="AC729" i="1"/>
  <c r="AC1159" i="1"/>
  <c r="T858" i="1"/>
  <c r="T514" i="1"/>
  <c r="AC208" i="1"/>
  <c r="T168" i="1"/>
  <c r="AC557" i="1"/>
  <c r="AC471" i="1"/>
  <c r="AC643" i="1"/>
  <c r="AC428" i="1"/>
  <c r="AC514" i="1"/>
  <c r="AC385" i="1"/>
  <c r="AC815" i="1"/>
  <c r="AC1073" i="1"/>
  <c r="AC987" i="1"/>
  <c r="AC1030" i="1"/>
  <c r="AC772" i="1"/>
  <c r="N1890" i="1"/>
  <c r="N1718" i="1"/>
  <c r="X858" i="1"/>
  <c r="AB686" i="1"/>
  <c r="AC858" i="1"/>
  <c r="AC1847" i="1"/>
  <c r="N213" i="4"/>
  <c r="W214" i="4"/>
  <c r="W220" i="4" s="1"/>
  <c r="W231" i="4" s="1"/>
  <c r="W257" i="4" s="1"/>
  <c r="W263" i="4" s="1"/>
  <c r="W274" i="4" s="1"/>
  <c r="W300" i="4" s="1"/>
  <c r="W306" i="4" s="1"/>
  <c r="W317" i="4" s="1"/>
  <c r="W343" i="4" s="1"/>
  <c r="W349" i="4" s="1"/>
  <c r="W360" i="4" s="1"/>
  <c r="W386" i="4" s="1"/>
  <c r="W392" i="4" s="1"/>
  <c r="W403" i="4" s="1"/>
  <c r="W429" i="4" s="1"/>
  <c r="W435" i="4" s="1"/>
  <c r="W446" i="4" s="1"/>
  <c r="W472" i="4" s="1"/>
  <c r="W478" i="4" s="1"/>
  <c r="W489" i="4" s="1"/>
  <c r="W515" i="4" s="1"/>
  <c r="W521" i="4" s="1"/>
  <c r="W532" i="4" s="1"/>
  <c r="W558" i="4" s="1"/>
  <c r="W564" i="4" s="1"/>
  <c r="W575" i="4" s="1"/>
  <c r="W601" i="4" s="1"/>
  <c r="AC342" i="4"/>
  <c r="AC1804" i="1"/>
  <c r="X213" i="4"/>
  <c r="N1632" i="1"/>
  <c r="N1589" i="1"/>
  <c r="N1546" i="1"/>
  <c r="N127" i="4"/>
  <c r="N1503" i="1"/>
  <c r="AC299" i="4"/>
  <c r="Z85" i="4"/>
  <c r="Z91" i="4" s="1"/>
  <c r="Z102" i="4" s="1"/>
  <c r="Z128" i="4" s="1"/>
  <c r="Z134" i="4" s="1"/>
  <c r="Z145" i="4" s="1"/>
  <c r="Z171" i="4" s="1"/>
  <c r="Z177" i="4" s="1"/>
  <c r="Z188" i="4" s="1"/>
  <c r="Z214" i="4" s="1"/>
  <c r="Z220" i="4" s="1"/>
  <c r="Z231" i="4" s="1"/>
  <c r="Z257" i="4" s="1"/>
  <c r="Z263" i="4" s="1"/>
  <c r="Z274" i="4" s="1"/>
  <c r="Z300" i="4" s="1"/>
  <c r="Z306" i="4" s="1"/>
  <c r="Z317" i="4" s="1"/>
  <c r="Z343" i="4" s="1"/>
  <c r="Z349" i="4" s="1"/>
  <c r="Z360" i="4" s="1"/>
  <c r="AB84" i="4"/>
  <c r="AC84" i="4" s="1"/>
  <c r="AC1589" i="1"/>
  <c r="N1460" i="1"/>
  <c r="L300" i="4"/>
  <c r="L306" i="4" s="1"/>
  <c r="L317" i="4" s="1"/>
  <c r="L343" i="4" s="1"/>
  <c r="L349" i="4" s="1"/>
  <c r="L360" i="4" s="1"/>
  <c r="L386" i="4" s="1"/>
  <c r="L392" i="4" s="1"/>
  <c r="L403" i="4" s="1"/>
  <c r="L429" i="4" s="1"/>
  <c r="L435" i="4" s="1"/>
  <c r="L446" i="4" s="1"/>
  <c r="AC1503" i="1"/>
  <c r="AC256" i="4"/>
  <c r="U42" i="4"/>
  <c r="U48" i="4" s="1"/>
  <c r="U59" i="4" s="1"/>
  <c r="U85" i="4" s="1"/>
  <c r="U91" i="4" s="1"/>
  <c r="U102" i="4" s="1"/>
  <c r="U128" i="4" s="1"/>
  <c r="U134" i="4" s="1"/>
  <c r="U145" i="4" s="1"/>
  <c r="AC1632" i="1"/>
  <c r="N1417" i="1"/>
  <c r="AC1546" i="1"/>
  <c r="AC1460" i="1"/>
  <c r="AC1287" i="1"/>
  <c r="N1374" i="1"/>
  <c r="Y85" i="4"/>
  <c r="Y91" i="4" s="1"/>
  <c r="Y102" i="4" s="1"/>
  <c r="Y128" i="4" s="1"/>
  <c r="Y134" i="4" s="1"/>
  <c r="Y145" i="4" s="1"/>
  <c r="X1331" i="1"/>
  <c r="AC127" i="4"/>
  <c r="AC170" i="4"/>
  <c r="AC1417" i="1"/>
  <c r="AB1331" i="1"/>
  <c r="N1331" i="1"/>
  <c r="AC1331" i="1"/>
  <c r="N1288" i="1"/>
  <c r="AC1244" i="1"/>
  <c r="AC1245" i="1" s="1"/>
  <c r="T1245" i="1"/>
  <c r="I42" i="4"/>
  <c r="I48" i="4" s="1"/>
  <c r="N1245" i="1"/>
  <c r="AC1288" i="1"/>
  <c r="AC1202" i="1"/>
  <c r="AC1374" i="1"/>
  <c r="N1202" i="1"/>
  <c r="M42" i="4"/>
  <c r="M48" i="4" s="1"/>
  <c r="N41" i="4"/>
  <c r="N1159" i="1"/>
  <c r="N270" i="1"/>
  <c r="AC73" i="1"/>
  <c r="AC108" i="1"/>
  <c r="AC116" i="1"/>
  <c r="AC150" i="1"/>
  <c r="AC158" i="1"/>
  <c r="N229" i="1"/>
  <c r="AC235" i="1"/>
  <c r="N250" i="1"/>
  <c r="AC222" i="1"/>
  <c r="N227" i="1"/>
  <c r="N232" i="1"/>
  <c r="N240" i="1"/>
  <c r="N146" i="1"/>
  <c r="AC166" i="1"/>
  <c r="N268" i="1"/>
  <c r="N276" i="1"/>
  <c r="AC264" i="1"/>
  <c r="X168" i="1"/>
  <c r="AC599" i="1"/>
  <c r="AC600" i="1" s="1"/>
  <c r="N1116" i="1"/>
  <c r="AB42" i="4"/>
  <c r="AB48" i="4" s="1"/>
  <c r="AB59" i="4"/>
  <c r="AC41" i="4"/>
  <c r="X42" i="4"/>
  <c r="X48" i="4" s="1"/>
  <c r="N1073" i="1"/>
  <c r="T59" i="4"/>
  <c r="T85" i="4" s="1"/>
  <c r="Q85" i="4"/>
  <c r="Q91" i="4" s="1"/>
  <c r="Q102" i="4" s="1"/>
  <c r="T102" i="4" s="1"/>
  <c r="T42" i="4"/>
  <c r="B128" i="4"/>
  <c r="B134" i="4" s="1"/>
  <c r="B145" i="4" s="1"/>
  <c r="B171" i="4" s="1"/>
  <c r="B177" i="4" s="1"/>
  <c r="B188" i="4" s="1"/>
  <c r="AC16" i="4"/>
  <c r="C85" i="4"/>
  <c r="C91" i="4" s="1"/>
  <c r="C102" i="4" s="1"/>
  <c r="C128" i="4" s="1"/>
  <c r="C134" i="4" s="1"/>
  <c r="C145" i="4" s="1"/>
  <c r="M59" i="4"/>
  <c r="M85" i="4" s="1"/>
  <c r="M91" i="4" s="1"/>
  <c r="J85" i="4"/>
  <c r="J91" i="4" s="1"/>
  <c r="J102" i="4" s="1"/>
  <c r="I59" i="4"/>
  <c r="I85" i="4" s="1"/>
  <c r="I91" i="4" s="1"/>
  <c r="N16" i="4"/>
  <c r="E42" i="4"/>
  <c r="E59" i="4"/>
  <c r="F128" i="4"/>
  <c r="F134" i="4" s="1"/>
  <c r="F145" i="4" s="1"/>
  <c r="F171" i="4" s="1"/>
  <c r="F177" i="4" s="1"/>
  <c r="F188" i="4" s="1"/>
  <c r="I102" i="4"/>
  <c r="I128" i="4" s="1"/>
  <c r="I134" i="4" s="1"/>
  <c r="N1030" i="1"/>
  <c r="N987" i="1"/>
  <c r="N944" i="1"/>
  <c r="AC899" i="1"/>
  <c r="AC901" i="1" s="1"/>
  <c r="N858" i="1"/>
  <c r="N815" i="1"/>
  <c r="AC186" i="1"/>
  <c r="AC139" i="1"/>
  <c r="AC207" i="1"/>
  <c r="AC120" i="1"/>
  <c r="AC206" i="1"/>
  <c r="AC184" i="1"/>
  <c r="N193" i="1"/>
  <c r="AC195" i="1"/>
  <c r="AC197" i="1"/>
  <c r="N212" i="1"/>
  <c r="AC122" i="1"/>
  <c r="N255" i="1"/>
  <c r="AC169" i="1"/>
  <c r="AC137" i="1"/>
  <c r="N901" i="1"/>
  <c r="N729" i="1"/>
  <c r="N686" i="1"/>
  <c r="N178" i="1"/>
  <c r="N185" i="1"/>
  <c r="N187" i="1"/>
  <c r="AC190" i="1"/>
  <c r="N201" i="1"/>
  <c r="N211" i="1"/>
  <c r="AC224" i="1"/>
  <c r="AC226" i="1"/>
  <c r="AC228" i="1"/>
  <c r="AC230" i="1"/>
  <c r="AC267" i="1"/>
  <c r="N272" i="1"/>
  <c r="N275" i="1"/>
  <c r="N291" i="1"/>
  <c r="N295" i="1"/>
  <c r="AC103" i="1"/>
  <c r="AC107" i="1"/>
  <c r="AC111" i="1"/>
  <c r="AC115" i="1"/>
  <c r="AC119" i="1"/>
  <c r="AC149" i="1"/>
  <c r="AC153" i="1"/>
  <c r="AC157" i="1"/>
  <c r="AC161" i="1"/>
  <c r="N282" i="1"/>
  <c r="N298" i="1"/>
  <c r="AC75" i="1"/>
  <c r="AC106" i="1"/>
  <c r="AC110" i="1"/>
  <c r="AC114" i="1"/>
  <c r="AC118" i="1"/>
  <c r="AC148" i="1"/>
  <c r="AC152" i="1"/>
  <c r="AC156" i="1"/>
  <c r="AC160" i="1"/>
  <c r="AC163" i="1"/>
  <c r="AC70" i="1"/>
  <c r="AC185" i="1"/>
  <c r="AC187" i="1"/>
  <c r="N192" i="1"/>
  <c r="AC196" i="1"/>
  <c r="AC198" i="1"/>
  <c r="AC203" i="1"/>
  <c r="N210" i="1"/>
  <c r="N113" i="1"/>
  <c r="AC221" i="1"/>
  <c r="N226" i="1"/>
  <c r="N228" i="1"/>
  <c r="N230" i="1"/>
  <c r="N233" i="1"/>
  <c r="N254" i="1"/>
  <c r="AC271" i="1"/>
  <c r="AC273" i="1"/>
  <c r="AC65" i="1"/>
  <c r="N183" i="1"/>
  <c r="N184" i="1"/>
  <c r="N186" i="1"/>
  <c r="N205" i="1"/>
  <c r="N114" i="1"/>
  <c r="AC225" i="1"/>
  <c r="AC227" i="1"/>
  <c r="AC229" i="1"/>
  <c r="N246" i="1"/>
  <c r="N251" i="1"/>
  <c r="N253" i="1"/>
  <c r="N136" i="1"/>
  <c r="N269" i="1"/>
  <c r="N271" i="1"/>
  <c r="N273" i="1"/>
  <c r="N277" i="1"/>
  <c r="N281" i="1"/>
  <c r="N297" i="1"/>
  <c r="AC212" i="1"/>
  <c r="AC74" i="1"/>
  <c r="AC105" i="1"/>
  <c r="AC109" i="1"/>
  <c r="AC113" i="1"/>
  <c r="AC117" i="1"/>
  <c r="AC147" i="1"/>
  <c r="AC151" i="1"/>
  <c r="AC155" i="1"/>
  <c r="AC159" i="1"/>
  <c r="N772" i="1"/>
  <c r="N557" i="1"/>
  <c r="N471" i="1"/>
  <c r="N643" i="1"/>
  <c r="N428" i="1"/>
  <c r="N600" i="1"/>
  <c r="N385" i="1"/>
  <c r="N342" i="1"/>
  <c r="N514" i="1"/>
  <c r="N294" i="1"/>
  <c r="N293" i="1"/>
  <c r="N292" i="1"/>
  <c r="N267" i="1"/>
  <c r="N266" i="1"/>
  <c r="N290" i="1"/>
  <c r="N289" i="1"/>
  <c r="N288" i="1"/>
  <c r="N287" i="1"/>
  <c r="N286" i="1"/>
  <c r="N265" i="1"/>
  <c r="N285" i="1"/>
  <c r="N284" i="1"/>
  <c r="N283" i="1"/>
  <c r="N280" i="1"/>
  <c r="N264" i="1"/>
  <c r="N279" i="1"/>
  <c r="N278" i="1"/>
  <c r="E299" i="1"/>
  <c r="M299" i="1"/>
  <c r="I299" i="1"/>
  <c r="N252" i="1"/>
  <c r="N225" i="1"/>
  <c r="N224" i="1"/>
  <c r="N223" i="1"/>
  <c r="AC245" i="1"/>
  <c r="AC244" i="1"/>
  <c r="N249" i="1"/>
  <c r="AC243" i="1"/>
  <c r="N248" i="1"/>
  <c r="N245" i="1"/>
  <c r="N244" i="1"/>
  <c r="N243" i="1"/>
  <c r="N242" i="1"/>
  <c r="AC241" i="1"/>
  <c r="N222" i="1"/>
  <c r="AC239" i="1"/>
  <c r="AC238" i="1"/>
  <c r="N221" i="1"/>
  <c r="I256" i="1"/>
  <c r="N234" i="1"/>
  <c r="AC236" i="1"/>
  <c r="M256" i="1"/>
  <c r="E256" i="1"/>
  <c r="N209" i="1"/>
  <c r="N208" i="1"/>
  <c r="N182" i="1"/>
  <c r="N207" i="1"/>
  <c r="N206" i="1"/>
  <c r="AC232" i="1"/>
  <c r="N204" i="1"/>
  <c r="AC204" i="1"/>
  <c r="N203" i="1"/>
  <c r="N181" i="1"/>
  <c r="N202" i="1"/>
  <c r="N180" i="1"/>
  <c r="N200" i="1"/>
  <c r="N199" i="1"/>
  <c r="N198" i="1"/>
  <c r="AC200" i="1"/>
  <c r="N197" i="1"/>
  <c r="AC199" i="1"/>
  <c r="N196" i="1"/>
  <c r="N195" i="1"/>
  <c r="N194" i="1"/>
  <c r="AC194" i="1"/>
  <c r="N179" i="1"/>
  <c r="AC342" i="1"/>
  <c r="N189" i="1"/>
  <c r="N191" i="1"/>
  <c r="AC192" i="1"/>
  <c r="M213" i="1"/>
  <c r="N190" i="1"/>
  <c r="I213" i="1"/>
  <c r="E213" i="1"/>
  <c r="AC178" i="1"/>
  <c r="AC191" i="1"/>
  <c r="T299" i="1"/>
  <c r="X299" i="1"/>
  <c r="AB299" i="1"/>
  <c r="AC167" i="1"/>
  <c r="AC164" i="1"/>
  <c r="Z213" i="1"/>
  <c r="AC210" i="1"/>
  <c r="V213" i="1"/>
  <c r="AC209" i="1"/>
  <c r="S213" i="1"/>
  <c r="AC168" i="1"/>
  <c r="AC270" i="1"/>
  <c r="N135" i="1"/>
  <c r="AC121" i="1"/>
  <c r="AC125" i="1"/>
  <c r="AC123" i="1"/>
  <c r="X256" i="1"/>
  <c r="AB256" i="1"/>
  <c r="T256" i="1"/>
  <c r="N117" i="1"/>
  <c r="T124" i="1"/>
  <c r="AC124" i="1" s="1"/>
  <c r="AC126" i="1"/>
  <c r="N116" i="1"/>
  <c r="N115" i="1"/>
  <c r="AA170" i="1"/>
  <c r="Z170" i="1"/>
  <c r="Y170" i="1"/>
  <c r="W170" i="1"/>
  <c r="V170" i="1"/>
  <c r="U170" i="1"/>
  <c r="S170" i="1"/>
  <c r="R170" i="1"/>
  <c r="Q170" i="1"/>
  <c r="L170" i="1"/>
  <c r="K170" i="1"/>
  <c r="J170" i="1"/>
  <c r="H170" i="1"/>
  <c r="G170" i="1"/>
  <c r="F170" i="1"/>
  <c r="D170" i="1"/>
  <c r="C170" i="1"/>
  <c r="B170" i="1"/>
  <c r="M169" i="1"/>
  <c r="I169" i="1"/>
  <c r="E169" i="1"/>
  <c r="M168" i="1"/>
  <c r="I168" i="1"/>
  <c r="E168" i="1"/>
  <c r="M167" i="1"/>
  <c r="I167" i="1"/>
  <c r="E167" i="1"/>
  <c r="N167" i="1" s="1"/>
  <c r="M166" i="1"/>
  <c r="I166" i="1"/>
  <c r="E166" i="1"/>
  <c r="M165" i="1"/>
  <c r="I165" i="1"/>
  <c r="E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M159" i="1"/>
  <c r="I159" i="1"/>
  <c r="E159" i="1"/>
  <c r="M158" i="1"/>
  <c r="I158" i="1"/>
  <c r="E158" i="1"/>
  <c r="M157" i="1"/>
  <c r="I157" i="1"/>
  <c r="E157" i="1"/>
  <c r="M156" i="1"/>
  <c r="I156" i="1"/>
  <c r="E156" i="1"/>
  <c r="M155" i="1"/>
  <c r="I155" i="1"/>
  <c r="E155" i="1"/>
  <c r="N155" i="1" s="1"/>
  <c r="M154" i="1"/>
  <c r="I154" i="1"/>
  <c r="E154" i="1"/>
  <c r="M153" i="1"/>
  <c r="I153" i="1"/>
  <c r="E153" i="1"/>
  <c r="M152" i="1"/>
  <c r="I152" i="1"/>
  <c r="E152" i="1"/>
  <c r="M151" i="1"/>
  <c r="I151" i="1"/>
  <c r="E151" i="1"/>
  <c r="M150" i="1"/>
  <c r="I150" i="1"/>
  <c r="E150" i="1"/>
  <c r="M149" i="1"/>
  <c r="I149" i="1"/>
  <c r="E149" i="1"/>
  <c r="M148" i="1"/>
  <c r="I148" i="1"/>
  <c r="E148" i="1"/>
  <c r="M147" i="1"/>
  <c r="I147" i="1"/>
  <c r="E147" i="1"/>
  <c r="N147" i="1" s="1"/>
  <c r="AB144" i="1"/>
  <c r="X144" i="1"/>
  <c r="T144" i="1"/>
  <c r="M144" i="1"/>
  <c r="I144" i="1"/>
  <c r="E144" i="1"/>
  <c r="AB143" i="1"/>
  <c r="X143" i="1"/>
  <c r="T143" i="1"/>
  <c r="M143" i="1"/>
  <c r="I143" i="1"/>
  <c r="E143" i="1"/>
  <c r="N143" i="1" s="1"/>
  <c r="AB142" i="1"/>
  <c r="X142" i="1"/>
  <c r="T142" i="1"/>
  <c r="M142" i="1"/>
  <c r="I142" i="1"/>
  <c r="E142" i="1"/>
  <c r="AB141" i="1"/>
  <c r="X141" i="1"/>
  <c r="T141" i="1"/>
  <c r="M141" i="1"/>
  <c r="I141" i="1"/>
  <c r="E141" i="1"/>
  <c r="AB140" i="1"/>
  <c r="X140" i="1"/>
  <c r="T140" i="1"/>
  <c r="M140" i="1"/>
  <c r="I140" i="1"/>
  <c r="E140" i="1"/>
  <c r="M139" i="1"/>
  <c r="I139" i="1"/>
  <c r="E139" i="1"/>
  <c r="AB138" i="1"/>
  <c r="X138" i="1"/>
  <c r="T138" i="1"/>
  <c r="M138" i="1"/>
  <c r="I138" i="1"/>
  <c r="E138" i="1"/>
  <c r="M137" i="1"/>
  <c r="I137" i="1"/>
  <c r="E137" i="1"/>
  <c r="AB136" i="1"/>
  <c r="X136" i="1"/>
  <c r="T136" i="1"/>
  <c r="AB135" i="1"/>
  <c r="X135" i="1"/>
  <c r="T135" i="1"/>
  <c r="AB258" i="4" l="1"/>
  <c r="AB1721" i="1"/>
  <c r="Z1721" i="1"/>
  <c r="AA1721" i="1"/>
  <c r="Y1721" i="1"/>
  <c r="AB1722" i="1"/>
  <c r="X1722" i="1"/>
  <c r="T1722" i="1"/>
  <c r="AC213" i="4"/>
  <c r="AC258" i="4" s="1"/>
  <c r="X258" i="4"/>
  <c r="X260" i="4" s="1"/>
  <c r="AB260" i="4"/>
  <c r="T260" i="4"/>
  <c r="L472" i="4"/>
  <c r="L478" i="4" s="1"/>
  <c r="L489" i="4" s="1"/>
  <c r="Z386" i="4"/>
  <c r="Z392" i="4" s="1"/>
  <c r="Z403" i="4" s="1"/>
  <c r="Z429" i="4" s="1"/>
  <c r="Z435" i="4" s="1"/>
  <c r="Z446" i="4" s="1"/>
  <c r="Z472" i="4" s="1"/>
  <c r="Z478" i="4" s="1"/>
  <c r="Z489" i="4" s="1"/>
  <c r="Z515" i="4" s="1"/>
  <c r="Z521" i="4" s="1"/>
  <c r="Z532" i="4" s="1"/>
  <c r="Z558" i="4" s="1"/>
  <c r="Z564" i="4" s="1"/>
  <c r="Z575" i="4" s="1"/>
  <c r="Z601" i="4" s="1"/>
  <c r="AB85" i="4"/>
  <c r="AB91" i="4" s="1"/>
  <c r="X59" i="4"/>
  <c r="X85" i="4" s="1"/>
  <c r="X91" i="4" s="1"/>
  <c r="I188" i="4"/>
  <c r="I214" i="4" s="1"/>
  <c r="I220" i="4" s="1"/>
  <c r="F214" i="4"/>
  <c r="F220" i="4" s="1"/>
  <c r="F231" i="4" s="1"/>
  <c r="B214" i="4"/>
  <c r="B220" i="4" s="1"/>
  <c r="B231" i="4" s="1"/>
  <c r="X102" i="4"/>
  <c r="X128" i="4" s="1"/>
  <c r="X134" i="4" s="1"/>
  <c r="AB102" i="4"/>
  <c r="AB128" i="4" s="1"/>
  <c r="AB134" i="4" s="1"/>
  <c r="I145" i="4"/>
  <c r="I171" i="4" s="1"/>
  <c r="I177" i="4" s="1"/>
  <c r="C171" i="4"/>
  <c r="C177" i="4" s="1"/>
  <c r="C188" i="4" s="1"/>
  <c r="C214" i="4" s="1"/>
  <c r="C220" i="4" s="1"/>
  <c r="C231" i="4" s="1"/>
  <c r="C257" i="4" s="1"/>
  <c r="C263" i="4" s="1"/>
  <c r="C274" i="4" s="1"/>
  <c r="E145" i="4"/>
  <c r="Y171" i="4"/>
  <c r="Y177" i="4" s="1"/>
  <c r="Y188" i="4" s="1"/>
  <c r="AB145" i="4"/>
  <c r="AB171" i="4" s="1"/>
  <c r="AB177" i="4" s="1"/>
  <c r="X145" i="4"/>
  <c r="X171" i="4" s="1"/>
  <c r="X177" i="4" s="1"/>
  <c r="U171" i="4"/>
  <c r="U177" i="4" s="1"/>
  <c r="U188" i="4" s="1"/>
  <c r="AC42" i="4"/>
  <c r="Q128" i="4"/>
  <c r="Q134" i="4" s="1"/>
  <c r="Q145" i="4" s="1"/>
  <c r="AC59" i="4"/>
  <c r="T48" i="4"/>
  <c r="AC48" i="4" s="1"/>
  <c r="N59" i="4"/>
  <c r="E85" i="4"/>
  <c r="E48" i="4"/>
  <c r="N48" i="4" s="1"/>
  <c r="N42" i="4"/>
  <c r="M102" i="4"/>
  <c r="M128" i="4" s="1"/>
  <c r="M134" i="4" s="1"/>
  <c r="J128" i="4"/>
  <c r="J134" i="4" s="1"/>
  <c r="J145" i="4" s="1"/>
  <c r="T91" i="4"/>
  <c r="E102" i="4"/>
  <c r="T128" i="4"/>
  <c r="T134" i="4" s="1"/>
  <c r="AC142" i="1"/>
  <c r="N158" i="1"/>
  <c r="AC136" i="1"/>
  <c r="N141" i="1"/>
  <c r="N144" i="1"/>
  <c r="N149" i="1"/>
  <c r="N165" i="1"/>
  <c r="AC141" i="1"/>
  <c r="N142" i="1"/>
  <c r="N299" i="1"/>
  <c r="N256" i="1"/>
  <c r="T213" i="1"/>
  <c r="AB213" i="1"/>
  <c r="X213" i="1"/>
  <c r="N168" i="1"/>
  <c r="N213" i="1"/>
  <c r="AC299" i="1"/>
  <c r="N164" i="1"/>
  <c r="N162" i="1"/>
  <c r="N138" i="1"/>
  <c r="N159" i="1"/>
  <c r="N137" i="1"/>
  <c r="N156" i="1"/>
  <c r="N153" i="1"/>
  <c r="N150" i="1"/>
  <c r="M170" i="1"/>
  <c r="AC256" i="1"/>
  <c r="X170" i="1"/>
  <c r="T170" i="1"/>
  <c r="N148" i="1"/>
  <c r="I170" i="1"/>
  <c r="AC135" i="1"/>
  <c r="N139" i="1"/>
  <c r="N140" i="1"/>
  <c r="AC143" i="1"/>
  <c r="AC144" i="1"/>
  <c r="N157" i="1"/>
  <c r="N166" i="1"/>
  <c r="N151" i="1"/>
  <c r="N152" i="1"/>
  <c r="N160" i="1"/>
  <c r="N161" i="1"/>
  <c r="N169" i="1"/>
  <c r="E170" i="1"/>
  <c r="AB170" i="1"/>
  <c r="N154" i="1"/>
  <c r="N163" i="1"/>
  <c r="AC140" i="1"/>
  <c r="AC138" i="1"/>
  <c r="L515" i="4" l="1"/>
  <c r="L521" i="4" s="1"/>
  <c r="L532" i="4" s="1"/>
  <c r="AB259" i="4"/>
  <c r="AA259" i="4"/>
  <c r="Z259" i="4"/>
  <c r="Y259" i="4"/>
  <c r="X259" i="4"/>
  <c r="W259" i="4"/>
  <c r="V259" i="4"/>
  <c r="U259" i="4"/>
  <c r="C300" i="4"/>
  <c r="C306" i="4" s="1"/>
  <c r="C317" i="4" s="1"/>
  <c r="C343" i="4" s="1"/>
  <c r="C349" i="4" s="1"/>
  <c r="C360" i="4" s="1"/>
  <c r="C386" i="4" s="1"/>
  <c r="C392" i="4" s="1"/>
  <c r="C403" i="4" s="1"/>
  <c r="C429" i="4" s="1"/>
  <c r="C435" i="4" s="1"/>
  <c r="C446" i="4" s="1"/>
  <c r="F257" i="4"/>
  <c r="F263" i="4" s="1"/>
  <c r="F274" i="4" s="1"/>
  <c r="I231" i="4"/>
  <c r="I257" i="4" s="1"/>
  <c r="I263" i="4" s="1"/>
  <c r="AC91" i="4"/>
  <c r="AC85" i="4"/>
  <c r="B257" i="4"/>
  <c r="B263" i="4" s="1"/>
  <c r="B274" i="4" s="1"/>
  <c r="B300" i="4" s="1"/>
  <c r="B306" i="4" s="1"/>
  <c r="B317" i="4" s="1"/>
  <c r="E231" i="4"/>
  <c r="E188" i="4"/>
  <c r="E214" i="4" s="1"/>
  <c r="E220" i="4" s="1"/>
  <c r="AB188" i="4"/>
  <c r="AB214" i="4" s="1"/>
  <c r="AB220" i="4" s="1"/>
  <c r="Y214" i="4"/>
  <c r="Y220" i="4" s="1"/>
  <c r="Y231" i="4" s="1"/>
  <c r="X188" i="4"/>
  <c r="X214" i="4" s="1"/>
  <c r="X220" i="4" s="1"/>
  <c r="U214" i="4"/>
  <c r="U220" i="4" s="1"/>
  <c r="U231" i="4" s="1"/>
  <c r="AC102" i="4"/>
  <c r="AC134" i="4"/>
  <c r="J171" i="4"/>
  <c r="J177" i="4" s="1"/>
  <c r="J188" i="4" s="1"/>
  <c r="M145" i="4"/>
  <c r="M171" i="4" s="1"/>
  <c r="M177" i="4" s="1"/>
  <c r="E171" i="4"/>
  <c r="E177" i="4" s="1"/>
  <c r="Q171" i="4"/>
  <c r="Q177" i="4" s="1"/>
  <c r="Q188" i="4" s="1"/>
  <c r="T145" i="4"/>
  <c r="E128" i="4"/>
  <c r="E134" i="4" s="1"/>
  <c r="N134" i="4" s="1"/>
  <c r="N102" i="4"/>
  <c r="E91" i="4"/>
  <c r="N91" i="4" s="1"/>
  <c r="N85" i="4"/>
  <c r="AC128" i="4"/>
  <c r="AC213" i="1"/>
  <c r="N170" i="1"/>
  <c r="AC170" i="1"/>
  <c r="T18" i="1"/>
  <c r="X18" i="1"/>
  <c r="AB18" i="1"/>
  <c r="L558" i="4" l="1"/>
  <c r="L564" i="4" s="1"/>
  <c r="L575" i="4" s="1"/>
  <c r="C472" i="4"/>
  <c r="C478" i="4" s="1"/>
  <c r="C489" i="4" s="1"/>
  <c r="C515" i="4" s="1"/>
  <c r="C521" i="4" s="1"/>
  <c r="C532" i="4" s="1"/>
  <c r="C558" i="4" s="1"/>
  <c r="C564" i="4" s="1"/>
  <c r="C575" i="4" s="1"/>
  <c r="C601" i="4" s="1"/>
  <c r="F300" i="4"/>
  <c r="F306" i="4" s="1"/>
  <c r="F317" i="4" s="1"/>
  <c r="I274" i="4"/>
  <c r="I300" i="4" s="1"/>
  <c r="I306" i="4" s="1"/>
  <c r="B343" i="4"/>
  <c r="B349" i="4" s="1"/>
  <c r="B360" i="4" s="1"/>
  <c r="E317" i="4"/>
  <c r="E274" i="4"/>
  <c r="E300" i="4" s="1"/>
  <c r="E257" i="4"/>
  <c r="E263" i="4" s="1"/>
  <c r="X231" i="4"/>
  <c r="X257" i="4" s="1"/>
  <c r="X263" i="4" s="1"/>
  <c r="U257" i="4"/>
  <c r="U263" i="4" s="1"/>
  <c r="U274" i="4" s="1"/>
  <c r="Y257" i="4"/>
  <c r="Y263" i="4" s="1"/>
  <c r="Y274" i="4" s="1"/>
  <c r="AB231" i="4"/>
  <c r="AB257" i="4" s="1"/>
  <c r="AB263" i="4" s="1"/>
  <c r="N177" i="4"/>
  <c r="M188" i="4"/>
  <c r="J214" i="4"/>
  <c r="J220" i="4" s="1"/>
  <c r="J231" i="4" s="1"/>
  <c r="Q214" i="4"/>
  <c r="Q220" i="4" s="1"/>
  <c r="Q231" i="4" s="1"/>
  <c r="T188" i="4"/>
  <c r="N171" i="4"/>
  <c r="N145" i="4"/>
  <c r="T171" i="4"/>
  <c r="AC145" i="4"/>
  <c r="N128" i="4"/>
  <c r="AC18" i="1"/>
  <c r="T19" i="1"/>
  <c r="X19" i="1"/>
  <c r="AB19" i="1"/>
  <c r="M20" i="1"/>
  <c r="I20" i="1"/>
  <c r="E20" i="1"/>
  <c r="L601" i="4" l="1"/>
  <c r="B386" i="4"/>
  <c r="B392" i="4" s="1"/>
  <c r="B403" i="4" s="1"/>
  <c r="E360" i="4"/>
  <c r="F343" i="4"/>
  <c r="F349" i="4" s="1"/>
  <c r="F360" i="4" s="1"/>
  <c r="I317" i="4"/>
  <c r="I343" i="4" s="1"/>
  <c r="I349" i="4" s="1"/>
  <c r="E306" i="4"/>
  <c r="E343" i="4"/>
  <c r="E349" i="4" s="1"/>
  <c r="U300" i="4"/>
  <c r="U306" i="4" s="1"/>
  <c r="U317" i="4" s="1"/>
  <c r="X274" i="4"/>
  <c r="X300" i="4" s="1"/>
  <c r="X306" i="4" s="1"/>
  <c r="AB274" i="4"/>
  <c r="AB300" i="4" s="1"/>
  <c r="AB306" i="4" s="1"/>
  <c r="Y300" i="4"/>
  <c r="Y306" i="4" s="1"/>
  <c r="Y317" i="4" s="1"/>
  <c r="J257" i="4"/>
  <c r="J263" i="4" s="1"/>
  <c r="J274" i="4" s="1"/>
  <c r="M231" i="4"/>
  <c r="Q257" i="4"/>
  <c r="Q263" i="4" s="1"/>
  <c r="Q274" i="4" s="1"/>
  <c r="T231" i="4"/>
  <c r="M214" i="4"/>
  <c r="N188" i="4"/>
  <c r="T214" i="4"/>
  <c r="AC188" i="4"/>
  <c r="AC171" i="4"/>
  <c r="T177" i="4"/>
  <c r="AC177" i="4" s="1"/>
  <c r="N20" i="1"/>
  <c r="AC19" i="1"/>
  <c r="Q84" i="1"/>
  <c r="AA127" i="1"/>
  <c r="Z127" i="1"/>
  <c r="Y127" i="1"/>
  <c r="W127" i="1"/>
  <c r="V127" i="1"/>
  <c r="U127" i="1"/>
  <c r="S127" i="1"/>
  <c r="R127" i="1"/>
  <c r="Q127" i="1"/>
  <c r="L127" i="1"/>
  <c r="K127" i="1"/>
  <c r="J127" i="1"/>
  <c r="H127" i="1"/>
  <c r="G127" i="1"/>
  <c r="F127" i="1"/>
  <c r="D127" i="1"/>
  <c r="C127" i="1"/>
  <c r="B127" i="1"/>
  <c r="M126" i="1"/>
  <c r="I126" i="1"/>
  <c r="E126" i="1"/>
  <c r="N126" i="1" s="1"/>
  <c r="M125" i="1"/>
  <c r="I125" i="1"/>
  <c r="E125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2" i="1"/>
  <c r="I112" i="1"/>
  <c r="E112" i="1"/>
  <c r="M111" i="1"/>
  <c r="I111" i="1"/>
  <c r="E111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AB101" i="1"/>
  <c r="X101" i="1"/>
  <c r="T101" i="1"/>
  <c r="M101" i="1"/>
  <c r="I101" i="1"/>
  <c r="E101" i="1"/>
  <c r="AB100" i="1"/>
  <c r="X100" i="1"/>
  <c r="T100" i="1"/>
  <c r="M100" i="1"/>
  <c r="I100" i="1"/>
  <c r="E100" i="1"/>
  <c r="AB99" i="1"/>
  <c r="X99" i="1"/>
  <c r="T99" i="1"/>
  <c r="M99" i="1"/>
  <c r="I99" i="1"/>
  <c r="E99" i="1"/>
  <c r="AB98" i="1"/>
  <c r="X98" i="1"/>
  <c r="T98" i="1"/>
  <c r="M98" i="1"/>
  <c r="I98" i="1"/>
  <c r="E98" i="1"/>
  <c r="AB97" i="1"/>
  <c r="X97" i="1"/>
  <c r="T97" i="1"/>
  <c r="M97" i="1"/>
  <c r="I97" i="1"/>
  <c r="E97" i="1"/>
  <c r="AB96" i="1"/>
  <c r="X96" i="1"/>
  <c r="T96" i="1"/>
  <c r="M96" i="1"/>
  <c r="I96" i="1"/>
  <c r="E96" i="1"/>
  <c r="AB95" i="1"/>
  <c r="X95" i="1"/>
  <c r="T95" i="1"/>
  <c r="M95" i="1"/>
  <c r="I95" i="1"/>
  <c r="E95" i="1"/>
  <c r="AB94" i="1"/>
  <c r="X94" i="1"/>
  <c r="T94" i="1"/>
  <c r="M94" i="1"/>
  <c r="I94" i="1"/>
  <c r="E94" i="1"/>
  <c r="AB93" i="1"/>
  <c r="X93" i="1"/>
  <c r="T93" i="1"/>
  <c r="M93" i="1"/>
  <c r="I93" i="1"/>
  <c r="E93" i="1"/>
  <c r="AB92" i="1"/>
  <c r="X92" i="1"/>
  <c r="T92" i="1"/>
  <c r="M92" i="1"/>
  <c r="I92" i="1"/>
  <c r="E92" i="1"/>
  <c r="AA84" i="1"/>
  <c r="Z84" i="1"/>
  <c r="Y84" i="1"/>
  <c r="W84" i="1"/>
  <c r="V84" i="1"/>
  <c r="U84" i="1"/>
  <c r="S84" i="1"/>
  <c r="R84" i="1"/>
  <c r="L84" i="1"/>
  <c r="K84" i="1"/>
  <c r="J84" i="1"/>
  <c r="H84" i="1"/>
  <c r="G84" i="1"/>
  <c r="F84" i="1"/>
  <c r="D84" i="1"/>
  <c r="C84" i="1"/>
  <c r="B84" i="1"/>
  <c r="AB83" i="1"/>
  <c r="X83" i="1"/>
  <c r="T83" i="1"/>
  <c r="M83" i="1"/>
  <c r="I83" i="1"/>
  <c r="E83" i="1"/>
  <c r="AB82" i="1"/>
  <c r="X82" i="1"/>
  <c r="T82" i="1"/>
  <c r="M82" i="1"/>
  <c r="I82" i="1"/>
  <c r="E82" i="1"/>
  <c r="AB81" i="1"/>
  <c r="X81" i="1"/>
  <c r="T81" i="1"/>
  <c r="M81" i="1"/>
  <c r="I81" i="1"/>
  <c r="E81" i="1"/>
  <c r="AB80" i="1"/>
  <c r="X80" i="1"/>
  <c r="T80" i="1"/>
  <c r="M80" i="1"/>
  <c r="I80" i="1"/>
  <c r="E80" i="1"/>
  <c r="AB79" i="1"/>
  <c r="X79" i="1"/>
  <c r="T79" i="1"/>
  <c r="M79" i="1"/>
  <c r="I79" i="1"/>
  <c r="E79" i="1"/>
  <c r="AB78" i="1"/>
  <c r="X78" i="1"/>
  <c r="T78" i="1"/>
  <c r="M78" i="1"/>
  <c r="I78" i="1"/>
  <c r="E78" i="1"/>
  <c r="AB77" i="1"/>
  <c r="X77" i="1"/>
  <c r="T77" i="1"/>
  <c r="M77" i="1"/>
  <c r="I77" i="1"/>
  <c r="E77" i="1"/>
  <c r="AB76" i="1"/>
  <c r="X76" i="1"/>
  <c r="T76" i="1"/>
  <c r="M76" i="1"/>
  <c r="I76" i="1"/>
  <c r="E76" i="1"/>
  <c r="M75" i="1"/>
  <c r="I75" i="1"/>
  <c r="E75" i="1"/>
  <c r="M74" i="1"/>
  <c r="I74" i="1"/>
  <c r="E74" i="1"/>
  <c r="M73" i="1"/>
  <c r="I73" i="1"/>
  <c r="E73" i="1"/>
  <c r="AB72" i="1"/>
  <c r="X72" i="1"/>
  <c r="T72" i="1"/>
  <c r="M72" i="1"/>
  <c r="I72" i="1"/>
  <c r="E72" i="1"/>
  <c r="AB71" i="1"/>
  <c r="X71" i="1"/>
  <c r="T71" i="1"/>
  <c r="M71" i="1"/>
  <c r="I71" i="1"/>
  <c r="E71" i="1"/>
  <c r="M70" i="1"/>
  <c r="I70" i="1"/>
  <c r="E70" i="1"/>
  <c r="AB69" i="1"/>
  <c r="X69" i="1"/>
  <c r="T69" i="1"/>
  <c r="M69" i="1"/>
  <c r="I69" i="1"/>
  <c r="E69" i="1"/>
  <c r="AB68" i="1"/>
  <c r="X68" i="1"/>
  <c r="T68" i="1"/>
  <c r="M68" i="1"/>
  <c r="I68" i="1"/>
  <c r="E68" i="1"/>
  <c r="AB67" i="1"/>
  <c r="X67" i="1"/>
  <c r="T67" i="1"/>
  <c r="M67" i="1"/>
  <c r="I67" i="1"/>
  <c r="E67" i="1"/>
  <c r="AB66" i="1"/>
  <c r="X66" i="1"/>
  <c r="T66" i="1"/>
  <c r="M66" i="1"/>
  <c r="I66" i="1"/>
  <c r="E66" i="1"/>
  <c r="M65" i="1"/>
  <c r="I65" i="1"/>
  <c r="E65" i="1"/>
  <c r="AB64" i="1"/>
  <c r="X64" i="1"/>
  <c r="T64" i="1"/>
  <c r="M64" i="1"/>
  <c r="I64" i="1"/>
  <c r="E64" i="1"/>
  <c r="AB63" i="1"/>
  <c r="X63" i="1"/>
  <c r="T63" i="1"/>
  <c r="M63" i="1"/>
  <c r="I63" i="1"/>
  <c r="E63" i="1"/>
  <c r="AB62" i="1"/>
  <c r="X62" i="1"/>
  <c r="T62" i="1"/>
  <c r="M62" i="1"/>
  <c r="I62" i="1"/>
  <c r="E62" i="1"/>
  <c r="AB61" i="1"/>
  <c r="X61" i="1"/>
  <c r="T61" i="1"/>
  <c r="M61" i="1"/>
  <c r="I61" i="1"/>
  <c r="E61" i="1"/>
  <c r="AB60" i="1"/>
  <c r="X60" i="1"/>
  <c r="T60" i="1"/>
  <c r="M60" i="1"/>
  <c r="I60" i="1"/>
  <c r="E60" i="1"/>
  <c r="AB58" i="1"/>
  <c r="X58" i="1"/>
  <c r="T58" i="1"/>
  <c r="M58" i="1"/>
  <c r="I58" i="1"/>
  <c r="E58" i="1"/>
  <c r="AB57" i="1"/>
  <c r="X57" i="1"/>
  <c r="T57" i="1"/>
  <c r="M57" i="1"/>
  <c r="I57" i="1"/>
  <c r="E57" i="1"/>
  <c r="AB56" i="1"/>
  <c r="X56" i="1"/>
  <c r="T56" i="1"/>
  <c r="M56" i="1"/>
  <c r="I56" i="1"/>
  <c r="E56" i="1"/>
  <c r="AB55" i="1"/>
  <c r="X55" i="1"/>
  <c r="T55" i="1"/>
  <c r="M55" i="1"/>
  <c r="I55" i="1"/>
  <c r="E55" i="1"/>
  <c r="AB54" i="1"/>
  <c r="X54" i="1"/>
  <c r="T54" i="1"/>
  <c r="M54" i="1"/>
  <c r="I54" i="1"/>
  <c r="E54" i="1"/>
  <c r="AB53" i="1"/>
  <c r="X53" i="1"/>
  <c r="T53" i="1"/>
  <c r="M53" i="1"/>
  <c r="I53" i="1"/>
  <c r="E53" i="1"/>
  <c r="AB52" i="1"/>
  <c r="X52" i="1"/>
  <c r="T52" i="1"/>
  <c r="M52" i="1"/>
  <c r="I52" i="1"/>
  <c r="E52" i="1"/>
  <c r="AB51" i="1"/>
  <c r="X51" i="1"/>
  <c r="T51" i="1"/>
  <c r="M51" i="1"/>
  <c r="I51" i="1"/>
  <c r="E51" i="1"/>
  <c r="AB50" i="1"/>
  <c r="X50" i="1"/>
  <c r="T50" i="1"/>
  <c r="M50" i="1"/>
  <c r="I50" i="1"/>
  <c r="E50" i="1"/>
  <c r="AB49" i="1"/>
  <c r="X49" i="1"/>
  <c r="T49" i="1"/>
  <c r="M49" i="1"/>
  <c r="I49" i="1"/>
  <c r="E49" i="1"/>
  <c r="AA41" i="1"/>
  <c r="Z41" i="1"/>
  <c r="Y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7" i="1"/>
  <c r="AA16" i="1"/>
  <c r="Z16" i="1"/>
  <c r="Y16" i="1"/>
  <c r="AB15" i="1"/>
  <c r="AB14" i="1"/>
  <c r="AB13" i="1"/>
  <c r="AB12" i="1"/>
  <c r="AB11" i="1"/>
  <c r="AB10" i="1"/>
  <c r="AB9" i="1"/>
  <c r="AB8" i="1"/>
  <c r="AB7" i="1"/>
  <c r="AB6" i="1"/>
  <c r="AB5" i="1"/>
  <c r="L41" i="1"/>
  <c r="K41" i="1"/>
  <c r="J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19" i="1"/>
  <c r="M18" i="1"/>
  <c r="M17" i="1"/>
  <c r="L16" i="1"/>
  <c r="K16" i="1"/>
  <c r="J16" i="1"/>
  <c r="M15" i="1"/>
  <c r="M14" i="1"/>
  <c r="M13" i="1"/>
  <c r="M12" i="1"/>
  <c r="M11" i="1"/>
  <c r="M10" i="1"/>
  <c r="M9" i="1"/>
  <c r="M8" i="1"/>
  <c r="M7" i="1"/>
  <c r="M6" i="1"/>
  <c r="M5" i="1"/>
  <c r="E403" i="4" l="1"/>
  <c r="B429" i="4"/>
  <c r="B435" i="4" s="1"/>
  <c r="B446" i="4" s="1"/>
  <c r="F386" i="4"/>
  <c r="F392" i="4" s="1"/>
  <c r="F403" i="4" s="1"/>
  <c r="I360" i="4"/>
  <c r="I386" i="4" s="1"/>
  <c r="I392" i="4" s="1"/>
  <c r="E386" i="4"/>
  <c r="E392" i="4" s="1"/>
  <c r="J300" i="4"/>
  <c r="J306" i="4" s="1"/>
  <c r="J317" i="4" s="1"/>
  <c r="M274" i="4"/>
  <c r="Y343" i="4"/>
  <c r="Y349" i="4" s="1"/>
  <c r="Y360" i="4" s="1"/>
  <c r="AB317" i="4"/>
  <c r="AB343" i="4" s="1"/>
  <c r="AB349" i="4" s="1"/>
  <c r="X317" i="4"/>
  <c r="X343" i="4" s="1"/>
  <c r="X349" i="4" s="1"/>
  <c r="U343" i="4"/>
  <c r="U349" i="4" s="1"/>
  <c r="U360" i="4" s="1"/>
  <c r="T274" i="4"/>
  <c r="Q300" i="4"/>
  <c r="Q306" i="4" s="1"/>
  <c r="Q317" i="4" s="1"/>
  <c r="M257" i="4"/>
  <c r="N231" i="4"/>
  <c r="N214" i="4"/>
  <c r="M220" i="4"/>
  <c r="N220" i="4" s="1"/>
  <c r="AC214" i="4"/>
  <c r="T220" i="4"/>
  <c r="AC220" i="4" s="1"/>
  <c r="T257" i="4"/>
  <c r="AC231" i="4"/>
  <c r="E127" i="1"/>
  <c r="Y86" i="1"/>
  <c r="Y215" i="1" s="1"/>
  <c r="Z86" i="1"/>
  <c r="Z215" i="1" s="1"/>
  <c r="AA86" i="1"/>
  <c r="AA215" i="1" s="1"/>
  <c r="M127" i="1"/>
  <c r="AC95" i="1"/>
  <c r="AC99" i="1"/>
  <c r="N94" i="1"/>
  <c r="N98" i="1"/>
  <c r="N103" i="1"/>
  <c r="N107" i="1"/>
  <c r="N111" i="1"/>
  <c r="N120" i="1"/>
  <c r="N123" i="1"/>
  <c r="N124" i="1"/>
  <c r="AC56" i="1"/>
  <c r="N92" i="1"/>
  <c r="N96" i="1"/>
  <c r="N100" i="1"/>
  <c r="N105" i="1"/>
  <c r="N109" i="1"/>
  <c r="N121" i="1"/>
  <c r="N125" i="1"/>
  <c r="AC94" i="1"/>
  <c r="AC98" i="1"/>
  <c r="AC55" i="1"/>
  <c r="AC60" i="1"/>
  <c r="N95" i="1"/>
  <c r="N99" i="1"/>
  <c r="N104" i="1"/>
  <c r="N108" i="1"/>
  <c r="N112" i="1"/>
  <c r="AC93" i="1"/>
  <c r="AC97" i="1"/>
  <c r="AC101" i="1"/>
  <c r="N119" i="1"/>
  <c r="AC92" i="1"/>
  <c r="AC96" i="1"/>
  <c r="AC100" i="1"/>
  <c r="AC53" i="1"/>
  <c r="AC57" i="1"/>
  <c r="N93" i="1"/>
  <c r="N97" i="1"/>
  <c r="N101" i="1"/>
  <c r="N106" i="1"/>
  <c r="N110" i="1"/>
  <c r="N122" i="1"/>
  <c r="AC51" i="1"/>
  <c r="AC52" i="1"/>
  <c r="AC61" i="1"/>
  <c r="AC62" i="1"/>
  <c r="AC64" i="1"/>
  <c r="AC66" i="1"/>
  <c r="AC68" i="1"/>
  <c r="AC69" i="1"/>
  <c r="AC72" i="1"/>
  <c r="AC76" i="1"/>
  <c r="AC77" i="1"/>
  <c r="AC78" i="1"/>
  <c r="AC81" i="1"/>
  <c r="AC82" i="1"/>
  <c r="I127" i="1"/>
  <c r="T127" i="1"/>
  <c r="AB127" i="1"/>
  <c r="X127" i="1"/>
  <c r="AC80" i="1"/>
  <c r="N50" i="1"/>
  <c r="N49" i="1"/>
  <c r="AC54" i="1"/>
  <c r="AC58" i="1"/>
  <c r="AC63" i="1"/>
  <c r="AC67" i="1"/>
  <c r="AC71" i="1"/>
  <c r="AC79" i="1"/>
  <c r="N52" i="1"/>
  <c r="N53" i="1"/>
  <c r="N54" i="1"/>
  <c r="N55" i="1"/>
  <c r="N56" i="1"/>
  <c r="N57" i="1"/>
  <c r="N58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E84" i="1"/>
  <c r="M84" i="1"/>
  <c r="X84" i="1"/>
  <c r="AB84" i="1"/>
  <c r="AC83" i="1"/>
  <c r="I84" i="1"/>
  <c r="T84" i="1"/>
  <c r="AC49" i="1"/>
  <c r="AC50" i="1"/>
  <c r="N51" i="1"/>
  <c r="K42" i="1"/>
  <c r="K48" i="1" s="1"/>
  <c r="K59" i="1" s="1"/>
  <c r="K85" i="1" s="1"/>
  <c r="K91" i="1" s="1"/>
  <c r="K102" i="1" s="1"/>
  <c r="K128" i="1" s="1"/>
  <c r="K134" i="1" s="1"/>
  <c r="K145" i="1" s="1"/>
  <c r="K171" i="1" s="1"/>
  <c r="K177" i="1" s="1"/>
  <c r="K188" i="1" s="1"/>
  <c r="M41" i="1"/>
  <c r="L42" i="1"/>
  <c r="L48" i="1" s="1"/>
  <c r="L59" i="1" s="1"/>
  <c r="L85" i="1" s="1"/>
  <c r="L91" i="1" s="1"/>
  <c r="L102" i="1" s="1"/>
  <c r="L128" i="1" s="1"/>
  <c r="L134" i="1" s="1"/>
  <c r="L145" i="1" s="1"/>
  <c r="L171" i="1" s="1"/>
  <c r="L177" i="1" s="1"/>
  <c r="L188" i="1" s="1"/>
  <c r="L214" i="1" s="1"/>
  <c r="L220" i="1" s="1"/>
  <c r="L231" i="1" s="1"/>
  <c r="M16" i="1"/>
  <c r="Z42" i="1"/>
  <c r="Z48" i="1" s="1"/>
  <c r="Z59" i="1" s="1"/>
  <c r="Z85" i="1" s="1"/>
  <c r="Z91" i="1" s="1"/>
  <c r="Z102" i="1" s="1"/>
  <c r="Z128" i="1" s="1"/>
  <c r="Z134" i="1" s="1"/>
  <c r="Z145" i="1" s="1"/>
  <c r="Z171" i="1" s="1"/>
  <c r="Z177" i="1" s="1"/>
  <c r="Z188" i="1" s="1"/>
  <c r="Z214" i="1" s="1"/>
  <c r="Z220" i="1" s="1"/>
  <c r="Z231" i="1" s="1"/>
  <c r="Z257" i="1" s="1"/>
  <c r="Z263" i="1" s="1"/>
  <c r="Z274" i="1" s="1"/>
  <c r="Z300" i="1" s="1"/>
  <c r="Z306" i="1" s="1"/>
  <c r="Z317" i="1" s="1"/>
  <c r="AB41" i="1"/>
  <c r="AB16" i="1"/>
  <c r="AA42" i="1"/>
  <c r="AA48" i="1" s="1"/>
  <c r="AA59" i="1" s="1"/>
  <c r="AA85" i="1" s="1"/>
  <c r="AA91" i="1" s="1"/>
  <c r="AA102" i="1" s="1"/>
  <c r="AA128" i="1" s="1"/>
  <c r="AA134" i="1" s="1"/>
  <c r="AA145" i="1" s="1"/>
  <c r="AA171" i="1" s="1"/>
  <c r="AA177" i="1" s="1"/>
  <c r="AA188" i="1" s="1"/>
  <c r="AA214" i="1" s="1"/>
  <c r="AA220" i="1" s="1"/>
  <c r="AA231" i="1" s="1"/>
  <c r="AA257" i="1" s="1"/>
  <c r="AA263" i="1" s="1"/>
  <c r="AA274" i="1" s="1"/>
  <c r="AA300" i="1" s="1"/>
  <c r="AA306" i="1" s="1"/>
  <c r="AA317" i="1" s="1"/>
  <c r="Y42" i="1"/>
  <c r="Y48" i="1" s="1"/>
  <c r="Y59" i="1" s="1"/>
  <c r="Y85" i="1" s="1"/>
  <c r="Y91" i="1" s="1"/>
  <c r="Y102" i="1" s="1"/>
  <c r="Y128" i="1" s="1"/>
  <c r="Y134" i="1" s="1"/>
  <c r="Y145" i="1" s="1"/>
  <c r="J42" i="1"/>
  <c r="J48" i="1" s="1"/>
  <c r="J59" i="1" s="1"/>
  <c r="W41" i="1"/>
  <c r="W86" i="1" s="1"/>
  <c r="W215" i="1" s="1"/>
  <c r="V41" i="1"/>
  <c r="V86" i="1" s="1"/>
  <c r="V215" i="1" s="1"/>
  <c r="U41" i="1"/>
  <c r="U86" i="1" s="1"/>
  <c r="U215" i="1" s="1"/>
  <c r="U602" i="1" s="1"/>
  <c r="U1204" i="1" s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7" i="1"/>
  <c r="W16" i="1"/>
  <c r="V16" i="1"/>
  <c r="U16" i="1"/>
  <c r="X15" i="1"/>
  <c r="X14" i="1"/>
  <c r="X13" i="1"/>
  <c r="X12" i="1"/>
  <c r="X11" i="1"/>
  <c r="X10" i="1"/>
  <c r="X9" i="1"/>
  <c r="X8" i="1"/>
  <c r="X7" i="1"/>
  <c r="X6" i="1"/>
  <c r="X5" i="1"/>
  <c r="H41" i="1"/>
  <c r="G41" i="1"/>
  <c r="F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19" i="1"/>
  <c r="I18" i="1"/>
  <c r="I17" i="1"/>
  <c r="H16" i="1"/>
  <c r="G16" i="1"/>
  <c r="F16" i="1"/>
  <c r="I15" i="1"/>
  <c r="I14" i="1"/>
  <c r="I13" i="1"/>
  <c r="I12" i="1"/>
  <c r="I11" i="1"/>
  <c r="I10" i="1"/>
  <c r="I9" i="1"/>
  <c r="I8" i="1"/>
  <c r="I7" i="1"/>
  <c r="I6" i="1"/>
  <c r="I5" i="1"/>
  <c r="B472" i="4" l="1"/>
  <c r="B478" i="4" s="1"/>
  <c r="B489" i="4" s="1"/>
  <c r="E446" i="4"/>
  <c r="I403" i="4"/>
  <c r="I429" i="4" s="1"/>
  <c r="I435" i="4" s="1"/>
  <c r="F429" i="4"/>
  <c r="F435" i="4" s="1"/>
  <c r="F446" i="4" s="1"/>
  <c r="E429" i="4"/>
  <c r="E435" i="4" s="1"/>
  <c r="U386" i="4"/>
  <c r="U392" i="4" s="1"/>
  <c r="U403" i="4" s="1"/>
  <c r="X360" i="4"/>
  <c r="X386" i="4" s="1"/>
  <c r="X392" i="4" s="1"/>
  <c r="Y386" i="4"/>
  <c r="Y392" i="4" s="1"/>
  <c r="Y403" i="4" s="1"/>
  <c r="AB360" i="4"/>
  <c r="AB386" i="4" s="1"/>
  <c r="AB392" i="4" s="1"/>
  <c r="AA343" i="1"/>
  <c r="AA349" i="1" s="1"/>
  <c r="AA360" i="1" s="1"/>
  <c r="AA386" i="1" s="1"/>
  <c r="Z343" i="1"/>
  <c r="Z349" i="1" s="1"/>
  <c r="Z360" i="1" s="1"/>
  <c r="Z386" i="1" s="1"/>
  <c r="M300" i="4"/>
  <c r="N274" i="4"/>
  <c r="J343" i="4"/>
  <c r="J349" i="4" s="1"/>
  <c r="J360" i="4" s="1"/>
  <c r="M317" i="4"/>
  <c r="Q343" i="4"/>
  <c r="Q349" i="4" s="1"/>
  <c r="Q360" i="4" s="1"/>
  <c r="T317" i="4"/>
  <c r="N257" i="4"/>
  <c r="M263" i="4"/>
  <c r="N263" i="4" s="1"/>
  <c r="AC257" i="4"/>
  <c r="T263" i="4"/>
  <c r="AC263" i="4" s="1"/>
  <c r="AC274" i="4"/>
  <c r="T300" i="4"/>
  <c r="V602" i="1"/>
  <c r="V1204" i="1" s="1"/>
  <c r="W602" i="1"/>
  <c r="W1204" i="1" s="1"/>
  <c r="Y602" i="1"/>
  <c r="Y1204" i="1" s="1"/>
  <c r="Z602" i="1"/>
  <c r="Z1204" i="1" s="1"/>
  <c r="AA602" i="1"/>
  <c r="AA1204" i="1" s="1"/>
  <c r="L257" i="1"/>
  <c r="L263" i="1" s="1"/>
  <c r="L274" i="1" s="1"/>
  <c r="L300" i="1" s="1"/>
  <c r="L306" i="1" s="1"/>
  <c r="L317" i="1" s="1"/>
  <c r="K214" i="1"/>
  <c r="K220" i="1" s="1"/>
  <c r="K231" i="1" s="1"/>
  <c r="K257" i="1" s="1"/>
  <c r="K263" i="1" s="1"/>
  <c r="K274" i="1" s="1"/>
  <c r="K300" i="1" s="1"/>
  <c r="K306" i="1" s="1"/>
  <c r="K317" i="1" s="1"/>
  <c r="K343" i="1" s="1"/>
  <c r="K349" i="1" s="1"/>
  <c r="K360" i="1" s="1"/>
  <c r="K386" i="1" s="1"/>
  <c r="K392" i="1" s="1"/>
  <c r="K403" i="1" s="1"/>
  <c r="K429" i="1" s="1"/>
  <c r="K435" i="1" s="1"/>
  <c r="K446" i="1" s="1"/>
  <c r="AB86" i="1"/>
  <c r="AB215" i="1" s="1"/>
  <c r="Y171" i="1"/>
  <c r="Y177" i="1" s="1"/>
  <c r="Y188" i="1" s="1"/>
  <c r="AB145" i="1"/>
  <c r="AB171" i="1" s="1"/>
  <c r="AB177" i="1" s="1"/>
  <c r="N127" i="1"/>
  <c r="AC127" i="1"/>
  <c r="AB102" i="1"/>
  <c r="AB128" i="1" s="1"/>
  <c r="AB134" i="1" s="1"/>
  <c r="AC84" i="1"/>
  <c r="N84" i="1"/>
  <c r="M59" i="1"/>
  <c r="M85" i="1" s="1"/>
  <c r="M91" i="1" s="1"/>
  <c r="M42" i="1"/>
  <c r="M48" i="1" s="1"/>
  <c r="AB42" i="1"/>
  <c r="AB48" i="1" s="1"/>
  <c r="AB59" i="1"/>
  <c r="AB85" i="1" s="1"/>
  <c r="AB91" i="1" s="1"/>
  <c r="J85" i="1"/>
  <c r="J91" i="1" s="1"/>
  <c r="J102" i="1" s="1"/>
  <c r="I16" i="1"/>
  <c r="H42" i="1"/>
  <c r="H48" i="1" s="1"/>
  <c r="H59" i="1" s="1"/>
  <c r="H85" i="1" s="1"/>
  <c r="H91" i="1" s="1"/>
  <c r="H102" i="1" s="1"/>
  <c r="H128" i="1" s="1"/>
  <c r="H134" i="1" s="1"/>
  <c r="H145" i="1" s="1"/>
  <c r="H171" i="1" s="1"/>
  <c r="H177" i="1" s="1"/>
  <c r="H188" i="1" s="1"/>
  <c r="H214" i="1" s="1"/>
  <c r="H220" i="1" s="1"/>
  <c r="H231" i="1" s="1"/>
  <c r="V42" i="1"/>
  <c r="V48" i="1" s="1"/>
  <c r="V59" i="1" s="1"/>
  <c r="V85" i="1" s="1"/>
  <c r="V91" i="1" s="1"/>
  <c r="V102" i="1" s="1"/>
  <c r="V128" i="1" s="1"/>
  <c r="V134" i="1" s="1"/>
  <c r="V145" i="1" s="1"/>
  <c r="V171" i="1" s="1"/>
  <c r="V177" i="1" s="1"/>
  <c r="V188" i="1" s="1"/>
  <c r="V214" i="1" s="1"/>
  <c r="V220" i="1" s="1"/>
  <c r="V231" i="1" s="1"/>
  <c r="V257" i="1" s="1"/>
  <c r="V263" i="1" s="1"/>
  <c r="V274" i="1" s="1"/>
  <c r="V300" i="1" s="1"/>
  <c r="V306" i="1" s="1"/>
  <c r="V317" i="1" s="1"/>
  <c r="X41" i="1"/>
  <c r="X86" i="1" s="1"/>
  <c r="X215" i="1" s="1"/>
  <c r="G42" i="1"/>
  <c r="G48" i="1" s="1"/>
  <c r="G59" i="1" s="1"/>
  <c r="G85" i="1" s="1"/>
  <c r="G91" i="1" s="1"/>
  <c r="G102" i="1" s="1"/>
  <c r="G128" i="1" s="1"/>
  <c r="G134" i="1" s="1"/>
  <c r="G145" i="1" s="1"/>
  <c r="G171" i="1" s="1"/>
  <c r="G177" i="1" s="1"/>
  <c r="G188" i="1" s="1"/>
  <c r="I41" i="1"/>
  <c r="W42" i="1"/>
  <c r="W48" i="1" s="1"/>
  <c r="W59" i="1" s="1"/>
  <c r="W85" i="1" s="1"/>
  <c r="W91" i="1" s="1"/>
  <c r="W102" i="1" s="1"/>
  <c r="W128" i="1" s="1"/>
  <c r="W134" i="1" s="1"/>
  <c r="W145" i="1" s="1"/>
  <c r="W171" i="1" s="1"/>
  <c r="W177" i="1" s="1"/>
  <c r="W188" i="1" s="1"/>
  <c r="W214" i="1" s="1"/>
  <c r="W220" i="1" s="1"/>
  <c r="W231" i="1" s="1"/>
  <c r="W257" i="1" s="1"/>
  <c r="W263" i="1" s="1"/>
  <c r="W274" i="1" s="1"/>
  <c r="W300" i="1" s="1"/>
  <c r="W306" i="1" s="1"/>
  <c r="W317" i="1" s="1"/>
  <c r="X16" i="1"/>
  <c r="U42" i="1"/>
  <c r="U48" i="1" s="1"/>
  <c r="U59" i="1" s="1"/>
  <c r="F42" i="1"/>
  <c r="F48" i="1" s="1"/>
  <c r="F59" i="1" s="1"/>
  <c r="T22" i="1"/>
  <c r="AC22" i="1" s="1"/>
  <c r="B515" i="4" l="1"/>
  <c r="B521" i="4" s="1"/>
  <c r="B532" i="4" s="1"/>
  <c r="E489" i="4"/>
  <c r="F472" i="4"/>
  <c r="F478" i="4" s="1"/>
  <c r="F489" i="4" s="1"/>
  <c r="I446" i="4"/>
  <c r="I472" i="4" s="1"/>
  <c r="I478" i="4" s="1"/>
  <c r="E472" i="4"/>
  <c r="E478" i="4" s="1"/>
  <c r="U429" i="4"/>
  <c r="U435" i="4" s="1"/>
  <c r="U446" i="4" s="1"/>
  <c r="X403" i="4"/>
  <c r="X429" i="4" s="1"/>
  <c r="X435" i="4" s="1"/>
  <c r="Q386" i="4"/>
  <c r="Q392" i="4" s="1"/>
  <c r="Q403" i="4" s="1"/>
  <c r="T360" i="4"/>
  <c r="Y429" i="4"/>
  <c r="Y435" i="4" s="1"/>
  <c r="Y446" i="4" s="1"/>
  <c r="AB403" i="4"/>
  <c r="AB429" i="4" s="1"/>
  <c r="AB435" i="4" s="1"/>
  <c r="W343" i="1"/>
  <c r="W349" i="1" s="1"/>
  <c r="W360" i="1" s="1"/>
  <c r="W386" i="1" s="1"/>
  <c r="V343" i="1"/>
  <c r="V349" i="1" s="1"/>
  <c r="V360" i="1" s="1"/>
  <c r="V386" i="1" s="1"/>
  <c r="J386" i="4"/>
  <c r="J392" i="4" s="1"/>
  <c r="J403" i="4" s="1"/>
  <c r="M360" i="4"/>
  <c r="M306" i="4"/>
  <c r="N306" i="4" s="1"/>
  <c r="N300" i="4"/>
  <c r="M343" i="4"/>
  <c r="N317" i="4"/>
  <c r="AC300" i="4"/>
  <c r="T306" i="4"/>
  <c r="AC306" i="4" s="1"/>
  <c r="T343" i="4"/>
  <c r="T349" i="4" s="1"/>
  <c r="AC349" i="4" s="1"/>
  <c r="AC317" i="4"/>
  <c r="Z392" i="1"/>
  <c r="Z403" i="1" s="1"/>
  <c r="Z429" i="1" s="1"/>
  <c r="Z435" i="1" s="1"/>
  <c r="Z446" i="1" s="1"/>
  <c r="Z472" i="1" s="1"/>
  <c r="AA429" i="1"/>
  <c r="AA435" i="1" s="1"/>
  <c r="AA446" i="1" s="1"/>
  <c r="AA472" i="1" s="1"/>
  <c r="AA392" i="1"/>
  <c r="AA403" i="1" s="1"/>
  <c r="U216" i="1"/>
  <c r="X602" i="1"/>
  <c r="X216" i="1"/>
  <c r="V216" i="1"/>
  <c r="W216" i="1"/>
  <c r="AB602" i="1"/>
  <c r="AB216" i="1"/>
  <c r="Y216" i="1"/>
  <c r="AA216" i="1"/>
  <c r="Z216" i="1"/>
  <c r="K472" i="1"/>
  <c r="K478" i="1" s="1"/>
  <c r="K489" i="1" s="1"/>
  <c r="L343" i="1"/>
  <c r="L349" i="1" s="1"/>
  <c r="L360" i="1" s="1"/>
  <c r="H257" i="1"/>
  <c r="H263" i="1" s="1"/>
  <c r="H274" i="1" s="1"/>
  <c r="H300" i="1" s="1"/>
  <c r="H306" i="1" s="1"/>
  <c r="H317" i="1" s="1"/>
  <c r="H343" i="1" s="1"/>
  <c r="H349" i="1" s="1"/>
  <c r="H360" i="1" s="1"/>
  <c r="H386" i="1" s="1"/>
  <c r="H392" i="1" s="1"/>
  <c r="H403" i="1" s="1"/>
  <c r="H429" i="1" s="1"/>
  <c r="H435" i="1" s="1"/>
  <c r="H446" i="1" s="1"/>
  <c r="H472" i="1" s="1"/>
  <c r="H478" i="1" s="1"/>
  <c r="H489" i="1" s="1"/>
  <c r="H515" i="1" s="1"/>
  <c r="H521" i="1" s="1"/>
  <c r="H532" i="1" s="1"/>
  <c r="H558" i="1" s="1"/>
  <c r="H564" i="1" s="1"/>
  <c r="H575" i="1" s="1"/>
  <c r="H601" i="1" s="1"/>
  <c r="H607" i="1" s="1"/>
  <c r="H618" i="1" s="1"/>
  <c r="G214" i="1"/>
  <c r="G220" i="1" s="1"/>
  <c r="G231" i="1" s="1"/>
  <c r="G257" i="1" s="1"/>
  <c r="G263" i="1" s="1"/>
  <c r="G274" i="1" s="1"/>
  <c r="G300" i="1" s="1"/>
  <c r="G306" i="1" s="1"/>
  <c r="G317" i="1" s="1"/>
  <c r="Y214" i="1"/>
  <c r="Y220" i="1" s="1"/>
  <c r="Y231" i="1" s="1"/>
  <c r="AB188" i="1"/>
  <c r="AB214" i="1" s="1"/>
  <c r="AB220" i="1" s="1"/>
  <c r="J128" i="1"/>
  <c r="J134" i="1" s="1"/>
  <c r="J145" i="1" s="1"/>
  <c r="M102" i="1"/>
  <c r="M128" i="1" s="1"/>
  <c r="M134" i="1" s="1"/>
  <c r="X42" i="1"/>
  <c r="X48" i="1" s="1"/>
  <c r="U85" i="1"/>
  <c r="U91" i="1" s="1"/>
  <c r="U102" i="1" s="1"/>
  <c r="X59" i="1"/>
  <c r="X85" i="1" s="1"/>
  <c r="X91" i="1" s="1"/>
  <c r="I59" i="1"/>
  <c r="I85" i="1" s="1"/>
  <c r="I91" i="1" s="1"/>
  <c r="F85" i="1"/>
  <c r="F91" i="1" s="1"/>
  <c r="F102" i="1" s="1"/>
  <c r="I42" i="1"/>
  <c r="I48" i="1" s="1"/>
  <c r="E6" i="1"/>
  <c r="N6" i="1" s="1"/>
  <c r="E7" i="1"/>
  <c r="N7" i="1" s="1"/>
  <c r="E8" i="1"/>
  <c r="N8" i="1" s="1"/>
  <c r="E9" i="1"/>
  <c r="N9" i="1" s="1"/>
  <c r="E10" i="1"/>
  <c r="N10" i="1" s="1"/>
  <c r="E11" i="1"/>
  <c r="N11" i="1" s="1"/>
  <c r="E12" i="1"/>
  <c r="N12" i="1" s="1"/>
  <c r="E13" i="1"/>
  <c r="N13" i="1" s="1"/>
  <c r="E14" i="1"/>
  <c r="N14" i="1" s="1"/>
  <c r="B558" i="4" l="1"/>
  <c r="B564" i="4" s="1"/>
  <c r="B575" i="4" s="1"/>
  <c r="E532" i="4"/>
  <c r="F515" i="4"/>
  <c r="F521" i="4" s="1"/>
  <c r="F532" i="4" s="1"/>
  <c r="I489" i="4"/>
  <c r="I515" i="4" s="1"/>
  <c r="I521" i="4" s="1"/>
  <c r="E515" i="4"/>
  <c r="E521" i="4" s="1"/>
  <c r="AB446" i="4"/>
  <c r="AB472" i="4" s="1"/>
  <c r="AB478" i="4" s="1"/>
  <c r="Y472" i="4"/>
  <c r="Y478" i="4" s="1"/>
  <c r="Y489" i="4" s="1"/>
  <c r="U472" i="4"/>
  <c r="U478" i="4" s="1"/>
  <c r="U489" i="4" s="1"/>
  <c r="X446" i="4"/>
  <c r="X472" i="4" s="1"/>
  <c r="X478" i="4" s="1"/>
  <c r="M403" i="4"/>
  <c r="J429" i="4"/>
  <c r="J435" i="4" s="1"/>
  <c r="J446" i="4" s="1"/>
  <c r="T403" i="4"/>
  <c r="Q429" i="4"/>
  <c r="Q435" i="4" s="1"/>
  <c r="Q446" i="4" s="1"/>
  <c r="T386" i="4"/>
  <c r="AC360" i="4"/>
  <c r="AC343" i="4"/>
  <c r="N343" i="4"/>
  <c r="M349" i="4"/>
  <c r="N349" i="4" s="1"/>
  <c r="M386" i="4"/>
  <c r="N360" i="4"/>
  <c r="W392" i="1"/>
  <c r="W403" i="1" s="1"/>
  <c r="W429" i="1" s="1"/>
  <c r="W435" i="1" s="1"/>
  <c r="W446" i="1" s="1"/>
  <c r="W472" i="1" s="1"/>
  <c r="V392" i="1"/>
  <c r="V403" i="1" s="1"/>
  <c r="V429" i="1" s="1"/>
  <c r="V435" i="1" s="1"/>
  <c r="V446" i="1" s="1"/>
  <c r="V472" i="1" s="1"/>
  <c r="Z478" i="1"/>
  <c r="Z489" i="1" s="1"/>
  <c r="Z515" i="1" s="1"/>
  <c r="Z521" i="1" s="1"/>
  <c r="Z532" i="1" s="1"/>
  <c r="Z558" i="1" s="1"/>
  <c r="Z564" i="1" s="1"/>
  <c r="Z575" i="1" s="1"/>
  <c r="Z601" i="1" s="1"/>
  <c r="Z607" i="1" s="1"/>
  <c r="Z618" i="1" s="1"/>
  <c r="Z644" i="1" s="1"/>
  <c r="Z650" i="1" s="1"/>
  <c r="Z661" i="1" s="1"/>
  <c r="Z687" i="1" s="1"/>
  <c r="Z693" i="1" s="1"/>
  <c r="Z704" i="1" s="1"/>
  <c r="Z730" i="1" s="1"/>
  <c r="Z736" i="1" s="1"/>
  <c r="Z747" i="1" s="1"/>
  <c r="Z773" i="1" s="1"/>
  <c r="Z779" i="1" s="1"/>
  <c r="Z790" i="1" s="1"/>
  <c r="Z816" i="1" s="1"/>
  <c r="Z822" i="1" s="1"/>
  <c r="Z833" i="1" s="1"/>
  <c r="Z859" i="1" s="1"/>
  <c r="Z865" i="1" s="1"/>
  <c r="Z876" i="1" s="1"/>
  <c r="Z902" i="1" s="1"/>
  <c r="Z908" i="1" s="1"/>
  <c r="Z919" i="1" s="1"/>
  <c r="Z945" i="1" s="1"/>
  <c r="Z951" i="1" s="1"/>
  <c r="Z962" i="1" s="1"/>
  <c r="Z988" i="1" s="1"/>
  <c r="Z994" i="1" s="1"/>
  <c r="Z1005" i="1" s="1"/>
  <c r="Z1031" i="1" s="1"/>
  <c r="Z1037" i="1" s="1"/>
  <c r="Z1048" i="1" s="1"/>
  <c r="Z1074" i="1" s="1"/>
  <c r="Z1080" i="1" s="1"/>
  <c r="Z1091" i="1" s="1"/>
  <c r="Z1117" i="1" s="1"/>
  <c r="Z1123" i="1" s="1"/>
  <c r="Z1134" i="1" s="1"/>
  <c r="Z1160" i="1" s="1"/>
  <c r="Z1166" i="1" s="1"/>
  <c r="Z1177" i="1" s="1"/>
  <c r="Z1203" i="1" s="1"/>
  <c r="Z1209" i="1" s="1"/>
  <c r="Z1220" i="1" s="1"/>
  <c r="Z1246" i="1" s="1"/>
  <c r="Z1252" i="1" s="1"/>
  <c r="Z1263" i="1" s="1"/>
  <c r="Z1289" i="1" s="1"/>
  <c r="Z1295" i="1" s="1"/>
  <c r="Z1306" i="1" s="1"/>
  <c r="Z1332" i="1" s="1"/>
  <c r="Z1338" i="1" s="1"/>
  <c r="Z1349" i="1" s="1"/>
  <c r="Z1375" i="1" s="1"/>
  <c r="Z1381" i="1" s="1"/>
  <c r="Z1392" i="1" s="1"/>
  <c r="Z1418" i="1" s="1"/>
  <c r="Z1424" i="1" s="1"/>
  <c r="Z1435" i="1" s="1"/>
  <c r="Z1461" i="1" s="1"/>
  <c r="Z1467" i="1" s="1"/>
  <c r="Z1478" i="1" s="1"/>
  <c r="Z1504" i="1" s="1"/>
  <c r="Z1510" i="1" s="1"/>
  <c r="Z1521" i="1" s="1"/>
  <c r="Z1547" i="1" s="1"/>
  <c r="Z1553" i="1" s="1"/>
  <c r="Z1564" i="1" s="1"/>
  <c r="Z1590" i="1" s="1"/>
  <c r="Z1596" i="1" s="1"/>
  <c r="Z1607" i="1" s="1"/>
  <c r="Z1633" i="1" s="1"/>
  <c r="Z1639" i="1" s="1"/>
  <c r="Z1650" i="1" s="1"/>
  <c r="Z1676" i="1" s="1"/>
  <c r="Z1682" i="1" s="1"/>
  <c r="Z1693" i="1" s="1"/>
  <c r="Z1719" i="1" s="1"/>
  <c r="Z1725" i="1" s="1"/>
  <c r="Z1736" i="1" s="1"/>
  <c r="Z1762" i="1" s="1"/>
  <c r="Z1768" i="1" s="1"/>
  <c r="Z1779" i="1" s="1"/>
  <c r="Z1805" i="1" s="1"/>
  <c r="Z1811" i="1" s="1"/>
  <c r="Z1822" i="1" s="1"/>
  <c r="Z1848" i="1" s="1"/>
  <c r="Z1854" i="1" s="1"/>
  <c r="Z1865" i="1" s="1"/>
  <c r="Z1891" i="1" s="1"/>
  <c r="Z1897" i="1" s="1"/>
  <c r="Z1908" i="1" s="1"/>
  <c r="Z1934" i="1" s="1"/>
  <c r="Z1940" i="1" s="1"/>
  <c r="Z1951" i="1" s="1"/>
  <c r="Z1977" i="1" s="1"/>
  <c r="Z1983" i="1" s="1"/>
  <c r="Z1994" i="1" s="1"/>
  <c r="Z2020" i="1" s="1"/>
  <c r="Z2026" i="1" s="1"/>
  <c r="Z2037" i="1" s="1"/>
  <c r="Z2063" i="1" s="1"/>
  <c r="Z2069" i="1" s="1"/>
  <c r="Z2080" i="1" s="1"/>
  <c r="Z2106" i="1" s="1"/>
  <c r="Z2112" i="1" s="1"/>
  <c r="Z2123" i="1" s="1"/>
  <c r="Z2149" i="1" s="1"/>
  <c r="Z2155" i="1" s="1"/>
  <c r="Z2166" i="1" s="1"/>
  <c r="Z2192" i="1" s="1"/>
  <c r="Z2198" i="1" s="1"/>
  <c r="Z2209" i="1" s="1"/>
  <c r="Z2235" i="1" s="1"/>
  <c r="Z2241" i="1" s="1"/>
  <c r="Z2252" i="1" s="1"/>
  <c r="Z2278" i="1" s="1"/>
  <c r="AA478" i="1"/>
  <c r="AA489" i="1" s="1"/>
  <c r="AA515" i="1" s="1"/>
  <c r="AA521" i="1" s="1"/>
  <c r="AA532" i="1" s="1"/>
  <c r="AA558" i="1" s="1"/>
  <c r="AA564" i="1" s="1"/>
  <c r="AA575" i="1" s="1"/>
  <c r="AA601" i="1" s="1"/>
  <c r="AA607" i="1" s="1"/>
  <c r="AA618" i="1" s="1"/>
  <c r="AA644" i="1" s="1"/>
  <c r="AA650" i="1" s="1"/>
  <c r="AA661" i="1" s="1"/>
  <c r="AA687" i="1" s="1"/>
  <c r="AA693" i="1" s="1"/>
  <c r="AA704" i="1" s="1"/>
  <c r="AA730" i="1" s="1"/>
  <c r="AA736" i="1" s="1"/>
  <c r="AA747" i="1" s="1"/>
  <c r="AA773" i="1" s="1"/>
  <c r="AA779" i="1" s="1"/>
  <c r="AA790" i="1" s="1"/>
  <c r="AA816" i="1" s="1"/>
  <c r="AA822" i="1" s="1"/>
  <c r="AA833" i="1" s="1"/>
  <c r="AA859" i="1" s="1"/>
  <c r="AA865" i="1" s="1"/>
  <c r="AA876" i="1" s="1"/>
  <c r="AA902" i="1" s="1"/>
  <c r="AA908" i="1" s="1"/>
  <c r="AA919" i="1" s="1"/>
  <c r="AA945" i="1" s="1"/>
  <c r="AA951" i="1" s="1"/>
  <c r="AA962" i="1" s="1"/>
  <c r="AA988" i="1" s="1"/>
  <c r="AA994" i="1" s="1"/>
  <c r="AA1005" i="1" s="1"/>
  <c r="AA1031" i="1" s="1"/>
  <c r="AA1037" i="1" s="1"/>
  <c r="AA1048" i="1" s="1"/>
  <c r="AA1074" i="1" s="1"/>
  <c r="AA1080" i="1" s="1"/>
  <c r="AA1091" i="1" s="1"/>
  <c r="AA1117" i="1" s="1"/>
  <c r="AA1123" i="1" s="1"/>
  <c r="AA1134" i="1" s="1"/>
  <c r="AA1160" i="1" s="1"/>
  <c r="AA1166" i="1" s="1"/>
  <c r="AA1177" i="1" s="1"/>
  <c r="AA1203" i="1" s="1"/>
  <c r="AA1209" i="1" s="1"/>
  <c r="AA1220" i="1" s="1"/>
  <c r="AA1246" i="1" s="1"/>
  <c r="AA1252" i="1" s="1"/>
  <c r="AA1263" i="1" s="1"/>
  <c r="AA1289" i="1" s="1"/>
  <c r="AA1295" i="1" s="1"/>
  <c r="AA1306" i="1" s="1"/>
  <c r="AA1332" i="1" s="1"/>
  <c r="AA1338" i="1" s="1"/>
  <c r="AA1349" i="1" s="1"/>
  <c r="AA1375" i="1" s="1"/>
  <c r="AA1381" i="1" s="1"/>
  <c r="AA1392" i="1" s="1"/>
  <c r="AA1418" i="1" s="1"/>
  <c r="AA1424" i="1" s="1"/>
  <c r="AA1435" i="1" s="1"/>
  <c r="AA1461" i="1" s="1"/>
  <c r="AA1467" i="1" s="1"/>
  <c r="AA1478" i="1" s="1"/>
  <c r="AA1504" i="1" s="1"/>
  <c r="AA1510" i="1" s="1"/>
  <c r="AA1521" i="1" s="1"/>
  <c r="AA1547" i="1" s="1"/>
  <c r="AA1553" i="1" s="1"/>
  <c r="AA1564" i="1" s="1"/>
  <c r="AA1590" i="1" s="1"/>
  <c r="AA1596" i="1" s="1"/>
  <c r="AA1607" i="1" s="1"/>
  <c r="AA1633" i="1" s="1"/>
  <c r="AA1639" i="1" s="1"/>
  <c r="AA1650" i="1" s="1"/>
  <c r="AA1676" i="1" s="1"/>
  <c r="AA1682" i="1" s="1"/>
  <c r="AA1693" i="1" s="1"/>
  <c r="AA1719" i="1" s="1"/>
  <c r="AA1725" i="1" s="1"/>
  <c r="AA1736" i="1" s="1"/>
  <c r="AA1762" i="1" s="1"/>
  <c r="AA1768" i="1" s="1"/>
  <c r="AA1779" i="1" s="1"/>
  <c r="AA1805" i="1" s="1"/>
  <c r="AA1811" i="1" s="1"/>
  <c r="AA1822" i="1" s="1"/>
  <c r="AA1848" i="1" s="1"/>
  <c r="AA1854" i="1" s="1"/>
  <c r="AA1865" i="1" s="1"/>
  <c r="AA1891" i="1" s="1"/>
  <c r="AA1897" i="1" s="1"/>
  <c r="AA1908" i="1" s="1"/>
  <c r="AA1934" i="1" s="1"/>
  <c r="AA1940" i="1" s="1"/>
  <c r="AA1951" i="1" s="1"/>
  <c r="AA1977" i="1" s="1"/>
  <c r="AA1983" i="1" s="1"/>
  <c r="AA1994" i="1" s="1"/>
  <c r="AA2020" i="1" s="1"/>
  <c r="AA2026" i="1" s="1"/>
  <c r="AA2037" i="1" s="1"/>
  <c r="AA2063" i="1" s="1"/>
  <c r="AA2069" i="1" s="1"/>
  <c r="AA2080" i="1" s="1"/>
  <c r="AA2106" i="1" s="1"/>
  <c r="AA2112" i="1" s="1"/>
  <c r="AA2123" i="1" s="1"/>
  <c r="AA2149" i="1" s="1"/>
  <c r="AA2155" i="1" s="1"/>
  <c r="AA2166" i="1" s="1"/>
  <c r="AA2192" i="1" s="1"/>
  <c r="AA2198" i="1" s="1"/>
  <c r="AA2209" i="1" s="1"/>
  <c r="AA2235" i="1" s="1"/>
  <c r="AA2241" i="1" s="1"/>
  <c r="AA2252" i="1" s="1"/>
  <c r="AA2278" i="1" s="1"/>
  <c r="V603" i="1"/>
  <c r="X1204" i="1"/>
  <c r="AB603" i="1"/>
  <c r="AB1204" i="1"/>
  <c r="AA603" i="1"/>
  <c r="W603" i="1"/>
  <c r="Y603" i="1"/>
  <c r="Z603" i="1"/>
  <c r="X603" i="1"/>
  <c r="U603" i="1"/>
  <c r="H644" i="1"/>
  <c r="H650" i="1" s="1"/>
  <c r="H661" i="1" s="1"/>
  <c r="H687" i="1" s="1"/>
  <c r="H693" i="1" s="1"/>
  <c r="H704" i="1" s="1"/>
  <c r="H730" i="1" s="1"/>
  <c r="H736" i="1" s="1"/>
  <c r="H747" i="1" s="1"/>
  <c r="H773" i="1" s="1"/>
  <c r="H779" i="1" s="1"/>
  <c r="H790" i="1" s="1"/>
  <c r="H816" i="1" s="1"/>
  <c r="H822" i="1" s="1"/>
  <c r="H833" i="1" s="1"/>
  <c r="K515" i="1"/>
  <c r="K521" i="1" s="1"/>
  <c r="K532" i="1" s="1"/>
  <c r="L386" i="1"/>
  <c r="L392" i="1" s="1"/>
  <c r="L403" i="1" s="1"/>
  <c r="L429" i="1" s="1"/>
  <c r="L435" i="1" s="1"/>
  <c r="L446" i="1" s="1"/>
  <c r="L472" i="1" s="1"/>
  <c r="L478" i="1" s="1"/>
  <c r="L489" i="1" s="1"/>
  <c r="L515" i="1" s="1"/>
  <c r="L521" i="1" s="1"/>
  <c r="L532" i="1" s="1"/>
  <c r="L558" i="1" s="1"/>
  <c r="L564" i="1" s="1"/>
  <c r="L575" i="1" s="1"/>
  <c r="L601" i="1" s="1"/>
  <c r="L607" i="1" s="1"/>
  <c r="L618" i="1" s="1"/>
  <c r="G343" i="1"/>
  <c r="G349" i="1" s="1"/>
  <c r="G360" i="1" s="1"/>
  <c r="Y257" i="1"/>
  <c r="Y263" i="1" s="1"/>
  <c r="Y274" i="1" s="1"/>
  <c r="AB231" i="1"/>
  <c r="AB257" i="1" s="1"/>
  <c r="AB263" i="1" s="1"/>
  <c r="J171" i="1"/>
  <c r="J177" i="1" s="1"/>
  <c r="J188" i="1" s="1"/>
  <c r="M145" i="1"/>
  <c r="M171" i="1" s="1"/>
  <c r="M177" i="1" s="1"/>
  <c r="X102" i="1"/>
  <c r="X128" i="1" s="1"/>
  <c r="X134" i="1" s="1"/>
  <c r="U128" i="1"/>
  <c r="U134" i="1" s="1"/>
  <c r="U145" i="1" s="1"/>
  <c r="F128" i="1"/>
  <c r="F134" i="1" s="1"/>
  <c r="F145" i="1" s="1"/>
  <c r="I102" i="1"/>
  <c r="I128" i="1" s="1"/>
  <c r="I134" i="1" s="1"/>
  <c r="D41" i="1"/>
  <c r="S41" i="1"/>
  <c r="S86" i="1" s="1"/>
  <c r="S215" i="1" s="1"/>
  <c r="S16" i="1"/>
  <c r="D16" i="1"/>
  <c r="F558" i="4" l="1"/>
  <c r="F564" i="4" s="1"/>
  <c r="F575" i="4" s="1"/>
  <c r="I532" i="4"/>
  <c r="I558" i="4" s="1"/>
  <c r="I564" i="4" s="1"/>
  <c r="E558" i="4"/>
  <c r="B601" i="4"/>
  <c r="E575" i="4"/>
  <c r="AB489" i="4"/>
  <c r="AB515" i="4" s="1"/>
  <c r="AB521" i="4" s="1"/>
  <c r="Y515" i="4"/>
  <c r="Y521" i="4" s="1"/>
  <c r="Y532" i="4" s="1"/>
  <c r="X489" i="4"/>
  <c r="X515" i="4" s="1"/>
  <c r="X521" i="4" s="1"/>
  <c r="U515" i="4"/>
  <c r="U521" i="4" s="1"/>
  <c r="U532" i="4" s="1"/>
  <c r="Y473" i="4"/>
  <c r="Z473" i="4"/>
  <c r="AA473" i="4"/>
  <c r="AB473" i="4"/>
  <c r="U473" i="4"/>
  <c r="V473" i="4"/>
  <c r="W473" i="4"/>
  <c r="X473" i="4"/>
  <c r="J472" i="4"/>
  <c r="J478" i="4" s="1"/>
  <c r="J489" i="4" s="1"/>
  <c r="M446" i="4"/>
  <c r="T446" i="4"/>
  <c r="Q472" i="4"/>
  <c r="Q478" i="4" s="1"/>
  <c r="Q489" i="4" s="1"/>
  <c r="N386" i="4"/>
  <c r="M392" i="4"/>
  <c r="N392" i="4" s="1"/>
  <c r="M429" i="4"/>
  <c r="N403" i="4"/>
  <c r="T392" i="4"/>
  <c r="AC392" i="4" s="1"/>
  <c r="AC386" i="4"/>
  <c r="T429" i="4"/>
  <c r="AC403" i="4"/>
  <c r="W478" i="1"/>
  <c r="W489" i="1" s="1"/>
  <c r="W515" i="1" s="1"/>
  <c r="W521" i="1" s="1"/>
  <c r="W532" i="1" s="1"/>
  <c r="W558" i="1" s="1"/>
  <c r="W564" i="1" s="1"/>
  <c r="W575" i="1" s="1"/>
  <c r="W601" i="1" s="1"/>
  <c r="W607" i="1" s="1"/>
  <c r="W618" i="1" s="1"/>
  <c r="W644" i="1" s="1"/>
  <c r="W650" i="1" s="1"/>
  <c r="W661" i="1" s="1"/>
  <c r="W687" i="1" s="1"/>
  <c r="W693" i="1" s="1"/>
  <c r="W704" i="1" s="1"/>
  <c r="W730" i="1" s="1"/>
  <c r="W736" i="1" s="1"/>
  <c r="W747" i="1" s="1"/>
  <c r="W773" i="1" s="1"/>
  <c r="W779" i="1" s="1"/>
  <c r="W790" i="1" s="1"/>
  <c r="W816" i="1" s="1"/>
  <c r="W822" i="1" s="1"/>
  <c r="W833" i="1" s="1"/>
  <c r="W859" i="1" s="1"/>
  <c r="W865" i="1" s="1"/>
  <c r="W876" i="1" s="1"/>
  <c r="W902" i="1" s="1"/>
  <c r="W908" i="1" s="1"/>
  <c r="W919" i="1" s="1"/>
  <c r="W945" i="1" s="1"/>
  <c r="W951" i="1" s="1"/>
  <c r="W962" i="1" s="1"/>
  <c r="W988" i="1" s="1"/>
  <c r="W994" i="1" s="1"/>
  <c r="W1005" i="1" s="1"/>
  <c r="W1031" i="1" s="1"/>
  <c r="W1037" i="1" s="1"/>
  <c r="W1048" i="1" s="1"/>
  <c r="W1074" i="1" s="1"/>
  <c r="W1080" i="1" s="1"/>
  <c r="W1091" i="1" s="1"/>
  <c r="W1117" i="1" s="1"/>
  <c r="W1123" i="1" s="1"/>
  <c r="W1134" i="1" s="1"/>
  <c r="W1160" i="1" s="1"/>
  <c r="W1166" i="1" s="1"/>
  <c r="W1177" i="1" s="1"/>
  <c r="W1203" i="1" s="1"/>
  <c r="W1209" i="1" s="1"/>
  <c r="W1220" i="1" s="1"/>
  <c r="W1246" i="1" s="1"/>
  <c r="W1252" i="1" s="1"/>
  <c r="W1263" i="1" s="1"/>
  <c r="W1289" i="1" s="1"/>
  <c r="W1295" i="1" s="1"/>
  <c r="W1306" i="1" s="1"/>
  <c r="W1332" i="1" s="1"/>
  <c r="W1338" i="1" s="1"/>
  <c r="W1349" i="1" s="1"/>
  <c r="W1375" i="1" s="1"/>
  <c r="W1381" i="1" s="1"/>
  <c r="W1392" i="1" s="1"/>
  <c r="W1418" i="1" s="1"/>
  <c r="W1424" i="1" s="1"/>
  <c r="W1435" i="1" s="1"/>
  <c r="W1461" i="1" s="1"/>
  <c r="W1467" i="1" s="1"/>
  <c r="W1478" i="1" s="1"/>
  <c r="W1504" i="1" s="1"/>
  <c r="W1510" i="1" s="1"/>
  <c r="W1521" i="1" s="1"/>
  <c r="W1547" i="1" s="1"/>
  <c r="W1553" i="1" s="1"/>
  <c r="W1564" i="1" s="1"/>
  <c r="W1590" i="1" s="1"/>
  <c r="W1596" i="1" s="1"/>
  <c r="W1607" i="1" s="1"/>
  <c r="W1633" i="1" s="1"/>
  <c r="W1639" i="1" s="1"/>
  <c r="W1650" i="1" s="1"/>
  <c r="W1676" i="1" s="1"/>
  <c r="W1682" i="1" s="1"/>
  <c r="W1693" i="1" s="1"/>
  <c r="W1719" i="1" s="1"/>
  <c r="W1725" i="1" s="1"/>
  <c r="W1736" i="1" s="1"/>
  <c r="W1762" i="1" s="1"/>
  <c r="W1768" i="1" s="1"/>
  <c r="W1779" i="1" s="1"/>
  <c r="W1805" i="1" s="1"/>
  <c r="W1811" i="1" s="1"/>
  <c r="W1822" i="1" s="1"/>
  <c r="W1848" i="1" s="1"/>
  <c r="W1854" i="1" s="1"/>
  <c r="W1865" i="1" s="1"/>
  <c r="W1891" i="1" s="1"/>
  <c r="W1897" i="1" s="1"/>
  <c r="W1908" i="1" s="1"/>
  <c r="W1934" i="1" s="1"/>
  <c r="W1940" i="1" s="1"/>
  <c r="W1951" i="1" s="1"/>
  <c r="W1977" i="1" s="1"/>
  <c r="W1983" i="1" s="1"/>
  <c r="W1994" i="1" s="1"/>
  <c r="W2020" i="1" s="1"/>
  <c r="W2026" i="1" s="1"/>
  <c r="W2037" i="1" s="1"/>
  <c r="W2063" i="1" s="1"/>
  <c r="W2069" i="1" s="1"/>
  <c r="W2080" i="1" s="1"/>
  <c r="W2106" i="1" s="1"/>
  <c r="W2112" i="1" s="1"/>
  <c r="W2123" i="1" s="1"/>
  <c r="W2149" i="1" s="1"/>
  <c r="W2155" i="1" s="1"/>
  <c r="W2166" i="1" s="1"/>
  <c r="W2192" i="1" s="1"/>
  <c r="W2198" i="1" s="1"/>
  <c r="W2209" i="1" s="1"/>
  <c r="W2235" i="1" s="1"/>
  <c r="W2241" i="1" s="1"/>
  <c r="W2252" i="1" s="1"/>
  <c r="W2278" i="1" s="1"/>
  <c r="V478" i="1"/>
  <c r="V489" i="1" s="1"/>
  <c r="V515" i="1" s="1"/>
  <c r="V521" i="1" s="1"/>
  <c r="V532" i="1" s="1"/>
  <c r="V558" i="1" s="1"/>
  <c r="V564" i="1" s="1"/>
  <c r="V575" i="1" s="1"/>
  <c r="V601" i="1" s="1"/>
  <c r="V607" i="1" s="1"/>
  <c r="V618" i="1" s="1"/>
  <c r="V644" i="1" s="1"/>
  <c r="V650" i="1" s="1"/>
  <c r="V661" i="1" s="1"/>
  <c r="V687" i="1" s="1"/>
  <c r="V693" i="1" s="1"/>
  <c r="V704" i="1" s="1"/>
  <c r="V730" i="1" s="1"/>
  <c r="V736" i="1" s="1"/>
  <c r="V747" i="1" s="1"/>
  <c r="V773" i="1" s="1"/>
  <c r="V779" i="1" s="1"/>
  <c r="V790" i="1" s="1"/>
  <c r="V816" i="1" s="1"/>
  <c r="V822" i="1" s="1"/>
  <c r="V833" i="1" s="1"/>
  <c r="V859" i="1" s="1"/>
  <c r="V865" i="1" s="1"/>
  <c r="V876" i="1" s="1"/>
  <c r="V902" i="1" s="1"/>
  <c r="V908" i="1" s="1"/>
  <c r="V919" i="1" s="1"/>
  <c r="V945" i="1" s="1"/>
  <c r="V951" i="1" s="1"/>
  <c r="V962" i="1" s="1"/>
  <c r="V988" i="1" s="1"/>
  <c r="V994" i="1" s="1"/>
  <c r="V1005" i="1" s="1"/>
  <c r="V1031" i="1" s="1"/>
  <c r="V1037" i="1" s="1"/>
  <c r="V1048" i="1" s="1"/>
  <c r="V1074" i="1" s="1"/>
  <c r="V1080" i="1" s="1"/>
  <c r="V1091" i="1" s="1"/>
  <c r="V1117" i="1" s="1"/>
  <c r="V1123" i="1" s="1"/>
  <c r="V1134" i="1" s="1"/>
  <c r="V1160" i="1" s="1"/>
  <c r="V1166" i="1" s="1"/>
  <c r="V1177" i="1" s="1"/>
  <c r="V1203" i="1" s="1"/>
  <c r="V1209" i="1" s="1"/>
  <c r="V1220" i="1" s="1"/>
  <c r="V1246" i="1" s="1"/>
  <c r="V1252" i="1" s="1"/>
  <c r="V1263" i="1" s="1"/>
  <c r="V1289" i="1" s="1"/>
  <c r="V1295" i="1" s="1"/>
  <c r="V1306" i="1" s="1"/>
  <c r="V1332" i="1" s="1"/>
  <c r="V1338" i="1" s="1"/>
  <c r="V1349" i="1" s="1"/>
  <c r="V1375" i="1" s="1"/>
  <c r="V1381" i="1" s="1"/>
  <c r="V1392" i="1" s="1"/>
  <c r="V1418" i="1" s="1"/>
  <c r="V1424" i="1" s="1"/>
  <c r="V1435" i="1" s="1"/>
  <c r="V1461" i="1" s="1"/>
  <c r="V1467" i="1" s="1"/>
  <c r="V1478" i="1" s="1"/>
  <c r="V1504" i="1" s="1"/>
  <c r="V1510" i="1" s="1"/>
  <c r="V1521" i="1" s="1"/>
  <c r="V1547" i="1" s="1"/>
  <c r="V1553" i="1" s="1"/>
  <c r="V1564" i="1" s="1"/>
  <c r="V1590" i="1" s="1"/>
  <c r="V1596" i="1" s="1"/>
  <c r="V1607" i="1" s="1"/>
  <c r="V1633" i="1" s="1"/>
  <c r="V1639" i="1" s="1"/>
  <c r="V1650" i="1" s="1"/>
  <c r="V1676" i="1" s="1"/>
  <c r="V1682" i="1" s="1"/>
  <c r="V1693" i="1" s="1"/>
  <c r="V1719" i="1" s="1"/>
  <c r="V1725" i="1" s="1"/>
  <c r="V1736" i="1" s="1"/>
  <c r="V1762" i="1" s="1"/>
  <c r="V1768" i="1" s="1"/>
  <c r="V1779" i="1" s="1"/>
  <c r="V1805" i="1" s="1"/>
  <c r="V1811" i="1" s="1"/>
  <c r="V1822" i="1" s="1"/>
  <c r="V1848" i="1" s="1"/>
  <c r="V1854" i="1" s="1"/>
  <c r="V1865" i="1" s="1"/>
  <c r="V1891" i="1" s="1"/>
  <c r="V1897" i="1" s="1"/>
  <c r="V1908" i="1" s="1"/>
  <c r="V1934" i="1" s="1"/>
  <c r="V1940" i="1" s="1"/>
  <c r="V1951" i="1" s="1"/>
  <c r="V1977" i="1" s="1"/>
  <c r="V1983" i="1" s="1"/>
  <c r="V1994" i="1" s="1"/>
  <c r="V2020" i="1" s="1"/>
  <c r="V2026" i="1" s="1"/>
  <c r="V2037" i="1" s="1"/>
  <c r="V2063" i="1" s="1"/>
  <c r="V2069" i="1" s="1"/>
  <c r="V2080" i="1" s="1"/>
  <c r="V2106" i="1" s="1"/>
  <c r="V2112" i="1" s="1"/>
  <c r="V2123" i="1" s="1"/>
  <c r="V2149" i="1" s="1"/>
  <c r="V2155" i="1" s="1"/>
  <c r="V2166" i="1" s="1"/>
  <c r="V2192" i="1" s="1"/>
  <c r="V2198" i="1" s="1"/>
  <c r="V2209" i="1" s="1"/>
  <c r="V2235" i="1" s="1"/>
  <c r="V2241" i="1" s="1"/>
  <c r="V2252" i="1" s="1"/>
  <c r="V2278" i="1" s="1"/>
  <c r="AA1205" i="1"/>
  <c r="AB1205" i="1"/>
  <c r="Z1205" i="1"/>
  <c r="Y1205" i="1"/>
  <c r="X1205" i="1"/>
  <c r="U1205" i="1"/>
  <c r="W1205" i="1"/>
  <c r="V1205" i="1"/>
  <c r="H859" i="1"/>
  <c r="H865" i="1" s="1"/>
  <c r="H876" i="1" s="1"/>
  <c r="H902" i="1" s="1"/>
  <c r="H908" i="1" s="1"/>
  <c r="H919" i="1" s="1"/>
  <c r="S602" i="1"/>
  <c r="S1204" i="1" s="1"/>
  <c r="L644" i="1"/>
  <c r="L650" i="1" s="1"/>
  <c r="L661" i="1" s="1"/>
  <c r="L687" i="1" s="1"/>
  <c r="L693" i="1" s="1"/>
  <c r="L704" i="1" s="1"/>
  <c r="L730" i="1" s="1"/>
  <c r="L736" i="1" s="1"/>
  <c r="L747" i="1" s="1"/>
  <c r="L773" i="1" s="1"/>
  <c r="L779" i="1" s="1"/>
  <c r="L790" i="1" s="1"/>
  <c r="L816" i="1" s="1"/>
  <c r="L822" i="1" s="1"/>
  <c r="L833" i="1" s="1"/>
  <c r="L859" i="1" s="1"/>
  <c r="L865" i="1" s="1"/>
  <c r="L876" i="1" s="1"/>
  <c r="L902" i="1" s="1"/>
  <c r="L908" i="1" s="1"/>
  <c r="L919" i="1" s="1"/>
  <c r="K558" i="1"/>
  <c r="K564" i="1" s="1"/>
  <c r="K575" i="1" s="1"/>
  <c r="K601" i="1" s="1"/>
  <c r="K607" i="1" s="1"/>
  <c r="K618" i="1" s="1"/>
  <c r="K644" i="1" s="1"/>
  <c r="K650" i="1" s="1"/>
  <c r="K661" i="1" s="1"/>
  <c r="G386" i="1"/>
  <c r="G392" i="1" s="1"/>
  <c r="G403" i="1" s="1"/>
  <c r="G429" i="1" s="1"/>
  <c r="G435" i="1" s="1"/>
  <c r="G446" i="1" s="1"/>
  <c r="Y300" i="1"/>
  <c r="Y306" i="1" s="1"/>
  <c r="Y317" i="1" s="1"/>
  <c r="Y343" i="1" s="1"/>
  <c r="Y349" i="1" s="1"/>
  <c r="AB274" i="1"/>
  <c r="AB300" i="1" s="1"/>
  <c r="AB306" i="1" s="1"/>
  <c r="J214" i="1"/>
  <c r="J220" i="1" s="1"/>
  <c r="J231" i="1" s="1"/>
  <c r="M188" i="1"/>
  <c r="M214" i="1" s="1"/>
  <c r="M220" i="1" s="1"/>
  <c r="F171" i="1"/>
  <c r="F177" i="1" s="1"/>
  <c r="F188" i="1" s="1"/>
  <c r="I145" i="1"/>
  <c r="I171" i="1" s="1"/>
  <c r="I177" i="1" s="1"/>
  <c r="U171" i="1"/>
  <c r="U177" i="1" s="1"/>
  <c r="U188" i="1" s="1"/>
  <c r="X145" i="1"/>
  <c r="X171" i="1" s="1"/>
  <c r="X177" i="1" s="1"/>
  <c r="D42" i="1"/>
  <c r="D48" i="1" s="1"/>
  <c r="D59" i="1" s="1"/>
  <c r="D85" i="1" s="1"/>
  <c r="D91" i="1" s="1"/>
  <c r="D102" i="1" s="1"/>
  <c r="D128" i="1" s="1"/>
  <c r="D134" i="1" s="1"/>
  <c r="D145" i="1" s="1"/>
  <c r="D171" i="1" s="1"/>
  <c r="D177" i="1" s="1"/>
  <c r="D188" i="1" s="1"/>
  <c r="D214" i="1" s="1"/>
  <c r="D220" i="1" s="1"/>
  <c r="D231" i="1" s="1"/>
  <c r="S42" i="1"/>
  <c r="S48" i="1" s="1"/>
  <c r="S59" i="1" s="1"/>
  <c r="S85" i="1" s="1"/>
  <c r="S91" i="1" s="1"/>
  <c r="S102" i="1" s="1"/>
  <c r="S128" i="1" s="1"/>
  <c r="S134" i="1" s="1"/>
  <c r="S145" i="1" s="1"/>
  <c r="S171" i="1" s="1"/>
  <c r="S177" i="1" s="1"/>
  <c r="S188" i="1" s="1"/>
  <c r="S214" i="1" s="1"/>
  <c r="S220" i="1" s="1"/>
  <c r="S231" i="1" s="1"/>
  <c r="S257" i="1" s="1"/>
  <c r="S263" i="1" s="1"/>
  <c r="S274" i="1" s="1"/>
  <c r="S300" i="1" s="1"/>
  <c r="S306" i="1" s="1"/>
  <c r="S317" i="1" s="1"/>
  <c r="F601" i="4" l="1"/>
  <c r="I575" i="4"/>
  <c r="I601" i="4" s="1"/>
  <c r="E601" i="4"/>
  <c r="E564" i="4"/>
  <c r="Y558" i="4"/>
  <c r="Y564" i="4" s="1"/>
  <c r="Y575" i="4" s="1"/>
  <c r="AB532" i="4"/>
  <c r="AB558" i="4" s="1"/>
  <c r="AB564" i="4" s="1"/>
  <c r="U558" i="4"/>
  <c r="U564" i="4" s="1"/>
  <c r="U575" i="4" s="1"/>
  <c r="X532" i="4"/>
  <c r="X558" i="4" s="1"/>
  <c r="X564" i="4" s="1"/>
  <c r="J515" i="4"/>
  <c r="J521" i="4" s="1"/>
  <c r="J532" i="4" s="1"/>
  <c r="M489" i="4"/>
  <c r="T489" i="4"/>
  <c r="Q515" i="4"/>
  <c r="Q521" i="4" s="1"/>
  <c r="Q532" i="4" s="1"/>
  <c r="M472" i="4"/>
  <c r="N446" i="4"/>
  <c r="N429" i="4"/>
  <c r="M435" i="4"/>
  <c r="N435" i="4" s="1"/>
  <c r="AC429" i="4"/>
  <c r="T435" i="4"/>
  <c r="AC435" i="4" s="1"/>
  <c r="T472" i="4"/>
  <c r="T478" i="4" s="1"/>
  <c r="AC478" i="4" s="1"/>
  <c r="AC446" i="4"/>
  <c r="S343" i="1"/>
  <c r="S349" i="1" s="1"/>
  <c r="S360" i="1" s="1"/>
  <c r="S386" i="1" s="1"/>
  <c r="L945" i="1"/>
  <c r="L951" i="1" s="1"/>
  <c r="L962" i="1" s="1"/>
  <c r="L988" i="1" s="1"/>
  <c r="L994" i="1" s="1"/>
  <c r="L1005" i="1" s="1"/>
  <c r="L1031" i="1" s="1"/>
  <c r="L1037" i="1" s="1"/>
  <c r="L1048" i="1" s="1"/>
  <c r="L1074" i="1" s="1"/>
  <c r="L1080" i="1" s="1"/>
  <c r="L1091" i="1" s="1"/>
  <c r="L1117" i="1" s="1"/>
  <c r="L1123" i="1" s="1"/>
  <c r="L1134" i="1" s="1"/>
  <c r="L1160" i="1" s="1"/>
  <c r="L1166" i="1" s="1"/>
  <c r="L1177" i="1" s="1"/>
  <c r="L1203" i="1" s="1"/>
  <c r="L1209" i="1" s="1"/>
  <c r="L1220" i="1" s="1"/>
  <c r="L1246" i="1" s="1"/>
  <c r="L1252" i="1" s="1"/>
  <c r="L1263" i="1" s="1"/>
  <c r="L1289" i="1" s="1"/>
  <c r="L1295" i="1" s="1"/>
  <c r="L1306" i="1" s="1"/>
  <c r="L1332" i="1" s="1"/>
  <c r="L1338" i="1" s="1"/>
  <c r="L1349" i="1" s="1"/>
  <c r="L1375" i="1" s="1"/>
  <c r="L1381" i="1" s="1"/>
  <c r="L1392" i="1" s="1"/>
  <c r="L1418" i="1" s="1"/>
  <c r="L1424" i="1" s="1"/>
  <c r="L1435" i="1" s="1"/>
  <c r="L1461" i="1" s="1"/>
  <c r="L1467" i="1" s="1"/>
  <c r="L1478" i="1" s="1"/>
  <c r="L1504" i="1" s="1"/>
  <c r="L1510" i="1" s="1"/>
  <c r="L1521" i="1" s="1"/>
  <c r="H945" i="1"/>
  <c r="H951" i="1" s="1"/>
  <c r="H962" i="1" s="1"/>
  <c r="H988" i="1" s="1"/>
  <c r="H994" i="1" s="1"/>
  <c r="H1005" i="1" s="1"/>
  <c r="H1031" i="1" s="1"/>
  <c r="H1037" i="1" s="1"/>
  <c r="H1048" i="1" s="1"/>
  <c r="H1074" i="1" s="1"/>
  <c r="H1080" i="1" s="1"/>
  <c r="H1091" i="1" s="1"/>
  <c r="H1117" i="1" s="1"/>
  <c r="H1123" i="1" s="1"/>
  <c r="H1134" i="1" s="1"/>
  <c r="H1160" i="1" s="1"/>
  <c r="H1166" i="1" s="1"/>
  <c r="H1177" i="1" s="1"/>
  <c r="H1203" i="1" s="1"/>
  <c r="H1209" i="1" s="1"/>
  <c r="H1220" i="1" s="1"/>
  <c r="H1246" i="1" s="1"/>
  <c r="H1252" i="1" s="1"/>
  <c r="H1263" i="1" s="1"/>
  <c r="H1289" i="1" s="1"/>
  <c r="H1295" i="1" s="1"/>
  <c r="H1306" i="1" s="1"/>
  <c r="H1332" i="1" s="1"/>
  <c r="H1338" i="1" s="1"/>
  <c r="H1349" i="1" s="1"/>
  <c r="H1375" i="1" s="1"/>
  <c r="H1381" i="1" s="1"/>
  <c r="H1392" i="1" s="1"/>
  <c r="H1418" i="1" s="1"/>
  <c r="H1424" i="1" s="1"/>
  <c r="H1435" i="1" s="1"/>
  <c r="H1461" i="1" s="1"/>
  <c r="H1467" i="1" s="1"/>
  <c r="H1478" i="1" s="1"/>
  <c r="H1504" i="1" s="1"/>
  <c r="H1510" i="1" s="1"/>
  <c r="H1521" i="1" s="1"/>
  <c r="K687" i="1"/>
  <c r="K693" i="1" s="1"/>
  <c r="K704" i="1" s="1"/>
  <c r="K730" i="1" s="1"/>
  <c r="K736" i="1" s="1"/>
  <c r="K747" i="1" s="1"/>
  <c r="K773" i="1" s="1"/>
  <c r="K779" i="1" s="1"/>
  <c r="K790" i="1" s="1"/>
  <c r="K816" i="1" s="1"/>
  <c r="K822" i="1" s="1"/>
  <c r="K833" i="1" s="1"/>
  <c r="K859" i="1" s="1"/>
  <c r="K865" i="1" s="1"/>
  <c r="K876" i="1" s="1"/>
  <c r="G472" i="1"/>
  <c r="G478" i="1" s="1"/>
  <c r="G489" i="1" s="1"/>
  <c r="AB317" i="1"/>
  <c r="AB343" i="1" s="1"/>
  <c r="AB349" i="1" s="1"/>
  <c r="Y360" i="1"/>
  <c r="Y386" i="1" s="1"/>
  <c r="Y392" i="1" s="1"/>
  <c r="Y403" i="1" s="1"/>
  <c r="J257" i="1"/>
  <c r="J263" i="1" s="1"/>
  <c r="J274" i="1" s="1"/>
  <c r="M231" i="1"/>
  <c r="M257" i="1" s="1"/>
  <c r="M263" i="1" s="1"/>
  <c r="D257" i="1"/>
  <c r="D263" i="1" s="1"/>
  <c r="D274" i="1" s="1"/>
  <c r="D300" i="1" s="1"/>
  <c r="D306" i="1" s="1"/>
  <c r="D317" i="1" s="1"/>
  <c r="F214" i="1"/>
  <c r="F220" i="1" s="1"/>
  <c r="F231" i="1" s="1"/>
  <c r="I188" i="1"/>
  <c r="I214" i="1" s="1"/>
  <c r="I220" i="1" s="1"/>
  <c r="U214" i="1"/>
  <c r="U220" i="1" s="1"/>
  <c r="U231" i="1" s="1"/>
  <c r="X188" i="1"/>
  <c r="X214" i="1" s="1"/>
  <c r="X220" i="1" s="1"/>
  <c r="T7" i="1"/>
  <c r="AC7" i="1" s="1"/>
  <c r="T40" i="1"/>
  <c r="AC40" i="1" s="1"/>
  <c r="J558" i="4" l="1"/>
  <c r="J564" i="4" s="1"/>
  <c r="J575" i="4" s="1"/>
  <c r="M532" i="4"/>
  <c r="U601" i="4"/>
  <c r="X575" i="4"/>
  <c r="X601" i="4" s="1"/>
  <c r="Y601" i="4"/>
  <c r="AB575" i="4"/>
  <c r="AB601" i="4" s="1"/>
  <c r="T532" i="4"/>
  <c r="Q558" i="4"/>
  <c r="Q564" i="4" s="1"/>
  <c r="Q575" i="4" s="1"/>
  <c r="M515" i="4"/>
  <c r="N489" i="4"/>
  <c r="N472" i="4"/>
  <c r="M478" i="4"/>
  <c r="N478" i="4" s="1"/>
  <c r="T515" i="4"/>
  <c r="AC489" i="4"/>
  <c r="AC472" i="4"/>
  <c r="R473" i="4"/>
  <c r="S473" i="4"/>
  <c r="T473" i="4"/>
  <c r="Q473" i="4"/>
  <c r="L1547" i="1"/>
  <c r="L1553" i="1" s="1"/>
  <c r="L1564" i="1" s="1"/>
  <c r="L1590" i="1" s="1"/>
  <c r="L1596" i="1" s="1"/>
  <c r="L1607" i="1" s="1"/>
  <c r="L1633" i="1" s="1"/>
  <c r="L1639" i="1" s="1"/>
  <c r="L1650" i="1" s="1"/>
  <c r="L1676" i="1" s="1"/>
  <c r="L1682" i="1" s="1"/>
  <c r="L1693" i="1" s="1"/>
  <c r="L1719" i="1" s="1"/>
  <c r="L1725" i="1" s="1"/>
  <c r="L1736" i="1" s="1"/>
  <c r="L1762" i="1" s="1"/>
  <c r="L1768" i="1" s="1"/>
  <c r="L1779" i="1" s="1"/>
  <c r="L1805" i="1" s="1"/>
  <c r="L1811" i="1" s="1"/>
  <c r="L1822" i="1" s="1"/>
  <c r="L1848" i="1" s="1"/>
  <c r="L1854" i="1" s="1"/>
  <c r="L1865" i="1" s="1"/>
  <c r="L1891" i="1" s="1"/>
  <c r="L1897" i="1" s="1"/>
  <c r="L1908" i="1" s="1"/>
  <c r="L1934" i="1" s="1"/>
  <c r="L1940" i="1" s="1"/>
  <c r="L1951" i="1" s="1"/>
  <c r="L1977" i="1" s="1"/>
  <c r="L1983" i="1" s="1"/>
  <c r="L1994" i="1" s="1"/>
  <c r="L2020" i="1" s="1"/>
  <c r="L2026" i="1" s="1"/>
  <c r="L2037" i="1" s="1"/>
  <c r="L2063" i="1" s="1"/>
  <c r="L2069" i="1" s="1"/>
  <c r="L2080" i="1" s="1"/>
  <c r="L2106" i="1" s="1"/>
  <c r="L2112" i="1" s="1"/>
  <c r="L2123" i="1" s="1"/>
  <c r="L2149" i="1" s="1"/>
  <c r="L2155" i="1" s="1"/>
  <c r="L2166" i="1" s="1"/>
  <c r="L2192" i="1" s="1"/>
  <c r="L2198" i="1" s="1"/>
  <c r="L2209" i="1" s="1"/>
  <c r="L2235" i="1" s="1"/>
  <c r="L2241" i="1" s="1"/>
  <c r="L2252" i="1" s="1"/>
  <c r="L2278" i="1" s="1"/>
  <c r="H1547" i="1"/>
  <c r="H1553" i="1" s="1"/>
  <c r="H1564" i="1" s="1"/>
  <c r="H1590" i="1" s="1"/>
  <c r="H1596" i="1" s="1"/>
  <c r="H1607" i="1" s="1"/>
  <c r="H1633" i="1" s="1"/>
  <c r="H1639" i="1" s="1"/>
  <c r="H1650" i="1" s="1"/>
  <c r="H1676" i="1" s="1"/>
  <c r="H1682" i="1" s="1"/>
  <c r="H1693" i="1" s="1"/>
  <c r="H1719" i="1" s="1"/>
  <c r="H1725" i="1" s="1"/>
  <c r="H1736" i="1" s="1"/>
  <c r="H1762" i="1" s="1"/>
  <c r="H1768" i="1" s="1"/>
  <c r="H1779" i="1" s="1"/>
  <c r="H1805" i="1" s="1"/>
  <c r="H1811" i="1" s="1"/>
  <c r="H1822" i="1" s="1"/>
  <c r="H1848" i="1" s="1"/>
  <c r="H1854" i="1" s="1"/>
  <c r="H1865" i="1" s="1"/>
  <c r="H1891" i="1" s="1"/>
  <c r="H1897" i="1" s="1"/>
  <c r="H1908" i="1" s="1"/>
  <c r="H1934" i="1" s="1"/>
  <c r="H1940" i="1" s="1"/>
  <c r="H1951" i="1" s="1"/>
  <c r="H1977" i="1" s="1"/>
  <c r="H1983" i="1" s="1"/>
  <c r="H1994" i="1" s="1"/>
  <c r="H2020" i="1" s="1"/>
  <c r="H2026" i="1" s="1"/>
  <c r="H2037" i="1" s="1"/>
  <c r="H2063" i="1" s="1"/>
  <c r="H2069" i="1" s="1"/>
  <c r="H2080" i="1" s="1"/>
  <c r="H2106" i="1" s="1"/>
  <c r="H2112" i="1" s="1"/>
  <c r="H2123" i="1" s="1"/>
  <c r="H2149" i="1" s="1"/>
  <c r="H2155" i="1" s="1"/>
  <c r="H2166" i="1" s="1"/>
  <c r="H2192" i="1" s="1"/>
  <c r="H2198" i="1" s="1"/>
  <c r="H2209" i="1" s="1"/>
  <c r="H2235" i="1" s="1"/>
  <c r="H2241" i="1" s="1"/>
  <c r="H2252" i="1" s="1"/>
  <c r="H2278" i="1" s="1"/>
  <c r="S392" i="1"/>
  <c r="S403" i="1" s="1"/>
  <c r="S429" i="1" s="1"/>
  <c r="S435" i="1" s="1"/>
  <c r="S446" i="1" s="1"/>
  <c r="S472" i="1" s="1"/>
  <c r="K902" i="1"/>
  <c r="K908" i="1" s="1"/>
  <c r="K919" i="1" s="1"/>
  <c r="K945" i="1" s="1"/>
  <c r="K951" i="1" s="1"/>
  <c r="K962" i="1" s="1"/>
  <c r="K988" i="1" s="1"/>
  <c r="K994" i="1" s="1"/>
  <c r="K1005" i="1" s="1"/>
  <c r="G515" i="1"/>
  <c r="G521" i="1" s="1"/>
  <c r="G532" i="1" s="1"/>
  <c r="Y429" i="1"/>
  <c r="Y435" i="1" s="1"/>
  <c r="AB360" i="1"/>
  <c r="D343" i="1"/>
  <c r="D349" i="1" s="1"/>
  <c r="D360" i="1" s="1"/>
  <c r="M274" i="1"/>
  <c r="M300" i="1" s="1"/>
  <c r="M306" i="1" s="1"/>
  <c r="J300" i="1"/>
  <c r="J306" i="1" s="1"/>
  <c r="J317" i="1" s="1"/>
  <c r="F257" i="1"/>
  <c r="F263" i="1" s="1"/>
  <c r="F274" i="1" s="1"/>
  <c r="I231" i="1"/>
  <c r="I257" i="1" s="1"/>
  <c r="I263" i="1" s="1"/>
  <c r="U257" i="1"/>
  <c r="U263" i="1" s="1"/>
  <c r="U274" i="1" s="1"/>
  <c r="X231" i="1"/>
  <c r="X257" i="1" s="1"/>
  <c r="X263" i="1" s="1"/>
  <c r="T39" i="1"/>
  <c r="AC39" i="1" s="1"/>
  <c r="T10" i="1"/>
  <c r="AC10" i="1" s="1"/>
  <c r="M558" i="4" l="1"/>
  <c r="N532" i="4"/>
  <c r="J601" i="4"/>
  <c r="M575" i="4"/>
  <c r="N515" i="4"/>
  <c r="M521" i="4"/>
  <c r="N521" i="4" s="1"/>
  <c r="Q601" i="4"/>
  <c r="T575" i="4"/>
  <c r="AC515" i="4"/>
  <c r="T521" i="4"/>
  <c r="AC521" i="4" s="1"/>
  <c r="AC532" i="4"/>
  <c r="T558" i="4"/>
  <c r="S478" i="1"/>
  <c r="S489" i="1" s="1"/>
  <c r="S515" i="1" s="1"/>
  <c r="S521" i="1" s="1"/>
  <c r="S532" i="1" s="1"/>
  <c r="S558" i="1" s="1"/>
  <c r="S564" i="1" s="1"/>
  <c r="S575" i="1" s="1"/>
  <c r="S601" i="1" s="1"/>
  <c r="S607" i="1" s="1"/>
  <c r="S618" i="1" s="1"/>
  <c r="S644" i="1" s="1"/>
  <c r="S650" i="1" s="1"/>
  <c r="S661" i="1" s="1"/>
  <c r="S687" i="1" s="1"/>
  <c r="S693" i="1" s="1"/>
  <c r="S704" i="1" s="1"/>
  <c r="S730" i="1" s="1"/>
  <c r="S736" i="1" s="1"/>
  <c r="S747" i="1" s="1"/>
  <c r="S773" i="1" s="1"/>
  <c r="S779" i="1" s="1"/>
  <c r="S790" i="1" s="1"/>
  <c r="S816" i="1" s="1"/>
  <c r="S822" i="1" s="1"/>
  <c r="S833" i="1" s="1"/>
  <c r="S859" i="1" s="1"/>
  <c r="S865" i="1" s="1"/>
  <c r="S876" i="1" s="1"/>
  <c r="S902" i="1" s="1"/>
  <c r="S908" i="1" s="1"/>
  <c r="S919" i="1" s="1"/>
  <c r="S945" i="1" s="1"/>
  <c r="S951" i="1" s="1"/>
  <c r="S962" i="1" s="1"/>
  <c r="S988" i="1" s="1"/>
  <c r="S994" i="1" s="1"/>
  <c r="S1005" i="1" s="1"/>
  <c r="S1031" i="1" s="1"/>
  <c r="S1037" i="1" s="1"/>
  <c r="S1048" i="1" s="1"/>
  <c r="S1074" i="1" s="1"/>
  <c r="S1080" i="1" s="1"/>
  <c r="S1091" i="1" s="1"/>
  <c r="S1117" i="1" s="1"/>
  <c r="S1123" i="1" s="1"/>
  <c r="S1134" i="1" s="1"/>
  <c r="S1160" i="1" s="1"/>
  <c r="S1166" i="1" s="1"/>
  <c r="S1177" i="1" s="1"/>
  <c r="S1203" i="1" s="1"/>
  <c r="S1209" i="1" s="1"/>
  <c r="S1220" i="1" s="1"/>
  <c r="S1246" i="1" s="1"/>
  <c r="S1252" i="1" s="1"/>
  <c r="S1263" i="1" s="1"/>
  <c r="S1289" i="1" s="1"/>
  <c r="S1295" i="1" s="1"/>
  <c r="S1306" i="1" s="1"/>
  <c r="S1332" i="1" s="1"/>
  <c r="S1338" i="1" s="1"/>
  <c r="S1349" i="1" s="1"/>
  <c r="S1375" i="1" s="1"/>
  <c r="S1381" i="1" s="1"/>
  <c r="S1392" i="1" s="1"/>
  <c r="S1418" i="1" s="1"/>
  <c r="S1424" i="1" s="1"/>
  <c r="S1435" i="1" s="1"/>
  <c r="S1461" i="1" s="1"/>
  <c r="S1467" i="1" s="1"/>
  <c r="S1478" i="1" s="1"/>
  <c r="S1504" i="1" s="1"/>
  <c r="S1510" i="1" s="1"/>
  <c r="S1521" i="1" s="1"/>
  <c r="S1547" i="1" s="1"/>
  <c r="S1553" i="1" s="1"/>
  <c r="S1564" i="1" s="1"/>
  <c r="S1590" i="1" s="1"/>
  <c r="S1596" i="1" s="1"/>
  <c r="S1607" i="1" s="1"/>
  <c r="S1633" i="1" s="1"/>
  <c r="S1639" i="1" s="1"/>
  <c r="S1650" i="1" s="1"/>
  <c r="S1676" i="1" s="1"/>
  <c r="S1682" i="1" s="1"/>
  <c r="S1693" i="1" s="1"/>
  <c r="S1719" i="1" s="1"/>
  <c r="S1725" i="1" s="1"/>
  <c r="S1736" i="1" s="1"/>
  <c r="S1762" i="1" s="1"/>
  <c r="S1768" i="1" s="1"/>
  <c r="S1779" i="1" s="1"/>
  <c r="S1805" i="1" s="1"/>
  <c r="S1811" i="1" s="1"/>
  <c r="S1822" i="1" s="1"/>
  <c r="S1848" i="1" s="1"/>
  <c r="S1854" i="1" s="1"/>
  <c r="S1865" i="1" s="1"/>
  <c r="S1891" i="1" s="1"/>
  <c r="S1897" i="1" s="1"/>
  <c r="S1908" i="1" s="1"/>
  <c r="S1934" i="1" s="1"/>
  <c r="S1940" i="1" s="1"/>
  <c r="S1951" i="1" s="1"/>
  <c r="S1977" i="1" s="1"/>
  <c r="S1983" i="1" s="1"/>
  <c r="S1994" i="1" s="1"/>
  <c r="S2020" i="1" s="1"/>
  <c r="S2026" i="1" s="1"/>
  <c r="S2037" i="1" s="1"/>
  <c r="S2063" i="1" s="1"/>
  <c r="S2069" i="1" s="1"/>
  <c r="S2080" i="1" s="1"/>
  <c r="S2106" i="1" s="1"/>
  <c r="S2112" i="1" s="1"/>
  <c r="S2123" i="1" s="1"/>
  <c r="S2149" i="1" s="1"/>
  <c r="S2155" i="1" s="1"/>
  <c r="S2166" i="1" s="1"/>
  <c r="S2192" i="1" s="1"/>
  <c r="S2198" i="1" s="1"/>
  <c r="S2209" i="1" s="1"/>
  <c r="S2235" i="1" s="1"/>
  <c r="S2241" i="1" s="1"/>
  <c r="S2252" i="1" s="1"/>
  <c r="S2278" i="1" s="1"/>
  <c r="AB386" i="1"/>
  <c r="AB392" i="1" s="1"/>
  <c r="AB403" i="1" s="1"/>
  <c r="K1031" i="1"/>
  <c r="K1037" i="1" s="1"/>
  <c r="K1048" i="1" s="1"/>
  <c r="K1074" i="1" s="1"/>
  <c r="K1080" i="1" s="1"/>
  <c r="K1091" i="1" s="1"/>
  <c r="G558" i="1"/>
  <c r="G564" i="1" s="1"/>
  <c r="G575" i="1" s="1"/>
  <c r="G601" i="1" s="1"/>
  <c r="G607" i="1" s="1"/>
  <c r="G618" i="1" s="1"/>
  <c r="G644" i="1" s="1"/>
  <c r="G650" i="1" s="1"/>
  <c r="G661" i="1" s="1"/>
  <c r="D386" i="1"/>
  <c r="D392" i="1" s="1"/>
  <c r="D403" i="1" s="1"/>
  <c r="D429" i="1" s="1"/>
  <c r="D435" i="1" s="1"/>
  <c r="D446" i="1" s="1"/>
  <c r="D472" i="1" s="1"/>
  <c r="D478" i="1" s="1"/>
  <c r="D489" i="1" s="1"/>
  <c r="D515" i="1" s="1"/>
  <c r="D521" i="1" s="1"/>
  <c r="D532" i="1" s="1"/>
  <c r="D558" i="1" s="1"/>
  <c r="D564" i="1" s="1"/>
  <c r="D575" i="1" s="1"/>
  <c r="D601" i="1" s="1"/>
  <c r="D607" i="1" s="1"/>
  <c r="D618" i="1" s="1"/>
  <c r="J343" i="1"/>
  <c r="J349" i="1" s="1"/>
  <c r="J360" i="1" s="1"/>
  <c r="M317" i="1"/>
  <c r="M343" i="1" s="1"/>
  <c r="M349" i="1" s="1"/>
  <c r="F300" i="1"/>
  <c r="F306" i="1" s="1"/>
  <c r="F317" i="1" s="1"/>
  <c r="I274" i="1"/>
  <c r="I300" i="1" s="1"/>
  <c r="I306" i="1" s="1"/>
  <c r="U300" i="1"/>
  <c r="U306" i="1" s="1"/>
  <c r="U317" i="1" s="1"/>
  <c r="U343" i="1" s="1"/>
  <c r="U349" i="1" s="1"/>
  <c r="X274" i="1"/>
  <c r="X300" i="1" s="1"/>
  <c r="X306" i="1" s="1"/>
  <c r="T38" i="1"/>
  <c r="AC38" i="1" s="1"/>
  <c r="T13" i="1"/>
  <c r="AC13" i="1" s="1"/>
  <c r="E5" i="1"/>
  <c r="N5" i="1" s="1"/>
  <c r="M601" i="4" l="1"/>
  <c r="N601" i="4" s="1"/>
  <c r="N575" i="4"/>
  <c r="M564" i="4"/>
  <c r="N564" i="4" s="1"/>
  <c r="N558" i="4"/>
  <c r="T601" i="4"/>
  <c r="AC601" i="4" s="1"/>
  <c r="AC575" i="4"/>
  <c r="AC558" i="4"/>
  <c r="T564" i="4"/>
  <c r="AC564" i="4" s="1"/>
  <c r="Y446" i="1"/>
  <c r="Y472" i="1" s="1"/>
  <c r="Y478" i="1" s="1"/>
  <c r="AB429" i="1"/>
  <c r="K1117" i="1"/>
  <c r="K1123" i="1" s="1"/>
  <c r="K1134" i="1" s="1"/>
  <c r="K1160" i="1" s="1"/>
  <c r="K1166" i="1" s="1"/>
  <c r="K1177" i="1" s="1"/>
  <c r="K1203" i="1" s="1"/>
  <c r="K1209" i="1" s="1"/>
  <c r="K1220" i="1" s="1"/>
  <c r="K1246" i="1" s="1"/>
  <c r="K1252" i="1" s="1"/>
  <c r="K1263" i="1" s="1"/>
  <c r="K1289" i="1" s="1"/>
  <c r="K1295" i="1" s="1"/>
  <c r="K1306" i="1" s="1"/>
  <c r="G687" i="1"/>
  <c r="G693" i="1" s="1"/>
  <c r="G704" i="1" s="1"/>
  <c r="D644" i="1"/>
  <c r="D650" i="1" s="1"/>
  <c r="D661" i="1" s="1"/>
  <c r="D687" i="1" s="1"/>
  <c r="D693" i="1" s="1"/>
  <c r="D704" i="1" s="1"/>
  <c r="D730" i="1" s="1"/>
  <c r="D736" i="1" s="1"/>
  <c r="D747" i="1" s="1"/>
  <c r="D773" i="1" s="1"/>
  <c r="D779" i="1" s="1"/>
  <c r="D790" i="1" s="1"/>
  <c r="D816" i="1" s="1"/>
  <c r="D822" i="1" s="1"/>
  <c r="D833" i="1" s="1"/>
  <c r="J386" i="1"/>
  <c r="J392" i="1" s="1"/>
  <c r="J403" i="1" s="1"/>
  <c r="M360" i="1"/>
  <c r="M386" i="1" s="1"/>
  <c r="M392" i="1" s="1"/>
  <c r="F343" i="1"/>
  <c r="F349" i="1" s="1"/>
  <c r="F360" i="1" s="1"/>
  <c r="I317" i="1"/>
  <c r="I343" i="1" s="1"/>
  <c r="I349" i="1" s="1"/>
  <c r="X317" i="1"/>
  <c r="X343" i="1" s="1"/>
  <c r="X349" i="1" s="1"/>
  <c r="U360" i="1"/>
  <c r="U386" i="1" s="1"/>
  <c r="U392" i="1" s="1"/>
  <c r="U403" i="1" s="1"/>
  <c r="E40" i="1"/>
  <c r="N40" i="1" s="1"/>
  <c r="T6" i="1"/>
  <c r="AC6" i="1" s="1"/>
  <c r="R41" i="1"/>
  <c r="R86" i="1" s="1"/>
  <c r="R215" i="1" s="1"/>
  <c r="Q41" i="1"/>
  <c r="Q86" i="1" s="1"/>
  <c r="Q215" i="1" s="1"/>
  <c r="Q602" i="1" s="1"/>
  <c r="Q1204" i="1" s="1"/>
  <c r="T37" i="1"/>
  <c r="AC37" i="1" s="1"/>
  <c r="T36" i="1"/>
  <c r="AC36" i="1" s="1"/>
  <c r="T35" i="1"/>
  <c r="AC35" i="1" s="1"/>
  <c r="T34" i="1"/>
  <c r="AC34" i="1" s="1"/>
  <c r="T33" i="1"/>
  <c r="AC33" i="1" s="1"/>
  <c r="T32" i="1"/>
  <c r="AC32" i="1" s="1"/>
  <c r="T31" i="1"/>
  <c r="AC31" i="1" s="1"/>
  <c r="T30" i="1"/>
  <c r="AC30" i="1" s="1"/>
  <c r="T29" i="1"/>
  <c r="AC29" i="1" s="1"/>
  <c r="T28" i="1"/>
  <c r="AC28" i="1" s="1"/>
  <c r="T27" i="1"/>
  <c r="AC27" i="1" s="1"/>
  <c r="T26" i="1"/>
  <c r="AC26" i="1" s="1"/>
  <c r="T25" i="1"/>
  <c r="AC25" i="1" s="1"/>
  <c r="T24" i="1"/>
  <c r="AC24" i="1" s="1"/>
  <c r="T23" i="1"/>
  <c r="AC23" i="1" s="1"/>
  <c r="T21" i="1"/>
  <c r="AC21" i="1" s="1"/>
  <c r="T20" i="1"/>
  <c r="AC20" i="1" s="1"/>
  <c r="T17" i="1"/>
  <c r="AC17" i="1" s="1"/>
  <c r="R16" i="1"/>
  <c r="Q16" i="1"/>
  <c r="T15" i="1"/>
  <c r="AC15" i="1" s="1"/>
  <c r="T14" i="1"/>
  <c r="AC14" i="1" s="1"/>
  <c r="T12" i="1"/>
  <c r="AC12" i="1" s="1"/>
  <c r="T11" i="1"/>
  <c r="AC11" i="1" s="1"/>
  <c r="T9" i="1"/>
  <c r="AC9" i="1" s="1"/>
  <c r="T8" i="1"/>
  <c r="AC8" i="1" s="1"/>
  <c r="T5" i="1"/>
  <c r="AC5" i="1" s="1"/>
  <c r="E28" i="1"/>
  <c r="N28" i="1" s="1"/>
  <c r="E29" i="1"/>
  <c r="N29" i="1" s="1"/>
  <c r="E30" i="1"/>
  <c r="N30" i="1" s="1"/>
  <c r="E31" i="1"/>
  <c r="N31" i="1" s="1"/>
  <c r="E32" i="1"/>
  <c r="N32" i="1" s="1"/>
  <c r="E33" i="1"/>
  <c r="N33" i="1" s="1"/>
  <c r="E34" i="1"/>
  <c r="N34" i="1" s="1"/>
  <c r="E35" i="1"/>
  <c r="N35" i="1" s="1"/>
  <c r="E36" i="1"/>
  <c r="N36" i="1" s="1"/>
  <c r="E37" i="1"/>
  <c r="N37" i="1" s="1"/>
  <c r="E38" i="1"/>
  <c r="N38" i="1" s="1"/>
  <c r="E39" i="1"/>
  <c r="N39" i="1" s="1"/>
  <c r="E19" i="1"/>
  <c r="N19" i="1" s="1"/>
  <c r="E21" i="1"/>
  <c r="N21" i="1" s="1"/>
  <c r="E18" i="1"/>
  <c r="N18" i="1" s="1"/>
  <c r="B41" i="1"/>
  <c r="C41" i="1"/>
  <c r="E17" i="1"/>
  <c r="N17" i="1" s="1"/>
  <c r="E22" i="1"/>
  <c r="N22" i="1" s="1"/>
  <c r="E23" i="1"/>
  <c r="N23" i="1" s="1"/>
  <c r="E24" i="1"/>
  <c r="N24" i="1" s="1"/>
  <c r="E25" i="1"/>
  <c r="N25" i="1" s="1"/>
  <c r="E26" i="1"/>
  <c r="N26" i="1" s="1"/>
  <c r="E27" i="1"/>
  <c r="N27" i="1" s="1"/>
  <c r="B16" i="1"/>
  <c r="C16" i="1"/>
  <c r="E15" i="1"/>
  <c r="N15" i="1" s="1"/>
  <c r="AB435" i="1" l="1"/>
  <c r="AB446" i="1" s="1"/>
  <c r="AB472" i="1" s="1"/>
  <c r="Y489" i="1"/>
  <c r="Y515" i="1" s="1"/>
  <c r="Y521" i="1" s="1"/>
  <c r="K1332" i="1"/>
  <c r="K1338" i="1" s="1"/>
  <c r="K1349" i="1" s="1"/>
  <c r="D859" i="1"/>
  <c r="D865" i="1" s="1"/>
  <c r="D876" i="1" s="1"/>
  <c r="D902" i="1" s="1"/>
  <c r="D908" i="1" s="1"/>
  <c r="D919" i="1" s="1"/>
  <c r="R602" i="1"/>
  <c r="R1204" i="1" s="1"/>
  <c r="G730" i="1"/>
  <c r="G736" i="1" s="1"/>
  <c r="G747" i="1" s="1"/>
  <c r="G773" i="1" s="1"/>
  <c r="G779" i="1" s="1"/>
  <c r="G790" i="1" s="1"/>
  <c r="G816" i="1" s="1"/>
  <c r="G822" i="1" s="1"/>
  <c r="G833" i="1" s="1"/>
  <c r="G859" i="1" s="1"/>
  <c r="G865" i="1" s="1"/>
  <c r="G876" i="1" s="1"/>
  <c r="J429" i="1"/>
  <c r="J435" i="1" s="1"/>
  <c r="J446" i="1" s="1"/>
  <c r="M403" i="1"/>
  <c r="M429" i="1" s="1"/>
  <c r="M435" i="1" s="1"/>
  <c r="F386" i="1"/>
  <c r="F392" i="1" s="1"/>
  <c r="F403" i="1" s="1"/>
  <c r="I360" i="1"/>
  <c r="I386" i="1" s="1"/>
  <c r="I392" i="1" s="1"/>
  <c r="U429" i="1"/>
  <c r="U435" i="1" s="1"/>
  <c r="X360" i="1"/>
  <c r="Q42" i="1"/>
  <c r="Q48" i="1" s="1"/>
  <c r="Q59" i="1" s="1"/>
  <c r="Q85" i="1" s="1"/>
  <c r="Q91" i="1" s="1"/>
  <c r="R42" i="1"/>
  <c r="R48" i="1" s="1"/>
  <c r="R59" i="1" s="1"/>
  <c r="R85" i="1" s="1"/>
  <c r="R91" i="1" s="1"/>
  <c r="R102" i="1" s="1"/>
  <c r="R128" i="1" s="1"/>
  <c r="R134" i="1" s="1"/>
  <c r="R145" i="1" s="1"/>
  <c r="R171" i="1" s="1"/>
  <c r="R177" i="1" s="1"/>
  <c r="R188" i="1" s="1"/>
  <c r="R214" i="1" s="1"/>
  <c r="R220" i="1" s="1"/>
  <c r="R231" i="1" s="1"/>
  <c r="R257" i="1" s="1"/>
  <c r="R263" i="1" s="1"/>
  <c r="R274" i="1" s="1"/>
  <c r="R300" i="1" s="1"/>
  <c r="R306" i="1" s="1"/>
  <c r="R317" i="1" s="1"/>
  <c r="T41" i="1"/>
  <c r="T16" i="1"/>
  <c r="AC16" i="1" s="1"/>
  <c r="E16" i="1"/>
  <c r="N16" i="1" s="1"/>
  <c r="C42" i="1"/>
  <c r="C48" i="1" s="1"/>
  <c r="C59" i="1" s="1"/>
  <c r="C85" i="1" s="1"/>
  <c r="C91" i="1" s="1"/>
  <c r="C102" i="1" s="1"/>
  <c r="C128" i="1" s="1"/>
  <c r="C134" i="1" s="1"/>
  <c r="C145" i="1" s="1"/>
  <c r="C171" i="1" s="1"/>
  <c r="C177" i="1" s="1"/>
  <c r="C188" i="1" s="1"/>
  <c r="B42" i="1"/>
  <c r="B48" i="1" s="1"/>
  <c r="B59" i="1" s="1"/>
  <c r="E41" i="1"/>
  <c r="N41" i="1" s="1"/>
  <c r="R343" i="1" l="1"/>
  <c r="R349" i="1" s="1"/>
  <c r="R360" i="1" s="1"/>
  <c r="R386" i="1" s="1"/>
  <c r="AB478" i="1"/>
  <c r="AB489" i="1" s="1"/>
  <c r="AB515" i="1" s="1"/>
  <c r="Y532" i="1"/>
  <c r="Y558" i="1" s="1"/>
  <c r="Y564" i="1" s="1"/>
  <c r="X386" i="1"/>
  <c r="X392" i="1" s="1"/>
  <c r="X403" i="1" s="1"/>
  <c r="K1375" i="1"/>
  <c r="K1381" i="1" s="1"/>
  <c r="K1392" i="1" s="1"/>
  <c r="K1418" i="1" s="1"/>
  <c r="K1424" i="1" s="1"/>
  <c r="K1435" i="1" s="1"/>
  <c r="K1461" i="1" s="1"/>
  <c r="K1467" i="1" s="1"/>
  <c r="K1478" i="1" s="1"/>
  <c r="D945" i="1"/>
  <c r="D951" i="1" s="1"/>
  <c r="D962" i="1" s="1"/>
  <c r="D988" i="1" s="1"/>
  <c r="D994" i="1" s="1"/>
  <c r="D1005" i="1" s="1"/>
  <c r="D1031" i="1" s="1"/>
  <c r="D1037" i="1" s="1"/>
  <c r="D1048" i="1" s="1"/>
  <c r="D1074" i="1" s="1"/>
  <c r="D1080" i="1" s="1"/>
  <c r="D1091" i="1" s="1"/>
  <c r="D1117" i="1" s="1"/>
  <c r="D1123" i="1" s="1"/>
  <c r="D1134" i="1" s="1"/>
  <c r="D1160" i="1" s="1"/>
  <c r="D1166" i="1" s="1"/>
  <c r="D1177" i="1" s="1"/>
  <c r="D1203" i="1" s="1"/>
  <c r="D1209" i="1" s="1"/>
  <c r="D1220" i="1" s="1"/>
  <c r="G902" i="1"/>
  <c r="G908" i="1" s="1"/>
  <c r="G919" i="1" s="1"/>
  <c r="G945" i="1" s="1"/>
  <c r="G951" i="1" s="1"/>
  <c r="G962" i="1" s="1"/>
  <c r="G988" i="1" s="1"/>
  <c r="G994" i="1" s="1"/>
  <c r="G1005" i="1" s="1"/>
  <c r="J472" i="1"/>
  <c r="J478" i="1" s="1"/>
  <c r="J489" i="1" s="1"/>
  <c r="M446" i="1"/>
  <c r="M472" i="1" s="1"/>
  <c r="M478" i="1" s="1"/>
  <c r="F429" i="1"/>
  <c r="F435" i="1" s="1"/>
  <c r="F446" i="1" s="1"/>
  <c r="I403" i="1"/>
  <c r="I429" i="1" s="1"/>
  <c r="I435" i="1" s="1"/>
  <c r="C214" i="1"/>
  <c r="C220" i="1" s="1"/>
  <c r="C231" i="1" s="1"/>
  <c r="C257" i="1" s="1"/>
  <c r="C263" i="1" s="1"/>
  <c r="C274" i="1" s="1"/>
  <c r="C300" i="1" s="1"/>
  <c r="C306" i="1" s="1"/>
  <c r="C317" i="1" s="1"/>
  <c r="AC41" i="1"/>
  <c r="AC86" i="1" s="1"/>
  <c r="AC215" i="1" s="1"/>
  <c r="AC602" i="1" s="1"/>
  <c r="T86" i="1"/>
  <c r="T215" i="1" s="1"/>
  <c r="Q102" i="1"/>
  <c r="T59" i="1"/>
  <c r="B85" i="1"/>
  <c r="B91" i="1" s="1"/>
  <c r="B102" i="1" s="1"/>
  <c r="E59" i="1"/>
  <c r="T42" i="1"/>
  <c r="E42" i="1"/>
  <c r="K1504" i="1" l="1"/>
  <c r="K1510" i="1" s="1"/>
  <c r="K1521" i="1" s="1"/>
  <c r="R392" i="1"/>
  <c r="R403" i="1" s="1"/>
  <c r="R429" i="1" s="1"/>
  <c r="R435" i="1" s="1"/>
  <c r="R446" i="1" s="1"/>
  <c r="R472" i="1" s="1"/>
  <c r="AB521" i="1"/>
  <c r="AB532" i="1" s="1"/>
  <c r="AB558" i="1" s="1"/>
  <c r="U446" i="1"/>
  <c r="U472" i="1" s="1"/>
  <c r="U478" i="1" s="1"/>
  <c r="Y575" i="1"/>
  <c r="Y601" i="1" s="1"/>
  <c r="Y607" i="1" s="1"/>
  <c r="X429" i="1"/>
  <c r="AC1204" i="1"/>
  <c r="X604" i="1"/>
  <c r="AB604" i="1"/>
  <c r="D1246" i="1"/>
  <c r="D1252" i="1" s="1"/>
  <c r="D1263" i="1" s="1"/>
  <c r="D1289" i="1" s="1"/>
  <c r="D1295" i="1" s="1"/>
  <c r="D1306" i="1" s="1"/>
  <c r="D1332" i="1" s="1"/>
  <c r="D1338" i="1" s="1"/>
  <c r="D1349" i="1" s="1"/>
  <c r="D1375" i="1" s="1"/>
  <c r="D1381" i="1" s="1"/>
  <c r="D1392" i="1" s="1"/>
  <c r="D1418" i="1" s="1"/>
  <c r="D1424" i="1" s="1"/>
  <c r="D1435" i="1" s="1"/>
  <c r="D1461" i="1" s="1"/>
  <c r="D1467" i="1" s="1"/>
  <c r="D1478" i="1" s="1"/>
  <c r="D1504" i="1" s="1"/>
  <c r="D1510" i="1" s="1"/>
  <c r="D1521" i="1" s="1"/>
  <c r="G1031" i="1"/>
  <c r="G1037" i="1" s="1"/>
  <c r="G1048" i="1" s="1"/>
  <c r="G1074" i="1" s="1"/>
  <c r="G1080" i="1" s="1"/>
  <c r="G1091" i="1" s="1"/>
  <c r="Q216" i="1"/>
  <c r="T602" i="1"/>
  <c r="T216" i="1"/>
  <c r="S216" i="1"/>
  <c r="R216" i="1"/>
  <c r="J515" i="1"/>
  <c r="J521" i="1" s="1"/>
  <c r="J532" i="1" s="1"/>
  <c r="M489" i="1"/>
  <c r="M515" i="1" s="1"/>
  <c r="M521" i="1" s="1"/>
  <c r="F472" i="1"/>
  <c r="F478" i="1" s="1"/>
  <c r="F489" i="1" s="1"/>
  <c r="I446" i="1"/>
  <c r="I472" i="1" s="1"/>
  <c r="I478" i="1" s="1"/>
  <c r="C343" i="1"/>
  <c r="C349" i="1" s="1"/>
  <c r="C360" i="1" s="1"/>
  <c r="T87" i="1"/>
  <c r="S87" i="1"/>
  <c r="Q87" i="1"/>
  <c r="R87" i="1"/>
  <c r="B128" i="1"/>
  <c r="B134" i="1" s="1"/>
  <c r="B145" i="1" s="1"/>
  <c r="E102" i="1"/>
  <c r="Q128" i="1"/>
  <c r="Q134" i="1" s="1"/>
  <c r="Q145" i="1" s="1"/>
  <c r="T102" i="1"/>
  <c r="T85" i="1"/>
  <c r="AC59" i="1"/>
  <c r="AC42" i="1"/>
  <c r="T48" i="1"/>
  <c r="AC48" i="1" s="1"/>
  <c r="N42" i="1"/>
  <c r="E48" i="1"/>
  <c r="N48" i="1" s="1"/>
  <c r="E85" i="1"/>
  <c r="N59" i="1"/>
  <c r="K1547" i="1" l="1"/>
  <c r="K1553" i="1" s="1"/>
  <c r="K1564" i="1" s="1"/>
  <c r="D1547" i="1"/>
  <c r="D1553" i="1" s="1"/>
  <c r="D1564" i="1" s="1"/>
  <c r="D1590" i="1" s="1"/>
  <c r="D1596" i="1" s="1"/>
  <c r="D1607" i="1" s="1"/>
  <c r="D1633" i="1" s="1"/>
  <c r="D1639" i="1" s="1"/>
  <c r="D1650" i="1" s="1"/>
  <c r="D1676" i="1" s="1"/>
  <c r="D1682" i="1" s="1"/>
  <c r="D1693" i="1" s="1"/>
  <c r="D1719" i="1" s="1"/>
  <c r="D1725" i="1" s="1"/>
  <c r="D1736" i="1" s="1"/>
  <c r="D1762" i="1" s="1"/>
  <c r="D1768" i="1" s="1"/>
  <c r="D1779" i="1" s="1"/>
  <c r="D1805" i="1" s="1"/>
  <c r="D1811" i="1" s="1"/>
  <c r="D1822" i="1" s="1"/>
  <c r="D1848" i="1" s="1"/>
  <c r="D1854" i="1" s="1"/>
  <c r="D1865" i="1" s="1"/>
  <c r="D1891" i="1" s="1"/>
  <c r="D1897" i="1" s="1"/>
  <c r="D1908" i="1" s="1"/>
  <c r="D1934" i="1" s="1"/>
  <c r="D1940" i="1" s="1"/>
  <c r="D1951" i="1" s="1"/>
  <c r="D1977" i="1" s="1"/>
  <c r="D1983" i="1" s="1"/>
  <c r="D1994" i="1" s="1"/>
  <c r="D2020" i="1" s="1"/>
  <c r="D2026" i="1" s="1"/>
  <c r="D2037" i="1" s="1"/>
  <c r="D2063" i="1" s="1"/>
  <c r="D2069" i="1" s="1"/>
  <c r="D2080" i="1" s="1"/>
  <c r="D2106" i="1" s="1"/>
  <c r="D2112" i="1" s="1"/>
  <c r="D2123" i="1" s="1"/>
  <c r="D2149" i="1" s="1"/>
  <c r="D2155" i="1" s="1"/>
  <c r="D2166" i="1" s="1"/>
  <c r="D2192" i="1" s="1"/>
  <c r="D2198" i="1" s="1"/>
  <c r="D2209" i="1" s="1"/>
  <c r="D2235" i="1" s="1"/>
  <c r="D2241" i="1" s="1"/>
  <c r="D2252" i="1" s="1"/>
  <c r="D2278" i="1" s="1"/>
  <c r="X435" i="1"/>
  <c r="X446" i="1" s="1"/>
  <c r="X472" i="1" s="1"/>
  <c r="R478" i="1"/>
  <c r="R489" i="1" s="1"/>
  <c r="R515" i="1" s="1"/>
  <c r="R521" i="1" s="1"/>
  <c r="R532" i="1" s="1"/>
  <c r="R558" i="1" s="1"/>
  <c r="R564" i="1" s="1"/>
  <c r="R575" i="1" s="1"/>
  <c r="R601" i="1" s="1"/>
  <c r="R607" i="1" s="1"/>
  <c r="R618" i="1" s="1"/>
  <c r="R644" i="1" s="1"/>
  <c r="R650" i="1" s="1"/>
  <c r="R661" i="1" s="1"/>
  <c r="R687" i="1" s="1"/>
  <c r="R693" i="1" s="1"/>
  <c r="R704" i="1" s="1"/>
  <c r="R730" i="1" s="1"/>
  <c r="R736" i="1" s="1"/>
  <c r="R747" i="1" s="1"/>
  <c r="R773" i="1" s="1"/>
  <c r="R779" i="1" s="1"/>
  <c r="R790" i="1" s="1"/>
  <c r="R816" i="1" s="1"/>
  <c r="R822" i="1" s="1"/>
  <c r="R833" i="1" s="1"/>
  <c r="R859" i="1" s="1"/>
  <c r="R865" i="1" s="1"/>
  <c r="R876" i="1" s="1"/>
  <c r="R902" i="1" s="1"/>
  <c r="AB564" i="1"/>
  <c r="AB575" i="1" s="1"/>
  <c r="AB601" i="1" s="1"/>
  <c r="U489" i="1"/>
  <c r="U515" i="1" s="1"/>
  <c r="U521" i="1" s="1"/>
  <c r="Y618" i="1"/>
  <c r="Y644" i="1" s="1"/>
  <c r="Y650" i="1" s="1"/>
  <c r="T604" i="1"/>
  <c r="T1204" i="1"/>
  <c r="G1117" i="1"/>
  <c r="G1123" i="1" s="1"/>
  <c r="G1134" i="1" s="1"/>
  <c r="G1160" i="1" s="1"/>
  <c r="G1166" i="1" s="1"/>
  <c r="G1177" i="1" s="1"/>
  <c r="G1203" i="1" s="1"/>
  <c r="G1209" i="1" s="1"/>
  <c r="G1220" i="1" s="1"/>
  <c r="G1246" i="1" s="1"/>
  <c r="G1252" i="1" s="1"/>
  <c r="G1263" i="1" s="1"/>
  <c r="G1289" i="1" s="1"/>
  <c r="G1295" i="1" s="1"/>
  <c r="G1306" i="1" s="1"/>
  <c r="T603" i="1"/>
  <c r="S603" i="1"/>
  <c r="Q603" i="1"/>
  <c r="R603" i="1"/>
  <c r="J558" i="1"/>
  <c r="J564" i="1" s="1"/>
  <c r="J575" i="1" s="1"/>
  <c r="M532" i="1"/>
  <c r="M558" i="1" s="1"/>
  <c r="M564" i="1" s="1"/>
  <c r="F515" i="1"/>
  <c r="F521" i="1" s="1"/>
  <c r="F532" i="1" s="1"/>
  <c r="I489" i="1"/>
  <c r="I515" i="1" s="1"/>
  <c r="I521" i="1" s="1"/>
  <c r="C386" i="1"/>
  <c r="C392" i="1" s="1"/>
  <c r="C403" i="1" s="1"/>
  <c r="C429" i="1" s="1"/>
  <c r="C435" i="1" s="1"/>
  <c r="C446" i="1" s="1"/>
  <c r="B171" i="1"/>
  <c r="B177" i="1" s="1"/>
  <c r="B188" i="1" s="1"/>
  <c r="E145" i="1"/>
  <c r="Q171" i="1"/>
  <c r="Q177" i="1" s="1"/>
  <c r="Q188" i="1" s="1"/>
  <c r="T145" i="1"/>
  <c r="N85" i="1"/>
  <c r="E91" i="1"/>
  <c r="N91" i="1" s="1"/>
  <c r="AC85" i="1"/>
  <c r="T91" i="1"/>
  <c r="AC91" i="1" s="1"/>
  <c r="T128" i="1"/>
  <c r="AC102" i="1"/>
  <c r="N102" i="1"/>
  <c r="E128" i="1"/>
  <c r="K1590" i="1" l="1"/>
  <c r="K1596" i="1" s="1"/>
  <c r="K1607" i="1" s="1"/>
  <c r="X478" i="1"/>
  <c r="X489" i="1" s="1"/>
  <c r="X515" i="1" s="1"/>
  <c r="AB607" i="1"/>
  <c r="AB618" i="1" s="1"/>
  <c r="AB644" i="1" s="1"/>
  <c r="R908" i="1"/>
  <c r="R919" i="1" s="1"/>
  <c r="R945" i="1" s="1"/>
  <c r="R951" i="1" s="1"/>
  <c r="R962" i="1" s="1"/>
  <c r="R988" i="1" s="1"/>
  <c r="R994" i="1" s="1"/>
  <c r="R1005" i="1" s="1"/>
  <c r="R1031" i="1" s="1"/>
  <c r="R1037" i="1" s="1"/>
  <c r="R1048" i="1" s="1"/>
  <c r="R1074" i="1" s="1"/>
  <c r="R1080" i="1" s="1"/>
  <c r="R1091" i="1" s="1"/>
  <c r="R1117" i="1" s="1"/>
  <c r="R1123" i="1" s="1"/>
  <c r="R1134" i="1" s="1"/>
  <c r="R1160" i="1" s="1"/>
  <c r="R1166" i="1" s="1"/>
  <c r="R1177" i="1" s="1"/>
  <c r="R1203" i="1" s="1"/>
  <c r="R1209" i="1" s="1"/>
  <c r="R1220" i="1" s="1"/>
  <c r="R1246" i="1" s="1"/>
  <c r="R1252" i="1" s="1"/>
  <c r="R1263" i="1" s="1"/>
  <c r="R1289" i="1" s="1"/>
  <c r="R1295" i="1" s="1"/>
  <c r="R1306" i="1" s="1"/>
  <c r="R1332" i="1" s="1"/>
  <c r="R1338" i="1" s="1"/>
  <c r="R1349" i="1" s="1"/>
  <c r="R1375" i="1" s="1"/>
  <c r="R1381" i="1" s="1"/>
  <c r="R1392" i="1" s="1"/>
  <c r="R1418" i="1" s="1"/>
  <c r="R1424" i="1" s="1"/>
  <c r="R1435" i="1" s="1"/>
  <c r="R1461" i="1" s="1"/>
  <c r="R1467" i="1" s="1"/>
  <c r="R1478" i="1" s="1"/>
  <c r="R1504" i="1" s="1"/>
  <c r="R1510" i="1" s="1"/>
  <c r="R1521" i="1" s="1"/>
  <c r="R1547" i="1" s="1"/>
  <c r="R1553" i="1" s="1"/>
  <c r="R1564" i="1" s="1"/>
  <c r="R1590" i="1" s="1"/>
  <c r="R1596" i="1" s="1"/>
  <c r="R1607" i="1" s="1"/>
  <c r="R1633" i="1" s="1"/>
  <c r="R1639" i="1" s="1"/>
  <c r="R1650" i="1" s="1"/>
  <c r="R1676" i="1" s="1"/>
  <c r="R1682" i="1" s="1"/>
  <c r="R1693" i="1" s="1"/>
  <c r="R1719" i="1" s="1"/>
  <c r="R1725" i="1" s="1"/>
  <c r="R1736" i="1" s="1"/>
  <c r="R1762" i="1" s="1"/>
  <c r="R1768" i="1" s="1"/>
  <c r="R1779" i="1" s="1"/>
  <c r="R1805" i="1" s="1"/>
  <c r="R1811" i="1" s="1"/>
  <c r="R1822" i="1" s="1"/>
  <c r="R1848" i="1" s="1"/>
  <c r="R1854" i="1" s="1"/>
  <c r="R1865" i="1" s="1"/>
  <c r="R1891" i="1" s="1"/>
  <c r="R1897" i="1" s="1"/>
  <c r="R1908" i="1" s="1"/>
  <c r="R1934" i="1" s="1"/>
  <c r="R1940" i="1" s="1"/>
  <c r="R1951" i="1" s="1"/>
  <c r="R1977" i="1" s="1"/>
  <c r="R1983" i="1" s="1"/>
  <c r="R1994" i="1" s="1"/>
  <c r="R2020" i="1" s="1"/>
  <c r="R2026" i="1" s="1"/>
  <c r="R2037" i="1" s="1"/>
  <c r="R2063" i="1" s="1"/>
  <c r="R2069" i="1" s="1"/>
  <c r="R2080" i="1" s="1"/>
  <c r="R2106" i="1" s="1"/>
  <c r="R2112" i="1" s="1"/>
  <c r="R2123" i="1" s="1"/>
  <c r="R2149" i="1" s="1"/>
  <c r="R2155" i="1" s="1"/>
  <c r="R2166" i="1" s="1"/>
  <c r="R2192" i="1" s="1"/>
  <c r="R2198" i="1" s="1"/>
  <c r="R2209" i="1" s="1"/>
  <c r="R2235" i="1" s="1"/>
  <c r="R2241" i="1" s="1"/>
  <c r="R2252" i="1" s="1"/>
  <c r="R2278" i="1" s="1"/>
  <c r="U532" i="1"/>
  <c r="U558" i="1" s="1"/>
  <c r="U564" i="1" s="1"/>
  <c r="Y661" i="1"/>
  <c r="Y687" i="1" s="1"/>
  <c r="Y693" i="1" s="1"/>
  <c r="G1332" i="1"/>
  <c r="G1338" i="1" s="1"/>
  <c r="G1349" i="1" s="1"/>
  <c r="T1205" i="1"/>
  <c r="S1205" i="1"/>
  <c r="Q1205" i="1"/>
  <c r="R1205" i="1"/>
  <c r="J601" i="1"/>
  <c r="J607" i="1" s="1"/>
  <c r="J618" i="1" s="1"/>
  <c r="M575" i="1"/>
  <c r="M601" i="1" s="1"/>
  <c r="M607" i="1" s="1"/>
  <c r="F558" i="1"/>
  <c r="F564" i="1" s="1"/>
  <c r="F575" i="1" s="1"/>
  <c r="I532" i="1"/>
  <c r="I558" i="1" s="1"/>
  <c r="I564" i="1" s="1"/>
  <c r="C472" i="1"/>
  <c r="C478" i="1" s="1"/>
  <c r="C489" i="1" s="1"/>
  <c r="B214" i="1"/>
  <c r="B220" i="1" s="1"/>
  <c r="B231" i="1" s="1"/>
  <c r="E188" i="1"/>
  <c r="Q214" i="1"/>
  <c r="Q220" i="1" s="1"/>
  <c r="Q231" i="1" s="1"/>
  <c r="T188" i="1"/>
  <c r="E171" i="1"/>
  <c r="N145" i="1"/>
  <c r="N128" i="1"/>
  <c r="E134" i="1"/>
  <c r="N134" i="1" s="1"/>
  <c r="AC145" i="1"/>
  <c r="T171" i="1"/>
  <c r="T177" i="1" s="1"/>
  <c r="AC177" i="1" s="1"/>
  <c r="AC128" i="1"/>
  <c r="T134" i="1"/>
  <c r="AC134" i="1" s="1"/>
  <c r="K1633" i="1" l="1"/>
  <c r="K1639" i="1" s="1"/>
  <c r="K1650" i="1" s="1"/>
  <c r="K1676" i="1" s="1"/>
  <c r="K1682" i="1" s="1"/>
  <c r="K1693" i="1" s="1"/>
  <c r="X521" i="1"/>
  <c r="X532" i="1" s="1"/>
  <c r="X558" i="1" s="1"/>
  <c r="AB650" i="1"/>
  <c r="AB661" i="1" s="1"/>
  <c r="AB687" i="1" s="1"/>
  <c r="U575" i="1"/>
  <c r="U601" i="1" s="1"/>
  <c r="U607" i="1" s="1"/>
  <c r="Y704" i="1"/>
  <c r="Y730" i="1" s="1"/>
  <c r="Y736" i="1" s="1"/>
  <c r="G1375" i="1"/>
  <c r="G1381" i="1" s="1"/>
  <c r="G1392" i="1" s="1"/>
  <c r="G1418" i="1" s="1"/>
  <c r="G1424" i="1" s="1"/>
  <c r="G1435" i="1" s="1"/>
  <c r="G1461" i="1" s="1"/>
  <c r="G1467" i="1" s="1"/>
  <c r="G1478" i="1" s="1"/>
  <c r="J644" i="1"/>
  <c r="J650" i="1" s="1"/>
  <c r="J661" i="1" s="1"/>
  <c r="M618" i="1"/>
  <c r="M644" i="1" s="1"/>
  <c r="M650" i="1" s="1"/>
  <c r="F601" i="1"/>
  <c r="F607" i="1" s="1"/>
  <c r="F618" i="1" s="1"/>
  <c r="I575" i="1"/>
  <c r="I601" i="1" s="1"/>
  <c r="I607" i="1" s="1"/>
  <c r="C515" i="1"/>
  <c r="C521" i="1" s="1"/>
  <c r="C532" i="1" s="1"/>
  <c r="B257" i="1"/>
  <c r="B263" i="1" s="1"/>
  <c r="B274" i="1" s="1"/>
  <c r="E231" i="1"/>
  <c r="T231" i="1"/>
  <c r="Q257" i="1"/>
  <c r="Q263" i="1" s="1"/>
  <c r="Q274" i="1" s="1"/>
  <c r="N188" i="1"/>
  <c r="E214" i="1"/>
  <c r="N171" i="1"/>
  <c r="E177" i="1"/>
  <c r="N177" i="1" s="1"/>
  <c r="T214" i="1"/>
  <c r="AC188" i="1"/>
  <c r="AC171" i="1"/>
  <c r="K1719" i="1" l="1"/>
  <c r="K1725" i="1" s="1"/>
  <c r="K1736" i="1" s="1"/>
  <c r="G1504" i="1"/>
  <c r="G1510" i="1" s="1"/>
  <c r="G1521" i="1" s="1"/>
  <c r="X564" i="1"/>
  <c r="X575" i="1" s="1"/>
  <c r="X601" i="1" s="1"/>
  <c r="AB693" i="1"/>
  <c r="AB704" i="1" s="1"/>
  <c r="AB730" i="1" s="1"/>
  <c r="U618" i="1"/>
  <c r="U644" i="1" s="1"/>
  <c r="U650" i="1" s="1"/>
  <c r="Y747" i="1"/>
  <c r="Y773" i="1" s="1"/>
  <c r="Y779" i="1" s="1"/>
  <c r="J687" i="1"/>
  <c r="J693" i="1" s="1"/>
  <c r="J704" i="1" s="1"/>
  <c r="M661" i="1"/>
  <c r="M687" i="1" s="1"/>
  <c r="M693" i="1" s="1"/>
  <c r="F644" i="1"/>
  <c r="F650" i="1" s="1"/>
  <c r="F661" i="1" s="1"/>
  <c r="I618" i="1"/>
  <c r="I644" i="1" s="1"/>
  <c r="I650" i="1" s="1"/>
  <c r="C558" i="1"/>
  <c r="C564" i="1" s="1"/>
  <c r="C575" i="1" s="1"/>
  <c r="C601" i="1" s="1"/>
  <c r="C607" i="1" s="1"/>
  <c r="C618" i="1" s="1"/>
  <c r="C644" i="1" s="1"/>
  <c r="C650" i="1" s="1"/>
  <c r="C661" i="1" s="1"/>
  <c r="E274" i="1"/>
  <c r="B300" i="1"/>
  <c r="B306" i="1" s="1"/>
  <c r="B317" i="1" s="1"/>
  <c r="Q300" i="1"/>
  <c r="Q306" i="1" s="1"/>
  <c r="Q317" i="1" s="1"/>
  <c r="Q343" i="1" s="1"/>
  <c r="Q349" i="1" s="1"/>
  <c r="T274" i="1"/>
  <c r="E257" i="1"/>
  <c r="N231" i="1"/>
  <c r="N214" i="1"/>
  <c r="E220" i="1"/>
  <c r="N220" i="1" s="1"/>
  <c r="AC214" i="1"/>
  <c r="T220" i="1"/>
  <c r="AC220" i="1" s="1"/>
  <c r="T257" i="1"/>
  <c r="AC231" i="1"/>
  <c r="K1762" i="1" l="1"/>
  <c r="K1768" i="1" s="1"/>
  <c r="K1779" i="1" s="1"/>
  <c r="G1547" i="1"/>
  <c r="G1553" i="1" s="1"/>
  <c r="G1564" i="1" s="1"/>
  <c r="X607" i="1"/>
  <c r="X618" i="1" s="1"/>
  <c r="X644" i="1" s="1"/>
  <c r="AB736" i="1"/>
  <c r="AB747" i="1" s="1"/>
  <c r="AB773" i="1" s="1"/>
  <c r="U661" i="1"/>
  <c r="U687" i="1" s="1"/>
  <c r="U693" i="1" s="1"/>
  <c r="Y790" i="1"/>
  <c r="Y816" i="1" s="1"/>
  <c r="Y822" i="1" s="1"/>
  <c r="J730" i="1"/>
  <c r="J736" i="1" s="1"/>
  <c r="J747" i="1" s="1"/>
  <c r="M704" i="1"/>
  <c r="M730" i="1" s="1"/>
  <c r="M736" i="1" s="1"/>
  <c r="F687" i="1"/>
  <c r="F693" i="1" s="1"/>
  <c r="F704" i="1" s="1"/>
  <c r="I661" i="1"/>
  <c r="I687" i="1" s="1"/>
  <c r="I693" i="1" s="1"/>
  <c r="C687" i="1"/>
  <c r="C693" i="1" s="1"/>
  <c r="C704" i="1" s="1"/>
  <c r="C730" i="1" s="1"/>
  <c r="C736" i="1" s="1"/>
  <c r="C747" i="1" s="1"/>
  <c r="C773" i="1" s="1"/>
  <c r="C779" i="1" s="1"/>
  <c r="C790" i="1" s="1"/>
  <c r="C816" i="1" s="1"/>
  <c r="C822" i="1" s="1"/>
  <c r="C833" i="1" s="1"/>
  <c r="C859" i="1" s="1"/>
  <c r="C865" i="1" s="1"/>
  <c r="C876" i="1" s="1"/>
  <c r="C902" i="1" s="1"/>
  <c r="C908" i="1" s="1"/>
  <c r="C919" i="1" s="1"/>
  <c r="C945" i="1" s="1"/>
  <c r="C951" i="1" s="1"/>
  <c r="C962" i="1" s="1"/>
  <c r="C988" i="1" s="1"/>
  <c r="C994" i="1" s="1"/>
  <c r="C1005" i="1" s="1"/>
  <c r="B343" i="1"/>
  <c r="B349" i="1" s="1"/>
  <c r="B360" i="1" s="1"/>
  <c r="E317" i="1"/>
  <c r="Q360" i="1"/>
  <c r="Q386" i="1" s="1"/>
  <c r="Q392" i="1" s="1"/>
  <c r="Q403" i="1" s="1"/>
  <c r="T317" i="1"/>
  <c r="T343" i="1" s="1"/>
  <c r="T349" i="1" s="1"/>
  <c r="N257" i="1"/>
  <c r="E263" i="1"/>
  <c r="N263" i="1" s="1"/>
  <c r="E300" i="1"/>
  <c r="N274" i="1"/>
  <c r="AC257" i="1"/>
  <c r="T263" i="1"/>
  <c r="AC263" i="1" s="1"/>
  <c r="T300" i="1"/>
  <c r="AC274" i="1"/>
  <c r="K1805" i="1" l="1"/>
  <c r="K1811" i="1" s="1"/>
  <c r="K1822" i="1" s="1"/>
  <c r="K1848" i="1" s="1"/>
  <c r="K1854" i="1" s="1"/>
  <c r="K1865" i="1" s="1"/>
  <c r="K1891" i="1" s="1"/>
  <c r="K1897" i="1" s="1"/>
  <c r="K1908" i="1" s="1"/>
  <c r="K1934" i="1" s="1"/>
  <c r="K1940" i="1" s="1"/>
  <c r="K1951" i="1" s="1"/>
  <c r="G1590" i="1"/>
  <c r="G1596" i="1" s="1"/>
  <c r="G1607" i="1" s="1"/>
  <c r="X650" i="1"/>
  <c r="X661" i="1" s="1"/>
  <c r="X687" i="1" s="1"/>
  <c r="AB779" i="1"/>
  <c r="AB790" i="1" s="1"/>
  <c r="AB816" i="1" s="1"/>
  <c r="U704" i="1"/>
  <c r="U730" i="1" s="1"/>
  <c r="U736" i="1" s="1"/>
  <c r="Y833" i="1"/>
  <c r="Y859" i="1" s="1"/>
  <c r="Y865" i="1" s="1"/>
  <c r="C1031" i="1"/>
  <c r="C1037" i="1" s="1"/>
  <c r="C1048" i="1" s="1"/>
  <c r="C1074" i="1" s="1"/>
  <c r="C1080" i="1" s="1"/>
  <c r="C1091" i="1" s="1"/>
  <c r="C1117" i="1" s="1"/>
  <c r="C1123" i="1" s="1"/>
  <c r="C1134" i="1" s="1"/>
  <c r="C1160" i="1" s="1"/>
  <c r="C1166" i="1" s="1"/>
  <c r="C1177" i="1" s="1"/>
  <c r="C1203" i="1" s="1"/>
  <c r="C1209" i="1" s="1"/>
  <c r="C1220" i="1" s="1"/>
  <c r="C1246" i="1" s="1"/>
  <c r="C1252" i="1" s="1"/>
  <c r="C1263" i="1" s="1"/>
  <c r="C1289" i="1" s="1"/>
  <c r="C1295" i="1" s="1"/>
  <c r="C1306" i="1" s="1"/>
  <c r="M747" i="1"/>
  <c r="M773" i="1" s="1"/>
  <c r="M779" i="1" s="1"/>
  <c r="J773" i="1"/>
  <c r="J779" i="1" s="1"/>
  <c r="J790" i="1" s="1"/>
  <c r="F730" i="1"/>
  <c r="F736" i="1" s="1"/>
  <c r="F747" i="1" s="1"/>
  <c r="I704" i="1"/>
  <c r="I730" i="1" s="1"/>
  <c r="I736" i="1" s="1"/>
  <c r="B386" i="1"/>
  <c r="B392" i="1" s="1"/>
  <c r="B403" i="1" s="1"/>
  <c r="E360" i="1"/>
  <c r="Q429" i="1"/>
  <c r="Q435" i="1" s="1"/>
  <c r="T360" i="1"/>
  <c r="T386" i="1" s="1"/>
  <c r="T392" i="1" s="1"/>
  <c r="T403" i="1" s="1"/>
  <c r="E343" i="1"/>
  <c r="N317" i="1"/>
  <c r="AC300" i="1"/>
  <c r="T306" i="1"/>
  <c r="AC306" i="1" s="1"/>
  <c r="AC317" i="1"/>
  <c r="AC343" i="1" s="1"/>
  <c r="AC349" i="1" s="1"/>
  <c r="N300" i="1"/>
  <c r="E306" i="1"/>
  <c r="N306" i="1" s="1"/>
  <c r="K1977" i="1" l="1"/>
  <c r="K1983" i="1" s="1"/>
  <c r="K1994" i="1" s="1"/>
  <c r="K2020" i="1" s="1"/>
  <c r="K2026" i="1" s="1"/>
  <c r="K2037" i="1" s="1"/>
  <c r="K2063" i="1" s="1"/>
  <c r="K2069" i="1" s="1"/>
  <c r="K2080" i="1" s="1"/>
  <c r="G1633" i="1"/>
  <c r="G1639" i="1" s="1"/>
  <c r="G1650" i="1" s="1"/>
  <c r="G1676" i="1" s="1"/>
  <c r="G1682" i="1" s="1"/>
  <c r="G1693" i="1" s="1"/>
  <c r="X693" i="1"/>
  <c r="X704" i="1" s="1"/>
  <c r="X730" i="1" s="1"/>
  <c r="AB822" i="1"/>
  <c r="AB833" i="1" s="1"/>
  <c r="AB859" i="1" s="1"/>
  <c r="U747" i="1"/>
  <c r="U773" i="1" s="1"/>
  <c r="U779" i="1" s="1"/>
  <c r="Y876" i="1"/>
  <c r="Y902" i="1" s="1"/>
  <c r="Y908" i="1" s="1"/>
  <c r="C1332" i="1"/>
  <c r="C1338" i="1" s="1"/>
  <c r="C1349" i="1" s="1"/>
  <c r="M790" i="1"/>
  <c r="M816" i="1" s="1"/>
  <c r="M822" i="1" s="1"/>
  <c r="J816" i="1"/>
  <c r="J822" i="1" s="1"/>
  <c r="J833" i="1" s="1"/>
  <c r="I747" i="1"/>
  <c r="I773" i="1" s="1"/>
  <c r="I779" i="1" s="1"/>
  <c r="F773" i="1"/>
  <c r="F779" i="1" s="1"/>
  <c r="F790" i="1" s="1"/>
  <c r="N360" i="1"/>
  <c r="E386" i="1"/>
  <c r="E403" i="1"/>
  <c r="B429" i="1"/>
  <c r="B435" i="1" s="1"/>
  <c r="B446" i="1" s="1"/>
  <c r="T429" i="1"/>
  <c r="T435" i="1" s="1"/>
  <c r="N343" i="1"/>
  <c r="E349" i="1"/>
  <c r="N349" i="1" s="1"/>
  <c r="AC360" i="1"/>
  <c r="AC386" i="1" s="1"/>
  <c r="AC392" i="1" s="1"/>
  <c r="AC403" i="1" s="1"/>
  <c r="K2106" i="1" l="1"/>
  <c r="K2112" i="1" s="1"/>
  <c r="K2123" i="1" s="1"/>
  <c r="G1719" i="1"/>
  <c r="G1725" i="1" s="1"/>
  <c r="G1736" i="1" s="1"/>
  <c r="X736" i="1"/>
  <c r="X747" i="1" s="1"/>
  <c r="X773" i="1" s="1"/>
  <c r="AB865" i="1"/>
  <c r="AB876" i="1" s="1"/>
  <c r="AB902" i="1" s="1"/>
  <c r="Q446" i="1"/>
  <c r="Q472" i="1" s="1"/>
  <c r="Q478" i="1" s="1"/>
  <c r="U790" i="1"/>
  <c r="U816" i="1" s="1"/>
  <c r="U822" i="1" s="1"/>
  <c r="Y919" i="1"/>
  <c r="Y945" i="1" s="1"/>
  <c r="Y951" i="1" s="1"/>
  <c r="C1375" i="1"/>
  <c r="C1381" i="1" s="1"/>
  <c r="C1392" i="1" s="1"/>
  <c r="C1418" i="1" s="1"/>
  <c r="C1424" i="1" s="1"/>
  <c r="C1435" i="1" s="1"/>
  <c r="C1461" i="1" s="1"/>
  <c r="C1467" i="1" s="1"/>
  <c r="C1478" i="1" s="1"/>
  <c r="J859" i="1"/>
  <c r="J865" i="1" s="1"/>
  <c r="J876" i="1" s="1"/>
  <c r="M833" i="1"/>
  <c r="M859" i="1" s="1"/>
  <c r="M865" i="1" s="1"/>
  <c r="I790" i="1"/>
  <c r="I816" i="1" s="1"/>
  <c r="I822" i="1" s="1"/>
  <c r="F816" i="1"/>
  <c r="F822" i="1" s="1"/>
  <c r="F833" i="1" s="1"/>
  <c r="B472" i="1"/>
  <c r="B478" i="1" s="1"/>
  <c r="B489" i="1" s="1"/>
  <c r="E446" i="1"/>
  <c r="N386" i="1"/>
  <c r="E392" i="1"/>
  <c r="N392" i="1" s="1"/>
  <c r="E429" i="1"/>
  <c r="N403" i="1"/>
  <c r="AC429" i="1"/>
  <c r="AC435" i="1" s="1"/>
  <c r="K2149" i="1" l="1"/>
  <c r="K2155" i="1" s="1"/>
  <c r="K2166" i="1" s="1"/>
  <c r="G1762" i="1"/>
  <c r="G1768" i="1" s="1"/>
  <c r="G1779" i="1" s="1"/>
  <c r="C1504" i="1"/>
  <c r="C1510" i="1" s="1"/>
  <c r="C1521" i="1" s="1"/>
  <c r="X779" i="1"/>
  <c r="X790" i="1" s="1"/>
  <c r="X816" i="1" s="1"/>
  <c r="AB908" i="1"/>
  <c r="AB919" i="1" s="1"/>
  <c r="AB945" i="1" s="1"/>
  <c r="AC446" i="1"/>
  <c r="AC472" i="1" s="1"/>
  <c r="AC478" i="1" s="1"/>
  <c r="T446" i="1"/>
  <c r="T472" i="1" s="1"/>
  <c r="T478" i="1" s="1"/>
  <c r="Q489" i="1"/>
  <c r="Q515" i="1" s="1"/>
  <c r="Q521" i="1" s="1"/>
  <c r="U833" i="1"/>
  <c r="U859" i="1" s="1"/>
  <c r="U865" i="1" s="1"/>
  <c r="Y962" i="1"/>
  <c r="Y988" i="1" s="1"/>
  <c r="Y994" i="1" s="1"/>
  <c r="J902" i="1"/>
  <c r="J908" i="1" s="1"/>
  <c r="J919" i="1" s="1"/>
  <c r="M876" i="1"/>
  <c r="M902" i="1" s="1"/>
  <c r="M908" i="1" s="1"/>
  <c r="F859" i="1"/>
  <c r="F865" i="1" s="1"/>
  <c r="F876" i="1" s="1"/>
  <c r="I833" i="1"/>
  <c r="I859" i="1" s="1"/>
  <c r="I865" i="1" s="1"/>
  <c r="B515" i="1"/>
  <c r="B521" i="1" s="1"/>
  <c r="B532" i="1" s="1"/>
  <c r="E489" i="1"/>
  <c r="N446" i="1"/>
  <c r="E472" i="1"/>
  <c r="N429" i="1"/>
  <c r="E435" i="1"/>
  <c r="N435" i="1" s="1"/>
  <c r="T430" i="1"/>
  <c r="S430" i="1"/>
  <c r="R430" i="1"/>
  <c r="Q430" i="1"/>
  <c r="K2192" i="1" l="1"/>
  <c r="K2198" i="1" s="1"/>
  <c r="K2209" i="1" s="1"/>
  <c r="G1805" i="1"/>
  <c r="G1811" i="1" s="1"/>
  <c r="G1822" i="1" s="1"/>
  <c r="G1848" i="1" s="1"/>
  <c r="G1854" i="1" s="1"/>
  <c r="G1865" i="1" s="1"/>
  <c r="G1891" i="1" s="1"/>
  <c r="G1897" i="1" s="1"/>
  <c r="G1908" i="1" s="1"/>
  <c r="G1934" i="1" s="1"/>
  <c r="G1940" i="1" s="1"/>
  <c r="G1951" i="1" s="1"/>
  <c r="C1547" i="1"/>
  <c r="C1553" i="1" s="1"/>
  <c r="C1564" i="1" s="1"/>
  <c r="X822" i="1"/>
  <c r="X833" i="1" s="1"/>
  <c r="X859" i="1" s="1"/>
  <c r="AB951" i="1"/>
  <c r="AB962" i="1" s="1"/>
  <c r="AB988" i="1" s="1"/>
  <c r="Q532" i="1"/>
  <c r="Q558" i="1" s="1"/>
  <c r="Q564" i="1" s="1"/>
  <c r="U876" i="1"/>
  <c r="U902" i="1" s="1"/>
  <c r="U908" i="1" s="1"/>
  <c r="Y1005" i="1"/>
  <c r="Y1031" i="1" s="1"/>
  <c r="Y1037" i="1" s="1"/>
  <c r="J945" i="1"/>
  <c r="J951" i="1" s="1"/>
  <c r="J962" i="1" s="1"/>
  <c r="M919" i="1"/>
  <c r="M945" i="1" s="1"/>
  <c r="M951" i="1" s="1"/>
  <c r="F902" i="1"/>
  <c r="F908" i="1" s="1"/>
  <c r="F919" i="1" s="1"/>
  <c r="I876" i="1"/>
  <c r="I902" i="1" s="1"/>
  <c r="I908" i="1" s="1"/>
  <c r="B558" i="1"/>
  <c r="B564" i="1" s="1"/>
  <c r="B575" i="1" s="1"/>
  <c r="E532" i="1"/>
  <c r="N489" i="1"/>
  <c r="E515" i="1"/>
  <c r="N472" i="1"/>
  <c r="E478" i="1"/>
  <c r="N478" i="1" s="1"/>
  <c r="K2235" i="1" l="1"/>
  <c r="K2241" i="1" s="1"/>
  <c r="K2252" i="1" s="1"/>
  <c r="K2278" i="1" s="1"/>
  <c r="G1977" i="1"/>
  <c r="G1983" i="1" s="1"/>
  <c r="G1994" i="1" s="1"/>
  <c r="G2020" i="1" s="1"/>
  <c r="G2026" i="1" s="1"/>
  <c r="G2037" i="1" s="1"/>
  <c r="G2063" i="1" s="1"/>
  <c r="G2069" i="1" s="1"/>
  <c r="G2080" i="1" s="1"/>
  <c r="C1590" i="1"/>
  <c r="C1596" i="1" s="1"/>
  <c r="C1607" i="1" s="1"/>
  <c r="X865" i="1"/>
  <c r="X876" i="1" s="1"/>
  <c r="X902" i="1" s="1"/>
  <c r="AB994" i="1"/>
  <c r="AB1005" i="1" s="1"/>
  <c r="AB1031" i="1" s="1"/>
  <c r="AC489" i="1"/>
  <c r="AC515" i="1" s="1"/>
  <c r="AC521" i="1" s="1"/>
  <c r="T489" i="1"/>
  <c r="T515" i="1" s="1"/>
  <c r="T521" i="1" s="1"/>
  <c r="Q575" i="1"/>
  <c r="Q601" i="1" s="1"/>
  <c r="Q607" i="1" s="1"/>
  <c r="U919" i="1"/>
  <c r="U945" i="1" s="1"/>
  <c r="U951" i="1" s="1"/>
  <c r="Y1048" i="1"/>
  <c r="Y1074" i="1" s="1"/>
  <c r="Y1080" i="1" s="1"/>
  <c r="J988" i="1"/>
  <c r="J994" i="1" s="1"/>
  <c r="J1005" i="1" s="1"/>
  <c r="M962" i="1"/>
  <c r="M988" i="1" s="1"/>
  <c r="M994" i="1" s="1"/>
  <c r="F945" i="1"/>
  <c r="F951" i="1" s="1"/>
  <c r="F962" i="1" s="1"/>
  <c r="I919" i="1"/>
  <c r="I945" i="1" s="1"/>
  <c r="I951" i="1" s="1"/>
  <c r="B601" i="1"/>
  <c r="B607" i="1" s="1"/>
  <c r="B618" i="1" s="1"/>
  <c r="E575" i="1"/>
  <c r="N532" i="1"/>
  <c r="E558" i="1"/>
  <c r="N515" i="1"/>
  <c r="E521" i="1"/>
  <c r="N521" i="1" s="1"/>
  <c r="G2106" i="1" l="1"/>
  <c r="G2112" i="1" s="1"/>
  <c r="G2123" i="1" s="1"/>
  <c r="C1633" i="1"/>
  <c r="C1639" i="1" s="1"/>
  <c r="C1650" i="1" s="1"/>
  <c r="C1676" i="1" s="1"/>
  <c r="C1682" i="1" s="1"/>
  <c r="C1693" i="1" s="1"/>
  <c r="X908" i="1"/>
  <c r="X919" i="1" s="1"/>
  <c r="X945" i="1" s="1"/>
  <c r="AB1037" i="1"/>
  <c r="AB1048" i="1" s="1"/>
  <c r="AB1074" i="1" s="1"/>
  <c r="AC532" i="1"/>
  <c r="AC558" i="1" s="1"/>
  <c r="AC564" i="1" s="1"/>
  <c r="T532" i="1"/>
  <c r="T558" i="1" s="1"/>
  <c r="T564" i="1" s="1"/>
  <c r="Q618" i="1"/>
  <c r="Q644" i="1" s="1"/>
  <c r="Q650" i="1" s="1"/>
  <c r="U962" i="1"/>
  <c r="U988" i="1" s="1"/>
  <c r="U994" i="1" s="1"/>
  <c r="Y1091" i="1"/>
  <c r="Y1117" i="1" s="1"/>
  <c r="Y1123" i="1" s="1"/>
  <c r="J1031" i="1"/>
  <c r="J1037" i="1" s="1"/>
  <c r="J1048" i="1" s="1"/>
  <c r="M1005" i="1"/>
  <c r="M1031" i="1" s="1"/>
  <c r="M1037" i="1" s="1"/>
  <c r="F988" i="1"/>
  <c r="F994" i="1" s="1"/>
  <c r="F1005" i="1" s="1"/>
  <c r="I962" i="1"/>
  <c r="I988" i="1" s="1"/>
  <c r="I994" i="1" s="1"/>
  <c r="B644" i="1"/>
  <c r="B650" i="1" s="1"/>
  <c r="B661" i="1" s="1"/>
  <c r="E618" i="1"/>
  <c r="N558" i="1"/>
  <c r="E564" i="1"/>
  <c r="N564" i="1" s="1"/>
  <c r="E601" i="1"/>
  <c r="N575" i="1"/>
  <c r="G2149" i="1" l="1"/>
  <c r="G2155" i="1" s="1"/>
  <c r="G2166" i="1" s="1"/>
  <c r="C1719" i="1"/>
  <c r="C1725" i="1" s="1"/>
  <c r="C1736" i="1" s="1"/>
  <c r="X951" i="1"/>
  <c r="X962" i="1" s="1"/>
  <c r="X988" i="1" s="1"/>
  <c r="AB1080" i="1"/>
  <c r="AB1091" i="1" s="1"/>
  <c r="AB1117" i="1" s="1"/>
  <c r="AC575" i="1"/>
  <c r="AC601" i="1" s="1"/>
  <c r="AC607" i="1" s="1"/>
  <c r="T575" i="1"/>
  <c r="T601" i="1" s="1"/>
  <c r="Q661" i="1"/>
  <c r="Q687" i="1" s="1"/>
  <c r="Q693" i="1" s="1"/>
  <c r="U1005" i="1"/>
  <c r="U1031" i="1" s="1"/>
  <c r="U1037" i="1" s="1"/>
  <c r="Y1134" i="1"/>
  <c r="Y1160" i="1" s="1"/>
  <c r="Y1166" i="1" s="1"/>
  <c r="M1048" i="1"/>
  <c r="M1074" i="1" s="1"/>
  <c r="M1080" i="1" s="1"/>
  <c r="J1074" i="1"/>
  <c r="J1080" i="1" s="1"/>
  <c r="J1091" i="1" s="1"/>
  <c r="F1031" i="1"/>
  <c r="F1037" i="1" s="1"/>
  <c r="F1048" i="1" s="1"/>
  <c r="I1005" i="1"/>
  <c r="I1031" i="1" s="1"/>
  <c r="I1037" i="1" s="1"/>
  <c r="B687" i="1"/>
  <c r="B693" i="1" s="1"/>
  <c r="B704" i="1" s="1"/>
  <c r="E661" i="1"/>
  <c r="N618" i="1"/>
  <c r="E644" i="1"/>
  <c r="N601" i="1"/>
  <c r="E607" i="1"/>
  <c r="N607" i="1" s="1"/>
  <c r="G2192" i="1" l="1"/>
  <c r="G2198" i="1" s="1"/>
  <c r="G2209" i="1" s="1"/>
  <c r="C1762" i="1"/>
  <c r="C1768" i="1" s="1"/>
  <c r="C1779" i="1" s="1"/>
  <c r="AC618" i="1"/>
  <c r="AC644" i="1" s="1"/>
  <c r="AC650" i="1" s="1"/>
  <c r="T607" i="1"/>
  <c r="X994" i="1"/>
  <c r="X1005" i="1" s="1"/>
  <c r="X1031" i="1" s="1"/>
  <c r="AB1123" i="1"/>
  <c r="AB1134" i="1" s="1"/>
  <c r="AB1160" i="1" s="1"/>
  <c r="T618" i="1"/>
  <c r="T644" i="1" s="1"/>
  <c r="T645" i="1" s="1"/>
  <c r="Q704" i="1"/>
  <c r="Q730" i="1" s="1"/>
  <c r="Q736" i="1" s="1"/>
  <c r="U1048" i="1"/>
  <c r="U1074" i="1" s="1"/>
  <c r="U1080" i="1" s="1"/>
  <c r="Y1177" i="1"/>
  <c r="Y1203" i="1" s="1"/>
  <c r="Y1209" i="1" s="1"/>
  <c r="J1117" i="1"/>
  <c r="J1123" i="1" s="1"/>
  <c r="J1134" i="1" s="1"/>
  <c r="M1091" i="1"/>
  <c r="M1117" i="1" s="1"/>
  <c r="M1123" i="1" s="1"/>
  <c r="F1074" i="1"/>
  <c r="F1080" i="1" s="1"/>
  <c r="F1091" i="1" s="1"/>
  <c r="I1048" i="1"/>
  <c r="I1074" i="1" s="1"/>
  <c r="I1080" i="1" s="1"/>
  <c r="B730" i="1"/>
  <c r="B736" i="1" s="1"/>
  <c r="B747" i="1" s="1"/>
  <c r="E704" i="1"/>
  <c r="N661" i="1"/>
  <c r="E687" i="1"/>
  <c r="N644" i="1"/>
  <c r="E650" i="1"/>
  <c r="N650" i="1" s="1"/>
  <c r="G2235" i="1" l="1"/>
  <c r="G2241" i="1" s="1"/>
  <c r="G2252" i="1" s="1"/>
  <c r="G2278" i="1" s="1"/>
  <c r="C1805" i="1"/>
  <c r="C1811" i="1" s="1"/>
  <c r="C1822" i="1" s="1"/>
  <c r="C1848" i="1" s="1"/>
  <c r="C1854" i="1" s="1"/>
  <c r="C1865" i="1" s="1"/>
  <c r="C1891" i="1" s="1"/>
  <c r="C1897" i="1" s="1"/>
  <c r="C1908" i="1" s="1"/>
  <c r="C1934" i="1" s="1"/>
  <c r="C1940" i="1" s="1"/>
  <c r="C1951" i="1" s="1"/>
  <c r="S645" i="1"/>
  <c r="R645" i="1"/>
  <c r="T650" i="1"/>
  <c r="X1037" i="1"/>
  <c r="X1048" i="1" s="1"/>
  <c r="X1074" i="1" s="1"/>
  <c r="AB1166" i="1"/>
  <c r="AB1177" i="1" s="1"/>
  <c r="AB1203" i="1" s="1"/>
  <c r="AC661" i="1"/>
  <c r="AC687" i="1" s="1"/>
  <c r="AC693" i="1" s="1"/>
  <c r="Q645" i="1"/>
  <c r="Q747" i="1"/>
  <c r="Q773" i="1" s="1"/>
  <c r="Q779" i="1" s="1"/>
  <c r="U1091" i="1"/>
  <c r="U1117" i="1" s="1"/>
  <c r="U1123" i="1" s="1"/>
  <c r="Y1220" i="1"/>
  <c r="Y1246" i="1" s="1"/>
  <c r="Y1252" i="1" s="1"/>
  <c r="M1134" i="1"/>
  <c r="M1160" i="1" s="1"/>
  <c r="M1166" i="1" s="1"/>
  <c r="J1160" i="1"/>
  <c r="J1166" i="1" s="1"/>
  <c r="J1177" i="1" s="1"/>
  <c r="F1117" i="1"/>
  <c r="F1123" i="1" s="1"/>
  <c r="F1134" i="1" s="1"/>
  <c r="I1091" i="1"/>
  <c r="I1117" i="1" s="1"/>
  <c r="I1123" i="1" s="1"/>
  <c r="E747" i="1"/>
  <c r="B773" i="1"/>
  <c r="B779" i="1" s="1"/>
  <c r="B790" i="1" s="1"/>
  <c r="E730" i="1"/>
  <c r="N704" i="1"/>
  <c r="N687" i="1"/>
  <c r="E693" i="1"/>
  <c r="N693" i="1" s="1"/>
  <c r="C1977" i="1" l="1"/>
  <c r="C1983" i="1" s="1"/>
  <c r="C1994" i="1" s="1"/>
  <c r="C2020" i="1" s="1"/>
  <c r="C2026" i="1" s="1"/>
  <c r="C2037" i="1" s="1"/>
  <c r="X1080" i="1"/>
  <c r="X1091" i="1" s="1"/>
  <c r="X1117" i="1" s="1"/>
  <c r="AB1209" i="1"/>
  <c r="AB1220" i="1" s="1"/>
  <c r="AB1246" i="1" s="1"/>
  <c r="T661" i="1"/>
  <c r="T687" i="1" s="1"/>
  <c r="T693" i="1" s="1"/>
  <c r="Q790" i="1"/>
  <c r="Q816" i="1" s="1"/>
  <c r="Q822" i="1" s="1"/>
  <c r="U1134" i="1"/>
  <c r="U1160" i="1" s="1"/>
  <c r="U1166" i="1" s="1"/>
  <c r="Y1263" i="1"/>
  <c r="Y1289" i="1" s="1"/>
  <c r="Y1295" i="1" s="1"/>
  <c r="J1203" i="1"/>
  <c r="J1209" i="1" s="1"/>
  <c r="J1220" i="1" s="1"/>
  <c r="M1177" i="1"/>
  <c r="M1203" i="1" s="1"/>
  <c r="M1209" i="1" s="1"/>
  <c r="I1134" i="1"/>
  <c r="I1160" i="1" s="1"/>
  <c r="I1166" i="1" s="1"/>
  <c r="F1160" i="1"/>
  <c r="F1166" i="1" s="1"/>
  <c r="F1177" i="1" s="1"/>
  <c r="B816" i="1"/>
  <c r="B822" i="1" s="1"/>
  <c r="B833" i="1" s="1"/>
  <c r="E790" i="1"/>
  <c r="N730" i="1"/>
  <c r="E736" i="1"/>
  <c r="N736" i="1" s="1"/>
  <c r="E773" i="1"/>
  <c r="N747" i="1"/>
  <c r="C2063" i="1" l="1"/>
  <c r="C2069" i="1" s="1"/>
  <c r="C2080" i="1" s="1"/>
  <c r="C2106" i="1" s="1"/>
  <c r="C2112" i="1" s="1"/>
  <c r="C2123" i="1" s="1"/>
  <c r="C2149" i="1" s="1"/>
  <c r="C2155" i="1" s="1"/>
  <c r="C2166" i="1" s="1"/>
  <c r="X1123" i="1"/>
  <c r="X1134" i="1" s="1"/>
  <c r="X1160" i="1" s="1"/>
  <c r="AB1252" i="1"/>
  <c r="AB1263" i="1" s="1"/>
  <c r="AB1289" i="1" s="1"/>
  <c r="AB1295" i="1" s="1"/>
  <c r="AB1306" i="1" s="1"/>
  <c r="Z1247" i="1"/>
  <c r="AA1247" i="1"/>
  <c r="AB1247" i="1"/>
  <c r="Y1247" i="1"/>
  <c r="AC704" i="1"/>
  <c r="AC730" i="1" s="1"/>
  <c r="AC736" i="1" s="1"/>
  <c r="T704" i="1"/>
  <c r="T730" i="1" s="1"/>
  <c r="T736" i="1" s="1"/>
  <c r="Q833" i="1"/>
  <c r="Q859" i="1" s="1"/>
  <c r="Q865" i="1" s="1"/>
  <c r="U1177" i="1"/>
  <c r="U1203" i="1" s="1"/>
  <c r="U1209" i="1" s="1"/>
  <c r="J1246" i="1"/>
  <c r="J1252" i="1" s="1"/>
  <c r="J1263" i="1" s="1"/>
  <c r="M1220" i="1"/>
  <c r="M1246" i="1" s="1"/>
  <c r="M1252" i="1" s="1"/>
  <c r="F1203" i="1"/>
  <c r="F1209" i="1" s="1"/>
  <c r="F1220" i="1" s="1"/>
  <c r="I1177" i="1"/>
  <c r="I1203" i="1" s="1"/>
  <c r="I1209" i="1" s="1"/>
  <c r="B859" i="1"/>
  <c r="B865" i="1" s="1"/>
  <c r="B876" i="1" s="1"/>
  <c r="E833" i="1"/>
  <c r="N790" i="1"/>
  <c r="E816" i="1"/>
  <c r="N773" i="1"/>
  <c r="E779" i="1"/>
  <c r="N779" i="1" s="1"/>
  <c r="C2192" i="1" l="1"/>
  <c r="C2198" i="1" s="1"/>
  <c r="C2209" i="1" s="1"/>
  <c r="X1166" i="1"/>
  <c r="X1177" i="1" s="1"/>
  <c r="X1203" i="1" s="1"/>
  <c r="T731" i="1"/>
  <c r="R731" i="1"/>
  <c r="Q731" i="1"/>
  <c r="S731" i="1"/>
  <c r="Q876" i="1"/>
  <c r="Q902" i="1" s="1"/>
  <c r="Q908" i="1" s="1"/>
  <c r="U1220" i="1"/>
  <c r="U1246" i="1" s="1"/>
  <c r="U1252" i="1" s="1"/>
  <c r="Y1306" i="1"/>
  <c r="Y1332" i="1" s="1"/>
  <c r="Y1338" i="1" s="1"/>
  <c r="M1263" i="1"/>
  <c r="M1289" i="1" s="1"/>
  <c r="M1295" i="1" s="1"/>
  <c r="J1289" i="1"/>
  <c r="J1295" i="1" s="1"/>
  <c r="J1306" i="1" s="1"/>
  <c r="F1246" i="1"/>
  <c r="F1252" i="1" s="1"/>
  <c r="F1263" i="1" s="1"/>
  <c r="I1220" i="1"/>
  <c r="I1246" i="1" s="1"/>
  <c r="I1252" i="1" s="1"/>
  <c r="E876" i="1"/>
  <c r="B902" i="1"/>
  <c r="B908" i="1" s="1"/>
  <c r="B919" i="1" s="1"/>
  <c r="E859" i="1"/>
  <c r="N833" i="1"/>
  <c r="N816" i="1"/>
  <c r="E822" i="1"/>
  <c r="N822" i="1" s="1"/>
  <c r="C2235" i="1" l="1"/>
  <c r="C2241" i="1" s="1"/>
  <c r="C2252" i="1" s="1"/>
  <c r="C2278" i="1" s="1"/>
  <c r="X1209" i="1"/>
  <c r="X1220" i="1" s="1"/>
  <c r="X1246" i="1" s="1"/>
  <c r="AC747" i="1"/>
  <c r="AC773" i="1" s="1"/>
  <c r="AC779" i="1" s="1"/>
  <c r="T747" i="1"/>
  <c r="T773" i="1" s="1"/>
  <c r="T779" i="1" s="1"/>
  <c r="Q919" i="1"/>
  <c r="Q945" i="1" s="1"/>
  <c r="Q951" i="1" s="1"/>
  <c r="U1263" i="1"/>
  <c r="U1289" i="1" s="1"/>
  <c r="U1295" i="1" s="1"/>
  <c r="Y1349" i="1"/>
  <c r="Y1375" i="1" s="1"/>
  <c r="Y1381" i="1" s="1"/>
  <c r="AB1332" i="1"/>
  <c r="J1332" i="1"/>
  <c r="J1338" i="1" s="1"/>
  <c r="J1349" i="1" s="1"/>
  <c r="M1306" i="1"/>
  <c r="M1332" i="1" s="1"/>
  <c r="M1338" i="1" s="1"/>
  <c r="F1289" i="1"/>
  <c r="F1295" i="1" s="1"/>
  <c r="F1306" i="1" s="1"/>
  <c r="I1263" i="1"/>
  <c r="I1289" i="1" s="1"/>
  <c r="I1295" i="1" s="1"/>
  <c r="B945" i="1"/>
  <c r="B951" i="1" s="1"/>
  <c r="B962" i="1" s="1"/>
  <c r="E919" i="1"/>
  <c r="N859" i="1"/>
  <c r="E865" i="1"/>
  <c r="N865" i="1" s="1"/>
  <c r="E902" i="1"/>
  <c r="N876" i="1"/>
  <c r="X1252" i="1" l="1"/>
  <c r="X1263" i="1" s="1"/>
  <c r="X1289" i="1" s="1"/>
  <c r="X1295" i="1" s="1"/>
  <c r="X1306" i="1" s="1"/>
  <c r="U1247" i="1"/>
  <c r="X1247" i="1"/>
  <c r="W1247" i="1"/>
  <c r="V1247" i="1"/>
  <c r="AB1338" i="1"/>
  <c r="AB1349" i="1" s="1"/>
  <c r="AB1375" i="1" s="1"/>
  <c r="T790" i="1"/>
  <c r="T816" i="1" s="1"/>
  <c r="T822" i="1" s="1"/>
  <c r="AC790" i="1"/>
  <c r="AC816" i="1" s="1"/>
  <c r="AC822" i="1" s="1"/>
  <c r="Q962" i="1"/>
  <c r="Q988" i="1" s="1"/>
  <c r="Q994" i="1" s="1"/>
  <c r="Y1392" i="1"/>
  <c r="Y1418" i="1" s="1"/>
  <c r="Y1424" i="1" s="1"/>
  <c r="Y1435" i="1" s="1"/>
  <c r="Y1461" i="1" s="1"/>
  <c r="Y1467" i="1" s="1"/>
  <c r="Y1478" i="1" s="1"/>
  <c r="Y1504" i="1" s="1"/>
  <c r="Y1510" i="1" s="1"/>
  <c r="Y1521" i="1" s="1"/>
  <c r="Y1547" i="1" s="1"/>
  <c r="Y1553" i="1" s="1"/>
  <c r="Y1564" i="1" s="1"/>
  <c r="Y1590" i="1" s="1"/>
  <c r="Y1596" i="1" s="1"/>
  <c r="Y1607" i="1" s="1"/>
  <c r="Y1633" i="1" s="1"/>
  <c r="Y1639" i="1" s="1"/>
  <c r="Y1650" i="1" s="1"/>
  <c r="Y1676" i="1" s="1"/>
  <c r="Y1682" i="1" s="1"/>
  <c r="Y1693" i="1" s="1"/>
  <c r="Y1719" i="1" s="1"/>
  <c r="Y1725" i="1" s="1"/>
  <c r="Y1736" i="1" s="1"/>
  <c r="Y1762" i="1" s="1"/>
  <c r="Y1768" i="1" s="1"/>
  <c r="Y1779" i="1" s="1"/>
  <c r="Y1805" i="1" s="1"/>
  <c r="Y1811" i="1" s="1"/>
  <c r="Y1822" i="1" s="1"/>
  <c r="Y1848" i="1" s="1"/>
  <c r="Y1854" i="1" s="1"/>
  <c r="Y1865" i="1" s="1"/>
  <c r="Y1891" i="1" s="1"/>
  <c r="Y1897" i="1" s="1"/>
  <c r="Y1908" i="1" s="1"/>
  <c r="Y1934" i="1" s="1"/>
  <c r="Y1940" i="1" s="1"/>
  <c r="Y1951" i="1" s="1"/>
  <c r="Y1977" i="1" s="1"/>
  <c r="Y1983" i="1" s="1"/>
  <c r="Y1994" i="1" s="1"/>
  <c r="Y2020" i="1" s="1"/>
  <c r="Y2026" i="1" s="1"/>
  <c r="Y2037" i="1" s="1"/>
  <c r="Y2063" i="1" s="1"/>
  <c r="Y2069" i="1" s="1"/>
  <c r="Y2080" i="1" s="1"/>
  <c r="Y2106" i="1" s="1"/>
  <c r="Y2112" i="1" s="1"/>
  <c r="Y2123" i="1" s="1"/>
  <c r="Y2149" i="1" s="1"/>
  <c r="Y2155" i="1" s="1"/>
  <c r="Y2166" i="1" s="1"/>
  <c r="Y2192" i="1" s="1"/>
  <c r="Y2198" i="1" s="1"/>
  <c r="Y2209" i="1" s="1"/>
  <c r="Y2235" i="1" s="1"/>
  <c r="Y2241" i="1" s="1"/>
  <c r="Y2252" i="1" s="1"/>
  <c r="Y2278" i="1" s="1"/>
  <c r="J1375" i="1"/>
  <c r="J1381" i="1" s="1"/>
  <c r="J1392" i="1" s="1"/>
  <c r="M1349" i="1"/>
  <c r="M1375" i="1" s="1"/>
  <c r="M1381" i="1" s="1"/>
  <c r="F1332" i="1"/>
  <c r="F1338" i="1" s="1"/>
  <c r="F1349" i="1" s="1"/>
  <c r="I1306" i="1"/>
  <c r="I1332" i="1" s="1"/>
  <c r="I1338" i="1" s="1"/>
  <c r="B988" i="1"/>
  <c r="B994" i="1" s="1"/>
  <c r="B1005" i="1" s="1"/>
  <c r="E962" i="1"/>
  <c r="E945" i="1"/>
  <c r="N919" i="1"/>
  <c r="N902" i="1"/>
  <c r="E908" i="1"/>
  <c r="N908" i="1" s="1"/>
  <c r="AB1381" i="1" l="1"/>
  <c r="AB1392" i="1" s="1"/>
  <c r="AB1418" i="1" s="1"/>
  <c r="AB1424" i="1" s="1"/>
  <c r="AB1435" i="1" s="1"/>
  <c r="AB1461" i="1" s="1"/>
  <c r="AB1467" i="1" s="1"/>
  <c r="AB1478" i="1" s="1"/>
  <c r="AB1504" i="1" s="1"/>
  <c r="AB1510" i="1" s="1"/>
  <c r="AB1521" i="1" s="1"/>
  <c r="AB1547" i="1" s="1"/>
  <c r="AB1553" i="1" s="1"/>
  <c r="AB1564" i="1" s="1"/>
  <c r="AB1590" i="1" s="1"/>
  <c r="AB1596" i="1" s="1"/>
  <c r="AB1607" i="1" s="1"/>
  <c r="AB1633" i="1" s="1"/>
  <c r="AC833" i="1"/>
  <c r="AC859" i="1" s="1"/>
  <c r="AC865" i="1" s="1"/>
  <c r="T833" i="1"/>
  <c r="T859" i="1" s="1"/>
  <c r="T865" i="1" s="1"/>
  <c r="Q1005" i="1"/>
  <c r="Q1031" i="1" s="1"/>
  <c r="Q1037" i="1" s="1"/>
  <c r="U1306" i="1"/>
  <c r="U1332" i="1" s="1"/>
  <c r="U1338" i="1" s="1"/>
  <c r="J1418" i="1"/>
  <c r="J1424" i="1" s="1"/>
  <c r="J1435" i="1" s="1"/>
  <c r="M1392" i="1"/>
  <c r="M1418" i="1" s="1"/>
  <c r="M1424" i="1" s="1"/>
  <c r="F1375" i="1"/>
  <c r="F1381" i="1" s="1"/>
  <c r="F1392" i="1" s="1"/>
  <c r="I1349" i="1"/>
  <c r="I1375" i="1" s="1"/>
  <c r="I1381" i="1" s="1"/>
  <c r="B1031" i="1"/>
  <c r="B1037" i="1" s="1"/>
  <c r="B1048" i="1" s="1"/>
  <c r="E1005" i="1"/>
  <c r="N945" i="1"/>
  <c r="E951" i="1"/>
  <c r="N951" i="1" s="1"/>
  <c r="N962" i="1"/>
  <c r="E988" i="1"/>
  <c r="AB1639" i="1" l="1"/>
  <c r="AB1650" i="1" s="1"/>
  <c r="AB1676" i="1" s="1"/>
  <c r="Z1677" i="1"/>
  <c r="AA1677" i="1"/>
  <c r="Y1677" i="1"/>
  <c r="AB1462" i="1"/>
  <c r="AA1462" i="1"/>
  <c r="Z1462" i="1"/>
  <c r="Y1462" i="1"/>
  <c r="M1435" i="1"/>
  <c r="M1461" i="1" s="1"/>
  <c r="M1467" i="1" s="1"/>
  <c r="J1461" i="1"/>
  <c r="J1467" i="1" s="1"/>
  <c r="J1478" i="1" s="1"/>
  <c r="S903" i="1"/>
  <c r="Q903" i="1"/>
  <c r="R903" i="1"/>
  <c r="Q1048" i="1"/>
  <c r="Q1074" i="1" s="1"/>
  <c r="Q1080" i="1" s="1"/>
  <c r="U1349" i="1"/>
  <c r="U1375" i="1" s="1"/>
  <c r="U1381" i="1" s="1"/>
  <c r="X1332" i="1"/>
  <c r="F1418" i="1"/>
  <c r="F1424" i="1" s="1"/>
  <c r="F1435" i="1" s="1"/>
  <c r="I1392" i="1"/>
  <c r="I1418" i="1" s="1"/>
  <c r="I1424" i="1" s="1"/>
  <c r="E1048" i="1"/>
  <c r="B1074" i="1"/>
  <c r="B1080" i="1" s="1"/>
  <c r="B1091" i="1" s="1"/>
  <c r="N1005" i="1"/>
  <c r="E1031" i="1"/>
  <c r="N988" i="1"/>
  <c r="E994" i="1"/>
  <c r="N994" i="1" s="1"/>
  <c r="AB1677" i="1" l="1"/>
  <c r="AB1682" i="1"/>
  <c r="AB1693" i="1" s="1"/>
  <c r="AB1719" i="1" s="1"/>
  <c r="AB1725" i="1" s="1"/>
  <c r="AB1736" i="1" s="1"/>
  <c r="AB1762" i="1" s="1"/>
  <c r="AB1768" i="1" s="1"/>
  <c r="AB1779" i="1" s="1"/>
  <c r="AB1805" i="1" s="1"/>
  <c r="AB1811" i="1" s="1"/>
  <c r="AB1822" i="1" s="1"/>
  <c r="AB1848" i="1" s="1"/>
  <c r="AB1854" i="1" s="1"/>
  <c r="AB1865" i="1" s="1"/>
  <c r="AB1891" i="1" s="1"/>
  <c r="AB1897" i="1" s="1"/>
  <c r="AB1908" i="1" s="1"/>
  <c r="AB1934" i="1" s="1"/>
  <c r="AB1940" i="1" s="1"/>
  <c r="AB1951" i="1" s="1"/>
  <c r="AB1977" i="1" s="1"/>
  <c r="AB1983" i="1" s="1"/>
  <c r="AB1994" i="1" s="1"/>
  <c r="AB2020" i="1" s="1"/>
  <c r="AB2026" i="1" s="1"/>
  <c r="AB2037" i="1" s="1"/>
  <c r="AB2063" i="1" s="1"/>
  <c r="AB2069" i="1" s="1"/>
  <c r="AB2080" i="1" s="1"/>
  <c r="AB2106" i="1" s="1"/>
  <c r="AB2112" i="1" s="1"/>
  <c r="AB2123" i="1" s="1"/>
  <c r="AB2149" i="1" s="1"/>
  <c r="AB2155" i="1" s="1"/>
  <c r="AB2166" i="1" s="1"/>
  <c r="AB2192" i="1" s="1"/>
  <c r="AB2198" i="1" s="1"/>
  <c r="AB2209" i="1" s="1"/>
  <c r="AB2235" i="1" s="1"/>
  <c r="AB2241" i="1" s="1"/>
  <c r="AB2252" i="1" s="1"/>
  <c r="AB2278" i="1" s="1"/>
  <c r="J1504" i="1"/>
  <c r="J1510" i="1" s="1"/>
  <c r="J1521" i="1" s="1"/>
  <c r="M1478" i="1"/>
  <c r="M1504" i="1" s="1"/>
  <c r="M1510" i="1" s="1"/>
  <c r="I1435" i="1"/>
  <c r="I1461" i="1" s="1"/>
  <c r="I1467" i="1" s="1"/>
  <c r="F1461" i="1"/>
  <c r="F1467" i="1" s="1"/>
  <c r="F1478" i="1" s="1"/>
  <c r="X1338" i="1"/>
  <c r="X1349" i="1" s="1"/>
  <c r="X1375" i="1" s="1"/>
  <c r="T876" i="1"/>
  <c r="T902" i="1" s="1"/>
  <c r="T908" i="1" s="1"/>
  <c r="AC876" i="1"/>
  <c r="AC902" i="1" s="1"/>
  <c r="AC908" i="1" s="1"/>
  <c r="Q1091" i="1"/>
  <c r="Q1117" i="1" s="1"/>
  <c r="Q1123" i="1" s="1"/>
  <c r="U1392" i="1"/>
  <c r="U1418" i="1" s="1"/>
  <c r="U1424" i="1" s="1"/>
  <c r="U1435" i="1" s="1"/>
  <c r="U1461" i="1" s="1"/>
  <c r="U1467" i="1" s="1"/>
  <c r="U1478" i="1" s="1"/>
  <c r="U1504" i="1" s="1"/>
  <c r="U1510" i="1" s="1"/>
  <c r="U1521" i="1" s="1"/>
  <c r="U1547" i="1" s="1"/>
  <c r="U1553" i="1" s="1"/>
  <c r="U1564" i="1" s="1"/>
  <c r="U1590" i="1" s="1"/>
  <c r="U1596" i="1" s="1"/>
  <c r="U1607" i="1" s="1"/>
  <c r="U1633" i="1" s="1"/>
  <c r="U1639" i="1" s="1"/>
  <c r="U1650" i="1" s="1"/>
  <c r="U1676" i="1" s="1"/>
  <c r="U1682" i="1" s="1"/>
  <c r="U1693" i="1" s="1"/>
  <c r="U1719" i="1" s="1"/>
  <c r="U1725" i="1" s="1"/>
  <c r="U1736" i="1" s="1"/>
  <c r="U1762" i="1" s="1"/>
  <c r="U1768" i="1" s="1"/>
  <c r="U1779" i="1" s="1"/>
  <c r="U1805" i="1" s="1"/>
  <c r="U1811" i="1" s="1"/>
  <c r="U1822" i="1" s="1"/>
  <c r="U1848" i="1" s="1"/>
  <c r="U1854" i="1" s="1"/>
  <c r="U1865" i="1" s="1"/>
  <c r="U1891" i="1" s="1"/>
  <c r="U1897" i="1" s="1"/>
  <c r="U1908" i="1" s="1"/>
  <c r="U1934" i="1" s="1"/>
  <c r="U1940" i="1" s="1"/>
  <c r="U1951" i="1" s="1"/>
  <c r="U1977" i="1" s="1"/>
  <c r="U1983" i="1" s="1"/>
  <c r="U1994" i="1" s="1"/>
  <c r="U2020" i="1" s="1"/>
  <c r="U2026" i="1" s="1"/>
  <c r="U2037" i="1" s="1"/>
  <c r="U2063" i="1" s="1"/>
  <c r="U2069" i="1" s="1"/>
  <c r="U2080" i="1" s="1"/>
  <c r="U2106" i="1" s="1"/>
  <c r="U2112" i="1" s="1"/>
  <c r="U2123" i="1" s="1"/>
  <c r="U2149" i="1" s="1"/>
  <c r="U2155" i="1" s="1"/>
  <c r="U2166" i="1" s="1"/>
  <c r="U2192" i="1" s="1"/>
  <c r="U2198" i="1" s="1"/>
  <c r="U2209" i="1" s="1"/>
  <c r="U2235" i="1" s="1"/>
  <c r="U2241" i="1" s="1"/>
  <c r="U2252" i="1" s="1"/>
  <c r="U2278" i="1" s="1"/>
  <c r="B1117" i="1"/>
  <c r="B1123" i="1" s="1"/>
  <c r="B1134" i="1" s="1"/>
  <c r="E1091" i="1"/>
  <c r="N1048" i="1"/>
  <c r="E1074" i="1"/>
  <c r="N1031" i="1"/>
  <c r="E1037" i="1"/>
  <c r="N1037" i="1" s="1"/>
  <c r="Z1978" i="1" l="1"/>
  <c r="AA1978" i="1"/>
  <c r="AB1978" i="1"/>
  <c r="Y1978" i="1"/>
  <c r="J1547" i="1"/>
  <c r="J1553" i="1" s="1"/>
  <c r="J1564" i="1" s="1"/>
  <c r="M1521" i="1"/>
  <c r="M1547" i="1" s="1"/>
  <c r="M1553" i="1" s="1"/>
  <c r="F1504" i="1"/>
  <c r="F1510" i="1" s="1"/>
  <c r="F1521" i="1" s="1"/>
  <c r="I1478" i="1"/>
  <c r="I1504" i="1" s="1"/>
  <c r="I1510" i="1" s="1"/>
  <c r="X1381" i="1"/>
  <c r="X1392" i="1" s="1"/>
  <c r="X1418" i="1" s="1"/>
  <c r="X1424" i="1" s="1"/>
  <c r="X1435" i="1" s="1"/>
  <c r="X1461" i="1" s="1"/>
  <c r="X1467" i="1" s="1"/>
  <c r="X1478" i="1" s="1"/>
  <c r="X1504" i="1" s="1"/>
  <c r="X1510" i="1" s="1"/>
  <c r="X1521" i="1" s="1"/>
  <c r="X1547" i="1" s="1"/>
  <c r="X1553" i="1" s="1"/>
  <c r="X1564" i="1" s="1"/>
  <c r="X1590" i="1" s="1"/>
  <c r="X1596" i="1" s="1"/>
  <c r="X1607" i="1" s="1"/>
  <c r="X1633" i="1" s="1"/>
  <c r="T903" i="1"/>
  <c r="Q1134" i="1"/>
  <c r="Q1160" i="1" s="1"/>
  <c r="Q1166" i="1" s="1"/>
  <c r="B1160" i="1"/>
  <c r="B1166" i="1" s="1"/>
  <c r="B1177" i="1" s="1"/>
  <c r="E1134" i="1"/>
  <c r="N1074" i="1"/>
  <c r="E1080" i="1"/>
  <c r="N1080" i="1" s="1"/>
  <c r="E1117" i="1"/>
  <c r="N1091" i="1"/>
  <c r="X1639" i="1" l="1"/>
  <c r="X1650" i="1" s="1"/>
  <c r="X1676" i="1" s="1"/>
  <c r="V1677" i="1"/>
  <c r="W1677" i="1"/>
  <c r="U1677" i="1"/>
  <c r="J1590" i="1"/>
  <c r="J1596" i="1" s="1"/>
  <c r="J1607" i="1" s="1"/>
  <c r="M1564" i="1"/>
  <c r="M1590" i="1" s="1"/>
  <c r="M1596" i="1" s="1"/>
  <c r="F1547" i="1"/>
  <c r="F1553" i="1" s="1"/>
  <c r="F1564" i="1" s="1"/>
  <c r="I1521" i="1"/>
  <c r="I1547" i="1" s="1"/>
  <c r="I1553" i="1" s="1"/>
  <c r="X1462" i="1"/>
  <c r="V1462" i="1"/>
  <c r="W1462" i="1"/>
  <c r="U1462" i="1"/>
  <c r="AC919" i="1"/>
  <c r="AC945" i="1" s="1"/>
  <c r="AC951" i="1" s="1"/>
  <c r="T919" i="1"/>
  <c r="T945" i="1" s="1"/>
  <c r="T951" i="1" s="1"/>
  <c r="Q1177" i="1"/>
  <c r="Q1203" i="1" s="1"/>
  <c r="Q1209" i="1" s="1"/>
  <c r="N1117" i="1"/>
  <c r="E1123" i="1"/>
  <c r="N1123" i="1" s="1"/>
  <c r="N1134" i="1"/>
  <c r="E1160" i="1"/>
  <c r="B1203" i="1"/>
  <c r="B1209" i="1" s="1"/>
  <c r="B1220" i="1" s="1"/>
  <c r="E1177" i="1"/>
  <c r="X1677" i="1" l="1"/>
  <c r="X1682" i="1"/>
  <c r="X1693" i="1" s="1"/>
  <c r="X1719" i="1" s="1"/>
  <c r="X1725" i="1" s="1"/>
  <c r="X1736" i="1" s="1"/>
  <c r="X1762" i="1" s="1"/>
  <c r="X1768" i="1" s="1"/>
  <c r="X1779" i="1" s="1"/>
  <c r="X1805" i="1" s="1"/>
  <c r="X1811" i="1" s="1"/>
  <c r="X1822" i="1" s="1"/>
  <c r="X1848" i="1" s="1"/>
  <c r="X1854" i="1" s="1"/>
  <c r="X1865" i="1" s="1"/>
  <c r="X1891" i="1" s="1"/>
  <c r="X1897" i="1" s="1"/>
  <c r="X1908" i="1" s="1"/>
  <c r="X1934" i="1" s="1"/>
  <c r="X1940" i="1" s="1"/>
  <c r="X1951" i="1" s="1"/>
  <c r="X1977" i="1" s="1"/>
  <c r="X1983" i="1" s="1"/>
  <c r="X1994" i="1" s="1"/>
  <c r="X2020" i="1" s="1"/>
  <c r="X2026" i="1" s="1"/>
  <c r="X2037" i="1" s="1"/>
  <c r="X2063" i="1" s="1"/>
  <c r="X2069" i="1" s="1"/>
  <c r="X2080" i="1" s="1"/>
  <c r="X2106" i="1" s="1"/>
  <c r="X2112" i="1" s="1"/>
  <c r="X2123" i="1" s="1"/>
  <c r="X2149" i="1" s="1"/>
  <c r="X2155" i="1" s="1"/>
  <c r="X2166" i="1" s="1"/>
  <c r="X2192" i="1" s="1"/>
  <c r="X2198" i="1" s="1"/>
  <c r="X2209" i="1" s="1"/>
  <c r="X2235" i="1" s="1"/>
  <c r="X2241" i="1" s="1"/>
  <c r="X2252" i="1" s="1"/>
  <c r="X2278" i="1" s="1"/>
  <c r="J1633" i="1"/>
  <c r="J1639" i="1" s="1"/>
  <c r="J1650" i="1" s="1"/>
  <c r="M1607" i="1"/>
  <c r="M1633" i="1" s="1"/>
  <c r="M1639" i="1" s="1"/>
  <c r="F1590" i="1"/>
  <c r="F1596" i="1" s="1"/>
  <c r="F1607" i="1" s="1"/>
  <c r="I1564" i="1"/>
  <c r="I1590" i="1" s="1"/>
  <c r="I1596" i="1" s="1"/>
  <c r="AC962" i="1"/>
  <c r="AC988" i="1" s="1"/>
  <c r="AC994" i="1" s="1"/>
  <c r="T962" i="1"/>
  <c r="T988" i="1" s="1"/>
  <c r="T994" i="1" s="1"/>
  <c r="Q1220" i="1"/>
  <c r="Q1246" i="1" s="1"/>
  <c r="Q1252" i="1" s="1"/>
  <c r="B1246" i="1"/>
  <c r="B1252" i="1" s="1"/>
  <c r="B1263" i="1" s="1"/>
  <c r="E1220" i="1"/>
  <c r="N1160" i="1"/>
  <c r="E1166" i="1"/>
  <c r="N1166" i="1" s="1"/>
  <c r="E1203" i="1"/>
  <c r="N1177" i="1"/>
  <c r="V1978" i="1" l="1"/>
  <c r="X1978" i="1"/>
  <c r="W1978" i="1"/>
  <c r="U1978" i="1"/>
  <c r="J1676" i="1"/>
  <c r="J1682" i="1" s="1"/>
  <c r="J1693" i="1" s="1"/>
  <c r="M1650" i="1"/>
  <c r="M1676" i="1" s="1"/>
  <c r="M1682" i="1" s="1"/>
  <c r="F1633" i="1"/>
  <c r="F1639" i="1" s="1"/>
  <c r="F1650" i="1" s="1"/>
  <c r="I1607" i="1"/>
  <c r="I1633" i="1" s="1"/>
  <c r="I1639" i="1" s="1"/>
  <c r="T1005" i="1"/>
  <c r="T1031" i="1" s="1"/>
  <c r="T1037" i="1" s="1"/>
  <c r="AC1005" i="1"/>
  <c r="AC1031" i="1" s="1"/>
  <c r="AC1037" i="1" s="1"/>
  <c r="Q1263" i="1"/>
  <c r="Q1289" i="1" s="1"/>
  <c r="Q1295" i="1" s="1"/>
  <c r="E1263" i="1"/>
  <c r="B1289" i="1"/>
  <c r="B1295" i="1" s="1"/>
  <c r="B1306" i="1" s="1"/>
  <c r="N1220" i="1"/>
  <c r="E1246" i="1"/>
  <c r="N1203" i="1"/>
  <c r="E1209" i="1"/>
  <c r="N1209" i="1" s="1"/>
  <c r="J1719" i="1" l="1"/>
  <c r="J1725" i="1" s="1"/>
  <c r="J1736" i="1" s="1"/>
  <c r="M1693" i="1"/>
  <c r="M1719" i="1" s="1"/>
  <c r="M1725" i="1" s="1"/>
  <c r="I1650" i="1"/>
  <c r="I1676" i="1" s="1"/>
  <c r="I1682" i="1" s="1"/>
  <c r="F1676" i="1"/>
  <c r="F1682" i="1" s="1"/>
  <c r="F1693" i="1" s="1"/>
  <c r="AC1048" i="1"/>
  <c r="AC1074" i="1" s="1"/>
  <c r="AC1080" i="1" s="1"/>
  <c r="T1048" i="1"/>
  <c r="T1074" i="1" s="1"/>
  <c r="T1080" i="1" s="1"/>
  <c r="Q1306" i="1"/>
  <c r="Q1332" i="1" s="1"/>
  <c r="Q1338" i="1" s="1"/>
  <c r="B1332" i="1"/>
  <c r="B1338" i="1" s="1"/>
  <c r="B1349" i="1" s="1"/>
  <c r="E1306" i="1"/>
  <c r="N1246" i="1"/>
  <c r="E1252" i="1"/>
  <c r="N1252" i="1" s="1"/>
  <c r="E1289" i="1"/>
  <c r="N1263" i="1"/>
  <c r="J1762" i="1" l="1"/>
  <c r="J1768" i="1" s="1"/>
  <c r="J1779" i="1" s="1"/>
  <c r="M1736" i="1"/>
  <c r="F1719" i="1"/>
  <c r="F1725" i="1" s="1"/>
  <c r="F1736" i="1" s="1"/>
  <c r="I1693" i="1"/>
  <c r="T1091" i="1"/>
  <c r="T1117" i="1" s="1"/>
  <c r="T1123" i="1" s="1"/>
  <c r="AC1091" i="1"/>
  <c r="AC1117" i="1" s="1"/>
  <c r="AC1123" i="1" s="1"/>
  <c r="Q1349" i="1"/>
  <c r="Q1375" i="1" s="1"/>
  <c r="Q1381" i="1" s="1"/>
  <c r="B1375" i="1"/>
  <c r="B1381" i="1" s="1"/>
  <c r="B1392" i="1" s="1"/>
  <c r="E1349" i="1"/>
  <c r="E1332" i="1"/>
  <c r="N1306" i="1"/>
  <c r="N1289" i="1"/>
  <c r="E1295" i="1"/>
  <c r="N1295" i="1" s="1"/>
  <c r="F1762" i="1" l="1"/>
  <c r="F1768" i="1" s="1"/>
  <c r="F1779" i="1" s="1"/>
  <c r="I1736" i="1"/>
  <c r="I1762" i="1" s="1"/>
  <c r="I1768" i="1" s="1"/>
  <c r="M1762" i="1"/>
  <c r="J1805" i="1"/>
  <c r="J1811" i="1" s="1"/>
  <c r="J1822" i="1" s="1"/>
  <c r="M1779" i="1"/>
  <c r="I1719" i="1"/>
  <c r="I1725" i="1" s="1"/>
  <c r="AC1134" i="1"/>
  <c r="AC1160" i="1" s="1"/>
  <c r="AC1166" i="1" s="1"/>
  <c r="T1134" i="1"/>
  <c r="T1160" i="1" s="1"/>
  <c r="T1166" i="1" s="1"/>
  <c r="Q1392" i="1"/>
  <c r="Q1418" i="1" s="1"/>
  <c r="Q1424" i="1" s="1"/>
  <c r="Q1435" i="1" s="1"/>
  <c r="Q1461" i="1" s="1"/>
  <c r="Q1467" i="1" s="1"/>
  <c r="Q1478" i="1" s="1"/>
  <c r="Q1504" i="1" s="1"/>
  <c r="Q1510" i="1" s="1"/>
  <c r="Q1521" i="1" s="1"/>
  <c r="Q1547" i="1" s="1"/>
  <c r="Q1553" i="1" s="1"/>
  <c r="Q1564" i="1" s="1"/>
  <c r="Q1590" i="1" s="1"/>
  <c r="Q1596" i="1" s="1"/>
  <c r="Q1607" i="1" s="1"/>
  <c r="Q1633" i="1" s="1"/>
  <c r="Q1639" i="1" s="1"/>
  <c r="Q1650" i="1" s="1"/>
  <c r="Q1676" i="1" s="1"/>
  <c r="Q1682" i="1" s="1"/>
  <c r="Q1693" i="1" s="1"/>
  <c r="Q1719" i="1" s="1"/>
  <c r="Q1725" i="1" s="1"/>
  <c r="Q1736" i="1" s="1"/>
  <c r="Q1762" i="1" s="1"/>
  <c r="Q1768" i="1" s="1"/>
  <c r="Q1779" i="1" s="1"/>
  <c r="Q1805" i="1" s="1"/>
  <c r="Q1811" i="1" s="1"/>
  <c r="Q1822" i="1" s="1"/>
  <c r="Q1848" i="1" s="1"/>
  <c r="Q1854" i="1" s="1"/>
  <c r="Q1865" i="1" s="1"/>
  <c r="Q1891" i="1" s="1"/>
  <c r="Q1897" i="1" s="1"/>
  <c r="Q1908" i="1" s="1"/>
  <c r="Q1934" i="1" s="1"/>
  <c r="Q1940" i="1" s="1"/>
  <c r="Q1951" i="1" s="1"/>
  <c r="Q1977" i="1" s="1"/>
  <c r="Q1983" i="1" s="1"/>
  <c r="Q1994" i="1" s="1"/>
  <c r="Q2020" i="1" s="1"/>
  <c r="Q2026" i="1" s="1"/>
  <c r="Q2037" i="1" s="1"/>
  <c r="Q2063" i="1" s="1"/>
  <c r="Q2069" i="1" s="1"/>
  <c r="Q2080" i="1" s="1"/>
  <c r="Q2106" i="1" s="1"/>
  <c r="Q2112" i="1" s="1"/>
  <c r="Q2123" i="1" s="1"/>
  <c r="Q2149" i="1" s="1"/>
  <c r="Q2155" i="1" s="1"/>
  <c r="Q2166" i="1" s="1"/>
  <c r="Q2192" i="1" s="1"/>
  <c r="Q2198" i="1" s="1"/>
  <c r="Q2209" i="1" s="1"/>
  <c r="Q2235" i="1" s="1"/>
  <c r="Q2241" i="1" s="1"/>
  <c r="Q2252" i="1" s="1"/>
  <c r="Q2278" i="1" s="1"/>
  <c r="B1418" i="1"/>
  <c r="B1424" i="1" s="1"/>
  <c r="B1435" i="1" s="1"/>
  <c r="E1392" i="1"/>
  <c r="N1349" i="1"/>
  <c r="E1375" i="1"/>
  <c r="E1338" i="1"/>
  <c r="N1338" i="1" s="1"/>
  <c r="N1332" i="1"/>
  <c r="M1822" i="1" l="1"/>
  <c r="M1848" i="1" s="1"/>
  <c r="M1854" i="1" s="1"/>
  <c r="J1848" i="1"/>
  <c r="J1854" i="1" s="1"/>
  <c r="J1865" i="1" s="1"/>
  <c r="F1805" i="1"/>
  <c r="F1811" i="1" s="1"/>
  <c r="F1822" i="1" s="1"/>
  <c r="I1779" i="1"/>
  <c r="I1805" i="1" s="1"/>
  <c r="I1811" i="1" s="1"/>
  <c r="M1805" i="1"/>
  <c r="M1811" i="1" s="1"/>
  <c r="M1768" i="1"/>
  <c r="B1461" i="1"/>
  <c r="B1467" i="1" s="1"/>
  <c r="B1478" i="1" s="1"/>
  <c r="E1435" i="1"/>
  <c r="AC1177" i="1"/>
  <c r="AC1203" i="1" s="1"/>
  <c r="AC1209" i="1" s="1"/>
  <c r="T1177" i="1"/>
  <c r="T1203" i="1" s="1"/>
  <c r="T1209" i="1" s="1"/>
  <c r="N1375" i="1"/>
  <c r="E1381" i="1"/>
  <c r="N1381" i="1" s="1"/>
  <c r="N1392" i="1"/>
  <c r="E1418" i="1"/>
  <c r="J1891" i="1" l="1"/>
  <c r="J1897" i="1" s="1"/>
  <c r="J1908" i="1" s="1"/>
  <c r="M1865" i="1"/>
  <c r="M1891" i="1" s="1"/>
  <c r="M1897" i="1" s="1"/>
  <c r="I1822" i="1"/>
  <c r="I1848" i="1" s="1"/>
  <c r="I1854" i="1" s="1"/>
  <c r="F1848" i="1"/>
  <c r="F1854" i="1" s="1"/>
  <c r="F1865" i="1" s="1"/>
  <c r="B1504" i="1"/>
  <c r="B1510" i="1" s="1"/>
  <c r="B1521" i="1" s="1"/>
  <c r="E1478" i="1"/>
  <c r="N1418" i="1"/>
  <c r="E1424" i="1"/>
  <c r="N1424" i="1" s="1"/>
  <c r="E1461" i="1"/>
  <c r="N1435" i="1"/>
  <c r="T1220" i="1"/>
  <c r="T1246" i="1" s="1"/>
  <c r="T1252" i="1" s="1"/>
  <c r="AC1220" i="1"/>
  <c r="AC1246" i="1" s="1"/>
  <c r="AC1252" i="1" s="1"/>
  <c r="M1908" i="1" l="1"/>
  <c r="M1934" i="1" s="1"/>
  <c r="M1940" i="1" s="1"/>
  <c r="J1934" i="1"/>
  <c r="J1940" i="1" s="1"/>
  <c r="J1951" i="1" s="1"/>
  <c r="F1891" i="1"/>
  <c r="F1897" i="1" s="1"/>
  <c r="F1908" i="1" s="1"/>
  <c r="I1865" i="1"/>
  <c r="I1891" i="1" s="1"/>
  <c r="I1897" i="1" s="1"/>
  <c r="N1478" i="1"/>
  <c r="E1504" i="1"/>
  <c r="B1547" i="1"/>
  <c r="B1553" i="1" s="1"/>
  <c r="B1564" i="1" s="1"/>
  <c r="E1521" i="1"/>
  <c r="N1461" i="1"/>
  <c r="E1467" i="1"/>
  <c r="N1467" i="1" s="1"/>
  <c r="S1247" i="1"/>
  <c r="T1247" i="1"/>
  <c r="R1247" i="1"/>
  <c r="Q1247" i="1"/>
  <c r="J1977" i="1" l="1"/>
  <c r="J1983" i="1" s="1"/>
  <c r="J1994" i="1" s="1"/>
  <c r="M1951" i="1"/>
  <c r="M1977" i="1" s="1"/>
  <c r="M1983" i="1" s="1"/>
  <c r="I1908" i="1"/>
  <c r="I1934" i="1" s="1"/>
  <c r="I1940" i="1" s="1"/>
  <c r="F1934" i="1"/>
  <c r="F1940" i="1" s="1"/>
  <c r="F1951" i="1" s="1"/>
  <c r="B1590" i="1"/>
  <c r="B1596" i="1" s="1"/>
  <c r="B1607" i="1" s="1"/>
  <c r="E1564" i="1"/>
  <c r="E1547" i="1"/>
  <c r="N1521" i="1"/>
  <c r="N1504" i="1"/>
  <c r="E1510" i="1"/>
  <c r="N1510" i="1" s="1"/>
  <c r="AC1263" i="1"/>
  <c r="AC1289" i="1" s="1"/>
  <c r="AC1295" i="1" s="1"/>
  <c r="T1263" i="1"/>
  <c r="T1289" i="1" s="1"/>
  <c r="T1295" i="1" s="1"/>
  <c r="J2020" i="1" l="1"/>
  <c r="J2026" i="1" s="1"/>
  <c r="J2037" i="1" s="1"/>
  <c r="M1994" i="1"/>
  <c r="M2020" i="1" s="1"/>
  <c r="M2026" i="1" s="1"/>
  <c r="F1977" i="1"/>
  <c r="F1983" i="1" s="1"/>
  <c r="F1994" i="1" s="1"/>
  <c r="I1951" i="1"/>
  <c r="I1977" i="1" s="1"/>
  <c r="I1983" i="1" s="1"/>
  <c r="B1633" i="1"/>
  <c r="B1639" i="1" s="1"/>
  <c r="B1650" i="1" s="1"/>
  <c r="E1607" i="1"/>
  <c r="N1564" i="1"/>
  <c r="E1590" i="1"/>
  <c r="N1547" i="1"/>
  <c r="E1553" i="1"/>
  <c r="N1553" i="1" s="1"/>
  <c r="AC1306" i="1"/>
  <c r="AC1332" i="1" s="1"/>
  <c r="AC1338" i="1" s="1"/>
  <c r="T1306" i="1"/>
  <c r="T1332" i="1" s="1"/>
  <c r="T1338" i="1" s="1"/>
  <c r="M2037" i="1" l="1"/>
  <c r="J2063" i="1"/>
  <c r="J2069" i="1" s="1"/>
  <c r="J2080" i="1" s="1"/>
  <c r="I1994" i="1"/>
  <c r="I2020" i="1" s="1"/>
  <c r="I2026" i="1" s="1"/>
  <c r="F2020" i="1"/>
  <c r="F2026" i="1" s="1"/>
  <c r="F2037" i="1" s="1"/>
  <c r="B1676" i="1"/>
  <c r="B1682" i="1" s="1"/>
  <c r="B1693" i="1" s="1"/>
  <c r="E1650" i="1"/>
  <c r="E1596" i="1"/>
  <c r="N1596" i="1" s="1"/>
  <c r="N1590" i="1"/>
  <c r="E1633" i="1"/>
  <c r="N1607" i="1"/>
  <c r="AC1349" i="1"/>
  <c r="AC1375" i="1" s="1"/>
  <c r="AC1381" i="1" s="1"/>
  <c r="T1349" i="1"/>
  <c r="T1375" i="1" s="1"/>
  <c r="T1381" i="1" s="1"/>
  <c r="J2106" i="1" l="1"/>
  <c r="J2112" i="1" s="1"/>
  <c r="J2123" i="1" s="1"/>
  <c r="M2080" i="1"/>
  <c r="M2106" i="1" s="1"/>
  <c r="M2112" i="1" s="1"/>
  <c r="F2063" i="1"/>
  <c r="F2069" i="1" s="1"/>
  <c r="F2080" i="1" s="1"/>
  <c r="I2037" i="1"/>
  <c r="I2063" i="1" s="1"/>
  <c r="I2069" i="1" s="1"/>
  <c r="M2063" i="1"/>
  <c r="M2069" i="1" s="1"/>
  <c r="B1719" i="1"/>
  <c r="B1725" i="1" s="1"/>
  <c r="B1736" i="1" s="1"/>
  <c r="E1693" i="1"/>
  <c r="N1633" i="1"/>
  <c r="E1639" i="1"/>
  <c r="N1639" i="1" s="1"/>
  <c r="N1650" i="1"/>
  <c r="E1676" i="1"/>
  <c r="AC1392" i="1"/>
  <c r="AC1418" i="1" s="1"/>
  <c r="AC1424" i="1" s="1"/>
  <c r="AC1435" i="1" s="1"/>
  <c r="AC1461" i="1" s="1"/>
  <c r="AC1467" i="1" s="1"/>
  <c r="AC1478" i="1" s="1"/>
  <c r="AC1504" i="1" s="1"/>
  <c r="AC1510" i="1" s="1"/>
  <c r="AC1521" i="1" s="1"/>
  <c r="AC1547" i="1" s="1"/>
  <c r="AC1553" i="1" s="1"/>
  <c r="AC1564" i="1" s="1"/>
  <c r="AC1590" i="1" s="1"/>
  <c r="AC1596" i="1" s="1"/>
  <c r="AC1607" i="1" s="1"/>
  <c r="AC1633" i="1" s="1"/>
  <c r="AC1639" i="1" s="1"/>
  <c r="AC1650" i="1" s="1"/>
  <c r="AC1676" i="1" s="1"/>
  <c r="AC1682" i="1" s="1"/>
  <c r="AC1693" i="1" s="1"/>
  <c r="AC1719" i="1" s="1"/>
  <c r="AC1725" i="1" s="1"/>
  <c r="AC1736" i="1" s="1"/>
  <c r="AC1762" i="1" s="1"/>
  <c r="AC1768" i="1" s="1"/>
  <c r="AC1779" i="1" s="1"/>
  <c r="AC1805" i="1" s="1"/>
  <c r="AC1811" i="1" s="1"/>
  <c r="AC1822" i="1" s="1"/>
  <c r="AC1848" i="1" s="1"/>
  <c r="AC1854" i="1" s="1"/>
  <c r="AC1865" i="1" s="1"/>
  <c r="AC1891" i="1" s="1"/>
  <c r="AC1897" i="1" s="1"/>
  <c r="AC1908" i="1" s="1"/>
  <c r="AC1934" i="1" s="1"/>
  <c r="AC1940" i="1" s="1"/>
  <c r="AC1951" i="1" s="1"/>
  <c r="AC1977" i="1" s="1"/>
  <c r="AC1983" i="1" s="1"/>
  <c r="AC1994" i="1" s="1"/>
  <c r="AC2020" i="1" s="1"/>
  <c r="AC2026" i="1" s="1"/>
  <c r="AC2037" i="1" s="1"/>
  <c r="AC2063" i="1" s="1"/>
  <c r="AC2069" i="1" s="1"/>
  <c r="AC2080" i="1" s="1"/>
  <c r="AC2106" i="1" s="1"/>
  <c r="AC2112" i="1" s="1"/>
  <c r="AC2123" i="1" s="1"/>
  <c r="AC2149" i="1" s="1"/>
  <c r="AC2155" i="1" s="1"/>
  <c r="AC2166" i="1" s="1"/>
  <c r="AC2192" i="1" s="1"/>
  <c r="AC2198" i="1" s="1"/>
  <c r="AC2209" i="1" s="1"/>
  <c r="AC2235" i="1" s="1"/>
  <c r="AC2241" i="1" s="1"/>
  <c r="AC2252" i="1" s="1"/>
  <c r="AC2278" i="1" s="1"/>
  <c r="T1392" i="1"/>
  <c r="T1418" i="1" s="1"/>
  <c r="T1424" i="1" s="1"/>
  <c r="T1435" i="1" s="1"/>
  <c r="T1461" i="1" s="1"/>
  <c r="T1467" i="1" s="1"/>
  <c r="T1478" i="1" s="1"/>
  <c r="T1504" i="1" s="1"/>
  <c r="T1510" i="1" s="1"/>
  <c r="T1521" i="1" s="1"/>
  <c r="T1547" i="1" s="1"/>
  <c r="T1553" i="1" s="1"/>
  <c r="T1564" i="1" s="1"/>
  <c r="T1590" i="1" s="1"/>
  <c r="T1596" i="1" s="1"/>
  <c r="T1607" i="1" s="1"/>
  <c r="T1633" i="1" s="1"/>
  <c r="J2149" i="1" l="1"/>
  <c r="J2155" i="1" s="1"/>
  <c r="J2166" i="1" s="1"/>
  <c r="M2123" i="1"/>
  <c r="M2149" i="1" s="1"/>
  <c r="M2155" i="1" s="1"/>
  <c r="F2106" i="1"/>
  <c r="F2112" i="1" s="1"/>
  <c r="F2123" i="1" s="1"/>
  <c r="I2080" i="1"/>
  <c r="I2106" i="1" s="1"/>
  <c r="I2112" i="1" s="1"/>
  <c r="B1762" i="1"/>
  <c r="B1768" i="1" s="1"/>
  <c r="B1779" i="1" s="1"/>
  <c r="E1736" i="1"/>
  <c r="E1719" i="1"/>
  <c r="N1693" i="1"/>
  <c r="N1676" i="1"/>
  <c r="E1682" i="1"/>
  <c r="N1682" i="1" s="1"/>
  <c r="T1639" i="1"/>
  <c r="T1650" i="1" s="1"/>
  <c r="T1676" i="1" s="1"/>
  <c r="S1677" i="1"/>
  <c r="R1677" i="1"/>
  <c r="Q1677" i="1"/>
  <c r="R1462" i="1"/>
  <c r="S1462" i="1"/>
  <c r="T1462" i="1"/>
  <c r="Q1462" i="1"/>
  <c r="J2192" i="1" l="1"/>
  <c r="J2198" i="1" s="1"/>
  <c r="J2209" i="1" s="1"/>
  <c r="M2166" i="1"/>
  <c r="M2192" i="1" s="1"/>
  <c r="M2198" i="1" s="1"/>
  <c r="F2149" i="1"/>
  <c r="F2155" i="1" s="1"/>
  <c r="F2166" i="1" s="1"/>
  <c r="I2123" i="1"/>
  <c r="I2149" i="1" s="1"/>
  <c r="I2155" i="1" s="1"/>
  <c r="E1762" i="1"/>
  <c r="N1736" i="1"/>
  <c r="B1805" i="1"/>
  <c r="B1811" i="1" s="1"/>
  <c r="B1822" i="1" s="1"/>
  <c r="E1779" i="1"/>
  <c r="N1719" i="1"/>
  <c r="E1725" i="1"/>
  <c r="N1725" i="1" s="1"/>
  <c r="T1677" i="1"/>
  <c r="T1682" i="1"/>
  <c r="T1693" i="1" s="1"/>
  <c r="T1719" i="1" s="1"/>
  <c r="T1725" i="1" s="1"/>
  <c r="T1736" i="1" s="1"/>
  <c r="T1762" i="1" s="1"/>
  <c r="T1768" i="1" s="1"/>
  <c r="T1779" i="1" s="1"/>
  <c r="T1805" i="1" s="1"/>
  <c r="T1811" i="1" s="1"/>
  <c r="T1822" i="1" s="1"/>
  <c r="T1848" i="1" s="1"/>
  <c r="T1854" i="1" s="1"/>
  <c r="T1865" i="1" s="1"/>
  <c r="T1891" i="1" s="1"/>
  <c r="T1897" i="1" s="1"/>
  <c r="T1908" i="1" s="1"/>
  <c r="T1934" i="1" s="1"/>
  <c r="T1940" i="1" s="1"/>
  <c r="T1951" i="1" s="1"/>
  <c r="T1977" i="1" s="1"/>
  <c r="T1983" i="1" s="1"/>
  <c r="T1994" i="1" s="1"/>
  <c r="T2020" i="1" s="1"/>
  <c r="T2026" i="1" s="1"/>
  <c r="T2037" i="1" s="1"/>
  <c r="T2063" i="1" s="1"/>
  <c r="T2069" i="1" s="1"/>
  <c r="T2080" i="1" s="1"/>
  <c r="T2106" i="1" s="1"/>
  <c r="T2112" i="1" s="1"/>
  <c r="T2123" i="1" s="1"/>
  <c r="T2149" i="1" s="1"/>
  <c r="T2155" i="1" s="1"/>
  <c r="T2166" i="1" s="1"/>
  <c r="T2192" i="1" s="1"/>
  <c r="T2198" i="1" s="1"/>
  <c r="T2209" i="1" s="1"/>
  <c r="T2235" i="1" s="1"/>
  <c r="T2241" i="1" s="1"/>
  <c r="T2252" i="1" s="1"/>
  <c r="T2278" i="1" s="1"/>
  <c r="J2235" i="1" l="1"/>
  <c r="J2241" i="1" s="1"/>
  <c r="J2252" i="1" s="1"/>
  <c r="M2209" i="1"/>
  <c r="M2235" i="1" s="1"/>
  <c r="M2241" i="1" s="1"/>
  <c r="F2192" i="1"/>
  <c r="F2198" i="1" s="1"/>
  <c r="F2209" i="1" s="1"/>
  <c r="I2166" i="1"/>
  <c r="I2192" i="1" s="1"/>
  <c r="I2198" i="1" s="1"/>
  <c r="T1978" i="1"/>
  <c r="R1978" i="1"/>
  <c r="S1978" i="1"/>
  <c r="Q1978" i="1"/>
  <c r="B1848" i="1"/>
  <c r="B1854" i="1" s="1"/>
  <c r="B1865" i="1" s="1"/>
  <c r="E1822" i="1"/>
  <c r="E1805" i="1"/>
  <c r="N1779" i="1"/>
  <c r="E1768" i="1"/>
  <c r="N1768" i="1" s="1"/>
  <c r="N1762" i="1"/>
  <c r="J2278" i="1" l="1"/>
  <c r="M2252" i="1"/>
  <c r="M2278" i="1" s="1"/>
  <c r="F2235" i="1"/>
  <c r="F2241" i="1" s="1"/>
  <c r="F2252" i="1" s="1"/>
  <c r="I2209" i="1"/>
  <c r="I2235" i="1" s="1"/>
  <c r="I2241" i="1" s="1"/>
  <c r="N1822" i="1"/>
  <c r="E1848" i="1"/>
  <c r="N1805" i="1"/>
  <c r="E1811" i="1"/>
  <c r="N1811" i="1" s="1"/>
  <c r="E1865" i="1"/>
  <c r="B1891" i="1"/>
  <c r="B1897" i="1" s="1"/>
  <c r="B1908" i="1" s="1"/>
  <c r="F2278" i="1" l="1"/>
  <c r="I2252" i="1"/>
  <c r="I2278" i="1" s="1"/>
  <c r="E1908" i="1"/>
  <c r="B1934" i="1"/>
  <c r="B1940" i="1" s="1"/>
  <c r="B1951" i="1" s="1"/>
  <c r="N1865" i="1"/>
  <c r="E1891" i="1"/>
  <c r="N1848" i="1"/>
  <c r="E1854" i="1"/>
  <c r="N1854" i="1" s="1"/>
  <c r="B1977" i="1" l="1"/>
  <c r="B1983" i="1" s="1"/>
  <c r="B1994" i="1" s="1"/>
  <c r="E1951" i="1"/>
  <c r="E1934" i="1"/>
  <c r="N1908" i="1"/>
  <c r="N1891" i="1"/>
  <c r="E1897" i="1"/>
  <c r="N1897" i="1" s="1"/>
  <c r="B2020" i="1" l="1"/>
  <c r="B2026" i="1" s="1"/>
  <c r="B2037" i="1" s="1"/>
  <c r="E1994" i="1"/>
  <c r="N1951" i="1"/>
  <c r="E1977" i="1"/>
  <c r="N1934" i="1"/>
  <c r="E1940" i="1"/>
  <c r="N1940" i="1" s="1"/>
  <c r="B2063" i="1" l="1"/>
  <c r="B2069" i="1" s="1"/>
  <c r="B2080" i="1" s="1"/>
  <c r="E2037" i="1"/>
  <c r="N1994" i="1"/>
  <c r="E2020" i="1"/>
  <c r="N1977" i="1"/>
  <c r="E1983" i="1"/>
  <c r="N1983" i="1" s="1"/>
  <c r="E2080" i="1" l="1"/>
  <c r="B2106" i="1"/>
  <c r="B2112" i="1" s="1"/>
  <c r="B2123" i="1" s="1"/>
  <c r="E2063" i="1"/>
  <c r="N2037" i="1"/>
  <c r="N2020" i="1"/>
  <c r="E2026" i="1"/>
  <c r="N2026" i="1" s="1"/>
  <c r="B2149" i="1" l="1"/>
  <c r="B2155" i="1" s="1"/>
  <c r="B2166" i="1" s="1"/>
  <c r="E2123" i="1"/>
  <c r="N2063" i="1"/>
  <c r="E2069" i="1"/>
  <c r="N2069" i="1" s="1"/>
  <c r="N2080" i="1"/>
  <c r="E2106" i="1"/>
  <c r="B2192" i="1" l="1"/>
  <c r="B2198" i="1" s="1"/>
  <c r="B2209" i="1" s="1"/>
  <c r="E2166" i="1"/>
  <c r="N2106" i="1"/>
  <c r="E2112" i="1"/>
  <c r="N2112" i="1" s="1"/>
  <c r="N2123" i="1"/>
  <c r="E2149" i="1"/>
  <c r="B2235" i="1" l="1"/>
  <c r="B2241" i="1" s="1"/>
  <c r="B2252" i="1" s="1"/>
  <c r="E2209" i="1"/>
  <c r="E2192" i="1"/>
  <c r="N2166" i="1"/>
  <c r="N2149" i="1"/>
  <c r="E2155" i="1"/>
  <c r="N2155" i="1" s="1"/>
  <c r="B2278" i="1" l="1"/>
  <c r="E2252" i="1"/>
  <c r="E2235" i="1"/>
  <c r="N2209" i="1"/>
  <c r="N2192" i="1"/>
  <c r="E2198" i="1"/>
  <c r="N2198" i="1" s="1"/>
  <c r="E2278" i="1" l="1"/>
  <c r="N2278" i="1" s="1"/>
  <c r="N2252" i="1"/>
  <c r="N2235" i="1"/>
  <c r="E2241" i="1"/>
  <c r="N2241" i="1" s="1"/>
</calcChain>
</file>

<file path=xl/sharedStrings.xml><?xml version="1.0" encoding="utf-8"?>
<sst xmlns="http://schemas.openxmlformats.org/spreadsheetml/2006/main" count="6975" uniqueCount="1915">
  <si>
    <t>カラー</t>
  </si>
  <si>
    <t>サイズ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</si>
  <si>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</si>
  <si>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</si>
  <si>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</si>
  <si>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</si>
  <si>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</si>
  <si>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M</t>
    <phoneticPr fontId="8"/>
  </si>
  <si>
    <t>LL</t>
    <phoneticPr fontId="8"/>
  </si>
  <si>
    <t>ピンク</t>
    <phoneticPr fontId="8"/>
  </si>
  <si>
    <t>L</t>
    <phoneticPr fontId="8"/>
  </si>
  <si>
    <t>ベージュ</t>
    <phoneticPr fontId="8"/>
  </si>
  <si>
    <t>パープル</t>
    <phoneticPr fontId="8"/>
  </si>
  <si>
    <t>合計</t>
    <rPh sb="0" eb="2">
      <t>ゴウケイ</t>
    </rPh>
    <phoneticPr fontId="8"/>
  </si>
  <si>
    <t>初回</t>
    <rPh sb="0" eb="2">
      <t>ショカイ</t>
    </rPh>
    <phoneticPr fontId="4"/>
  </si>
  <si>
    <t>12/3～</t>
    <phoneticPr fontId="8"/>
  </si>
  <si>
    <t>12/1～</t>
    <phoneticPr fontId="8"/>
  </si>
  <si>
    <t>1/22～5/15</t>
    <phoneticPr fontId="8"/>
  </si>
  <si>
    <t>1/4～</t>
    <phoneticPr fontId="8"/>
  </si>
  <si>
    <t>毎日が発見2月号3Ｐ¥4500</t>
    <rPh sb="0" eb="2">
      <t>マイニチ</t>
    </rPh>
    <rPh sb="3" eb="5">
      <t>ハッケン</t>
    </rPh>
    <rPh sb="6" eb="8">
      <t>ガツゴウ</t>
    </rPh>
    <phoneticPr fontId="8"/>
  </si>
  <si>
    <t>IEI 使ってヨカッタ1月号3Ｐ¥4500</t>
    <rPh sb="4" eb="5">
      <t>ツカ</t>
    </rPh>
    <rPh sb="12" eb="14">
      <t>ガツゴウ</t>
    </rPh>
    <phoneticPr fontId="8"/>
  </si>
  <si>
    <t>ロイヤルステージ12月号3Ｐ¥4500</t>
    <rPh sb="10" eb="12">
      <t>ガツゴウ</t>
    </rPh>
    <phoneticPr fontId="8"/>
  </si>
  <si>
    <t>はぴねすくらぶ12月号3Ｐ¥3990</t>
    <rPh sb="9" eb="11">
      <t>ガツゴウ</t>
    </rPh>
    <phoneticPr fontId="8"/>
  </si>
  <si>
    <t>JODメルシー1205/3P¥3990</t>
    <phoneticPr fontId="8"/>
  </si>
  <si>
    <t>12/5～</t>
    <phoneticPr fontId="8"/>
  </si>
  <si>
    <t>3/下旬</t>
    <rPh sb="2" eb="4">
      <t>ゲジュン</t>
    </rPh>
    <phoneticPr fontId="8"/>
  </si>
  <si>
    <t>ニッセン24初夏号アトランダム3P</t>
    <rPh sb="6" eb="8">
      <t>ショカ</t>
    </rPh>
    <rPh sb="8" eb="9">
      <t>ゴウ</t>
    </rPh>
    <phoneticPr fontId="8"/>
  </si>
  <si>
    <t>夢販</t>
    <rPh sb="0" eb="2">
      <t>ユメハン</t>
    </rPh>
    <phoneticPr fontId="8"/>
  </si>
  <si>
    <t>くらし企画（藤田さん）点検用</t>
    <rPh sb="3" eb="5">
      <t>キカク</t>
    </rPh>
    <rPh sb="6" eb="8">
      <t>フジタ</t>
    </rPh>
    <rPh sb="11" eb="14">
      <t>テンケンヨウ</t>
    </rPh>
    <phoneticPr fontId="8"/>
  </si>
  <si>
    <t>＜レースアクティブシニアショーツ＞ R4102C KPORT在庫  @450   1P\1480  3P\3990 \4500</t>
    <rPh sb="30" eb="32">
      <t>ザイコ</t>
    </rPh>
    <phoneticPr fontId="4"/>
  </si>
  <si>
    <t>サクラマチ(齋藤さん)sample</t>
    <rPh sb="6" eb="8">
      <t>サイトウ</t>
    </rPh>
    <phoneticPr fontId="8"/>
  </si>
  <si>
    <t>はぴねすくらぶ12月号3Ｐ¥3990①</t>
    <rPh sb="9" eb="11">
      <t>ガツゴウ</t>
    </rPh>
    <phoneticPr fontId="8"/>
  </si>
  <si>
    <t>コープきんき選定会議用saample</t>
    <rPh sb="6" eb="10">
      <t>センテイカイギ</t>
    </rPh>
    <rPh sb="10" eb="11">
      <t>ヨウ</t>
    </rPh>
    <phoneticPr fontId="8"/>
  </si>
  <si>
    <t>2023/12/1伝済</t>
    <rPh sb="9" eb="10">
      <t>デン</t>
    </rPh>
    <rPh sb="10" eb="11">
      <t>スミ</t>
    </rPh>
    <phoneticPr fontId="8"/>
  </si>
  <si>
    <t>JOD①</t>
    <phoneticPr fontId="8"/>
  </si>
  <si>
    <t>全国通販sample</t>
    <rPh sb="0" eb="10">
      <t>ゼンコクツウハンサンプル</t>
    </rPh>
    <phoneticPr fontId="8"/>
  </si>
  <si>
    <t>ネット</t>
    <phoneticPr fontId="8"/>
  </si>
  <si>
    <t>ロイヤルステージ①</t>
    <phoneticPr fontId="8"/>
  </si>
  <si>
    <t>はぴねすくらぶ12月号3Ｐ¥3990②</t>
    <rPh sb="9" eb="11">
      <t>ガツゴウ</t>
    </rPh>
    <phoneticPr fontId="8"/>
  </si>
  <si>
    <t>JOD②</t>
    <phoneticPr fontId="8"/>
  </si>
  <si>
    <t>はぴねすくらぶ12月号3Ｐ¥3990③</t>
    <rPh sb="9" eb="11">
      <t>ガツゴウ</t>
    </rPh>
    <phoneticPr fontId="8"/>
  </si>
  <si>
    <t>JOD③</t>
    <phoneticPr fontId="8"/>
  </si>
  <si>
    <t>JOD④</t>
    <phoneticPr fontId="8"/>
  </si>
  <si>
    <t>ロイヤルステージ②</t>
    <phoneticPr fontId="8"/>
  </si>
  <si>
    <t>JOD⑤</t>
    <phoneticPr fontId="8"/>
  </si>
  <si>
    <t>はぴねすくらぶ12月号3Ｐ¥3990④</t>
    <rPh sb="9" eb="11">
      <t>ガツゴウ</t>
    </rPh>
    <phoneticPr fontId="8"/>
  </si>
  <si>
    <t>夢販</t>
    <rPh sb="0" eb="2">
      <t>ユメハン</t>
    </rPh>
    <phoneticPr fontId="8"/>
  </si>
  <si>
    <t>IEI 使ってヨカッタ1月号3Ｐ¥4500①</t>
    <rPh sb="4" eb="5">
      <t>ツカ</t>
    </rPh>
    <rPh sb="12" eb="14">
      <t>ガツゴウ</t>
    </rPh>
    <phoneticPr fontId="8"/>
  </si>
  <si>
    <t>JOD⑥</t>
    <phoneticPr fontId="8"/>
  </si>
  <si>
    <t>はぴねすくらぶ12月号3Ｐ¥3990⑤</t>
    <rPh sb="9" eb="11">
      <t>ガツゴウ</t>
    </rPh>
    <phoneticPr fontId="8"/>
  </si>
  <si>
    <t>JOD⑦</t>
    <phoneticPr fontId="8"/>
  </si>
  <si>
    <t>JOD⑧</t>
    <phoneticPr fontId="8"/>
  </si>
  <si>
    <t>はぴねすくらぶ12月号3Ｐ¥3990⑥</t>
    <rPh sb="9" eb="11">
      <t>ガツゴウ</t>
    </rPh>
    <phoneticPr fontId="8"/>
  </si>
  <si>
    <t>JOD⑨</t>
    <phoneticPr fontId="8"/>
  </si>
  <si>
    <t>JOD⑩</t>
    <phoneticPr fontId="8"/>
  </si>
  <si>
    <t>JOD⑪</t>
    <phoneticPr fontId="8"/>
  </si>
  <si>
    <t>はぴねすくらぶ12月号3Ｐ¥3990⑦</t>
    <rPh sb="9" eb="11">
      <t>ガツゴウ</t>
    </rPh>
    <phoneticPr fontId="8"/>
  </si>
  <si>
    <t>JOD返品</t>
    <rPh sb="3" eb="5">
      <t>ヘンピン</t>
    </rPh>
    <phoneticPr fontId="4"/>
  </si>
  <si>
    <t>JODメルシー0209/3P¥3990</t>
    <phoneticPr fontId="8"/>
  </si>
  <si>
    <t>2/9～</t>
    <phoneticPr fontId="8"/>
  </si>
  <si>
    <t>JOD⑫</t>
    <phoneticPr fontId="8"/>
  </si>
  <si>
    <t>JOD⑬</t>
    <phoneticPr fontId="8"/>
  </si>
  <si>
    <t>くらし（日生協選定会議用）</t>
    <rPh sb="4" eb="7">
      <t>ニッセイキョウ</t>
    </rPh>
    <rPh sb="7" eb="12">
      <t>センテイカイギヨウ</t>
    </rPh>
    <phoneticPr fontId="8"/>
  </si>
  <si>
    <t>点3/14、アバウト・初回3/26、最終4/1</t>
    <rPh sb="0" eb="1">
      <t>テン</t>
    </rPh>
    <rPh sb="11" eb="13">
      <t>ショカイ</t>
    </rPh>
    <rPh sb="18" eb="20">
      <t>サイシュウ</t>
    </rPh>
    <phoneticPr fontId="8"/>
  </si>
  <si>
    <t>パルくらす4月1回差分予測</t>
    <rPh sb="6" eb="7">
      <t>ガツ</t>
    </rPh>
    <rPh sb="8" eb="9">
      <t>カイ</t>
    </rPh>
    <rPh sb="9" eb="11">
      <t>サブン</t>
    </rPh>
    <rPh sb="11" eb="13">
      <t>ヨソク</t>
    </rPh>
    <phoneticPr fontId="8"/>
  </si>
  <si>
    <t>ロイヤルステージ③</t>
    <phoneticPr fontId="8"/>
  </si>
  <si>
    <t>JOD⑭</t>
    <phoneticPr fontId="8"/>
  </si>
  <si>
    <t>IEI 使ってヨカッタ1月号3Ｐ¥4500②</t>
    <rPh sb="4" eb="5">
      <t>ツカ</t>
    </rPh>
    <rPh sb="12" eb="14">
      <t>ガツゴウ</t>
    </rPh>
    <phoneticPr fontId="8"/>
  </si>
  <si>
    <t>夢販</t>
    <rPh sb="0" eb="2">
      <t>ユメハン</t>
    </rPh>
    <phoneticPr fontId="8"/>
  </si>
  <si>
    <t>毎日が発見2月号3Ｐ¥4500①</t>
    <rPh sb="0" eb="2">
      <t>マイニチ</t>
    </rPh>
    <rPh sb="3" eb="5">
      <t>ハッケン</t>
    </rPh>
    <rPh sb="6" eb="8">
      <t>ガツゴウ</t>
    </rPh>
    <phoneticPr fontId="8"/>
  </si>
  <si>
    <t>JOD⑮</t>
    <phoneticPr fontId="8"/>
  </si>
  <si>
    <t>ネット</t>
    <phoneticPr fontId="8"/>
  </si>
  <si>
    <t>IEI 使ってヨカッタ1月号3Ｐ¥4500③</t>
    <rPh sb="4" eb="5">
      <t>ツカ</t>
    </rPh>
    <rPh sb="12" eb="14">
      <t>ガツゴウ</t>
    </rPh>
    <phoneticPr fontId="8"/>
  </si>
  <si>
    <t>はぴねすくらぶ12月号3Ｐ¥3990⑧</t>
    <rPh sb="9" eb="11">
      <t>ガツゴウ</t>
    </rPh>
    <phoneticPr fontId="8"/>
  </si>
  <si>
    <t>JOD⑯</t>
    <phoneticPr fontId="8"/>
  </si>
  <si>
    <t>コープきんき3月4回差分予測</t>
    <rPh sb="7" eb="8">
      <t>ガツ</t>
    </rPh>
    <rPh sb="9" eb="10">
      <t>カイ</t>
    </rPh>
    <rPh sb="10" eb="14">
      <t>サブンヨソク</t>
    </rPh>
    <phoneticPr fontId="8"/>
  </si>
  <si>
    <t>点2/29、アバウト3/19、本3/20～30</t>
    <rPh sb="0" eb="1">
      <t>テン</t>
    </rPh>
    <rPh sb="15" eb="16">
      <t>ホン</t>
    </rPh>
    <phoneticPr fontId="8"/>
  </si>
  <si>
    <t>JOD⑰</t>
    <phoneticPr fontId="8"/>
  </si>
  <si>
    <t>はぴねすくらぶ12月号3Ｐ¥3990⑨</t>
    <rPh sb="9" eb="11">
      <t>ガツゴウ</t>
    </rPh>
    <phoneticPr fontId="8"/>
  </si>
  <si>
    <t>JOD⑱</t>
    <phoneticPr fontId="8"/>
  </si>
  <si>
    <t>ＩＥＩ返品</t>
    <rPh sb="3" eb="5">
      <t>ヘンピン</t>
    </rPh>
    <phoneticPr fontId="4"/>
  </si>
  <si>
    <t>毎日が発見2月号3Ｐ¥4500②</t>
    <rPh sb="0" eb="2">
      <t>マイニチ</t>
    </rPh>
    <rPh sb="3" eb="5">
      <t>ハッケン</t>
    </rPh>
    <rPh sb="6" eb="8">
      <t>ガツゴウ</t>
    </rPh>
    <phoneticPr fontId="8"/>
  </si>
  <si>
    <t>はぴねすくらぶ12月号3Ｐ¥3990⑩</t>
    <rPh sb="9" eb="11">
      <t>ガツゴウ</t>
    </rPh>
    <phoneticPr fontId="8"/>
  </si>
  <si>
    <t>毎日が発見2月号3Ｐ¥4500③</t>
    <rPh sb="0" eb="2">
      <t>マイニチ</t>
    </rPh>
    <rPh sb="3" eb="5">
      <t>ハッケン</t>
    </rPh>
    <rPh sb="6" eb="8">
      <t>ガツゴウ</t>
    </rPh>
    <phoneticPr fontId="8"/>
  </si>
  <si>
    <t>IEI 使ってヨカッタ1月号3Ｐ¥4500④</t>
    <rPh sb="4" eb="5">
      <t>ツカ</t>
    </rPh>
    <rPh sb="12" eb="14">
      <t>ガツゴウ</t>
    </rPh>
    <phoneticPr fontId="8"/>
  </si>
  <si>
    <t>オバタsample</t>
    <phoneticPr fontId="8"/>
  </si>
  <si>
    <t>JODメルシー0325/3P¥3990</t>
    <phoneticPr fontId="8"/>
  </si>
  <si>
    <t>3/25～</t>
    <phoneticPr fontId="8"/>
  </si>
  <si>
    <t>JOD⑲</t>
    <phoneticPr fontId="8"/>
  </si>
  <si>
    <t>全国通販先上げサンプル</t>
    <rPh sb="0" eb="4">
      <t>ゼンコクツウハン</t>
    </rPh>
    <rPh sb="4" eb="6">
      <t>サキア</t>
    </rPh>
    <phoneticPr fontId="8"/>
  </si>
  <si>
    <t>はぴねすくらぶ12月号3Ｐ¥3990⑪</t>
    <rPh sb="9" eb="11">
      <t>ガツゴウ</t>
    </rPh>
    <phoneticPr fontId="8"/>
  </si>
  <si>
    <t>毎日が発見2月号3Ｐ¥4500④</t>
    <rPh sb="0" eb="2">
      <t>マイニチ</t>
    </rPh>
    <rPh sb="3" eb="5">
      <t>ハッケン</t>
    </rPh>
    <rPh sb="6" eb="8">
      <t>ガツゴウ</t>
    </rPh>
    <phoneticPr fontId="8"/>
  </si>
  <si>
    <t>4/1～6/30</t>
    <phoneticPr fontId="8"/>
  </si>
  <si>
    <t>5/2～7/31</t>
    <phoneticPr fontId="8"/>
  </si>
  <si>
    <t>JOD介護特集7435/3P¥3990</t>
    <rPh sb="3" eb="5">
      <t>カイゴ</t>
    </rPh>
    <rPh sb="5" eb="7">
      <t>トクシュウ</t>
    </rPh>
    <phoneticPr fontId="8"/>
  </si>
  <si>
    <t>3/12～</t>
    <phoneticPr fontId="8"/>
  </si>
  <si>
    <t>JOD⑳</t>
    <phoneticPr fontId="8"/>
  </si>
  <si>
    <t>サクラマチ(福岡さん)sample</t>
    <rPh sb="6" eb="8">
      <t>フクオカ</t>
    </rPh>
    <phoneticPr fontId="8"/>
  </si>
  <si>
    <t>ニッセン24初夏号アトランダム3P①</t>
    <rPh sb="6" eb="8">
      <t>ショカ</t>
    </rPh>
    <rPh sb="8" eb="9">
      <t>ゴウ</t>
    </rPh>
    <phoneticPr fontId="8"/>
  </si>
  <si>
    <t>電話注文</t>
    <rPh sb="0" eb="4">
      <t>デンワチュウモン</t>
    </rPh>
    <phoneticPr fontId="8"/>
  </si>
  <si>
    <t>はぴねすくらぶ12月号3Ｐ¥3990⑫</t>
    <rPh sb="9" eb="11">
      <t>ガツゴウ</t>
    </rPh>
    <phoneticPr fontId="8"/>
  </si>
  <si>
    <t>5/27～</t>
    <phoneticPr fontId="8"/>
  </si>
  <si>
    <t>4/1～</t>
    <phoneticPr fontId="8"/>
  </si>
  <si>
    <t>IEIあつめる5月号同梱3P￥4500</t>
    <rPh sb="8" eb="10">
      <t>ガツゴウ</t>
    </rPh>
    <rPh sb="10" eb="12">
      <t>ドウコン</t>
    </rPh>
    <phoneticPr fontId="8"/>
  </si>
  <si>
    <t>IEIヴィヴァン4月号同梱3P￥4500</t>
    <rPh sb="9" eb="11">
      <t>ガツゴウ</t>
    </rPh>
    <rPh sb="11" eb="13">
      <t>ドウコン</t>
    </rPh>
    <phoneticPr fontId="8"/>
  </si>
  <si>
    <t>毎日が発見2月号3Ｐ¥4500⑤</t>
    <rPh sb="0" eb="2">
      <t>マイニチ</t>
    </rPh>
    <rPh sb="3" eb="5">
      <t>ハッケン</t>
    </rPh>
    <rPh sb="6" eb="8">
      <t>ガツゴウ</t>
    </rPh>
    <phoneticPr fontId="8"/>
  </si>
  <si>
    <t>JOD㉑</t>
    <phoneticPr fontId="8"/>
  </si>
  <si>
    <t>JOD㉒</t>
    <phoneticPr fontId="8"/>
  </si>
  <si>
    <t>毎日が発見2月号3Ｐ¥4500⑥</t>
    <rPh sb="0" eb="2">
      <t>マイニチ</t>
    </rPh>
    <rPh sb="3" eb="5">
      <t>ハッケン</t>
    </rPh>
    <rPh sb="6" eb="8">
      <t>ガツゴウ</t>
    </rPh>
    <phoneticPr fontId="8"/>
  </si>
  <si>
    <t>JOD㉓</t>
    <phoneticPr fontId="8"/>
  </si>
  <si>
    <t>毎日が発見2月号3Ｐ¥4500⑦</t>
    <rPh sb="0" eb="2">
      <t>マイニチ</t>
    </rPh>
    <rPh sb="3" eb="5">
      <t>ハッケン</t>
    </rPh>
    <rPh sb="6" eb="8">
      <t>ガツゴウ</t>
    </rPh>
    <phoneticPr fontId="8"/>
  </si>
  <si>
    <t>4/10～19（1～2回）</t>
    <rPh sb="11" eb="12">
      <t>カイ</t>
    </rPh>
    <phoneticPr fontId="8"/>
  </si>
  <si>
    <t>JOD㉔</t>
    <phoneticPr fontId="8"/>
  </si>
  <si>
    <t>JOD㉕</t>
    <phoneticPr fontId="8"/>
  </si>
  <si>
    <t>ロイヤル返品</t>
    <rPh sb="4" eb="6">
      <t>ヘンピン</t>
    </rPh>
    <phoneticPr fontId="4"/>
  </si>
  <si>
    <t>JOD㉖</t>
    <phoneticPr fontId="8"/>
  </si>
  <si>
    <t>毎日が発見7月号3Ｐ¥4500</t>
    <rPh sb="0" eb="2">
      <t>マイニチ</t>
    </rPh>
    <rPh sb="3" eb="5">
      <t>ハッケン</t>
    </rPh>
    <rPh sb="6" eb="8">
      <t>ガツゴウ</t>
    </rPh>
    <phoneticPr fontId="8"/>
  </si>
  <si>
    <t>6/1～9/15</t>
    <phoneticPr fontId="8"/>
  </si>
  <si>
    <t>毎日が発見2月号3Ｐ¥4500⑧</t>
    <rPh sb="0" eb="2">
      <t>マイニチ</t>
    </rPh>
    <rPh sb="3" eb="5">
      <t>ハッケン</t>
    </rPh>
    <rPh sb="6" eb="8">
      <t>ガツゴウ</t>
    </rPh>
    <phoneticPr fontId="8"/>
  </si>
  <si>
    <t>JOD㉗</t>
    <phoneticPr fontId="8"/>
  </si>
  <si>
    <t>IEI使ってヨカッタ5月号3P￥4500</t>
    <rPh sb="3" eb="4">
      <t>ツカ</t>
    </rPh>
    <rPh sb="11" eb="13">
      <t>ガツゴウ</t>
    </rPh>
    <phoneticPr fontId="8"/>
  </si>
  <si>
    <t>5/13～</t>
    <phoneticPr fontId="8"/>
  </si>
  <si>
    <t>JOD特別号R9894/3P¥3990</t>
    <rPh sb="3" eb="6">
      <t>トクベツゴウ</t>
    </rPh>
    <phoneticPr fontId="8"/>
  </si>
  <si>
    <t>4/3～</t>
    <phoneticPr fontId="8"/>
  </si>
  <si>
    <r>
      <t>コープきんき3月4回（単品）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7" eb="8">
      <t>ガツ</t>
    </rPh>
    <rPh sb="9" eb="10">
      <t>カイ</t>
    </rPh>
    <rPh sb="11" eb="13">
      <t>タンピン</t>
    </rPh>
    <rPh sb="15" eb="19">
      <t>フトウメイフクロ</t>
    </rPh>
    <phoneticPr fontId="8"/>
  </si>
  <si>
    <t>JOD㉘</t>
    <phoneticPr fontId="8"/>
  </si>
  <si>
    <t>JOD㉙</t>
    <phoneticPr fontId="8"/>
  </si>
  <si>
    <t>JOD特別号9595/3P¥3990</t>
    <rPh sb="3" eb="6">
      <t>トクベツゴウ</t>
    </rPh>
    <phoneticPr fontId="8"/>
  </si>
  <si>
    <t>4/20～</t>
    <phoneticPr fontId="8"/>
  </si>
  <si>
    <t>毎日が発見2月号3Ｐ¥4500⑨</t>
    <rPh sb="0" eb="2">
      <t>マイニチ</t>
    </rPh>
    <rPh sb="3" eb="5">
      <t>ハッケン</t>
    </rPh>
    <rPh sb="6" eb="8">
      <t>ガツゴウ</t>
    </rPh>
    <phoneticPr fontId="8"/>
  </si>
  <si>
    <t>JOD㉚</t>
    <phoneticPr fontId="8"/>
  </si>
  <si>
    <t>JODアクセス7000/3P¥3990</t>
    <phoneticPr fontId="8"/>
  </si>
  <si>
    <t>4/25～</t>
    <phoneticPr fontId="8"/>
  </si>
  <si>
    <t>はぴねすくらぶ12月号3Ｐ¥3990⑬</t>
    <rPh sb="9" eb="11">
      <t>ガツゴウ</t>
    </rPh>
    <phoneticPr fontId="8"/>
  </si>
  <si>
    <r>
      <t>パルくらす4月1回　</t>
    </r>
    <r>
      <rPr>
        <b/>
        <sz val="11"/>
        <rFont val="ＭＳ Ｐゴシック"/>
        <family val="3"/>
        <charset val="128"/>
      </rPr>
      <t>3色組（不透明袋）①</t>
    </r>
    <rPh sb="6" eb="7">
      <t>ガツ</t>
    </rPh>
    <rPh sb="8" eb="9">
      <t>カイ</t>
    </rPh>
    <rPh sb="11" eb="13">
      <t>ショククミ</t>
    </rPh>
    <rPh sb="14" eb="18">
      <t>フトウメイフクロ</t>
    </rPh>
    <phoneticPr fontId="8"/>
  </si>
  <si>
    <t>JOD㉛</t>
    <phoneticPr fontId="8"/>
  </si>
  <si>
    <t>JOD㉜</t>
    <phoneticPr fontId="8"/>
  </si>
  <si>
    <t>はぴねすくらぶ12月号3Ｐ¥3990⑭</t>
    <rPh sb="9" eb="11">
      <t>ガツゴウ</t>
    </rPh>
    <phoneticPr fontId="8"/>
  </si>
  <si>
    <t>JOD㉝</t>
    <phoneticPr fontId="8"/>
  </si>
  <si>
    <t>毎日が発見返品</t>
    <rPh sb="0" eb="2">
      <t>マイニチ</t>
    </rPh>
    <rPh sb="3" eb="5">
      <t>ハッケン</t>
    </rPh>
    <rPh sb="5" eb="7">
      <t>ヘンピン</t>
    </rPh>
    <phoneticPr fontId="4"/>
  </si>
  <si>
    <r>
      <t>コープきんき3月4回（単品）</t>
    </r>
    <r>
      <rPr>
        <b/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rPh sb="11" eb="13">
      <t>タンピン</t>
    </rPh>
    <rPh sb="15" eb="19">
      <t>フトウメイフクロ</t>
    </rPh>
    <phoneticPr fontId="8"/>
  </si>
  <si>
    <t>IEIヴィヴァン4月号同梱3P￥4500①</t>
    <rPh sb="9" eb="11">
      <t>ガツゴウ</t>
    </rPh>
    <rPh sb="11" eb="13">
      <t>ドウコン</t>
    </rPh>
    <phoneticPr fontId="8"/>
  </si>
  <si>
    <t>はぴねすくらぶ12月号3Ｐ¥3990⑮</t>
    <rPh sb="9" eb="11">
      <t>ガツゴウ</t>
    </rPh>
    <phoneticPr fontId="8"/>
  </si>
  <si>
    <t>JOD㉞</t>
    <phoneticPr fontId="8"/>
  </si>
  <si>
    <t>毎日が発見2月号3Ｐ¥4500⑩</t>
    <rPh sb="0" eb="2">
      <t>マイニチ</t>
    </rPh>
    <rPh sb="3" eb="5">
      <t>ハッケン</t>
    </rPh>
    <rPh sb="6" eb="8">
      <t>ガツゴウ</t>
    </rPh>
    <phoneticPr fontId="8"/>
  </si>
  <si>
    <r>
      <t>コープきんき3月4回（単品）</t>
    </r>
    <r>
      <rPr>
        <b/>
        <sz val="11"/>
        <rFont val="ＭＳ Ｐゴシック"/>
        <family val="3"/>
        <charset val="128"/>
      </rPr>
      <t>（不透明袋）④</t>
    </r>
    <rPh sb="7" eb="8">
      <t>ガツ</t>
    </rPh>
    <rPh sb="9" eb="10">
      <t>カイ</t>
    </rPh>
    <rPh sb="11" eb="13">
      <t>タンピン</t>
    </rPh>
    <rPh sb="15" eb="19">
      <t>フトウメイフクロ</t>
    </rPh>
    <phoneticPr fontId="8"/>
  </si>
  <si>
    <r>
      <t>コープきんき3月4回（単品）</t>
    </r>
    <r>
      <rPr>
        <b/>
        <sz val="11"/>
        <rFont val="ＭＳ Ｐゴシック"/>
        <family val="3"/>
        <charset val="128"/>
      </rPr>
      <t>（不透明袋）③</t>
    </r>
    <rPh sb="7" eb="8">
      <t>ガツ</t>
    </rPh>
    <rPh sb="9" eb="10">
      <t>カイ</t>
    </rPh>
    <rPh sb="11" eb="13">
      <t>タンピン</t>
    </rPh>
    <rPh sb="15" eb="19">
      <t>フトウメイフクロ</t>
    </rPh>
    <phoneticPr fontId="8"/>
  </si>
  <si>
    <t>点6/13、アバウト・初回6/25、最終7/1</t>
    <rPh sb="0" eb="1">
      <t>テン</t>
    </rPh>
    <rPh sb="11" eb="13">
      <t>ショカイ</t>
    </rPh>
    <rPh sb="18" eb="20">
      <t>サイシュウ</t>
    </rPh>
    <phoneticPr fontId="8"/>
  </si>
  <si>
    <t>パルくらす7月1回差分予測</t>
    <rPh sb="9" eb="13">
      <t>サブンヨソク</t>
    </rPh>
    <phoneticPr fontId="8"/>
  </si>
  <si>
    <t>JOD㉟</t>
    <phoneticPr fontId="8"/>
  </si>
  <si>
    <r>
      <t>コープきんき3月4回（単品）</t>
    </r>
    <r>
      <rPr>
        <b/>
        <sz val="11"/>
        <rFont val="ＭＳ Ｐゴシック"/>
        <family val="3"/>
        <charset val="128"/>
      </rPr>
      <t>（不透明袋）⑤</t>
    </r>
    <rPh sb="7" eb="8">
      <t>ガツ</t>
    </rPh>
    <rPh sb="9" eb="10">
      <t>カイ</t>
    </rPh>
    <rPh sb="11" eb="13">
      <t>タンピン</t>
    </rPh>
    <rPh sb="15" eb="19">
      <t>フトウメイフクロ</t>
    </rPh>
    <phoneticPr fontId="8"/>
  </si>
  <si>
    <t>JOD㊱</t>
    <phoneticPr fontId="8"/>
  </si>
  <si>
    <t>かりん</t>
    <phoneticPr fontId="8"/>
  </si>
  <si>
    <r>
      <t>パルくらす4月1回　</t>
    </r>
    <r>
      <rPr>
        <b/>
        <sz val="11"/>
        <rFont val="ＭＳ Ｐゴシック"/>
        <family val="3"/>
        <charset val="128"/>
      </rPr>
      <t>3色組（不透明袋）②</t>
    </r>
    <rPh sb="6" eb="7">
      <t>ガツ</t>
    </rPh>
    <rPh sb="8" eb="9">
      <t>カイ</t>
    </rPh>
    <rPh sb="11" eb="13">
      <t>ショククミ</t>
    </rPh>
    <rPh sb="14" eb="18">
      <t>フトウメイフクロ</t>
    </rPh>
    <phoneticPr fontId="8"/>
  </si>
  <si>
    <t>JOD㊲</t>
    <phoneticPr fontId="8"/>
  </si>
  <si>
    <t>はぴねすくらぶ6月号3色組</t>
    <rPh sb="8" eb="10">
      <t>ガツゴウ</t>
    </rPh>
    <rPh sb="11" eb="13">
      <t>ショククミ</t>
    </rPh>
    <phoneticPr fontId="8"/>
  </si>
  <si>
    <t>6/7～</t>
    <phoneticPr fontId="8"/>
  </si>
  <si>
    <r>
      <t>パルくらす4月1回　</t>
    </r>
    <r>
      <rPr>
        <b/>
        <sz val="11"/>
        <rFont val="ＭＳ Ｐゴシック"/>
        <family val="3"/>
        <charset val="128"/>
      </rPr>
      <t>3色組（不透明袋）③</t>
    </r>
    <rPh sb="6" eb="7">
      <t>ガツ</t>
    </rPh>
    <rPh sb="8" eb="9">
      <t>カイ</t>
    </rPh>
    <rPh sb="11" eb="13">
      <t>ショククミ</t>
    </rPh>
    <rPh sb="14" eb="18">
      <t>フトウメイフクロ</t>
    </rPh>
    <phoneticPr fontId="8"/>
  </si>
  <si>
    <t>IEIヴィヴァン4月号同梱3P￥4500②</t>
    <rPh sb="9" eb="11">
      <t>ガツゴウ</t>
    </rPh>
    <rPh sb="11" eb="13">
      <t>ドウコン</t>
    </rPh>
    <phoneticPr fontId="8"/>
  </si>
  <si>
    <r>
      <t>パルくらす4月1回　</t>
    </r>
    <r>
      <rPr>
        <b/>
        <sz val="11"/>
        <rFont val="ＭＳ Ｐゴシック"/>
        <family val="3"/>
        <charset val="128"/>
      </rPr>
      <t>3色組（不透明袋）④</t>
    </r>
    <rPh sb="6" eb="7">
      <t>ガツ</t>
    </rPh>
    <rPh sb="8" eb="9">
      <t>カイ</t>
    </rPh>
    <rPh sb="11" eb="13">
      <t>ショククミ</t>
    </rPh>
    <rPh sb="14" eb="18">
      <t>フトウメイフクロ</t>
    </rPh>
    <phoneticPr fontId="8"/>
  </si>
  <si>
    <r>
      <t>コープきんき3月4回（単品）</t>
    </r>
    <r>
      <rPr>
        <b/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3">
      <t>タンピン</t>
    </rPh>
    <rPh sb="15" eb="19">
      <t>フトウメイフクロ</t>
    </rPh>
    <phoneticPr fontId="8"/>
  </si>
  <si>
    <r>
      <t>パルくらす4月1回　</t>
    </r>
    <r>
      <rPr>
        <b/>
        <sz val="11"/>
        <rFont val="ＭＳ Ｐゴシック"/>
        <family val="3"/>
        <charset val="128"/>
      </rPr>
      <t>3色組（不透明袋）</t>
    </r>
    <rPh sb="6" eb="7">
      <t>ガツ</t>
    </rPh>
    <rPh sb="8" eb="9">
      <t>カイ</t>
    </rPh>
    <rPh sb="11" eb="13">
      <t>ショククミ</t>
    </rPh>
    <rPh sb="14" eb="18">
      <t>フトウメイフクロ</t>
    </rPh>
    <phoneticPr fontId="8"/>
  </si>
  <si>
    <t>JOD㊳</t>
    <phoneticPr fontId="8"/>
  </si>
  <si>
    <t>JODメルシー0518/3P¥3990</t>
    <phoneticPr fontId="8"/>
  </si>
  <si>
    <t>5/18～</t>
    <phoneticPr fontId="8"/>
  </si>
  <si>
    <t>IEIヴィヴァン4月号同梱3P￥4500③</t>
    <rPh sb="9" eb="11">
      <t>ガツゴウ</t>
    </rPh>
    <rPh sb="11" eb="13">
      <t>ドウコン</t>
    </rPh>
    <phoneticPr fontId="8"/>
  </si>
  <si>
    <r>
      <t>パルくらす4月1回　</t>
    </r>
    <r>
      <rPr>
        <b/>
        <sz val="11"/>
        <rFont val="ＭＳ Ｐゴシック"/>
        <family val="3"/>
        <charset val="128"/>
      </rPr>
      <t>3色組（不透明袋）⑤</t>
    </r>
    <rPh sb="6" eb="7">
      <t>ガツ</t>
    </rPh>
    <rPh sb="8" eb="9">
      <t>カイ</t>
    </rPh>
    <rPh sb="11" eb="13">
      <t>ショククミ</t>
    </rPh>
    <rPh sb="14" eb="18">
      <t>フトウメイフクロ</t>
    </rPh>
    <phoneticPr fontId="8"/>
  </si>
  <si>
    <t>毎日が発見2月号3Ｐ¥4500⑪</t>
    <rPh sb="0" eb="2">
      <t>マイニチ</t>
    </rPh>
    <rPh sb="3" eb="5">
      <t>ハッケン</t>
    </rPh>
    <rPh sb="6" eb="8">
      <t>ガツゴウ</t>
    </rPh>
    <phoneticPr fontId="8"/>
  </si>
  <si>
    <t>JOD㊴</t>
    <phoneticPr fontId="8"/>
  </si>
  <si>
    <t>JOD㊵</t>
    <phoneticPr fontId="8"/>
  </si>
  <si>
    <t>営業用sample</t>
    <rPh sb="0" eb="3">
      <t>エイギョウヨウ</t>
    </rPh>
    <phoneticPr fontId="8"/>
  </si>
  <si>
    <t>JOD㊶</t>
    <phoneticPr fontId="8"/>
  </si>
  <si>
    <t>JOD㊷</t>
    <phoneticPr fontId="8"/>
  </si>
  <si>
    <t>営業用sample返却</t>
    <rPh sb="0" eb="3">
      <t>エイギョウヨウ</t>
    </rPh>
    <rPh sb="9" eb="11">
      <t>ヘンキャク</t>
    </rPh>
    <phoneticPr fontId="8"/>
  </si>
  <si>
    <t>JOD㊸</t>
    <phoneticPr fontId="8"/>
  </si>
  <si>
    <t>不良</t>
    <rPh sb="0" eb="2">
      <t>フリョウ</t>
    </rPh>
    <phoneticPr fontId="8"/>
  </si>
  <si>
    <t>JOD㊹</t>
    <phoneticPr fontId="8"/>
  </si>
  <si>
    <t>ニシキ返品</t>
    <rPh sb="3" eb="5">
      <t>ヘンピン</t>
    </rPh>
    <phoneticPr fontId="8"/>
  </si>
  <si>
    <t>JOD㊺</t>
    <phoneticPr fontId="8"/>
  </si>
  <si>
    <r>
      <t>全国通販ことせ2399/</t>
    </r>
    <r>
      <rPr>
        <b/>
        <sz val="11"/>
        <rFont val="ＭＳ Ｐゴシック"/>
        <family val="3"/>
        <charset val="128"/>
      </rPr>
      <t>3色組</t>
    </r>
    <r>
      <rPr>
        <sz val="11"/>
        <rFont val="ＭＳ Ｐゴシック"/>
        <family val="3"/>
        <charset val="128"/>
      </rPr>
      <t>①</t>
    </r>
    <rPh sb="0" eb="4">
      <t>ゼンコクツウハン</t>
    </rPh>
    <rPh sb="13" eb="15">
      <t>ショククミ</t>
    </rPh>
    <phoneticPr fontId="8"/>
  </si>
  <si>
    <t>JOD㊻</t>
    <phoneticPr fontId="8"/>
  </si>
  <si>
    <r>
      <t>コープおきなわ4月3週3色組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8" eb="9">
      <t>ガツ</t>
    </rPh>
    <rPh sb="10" eb="11">
      <t>シュウ</t>
    </rPh>
    <rPh sb="12" eb="14">
      <t>ショククミ</t>
    </rPh>
    <rPh sb="15" eb="19">
      <t>フトウメイフクロ</t>
    </rPh>
    <phoneticPr fontId="8"/>
  </si>
  <si>
    <t>JOD㊼</t>
    <phoneticPr fontId="8"/>
  </si>
  <si>
    <t>JOD㊽</t>
    <phoneticPr fontId="8"/>
  </si>
  <si>
    <t>IEIヴィヴァン4月号同梱3P￥4500④</t>
    <rPh sb="9" eb="11">
      <t>ガツゴウ</t>
    </rPh>
    <rPh sb="11" eb="13">
      <t>ドウコン</t>
    </rPh>
    <phoneticPr fontId="8"/>
  </si>
  <si>
    <t>JOD㊾</t>
    <phoneticPr fontId="8"/>
  </si>
  <si>
    <t>JOD㊿</t>
    <phoneticPr fontId="8"/>
  </si>
  <si>
    <r>
      <t>コープおきなわ4月3週3色組</t>
    </r>
    <r>
      <rPr>
        <b/>
        <sz val="11"/>
        <rFont val="ＭＳ Ｐゴシック"/>
        <family val="3"/>
        <charset val="128"/>
      </rPr>
      <t>（不透明袋）</t>
    </r>
    <rPh sb="8" eb="9">
      <t>ガツ</t>
    </rPh>
    <rPh sb="10" eb="11">
      <t>シュウ</t>
    </rPh>
    <rPh sb="12" eb="14">
      <t>ショククミ</t>
    </rPh>
    <rPh sb="15" eb="19">
      <t>フトウメイフクロ</t>
    </rPh>
    <phoneticPr fontId="8"/>
  </si>
  <si>
    <t>JOD51</t>
    <phoneticPr fontId="8"/>
  </si>
  <si>
    <t>JOD52</t>
    <phoneticPr fontId="8"/>
  </si>
  <si>
    <t>ニッセン24初夏号アトランダム3P②</t>
    <rPh sb="6" eb="8">
      <t>ショカ</t>
    </rPh>
    <rPh sb="8" eb="9">
      <t>ゴウ</t>
    </rPh>
    <phoneticPr fontId="8"/>
  </si>
  <si>
    <t>JODメルシー0604/3P¥3990</t>
    <phoneticPr fontId="8"/>
  </si>
  <si>
    <t>6/4～</t>
    <phoneticPr fontId="8"/>
  </si>
  <si>
    <r>
      <t>全国通販ことせ2399/</t>
    </r>
    <r>
      <rPr>
        <b/>
        <sz val="11"/>
        <rFont val="ＭＳ Ｐゴシック"/>
        <family val="3"/>
        <charset val="128"/>
      </rPr>
      <t>3色組</t>
    </r>
    <rPh sb="0" eb="4">
      <t>ゼンコクツウハン</t>
    </rPh>
    <rPh sb="13" eb="15">
      <t>ショククミ</t>
    </rPh>
    <phoneticPr fontId="8"/>
  </si>
  <si>
    <t>JOD53</t>
    <phoneticPr fontId="8"/>
  </si>
  <si>
    <t>くらし返品</t>
    <rPh sb="3" eb="5">
      <t>ヘンピン</t>
    </rPh>
    <phoneticPr fontId="4"/>
  </si>
  <si>
    <t>JOD54</t>
    <phoneticPr fontId="8"/>
  </si>
  <si>
    <t>JOD55</t>
  </si>
  <si>
    <t>ニッセン24初夏号アトランダム3P③</t>
    <rPh sb="6" eb="8">
      <t>ショカ</t>
    </rPh>
    <rPh sb="8" eb="9">
      <t>ゴウ</t>
    </rPh>
    <phoneticPr fontId="8"/>
  </si>
  <si>
    <t>JOD56</t>
    <phoneticPr fontId="8"/>
  </si>
  <si>
    <t>10/上旬～</t>
    <rPh sb="3" eb="5">
      <t>ジョウジュン</t>
    </rPh>
    <phoneticPr fontId="8"/>
  </si>
  <si>
    <t>ニッセン24初冬号アトランダム3色組</t>
    <rPh sb="6" eb="8">
      <t>ショトウ</t>
    </rPh>
    <rPh sb="8" eb="9">
      <t>ゴウ</t>
    </rPh>
    <rPh sb="16" eb="17">
      <t>ショク</t>
    </rPh>
    <rPh sb="17" eb="18">
      <t>クミ</t>
    </rPh>
    <phoneticPr fontId="8"/>
  </si>
  <si>
    <t>JOD57</t>
    <phoneticPr fontId="8"/>
  </si>
  <si>
    <t>2024/5/13数伝</t>
    <rPh sb="9" eb="11">
      <t>スウデン</t>
    </rPh>
    <phoneticPr fontId="8"/>
  </si>
  <si>
    <t>JOD58</t>
  </si>
  <si>
    <t>毎日が発見2月号3Ｐ¥4500⑫</t>
    <rPh sb="0" eb="2">
      <t>マイニチ</t>
    </rPh>
    <rPh sb="3" eb="5">
      <t>ハッケン</t>
    </rPh>
    <rPh sb="6" eb="8">
      <t>ガツゴウ</t>
    </rPh>
    <phoneticPr fontId="8"/>
  </si>
  <si>
    <t>ニッセン24初夏号アトランダム3P④</t>
    <rPh sb="6" eb="8">
      <t>ショカ</t>
    </rPh>
    <rPh sb="8" eb="9">
      <t>ゴウ</t>
    </rPh>
    <phoneticPr fontId="8"/>
  </si>
  <si>
    <t>毎日が発見10月号3Ｐ¥4500</t>
    <rPh sb="0" eb="2">
      <t>マイニチ</t>
    </rPh>
    <rPh sb="3" eb="5">
      <t>ハッケン</t>
    </rPh>
    <rPh sb="7" eb="9">
      <t>ガツゴウ</t>
    </rPh>
    <phoneticPr fontId="8"/>
  </si>
  <si>
    <t>毎日が発見7月号3Ｐ¥4500①</t>
    <rPh sb="0" eb="2">
      <t>マイニチ</t>
    </rPh>
    <rPh sb="3" eb="5">
      <t>ハッケン</t>
    </rPh>
    <rPh sb="6" eb="8">
      <t>ガツゴウ</t>
    </rPh>
    <phoneticPr fontId="8"/>
  </si>
  <si>
    <t>JOD59</t>
    <phoneticPr fontId="8"/>
  </si>
  <si>
    <t>7/26～10/31</t>
    <phoneticPr fontId="8"/>
  </si>
  <si>
    <t>全国通販ことせ2439/3色組</t>
    <rPh sb="0" eb="4">
      <t>ゼンコクツウハン</t>
    </rPh>
    <phoneticPr fontId="8"/>
  </si>
  <si>
    <t>JOD60</t>
  </si>
  <si>
    <r>
      <t>全国通販ことせ2399/</t>
    </r>
    <r>
      <rPr>
        <b/>
        <sz val="11"/>
        <rFont val="ＭＳ Ｐゴシック"/>
        <family val="3"/>
        <charset val="128"/>
      </rPr>
      <t>3色組②</t>
    </r>
    <rPh sb="0" eb="4">
      <t>ゼンコクツウハン</t>
    </rPh>
    <rPh sb="13" eb="15">
      <t>ショククミ</t>
    </rPh>
    <phoneticPr fontId="8"/>
  </si>
  <si>
    <t>JOD61</t>
    <phoneticPr fontId="8"/>
  </si>
  <si>
    <t>初回8月中旬、9/1～</t>
    <rPh sb="0" eb="2">
      <t>ショカイ</t>
    </rPh>
    <rPh sb="3" eb="4">
      <t>ガツ</t>
    </rPh>
    <rPh sb="4" eb="6">
      <t>チュウジュン</t>
    </rPh>
    <phoneticPr fontId="8"/>
  </si>
  <si>
    <t>ハルメクアルファsample返却</t>
    <rPh sb="14" eb="16">
      <t>ヘンキャク</t>
    </rPh>
    <phoneticPr fontId="8"/>
  </si>
  <si>
    <t>サクラマチsample（いずみ・サンネット）</t>
    <phoneticPr fontId="8"/>
  </si>
  <si>
    <t>サクラマチsample（東都）</t>
    <rPh sb="12" eb="14">
      <t>トウト</t>
    </rPh>
    <phoneticPr fontId="8"/>
  </si>
  <si>
    <t>JOD62</t>
    <phoneticPr fontId="8"/>
  </si>
  <si>
    <t>毎日が発見11月号3Ｐ¥4500</t>
    <rPh sb="0" eb="2">
      <t>マイニチ</t>
    </rPh>
    <rPh sb="3" eb="5">
      <t>ハッケン</t>
    </rPh>
    <rPh sb="7" eb="9">
      <t>ガツゴウ</t>
    </rPh>
    <phoneticPr fontId="8"/>
  </si>
  <si>
    <t>初回9月中旬・10/3～</t>
    <rPh sb="0" eb="2">
      <t>ショカイ</t>
    </rPh>
    <rPh sb="3" eb="4">
      <t>ガツ</t>
    </rPh>
    <rPh sb="4" eb="6">
      <t>チュウジュン</t>
    </rPh>
    <phoneticPr fontId="8"/>
  </si>
  <si>
    <t>IEI使ってヨカッタ7月号3P￥4500</t>
    <rPh sb="3" eb="4">
      <t>ツカ</t>
    </rPh>
    <rPh sb="11" eb="13">
      <t>ガツゴウ</t>
    </rPh>
    <phoneticPr fontId="8"/>
  </si>
  <si>
    <t>7/8～</t>
    <phoneticPr fontId="8"/>
  </si>
  <si>
    <t>IEI使ってヨカッタ5月号3P￥4500①</t>
    <rPh sb="3" eb="4">
      <t>ツカ</t>
    </rPh>
    <rPh sb="11" eb="13">
      <t>ガツゴウ</t>
    </rPh>
    <phoneticPr fontId="8"/>
  </si>
  <si>
    <t>JOD63</t>
    <phoneticPr fontId="8"/>
  </si>
  <si>
    <t>JOD特別号R9897/3P¥3990</t>
    <rPh sb="3" eb="6">
      <t>トクベツゴウ</t>
    </rPh>
    <phoneticPr fontId="8"/>
  </si>
  <si>
    <t>7/3～</t>
    <phoneticPr fontId="8"/>
  </si>
  <si>
    <t>追加2-1</t>
    <rPh sb="0" eb="2">
      <t>ツイカ</t>
    </rPh>
    <phoneticPr fontId="4"/>
  </si>
  <si>
    <t>追加2-2</t>
    <rPh sb="0" eb="2">
      <t>ツイカ</t>
    </rPh>
    <phoneticPr fontId="4"/>
  </si>
  <si>
    <r>
      <t>全国通販ことせ2409/</t>
    </r>
    <r>
      <rPr>
        <b/>
        <sz val="11"/>
        <rFont val="ＭＳ Ｐゴシック"/>
        <family val="3"/>
        <charset val="128"/>
      </rPr>
      <t>3色組</t>
    </r>
    <rPh sb="0" eb="4">
      <t>ゼンコクツウハン</t>
    </rPh>
    <rPh sb="13" eb="15">
      <t>ショククミ</t>
    </rPh>
    <phoneticPr fontId="8"/>
  </si>
  <si>
    <t>点8/15、初回・アバウト8/27、最終9/2</t>
    <rPh sb="0" eb="1">
      <t>テン</t>
    </rPh>
    <rPh sb="6" eb="8">
      <t>ショカイ</t>
    </rPh>
    <rPh sb="18" eb="20">
      <t>サイシュウ</t>
    </rPh>
    <phoneticPr fontId="8"/>
  </si>
  <si>
    <t>パルくらす9月1回3色組（不透明袋）\3980</t>
    <phoneticPr fontId="8"/>
  </si>
  <si>
    <t>JOD64</t>
    <phoneticPr fontId="8"/>
  </si>
  <si>
    <t>JOD65</t>
    <phoneticPr fontId="8"/>
  </si>
  <si>
    <t>はぴねすくらぶ6月号3色組①</t>
    <rPh sb="8" eb="10">
      <t>ガツゴウ</t>
    </rPh>
    <rPh sb="11" eb="13">
      <t>ショククミ</t>
    </rPh>
    <phoneticPr fontId="8"/>
  </si>
  <si>
    <t>JOD66</t>
    <phoneticPr fontId="8"/>
  </si>
  <si>
    <t>7/10～19（1～2回）</t>
    <rPh sb="11" eb="12">
      <t>カイ</t>
    </rPh>
    <phoneticPr fontId="8"/>
  </si>
  <si>
    <t>JOD67</t>
    <phoneticPr fontId="8"/>
  </si>
  <si>
    <t>JOD68</t>
    <phoneticPr fontId="8"/>
  </si>
  <si>
    <t>JOD69</t>
  </si>
  <si>
    <t>IEIあつめる5月号同梱3P￥4500①</t>
    <rPh sb="8" eb="10">
      <t>ガツゴウ</t>
    </rPh>
    <rPh sb="10" eb="12">
      <t>ドウコン</t>
    </rPh>
    <phoneticPr fontId="8"/>
  </si>
  <si>
    <t>全国通販ことせ2449/3色組</t>
    <rPh sb="0" eb="4">
      <t>ゼンコクツウハン</t>
    </rPh>
    <phoneticPr fontId="8"/>
  </si>
  <si>
    <t>8/30～11/30</t>
    <phoneticPr fontId="8"/>
  </si>
  <si>
    <t>全国通販ことせ2391/3色組</t>
    <rPh sb="0" eb="4">
      <t>ゼンコクツウハン</t>
    </rPh>
    <phoneticPr fontId="8"/>
  </si>
  <si>
    <t>6/28～9/30</t>
    <phoneticPr fontId="8"/>
  </si>
  <si>
    <t>JOD70</t>
    <phoneticPr fontId="8"/>
  </si>
  <si>
    <t>シンエイsample</t>
    <phoneticPr fontId="8"/>
  </si>
  <si>
    <t>JOD71</t>
    <phoneticPr fontId="8"/>
  </si>
  <si>
    <t>くらし企画返品</t>
    <rPh sb="3" eb="7">
      <t>キカクヘンピン</t>
    </rPh>
    <phoneticPr fontId="4"/>
  </si>
  <si>
    <t>JOD72</t>
  </si>
  <si>
    <t>IEIヴィヴァン同梱7月号3P￥4500</t>
    <rPh sb="8" eb="10">
      <t>ドウコン</t>
    </rPh>
    <rPh sb="11" eb="13">
      <t>ガツゴウ</t>
    </rPh>
    <phoneticPr fontId="8"/>
  </si>
  <si>
    <t>7/22～</t>
    <phoneticPr fontId="8"/>
  </si>
  <si>
    <t>毎日が発見7月号3Ｐ¥4500差分予測</t>
    <rPh sb="0" eb="2">
      <t>マイニチ</t>
    </rPh>
    <rPh sb="3" eb="5">
      <t>ハッケン</t>
    </rPh>
    <rPh sb="6" eb="8">
      <t>ガツゴウ</t>
    </rPh>
    <rPh sb="15" eb="19">
      <t>サブンヨソク</t>
    </rPh>
    <phoneticPr fontId="8"/>
  </si>
  <si>
    <t>はぴねすくらぶ6月号3色組②</t>
  </si>
  <si>
    <t>JODメルシー0725/3P¥3990</t>
    <phoneticPr fontId="8"/>
  </si>
  <si>
    <t>7/25～</t>
    <phoneticPr fontId="8"/>
  </si>
  <si>
    <t>JOD73</t>
    <phoneticPr fontId="8"/>
  </si>
  <si>
    <t>JOD74</t>
    <phoneticPr fontId="8"/>
  </si>
  <si>
    <r>
      <t>全国通販ことせ2399/</t>
    </r>
    <r>
      <rPr>
        <b/>
        <sz val="11"/>
        <rFont val="ＭＳ Ｐゴシック"/>
        <family val="3"/>
        <charset val="128"/>
      </rPr>
      <t>3色組③</t>
    </r>
    <rPh sb="0" eb="4">
      <t>ゼンコクツウハン</t>
    </rPh>
    <rPh sb="13" eb="15">
      <t>ショククミ</t>
    </rPh>
    <phoneticPr fontId="8"/>
  </si>
  <si>
    <t>JOD75</t>
    <phoneticPr fontId="8"/>
  </si>
  <si>
    <t>JOD76</t>
    <phoneticPr fontId="8"/>
  </si>
  <si>
    <t>2024/6/4数伝</t>
    <rPh sb="8" eb="9">
      <t>スウ</t>
    </rPh>
    <rPh sb="9" eb="10">
      <t>デン</t>
    </rPh>
    <phoneticPr fontId="8"/>
  </si>
  <si>
    <t>＜レースアクティブシニアショーツ＞ R4102C KPORT在庫  @478   1P\1480  3P\3990 \4500</t>
    <rPh sb="30" eb="32">
      <t>ザイコ</t>
    </rPh>
    <phoneticPr fontId="4"/>
  </si>
  <si>
    <t>＜レースアクティブシニアショーツ＞　R4102C ゆめはん在庫  @478   1P\1480  3P\3990</t>
    <rPh sb="29" eb="31">
      <t>ザイコ</t>
    </rPh>
    <phoneticPr fontId="4"/>
  </si>
  <si>
    <t>全国通販ことせ2391/3色組①</t>
    <rPh sb="0" eb="4">
      <t>ゼンコクツウハン</t>
    </rPh>
    <phoneticPr fontId="8"/>
  </si>
  <si>
    <t>JOD77</t>
    <phoneticPr fontId="8"/>
  </si>
  <si>
    <t>JOD78</t>
  </si>
  <si>
    <t>はぴねすくらぶ6月号3色組③</t>
    <phoneticPr fontId="8"/>
  </si>
  <si>
    <t>IEI使ってヨカッタ9月号3P￥4500</t>
    <rPh sb="3" eb="4">
      <t>ツカ</t>
    </rPh>
    <rPh sb="11" eb="13">
      <t>ガツゴウ</t>
    </rPh>
    <phoneticPr fontId="8"/>
  </si>
  <si>
    <t>9/2～</t>
    <phoneticPr fontId="8"/>
  </si>
  <si>
    <t>JOD79</t>
    <phoneticPr fontId="8"/>
  </si>
  <si>
    <r>
      <t>パルくらす7月1回</t>
    </r>
    <r>
      <rPr>
        <b/>
        <sz val="11"/>
        <rFont val="ＭＳ Ｐゴシック"/>
        <family val="3"/>
        <charset val="128"/>
      </rPr>
      <t>特価3680円</t>
    </r>
    <r>
      <rPr>
        <sz val="11"/>
        <rFont val="ＭＳ Ｐゴシック"/>
        <family val="3"/>
        <charset val="128"/>
      </rPr>
      <t>3色組（不透明袋）①</t>
    </r>
    <rPh sb="9" eb="11">
      <t>トッカ</t>
    </rPh>
    <rPh sb="15" eb="16">
      <t>エン</t>
    </rPh>
    <phoneticPr fontId="8"/>
  </si>
  <si>
    <t>8/7～21（1～5回）</t>
    <rPh sb="10" eb="11">
      <t>カイ</t>
    </rPh>
    <phoneticPr fontId="8"/>
  </si>
  <si>
    <t>東北サンネット8月3週別チラ3色組（不透明袋）￥3990</t>
    <rPh sb="0" eb="2">
      <t>トウホク</t>
    </rPh>
    <rPh sb="8" eb="9">
      <t>ガツ</t>
    </rPh>
    <rPh sb="10" eb="11">
      <t>シュウ</t>
    </rPh>
    <rPh sb="11" eb="12">
      <t>ベツ</t>
    </rPh>
    <rPh sb="15" eb="17">
      <t>ショククミ</t>
    </rPh>
    <rPh sb="18" eb="22">
      <t>フトウメイフクロ</t>
    </rPh>
    <phoneticPr fontId="8"/>
  </si>
  <si>
    <t>JOD80</t>
  </si>
  <si>
    <r>
      <t>パルくらす7月1回</t>
    </r>
    <r>
      <rPr>
        <b/>
        <sz val="11"/>
        <rFont val="ＭＳ Ｐゴシック"/>
        <family val="3"/>
        <charset val="128"/>
      </rPr>
      <t>特価3680円</t>
    </r>
    <r>
      <rPr>
        <sz val="11"/>
        <rFont val="ＭＳ Ｐゴシック"/>
        <family val="3"/>
        <charset val="128"/>
      </rPr>
      <t>3色組（不透明袋）②</t>
    </r>
    <rPh sb="9" eb="11">
      <t>トッカ</t>
    </rPh>
    <rPh sb="15" eb="16">
      <t>エン</t>
    </rPh>
    <phoneticPr fontId="8"/>
  </si>
  <si>
    <t>JOD81</t>
  </si>
  <si>
    <r>
      <t>パルくらす7月1回</t>
    </r>
    <r>
      <rPr>
        <b/>
        <sz val="11"/>
        <rFont val="ＭＳ Ｐゴシック"/>
        <family val="3"/>
        <charset val="128"/>
      </rPr>
      <t>特価3680円</t>
    </r>
    <r>
      <rPr>
        <sz val="11"/>
        <rFont val="ＭＳ Ｐゴシック"/>
        <family val="3"/>
        <charset val="128"/>
      </rPr>
      <t>3色組（不透明袋）③</t>
    </r>
    <rPh sb="9" eb="11">
      <t>トッカ</t>
    </rPh>
    <rPh sb="15" eb="16">
      <t>エン</t>
    </rPh>
    <phoneticPr fontId="8"/>
  </si>
  <si>
    <t>IEI使ってヨカッタ7月号3P￥4500①</t>
    <rPh sb="3" eb="4">
      <t>ツカ</t>
    </rPh>
    <rPh sb="11" eb="13">
      <t>ガツゴウ</t>
    </rPh>
    <phoneticPr fontId="8"/>
  </si>
  <si>
    <t>JOD82</t>
  </si>
  <si>
    <t>IEI返品</t>
    <rPh sb="3" eb="5">
      <t>ヘンピン</t>
    </rPh>
    <phoneticPr fontId="4"/>
  </si>
  <si>
    <t>はぴねすくらぶ6月号3色組④</t>
    <phoneticPr fontId="8"/>
  </si>
  <si>
    <t>JOD83</t>
  </si>
  <si>
    <t>JOD特別号9507/3P¥3990</t>
    <rPh sb="3" eb="6">
      <t>トクベツゴウ</t>
    </rPh>
    <phoneticPr fontId="8"/>
  </si>
  <si>
    <t>8/7～</t>
    <phoneticPr fontId="8"/>
  </si>
  <si>
    <t>JOD84</t>
    <phoneticPr fontId="8"/>
  </si>
  <si>
    <t>2024/7/2数伝</t>
    <rPh sb="8" eb="10">
      <t>スウデン</t>
    </rPh>
    <phoneticPr fontId="8"/>
  </si>
  <si>
    <t>パルくらす7月1回特価3680円3色組（不透明袋）</t>
    <rPh sb="9" eb="11">
      <t>トッカ</t>
    </rPh>
    <rPh sb="15" eb="16">
      <t>エン</t>
    </rPh>
    <phoneticPr fontId="8"/>
  </si>
  <si>
    <t>東都生協8月4週3色組（不透明袋）</t>
    <rPh sb="0" eb="4">
      <t>トウトセイキョウ</t>
    </rPh>
    <rPh sb="5" eb="6">
      <t>ガツ</t>
    </rPh>
    <rPh sb="7" eb="8">
      <t>シュウ</t>
    </rPh>
    <rPh sb="9" eb="11">
      <t>ショククミ</t>
    </rPh>
    <rPh sb="12" eb="16">
      <t>フトウメイフクロ</t>
    </rPh>
    <phoneticPr fontId="8"/>
  </si>
  <si>
    <t>8/14～27（1～5回）</t>
    <rPh sb="11" eb="12">
      <t>カイ</t>
    </rPh>
    <phoneticPr fontId="8"/>
  </si>
  <si>
    <t>JOD85</t>
  </si>
  <si>
    <t>毎日が発見7月号3Ｐ¥4500②</t>
    <rPh sb="0" eb="2">
      <t>マイニチ</t>
    </rPh>
    <rPh sb="3" eb="5">
      <t>ハッケン</t>
    </rPh>
    <rPh sb="6" eb="8">
      <t>ガツゴウ</t>
    </rPh>
    <phoneticPr fontId="8"/>
  </si>
  <si>
    <t>JOD86</t>
    <phoneticPr fontId="8"/>
  </si>
  <si>
    <t>はぴねすくらぶ6月号3色組⑤</t>
    <phoneticPr fontId="8"/>
  </si>
  <si>
    <t>全国通販ことせ2401/3色組</t>
    <rPh sb="0" eb="4">
      <t>ゼンコクツウハン</t>
    </rPh>
    <phoneticPr fontId="8"/>
  </si>
  <si>
    <t>JOD87</t>
    <phoneticPr fontId="8"/>
  </si>
  <si>
    <t>はぴねすくらぶ6月号3色組⑥</t>
    <phoneticPr fontId="8"/>
  </si>
  <si>
    <t>JOD88</t>
  </si>
  <si>
    <t>ネット</t>
    <phoneticPr fontId="8"/>
  </si>
  <si>
    <t>JOD89</t>
    <phoneticPr fontId="8"/>
  </si>
  <si>
    <t>東北サンネット8月3週別チラ3色組差分予測</t>
    <rPh sb="0" eb="2">
      <t>トウホク</t>
    </rPh>
    <rPh sb="8" eb="9">
      <t>ガツ</t>
    </rPh>
    <rPh sb="10" eb="11">
      <t>シュウ</t>
    </rPh>
    <rPh sb="11" eb="12">
      <t>ベツ</t>
    </rPh>
    <rPh sb="15" eb="17">
      <t>ショククミ</t>
    </rPh>
    <rPh sb="17" eb="21">
      <t>サブンヨソク</t>
    </rPh>
    <phoneticPr fontId="8"/>
  </si>
  <si>
    <t>全国通販ことせ2401/3色組差分予測</t>
    <rPh sb="0" eb="4">
      <t>ゼンコクツウハン</t>
    </rPh>
    <rPh sb="15" eb="19">
      <t>サブンヨソク</t>
    </rPh>
    <phoneticPr fontId="8"/>
  </si>
  <si>
    <t>コープえひめ8月2回3色組（不透明袋）差分予測</t>
    <rPh sb="7" eb="8">
      <t>ガツ</t>
    </rPh>
    <rPh sb="9" eb="10">
      <t>カイ</t>
    </rPh>
    <rPh sb="11" eb="13">
      <t>ショククミ</t>
    </rPh>
    <rPh sb="14" eb="18">
      <t>フトウメイフクロ</t>
    </rPh>
    <rPh sb="19" eb="23">
      <t>サブンヨソク</t>
    </rPh>
    <phoneticPr fontId="8"/>
  </si>
  <si>
    <t>全国通販ことせ2391/3色組差分予測</t>
    <rPh sb="0" eb="4">
      <t>ゼンコクツウハン</t>
    </rPh>
    <rPh sb="15" eb="19">
      <t>サブンヨソク</t>
    </rPh>
    <phoneticPr fontId="8"/>
  </si>
  <si>
    <t>毎日が発見7月号3Ｐ¥4500③</t>
    <rPh sb="0" eb="2">
      <t>マイニチ</t>
    </rPh>
    <rPh sb="3" eb="5">
      <t>ハッケン</t>
    </rPh>
    <rPh sb="6" eb="8">
      <t>ガツゴウ</t>
    </rPh>
    <phoneticPr fontId="8"/>
  </si>
  <si>
    <t>JOD90</t>
    <phoneticPr fontId="8"/>
  </si>
  <si>
    <t>ならコープ9月1回3色組（不透明袋）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</si>
  <si>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毎日が発見11月号3Ｐ¥4500差分予測</t>
    <rPh sb="0" eb="2">
      <t>マイニチ</t>
    </rPh>
    <rPh sb="3" eb="5">
      <t>ハッケン</t>
    </rPh>
    <rPh sb="7" eb="9">
      <t>ガツゴウ</t>
    </rPh>
    <rPh sb="16" eb="20">
      <t>サブンヨソク</t>
    </rPh>
    <phoneticPr fontId="8"/>
  </si>
  <si>
    <t>毎日が発見10月号3Ｐ¥4500差分予測</t>
    <rPh sb="0" eb="2">
      <t>マイニチ</t>
    </rPh>
    <rPh sb="3" eb="5">
      <t>ハッケン</t>
    </rPh>
    <rPh sb="7" eb="9">
      <t>ガツゴウ</t>
    </rPh>
    <rPh sb="16" eb="20">
      <t>サブンヨソク</t>
    </rPh>
    <phoneticPr fontId="8"/>
  </si>
  <si>
    <t>ならコープ9月1回3色組（不透明袋）差分予測</t>
    <rPh sb="6" eb="7">
      <t>ガツ</t>
    </rPh>
    <rPh sb="8" eb="9">
      <t>カイ</t>
    </rPh>
    <rPh sb="10" eb="12">
      <t>ショククミ</t>
    </rPh>
    <rPh sb="13" eb="17">
      <t>フトウメイフクロ</t>
    </rPh>
    <rPh sb="18" eb="22">
      <t>サブンヨソク</t>
    </rPh>
    <phoneticPr fontId="8"/>
  </si>
  <si>
    <t>全国通販ことせ2391/3色組②</t>
    <rPh sb="0" eb="4">
      <t>ゼンコクツウハン</t>
    </rPh>
    <phoneticPr fontId="8"/>
  </si>
  <si>
    <r>
      <t>コープおきなわ7月3週</t>
    </r>
    <r>
      <rPr>
        <b/>
        <sz val="11"/>
        <rFont val="ＭＳ Ｐゴシック"/>
        <family val="3"/>
        <charset val="128"/>
      </rPr>
      <t>3色組（不透明袋）</t>
    </r>
    <r>
      <rPr>
        <sz val="11"/>
        <rFont val="ＭＳ Ｐゴシック"/>
        <family val="3"/>
        <charset val="128"/>
      </rPr>
      <t>（別チラ）①</t>
    </r>
    <rPh sb="8" eb="9">
      <t>ガツ</t>
    </rPh>
    <rPh sb="10" eb="11">
      <t>シュウ</t>
    </rPh>
    <rPh sb="12" eb="14">
      <t>ショククミ</t>
    </rPh>
    <rPh sb="15" eb="19">
      <t>フトウメイフクロ</t>
    </rPh>
    <rPh sb="21" eb="22">
      <t>ベツ</t>
    </rPh>
    <phoneticPr fontId="8"/>
  </si>
  <si>
    <t>JOD91</t>
  </si>
  <si>
    <t>はぴねすくらぶ6月号3色組⑦</t>
    <phoneticPr fontId="8"/>
  </si>
  <si>
    <t>JOD92</t>
    <phoneticPr fontId="8"/>
  </si>
  <si>
    <t>JOD93</t>
    <phoneticPr fontId="8"/>
  </si>
  <si>
    <t>　コープ北陸①</t>
    <rPh sb="4" eb="6">
      <t>ホクリク</t>
    </rPh>
    <phoneticPr fontId="8"/>
  </si>
  <si>
    <t>全国通販ことせ2391/3色組③</t>
    <rPh sb="0" eb="4">
      <t>ゼンコクツウハン</t>
    </rPh>
    <phoneticPr fontId="8"/>
  </si>
  <si>
    <t>サクラマチ返品</t>
    <rPh sb="5" eb="7">
      <t>ヘンピン</t>
    </rPh>
    <phoneticPr fontId="4"/>
  </si>
  <si>
    <t>JOD94</t>
  </si>
  <si>
    <t>コープしが9月3回3色組（不透明袋）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</si>
  <si>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はぴねすくらぶ6月号3色組⑧</t>
    <phoneticPr fontId="8"/>
  </si>
  <si>
    <t>JOD95</t>
    <phoneticPr fontId="8"/>
  </si>
  <si>
    <t>2024/7/17数伝</t>
    <rPh sb="9" eb="10">
      <t>スウ</t>
    </rPh>
    <rPh sb="10" eb="11">
      <t>デン</t>
    </rPh>
    <phoneticPr fontId="8"/>
  </si>
  <si>
    <t>コープ北陸②</t>
    <rPh sb="3" eb="5">
      <t>ホクリク</t>
    </rPh>
    <phoneticPr fontId="8"/>
  </si>
  <si>
    <t>JOD96</t>
    <phoneticPr fontId="8"/>
  </si>
  <si>
    <t>全国通販ことせ2391/3色組④</t>
    <rPh sb="0" eb="4">
      <t>ゼンコクツウハン</t>
    </rPh>
    <phoneticPr fontId="8"/>
  </si>
  <si>
    <t>はぴねすくらぶ6月号3色組⑨</t>
    <phoneticPr fontId="8"/>
  </si>
  <si>
    <r>
      <t>コープおきなわ7月3週</t>
    </r>
    <r>
      <rPr>
        <b/>
        <sz val="11"/>
        <rFont val="ＭＳ Ｐゴシック"/>
        <family val="3"/>
        <charset val="128"/>
      </rPr>
      <t>3色組（不透明袋）</t>
    </r>
    <r>
      <rPr>
        <sz val="11"/>
        <rFont val="ＭＳ Ｐゴシック"/>
        <family val="3"/>
        <charset val="128"/>
      </rPr>
      <t>（別チラ）</t>
    </r>
    <rPh sb="8" eb="9">
      <t>ガツ</t>
    </rPh>
    <rPh sb="10" eb="11">
      <t>シュウ</t>
    </rPh>
    <rPh sb="12" eb="14">
      <t>ショククミ</t>
    </rPh>
    <rPh sb="15" eb="19">
      <t>フトウメイフクロ</t>
    </rPh>
    <rPh sb="21" eb="22">
      <t>ベツ</t>
    </rPh>
    <phoneticPr fontId="8"/>
  </si>
  <si>
    <t>IEIヴィヴァン同梱7月号3P￥4500①</t>
    <rPh sb="8" eb="10">
      <t>ドウコン</t>
    </rPh>
    <rPh sb="11" eb="13">
      <t>ガツゴウ</t>
    </rPh>
    <phoneticPr fontId="8"/>
  </si>
  <si>
    <t>全国通販ことせ2391/3色組⑤</t>
    <rPh sb="0" eb="4">
      <t>ゼンコクツウハン</t>
    </rPh>
    <phoneticPr fontId="8"/>
  </si>
  <si>
    <t>IEIヴィヴァン9月号同梱3P￥4500</t>
    <rPh sb="9" eb="11">
      <t>ガツゴウ</t>
    </rPh>
    <rPh sb="11" eb="13">
      <t>ドウコン</t>
    </rPh>
    <phoneticPr fontId="8"/>
  </si>
  <si>
    <t>9/24～</t>
    <phoneticPr fontId="8"/>
  </si>
  <si>
    <t>パルくらす11月1回差分予測</t>
    <rPh sb="10" eb="14">
      <t>サブンヨソク</t>
    </rPh>
    <phoneticPr fontId="8"/>
  </si>
  <si>
    <t>点10/17、初回・アバウト10/29、最終11/4</t>
    <rPh sb="0" eb="1">
      <t>テン</t>
    </rPh>
    <rPh sb="7" eb="9">
      <t>ショカイ</t>
    </rPh>
    <rPh sb="20" eb="22">
      <t>サイシュウ</t>
    </rPh>
    <phoneticPr fontId="8"/>
  </si>
  <si>
    <t>パルくらす11月1回3色組（不透明袋）\3680</t>
    <phoneticPr fontId="8"/>
  </si>
  <si>
    <t>京都生協10月2回3色組（不透明袋）</t>
    <rPh sb="0" eb="4">
      <t>キョウトセイキョウ</t>
    </rPh>
    <rPh sb="6" eb="7">
      <t>ガツ</t>
    </rPh>
    <rPh sb="8" eb="9">
      <t>カイ</t>
    </rPh>
    <rPh sb="10" eb="11">
      <t>ショク</t>
    </rPh>
    <rPh sb="11" eb="12">
      <t>クミ</t>
    </rPh>
    <phoneticPr fontId="8"/>
  </si>
  <si>
    <t>JOD特別号R9899/3P¥3990</t>
    <rPh sb="3" eb="6">
      <t>トクベツゴウ</t>
    </rPh>
    <phoneticPr fontId="8"/>
  </si>
  <si>
    <t>8/31～</t>
    <phoneticPr fontId="8"/>
  </si>
  <si>
    <t>JOD97</t>
    <phoneticPr fontId="8"/>
  </si>
  <si>
    <t>全国通販ことせ2391/3色組⑥</t>
    <rPh sb="0" eb="4">
      <t>ゼンコクツウハン</t>
    </rPh>
    <phoneticPr fontId="8"/>
  </si>
  <si>
    <t>JOD98</t>
    <phoneticPr fontId="8"/>
  </si>
  <si>
    <t>東北サンネット8月3週別チラ3色組（不透明袋）￥3990①</t>
    <rPh sb="0" eb="2">
      <t>トウホク</t>
    </rPh>
    <rPh sb="8" eb="9">
      <t>ガツ</t>
    </rPh>
    <rPh sb="10" eb="11">
      <t>シュウ</t>
    </rPh>
    <rPh sb="11" eb="12">
      <t>ベツ</t>
    </rPh>
    <rPh sb="15" eb="17">
      <t>ショククミ</t>
    </rPh>
    <rPh sb="18" eb="22">
      <t>フトウメイフクロ</t>
    </rPh>
    <phoneticPr fontId="8"/>
  </si>
  <si>
    <t>IEI使ってヨカッタ10月号3P￥4500</t>
    <rPh sb="3" eb="4">
      <t>ツカ</t>
    </rPh>
    <rPh sb="12" eb="14">
      <t>ガツゴウ</t>
    </rPh>
    <phoneticPr fontId="8"/>
  </si>
  <si>
    <t>10/7～</t>
    <phoneticPr fontId="8"/>
  </si>
  <si>
    <t>JOD99</t>
    <phoneticPr fontId="8"/>
  </si>
  <si>
    <t>はぴねすくらぶ6月号3色組⑩</t>
    <phoneticPr fontId="8"/>
  </si>
  <si>
    <t>JODメルシー0913/3P¥3990</t>
    <phoneticPr fontId="8"/>
  </si>
  <si>
    <t>9/13～</t>
    <phoneticPr fontId="8"/>
  </si>
  <si>
    <t>JOD100</t>
    <phoneticPr fontId="8"/>
  </si>
  <si>
    <t>JOD101</t>
    <phoneticPr fontId="8"/>
  </si>
  <si>
    <t>JOD102</t>
    <phoneticPr fontId="8"/>
  </si>
  <si>
    <t>JOD103</t>
    <phoneticPr fontId="8"/>
  </si>
  <si>
    <t>全国通販ことせ2391/3色組⑦</t>
    <rPh sb="0" eb="4">
      <t>ゼンコクツウハン</t>
    </rPh>
    <phoneticPr fontId="8"/>
  </si>
  <si>
    <t>9/30～10/21</t>
    <phoneticPr fontId="8"/>
  </si>
  <si>
    <t>JOD104</t>
    <phoneticPr fontId="8"/>
  </si>
  <si>
    <t>東北サンネット8月3週別チラ3色組（不透明袋）￥3990②</t>
    <rPh sb="0" eb="2">
      <t>トウホク</t>
    </rPh>
    <rPh sb="8" eb="9">
      <t>ガツ</t>
    </rPh>
    <rPh sb="10" eb="11">
      <t>シュウ</t>
    </rPh>
    <rPh sb="11" eb="12">
      <t>ベツ</t>
    </rPh>
    <rPh sb="15" eb="17">
      <t>ショククミ</t>
    </rPh>
    <rPh sb="18" eb="22">
      <t>フトウメイフクロ</t>
    </rPh>
    <phoneticPr fontId="8"/>
  </si>
  <si>
    <t>電話注文品</t>
    <rPh sb="0" eb="5">
      <t>デンワチュウモンヒン</t>
    </rPh>
    <phoneticPr fontId="8"/>
  </si>
  <si>
    <t>かりん</t>
    <phoneticPr fontId="8"/>
  </si>
  <si>
    <r>
      <t>コープえひめ8月2回</t>
    </r>
    <r>
      <rPr>
        <b/>
        <sz val="11"/>
        <rFont val="ＭＳ Ｐゴシック"/>
        <family val="3"/>
        <charset val="128"/>
      </rPr>
      <t>3色組</t>
    </r>
    <r>
      <rPr>
        <sz val="11"/>
        <rFont val="ＭＳ Ｐゴシック"/>
        <family val="3"/>
        <charset val="128"/>
      </rPr>
      <t>（不透明袋）①</t>
    </r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</si>
  <si>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JOD105</t>
    <phoneticPr fontId="8"/>
  </si>
  <si>
    <t>JOD106</t>
    <phoneticPr fontId="8"/>
  </si>
  <si>
    <t>JOD107</t>
  </si>
  <si>
    <t>毎日が発見10月号3Ｐ¥4500①</t>
    <rPh sb="0" eb="2">
      <t>マイニチ</t>
    </rPh>
    <rPh sb="3" eb="5">
      <t>ハッケン</t>
    </rPh>
    <rPh sb="7" eb="9">
      <t>ガツゴウ</t>
    </rPh>
    <phoneticPr fontId="8"/>
  </si>
  <si>
    <r>
      <t>コープえひめ8月2回</t>
    </r>
    <r>
      <rPr>
        <b/>
        <sz val="11"/>
        <rFont val="ＭＳ Ｐゴシック"/>
        <family val="3"/>
        <charset val="128"/>
      </rPr>
      <t>3色組</t>
    </r>
    <r>
      <rPr>
        <sz val="11"/>
        <rFont val="ＭＳ Ｐゴシック"/>
        <family val="3"/>
        <charset val="128"/>
      </rPr>
      <t>（不透明袋）</t>
    </r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</si>
  <si>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東都生協8月4週3色組（不透明袋）①</t>
    <rPh sb="0" eb="4">
      <t>トウトセイキョウ</t>
    </rPh>
    <rPh sb="5" eb="6">
      <t>ガツ</t>
    </rPh>
    <rPh sb="7" eb="8">
      <t>シュウ</t>
    </rPh>
    <rPh sb="9" eb="11">
      <t>ショククミ</t>
    </rPh>
    <rPh sb="12" eb="16">
      <t>フトウメイフクロ</t>
    </rPh>
    <phoneticPr fontId="8"/>
  </si>
  <si>
    <r>
      <t>コープえひめ8月2回</t>
    </r>
    <r>
      <rPr>
        <b/>
        <sz val="11"/>
        <rFont val="ＭＳ Ｐゴシック"/>
        <family val="3"/>
        <charset val="128"/>
      </rPr>
      <t>3色組</t>
    </r>
    <r>
      <rPr>
        <sz val="11"/>
        <rFont val="ＭＳ Ｐゴシック"/>
        <family val="3"/>
        <charset val="128"/>
      </rPr>
      <t>（不透明袋）②</t>
    </r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</si>
  <si>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東都生協8月4週3色組（不透明袋）②</t>
    <rPh sb="0" eb="4">
      <t>トウトセイキョウ</t>
    </rPh>
    <rPh sb="5" eb="6">
      <t>ガツ</t>
    </rPh>
    <rPh sb="7" eb="8">
      <t>シュウ</t>
    </rPh>
    <rPh sb="9" eb="11">
      <t>ショククミ</t>
    </rPh>
    <rPh sb="12" eb="16">
      <t>フトウメイフクロ</t>
    </rPh>
    <phoneticPr fontId="8"/>
  </si>
  <si>
    <t>全国通販ことせ2391/3色組⑧</t>
    <rPh sb="0" eb="4">
      <t>ゼンコクツウハン</t>
    </rPh>
    <phoneticPr fontId="8"/>
  </si>
  <si>
    <t>はぴねすくらぶ6月号3色組⑪</t>
    <phoneticPr fontId="8"/>
  </si>
  <si>
    <t>ネット</t>
    <phoneticPr fontId="8"/>
  </si>
  <si>
    <t>在庫確認</t>
    <rPh sb="0" eb="4">
      <t>ザイコカクニン</t>
    </rPh>
    <phoneticPr fontId="4"/>
  </si>
  <si>
    <t>JOD108</t>
    <phoneticPr fontId="8"/>
  </si>
  <si>
    <t>東都生協8月4週3色組（不透明袋）③</t>
    <rPh sb="0" eb="4">
      <t>トウトセイキョウ</t>
    </rPh>
    <rPh sb="5" eb="6">
      <t>ガツ</t>
    </rPh>
    <rPh sb="7" eb="8">
      <t>シュウ</t>
    </rPh>
    <rPh sb="9" eb="11">
      <t>ショククミ</t>
    </rPh>
    <rPh sb="12" eb="16">
      <t>フトウメイフクロ</t>
    </rPh>
    <phoneticPr fontId="8"/>
  </si>
  <si>
    <t>パルくらす9月1回　くらし在庫8/23</t>
    <rPh sb="13" eb="15">
      <t>ザイコ</t>
    </rPh>
    <phoneticPr fontId="8"/>
  </si>
  <si>
    <t>2024/8/21数伝</t>
    <rPh sb="9" eb="10">
      <t>スウ</t>
    </rPh>
    <rPh sb="10" eb="11">
      <t>デン</t>
    </rPh>
    <phoneticPr fontId="8"/>
  </si>
  <si>
    <t>追加 2-1</t>
    <rPh sb="0" eb="2">
      <t>ツイカ</t>
    </rPh>
    <phoneticPr fontId="4"/>
  </si>
  <si>
    <t>追加 2-2</t>
    <rPh sb="0" eb="2">
      <t>ツイカ</t>
    </rPh>
    <phoneticPr fontId="4"/>
  </si>
  <si>
    <t>JOD109</t>
    <phoneticPr fontId="8"/>
  </si>
  <si>
    <t>マチ部分従来の不織布の色</t>
    <rPh sb="2" eb="4">
      <t>ブブン</t>
    </rPh>
    <rPh sb="4" eb="6">
      <t>ジュウライ</t>
    </rPh>
    <rPh sb="7" eb="10">
      <t>フショクフ</t>
    </rPh>
    <rPh sb="11" eb="12">
      <t>イロ</t>
    </rPh>
    <phoneticPr fontId="8"/>
  </si>
  <si>
    <t>マチ部分不織布の色変わる</t>
    <rPh sb="2" eb="4">
      <t>ブブン</t>
    </rPh>
    <rPh sb="4" eb="7">
      <t>フショクフ</t>
    </rPh>
    <rPh sb="8" eb="9">
      <t>イロ</t>
    </rPh>
    <rPh sb="9" eb="10">
      <t>カ</t>
    </rPh>
    <phoneticPr fontId="8"/>
  </si>
  <si>
    <t>JOD110</t>
    <phoneticPr fontId="8"/>
  </si>
  <si>
    <t>パルくらす9月1回3色組（不透明袋）\3980①</t>
    <phoneticPr fontId="8"/>
  </si>
  <si>
    <t>IEI使ってヨカッタ9月号3P￥4500①</t>
    <rPh sb="3" eb="4">
      <t>ツカ</t>
    </rPh>
    <rPh sb="11" eb="13">
      <t>ガツゴウ</t>
    </rPh>
    <phoneticPr fontId="8"/>
  </si>
  <si>
    <t>かりん注残</t>
    <rPh sb="3" eb="5">
      <t>チュウザン</t>
    </rPh>
    <phoneticPr fontId="8"/>
  </si>
  <si>
    <t>JOD111</t>
    <phoneticPr fontId="8"/>
  </si>
  <si>
    <t>パルくらす9月1回3色組（不透明袋）\3980②</t>
    <phoneticPr fontId="8"/>
  </si>
  <si>
    <t>JOD112</t>
    <phoneticPr fontId="8"/>
  </si>
  <si>
    <t>パルくらす9月1回3色組（不透明袋）\3980③</t>
    <phoneticPr fontId="8"/>
  </si>
  <si>
    <t>はぴねすくらぶ6月号3色組⑫</t>
    <phoneticPr fontId="8"/>
  </si>
  <si>
    <t>JOD113</t>
    <phoneticPr fontId="8"/>
  </si>
  <si>
    <t>ロイヤルステージ11月号3Ｐ¥4500</t>
    <rPh sb="10" eb="12">
      <t>ガツゴウ</t>
    </rPh>
    <phoneticPr fontId="8"/>
  </si>
  <si>
    <t>11/7～12/20</t>
    <phoneticPr fontId="8"/>
  </si>
  <si>
    <t>JODメルシー1008/3P¥3990</t>
    <phoneticPr fontId="8"/>
  </si>
  <si>
    <t>10/8～</t>
    <phoneticPr fontId="8"/>
  </si>
  <si>
    <t>ならコープ9月1回3色組（不透明袋①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</si>
  <si>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JOD114</t>
  </si>
  <si>
    <t>シンエイ</t>
    <phoneticPr fontId="8"/>
  </si>
  <si>
    <t>JOD115</t>
    <phoneticPr fontId="8"/>
  </si>
  <si>
    <t>ニッセン24初冬号アトランダム3色組①</t>
    <rPh sb="6" eb="8">
      <t>ショトウ</t>
    </rPh>
    <rPh sb="8" eb="9">
      <t>ゴウ</t>
    </rPh>
    <rPh sb="16" eb="17">
      <t>ショク</t>
    </rPh>
    <rPh sb="17" eb="18">
      <t>クミ</t>
    </rPh>
    <phoneticPr fontId="8"/>
  </si>
  <si>
    <t>ニッセン25初春号アトランダム3色組</t>
    <rPh sb="6" eb="8">
      <t>ショシュン</t>
    </rPh>
    <rPh sb="8" eb="9">
      <t>ゴウ</t>
    </rPh>
    <rPh sb="16" eb="17">
      <t>ショク</t>
    </rPh>
    <rPh sb="17" eb="18">
      <t>クミ</t>
    </rPh>
    <phoneticPr fontId="8"/>
  </si>
  <si>
    <t>1/9～6/末</t>
    <rPh sb="6" eb="7">
      <t>マツ</t>
    </rPh>
    <phoneticPr fontId="8"/>
  </si>
  <si>
    <t>全国通販ことせ2391/3色組⑨</t>
    <rPh sb="0" eb="4">
      <t>ゼンコクツウハン</t>
    </rPh>
    <phoneticPr fontId="8"/>
  </si>
  <si>
    <t>はぴねすくらぶ6月号3色組⑬</t>
    <phoneticPr fontId="8"/>
  </si>
  <si>
    <t>はぴねすくらぶ12月号3色組</t>
    <rPh sb="9" eb="11">
      <t>ガツゴウ</t>
    </rPh>
    <rPh sb="12" eb="14">
      <t>ショククミ</t>
    </rPh>
    <phoneticPr fontId="8"/>
  </si>
  <si>
    <t>11/11～</t>
    <phoneticPr fontId="8"/>
  </si>
  <si>
    <t>パルくらす12月3回差分予測</t>
    <rPh sb="10" eb="14">
      <t>サブンヨソク</t>
    </rPh>
    <phoneticPr fontId="8"/>
  </si>
  <si>
    <t>パルくらす12月3回3色組（不透明袋）\3980</t>
    <phoneticPr fontId="8"/>
  </si>
  <si>
    <t>点11/28、初回・アバウト12/10、最終12/16</t>
    <rPh sb="0" eb="1">
      <t>テン</t>
    </rPh>
    <rPh sb="7" eb="9">
      <t>ショカイ</t>
    </rPh>
    <rPh sb="20" eb="22">
      <t>サイシュウ</t>
    </rPh>
    <phoneticPr fontId="8"/>
  </si>
  <si>
    <t>JOD116</t>
    <phoneticPr fontId="8"/>
  </si>
  <si>
    <t>IEI使ってヨカッタ9月号3P￥4500②</t>
    <rPh sb="3" eb="4">
      <t>ツカ</t>
    </rPh>
    <rPh sb="11" eb="13">
      <t>ガツゴウ</t>
    </rPh>
    <phoneticPr fontId="8"/>
  </si>
  <si>
    <t>JOD117</t>
    <phoneticPr fontId="8"/>
  </si>
  <si>
    <t>はぴねすくらぶ6月号3色組⑭</t>
    <phoneticPr fontId="8"/>
  </si>
  <si>
    <t>ウエストゴム修正分</t>
    <rPh sb="6" eb="9">
      <t>シュウセイブン</t>
    </rPh>
    <phoneticPr fontId="8"/>
  </si>
  <si>
    <t>過不足</t>
    <rPh sb="0" eb="3">
      <t>カブソク</t>
    </rPh>
    <phoneticPr fontId="4"/>
  </si>
  <si>
    <t>2024/9/6数伝</t>
    <rPh sb="8" eb="9">
      <t>スウ</t>
    </rPh>
    <rPh sb="9" eb="10">
      <t>デン</t>
    </rPh>
    <phoneticPr fontId="8"/>
  </si>
  <si>
    <t>JODメルシー1026/3P¥3990</t>
    <phoneticPr fontId="8"/>
  </si>
  <si>
    <t>10/26～</t>
    <phoneticPr fontId="8"/>
  </si>
  <si>
    <t>JOD118</t>
    <phoneticPr fontId="8"/>
  </si>
  <si>
    <t>JOD119</t>
    <phoneticPr fontId="8"/>
  </si>
  <si>
    <t>コープしが9月3回3色組（不透明袋）①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</si>
  <si>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はぴねすくらぶ6月号3色組⑮</t>
    <phoneticPr fontId="8"/>
  </si>
  <si>
    <t>ハルメク・アルファ2431</t>
    <phoneticPr fontId="8"/>
  </si>
  <si>
    <t>10/25～1/31</t>
    <phoneticPr fontId="8"/>
  </si>
  <si>
    <t>コープしが9月3回3色組（不透明袋）②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</si>
  <si>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JOD120</t>
    <phoneticPr fontId="8"/>
  </si>
  <si>
    <t>JOD121</t>
    <phoneticPr fontId="8"/>
  </si>
  <si>
    <t>JOD122</t>
  </si>
  <si>
    <t>JOD123</t>
    <phoneticPr fontId="8"/>
  </si>
  <si>
    <t>JODアクセス7005/3P¥3990</t>
    <phoneticPr fontId="8"/>
  </si>
  <si>
    <t>11/15～</t>
    <phoneticPr fontId="8"/>
  </si>
  <si>
    <t>JOD124</t>
    <phoneticPr fontId="8"/>
  </si>
  <si>
    <t>12/2～</t>
    <phoneticPr fontId="8"/>
  </si>
  <si>
    <t>サクラマチ斎藤様sample</t>
    <rPh sb="5" eb="7">
      <t>サイトウ</t>
    </rPh>
    <rPh sb="7" eb="8">
      <t>サマ</t>
    </rPh>
    <phoneticPr fontId="8"/>
  </si>
  <si>
    <t>11/6～19</t>
    <phoneticPr fontId="8"/>
  </si>
  <si>
    <t>大阪いずみ生協10月2回３色組（不透明袋）3990円</t>
    <rPh sb="0" eb="2">
      <t>オオサカ</t>
    </rPh>
    <rPh sb="5" eb="7">
      <t>セイキョウ</t>
    </rPh>
    <rPh sb="9" eb="10">
      <t>ガツ</t>
    </rPh>
    <rPh sb="11" eb="12">
      <t>カイ</t>
    </rPh>
    <rPh sb="13" eb="15">
      <t>ショククミ</t>
    </rPh>
    <rPh sb="16" eb="20">
      <t>フトウメイフクロ</t>
    </rPh>
    <rPh sb="25" eb="26">
      <t>エン</t>
    </rPh>
    <phoneticPr fontId="8"/>
  </si>
  <si>
    <t>東都生協11月3回3色組（不透明袋）4500円</t>
    <rPh sb="0" eb="2">
      <t>トウト</t>
    </rPh>
    <rPh sb="2" eb="4">
      <t>セイキョウ</t>
    </rPh>
    <rPh sb="6" eb="7">
      <t>ガツ</t>
    </rPh>
    <rPh sb="8" eb="9">
      <t>カイ</t>
    </rPh>
    <rPh sb="10" eb="12">
      <t>ショククミ</t>
    </rPh>
    <rPh sb="13" eb="17">
      <t>フトウメイフクロ</t>
    </rPh>
    <rPh sb="22" eb="23">
      <t>エン</t>
    </rPh>
    <phoneticPr fontId="8"/>
  </si>
  <si>
    <t>10/30～11/13</t>
    <phoneticPr fontId="8"/>
  </si>
  <si>
    <t>コープ東北サンネット11月2回3色組（不透明袋）3990円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8" eb="29">
      <t>エン</t>
    </rPh>
    <phoneticPr fontId="8"/>
  </si>
  <si>
    <t>東都生協11月3回3色組（不透明袋）4500円差分予測</t>
    <rPh sb="0" eb="2">
      <t>トウト</t>
    </rPh>
    <rPh sb="2" eb="4">
      <t>セイキョウ</t>
    </rPh>
    <rPh sb="6" eb="7">
      <t>ガツ</t>
    </rPh>
    <rPh sb="8" eb="9">
      <t>カイ</t>
    </rPh>
    <rPh sb="10" eb="12">
      <t>ショククミ</t>
    </rPh>
    <rPh sb="13" eb="17">
      <t>フトウメイフクロ</t>
    </rPh>
    <rPh sb="22" eb="23">
      <t>エン</t>
    </rPh>
    <rPh sb="23" eb="27">
      <t>サブンヨソク</t>
    </rPh>
    <phoneticPr fontId="8"/>
  </si>
  <si>
    <t>コープ東北サンネット11月2回3色組差分予測</t>
    <rPh sb="3" eb="5">
      <t>トウホク</t>
    </rPh>
    <rPh sb="12" eb="13">
      <t>ガツ</t>
    </rPh>
    <rPh sb="14" eb="15">
      <t>カイ</t>
    </rPh>
    <rPh sb="16" eb="18">
      <t>ショククミ</t>
    </rPh>
    <rPh sb="18" eb="22">
      <t>サブンヨソク</t>
    </rPh>
    <phoneticPr fontId="8"/>
  </si>
  <si>
    <t>毎日が発見11月号3Ｐ¥4500①</t>
    <rPh sb="0" eb="2">
      <t>マイニチ</t>
    </rPh>
    <rPh sb="3" eb="5">
      <t>ハッケン</t>
    </rPh>
    <rPh sb="7" eb="9">
      <t>ガツゴウ</t>
    </rPh>
    <phoneticPr fontId="8"/>
  </si>
  <si>
    <t>JOD125</t>
    <phoneticPr fontId="8"/>
  </si>
  <si>
    <t>キャロット検査用</t>
    <rPh sb="5" eb="8">
      <t>ケンサヨウ</t>
    </rPh>
    <phoneticPr fontId="8"/>
  </si>
  <si>
    <t>大阪いずみ生協10月2回３色組（不透明袋）3990円①</t>
    <rPh sb="0" eb="2">
      <t>オオサカ</t>
    </rPh>
    <rPh sb="5" eb="7">
      <t>セイキョウ</t>
    </rPh>
    <rPh sb="9" eb="10">
      <t>ガツ</t>
    </rPh>
    <rPh sb="11" eb="12">
      <t>カイ</t>
    </rPh>
    <rPh sb="13" eb="15">
      <t>ショククミ</t>
    </rPh>
    <rPh sb="16" eb="20">
      <t>フトウメイフクロ</t>
    </rPh>
    <rPh sb="25" eb="26">
      <t>エン</t>
    </rPh>
    <phoneticPr fontId="8"/>
  </si>
  <si>
    <t>ニッセン25初夏号アトランダム3色組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</si>
  <si>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3/下旬～9/末</t>
    <rPh sb="2" eb="4">
      <t>ゲジュン</t>
    </rPh>
    <rPh sb="7" eb="8">
      <t>マツ</t>
    </rPh>
    <phoneticPr fontId="8"/>
  </si>
  <si>
    <t>JODメルシー1106/3P¥3990</t>
    <phoneticPr fontId="8"/>
  </si>
  <si>
    <t>11/6～</t>
    <phoneticPr fontId="8"/>
  </si>
  <si>
    <t>ハルメク・アルファ2431①</t>
    <phoneticPr fontId="8"/>
  </si>
  <si>
    <t>JOD125</t>
  </si>
  <si>
    <t>京都生協10月2回3色組（不透明袋）①</t>
    <rPh sb="0" eb="4">
      <t>キョウトセイキョウ</t>
    </rPh>
    <rPh sb="6" eb="7">
      <t>ガツ</t>
    </rPh>
    <rPh sb="8" eb="9">
      <t>カイ</t>
    </rPh>
    <rPh sb="10" eb="11">
      <t>ショク</t>
    </rPh>
    <rPh sb="11" eb="12">
      <t>クミ</t>
    </rPh>
    <phoneticPr fontId="8"/>
  </si>
  <si>
    <t>JOD126</t>
    <phoneticPr fontId="8"/>
  </si>
  <si>
    <t>12/5～1/11</t>
    <phoneticPr fontId="8"/>
  </si>
  <si>
    <t>こうち生協12月2回3色組（不透明袋）</t>
    <rPh sb="3" eb="5">
      <t>セイキョウ</t>
    </rPh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</si>
  <si>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JOD127</t>
    <phoneticPr fontId="8"/>
  </si>
  <si>
    <t>IEI使ってヨカッタ11月号3P￥4500</t>
    <rPh sb="3" eb="4">
      <t>ツカ</t>
    </rPh>
    <rPh sb="12" eb="14">
      <t>ガツゴウ</t>
    </rPh>
    <phoneticPr fontId="8"/>
  </si>
  <si>
    <t>IEIヴィヴァン11月号同梱3P￥4500</t>
    <rPh sb="10" eb="12">
      <t>ガツゴウ</t>
    </rPh>
    <rPh sb="12" eb="14">
      <t>ドウコン</t>
    </rPh>
    <phoneticPr fontId="8"/>
  </si>
  <si>
    <t>11/18～</t>
    <phoneticPr fontId="8"/>
  </si>
  <si>
    <t>IEI使ってヨカッタ12月号3P￥4500</t>
    <rPh sb="3" eb="4">
      <t>ツカ</t>
    </rPh>
    <rPh sb="12" eb="14">
      <t>ガツゴウ</t>
    </rPh>
    <phoneticPr fontId="8"/>
  </si>
  <si>
    <t>JOD特別号9512/3P¥3990</t>
    <rPh sb="3" eb="6">
      <t>トクベツゴウ</t>
    </rPh>
    <phoneticPr fontId="8"/>
  </si>
  <si>
    <t>11/20～</t>
    <phoneticPr fontId="8"/>
  </si>
  <si>
    <t>IEI使ってヨカッタ1月号3P￥4500</t>
    <rPh sb="3" eb="4">
      <t>ツカ</t>
    </rPh>
    <rPh sb="11" eb="13">
      <t>ガツゴウ</t>
    </rPh>
    <phoneticPr fontId="8"/>
  </si>
  <si>
    <t>1/6～</t>
    <phoneticPr fontId="8"/>
  </si>
  <si>
    <t>JOD128</t>
    <phoneticPr fontId="8"/>
  </si>
  <si>
    <t>日生協10/16営業用</t>
    <rPh sb="0" eb="3">
      <t>ニッセイキョウ</t>
    </rPh>
    <rPh sb="8" eb="10">
      <t>エイギョウ</t>
    </rPh>
    <rPh sb="10" eb="11">
      <t>ヨウ</t>
    </rPh>
    <phoneticPr fontId="8"/>
  </si>
  <si>
    <t>JOD129</t>
    <phoneticPr fontId="8"/>
  </si>
  <si>
    <t>10/17時点の川本産業在庫</t>
    <rPh sb="5" eb="7">
      <t>ジテン</t>
    </rPh>
    <rPh sb="8" eb="12">
      <t>カワモトサンギョウ</t>
    </rPh>
    <rPh sb="12" eb="14">
      <t>ザイコ</t>
    </rPh>
    <phoneticPr fontId="8"/>
  </si>
  <si>
    <t>JOD130</t>
    <phoneticPr fontId="8"/>
  </si>
  <si>
    <t>IEI使ってヨカッタ9月号3P￥4500③</t>
    <rPh sb="3" eb="4">
      <t>ツカ</t>
    </rPh>
    <rPh sb="11" eb="13">
      <t>ガツゴウ</t>
    </rPh>
    <phoneticPr fontId="8"/>
  </si>
  <si>
    <t>JOD131</t>
    <phoneticPr fontId="8"/>
  </si>
  <si>
    <t>JOD132</t>
  </si>
  <si>
    <t>10/10→10/18数伝</t>
    <rPh sb="11" eb="12">
      <t>スウ</t>
    </rPh>
    <rPh sb="12" eb="13">
      <t>デン</t>
    </rPh>
    <phoneticPr fontId="8"/>
  </si>
  <si>
    <t>JOD133</t>
    <phoneticPr fontId="8"/>
  </si>
  <si>
    <t>JOD134</t>
  </si>
  <si>
    <t>ベルーナ南條さんQC用sample</t>
    <rPh sb="4" eb="6">
      <t>ナンジョウ</t>
    </rPh>
    <rPh sb="10" eb="11">
      <t>ヨウ</t>
    </rPh>
    <phoneticPr fontId="8"/>
  </si>
  <si>
    <t>12/18～1/8</t>
    <phoneticPr fontId="8"/>
  </si>
  <si>
    <t>12/25～1/16</t>
    <phoneticPr fontId="8"/>
  </si>
  <si>
    <t>東北サンネット2025年1月2回3色組（不透明袋）￥3990</t>
    <rPh sb="0" eb="2">
      <t>トウホク</t>
    </rPh>
    <rPh sb="11" eb="12">
      <t>ネン</t>
    </rPh>
    <rPh sb="13" eb="14">
      <t>ガツ</t>
    </rPh>
    <rPh sb="15" eb="16">
      <t>カイ</t>
    </rPh>
    <rPh sb="17" eb="19">
      <t>ショククミ</t>
    </rPh>
    <rPh sb="20" eb="24">
      <t>フトウメイフクロ</t>
    </rPh>
    <phoneticPr fontId="8"/>
  </si>
  <si>
    <t>コープ北陸2025年1月2回3色組（不透明袋）￥3990サクラマチ</t>
    <rPh sb="3" eb="5">
      <t>ホクリク</t>
    </rPh>
    <rPh sb="9" eb="10">
      <t>ネン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</si>
  <si>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毎日が発見3月号</t>
    <rPh sb="0" eb="2">
      <t>マイニチ</t>
    </rPh>
    <rPh sb="3" eb="5">
      <t>ハッケン</t>
    </rPh>
    <rPh sb="6" eb="8">
      <t>ガツゴウ</t>
    </rPh>
    <phoneticPr fontId="8"/>
  </si>
  <si>
    <t>2/1～5/15</t>
    <phoneticPr fontId="8"/>
  </si>
  <si>
    <t>JOD135</t>
    <phoneticPr fontId="8"/>
  </si>
  <si>
    <t>JOD136</t>
    <phoneticPr fontId="8"/>
  </si>
  <si>
    <t>京都生協10月2回3色組（不透明袋）直送②</t>
    <rPh sb="0" eb="4">
      <t>キョウトセイキョウ</t>
    </rPh>
    <rPh sb="6" eb="7">
      <t>ガツ</t>
    </rPh>
    <rPh sb="8" eb="9">
      <t>カイ</t>
    </rPh>
    <rPh sb="10" eb="11">
      <t>ショク</t>
    </rPh>
    <rPh sb="11" eb="12">
      <t>クミ</t>
    </rPh>
    <rPh sb="18" eb="20">
      <t>チョクソウ</t>
    </rPh>
    <phoneticPr fontId="8"/>
  </si>
  <si>
    <t>くらしのお便り25年春号3色組（ベルーナ）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</si>
  <si>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JOD137</t>
    <phoneticPr fontId="8"/>
  </si>
  <si>
    <t>JOD138</t>
  </si>
  <si>
    <t>パルくらす11月1回3色組（不透明袋）\3680①</t>
    <phoneticPr fontId="8"/>
  </si>
  <si>
    <t>パルくらす2月1回3色組（不透明袋）\3680</t>
    <phoneticPr fontId="8"/>
  </si>
  <si>
    <t>点1/16、アバウト・初回1/28、最終2/3</t>
    <rPh sb="0" eb="1">
      <t>テン</t>
    </rPh>
    <rPh sb="11" eb="13">
      <t>ショカイ</t>
    </rPh>
    <rPh sb="18" eb="20">
      <t>サイシュウ</t>
    </rPh>
    <phoneticPr fontId="8"/>
  </si>
  <si>
    <t>ロイヤルステージ返品</t>
    <rPh sb="8" eb="10">
      <t>ヘンピン</t>
    </rPh>
    <phoneticPr fontId="4"/>
  </si>
  <si>
    <t>コープさっぽろ1月2回（不透明袋）</t>
    <rPh sb="8" eb="9">
      <t>ガツ</t>
    </rPh>
    <rPh sb="10" eb="11">
      <t>カイ</t>
    </rPh>
    <rPh sb="12" eb="16">
      <t>フトウメイフクロ</t>
    </rPh>
    <phoneticPr fontId="8"/>
  </si>
  <si>
    <t>コープ東北サンネット11月2回3色組（不透明袋）3990円①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8" eb="29">
      <t>エン</t>
    </rPh>
    <phoneticPr fontId="8"/>
  </si>
  <si>
    <t>パルくらす11月1回3色組（不透明袋）\3680②</t>
    <phoneticPr fontId="8"/>
  </si>
  <si>
    <t>ニッセン24初冬号アトランダム3色組差分予測</t>
    <rPh sb="6" eb="8">
      <t>ショトウ</t>
    </rPh>
    <rPh sb="8" eb="9">
      <t>ゴウ</t>
    </rPh>
    <rPh sb="16" eb="17">
      <t>ショク</t>
    </rPh>
    <rPh sb="17" eb="18">
      <t>クミ</t>
    </rPh>
    <rPh sb="18" eb="22">
      <t>サブンヨソク</t>
    </rPh>
    <phoneticPr fontId="8"/>
  </si>
  <si>
    <t>ハルメク・アルファ2431差分予測</t>
    <rPh sb="13" eb="17">
      <t>サブンヨソク</t>
    </rPh>
    <phoneticPr fontId="8"/>
  </si>
  <si>
    <t>追加　先入れ分差引</t>
    <rPh sb="0" eb="2">
      <t>ツイカ</t>
    </rPh>
    <rPh sb="3" eb="5">
      <t>サキイ</t>
    </rPh>
    <rPh sb="6" eb="7">
      <t>ブン</t>
    </rPh>
    <rPh sb="7" eb="9">
      <t>サシヒキ</t>
    </rPh>
    <phoneticPr fontId="4"/>
  </si>
  <si>
    <t>ロイヤルステージ1月号3Ｐ¥4500</t>
    <rPh sb="9" eb="11">
      <t>ガツゴウ</t>
    </rPh>
    <phoneticPr fontId="8"/>
  </si>
  <si>
    <t>1/6～2/19</t>
    <phoneticPr fontId="8"/>
  </si>
  <si>
    <t>JODアクセス7006/3P¥3990</t>
    <phoneticPr fontId="8"/>
  </si>
  <si>
    <t>1/15～</t>
    <phoneticPr fontId="8"/>
  </si>
  <si>
    <t>JOD139</t>
    <phoneticPr fontId="8"/>
  </si>
  <si>
    <t>JOD140</t>
    <phoneticPr fontId="8"/>
  </si>
  <si>
    <t>コープ東北サンネット11月2回3色組（不透明袋）3990円②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8" eb="29">
      <t>エン</t>
    </rPh>
    <phoneticPr fontId="8"/>
  </si>
  <si>
    <t>IEI使ってヨカッタ11月号3P￥4500①</t>
    <rPh sb="3" eb="4">
      <t>ツカ</t>
    </rPh>
    <rPh sb="12" eb="14">
      <t>ガツゴウ</t>
    </rPh>
    <phoneticPr fontId="8"/>
  </si>
  <si>
    <t>JOD141</t>
    <phoneticPr fontId="8"/>
  </si>
  <si>
    <t>コープ東北サンネット11月2回3色組（不透明袋）3990円③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8" eb="29">
      <t>エン</t>
    </rPh>
    <phoneticPr fontId="8"/>
  </si>
  <si>
    <t>ハルメク・アルファ2431②</t>
    <phoneticPr fontId="8"/>
  </si>
  <si>
    <t>コープ東北サンネット11月2回3色組（不透明袋）3990円④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8" eb="29">
      <t>エン</t>
    </rPh>
    <phoneticPr fontId="8"/>
  </si>
  <si>
    <t>追加10/18入荷分</t>
    <rPh sb="0" eb="2">
      <t>ツイカ</t>
    </rPh>
    <rPh sb="7" eb="10">
      <t>ニュウカブン</t>
    </rPh>
    <phoneticPr fontId="4"/>
  </si>
  <si>
    <t>追加9/6入荷分</t>
    <rPh sb="0" eb="2">
      <t>ツイカ</t>
    </rPh>
    <rPh sb="5" eb="8">
      <t>ニュウカブン</t>
    </rPh>
    <phoneticPr fontId="4"/>
  </si>
  <si>
    <t>京都生協1月2回3色組（不透明袋）</t>
    <rPh sb="0" eb="4">
      <t>キョウトセイキョウ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</si>
  <si>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JOD142</t>
    <phoneticPr fontId="8"/>
  </si>
  <si>
    <t>JOD143</t>
    <phoneticPr fontId="8"/>
  </si>
  <si>
    <t>ロイヤルステージ11月号3Ｐ¥4500①</t>
    <rPh sb="10" eb="12">
      <t>ガツゴウ</t>
    </rPh>
    <phoneticPr fontId="8"/>
  </si>
  <si>
    <t>JOD144</t>
    <phoneticPr fontId="8"/>
  </si>
  <si>
    <t>東都生協11月3回3色組（不透明袋）4500円①</t>
    <rPh sb="0" eb="2">
      <t>トウト</t>
    </rPh>
    <rPh sb="2" eb="4">
      <t>セイキョウ</t>
    </rPh>
    <rPh sb="6" eb="7">
      <t>ガツ</t>
    </rPh>
    <rPh sb="8" eb="9">
      <t>カイ</t>
    </rPh>
    <rPh sb="10" eb="12">
      <t>ショククミ</t>
    </rPh>
    <rPh sb="13" eb="17">
      <t>フトウメイフクロ</t>
    </rPh>
    <rPh sb="22" eb="23">
      <t>エン</t>
    </rPh>
    <phoneticPr fontId="8"/>
  </si>
  <si>
    <t>JOD145</t>
    <phoneticPr fontId="8"/>
  </si>
  <si>
    <t>JOD146</t>
    <phoneticPr fontId="8"/>
  </si>
  <si>
    <t>本番発行2/26</t>
    <rPh sb="0" eb="4">
      <t>ホンバンハッコウ</t>
    </rPh>
    <phoneticPr fontId="8"/>
  </si>
  <si>
    <t>くらしのお便り25年春号3色組（ベルーナ）初回</t>
    <rPh sb="5" eb="6">
      <t>タヨ</t>
    </rPh>
    <rPh sb="9" eb="10">
      <t>ネン</t>
    </rPh>
    <rPh sb="10" eb="12">
      <t>ハルゴウ</t>
    </rPh>
    <rPh sb="13" eb="15">
      <t>ショククミ</t>
    </rPh>
    <rPh sb="21" eb="23">
      <t>ショカイ</t>
    </rPh>
    <phoneticPr fontId="8"/>
  </si>
  <si>
    <t>JOD147</t>
    <phoneticPr fontId="8"/>
  </si>
  <si>
    <t>内、新ロット分</t>
    <rPh sb="0" eb="1">
      <t>ウチ</t>
    </rPh>
    <rPh sb="2" eb="3">
      <t>シン</t>
    </rPh>
    <rPh sb="6" eb="7">
      <t>ブン</t>
    </rPh>
    <phoneticPr fontId="8"/>
  </si>
  <si>
    <t>JOD148</t>
    <phoneticPr fontId="8"/>
  </si>
  <si>
    <t>IEI使ってヨカッタ11月号3P￥4500②</t>
    <rPh sb="3" eb="4">
      <t>ツカ</t>
    </rPh>
    <rPh sb="12" eb="14">
      <t>ガツゴウ</t>
    </rPh>
    <phoneticPr fontId="8"/>
  </si>
  <si>
    <t>JOD149</t>
    <phoneticPr fontId="8"/>
  </si>
  <si>
    <t>JOD150</t>
    <phoneticPr fontId="8"/>
  </si>
  <si>
    <t>毎日が発見11月号3Ｐ¥4500②</t>
    <rPh sb="0" eb="2">
      <t>マイニチ</t>
    </rPh>
    <rPh sb="3" eb="5">
      <t>ハッケン</t>
    </rPh>
    <rPh sb="7" eb="9">
      <t>ガツゴウ</t>
    </rPh>
    <phoneticPr fontId="8"/>
  </si>
  <si>
    <t>ニッセン24初冬号アトランダム3色組②</t>
    <rPh sb="6" eb="8">
      <t>ショトウ</t>
    </rPh>
    <rPh sb="8" eb="9">
      <t>ゴウ</t>
    </rPh>
    <rPh sb="16" eb="17">
      <t>ショク</t>
    </rPh>
    <rPh sb="17" eb="18">
      <t>クミ</t>
    </rPh>
    <phoneticPr fontId="8"/>
  </si>
  <si>
    <t>JOD151</t>
    <phoneticPr fontId="8"/>
  </si>
  <si>
    <t>コープしが1月3回3色組（不透明袋）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</si>
  <si>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JOD152</t>
  </si>
  <si>
    <t>はぴねすくらぶ12月号3色組①</t>
    <rPh sb="9" eb="11">
      <t>ガツゴウ</t>
    </rPh>
    <rPh sb="12" eb="14">
      <t>ショククミ</t>
    </rPh>
    <phoneticPr fontId="8"/>
  </si>
  <si>
    <t>JOD153</t>
    <phoneticPr fontId="8"/>
  </si>
  <si>
    <t>かりん</t>
    <phoneticPr fontId="8"/>
  </si>
  <si>
    <t>過入荷分</t>
    <rPh sb="0" eb="3">
      <t>カニュウカ</t>
    </rPh>
    <rPh sb="3" eb="4">
      <t>ブン</t>
    </rPh>
    <phoneticPr fontId="4"/>
  </si>
  <si>
    <t>追加　先入れ分2-1</t>
    <rPh sb="0" eb="2">
      <t>ツイカ</t>
    </rPh>
    <rPh sb="3" eb="5">
      <t>サキイ</t>
    </rPh>
    <rPh sb="6" eb="7">
      <t>ブン</t>
    </rPh>
    <phoneticPr fontId="4"/>
  </si>
  <si>
    <t>大阪いずみ生協2月2回3色組（不透明袋）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</si>
  <si>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2/5～24</t>
    <phoneticPr fontId="8"/>
  </si>
  <si>
    <t>東北サンネット2月3回3色組（不透明袋）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</si>
  <si>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2/5～19</t>
    <phoneticPr fontId="8"/>
  </si>
  <si>
    <t>JOD154</t>
  </si>
  <si>
    <t>パルくらす2月1回差分予測</t>
    <rPh sb="9" eb="13">
      <t>サブンヨソク</t>
    </rPh>
    <phoneticPr fontId="8"/>
  </si>
  <si>
    <t>夢販</t>
    <rPh sb="0" eb="2">
      <t>ユメハン</t>
    </rPh>
    <phoneticPr fontId="8"/>
  </si>
  <si>
    <t>JOD155</t>
    <phoneticPr fontId="8"/>
  </si>
  <si>
    <t>電話注文</t>
    <rPh sb="0" eb="4">
      <t>デンワチュウモン</t>
    </rPh>
    <phoneticPr fontId="8"/>
  </si>
  <si>
    <t>JOD156</t>
    <phoneticPr fontId="8"/>
  </si>
  <si>
    <t>JODメルシー224/3P¥3990</t>
    <phoneticPr fontId="8"/>
  </si>
  <si>
    <t>12/24～</t>
    <phoneticPr fontId="8"/>
  </si>
  <si>
    <t>JOD157</t>
  </si>
  <si>
    <t>ニッセン25初春号アトランダム3色組①</t>
    <rPh sb="6" eb="8">
      <t>ショシュン</t>
    </rPh>
    <rPh sb="8" eb="9">
      <t>ゴウ</t>
    </rPh>
    <rPh sb="16" eb="17">
      <t>ショク</t>
    </rPh>
    <rPh sb="17" eb="18">
      <t>クミ</t>
    </rPh>
    <phoneticPr fontId="8"/>
  </si>
  <si>
    <t>JOD158</t>
    <phoneticPr fontId="8"/>
  </si>
  <si>
    <t>IEIヴィヴァン同梱カタログ1月号3P￥4500</t>
    <rPh sb="8" eb="10">
      <t>ドウコン</t>
    </rPh>
    <rPh sb="15" eb="17">
      <t>ガツゴウ</t>
    </rPh>
    <phoneticPr fontId="8"/>
  </si>
  <si>
    <t>1/14～</t>
    <phoneticPr fontId="8"/>
  </si>
  <si>
    <t>ことせ2499（ハルメクアルファ）3色組￥4390</t>
    <rPh sb="18" eb="20">
      <t>ショククミ</t>
    </rPh>
    <phoneticPr fontId="8"/>
  </si>
  <si>
    <t>1/31～4/30</t>
    <phoneticPr fontId="8"/>
  </si>
  <si>
    <t>JOD159</t>
    <phoneticPr fontId="8"/>
  </si>
  <si>
    <t>夢販</t>
    <rPh sb="0" eb="2">
      <t>ユメハン</t>
    </rPh>
    <phoneticPr fontId="8"/>
  </si>
  <si>
    <t>JOD160</t>
    <phoneticPr fontId="8"/>
  </si>
  <si>
    <t>IEI使ってヨカッタ12月号3P￥4500①</t>
    <rPh sb="3" eb="4">
      <t>ツカ</t>
    </rPh>
    <rPh sb="12" eb="14">
      <t>ガツゴウ</t>
    </rPh>
    <phoneticPr fontId="8"/>
  </si>
  <si>
    <t>JOD161</t>
  </si>
  <si>
    <t>毎日が発見11月号3Ｐ¥4500③</t>
    <rPh sb="0" eb="2">
      <t>マイニチ</t>
    </rPh>
    <rPh sb="3" eb="5">
      <t>ハッケン</t>
    </rPh>
    <rPh sb="7" eb="9">
      <t>ガツゴウ</t>
    </rPh>
    <phoneticPr fontId="8"/>
  </si>
  <si>
    <t>JOD特別号9519/3P¥3990</t>
    <rPh sb="3" eb="6">
      <t>トクベツゴウ</t>
    </rPh>
    <phoneticPr fontId="8"/>
  </si>
  <si>
    <t>1/29～</t>
    <phoneticPr fontId="8"/>
  </si>
  <si>
    <t>JOD162</t>
    <phoneticPr fontId="8"/>
  </si>
  <si>
    <t>こうち生協12月2回3色組（不透明袋）①</t>
    <rPh sb="3" eb="5">
      <t>セイキョウ</t>
    </rPh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</si>
  <si>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JOD163</t>
  </si>
  <si>
    <t>ベルーナsample（くらしのお便り）</t>
    <rPh sb="16" eb="17">
      <t>タヨ</t>
    </rPh>
    <phoneticPr fontId="8"/>
  </si>
  <si>
    <t>パルくらす12月3回3色組（不透明袋）\3980①</t>
    <phoneticPr fontId="8"/>
  </si>
  <si>
    <t>毎日が発見11月号3Ｐ¥4500④</t>
    <rPh sb="0" eb="2">
      <t>マイニチ</t>
    </rPh>
    <rPh sb="3" eb="5">
      <t>ハッケン</t>
    </rPh>
    <rPh sb="7" eb="9">
      <t>ガツゴウ</t>
    </rPh>
    <phoneticPr fontId="8"/>
  </si>
  <si>
    <t>パルくらす12月3回3色組（不透明袋）\3980②</t>
    <phoneticPr fontId="8"/>
  </si>
  <si>
    <t>はぴねすくらぶ12月号3色組②</t>
  </si>
  <si>
    <t>ロイヤルステージ12月号3Ｐ¥4500①</t>
    <rPh sb="10" eb="12">
      <t>ガツゴウ</t>
    </rPh>
    <phoneticPr fontId="8"/>
  </si>
  <si>
    <t>JOD165</t>
    <phoneticPr fontId="8"/>
  </si>
  <si>
    <t>ハルメク・アルファ2441</t>
    <phoneticPr fontId="8"/>
  </si>
  <si>
    <t>11/22～2/28</t>
    <phoneticPr fontId="8"/>
  </si>
  <si>
    <t>ハルメク・アルファ2441①</t>
    <phoneticPr fontId="8"/>
  </si>
  <si>
    <t>ハルメク・アルファ2441②</t>
    <phoneticPr fontId="8"/>
  </si>
  <si>
    <t>ハルメク・アルファ2441③</t>
    <phoneticPr fontId="8"/>
  </si>
  <si>
    <t>ハルメク・アルファ2441④</t>
    <phoneticPr fontId="8"/>
  </si>
  <si>
    <t>ハルメク・アルファ2441⑤</t>
    <phoneticPr fontId="8"/>
  </si>
  <si>
    <t>ハルメク・アルファ2441⑥</t>
    <phoneticPr fontId="8"/>
  </si>
  <si>
    <t>ハルメク・アルファ2441⑦</t>
    <phoneticPr fontId="8"/>
  </si>
  <si>
    <t>JOD166</t>
    <phoneticPr fontId="8"/>
  </si>
  <si>
    <t>はぴねすくらぶ12月号3色組③</t>
    <phoneticPr fontId="8"/>
  </si>
  <si>
    <t>2024/12/13数伝</t>
    <rPh sb="10" eb="11">
      <t>スウ</t>
    </rPh>
    <rPh sb="11" eb="12">
      <t>デン</t>
    </rPh>
    <phoneticPr fontId="8"/>
  </si>
  <si>
    <t>JOD167</t>
    <phoneticPr fontId="8"/>
  </si>
  <si>
    <t>毎日が発見2025年6月号3色組</t>
    <rPh sb="0" eb="2">
      <t>マイニチ</t>
    </rPh>
    <rPh sb="3" eb="5">
      <t>ハッケン</t>
    </rPh>
    <rPh sb="9" eb="10">
      <t>ネン</t>
    </rPh>
    <rPh sb="11" eb="13">
      <t>ガツゴウ</t>
    </rPh>
    <rPh sb="14" eb="16">
      <t>ショククミ</t>
    </rPh>
    <phoneticPr fontId="8"/>
  </si>
  <si>
    <t>5/1～8/15</t>
    <phoneticPr fontId="8"/>
  </si>
  <si>
    <t>ことせ2509（ハルメクアルファ）3色組￥4390</t>
    <rPh sb="18" eb="20">
      <t>ショククミ</t>
    </rPh>
    <phoneticPr fontId="8"/>
  </si>
  <si>
    <t>2/28～5/31</t>
    <phoneticPr fontId="8"/>
  </si>
  <si>
    <t>ロイヤルステージ12月号3Ｐ¥4500②</t>
    <rPh sb="10" eb="12">
      <t>ガツゴウ</t>
    </rPh>
    <phoneticPr fontId="8"/>
  </si>
  <si>
    <t>はぴねすくらぶ12月号3色組④</t>
    <phoneticPr fontId="8"/>
  </si>
  <si>
    <t>ハルメク・アルファ2441⑧</t>
    <phoneticPr fontId="8"/>
  </si>
  <si>
    <t>IEI使ってヨカッタ1月号3P￥4500①</t>
    <rPh sb="3" eb="4">
      <t>ツカ</t>
    </rPh>
    <rPh sb="11" eb="13">
      <t>ガツゴウ</t>
    </rPh>
    <phoneticPr fontId="8"/>
  </si>
  <si>
    <t>JOD168</t>
    <phoneticPr fontId="8"/>
  </si>
  <si>
    <t>東北サンネット2025年1月2回3色組（不透明袋）￥3990①</t>
    <rPh sb="0" eb="2">
      <t>トウホク</t>
    </rPh>
    <rPh sb="11" eb="12">
      <t>ネン</t>
    </rPh>
    <rPh sb="13" eb="14">
      <t>ガツ</t>
    </rPh>
    <rPh sb="15" eb="16">
      <t>カイ</t>
    </rPh>
    <rPh sb="17" eb="19">
      <t>ショククミ</t>
    </rPh>
    <rPh sb="20" eb="24">
      <t>フトウメイフクロ</t>
    </rPh>
    <phoneticPr fontId="8"/>
  </si>
  <si>
    <t>JOD169</t>
  </si>
  <si>
    <t>JOD170</t>
    <phoneticPr fontId="8"/>
  </si>
  <si>
    <t>パルくらす4月1回3色組差分予測</t>
    <rPh sb="6" eb="7">
      <t>ガツ</t>
    </rPh>
    <rPh sb="8" eb="9">
      <t>カイ</t>
    </rPh>
    <rPh sb="12" eb="16">
      <t>サブンヨソク</t>
    </rPh>
    <phoneticPr fontId="8"/>
  </si>
  <si>
    <t>点3/13、アバウト・初回3/25、最終3/31</t>
    <rPh sb="0" eb="1">
      <t>テン</t>
    </rPh>
    <rPh sb="11" eb="13">
      <t>ショカイ</t>
    </rPh>
    <rPh sb="18" eb="20">
      <t>サイシュウ</t>
    </rPh>
    <phoneticPr fontId="8"/>
  </si>
  <si>
    <t>パルくらす4月1回3色組（不透明袋）\3980</t>
    <rPh sb="6" eb="7">
      <t>ガツ</t>
    </rPh>
    <rPh sb="8" eb="9">
      <t>カイ</t>
    </rPh>
    <phoneticPr fontId="8"/>
  </si>
  <si>
    <t>京都生協3月1回3色組（不透明袋）</t>
    <rPh sb="0" eb="4">
      <t>キョウトセイキョウ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</si>
  <si>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1/末締め、2/末支払い</t>
    <rPh sb="2" eb="3">
      <t>マツ</t>
    </rPh>
    <rPh sb="3" eb="4">
      <t>シ</t>
    </rPh>
    <rPh sb="8" eb="9">
      <t>マツ</t>
    </rPh>
    <rPh sb="9" eb="11">
      <t>シハラ</t>
    </rPh>
    <phoneticPr fontId="8"/>
  </si>
  <si>
    <t>JOD171</t>
    <phoneticPr fontId="8"/>
  </si>
  <si>
    <t>コープさっぽろ1月2回（不透明袋）①</t>
    <rPh sb="8" eb="9">
      <t>ガツ</t>
    </rPh>
    <rPh sb="10" eb="11">
      <t>カイ</t>
    </rPh>
    <rPh sb="12" eb="16">
      <t>フトウメイフクロ</t>
    </rPh>
    <phoneticPr fontId="8"/>
  </si>
  <si>
    <t>コープ北陸2025年1月2回3色組（不透明袋）￥3990サクラマチ①</t>
    <rPh sb="3" eb="5">
      <t>ホクリク</t>
    </rPh>
    <rPh sb="9" eb="10">
      <t>ネン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</si>
  <si>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JOD172</t>
    <phoneticPr fontId="8"/>
  </si>
  <si>
    <t>ロイヤルステージ12月号3Ｐ¥4500③</t>
    <rPh sb="10" eb="12">
      <t>ガツゴウ</t>
    </rPh>
    <phoneticPr fontId="8"/>
  </si>
  <si>
    <t>コープ沖縄2月3回3色組（不透明袋）</t>
    <rPh sb="3" eb="5">
      <t>オキナワ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</si>
  <si>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2/5～21</t>
    <phoneticPr fontId="8"/>
  </si>
  <si>
    <t>2024/12/26数　ウエストゴム修正分</t>
    <rPh sb="10" eb="11">
      <t>スウ</t>
    </rPh>
    <rPh sb="18" eb="21">
      <t>シュウセイブン</t>
    </rPh>
    <phoneticPr fontId="8"/>
  </si>
  <si>
    <t>JODメルシー0212/3P¥3990</t>
    <phoneticPr fontId="8"/>
  </si>
  <si>
    <t>2/12～</t>
    <phoneticPr fontId="8"/>
  </si>
  <si>
    <t>JOD173</t>
  </si>
  <si>
    <t>東北サンネット2025年1月2回3色組（不透明袋）￥3990②</t>
    <rPh sb="0" eb="2">
      <t>トウホク</t>
    </rPh>
    <rPh sb="11" eb="12">
      <t>ネン</t>
    </rPh>
    <rPh sb="13" eb="14">
      <t>ガツ</t>
    </rPh>
    <rPh sb="15" eb="16">
      <t>カイ</t>
    </rPh>
    <rPh sb="17" eb="19">
      <t>ショククミ</t>
    </rPh>
    <rPh sb="20" eb="24">
      <t>フトウメイフクロ</t>
    </rPh>
    <phoneticPr fontId="8"/>
  </si>
  <si>
    <t>2/19～3/7</t>
    <phoneticPr fontId="8"/>
  </si>
  <si>
    <t>はぴねすくらぶ12月号3色組⑤</t>
    <phoneticPr fontId="8"/>
  </si>
  <si>
    <t>IEI使ってヨカッタ2月号3P￥4500</t>
    <rPh sb="3" eb="4">
      <t>ツカ</t>
    </rPh>
    <rPh sb="11" eb="13">
      <t>ガツゴウ</t>
    </rPh>
    <phoneticPr fontId="8"/>
  </si>
  <si>
    <t>2/10～</t>
    <phoneticPr fontId="8"/>
  </si>
  <si>
    <t>ハルメクアルファ返品</t>
    <rPh sb="8" eb="10">
      <t>ヘンピン</t>
    </rPh>
    <phoneticPr fontId="4"/>
  </si>
  <si>
    <t>JOD174</t>
    <phoneticPr fontId="8"/>
  </si>
  <si>
    <t>毎日が発見11月号3Ｐ¥4500⑤</t>
    <rPh sb="0" eb="2">
      <t>マイニチ</t>
    </rPh>
    <rPh sb="3" eb="5">
      <t>ハッケン</t>
    </rPh>
    <rPh sb="7" eb="9">
      <t>ガツゴウ</t>
    </rPh>
    <phoneticPr fontId="8"/>
  </si>
  <si>
    <t>コープ北陸2025年1月2回3色組（不透明袋）￥3990サクラマチ②</t>
    <rPh sb="3" eb="5">
      <t>ホクリク</t>
    </rPh>
    <rPh sb="9" eb="10">
      <t>ネン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</si>
  <si>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JOD175</t>
    <phoneticPr fontId="8"/>
  </si>
  <si>
    <t>JOD176</t>
    <phoneticPr fontId="8"/>
  </si>
  <si>
    <t>京都生協1月2回3色組（不透明袋）①</t>
    <rPh sb="0" eb="4">
      <t>キョウトセイキョウ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</si>
  <si>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はぴねすくらぶ12月号3色組⑥</t>
    <phoneticPr fontId="8"/>
  </si>
  <si>
    <t>ロイヤルステージ1月号3Ｐ¥4500①</t>
    <rPh sb="9" eb="11">
      <t>ガツゴウ</t>
    </rPh>
    <phoneticPr fontId="8"/>
  </si>
  <si>
    <t>夢販</t>
    <rPh sb="0" eb="2">
      <t>ユメハン</t>
    </rPh>
    <phoneticPr fontId="8"/>
  </si>
  <si>
    <t>毎日が発見11月号3Ｐ¥4500⑥</t>
    <rPh sb="0" eb="2">
      <t>マイニチ</t>
    </rPh>
    <rPh sb="3" eb="5">
      <t>ハッケン</t>
    </rPh>
    <rPh sb="7" eb="9">
      <t>ガツゴウ</t>
    </rPh>
    <phoneticPr fontId="8"/>
  </si>
  <si>
    <t>JOD177</t>
    <phoneticPr fontId="8"/>
  </si>
  <si>
    <t>毎日が発見3月号①</t>
    <rPh sb="0" eb="2">
      <t>マイニチ</t>
    </rPh>
    <rPh sb="3" eb="5">
      <t>ハッケン</t>
    </rPh>
    <rPh sb="6" eb="8">
      <t>ガツゴウ</t>
    </rPh>
    <phoneticPr fontId="8"/>
  </si>
  <si>
    <t>IEI使ってヨカッタ1月号3P￥4500②</t>
    <rPh sb="3" eb="4">
      <t>ツカ</t>
    </rPh>
    <rPh sb="11" eb="13">
      <t>ガツゴウ</t>
    </rPh>
    <phoneticPr fontId="8"/>
  </si>
  <si>
    <t>JOD178</t>
    <phoneticPr fontId="8"/>
  </si>
  <si>
    <t>ハルメク・アルファ2441⑨</t>
    <phoneticPr fontId="8"/>
  </si>
  <si>
    <t>東北サンネット4月1回3色組（不透明袋）￥3990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</si>
  <si>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東都生協3月2回（不透明袋）￥3990</t>
    <rPh sb="0" eb="4">
      <t>トウトセイキョウ</t>
    </rPh>
    <rPh sb="5" eb="6">
      <t>ガツ</t>
    </rPh>
    <rPh sb="7" eb="8">
      <t>カイ</t>
    </rPh>
    <rPh sb="9" eb="13">
      <t>フトウメイフクロ</t>
    </rPh>
    <phoneticPr fontId="8"/>
  </si>
  <si>
    <t>2/26～3/12</t>
    <phoneticPr fontId="8"/>
  </si>
  <si>
    <t>JOD179</t>
    <phoneticPr fontId="8"/>
  </si>
  <si>
    <t>JOD180</t>
    <phoneticPr fontId="8"/>
  </si>
  <si>
    <t>コープしが1月3回3色組（不透明袋）①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</si>
  <si>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点2/28、アバウト3/18、本3/18～24</t>
    <rPh sb="0" eb="1">
      <t>テン</t>
    </rPh>
    <rPh sb="15" eb="16">
      <t>ホン</t>
    </rPh>
    <phoneticPr fontId="8"/>
  </si>
  <si>
    <t>コープきんき3月4回（不透明袋）</t>
    <rPh sb="7" eb="8">
      <t>ガツ</t>
    </rPh>
    <rPh sb="9" eb="10">
      <t>カイ</t>
    </rPh>
    <phoneticPr fontId="8"/>
  </si>
  <si>
    <t>はぴねすくらぶ12月号3色組⑦</t>
    <phoneticPr fontId="8"/>
  </si>
  <si>
    <t>ハルメク・アルファ2441⑩</t>
    <phoneticPr fontId="8"/>
  </si>
  <si>
    <t>JODメルシー0303/3P¥3990</t>
    <phoneticPr fontId="8"/>
  </si>
  <si>
    <t>3/3～</t>
    <phoneticPr fontId="8"/>
  </si>
  <si>
    <t>JOD181</t>
    <phoneticPr fontId="8"/>
  </si>
  <si>
    <t>追加　　2-2</t>
    <rPh sb="0" eb="2">
      <t>ツイカ</t>
    </rPh>
    <phoneticPr fontId="4"/>
  </si>
  <si>
    <t>追加　2-1</t>
    <rPh sb="0" eb="2">
      <t>ツイカ</t>
    </rPh>
    <phoneticPr fontId="4"/>
  </si>
  <si>
    <t>JOD182</t>
  </si>
  <si>
    <t>はぴねすくらぶ12月号3色組⑧</t>
    <phoneticPr fontId="8"/>
  </si>
  <si>
    <t>JOD183</t>
    <phoneticPr fontId="8"/>
  </si>
  <si>
    <t>IEI使ってヨカッタ3月号3P￥4500</t>
    <rPh sb="3" eb="4">
      <t>ツカ</t>
    </rPh>
    <rPh sb="11" eb="13">
      <t>ガツゴウ</t>
    </rPh>
    <phoneticPr fontId="8"/>
  </si>
  <si>
    <t>3/10～</t>
    <phoneticPr fontId="8"/>
  </si>
  <si>
    <t>ロイヤルステージ1月号3Ｐ¥4500②</t>
    <rPh sb="9" eb="11">
      <t>ガツゴウ</t>
    </rPh>
    <phoneticPr fontId="8"/>
  </si>
  <si>
    <t>グリーンコープ51号3色組（不透明袋）￥3990（サクラマチ）</t>
    <rPh sb="9" eb="10">
      <t>ゴウ</t>
    </rPh>
    <rPh sb="11" eb="13">
      <t>ショククミ</t>
    </rPh>
    <rPh sb="14" eb="18">
      <t>フトウメイフクロ</t>
    </rPh>
    <phoneticPr fontId="8"/>
  </si>
  <si>
    <t>JOD特別号9525/3P¥3990</t>
    <rPh sb="3" eb="6">
      <t>トクベツゴウ</t>
    </rPh>
    <phoneticPr fontId="8"/>
  </si>
  <si>
    <t>JOD184</t>
    <phoneticPr fontId="8"/>
  </si>
  <si>
    <t>パルくらす2月1回3色組（不透明袋）\3680①</t>
    <phoneticPr fontId="8"/>
  </si>
  <si>
    <t>JOD185</t>
    <phoneticPr fontId="8"/>
  </si>
  <si>
    <t>パルくらす2月1回3色組（不透明袋）\3680②</t>
    <phoneticPr fontId="8"/>
  </si>
  <si>
    <t>はぴねすくらぶ12月号3色組⑨</t>
    <phoneticPr fontId="8"/>
  </si>
  <si>
    <t>JOD186</t>
    <phoneticPr fontId="8"/>
  </si>
  <si>
    <t>オバタ返品</t>
    <rPh sb="3" eb="5">
      <t>ヘンピン</t>
    </rPh>
    <phoneticPr fontId="4"/>
  </si>
  <si>
    <t>パルくらす2月1回3色組（不透明袋）\3680③</t>
    <phoneticPr fontId="8"/>
  </si>
  <si>
    <t>丸藤返品</t>
    <rPh sb="0" eb="4">
      <t>マルフジヘンピン</t>
    </rPh>
    <phoneticPr fontId="4"/>
  </si>
  <si>
    <t>ハルメク・アルファ2441⑪</t>
    <phoneticPr fontId="8"/>
  </si>
  <si>
    <t>JOD187</t>
    <phoneticPr fontId="8"/>
  </si>
  <si>
    <t>K-PORT</t>
    <phoneticPr fontId="8"/>
  </si>
  <si>
    <t>夢販移動</t>
    <rPh sb="0" eb="4">
      <t>ユメハンイドウ</t>
    </rPh>
    <phoneticPr fontId="4"/>
  </si>
  <si>
    <t>IEI使ってヨカッタ4月号</t>
    <rPh sb="3" eb="4">
      <t>ツカ</t>
    </rPh>
    <rPh sb="11" eb="13">
      <t>ガツゴウ</t>
    </rPh>
    <phoneticPr fontId="8"/>
  </si>
  <si>
    <t>4/14～</t>
    <phoneticPr fontId="8"/>
  </si>
  <si>
    <t>JOD188</t>
    <phoneticPr fontId="8"/>
  </si>
  <si>
    <t>大阪いずみ生協2月2回3色組（不透明袋）①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</si>
  <si>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ロイヤルステージ1月号3Ｐ¥4500③</t>
    <rPh sb="9" eb="11">
      <t>ガツゴウ</t>
    </rPh>
    <phoneticPr fontId="8"/>
  </si>
  <si>
    <t>ロイヤルステージ1月号3Ｐ¥4500④</t>
    <rPh sb="9" eb="11">
      <t>ガツゴウ</t>
    </rPh>
    <phoneticPr fontId="8"/>
  </si>
  <si>
    <t>JOD189</t>
    <phoneticPr fontId="8"/>
  </si>
  <si>
    <t>ハルメク・アルファ2441⑫</t>
    <phoneticPr fontId="8"/>
  </si>
  <si>
    <t>JOD190</t>
    <phoneticPr fontId="8"/>
  </si>
  <si>
    <t>はぴねすくらぶ12月号3色組⑩</t>
    <phoneticPr fontId="8"/>
  </si>
  <si>
    <t>大阪いずみ生協2月2回3色組（不透明袋）②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</si>
  <si>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JOD191</t>
    <phoneticPr fontId="8"/>
  </si>
  <si>
    <t>大阪いずみ生協2月2回3色組（不透明袋）③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</si>
  <si>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はぴねすくらぶ12月号3色組⑪</t>
    <phoneticPr fontId="8"/>
  </si>
  <si>
    <t>IEI使ってヨカッタ2月号3P￥4500①</t>
    <rPh sb="3" eb="4">
      <t>ツカ</t>
    </rPh>
    <rPh sb="11" eb="13">
      <t>ガツゴウ</t>
    </rPh>
    <phoneticPr fontId="8"/>
  </si>
  <si>
    <t>2025/2/3数伝</t>
    <rPh sb="8" eb="9">
      <t>スウ</t>
    </rPh>
    <rPh sb="9" eb="10">
      <t>デン</t>
    </rPh>
    <phoneticPr fontId="8"/>
  </si>
  <si>
    <t>JOD192</t>
    <phoneticPr fontId="8"/>
  </si>
  <si>
    <t>コープ沖縄2月3回3色組（不透明袋）①</t>
    <rPh sb="3" eb="5">
      <t>オキナワ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</si>
  <si>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ハルメク・アルファ2441⑬</t>
    <phoneticPr fontId="8"/>
  </si>
  <si>
    <t>夢販</t>
    <rPh sb="0" eb="2">
      <t>ユメハン</t>
    </rPh>
    <phoneticPr fontId="8"/>
  </si>
  <si>
    <t>東北サンネット2月3回3色組（不透明袋）①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</si>
  <si>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東北サンネット4月5回3色組（不透明袋）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</si>
  <si>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4/16～30</t>
    <phoneticPr fontId="8"/>
  </si>
  <si>
    <t>JOD193</t>
    <phoneticPr fontId="8"/>
  </si>
  <si>
    <t>東北サンネット2月3回3色組（不透明袋）②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</si>
  <si>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IEIヴィヴァン同梱4月号3P￥4500</t>
    <rPh sb="8" eb="10">
      <t>ドウコン</t>
    </rPh>
    <rPh sb="11" eb="13">
      <t>ガツゴウ</t>
    </rPh>
    <phoneticPr fontId="8"/>
  </si>
  <si>
    <t>東北サンネット2月3回3色組（不透明袋）③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</si>
  <si>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過入荷分</t>
    <rPh sb="0" eb="4">
      <t>カニュウカブン</t>
    </rPh>
    <phoneticPr fontId="4"/>
  </si>
  <si>
    <t>2/3入荷分</t>
    <rPh sb="3" eb="5">
      <t>ニュウカ</t>
    </rPh>
    <rPh sb="5" eb="6">
      <t>ブン</t>
    </rPh>
    <phoneticPr fontId="8"/>
  </si>
  <si>
    <t>JOD194</t>
    <phoneticPr fontId="8"/>
  </si>
  <si>
    <t>東北サンネット2月3回3色組（不透明袋）④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</si>
  <si>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JOD195</t>
    <phoneticPr fontId="8"/>
  </si>
  <si>
    <t>毎日が発見3月号②</t>
    <rPh sb="0" eb="2">
      <t>マイニチ</t>
    </rPh>
    <rPh sb="3" eb="5">
      <t>ハッケン</t>
    </rPh>
    <rPh sb="6" eb="8">
      <t>ガツゴウ</t>
    </rPh>
    <phoneticPr fontId="8"/>
  </si>
  <si>
    <t>JOD196</t>
  </si>
  <si>
    <t>ニッセン25初春号アトランダム3色組②</t>
    <rPh sb="6" eb="8">
      <t>ショシュン</t>
    </rPh>
    <rPh sb="8" eb="9">
      <t>ゴウ</t>
    </rPh>
    <rPh sb="16" eb="17">
      <t>ショク</t>
    </rPh>
    <rPh sb="17" eb="18">
      <t>クミ</t>
    </rPh>
    <phoneticPr fontId="8"/>
  </si>
  <si>
    <t>再生</t>
    <rPh sb="0" eb="2">
      <t>サイセイ</t>
    </rPh>
    <phoneticPr fontId="4"/>
  </si>
  <si>
    <t>JOD197</t>
    <phoneticPr fontId="8"/>
  </si>
  <si>
    <t>JOD198</t>
    <phoneticPr fontId="8"/>
  </si>
  <si>
    <t>ロイヤルステージ1月号3Ｐ¥4500⑤</t>
    <rPh sb="9" eb="11">
      <t>ガツゴウ</t>
    </rPh>
    <phoneticPr fontId="8"/>
  </si>
  <si>
    <t>ニッセン25初夏号アトランダム3色組①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</si>
  <si>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毎日が発見3月号③</t>
    <rPh sb="0" eb="2">
      <t>マイニチ</t>
    </rPh>
    <rPh sb="3" eb="5">
      <t>ハッケン</t>
    </rPh>
    <rPh sb="6" eb="8">
      <t>ガツゴウ</t>
    </rPh>
    <phoneticPr fontId="8"/>
  </si>
  <si>
    <t>JOD199</t>
    <phoneticPr fontId="8"/>
  </si>
  <si>
    <t>ハルメク・アルファ2441⑭</t>
    <phoneticPr fontId="8"/>
  </si>
  <si>
    <t>3/19～4/2</t>
    <phoneticPr fontId="8"/>
  </si>
  <si>
    <t>JOD200</t>
  </si>
  <si>
    <t>東都生協3月2回（不透明袋）￥3990①</t>
    <rPh sb="0" eb="4">
      <t>トウトセイキョウ</t>
    </rPh>
    <rPh sb="5" eb="6">
      <t>ガツ</t>
    </rPh>
    <rPh sb="7" eb="8">
      <t>カイ</t>
    </rPh>
    <rPh sb="9" eb="13">
      <t>フトウメイフクロ</t>
    </rPh>
    <phoneticPr fontId="8"/>
  </si>
  <si>
    <t>コープきんき3月4回（不透明袋）①</t>
    <rPh sb="7" eb="8">
      <t>ガツ</t>
    </rPh>
    <rPh sb="9" eb="10">
      <t>カイ</t>
    </rPh>
    <phoneticPr fontId="8"/>
  </si>
  <si>
    <t>JOD201</t>
    <phoneticPr fontId="8"/>
  </si>
  <si>
    <t>京都生協3月1回3色組（不透明袋）①</t>
    <rPh sb="0" eb="4">
      <t>キョウトセイキョウ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</si>
  <si>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JOD202</t>
    <phoneticPr fontId="8"/>
  </si>
  <si>
    <t>ロイヤルステージ1月号3Ｐ¥4500⑥</t>
    <rPh sb="9" eb="11">
      <t>ガツゴウ</t>
    </rPh>
    <phoneticPr fontId="8"/>
  </si>
  <si>
    <t>ユーコープ5月3回3色組（不透明袋）</t>
    <rPh sb="6" eb="7">
      <t>ガツ</t>
    </rPh>
    <rPh sb="8" eb="9">
      <t>カイ</t>
    </rPh>
    <phoneticPr fontId="8"/>
  </si>
  <si>
    <t>5/7～21</t>
    <phoneticPr fontId="8"/>
  </si>
  <si>
    <t>IEI使ってヨカッタ3月号3P￥4500①</t>
    <rPh sb="3" eb="4">
      <t>ツカ</t>
    </rPh>
    <rPh sb="11" eb="13">
      <t>ガツゴウ</t>
    </rPh>
    <phoneticPr fontId="8"/>
  </si>
  <si>
    <t>東都生協3月2回（不透明袋）￥3990②</t>
    <rPh sb="0" eb="4">
      <t>トウトセイキョウ</t>
    </rPh>
    <rPh sb="5" eb="6">
      <t>ガツ</t>
    </rPh>
    <rPh sb="7" eb="8">
      <t>カイ</t>
    </rPh>
    <rPh sb="9" eb="13">
      <t>フトウメイフクロ</t>
    </rPh>
    <phoneticPr fontId="8"/>
  </si>
  <si>
    <t>グリーンコープ51号3色組（不透明袋）￥3990（サクラマチ）①</t>
    <rPh sb="9" eb="10">
      <t>ゴウ</t>
    </rPh>
    <rPh sb="11" eb="13">
      <t>ショククミ</t>
    </rPh>
    <rPh sb="14" eb="18">
      <t>フトウメイフクロ</t>
    </rPh>
    <phoneticPr fontId="8"/>
  </si>
  <si>
    <t>くらしのお便り25年春号3色組（ベルーナ）②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</si>
  <si>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IEI使ってヨカッタ5月号</t>
    <rPh sb="3" eb="4">
      <t>ツカ</t>
    </rPh>
    <rPh sb="11" eb="13">
      <t>ガツゴウ</t>
    </rPh>
    <phoneticPr fontId="8"/>
  </si>
  <si>
    <t>5/12～</t>
    <phoneticPr fontId="8"/>
  </si>
  <si>
    <t>JOD203</t>
    <phoneticPr fontId="8"/>
  </si>
  <si>
    <t>東都生協3月2回（不透明袋）￥3990③</t>
    <rPh sb="0" eb="4">
      <t>トウトセイキョウ</t>
    </rPh>
    <rPh sb="5" eb="6">
      <t>ガツ</t>
    </rPh>
    <rPh sb="7" eb="8">
      <t>カイ</t>
    </rPh>
    <rPh sb="9" eb="13">
      <t>フトウメイフクロ</t>
    </rPh>
    <phoneticPr fontId="8"/>
  </si>
  <si>
    <t>5/30～8/31</t>
    <phoneticPr fontId="8"/>
  </si>
  <si>
    <t>電話注文</t>
    <rPh sb="0" eb="4">
      <t>デンワチュウモン</t>
    </rPh>
    <phoneticPr fontId="8"/>
  </si>
  <si>
    <t>東都生協3月2回（不透明袋）￥3990④</t>
    <rPh sb="0" eb="4">
      <t>トウトセイキョウ</t>
    </rPh>
    <rPh sb="5" eb="6">
      <t>ガツ</t>
    </rPh>
    <rPh sb="7" eb="8">
      <t>カイ</t>
    </rPh>
    <rPh sb="9" eb="13">
      <t>フトウメイフクロ</t>
    </rPh>
    <phoneticPr fontId="8"/>
  </si>
  <si>
    <t>はぴねすくらぶ12月号3色組⑫</t>
    <phoneticPr fontId="8"/>
  </si>
  <si>
    <t>JOD204</t>
    <phoneticPr fontId="8"/>
  </si>
  <si>
    <t>グリーンコープ51号3色組（不透明袋）￥3990（サクラマチ）②</t>
    <rPh sb="9" eb="10">
      <t>ゴウ</t>
    </rPh>
    <rPh sb="11" eb="13">
      <t>ショククミ</t>
    </rPh>
    <rPh sb="14" eb="18">
      <t>フトウメイフクロ</t>
    </rPh>
    <phoneticPr fontId="8"/>
  </si>
  <si>
    <t>電話注文</t>
    <rPh sb="0" eb="4">
      <t>デンワチュウモン</t>
    </rPh>
    <phoneticPr fontId="8"/>
  </si>
  <si>
    <t>はぴねすくらぶ12月号3色組⑬</t>
    <phoneticPr fontId="8"/>
  </si>
  <si>
    <t>JOD特別号9527/3P¥3990</t>
    <rPh sb="3" eb="6">
      <t>トクベツゴウ</t>
    </rPh>
    <phoneticPr fontId="8"/>
  </si>
  <si>
    <t>4/21～</t>
    <phoneticPr fontId="8"/>
  </si>
  <si>
    <t>JOD205</t>
    <phoneticPr fontId="8"/>
  </si>
  <si>
    <t>毎日が発見3月号④</t>
    <rPh sb="0" eb="2">
      <t>マイニチ</t>
    </rPh>
    <rPh sb="3" eb="5">
      <t>ハッケン</t>
    </rPh>
    <rPh sb="6" eb="8">
      <t>ガツゴウ</t>
    </rPh>
    <phoneticPr fontId="8"/>
  </si>
  <si>
    <t>2025/3/7数伝</t>
    <rPh sb="8" eb="9">
      <t>スウ</t>
    </rPh>
    <rPh sb="9" eb="10">
      <t>デン</t>
    </rPh>
    <phoneticPr fontId="8"/>
  </si>
  <si>
    <t>JOD206</t>
    <phoneticPr fontId="8"/>
  </si>
  <si>
    <t>ハルメク・アルファ2441⑮</t>
    <phoneticPr fontId="8"/>
  </si>
  <si>
    <t>くらしのお便り25年春号3色組（ベルーナ）③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</si>
  <si>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JOD207</t>
    <phoneticPr fontId="8"/>
  </si>
  <si>
    <t>ニッセン25初夏号アトランダム3色組②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</si>
  <si>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毎日が発見返品</t>
    <rPh sb="0" eb="2">
      <t>マイニチ</t>
    </rPh>
    <rPh sb="3" eb="7">
      <t>ハッケンヘンピン</t>
    </rPh>
    <phoneticPr fontId="4"/>
  </si>
  <si>
    <t>JOD介護（ほほえみ）7456裏/3P¥3990</t>
    <rPh sb="3" eb="5">
      <t>カイゴ</t>
    </rPh>
    <rPh sb="15" eb="16">
      <t>ウラ</t>
    </rPh>
    <phoneticPr fontId="8"/>
  </si>
  <si>
    <t>4/11～</t>
    <phoneticPr fontId="8"/>
  </si>
  <si>
    <t>毎日が発見3月号⑤</t>
    <rPh sb="0" eb="2">
      <t>マイニチ</t>
    </rPh>
    <rPh sb="3" eb="5">
      <t>ハッケン</t>
    </rPh>
    <rPh sb="6" eb="8">
      <t>ガツゴウ</t>
    </rPh>
    <phoneticPr fontId="8"/>
  </si>
  <si>
    <t>JOD208</t>
    <phoneticPr fontId="8"/>
  </si>
  <si>
    <t>はぴねすくらぶ12月号3色組⑭</t>
    <phoneticPr fontId="8"/>
  </si>
  <si>
    <t>JOD209</t>
  </si>
  <si>
    <t>はぴねすくらぶ12月号3色⑮</t>
    <phoneticPr fontId="8"/>
  </si>
  <si>
    <t>JOD210</t>
    <phoneticPr fontId="8"/>
  </si>
  <si>
    <t>コープきんき3月4回（不透明袋）②</t>
    <rPh sb="7" eb="8">
      <t>ガツ</t>
    </rPh>
    <rPh sb="9" eb="10">
      <t>カイ</t>
    </rPh>
    <phoneticPr fontId="8"/>
  </si>
  <si>
    <t>はぴねすくらぶ6月号3色組　￥3990</t>
    <rPh sb="8" eb="10">
      <t>ガツゴウ</t>
    </rPh>
    <rPh sb="11" eb="13">
      <t>ショククミ</t>
    </rPh>
    <phoneticPr fontId="8"/>
  </si>
  <si>
    <t>6/6～</t>
    <phoneticPr fontId="8"/>
  </si>
  <si>
    <t>JOD211</t>
    <phoneticPr fontId="8"/>
  </si>
  <si>
    <t>JODメルシー0507/3P¥3990</t>
    <phoneticPr fontId="8"/>
  </si>
  <si>
    <t>5/7～</t>
    <phoneticPr fontId="8"/>
  </si>
  <si>
    <t>東北サンネット4月1回3色組（不透明袋）￥3990①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</si>
  <si>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くらしのお便り25年春号3色組（ベルーナ）④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</si>
  <si>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コープきんき3月4回（不透明袋）③</t>
    <rPh sb="7" eb="8">
      <t>ガツ</t>
    </rPh>
    <rPh sb="9" eb="10">
      <t>カイ</t>
    </rPh>
    <phoneticPr fontId="8"/>
  </si>
  <si>
    <t>JOD212</t>
  </si>
  <si>
    <t>コープきんき3月4回（不透明袋）④</t>
    <rPh sb="7" eb="8">
      <t>ガツ</t>
    </rPh>
    <rPh sb="9" eb="10">
      <t>カイ</t>
    </rPh>
    <phoneticPr fontId="8"/>
  </si>
  <si>
    <t>毎日が発見3月号⑥</t>
    <rPh sb="0" eb="2">
      <t>マイニチ</t>
    </rPh>
    <rPh sb="3" eb="5">
      <t>ハッケン</t>
    </rPh>
    <rPh sb="6" eb="8">
      <t>ガツゴウ</t>
    </rPh>
    <phoneticPr fontId="8"/>
  </si>
  <si>
    <t>パルくらす7月1回3色組（不透明袋）\3680</t>
    <rPh sb="6" eb="7">
      <t>ガツ</t>
    </rPh>
    <rPh sb="8" eb="9">
      <t>カイ</t>
    </rPh>
    <phoneticPr fontId="8"/>
  </si>
  <si>
    <t>点6/12、アバウト・初回6/24、最終6/30</t>
    <rPh sb="0" eb="1">
      <t>テン</t>
    </rPh>
    <rPh sb="11" eb="13">
      <t>ショカイ</t>
    </rPh>
    <rPh sb="18" eb="20">
      <t>サイシュウ</t>
    </rPh>
    <phoneticPr fontId="8"/>
  </si>
  <si>
    <t>JOD213</t>
    <phoneticPr fontId="8"/>
  </si>
  <si>
    <t>はぴねすくらぶ12月号3色⑯</t>
    <phoneticPr fontId="8"/>
  </si>
  <si>
    <t>JOD214</t>
  </si>
  <si>
    <t>IEIヴィヴァン同梱4月号3P￥4500①</t>
    <rPh sb="8" eb="10">
      <t>ドウコン</t>
    </rPh>
    <rPh sb="11" eb="13">
      <t>ガツゴウ</t>
    </rPh>
    <phoneticPr fontId="8"/>
  </si>
  <si>
    <t>パルくらす4月1回3色組（不透明袋）\3980①</t>
    <rPh sb="6" eb="7">
      <t>ガツ</t>
    </rPh>
    <rPh sb="8" eb="9">
      <t>カイ</t>
    </rPh>
    <phoneticPr fontId="8"/>
  </si>
  <si>
    <t>6/2～23</t>
    <phoneticPr fontId="8"/>
  </si>
  <si>
    <t>大阪いずみ生協6月2回3色組￥3990（不透明袋）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8"/>
  </si>
  <si>
    <t>東北サンネット4月1回3色組（不透明袋）￥3990②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</si>
  <si>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パルくらす4月1回3色組（不透明袋）\3980②</t>
    <rPh sb="6" eb="7">
      <t>ガツ</t>
    </rPh>
    <rPh sb="8" eb="9">
      <t>カイ</t>
    </rPh>
    <phoneticPr fontId="8"/>
  </si>
  <si>
    <t>くらしのお便り25年春号3色組（ベルーナ）⑤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</si>
  <si>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JOD215</t>
    <phoneticPr fontId="8"/>
  </si>
  <si>
    <t>東北サンネット4月1回3色組（不透明袋）￥3990③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</si>
  <si>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はぴねすくらぶ12月号3色⑰</t>
    <phoneticPr fontId="8"/>
  </si>
  <si>
    <t>パルくらす4月1回3色組（不透明袋）\3980③</t>
    <rPh sb="6" eb="7">
      <t>ガツ</t>
    </rPh>
    <rPh sb="8" eb="9">
      <t>カイ</t>
    </rPh>
    <phoneticPr fontId="8"/>
  </si>
  <si>
    <t>ロイヤルステージ1月号3Ｐ¥4500⑦</t>
    <rPh sb="9" eb="11">
      <t>ガツゴウ</t>
    </rPh>
    <phoneticPr fontId="8"/>
  </si>
  <si>
    <t>JOD216</t>
    <phoneticPr fontId="8"/>
  </si>
  <si>
    <t>東北サンネット4月1回3色組（不透明袋）￥3990④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</si>
  <si>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4/18ship</t>
    <phoneticPr fontId="8"/>
  </si>
  <si>
    <t>JOD217</t>
    <phoneticPr fontId="8"/>
  </si>
  <si>
    <t>ことせ5月号2491（ハルメクアルファ）3色組￥4390</t>
    <rPh sb="4" eb="6">
      <t>ガツゴウ</t>
    </rPh>
    <rPh sb="21" eb="23">
      <t>ショククミ</t>
    </rPh>
    <phoneticPr fontId="8"/>
  </si>
  <si>
    <t>JOD218</t>
  </si>
  <si>
    <t>はぴねすくらぶ12月号3色⑱</t>
    <phoneticPr fontId="8"/>
  </si>
  <si>
    <t>JODメルシー0519/3P¥3990</t>
    <phoneticPr fontId="8"/>
  </si>
  <si>
    <t>5/19～</t>
    <phoneticPr fontId="8"/>
  </si>
  <si>
    <t>JOD219</t>
    <phoneticPr fontId="8"/>
  </si>
  <si>
    <t>くらしのお便り25年春号3色組（ベルーナ）⑥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</si>
  <si>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JOD220</t>
    <phoneticPr fontId="8"/>
  </si>
  <si>
    <t>JOD221</t>
    <phoneticPr fontId="8"/>
  </si>
  <si>
    <t>6/9～</t>
    <phoneticPr fontId="8"/>
  </si>
  <si>
    <t>JOD222</t>
  </si>
  <si>
    <t>IEIヴィヴァン同梱4月号3P￥4500②</t>
    <rPh sb="8" eb="10">
      <t>ドウコン</t>
    </rPh>
    <rPh sb="11" eb="13">
      <t>ガツゴウ</t>
    </rPh>
    <phoneticPr fontId="8"/>
  </si>
  <si>
    <t>8/中旬～2/末</t>
    <rPh sb="2" eb="3">
      <t>ナカ</t>
    </rPh>
    <rPh sb="7" eb="8">
      <t>マツ</t>
    </rPh>
    <phoneticPr fontId="8"/>
  </si>
  <si>
    <t>ニッセン25初冬号アトランダム3色組</t>
    <rPh sb="6" eb="8">
      <t>ショトウ</t>
    </rPh>
    <rPh sb="8" eb="9">
      <t>ゴウ</t>
    </rPh>
    <rPh sb="16" eb="17">
      <t>ショク</t>
    </rPh>
    <rPh sb="17" eb="18">
      <t>クミ</t>
    </rPh>
    <phoneticPr fontId="8"/>
  </si>
  <si>
    <t>電話注文</t>
    <rPh sb="0" eb="2">
      <t>デンワ</t>
    </rPh>
    <rPh sb="2" eb="4">
      <t>チュウモン</t>
    </rPh>
    <phoneticPr fontId="8"/>
  </si>
  <si>
    <t>JOD223</t>
    <phoneticPr fontId="8"/>
  </si>
  <si>
    <t>ニッセン25初夏号アトランダム3色組③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</si>
  <si>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JOD224</t>
  </si>
  <si>
    <t>6/27～9/30</t>
    <phoneticPr fontId="8"/>
  </si>
  <si>
    <t>ことせ2539（ハルメクアルファ）3色組9月号テスト￥4390</t>
    <rPh sb="18" eb="20">
      <t>ショククミ</t>
    </rPh>
    <rPh sb="21" eb="23">
      <t>ガツゴウ</t>
    </rPh>
    <phoneticPr fontId="8"/>
  </si>
  <si>
    <t>ことせ2549（ハルメクアルファ）3色組10月号テスト￥4390</t>
    <rPh sb="18" eb="20">
      <t>ショククミ</t>
    </rPh>
    <rPh sb="22" eb="24">
      <t>ガツゴウ</t>
    </rPh>
    <phoneticPr fontId="8"/>
  </si>
  <si>
    <t>大阪いずみ生協6月2回3色組￥3990差分予測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19" eb="23">
      <t>サブンヨソク</t>
    </rPh>
    <phoneticPr fontId="8"/>
  </si>
  <si>
    <t>JOD225</t>
    <phoneticPr fontId="8"/>
  </si>
  <si>
    <t>ことせ5月号2491（ハルメクアルファ）3色組￥4390①</t>
    <rPh sb="4" eb="6">
      <t>ガツゴウ</t>
    </rPh>
    <rPh sb="21" eb="23">
      <t>ショククミ</t>
    </rPh>
    <phoneticPr fontId="8"/>
  </si>
  <si>
    <t>かりん</t>
    <phoneticPr fontId="8"/>
  </si>
  <si>
    <t>毎日が発見3月号⑦</t>
    <rPh sb="0" eb="2">
      <t>マイニチ</t>
    </rPh>
    <rPh sb="3" eb="5">
      <t>ハッケン</t>
    </rPh>
    <rPh sb="6" eb="8">
      <t>ガツゴウ</t>
    </rPh>
    <phoneticPr fontId="8"/>
  </si>
  <si>
    <t>JOD226</t>
    <phoneticPr fontId="8"/>
  </si>
  <si>
    <t>JOD227</t>
    <phoneticPr fontId="8"/>
  </si>
  <si>
    <t>コープ東北サンネット6月4回3色組（不透明袋）￥3990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</si>
  <si>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6/11～25</t>
    <phoneticPr fontId="8"/>
  </si>
  <si>
    <t>JOD228</t>
    <phoneticPr fontId="8"/>
  </si>
  <si>
    <t>くらしのお便り25年春号3色組（ベルーナ）⑦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</si>
  <si>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JOD229</t>
    <phoneticPr fontId="8"/>
  </si>
  <si>
    <t>東北サンネット4月5回3色組（不透明袋）①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</si>
  <si>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ニッセン25初夏号アトランダム3色組④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</si>
  <si>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JOD230</t>
    <phoneticPr fontId="8"/>
  </si>
  <si>
    <t>東北サンネット4月5回3色組（不透明袋）②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</si>
  <si>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在庫確認</t>
    <rPh sb="0" eb="4">
      <t>ザイコカクニン</t>
    </rPh>
    <phoneticPr fontId="8"/>
  </si>
  <si>
    <t>東北サンネット4月5回3色組（不透明袋）③</t>
    <rPh sb="0" eb="2">
      <t>トウホク</t>
    </rPh>
    <rPh sb="8" eb="9">
      <t>ガツ</t>
    </rPh>
    <rPh sb="10" eb="11">
      <t>カイ</t>
    </rPh>
    <rPh sb="12" eb="14">
      <t>ショククミ</t>
    </rPh>
    <rPh sb="15" eb="19">
      <t>フトウメイフクロ</t>
    </rPh>
    <phoneticPr fontId="8"/>
  </si>
  <si>
    <t>JOD特別号9533/3P¥3990</t>
    <rPh sb="3" eb="6">
      <t>トクベツゴウ</t>
    </rPh>
    <phoneticPr fontId="8"/>
  </si>
  <si>
    <t>6/10～</t>
    <phoneticPr fontId="8"/>
  </si>
  <si>
    <t>JOD231</t>
    <phoneticPr fontId="8"/>
  </si>
  <si>
    <t>JOD232</t>
  </si>
  <si>
    <t>JOD233</t>
    <phoneticPr fontId="8"/>
  </si>
  <si>
    <t>IEI使ってヨカッタ5月号①</t>
    <rPh sb="3" eb="4">
      <t>ツカ</t>
    </rPh>
    <rPh sb="11" eb="13">
      <t>ガツゴウ</t>
    </rPh>
    <phoneticPr fontId="8"/>
  </si>
  <si>
    <t>JOD234</t>
  </si>
  <si>
    <t>ことせ6月号2501（ハルメクアルファ）3色組￥4390</t>
    <rPh sb="4" eb="6">
      <t>ガツゴウ</t>
    </rPh>
    <rPh sb="21" eb="23">
      <t>ショククミ</t>
    </rPh>
    <phoneticPr fontId="8"/>
  </si>
  <si>
    <t>JODアクセス7009/3P¥3990</t>
    <phoneticPr fontId="8"/>
  </si>
  <si>
    <t>6/16～</t>
    <phoneticPr fontId="8"/>
  </si>
  <si>
    <t>JOD235</t>
    <phoneticPr fontId="8"/>
  </si>
  <si>
    <t>2025/5/2数伝</t>
    <rPh sb="8" eb="9">
      <t>スウ</t>
    </rPh>
    <rPh sb="9" eb="10">
      <t>デン</t>
    </rPh>
    <phoneticPr fontId="8"/>
  </si>
  <si>
    <t>JOD236</t>
    <phoneticPr fontId="8"/>
  </si>
  <si>
    <t>ユーコープ5月3回3色組（不透明袋）①</t>
    <rPh sb="6" eb="7">
      <t>ガツ</t>
    </rPh>
    <rPh sb="8" eb="9">
      <t>カイ</t>
    </rPh>
    <phoneticPr fontId="8"/>
  </si>
  <si>
    <t>サクラマチsample（九州）</t>
    <rPh sb="12" eb="14">
      <t>キュウシュウ</t>
    </rPh>
    <phoneticPr fontId="4"/>
  </si>
  <si>
    <t>くらしのお便り25年春号3色組（ベルーナ）⑧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</si>
  <si>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JOD237</t>
    <phoneticPr fontId="8"/>
  </si>
  <si>
    <t>JOD238</t>
    <phoneticPr fontId="8"/>
  </si>
  <si>
    <t>ニッセン25初夏号アトランダム3色組⑤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</si>
  <si>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ハルメク・アルファ⑬</t>
    <phoneticPr fontId="8"/>
  </si>
  <si>
    <t>ハルメク・アルファ⑭</t>
    <phoneticPr fontId="8"/>
  </si>
  <si>
    <t>JOD239</t>
    <phoneticPr fontId="8"/>
  </si>
  <si>
    <t>ユーコープ5月3回3色組（不透明袋）②</t>
    <rPh sb="6" eb="7">
      <t>ガツ</t>
    </rPh>
    <rPh sb="8" eb="9">
      <t>カイ</t>
    </rPh>
    <phoneticPr fontId="8"/>
  </si>
  <si>
    <t>ユーコープ5月3回3色組（不透明袋）③</t>
    <rPh sb="6" eb="7">
      <t>ガツ</t>
    </rPh>
    <rPh sb="8" eb="9">
      <t>カイ</t>
    </rPh>
    <phoneticPr fontId="8"/>
  </si>
  <si>
    <t>毎日が発見2025年6月号3色組①</t>
    <rPh sb="0" eb="2">
      <t>マイニチ</t>
    </rPh>
    <rPh sb="3" eb="5">
      <t>ハッケン</t>
    </rPh>
    <rPh sb="9" eb="10">
      <t>ネン</t>
    </rPh>
    <rPh sb="11" eb="13">
      <t>ガツゴウ</t>
    </rPh>
    <rPh sb="14" eb="16">
      <t>ショククミ</t>
    </rPh>
    <phoneticPr fontId="8"/>
  </si>
  <si>
    <t>ユーコープ5月3回3色組（不透明袋）④直送</t>
    <rPh sb="6" eb="7">
      <t>ガツ</t>
    </rPh>
    <rPh sb="8" eb="9">
      <t>カイ</t>
    </rPh>
    <rPh sb="19" eb="21">
      <t>チョクソウ</t>
    </rPh>
    <phoneticPr fontId="8"/>
  </si>
  <si>
    <t>JOD240</t>
    <phoneticPr fontId="8"/>
  </si>
  <si>
    <t>ユーコープ5月3回3色組（不透明袋）⑤</t>
    <rPh sb="6" eb="7">
      <t>ガツ</t>
    </rPh>
    <rPh sb="8" eb="9">
      <t>カイ</t>
    </rPh>
    <phoneticPr fontId="8"/>
  </si>
  <si>
    <t>酒井個人買い</t>
    <rPh sb="0" eb="2">
      <t>サカイ</t>
    </rPh>
    <rPh sb="2" eb="5">
      <t>コジンガ</t>
    </rPh>
    <phoneticPr fontId="8"/>
  </si>
  <si>
    <t>JOD241</t>
    <phoneticPr fontId="8"/>
  </si>
  <si>
    <t>ニッセン25初夏号アトランダム3色組⑥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</si>
  <si>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ハルメク・アルファ⑮</t>
    <phoneticPr fontId="8"/>
  </si>
  <si>
    <t>JOD242</t>
    <phoneticPr fontId="8"/>
  </si>
  <si>
    <t>JOD243</t>
    <phoneticPr fontId="8"/>
  </si>
  <si>
    <t>毎日が発見2025年6月号3色組②</t>
    <rPh sb="0" eb="2">
      <t>マイニチ</t>
    </rPh>
    <rPh sb="3" eb="5">
      <t>ハッケン</t>
    </rPh>
    <rPh sb="9" eb="10">
      <t>ネン</t>
    </rPh>
    <rPh sb="11" eb="13">
      <t>ガツゴウ</t>
    </rPh>
    <rPh sb="14" eb="16">
      <t>ショククミ</t>
    </rPh>
    <phoneticPr fontId="8"/>
  </si>
  <si>
    <t>ハルメク・アルファ⑯</t>
    <phoneticPr fontId="8"/>
  </si>
  <si>
    <t>くらし企画（亀﨑さん）sample</t>
    <rPh sb="6" eb="7">
      <t>カメ</t>
    </rPh>
    <rPh sb="7" eb="8">
      <t>サキ</t>
    </rPh>
    <phoneticPr fontId="4"/>
  </si>
  <si>
    <t>8/20～9/5</t>
    <phoneticPr fontId="8"/>
  </si>
  <si>
    <t>グリーンコープ23号3色組（不透明袋）</t>
    <rPh sb="9" eb="10">
      <t>ゴウ</t>
    </rPh>
    <rPh sb="11" eb="13">
      <t>ショククミ</t>
    </rPh>
    <phoneticPr fontId="8"/>
  </si>
  <si>
    <t>グリーンコープ23号3色組差分予測</t>
    <rPh sb="9" eb="10">
      <t>ゴウ</t>
    </rPh>
    <rPh sb="11" eb="13">
      <t>ショククミ</t>
    </rPh>
    <rPh sb="13" eb="17">
      <t>サブンヨソク</t>
    </rPh>
    <phoneticPr fontId="8"/>
  </si>
  <si>
    <t>JOD244</t>
    <phoneticPr fontId="8"/>
  </si>
  <si>
    <t>夢販</t>
    <rPh sb="0" eb="2">
      <t>ユメハン</t>
    </rPh>
    <phoneticPr fontId="8"/>
  </si>
  <si>
    <t>IEI使ってヨカッタ5月号②</t>
    <rPh sb="3" eb="4">
      <t>ツカ</t>
    </rPh>
    <rPh sb="11" eb="13">
      <t>ガツゴウ</t>
    </rPh>
    <phoneticPr fontId="8"/>
  </si>
  <si>
    <t>JOD245</t>
    <phoneticPr fontId="8"/>
  </si>
  <si>
    <t>（6月締め分）</t>
    <rPh sb="2" eb="3">
      <t>ガツ</t>
    </rPh>
    <rPh sb="3" eb="4">
      <t>シ</t>
    </rPh>
    <rPh sb="5" eb="6">
      <t>ブン</t>
    </rPh>
    <phoneticPr fontId="8"/>
  </si>
  <si>
    <t>JODメルシー0624/3P¥3990</t>
    <phoneticPr fontId="8"/>
  </si>
  <si>
    <t>6/24～</t>
    <phoneticPr fontId="8"/>
  </si>
  <si>
    <t>毎日が発見2025年6月号3色組③</t>
    <rPh sb="0" eb="2">
      <t>マイニチ</t>
    </rPh>
    <rPh sb="3" eb="5">
      <t>ハッケン</t>
    </rPh>
    <rPh sb="9" eb="10">
      <t>ネン</t>
    </rPh>
    <rPh sb="11" eb="13">
      <t>ガツゴウ</t>
    </rPh>
    <rPh sb="14" eb="16">
      <t>ショククミ</t>
    </rPh>
    <phoneticPr fontId="8"/>
  </si>
  <si>
    <t>JOD246</t>
  </si>
  <si>
    <t>JOD247</t>
    <phoneticPr fontId="8"/>
  </si>
  <si>
    <t>毎日が発見2025年6月号3色組④</t>
    <rPh sb="0" eb="2">
      <t>マイニチ</t>
    </rPh>
    <rPh sb="3" eb="5">
      <t>ハッケン</t>
    </rPh>
    <rPh sb="9" eb="10">
      <t>ネン</t>
    </rPh>
    <rPh sb="11" eb="13">
      <t>ガツゴウ</t>
    </rPh>
    <rPh sb="14" eb="16">
      <t>ショククミ</t>
    </rPh>
    <phoneticPr fontId="8"/>
  </si>
  <si>
    <t>ハルメク・アルファ⑰</t>
    <phoneticPr fontId="8"/>
  </si>
  <si>
    <t>コープ沖縄7月3回3色組￥3990（不透明袋）</t>
    <rPh sb="3" eb="5">
      <t>オキナワ</t>
    </rPh>
    <rPh sb="6" eb="7">
      <t>ガツ</t>
    </rPh>
    <rPh sb="8" eb="9">
      <t>カイ</t>
    </rPh>
    <rPh sb="10" eb="12">
      <t>ショククミ</t>
    </rPh>
    <phoneticPr fontId="8"/>
  </si>
  <si>
    <t>コープ沖縄7月3回3色組差分予測</t>
    <rPh sb="3" eb="5">
      <t>オキナワ</t>
    </rPh>
    <rPh sb="6" eb="7">
      <t>ガツ</t>
    </rPh>
    <rPh sb="8" eb="9">
      <t>カイ</t>
    </rPh>
    <rPh sb="10" eb="12">
      <t>ショククミ</t>
    </rPh>
    <rPh sb="12" eb="16">
      <t>サブンヨソク</t>
    </rPh>
    <phoneticPr fontId="8"/>
  </si>
  <si>
    <t>7/9～18</t>
    <phoneticPr fontId="8"/>
  </si>
  <si>
    <t>JOD248</t>
    <phoneticPr fontId="8"/>
  </si>
  <si>
    <t>コープ東北サンネット6月4回3色組（不透明袋）￥3990①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</si>
  <si>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8/4～</t>
    <phoneticPr fontId="8"/>
  </si>
  <si>
    <t>JOD249</t>
  </si>
  <si>
    <t>コープ東北サンネット6月4回3色組（不透明袋）￥3990②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</si>
  <si>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ニッセン25初夏号アトランダム3色組⑦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</si>
  <si>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JOD250</t>
  </si>
  <si>
    <t>IEIヴィヴァン7月号3色組</t>
    <rPh sb="9" eb="11">
      <t>ガツゴウ</t>
    </rPh>
    <rPh sb="12" eb="14">
      <t>ショククミ</t>
    </rPh>
    <phoneticPr fontId="8"/>
  </si>
  <si>
    <t>7/28～</t>
    <phoneticPr fontId="8"/>
  </si>
  <si>
    <t>IEI使ってヨカッタ8月号3色組</t>
    <rPh sb="3" eb="4">
      <t>ツカ</t>
    </rPh>
    <rPh sb="11" eb="13">
      <t>ガツゴウ</t>
    </rPh>
    <rPh sb="14" eb="16">
      <t>ショククミ</t>
    </rPh>
    <phoneticPr fontId="8"/>
  </si>
  <si>
    <t>IEI使ってヨカッタ6月号3色組</t>
    <rPh sb="3" eb="4">
      <t>ツカ</t>
    </rPh>
    <rPh sb="11" eb="13">
      <t>ガツゴウ</t>
    </rPh>
    <rPh sb="14" eb="16">
      <t>ショククミ</t>
    </rPh>
    <phoneticPr fontId="8"/>
  </si>
  <si>
    <t>JOD251</t>
    <phoneticPr fontId="8"/>
  </si>
  <si>
    <t>はぴねすくらぶ6月号3色組　￥3990①</t>
    <rPh sb="8" eb="10">
      <t>ガツゴウ</t>
    </rPh>
    <rPh sb="11" eb="13">
      <t>ショククミ</t>
    </rPh>
    <phoneticPr fontId="8"/>
  </si>
  <si>
    <t>JODメルシー0704/3P¥3990</t>
    <phoneticPr fontId="8"/>
  </si>
  <si>
    <t>7/4～</t>
    <phoneticPr fontId="8"/>
  </si>
  <si>
    <t>2025/5/30数伝</t>
    <rPh sb="9" eb="10">
      <t>スウ</t>
    </rPh>
    <rPh sb="10" eb="11">
      <t>デン</t>
    </rPh>
    <phoneticPr fontId="8"/>
  </si>
  <si>
    <t>JOD252</t>
    <phoneticPr fontId="8"/>
  </si>
  <si>
    <t>JOD253</t>
  </si>
  <si>
    <t>大阪いずみ生協6月2回3色組￥3990（不透明袋）①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8"/>
  </si>
  <si>
    <t>くらしのお便り25年春号3色組（ベルーナ）⑨</t>
    <rPh sb="5" eb="6">
      <t>タヨ</t>
    </rPh>
    <rPh sb="9" eb="10">
      <t>ネン</t>
    </rPh>
    <rPh sb="10" eb="12">
      <t>ハルゴウ</t>
    </rPh>
    <rPh sb="13" eb="15">
      <t>ショククミ</t>
    </rPh>
    <phoneticPr fontId="8"/>
  </si>
  <si>
    <t>ニッセン25初夏号アトランダム3色組⑧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</si>
  <si>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JOD254</t>
  </si>
  <si>
    <t>9/3～17</t>
    <phoneticPr fontId="8"/>
  </si>
  <si>
    <t>コープ九州9月3回差分予測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8"/>
  </si>
  <si>
    <t>大阪いずみ生協8月3回3色組￥3990（不透明袋）</t>
    <rPh sb="0" eb="7">
      <t>オオサカイズミセイキョウ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8"/>
  </si>
  <si>
    <t>8/4～25</t>
    <phoneticPr fontId="8"/>
  </si>
  <si>
    <t>大阪いずみ生協8月3回3色組差分予測</t>
    <rPh sb="0" eb="7">
      <t>オオサカイズミセイキョウ</t>
    </rPh>
    <rPh sb="8" eb="9">
      <t>ガツ</t>
    </rPh>
    <rPh sb="10" eb="11">
      <t>カイ</t>
    </rPh>
    <rPh sb="12" eb="14">
      <t>ショククミ</t>
    </rPh>
    <rPh sb="14" eb="18">
      <t>サブンヨソク</t>
    </rPh>
    <phoneticPr fontId="8"/>
  </si>
  <si>
    <t>毎日が発見2025年10月売11月号差分予測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rPh sb="18" eb="22">
      <t>サブンヨソク</t>
    </rPh>
    <phoneticPr fontId="8"/>
  </si>
  <si>
    <t>コープ東北サンネット6月4回3色組差分予測</t>
    <rPh sb="3" eb="5">
      <t>トウホク</t>
    </rPh>
    <rPh sb="11" eb="12">
      <t>ガツ</t>
    </rPh>
    <rPh sb="13" eb="14">
      <t>カイ</t>
    </rPh>
    <rPh sb="15" eb="17">
      <t>ショククミ</t>
    </rPh>
    <rPh sb="17" eb="21">
      <t>サブンヨソク</t>
    </rPh>
    <phoneticPr fontId="8"/>
  </si>
  <si>
    <t>はぴねすくらぶ6月号3色組　￥3990差分予測</t>
    <rPh sb="8" eb="10">
      <t>ガツゴウ</t>
    </rPh>
    <rPh sb="11" eb="13">
      <t>ショククミ</t>
    </rPh>
    <rPh sb="19" eb="23">
      <t>サブンヨソク</t>
    </rPh>
    <phoneticPr fontId="8"/>
  </si>
  <si>
    <t>ことせ6月号2501（ハルメクアルファ）3色組￥4390差分予測</t>
    <rPh sb="4" eb="6">
      <t>ガツゴウ</t>
    </rPh>
    <rPh sb="21" eb="23">
      <t>ショククミ</t>
    </rPh>
    <rPh sb="28" eb="32">
      <t>サブンヨソク</t>
    </rPh>
    <phoneticPr fontId="8"/>
  </si>
  <si>
    <t>毎日が発見2025年6月号3色組⑤</t>
    <rPh sb="0" eb="2">
      <t>マイニチ</t>
    </rPh>
    <rPh sb="3" eb="5">
      <t>ハッケン</t>
    </rPh>
    <rPh sb="9" eb="10">
      <t>ネン</t>
    </rPh>
    <rPh sb="11" eb="13">
      <t>ガツゴウ</t>
    </rPh>
    <rPh sb="14" eb="16">
      <t>ショククミ</t>
    </rPh>
    <phoneticPr fontId="8"/>
  </si>
  <si>
    <t>ロイヤルステージ</t>
    <phoneticPr fontId="8"/>
  </si>
  <si>
    <t>3L</t>
    <phoneticPr fontId="8"/>
  </si>
  <si>
    <t>4L</t>
    <phoneticPr fontId="8"/>
  </si>
  <si>
    <t>5L</t>
    <phoneticPr fontId="8"/>
  </si>
  <si>
    <t>JOD255</t>
    <phoneticPr fontId="8"/>
  </si>
  <si>
    <t>大阪いずみ生協6月2回3色組￥3990（不透明袋）②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8"/>
  </si>
  <si>
    <t>ハルメク・アルファ⑱</t>
    <phoneticPr fontId="8"/>
  </si>
  <si>
    <t>JOD256</t>
  </si>
  <si>
    <t>毎日が発見2025年6月号3色組⑥</t>
    <rPh sb="0" eb="2">
      <t>マイニチ</t>
    </rPh>
    <rPh sb="3" eb="5">
      <t>ハッケン</t>
    </rPh>
    <rPh sb="9" eb="10">
      <t>ネン</t>
    </rPh>
    <rPh sb="11" eb="13">
      <t>ガツゴウ</t>
    </rPh>
    <rPh sb="14" eb="16">
      <t>ショククミ</t>
    </rPh>
    <phoneticPr fontId="8"/>
  </si>
  <si>
    <t>ハルメク・アルファ⑲</t>
    <phoneticPr fontId="8"/>
  </si>
  <si>
    <t>ユーコープ8月4回3色組（不透明袋）￥3990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</si>
  <si>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ユーコープ8月4回3色組差分予測</t>
    <rPh sb="6" eb="7">
      <t>ガツ</t>
    </rPh>
    <rPh sb="8" eb="9">
      <t>カイ</t>
    </rPh>
    <rPh sb="10" eb="12">
      <t>ショククミ</t>
    </rPh>
    <rPh sb="12" eb="16">
      <t>サブンヨソク</t>
    </rPh>
    <phoneticPr fontId="8"/>
  </si>
  <si>
    <t>8/13～27</t>
    <phoneticPr fontId="8"/>
  </si>
  <si>
    <t>JOD257</t>
    <phoneticPr fontId="8"/>
  </si>
  <si>
    <t>JOD258</t>
    <phoneticPr fontId="8"/>
  </si>
  <si>
    <t>コープ東北サンネット6月4回3色組（不透明袋）￥3990③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</si>
  <si>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JOD259</t>
  </si>
  <si>
    <t>毎日が発見2025年11月売12月号差分予測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rPh sb="18" eb="22">
      <t>サブンヨソク</t>
    </rPh>
    <phoneticPr fontId="8"/>
  </si>
  <si>
    <t>JOD260</t>
  </si>
  <si>
    <t>毎日が発見2025年12月売1月号差分予測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7" eb="21">
      <t>サブンヨソク</t>
    </rPh>
    <phoneticPr fontId="8"/>
  </si>
  <si>
    <t>ハルメク・アルファ⑳</t>
    <phoneticPr fontId="8"/>
  </si>
  <si>
    <t>JOD261</t>
    <phoneticPr fontId="8"/>
  </si>
  <si>
    <t>IEI使ってヨカッタ6月号3色組①</t>
    <rPh sb="3" eb="4">
      <t>ツカ</t>
    </rPh>
    <rPh sb="11" eb="13">
      <t>ガツゴウ</t>
    </rPh>
    <rPh sb="14" eb="16">
      <t>ショククミ</t>
    </rPh>
    <phoneticPr fontId="8"/>
  </si>
  <si>
    <t>JOD262</t>
    <phoneticPr fontId="8"/>
  </si>
  <si>
    <t>コープ東北サンネット6月4回3色組（不透明袋）￥3990④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</si>
  <si>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ベルーナ南條さんQC用sample返却</t>
    <rPh sb="4" eb="6">
      <t>ナンジョウ</t>
    </rPh>
    <rPh sb="10" eb="11">
      <t>ヨウ</t>
    </rPh>
    <rPh sb="17" eb="19">
      <t>ヘンキャク</t>
    </rPh>
    <phoneticPr fontId="8"/>
  </si>
  <si>
    <t>ベルーナsample（くらしのお便り）返却</t>
    <rPh sb="16" eb="17">
      <t>タヨ</t>
    </rPh>
    <rPh sb="19" eb="21">
      <t>ヘンキャク</t>
    </rPh>
    <phoneticPr fontId="8"/>
  </si>
  <si>
    <t>ニッセン25初夏号アトランダム3色組⑨</t>
    <rPh sb="6" eb="8">
      <t>ショカ</t>
    </rPh>
    <rPh sb="8" eb="9">
      <t>ゴウ</t>
    </rPh>
    <rPh sb="16" eb="17">
      <t>ショク</t>
    </rPh>
    <rPh sb="17" eb="18">
      <t>クミ</t>
    </rPh>
    <phoneticPr fontId="8"/>
  </si>
  <si>
    <t>JOD263</t>
    <phoneticPr fontId="8"/>
  </si>
  <si>
    <t>コープ東北サンネット6月4回3色組（不透明袋）￥3990⑤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</si>
  <si>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初回10月中旬、11/1～2/15</t>
    <rPh sb="0" eb="2">
      <t>ショカイ</t>
    </rPh>
    <rPh sb="4" eb="5">
      <t>ガツ</t>
    </rPh>
    <rPh sb="5" eb="7">
      <t>チュウジュン</t>
    </rPh>
    <phoneticPr fontId="8"/>
  </si>
  <si>
    <t>初回11月中旬、12/1～3/15</t>
    <rPh sb="0" eb="2">
      <t>ショカイ</t>
    </rPh>
    <rPh sb="4" eb="5">
      <t>ガツ</t>
    </rPh>
    <rPh sb="5" eb="7">
      <t>チュウジュン</t>
    </rPh>
    <phoneticPr fontId="8"/>
  </si>
  <si>
    <t>初回9月中旬、10/1～1/15</t>
    <rPh sb="0" eb="2">
      <t>ショカイ</t>
    </rPh>
    <rPh sb="3" eb="4">
      <t>ガツ</t>
    </rPh>
    <rPh sb="4" eb="6">
      <t>チュウジュン</t>
    </rPh>
    <phoneticPr fontId="8"/>
  </si>
  <si>
    <t>JOD264</t>
  </si>
  <si>
    <t>JOD265</t>
    <phoneticPr fontId="8"/>
  </si>
  <si>
    <t>パルくらす7月1回3色組（不透明袋）\3680①</t>
    <rPh sb="6" eb="7">
      <t>ガツ</t>
    </rPh>
    <rPh sb="8" eb="9">
      <t>カイ</t>
    </rPh>
    <phoneticPr fontId="8"/>
  </si>
  <si>
    <t>はぴねすくらぶ6月号3色組　￥3990②</t>
    <rPh sb="8" eb="10">
      <t>ガツゴウ</t>
    </rPh>
    <rPh sb="11" eb="13">
      <t>ショククミ</t>
    </rPh>
    <phoneticPr fontId="8"/>
  </si>
  <si>
    <t>JOD266</t>
    <phoneticPr fontId="8"/>
  </si>
  <si>
    <t>パルくらす7月1回3色組（不透明袋）\3680②</t>
    <rPh sb="6" eb="7">
      <t>ガツ</t>
    </rPh>
    <rPh sb="8" eb="9">
      <t>カイ</t>
    </rPh>
    <phoneticPr fontId="8"/>
  </si>
  <si>
    <t>かりん</t>
    <phoneticPr fontId="8"/>
  </si>
  <si>
    <t>ハルメク・アルファ㉑</t>
    <phoneticPr fontId="8"/>
  </si>
  <si>
    <t>JOD267</t>
    <phoneticPr fontId="8"/>
  </si>
  <si>
    <t>JOD268</t>
    <phoneticPr fontId="8"/>
  </si>
  <si>
    <t>パルくらす7月1回3色組（不透明袋）\3680③</t>
    <rPh sb="6" eb="7">
      <t>ガツ</t>
    </rPh>
    <rPh sb="8" eb="9">
      <t>カイ</t>
    </rPh>
    <phoneticPr fontId="8"/>
  </si>
  <si>
    <t>ハルメク・アルファ㉒</t>
    <phoneticPr fontId="8"/>
  </si>
  <si>
    <t>はぴねすくらぶ6月号3色組　￥3990③</t>
    <rPh sb="8" eb="10">
      <t>ガツゴウ</t>
    </rPh>
    <rPh sb="11" eb="13">
      <t>ショククミ</t>
    </rPh>
    <phoneticPr fontId="8"/>
  </si>
  <si>
    <t>JOD269</t>
  </si>
  <si>
    <t>コープきんき9月2回（不透明袋）</t>
    <rPh sb="7" eb="8">
      <t>ガツ</t>
    </rPh>
    <rPh sb="9" eb="10">
      <t>カイ</t>
    </rPh>
    <rPh sb="11" eb="15">
      <t>フトウメイフクロ</t>
    </rPh>
    <phoneticPr fontId="8"/>
  </si>
  <si>
    <t>コープきんき9月2回差分予測</t>
    <rPh sb="7" eb="8">
      <t>ガツ</t>
    </rPh>
    <rPh sb="9" eb="10">
      <t>カイ</t>
    </rPh>
    <rPh sb="10" eb="14">
      <t>サブンヨソク</t>
    </rPh>
    <phoneticPr fontId="8"/>
  </si>
  <si>
    <t>点8/15、アバウト9/2、本9/2～8</t>
    <rPh sb="0" eb="1">
      <t>テン</t>
    </rPh>
    <rPh sb="14" eb="15">
      <t>ホン</t>
    </rPh>
    <phoneticPr fontId="8"/>
  </si>
  <si>
    <t>JODメルシー0802/3P¥3990</t>
    <phoneticPr fontId="8"/>
  </si>
  <si>
    <t>8/2～</t>
    <phoneticPr fontId="8"/>
  </si>
  <si>
    <t>JODアクセス7011/3P¥3990</t>
    <phoneticPr fontId="8"/>
  </si>
  <si>
    <t>8/18～</t>
    <phoneticPr fontId="8"/>
  </si>
  <si>
    <t>JOD270</t>
  </si>
  <si>
    <t>JOD271</t>
  </si>
  <si>
    <t>9/30～12/31</t>
    <phoneticPr fontId="8"/>
  </si>
  <si>
    <t>JOD272</t>
    <phoneticPr fontId="8"/>
  </si>
  <si>
    <t>JOD273</t>
  </si>
  <si>
    <t>コープデリ8月2回～9月1回3色組（不透明袋）差分予測</t>
    <rPh sb="6" eb="7">
      <t>ガツ</t>
    </rPh>
    <rPh sb="8" eb="9">
      <t>カイ</t>
    </rPh>
    <rPh sb="15" eb="17">
      <t>ショククミ</t>
    </rPh>
    <rPh sb="23" eb="27">
      <t>サブンヨソク</t>
    </rPh>
    <phoneticPr fontId="8"/>
  </si>
  <si>
    <t>コープデリ8月2回～9月1回3色組（不透明袋）</t>
    <rPh sb="6" eb="7">
      <t>ガツ</t>
    </rPh>
    <rPh sb="8" eb="9">
      <t>カイ</t>
    </rPh>
    <rPh sb="11" eb="12">
      <t>ガツ</t>
    </rPh>
    <rPh sb="13" eb="14">
      <t>カイ</t>
    </rPh>
    <rPh sb="15" eb="17">
      <t>ショククミ</t>
    </rPh>
    <phoneticPr fontId="8"/>
  </si>
  <si>
    <t>初回7/23～最終9/1</t>
    <rPh sb="0" eb="2">
      <t>ショカイ</t>
    </rPh>
    <rPh sb="7" eb="9">
      <t>サイシュウ</t>
    </rPh>
    <phoneticPr fontId="8"/>
  </si>
  <si>
    <t>IEI使ってヨカッタ9月号3色組</t>
    <rPh sb="3" eb="4">
      <t>ツカ</t>
    </rPh>
    <rPh sb="11" eb="13">
      <t>ガツゴウ</t>
    </rPh>
    <rPh sb="14" eb="16">
      <t>ショククミ</t>
    </rPh>
    <phoneticPr fontId="8"/>
  </si>
  <si>
    <t>9/8～12/31</t>
    <phoneticPr fontId="8"/>
  </si>
  <si>
    <t>コープきんき選定会議用saample返却</t>
    <rPh sb="6" eb="10">
      <t>センテイカイギ</t>
    </rPh>
    <rPh sb="10" eb="11">
      <t>ヨウ</t>
    </rPh>
    <rPh sb="18" eb="20">
      <t>ヘンキャク</t>
    </rPh>
    <phoneticPr fontId="8"/>
  </si>
  <si>
    <t>JOD274</t>
    <phoneticPr fontId="8"/>
  </si>
  <si>
    <t>はぴねすくらぶ6月号3色組　￥3990④</t>
    <rPh sb="8" eb="10">
      <t>ガツゴウ</t>
    </rPh>
    <rPh sb="11" eb="13">
      <t>ショククミ</t>
    </rPh>
    <phoneticPr fontId="8"/>
  </si>
  <si>
    <t>JOD275</t>
    <phoneticPr fontId="8"/>
  </si>
  <si>
    <t>JOD276</t>
  </si>
  <si>
    <t>JOD277</t>
    <phoneticPr fontId="8"/>
  </si>
  <si>
    <t>コープ沖縄7月3回3色組￥3990（不透明袋）①</t>
    <rPh sb="3" eb="5">
      <t>オキナワ</t>
    </rPh>
    <rPh sb="6" eb="7">
      <t>ガツ</t>
    </rPh>
    <rPh sb="8" eb="9">
      <t>カイ</t>
    </rPh>
    <rPh sb="10" eb="12">
      <t>ショククミ</t>
    </rPh>
    <phoneticPr fontId="8"/>
  </si>
  <si>
    <t>JOD278</t>
    <phoneticPr fontId="8"/>
  </si>
  <si>
    <t>毎日が発見sample</t>
    <rPh sb="0" eb="2">
      <t>マイニチ</t>
    </rPh>
    <rPh sb="3" eb="5">
      <t>ハッケン</t>
    </rPh>
    <phoneticPr fontId="8"/>
  </si>
  <si>
    <t>JOD279</t>
    <phoneticPr fontId="8"/>
  </si>
  <si>
    <t>初回2-1</t>
    <rPh sb="0" eb="2">
      <t>ショカイ</t>
    </rPh>
    <phoneticPr fontId="4"/>
  </si>
  <si>
    <t>はぴねすくらぶ6月号3色組　￥3990⑤</t>
    <rPh sb="8" eb="10">
      <t>ガツゴウ</t>
    </rPh>
    <rPh sb="11" eb="13">
      <t>ショククミ</t>
    </rPh>
    <phoneticPr fontId="8"/>
  </si>
  <si>
    <t>JOD280</t>
  </si>
  <si>
    <t>電話注文</t>
    <rPh sb="0" eb="4">
      <t>デンワチュウモン</t>
    </rPh>
    <phoneticPr fontId="8"/>
  </si>
  <si>
    <t>コープ東北サンネット10月1回3色組（不透明袋）サクラマチ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</si>
  <si>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東都生協9月4回3色組（不透明袋）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</si>
  <si>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9/17～10/1</t>
    <phoneticPr fontId="8"/>
  </si>
  <si>
    <t>9/10～23</t>
    <phoneticPr fontId="8"/>
  </si>
  <si>
    <t>コープ九州9月3回（不透明袋）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8"/>
  </si>
  <si>
    <t>東都生協9月4回3色組差分予測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1" eb="15">
      <t>サブンヨソク</t>
    </rPh>
    <phoneticPr fontId="8"/>
  </si>
  <si>
    <t>コープ東北サンネット10月1回3色組差分予測</t>
    <rPh sb="3" eb="5">
      <t>トウホク</t>
    </rPh>
    <rPh sb="12" eb="13">
      <t>ガツ</t>
    </rPh>
    <rPh sb="14" eb="15">
      <t>カイ</t>
    </rPh>
    <rPh sb="16" eb="18">
      <t>ショククミ</t>
    </rPh>
    <rPh sb="18" eb="22">
      <t>サブンヨソク</t>
    </rPh>
    <phoneticPr fontId="8"/>
  </si>
  <si>
    <t>JOD281</t>
  </si>
  <si>
    <t>JOD282</t>
    <phoneticPr fontId="8"/>
  </si>
  <si>
    <t>JOD283</t>
    <phoneticPr fontId="8"/>
  </si>
  <si>
    <t>はぴねすくらぶ6月号3色組　￥3990⑥</t>
    <rPh sb="8" eb="10">
      <t>ガツゴウ</t>
    </rPh>
    <rPh sb="11" eb="13">
      <t>ショククミ</t>
    </rPh>
    <phoneticPr fontId="8"/>
  </si>
  <si>
    <t>ハルメク・アルファ㉓</t>
    <phoneticPr fontId="8"/>
  </si>
  <si>
    <t>大阪いずみ生協10月5回3色組（不透明袋）</t>
    <rPh sb="0" eb="7">
      <t>オオサカイズミセイキョウ</t>
    </rPh>
    <rPh sb="9" eb="10">
      <t>ガツ</t>
    </rPh>
    <rPh sb="11" eb="12">
      <t>カイ</t>
    </rPh>
    <rPh sb="13" eb="15">
      <t>ショククミ</t>
    </rPh>
    <rPh sb="16" eb="20">
      <t>フトウメイフクロ</t>
    </rPh>
    <phoneticPr fontId="8"/>
  </si>
  <si>
    <t>10/22～11/10</t>
    <phoneticPr fontId="8"/>
  </si>
  <si>
    <t>くらし企画（日生協カタログ3色組）sample</t>
    <rPh sb="3" eb="5">
      <t>キカク</t>
    </rPh>
    <rPh sb="6" eb="9">
      <t>ニッセイキョウ</t>
    </rPh>
    <rPh sb="14" eb="16">
      <t>ショククミ</t>
    </rPh>
    <phoneticPr fontId="8"/>
  </si>
  <si>
    <t>大阪いずみ生協10月5回3色組 差分予測</t>
    <rPh sb="0" eb="7">
      <t>オオサカイズミセイキョウ</t>
    </rPh>
    <rPh sb="9" eb="10">
      <t>ガツ</t>
    </rPh>
    <rPh sb="11" eb="12">
      <t>カイ</t>
    </rPh>
    <rPh sb="13" eb="15">
      <t>ショククミ</t>
    </rPh>
    <rPh sb="16" eb="20">
      <t>サブンヨソク</t>
    </rPh>
    <phoneticPr fontId="8"/>
  </si>
  <si>
    <t>JOD284</t>
    <phoneticPr fontId="8"/>
  </si>
  <si>
    <t>ベルーナ返品</t>
    <rPh sb="4" eb="6">
      <t>ヘンピン</t>
    </rPh>
    <phoneticPr fontId="4"/>
  </si>
  <si>
    <t>コープデリ8月2回～9月1回3色組（不透明袋）①</t>
    <rPh sb="6" eb="7">
      <t>ガツ</t>
    </rPh>
    <rPh sb="8" eb="9">
      <t>カイ</t>
    </rPh>
    <rPh sb="11" eb="12">
      <t>ガツ</t>
    </rPh>
    <rPh sb="13" eb="14">
      <t>カイ</t>
    </rPh>
    <rPh sb="15" eb="17">
      <t>ショククミ</t>
    </rPh>
    <phoneticPr fontId="8"/>
  </si>
  <si>
    <t>JOD285</t>
    <phoneticPr fontId="8"/>
  </si>
  <si>
    <t>ハルメク・アルファ㉔</t>
    <phoneticPr fontId="8"/>
  </si>
  <si>
    <t>JOD286</t>
    <phoneticPr fontId="8"/>
  </si>
  <si>
    <t>ハルメク・アルファ㉕</t>
    <phoneticPr fontId="8"/>
  </si>
  <si>
    <t>はぴねすくらぶ6月号3色組　￥3990⑦</t>
    <rPh sb="8" eb="10">
      <t>ガツゴウ</t>
    </rPh>
    <rPh sb="11" eb="13">
      <t>ショククミ</t>
    </rPh>
    <phoneticPr fontId="8"/>
  </si>
  <si>
    <t>10/1～15</t>
    <phoneticPr fontId="8"/>
  </si>
  <si>
    <t>ユーコープ10月3回3色組（不透明袋）￥3990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</si>
  <si>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ユーコープ１０月３回３色組　差分予測</t>
    <rPh sb="7" eb="8">
      <t>ガツ</t>
    </rPh>
    <rPh sb="9" eb="10">
      <t>カイ</t>
    </rPh>
    <rPh sb="11" eb="13">
      <t>ショクグミ</t>
    </rPh>
    <rPh sb="14" eb="18">
      <t>サブンヨソク</t>
    </rPh>
    <phoneticPr fontId="8"/>
  </si>
  <si>
    <t>JOD287</t>
  </si>
  <si>
    <t>JOD288</t>
  </si>
  <si>
    <t>パルくらす11月2回　差分予測</t>
    <rPh sb="7" eb="8">
      <t>ガツ</t>
    </rPh>
    <rPh sb="9" eb="10">
      <t>カイ</t>
    </rPh>
    <rPh sb="11" eb="15">
      <t>サブンヨソク</t>
    </rPh>
    <phoneticPr fontId="8"/>
  </si>
  <si>
    <t>パルくらす11月2回3色組（不透明袋）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</si>
  <si>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点10/23、アバウト・初回11/4、発注11/4～10</t>
    <rPh sb="0" eb="1">
      <t>テン</t>
    </rPh>
    <rPh sb="12" eb="14">
      <t>ショカイ</t>
    </rPh>
    <rPh sb="19" eb="21">
      <t>ハッチュウ</t>
    </rPh>
    <phoneticPr fontId="8"/>
  </si>
  <si>
    <t>IEIヴィヴァン8月号3色組①</t>
    <rPh sb="9" eb="11">
      <t>ガツゴウ</t>
    </rPh>
    <rPh sb="12" eb="14">
      <t>ショククミ</t>
    </rPh>
    <phoneticPr fontId="8"/>
  </si>
  <si>
    <t>ことせ2531（ハルメクアルファ）3色組￥4390</t>
    <rPh sb="18" eb="20">
      <t>ショククミ</t>
    </rPh>
    <phoneticPr fontId="8"/>
  </si>
  <si>
    <t>8/29～11/30</t>
    <phoneticPr fontId="8"/>
  </si>
  <si>
    <t>ことせ2531（ハルメクアルファ）差分予測</t>
    <rPh sb="17" eb="21">
      <t>サブンヨソク</t>
    </rPh>
    <phoneticPr fontId="8"/>
  </si>
  <si>
    <t>JOD289</t>
  </si>
  <si>
    <t>はぴねすくらぶ6月号3色組　￥3990⑧</t>
    <rPh sb="8" eb="10">
      <t>ガツゴウ</t>
    </rPh>
    <rPh sb="11" eb="13">
      <t>ショククミ</t>
    </rPh>
    <phoneticPr fontId="8"/>
  </si>
  <si>
    <t>ハルメク・アルファ㉖</t>
    <phoneticPr fontId="8"/>
  </si>
  <si>
    <t>はぴねすくらぶ6月号3色組　￥3990⑨</t>
    <rPh sb="8" eb="10">
      <t>ガツゴウ</t>
    </rPh>
    <rPh sb="11" eb="13">
      <t>ショククミ</t>
    </rPh>
    <phoneticPr fontId="8"/>
  </si>
  <si>
    <t>大阪いずみ生協8月3回3色組￥3990（不透明袋）①</t>
    <rPh sb="0" eb="7">
      <t>オオサカイズミセイキョウ</t>
    </rPh>
    <rPh sb="8" eb="9">
      <t>ガツ</t>
    </rPh>
    <rPh sb="10" eb="11">
      <t>カイ</t>
    </rPh>
    <rPh sb="12" eb="14">
      <t>ショククミ</t>
    </rPh>
    <rPh sb="20" eb="24">
      <t>フトウメイフクロ</t>
    </rPh>
    <phoneticPr fontId="8"/>
  </si>
  <si>
    <t>IEI使ってヨカッタ10月号3色組</t>
    <rPh sb="3" eb="4">
      <t>ツカ</t>
    </rPh>
    <rPh sb="12" eb="14">
      <t>ガツゴウ</t>
    </rPh>
    <rPh sb="15" eb="17">
      <t>ショククミ</t>
    </rPh>
    <phoneticPr fontId="8"/>
  </si>
  <si>
    <t>10/6～2/28</t>
    <phoneticPr fontId="8"/>
  </si>
  <si>
    <t>JOD290</t>
    <phoneticPr fontId="8"/>
  </si>
  <si>
    <t>IEI返品</t>
    <rPh sb="3" eb="5">
      <t>ヘンピン</t>
    </rPh>
    <phoneticPr fontId="8"/>
  </si>
  <si>
    <t>コープデリ8月2回～9月1回3色組（不透明袋）②</t>
    <rPh sb="6" eb="7">
      <t>ガツ</t>
    </rPh>
    <rPh sb="8" eb="9">
      <t>カイ</t>
    </rPh>
    <rPh sb="11" eb="12">
      <t>ガツ</t>
    </rPh>
    <rPh sb="13" eb="14">
      <t>カイ</t>
    </rPh>
    <rPh sb="15" eb="17">
      <t>ショククミ</t>
    </rPh>
    <phoneticPr fontId="8"/>
  </si>
  <si>
    <t>ハルメク・アルファ㉗</t>
    <phoneticPr fontId="8"/>
  </si>
  <si>
    <t>はぴねすくらぶ6月号3色組　￥3990⑩</t>
    <rPh sb="8" eb="10">
      <t>ガツゴウ</t>
    </rPh>
    <rPh sb="11" eb="13">
      <t>ショククミ</t>
    </rPh>
    <phoneticPr fontId="8"/>
  </si>
  <si>
    <t>ユーコープ8月4回3色組（不透明袋）￥3990①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</si>
  <si>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JOD291</t>
    <phoneticPr fontId="8"/>
  </si>
  <si>
    <t>コープきんき9月2回（不透明袋）①</t>
    <rPh sb="7" eb="8">
      <t>ガツ</t>
    </rPh>
    <rPh sb="9" eb="10">
      <t>カイ</t>
    </rPh>
    <rPh sb="11" eb="15">
      <t>フトウメイフクロ</t>
    </rPh>
    <phoneticPr fontId="8"/>
  </si>
  <si>
    <t>はぴねすくらぶ6月号3色組　￥3990⑪</t>
    <rPh sb="8" eb="10">
      <t>ガツゴウ</t>
    </rPh>
    <rPh sb="11" eb="13">
      <t>ショククミ</t>
    </rPh>
    <phoneticPr fontId="8"/>
  </si>
  <si>
    <t>ことせ2589/3色組（ハルメクアルファ）</t>
    <rPh sb="9" eb="11">
      <t>ショククミ</t>
    </rPh>
    <phoneticPr fontId="8"/>
  </si>
  <si>
    <t>10/24～1/31</t>
    <phoneticPr fontId="8"/>
  </si>
  <si>
    <t>JOD292</t>
    <phoneticPr fontId="8"/>
  </si>
  <si>
    <t>本生産からの抜き取り</t>
    <rPh sb="0" eb="1">
      <t>ホン</t>
    </rPh>
    <rPh sb="1" eb="3">
      <t>セイサン</t>
    </rPh>
    <rPh sb="6" eb="7">
      <t>ヌ</t>
    </rPh>
    <rPh sb="8" eb="9">
      <t>ト</t>
    </rPh>
    <phoneticPr fontId="4"/>
  </si>
  <si>
    <t>くらし企画（パルシステム事前点検用）</t>
    <rPh sb="3" eb="5">
      <t>キカク</t>
    </rPh>
    <rPh sb="12" eb="16">
      <t>ジゼンテンケン</t>
    </rPh>
    <rPh sb="16" eb="17">
      <t>ヨウ</t>
    </rPh>
    <phoneticPr fontId="8"/>
  </si>
  <si>
    <t>JOD293</t>
    <phoneticPr fontId="8"/>
  </si>
  <si>
    <t>グリーンコープ23号3色組（不透明袋）①</t>
    <rPh sb="9" eb="10">
      <t>ゴウ</t>
    </rPh>
    <rPh sb="11" eb="13">
      <t>ショククミ</t>
    </rPh>
    <phoneticPr fontId="8"/>
  </si>
  <si>
    <t>ユーコープ8月4回3色組（不透明袋）￥3990②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</si>
  <si>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JOD294</t>
    <phoneticPr fontId="8"/>
  </si>
  <si>
    <t>ユーコープ8月4回3色組（不透明袋）￥3990③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</si>
  <si>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JOD295</t>
    <phoneticPr fontId="8"/>
  </si>
  <si>
    <t>はぴねすくらぶ6月号3色組　￥3990⑫</t>
    <rPh sb="8" eb="10">
      <t>ガツゴウ</t>
    </rPh>
    <rPh sb="11" eb="13">
      <t>ショククミ</t>
    </rPh>
    <phoneticPr fontId="8"/>
  </si>
  <si>
    <t>JOD296</t>
    <phoneticPr fontId="8"/>
  </si>
  <si>
    <t>グリーンコープ23号3色組（不透明袋）②</t>
    <rPh sb="9" eb="10">
      <t>ゴウ</t>
    </rPh>
    <rPh sb="11" eb="13">
      <t>ショククミ</t>
    </rPh>
    <phoneticPr fontId="8"/>
  </si>
  <si>
    <t>IEIヴィヴァン8月号3色組②</t>
    <rPh sb="9" eb="11">
      <t>ガツゴウ</t>
    </rPh>
    <rPh sb="12" eb="14">
      <t>ショククミ</t>
    </rPh>
    <phoneticPr fontId="8"/>
  </si>
  <si>
    <t>JOD297</t>
    <phoneticPr fontId="8"/>
  </si>
  <si>
    <t>コープ東北サンネット10月3回3色組差分予測</t>
    <rPh sb="3" eb="5">
      <t>トウホク</t>
    </rPh>
    <rPh sb="12" eb="13">
      <t>ガツ</t>
    </rPh>
    <rPh sb="14" eb="15">
      <t>カイ</t>
    </rPh>
    <rPh sb="16" eb="18">
      <t>ショククミ</t>
    </rPh>
    <rPh sb="18" eb="22">
      <t>サブンヨソク</t>
    </rPh>
    <phoneticPr fontId="8"/>
  </si>
  <si>
    <t>10/3～15</t>
    <phoneticPr fontId="8"/>
  </si>
  <si>
    <t>10/24～11/5</t>
    <phoneticPr fontId="8"/>
  </si>
  <si>
    <t>コープ東北サンネット10月3回3色組（不透明袋）サクラマチ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</si>
  <si>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コープ北陸11月1回3色組（不透明袋）￥3990</t>
    <rPh sb="3" eb="5">
      <t>ホクリク</t>
    </rPh>
    <rPh sb="7" eb="8">
      <t>ガツ</t>
    </rPh>
    <rPh sb="9" eb="10">
      <t>カイ</t>
    </rPh>
    <phoneticPr fontId="8"/>
  </si>
  <si>
    <t>コープ北陸11月1回差分予測</t>
    <rPh sb="3" eb="5">
      <t>ホクリク</t>
    </rPh>
    <rPh sb="7" eb="8">
      <t>ガツ</t>
    </rPh>
    <rPh sb="9" eb="10">
      <t>カイ</t>
    </rPh>
    <rPh sb="10" eb="14">
      <t>サブンヨソク</t>
    </rPh>
    <phoneticPr fontId="8"/>
  </si>
  <si>
    <t>コープ北陸11月1回（不透明袋）￥3990</t>
    <rPh sb="3" eb="5">
      <t>ホクリク</t>
    </rPh>
    <rPh sb="7" eb="8">
      <t>ガツ</t>
    </rPh>
    <rPh sb="9" eb="10">
      <t>カイ</t>
    </rPh>
    <phoneticPr fontId="8"/>
  </si>
  <si>
    <t>JOD298</t>
    <phoneticPr fontId="8"/>
  </si>
  <si>
    <t>はぴねすくらぶ6月号3色組　￥3990⑬</t>
    <rPh sb="8" eb="10">
      <t>ガツゴウ</t>
    </rPh>
    <rPh sb="11" eb="13">
      <t>ショククミ</t>
    </rPh>
    <phoneticPr fontId="8"/>
  </si>
  <si>
    <t>JOD299</t>
    <phoneticPr fontId="8"/>
  </si>
  <si>
    <t>←ここまで式確認2025/8/28</t>
    <rPh sb="0" eb="8">
      <t>&lt;-ココマデシキカクニン</t>
    </rPh>
    <phoneticPr fontId="8"/>
  </si>
  <si>
    <t>JOD300</t>
    <phoneticPr fontId="8"/>
  </si>
  <si>
    <t>11/6～12/19</t>
    <phoneticPr fontId="8"/>
  </si>
  <si>
    <t>はぴねすくらぶ6月号3色組　￥3990⑭</t>
    <rPh sb="8" eb="10">
      <t>ガツゴウ</t>
    </rPh>
    <rPh sb="11" eb="13">
      <t>ショククミ</t>
    </rPh>
    <phoneticPr fontId="8"/>
  </si>
  <si>
    <t>コープきんき9月2回（不透明袋）②</t>
    <phoneticPr fontId="8"/>
  </si>
  <si>
    <t>JOD301</t>
    <phoneticPr fontId="8"/>
  </si>
  <si>
    <t>JOD302</t>
    <phoneticPr fontId="8"/>
  </si>
  <si>
    <t>コープ九州9月3回（不透明袋）①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8"/>
  </si>
  <si>
    <t>JOD303</t>
  </si>
  <si>
    <t>コープきんき9月2回（不透明袋）③</t>
    <phoneticPr fontId="8"/>
  </si>
  <si>
    <t>9/9ship</t>
    <phoneticPr fontId="8"/>
  </si>
  <si>
    <t>10月伝</t>
    <rPh sb="2" eb="4">
      <t>ガツデン</t>
    </rPh>
    <phoneticPr fontId="8"/>
  </si>
  <si>
    <t>JOD304</t>
    <phoneticPr fontId="8"/>
  </si>
  <si>
    <t>コープきんき9月2回（不透明袋）④</t>
    <phoneticPr fontId="8"/>
  </si>
  <si>
    <t>JOD305</t>
    <phoneticPr fontId="8"/>
  </si>
  <si>
    <t>はぴねすくらぶ6月号3色組　￥3990⑮</t>
    <rPh sb="8" eb="10">
      <t>ガツゴウ</t>
    </rPh>
    <rPh sb="11" eb="13">
      <t>ショククミ</t>
    </rPh>
    <phoneticPr fontId="8"/>
  </si>
  <si>
    <t>ハルメク・アルファ㉘</t>
    <phoneticPr fontId="8"/>
  </si>
  <si>
    <t>11/10～2/28</t>
    <phoneticPr fontId="8"/>
  </si>
  <si>
    <t>IEI使ってヨカッタ11月号3色組差分予測</t>
    <rPh sb="3" eb="4">
      <t>ツカ</t>
    </rPh>
    <rPh sb="12" eb="14">
      <t>ガツゴウ</t>
    </rPh>
    <rPh sb="15" eb="17">
      <t>ショククミ</t>
    </rPh>
    <rPh sb="17" eb="21">
      <t>サブンヨソク</t>
    </rPh>
    <phoneticPr fontId="8"/>
  </si>
  <si>
    <t>IEI使ってヨカッタ11月号3色組￥4500</t>
    <rPh sb="3" eb="4">
      <t>ツカ</t>
    </rPh>
    <rPh sb="12" eb="14">
      <t>ガツゴウ</t>
    </rPh>
    <rPh sb="15" eb="17">
      <t>ショククミ</t>
    </rPh>
    <phoneticPr fontId="8"/>
  </si>
  <si>
    <t>IEI使ってヨカッタ10月号3色組￥4990差分予測</t>
    <rPh sb="3" eb="4">
      <t>ツカ</t>
    </rPh>
    <rPh sb="12" eb="14">
      <t>ガツゴウ</t>
    </rPh>
    <rPh sb="15" eb="17">
      <t>ショククミ</t>
    </rPh>
    <rPh sb="22" eb="26">
      <t>サブンヨソク</t>
    </rPh>
    <phoneticPr fontId="8"/>
  </si>
  <si>
    <t>IEI使ってヨカッタ11月号3色組</t>
    <rPh sb="3" eb="4">
      <t>ツカ</t>
    </rPh>
    <rPh sb="12" eb="14">
      <t>ガツゴウ</t>
    </rPh>
    <rPh sb="15" eb="17">
      <t>ショククミ</t>
    </rPh>
    <phoneticPr fontId="8"/>
  </si>
  <si>
    <t>IEI使ってヨカッタ11月号3色組￥4990差分予測</t>
    <rPh sb="3" eb="4">
      <t>ツカ</t>
    </rPh>
    <rPh sb="12" eb="14">
      <t>ガツゴウ</t>
    </rPh>
    <rPh sb="15" eb="17">
      <t>ショククミ</t>
    </rPh>
    <rPh sb="22" eb="26">
      <t>サブンヨソク</t>
    </rPh>
    <phoneticPr fontId="8"/>
  </si>
  <si>
    <t>ことせ2541/3色組（ハルメクアルファ）</t>
    <rPh sb="9" eb="11">
      <t>ショククミ</t>
    </rPh>
    <phoneticPr fontId="8"/>
  </si>
  <si>
    <t>ことせファッション1月号テスト2579号/3色組（ハルメクアルファ）</t>
    <rPh sb="10" eb="12">
      <t>ガツゴウ</t>
    </rPh>
    <rPh sb="19" eb="20">
      <t>ゴウ</t>
    </rPh>
    <rPh sb="22" eb="24">
      <t>ショククミ</t>
    </rPh>
    <phoneticPr fontId="8"/>
  </si>
  <si>
    <t>ことせ2541/3色組（ハルメクアルファ）差分予測</t>
    <rPh sb="9" eb="11">
      <t>ショククミ</t>
    </rPh>
    <rPh sb="21" eb="25">
      <t>サブンヨソク</t>
    </rPh>
    <phoneticPr fontId="8"/>
  </si>
  <si>
    <t>JOD306</t>
    <phoneticPr fontId="8"/>
  </si>
  <si>
    <t>ハルメク・アルファ㉙</t>
    <phoneticPr fontId="8"/>
  </si>
  <si>
    <t>ハルメク・アルファ㉚</t>
    <phoneticPr fontId="8"/>
  </si>
  <si>
    <t>コープ九州9月3回（不透明袋）②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8"/>
  </si>
  <si>
    <t>初回：展開開始3週間前に計画数の30％納品、展開期間3/16～7/11</t>
    <rPh sb="0" eb="2">
      <t>ショカイ</t>
    </rPh>
    <rPh sb="3" eb="5">
      <t>テンカイ</t>
    </rPh>
    <rPh sb="5" eb="7">
      <t>カイシ</t>
    </rPh>
    <rPh sb="8" eb="11">
      <t>シュウカンマエ</t>
    </rPh>
    <rPh sb="12" eb="15">
      <t>ケイカクスウ</t>
    </rPh>
    <rPh sb="19" eb="21">
      <t>ノウヒン</t>
    </rPh>
    <rPh sb="22" eb="24">
      <t>テンカイ</t>
    </rPh>
    <rPh sb="24" eb="26">
      <t>キカン</t>
    </rPh>
    <phoneticPr fontId="8"/>
  </si>
  <si>
    <t>東都生協9月4回3色組（不透明袋）①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</si>
  <si>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コープ九州9月3回（不透明袋）③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8"/>
  </si>
  <si>
    <t>JODメルシー1018/3色組￥3990</t>
    <rPh sb="13" eb="15">
      <t>ショククミ</t>
    </rPh>
    <phoneticPr fontId="8"/>
  </si>
  <si>
    <t>10/18～</t>
    <phoneticPr fontId="8"/>
  </si>
  <si>
    <t>JODメルシー1018/3色組</t>
    <rPh sb="13" eb="15">
      <t>ショククミ</t>
    </rPh>
    <phoneticPr fontId="8"/>
  </si>
  <si>
    <t>毎日が発見2025年10月売11月号①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phoneticPr fontId="8"/>
  </si>
  <si>
    <t>IEI使ってヨカッタ9月号3色組①</t>
    <rPh sb="3" eb="4">
      <t>ツカ</t>
    </rPh>
    <rPh sb="11" eb="13">
      <t>ガツゴウ</t>
    </rPh>
    <rPh sb="14" eb="16">
      <t>ショククミ</t>
    </rPh>
    <phoneticPr fontId="8"/>
  </si>
  <si>
    <t>コープ九州9月3回（不透明袋）④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8"/>
  </si>
  <si>
    <t>ハルメク・アルファ㉛</t>
    <phoneticPr fontId="8"/>
  </si>
  <si>
    <t>JOD307</t>
    <phoneticPr fontId="8"/>
  </si>
  <si>
    <t>日生協カタログ色合わせ用sample</t>
    <rPh sb="0" eb="3">
      <t>ニッセイキョウ</t>
    </rPh>
    <rPh sb="7" eb="9">
      <t>イロア</t>
    </rPh>
    <rPh sb="11" eb="12">
      <t>ヨウ</t>
    </rPh>
    <phoneticPr fontId="8"/>
  </si>
  <si>
    <t>東都生協9月4回3色組（不透明袋）②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</si>
  <si>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ハルメク・アルファ㉜</t>
    <phoneticPr fontId="8"/>
  </si>
  <si>
    <t>はぴねすくらぶ6月号3色組　￥3990⑯</t>
    <rPh sb="8" eb="10">
      <t>ガツゴウ</t>
    </rPh>
    <rPh sb="11" eb="13">
      <t>ショククミ</t>
    </rPh>
    <phoneticPr fontId="8"/>
  </si>
  <si>
    <t>コープ東北サンネット11月3回3色組（不透明袋）サクラマチ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</si>
  <si>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コープ東北サンネット11月3回3色組差分予測</t>
    <rPh sb="3" eb="5">
      <t>トウホク</t>
    </rPh>
    <rPh sb="12" eb="13">
      <t>ガツ</t>
    </rPh>
    <rPh sb="14" eb="15">
      <t>カイ</t>
    </rPh>
    <rPh sb="16" eb="18">
      <t>ショククミ</t>
    </rPh>
    <rPh sb="18" eb="22">
      <t>サブンヨソク</t>
    </rPh>
    <phoneticPr fontId="8"/>
  </si>
  <si>
    <t>11/5　7～19</t>
    <phoneticPr fontId="8"/>
  </si>
  <si>
    <t>JOD308</t>
    <phoneticPr fontId="8"/>
  </si>
  <si>
    <t>東都生協9月4回3色組（不透明袋）③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</si>
  <si>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コープ東北サンネット10月1回3色組（不透明袋）サクラマチ①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</si>
  <si>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JOD309</t>
  </si>
  <si>
    <t>在庫構成比</t>
    <rPh sb="0" eb="2">
      <t>ザイコ</t>
    </rPh>
    <rPh sb="2" eb="5">
      <t>コウセイヒ</t>
    </rPh>
    <phoneticPr fontId="8"/>
  </si>
  <si>
    <t>実績構成比</t>
    <rPh sb="0" eb="2">
      <t>ジッセキ</t>
    </rPh>
    <rPh sb="2" eb="5">
      <t>コウセイヒ</t>
    </rPh>
    <phoneticPr fontId="8"/>
  </si>
  <si>
    <t>夢販</t>
    <rPh sb="0" eb="2">
      <t>ユメハン</t>
    </rPh>
    <phoneticPr fontId="8"/>
  </si>
  <si>
    <t>パルくらす12月5回3色組（不透明袋）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</si>
  <si>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パルくらす12月5回　差分予測</t>
    <rPh sb="7" eb="8">
      <t>ガツ</t>
    </rPh>
    <rPh sb="9" eb="10">
      <t>カイ</t>
    </rPh>
    <rPh sb="11" eb="15">
      <t>サブンヨソク</t>
    </rPh>
    <phoneticPr fontId="8"/>
  </si>
  <si>
    <t>点12/4、アバウト・初回12/16、発注12/16～22</t>
    <rPh sb="0" eb="1">
      <t>テン</t>
    </rPh>
    <rPh sb="11" eb="13">
      <t>ショカイ</t>
    </rPh>
    <rPh sb="19" eb="21">
      <t>ハッチュウ</t>
    </rPh>
    <phoneticPr fontId="8"/>
  </si>
  <si>
    <t>JOD310</t>
    <phoneticPr fontId="8"/>
  </si>
  <si>
    <t>電話注文</t>
    <rPh sb="0" eb="4">
      <t>デンワチュウモン</t>
    </rPh>
    <phoneticPr fontId="8"/>
  </si>
  <si>
    <t>毎日が発見2025年10月売11月号②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phoneticPr fontId="8"/>
  </si>
  <si>
    <t>JOD311</t>
    <phoneticPr fontId="8"/>
  </si>
  <si>
    <t>コープ東北サンネット10月1回3色組（不透明袋）サクラマチ②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</si>
  <si>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２０２６年２月初旬～</t>
    <rPh sb="4" eb="5">
      <t>ネン</t>
    </rPh>
    <rPh sb="6" eb="7">
      <t>ガツ</t>
    </rPh>
    <rPh sb="7" eb="9">
      <t>ショジュン</t>
    </rPh>
    <phoneticPr fontId="8"/>
  </si>
  <si>
    <t xml:space="preserve">２０２６年４月初旬～ </t>
    <rPh sb="4" eb="5">
      <t>ネン</t>
    </rPh>
    <rPh sb="6" eb="7">
      <t>ガツ</t>
    </rPh>
    <rPh sb="7" eb="9">
      <t>ショジュン</t>
    </rPh>
    <phoneticPr fontId="8"/>
  </si>
  <si>
    <t>コープ東北サンネット10月1回3色組（不透明袋）サクラマチ③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</si>
  <si>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毎日が発見2025年12月売1月号3色組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</si>
  <si>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毎日が発見2025年11月売12月号3色組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rPh sb="19" eb="21">
      <t>ショククミ</t>
    </rPh>
    <phoneticPr fontId="8"/>
  </si>
  <si>
    <t>ロイヤルステージ11月号3色組¥4500</t>
    <rPh sb="10" eb="12">
      <t>ガツゴウ</t>
    </rPh>
    <rPh sb="13" eb="15">
      <t>ショククミ</t>
    </rPh>
    <phoneticPr fontId="8"/>
  </si>
  <si>
    <t>ロイヤルステージ11月号3色組¥4500差分予測</t>
    <rPh sb="10" eb="12">
      <t>ガツゴウ</t>
    </rPh>
    <rPh sb="13" eb="15">
      <t>ショククミ</t>
    </rPh>
    <rPh sb="20" eb="24">
      <t>サブンヨソク</t>
    </rPh>
    <phoneticPr fontId="8"/>
  </si>
  <si>
    <t>毎日が発見2025年10月売11月号3色組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rPh sb="19" eb="21">
      <t>ショククミ</t>
    </rPh>
    <phoneticPr fontId="8"/>
  </si>
  <si>
    <t>毎日が発見2025年11月売12月号3色組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phoneticPr fontId="8"/>
  </si>
  <si>
    <t>はぴねすくらぶ12月号3色組差分予測</t>
    <rPh sb="9" eb="11">
      <t>ガツゴウ</t>
    </rPh>
    <rPh sb="12" eb="14">
      <t>ショククミ</t>
    </rPh>
    <rPh sb="14" eb="18">
      <t>サブンヨソク</t>
    </rPh>
    <phoneticPr fontId="8"/>
  </si>
  <si>
    <t>コープ東北サンネット10月1回3色組（不透明袋）サクラマチ④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</si>
  <si>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ハルメク・アルファ㉝</t>
    <phoneticPr fontId="8"/>
  </si>
  <si>
    <t>2025/10/1→9/19数伝</t>
    <rPh sb="14" eb="15">
      <t>スウ</t>
    </rPh>
    <rPh sb="15" eb="16">
      <t>デン</t>
    </rPh>
    <phoneticPr fontId="8"/>
  </si>
  <si>
    <t>ハルメク・アルファ㉞</t>
    <phoneticPr fontId="8"/>
  </si>
  <si>
    <t>IEI使ってヨカッタ10月号3色組①</t>
    <rPh sb="3" eb="4">
      <t>ツカ</t>
    </rPh>
    <rPh sb="12" eb="14">
      <t>ガツゴウ</t>
    </rPh>
    <rPh sb="15" eb="17">
      <t>ショククミ</t>
    </rPh>
    <phoneticPr fontId="8"/>
  </si>
  <si>
    <t>JOD312</t>
    <phoneticPr fontId="8"/>
  </si>
  <si>
    <t>コープ東北サンネット10月3回3色組（不透明袋）サクラマチ①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</si>
  <si>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ユーコープ10月3回3色組（不透明袋）￥3990①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</si>
  <si>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12/4～1/10</t>
    <phoneticPr fontId="8"/>
  </si>
  <si>
    <t>ロイヤルステージ12月号3色組</t>
    <rPh sb="10" eb="12">
      <t>ガツゴウ</t>
    </rPh>
    <rPh sb="13" eb="15">
      <t>ショクグミ</t>
    </rPh>
    <phoneticPr fontId="8"/>
  </si>
  <si>
    <t>JOD313</t>
    <phoneticPr fontId="8"/>
  </si>
  <si>
    <t>毎日が発見2025年10月売11月号③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phoneticPr fontId="8"/>
  </si>
  <si>
    <t>JOD314</t>
  </si>
  <si>
    <t>JOD特別号R9814/3色組￥3990</t>
    <rPh sb="3" eb="6">
      <t>トクベツゴウ</t>
    </rPh>
    <rPh sb="13" eb="15">
      <t>ショククミ</t>
    </rPh>
    <phoneticPr fontId="8"/>
  </si>
  <si>
    <t>11/5～</t>
    <phoneticPr fontId="8"/>
  </si>
  <si>
    <t>JOD特別号R9814/3色組</t>
    <rPh sb="3" eb="6">
      <t>トクベツゴウ</t>
    </rPh>
    <rPh sb="13" eb="15">
      <t>ショククミ</t>
    </rPh>
    <phoneticPr fontId="8"/>
  </si>
  <si>
    <t>JOD315</t>
    <phoneticPr fontId="8"/>
  </si>
  <si>
    <t>JOD316</t>
  </si>
  <si>
    <t>コープ東北サンネット10月3回3色組（不透明袋）サクラマチ②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</si>
  <si>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ユーコープ10月3回3色組（不透明袋）￥3990②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</si>
  <si>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JOD317</t>
  </si>
  <si>
    <t>コープ東北サンネット10月3回3色組（不透明袋）サクラマチ③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</si>
  <si>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ユーコープ10月3回3色組（不透明袋）￥3990③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</si>
  <si>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夢販</t>
    <rPh sb="0" eb="2">
      <t>ユメハン</t>
    </rPh>
    <phoneticPr fontId="8"/>
  </si>
  <si>
    <t>JOD318</t>
    <phoneticPr fontId="8"/>
  </si>
  <si>
    <t>コープ東北サンネット10月3回3色組（不透明袋）サクラマチ④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</si>
  <si>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コープデリ12月2回～1月1回3色組（不透明袋）差分予測</t>
    <rPh sb="7" eb="8">
      <t>ガツ</t>
    </rPh>
    <rPh sb="9" eb="10">
      <t>カイ</t>
    </rPh>
    <rPh sb="16" eb="18">
      <t>ショククミ</t>
    </rPh>
    <rPh sb="24" eb="28">
      <t>サブンヨソク</t>
    </rPh>
    <phoneticPr fontId="8"/>
  </si>
  <si>
    <t>初回11/19～最終1/5</t>
    <rPh sb="0" eb="2">
      <t>ショカイ</t>
    </rPh>
    <rPh sb="8" eb="10">
      <t>サイシュウ</t>
    </rPh>
    <phoneticPr fontId="8"/>
  </si>
  <si>
    <t>JOD319</t>
    <phoneticPr fontId="8"/>
  </si>
  <si>
    <t>コープ東北サンネット10月3回3色組（不透明袋）⑤直送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5" eb="27">
      <t>チョクソウ</t>
    </rPh>
    <phoneticPr fontId="8"/>
  </si>
  <si>
    <t>毎日が発見2025年10月売11月号③</t>
    <phoneticPr fontId="8"/>
  </si>
  <si>
    <t>毎日が発見2025年11月売12月号3色組①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phoneticPr fontId="8"/>
  </si>
  <si>
    <t>11/26～12/10</t>
    <phoneticPr fontId="8"/>
  </si>
  <si>
    <t>＜レースアクティブシニアショーツ大寸＞　R4102C ゆめはん在庫  @547  1P\1780 3P\4990</t>
    <rPh sb="16" eb="18">
      <t>ダイスン</t>
    </rPh>
    <rPh sb="31" eb="33">
      <t>ザイコ</t>
    </rPh>
    <phoneticPr fontId="4"/>
  </si>
  <si>
    <t>＜レースアクティブシニアショーツ大寸＞ R4102C KPORT在庫    @547   1P\1780  3P\4990</t>
    <rPh sb="16" eb="18">
      <t>ダイスン</t>
    </rPh>
    <rPh sb="32" eb="34">
      <t>ザイコ</t>
    </rPh>
    <phoneticPr fontId="4"/>
  </si>
  <si>
    <t>東北サンネット　12月2回3色組（不透明袋）サクラマチ</t>
    <rPh sb="0" eb="2">
      <t>トウホク</t>
    </rPh>
    <rPh sb="10" eb="11">
      <t>ガツ</t>
    </rPh>
    <rPh sb="12" eb="13">
      <t>カイ</t>
    </rPh>
    <phoneticPr fontId="8"/>
  </si>
  <si>
    <t>東北サンネット　12月2回　差分予測</t>
    <rPh sb="0" eb="2">
      <t>トウホク</t>
    </rPh>
    <rPh sb="10" eb="11">
      <t>ガツ</t>
    </rPh>
    <rPh sb="12" eb="13">
      <t>カイ</t>
    </rPh>
    <rPh sb="14" eb="18">
      <t>サブンヨソク</t>
    </rPh>
    <phoneticPr fontId="8"/>
  </si>
  <si>
    <t>JOD320</t>
    <phoneticPr fontId="8"/>
  </si>
  <si>
    <t>夢販</t>
    <rPh sb="0" eb="2">
      <t>ユメハン</t>
    </rPh>
    <phoneticPr fontId="8"/>
  </si>
  <si>
    <t>JOD321</t>
  </si>
  <si>
    <t>ハルメク・アルファ㉟</t>
    <phoneticPr fontId="8"/>
  </si>
  <si>
    <t>ハルメク・アルファ㊱</t>
    <phoneticPr fontId="8"/>
  </si>
  <si>
    <t>JOD322</t>
    <phoneticPr fontId="8"/>
  </si>
  <si>
    <t>ハルメク・アルファ㊲</t>
    <phoneticPr fontId="8"/>
  </si>
  <si>
    <t>JOD323</t>
  </si>
  <si>
    <t>くらし企画（きんき選定会議用）</t>
    <rPh sb="3" eb="5">
      <t>キカク</t>
    </rPh>
    <rPh sb="9" eb="14">
      <t>センテイカイギヨウ</t>
    </rPh>
    <phoneticPr fontId="8"/>
  </si>
  <si>
    <t>JOD324</t>
    <phoneticPr fontId="8"/>
  </si>
  <si>
    <t>ハルメク・アルファ㊳</t>
    <phoneticPr fontId="8"/>
  </si>
  <si>
    <t>12/17～1/7</t>
    <phoneticPr fontId="8"/>
  </si>
  <si>
    <t>ロイヤルステージ12月号3色組　差分予測</t>
    <rPh sb="10" eb="12">
      <t>ガツゴウ</t>
    </rPh>
    <rPh sb="13" eb="15">
      <t>ショクグミ</t>
    </rPh>
    <rPh sb="16" eb="20">
      <t>サブンヨソク</t>
    </rPh>
    <phoneticPr fontId="8"/>
  </si>
  <si>
    <t>IEI使ってヨカッタ1月号3色組￥4500</t>
    <rPh sb="3" eb="4">
      <t>ツカ</t>
    </rPh>
    <rPh sb="11" eb="13">
      <t>ガツゴウ</t>
    </rPh>
    <rPh sb="14" eb="16">
      <t>ショククミ</t>
    </rPh>
    <phoneticPr fontId="8"/>
  </si>
  <si>
    <t>IEI使ってヨカッタ1月号3色組差分予測</t>
    <rPh sb="3" eb="4">
      <t>ツカ</t>
    </rPh>
    <rPh sb="11" eb="13">
      <t>ガツゴウ</t>
    </rPh>
    <rPh sb="14" eb="16">
      <t>ショククミ</t>
    </rPh>
    <rPh sb="16" eb="20">
      <t>サブンヨソク</t>
    </rPh>
    <phoneticPr fontId="8"/>
  </si>
  <si>
    <t>1/5～4/30</t>
    <phoneticPr fontId="8"/>
  </si>
  <si>
    <t>IEI使ってヨカッタ1月号3色組</t>
    <rPh sb="3" eb="4">
      <t>ツカ</t>
    </rPh>
    <rPh sb="11" eb="13">
      <t>ガツゴウ</t>
    </rPh>
    <rPh sb="14" eb="16">
      <t>ショククミ</t>
    </rPh>
    <phoneticPr fontId="8"/>
  </si>
  <si>
    <t>グリーンコープ１２月４０号３色組　差分予測</t>
    <rPh sb="9" eb="10">
      <t>ガツ</t>
    </rPh>
    <rPh sb="12" eb="13">
      <t>ゴウ</t>
    </rPh>
    <rPh sb="14" eb="16">
      <t>ショクグミ</t>
    </rPh>
    <rPh sb="17" eb="21">
      <t>サブンヨソク</t>
    </rPh>
    <phoneticPr fontId="8"/>
  </si>
  <si>
    <t>日生協カタログWEB限定トリオラ初夏/3色組（PP袋小）差分予測</t>
    <rPh sb="0" eb="3">
      <t>ニッセイキョウ</t>
    </rPh>
    <rPh sb="10" eb="12">
      <t>ゲンテイ</t>
    </rPh>
    <rPh sb="16" eb="18">
      <t>ショカ</t>
    </rPh>
    <rPh sb="20" eb="22">
      <t>ショククミ</t>
    </rPh>
    <rPh sb="28" eb="32">
      <t>サブンヨソク</t>
    </rPh>
    <phoneticPr fontId="8"/>
  </si>
  <si>
    <t>毎日が発見2025年10月売11月号④</t>
    <phoneticPr fontId="8"/>
  </si>
  <si>
    <t>大阪いずみ生協10月5回3色組（不透明袋）①</t>
    <rPh sb="0" eb="7">
      <t>オオサカイズミセイキョウ</t>
    </rPh>
    <rPh sb="9" eb="10">
      <t>ガツ</t>
    </rPh>
    <rPh sb="11" eb="12">
      <t>カイ</t>
    </rPh>
    <rPh sb="13" eb="15">
      <t>ショククミ</t>
    </rPh>
    <rPh sb="16" eb="20">
      <t>フトウメイフクロ</t>
    </rPh>
    <phoneticPr fontId="8"/>
  </si>
  <si>
    <t>ハルメク・アルファ㊴</t>
    <phoneticPr fontId="8"/>
  </si>
  <si>
    <t>IEI使ってヨカッタ10月号3色組②</t>
    <rPh sb="3" eb="4">
      <t>ツカ</t>
    </rPh>
    <rPh sb="12" eb="14">
      <t>ガツゴウ</t>
    </rPh>
    <rPh sb="15" eb="17">
      <t>ショククミ</t>
    </rPh>
    <phoneticPr fontId="8"/>
  </si>
  <si>
    <t>コープ北陸11月1回3色組（不透明袋）￥3990①</t>
    <rPh sb="3" eb="5">
      <t>ホクリク</t>
    </rPh>
    <rPh sb="7" eb="8">
      <t>ガツ</t>
    </rPh>
    <rPh sb="9" eb="10">
      <t>カイ</t>
    </rPh>
    <phoneticPr fontId="8"/>
  </si>
  <si>
    <t>コープ東北サンネット10月3回3色組（不透明袋）⑥直送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5" eb="27">
      <t>チョクソウ</t>
    </rPh>
    <phoneticPr fontId="8"/>
  </si>
  <si>
    <t>グリーンコープ１２月４０号　3色組（不透明袋）</t>
    <rPh sb="9" eb="10">
      <t>ガツ</t>
    </rPh>
    <rPh sb="12" eb="13">
      <t>ゴウ</t>
    </rPh>
    <rPh sb="15" eb="17">
      <t>ショクグミ</t>
    </rPh>
    <rPh sb="18" eb="22">
      <t>フトウメイフクロ</t>
    </rPh>
    <phoneticPr fontId="8"/>
  </si>
  <si>
    <t>IEIヴィヴァン同梱冊子12月号3色組差分予測</t>
    <rPh sb="8" eb="10">
      <t>ドウコン</t>
    </rPh>
    <rPh sb="10" eb="12">
      <t>サッシ</t>
    </rPh>
    <rPh sb="14" eb="16">
      <t>ガツゴウ</t>
    </rPh>
    <rPh sb="17" eb="19">
      <t>ショククミ</t>
    </rPh>
    <rPh sb="19" eb="23">
      <t>サブンヨソク</t>
    </rPh>
    <phoneticPr fontId="8"/>
  </si>
  <si>
    <t>IEIヴィヴァン同梱冊子12月号3色組￥4500</t>
    <rPh sb="14" eb="16">
      <t>ガツゴウ</t>
    </rPh>
    <rPh sb="17" eb="19">
      <t>ショククミ</t>
    </rPh>
    <phoneticPr fontId="8"/>
  </si>
  <si>
    <t>12/1～2/28</t>
    <phoneticPr fontId="8"/>
  </si>
  <si>
    <t>IEIヴィヴァン同梱冊子12月号3色組￥4990差分予測</t>
    <rPh sb="8" eb="10">
      <t>ドウコン</t>
    </rPh>
    <rPh sb="10" eb="12">
      <t>サッシ</t>
    </rPh>
    <rPh sb="14" eb="16">
      <t>ガツゴウ</t>
    </rPh>
    <rPh sb="17" eb="19">
      <t>ショククミ</t>
    </rPh>
    <rPh sb="24" eb="28">
      <t>サブンヨソク</t>
    </rPh>
    <phoneticPr fontId="8"/>
  </si>
  <si>
    <t>IEIヴィヴァン同梱冊子12月号3色組</t>
    <rPh sb="14" eb="16">
      <t>ガツゴウ</t>
    </rPh>
    <rPh sb="17" eb="19">
      <t>ショククミ</t>
    </rPh>
    <phoneticPr fontId="8"/>
  </si>
  <si>
    <t>コープ北陸11月1回（不透明袋）￥3990①</t>
    <rPh sb="3" eb="5">
      <t>ホクリク</t>
    </rPh>
    <rPh sb="7" eb="8">
      <t>ガツ</t>
    </rPh>
    <rPh sb="9" eb="10">
      <t>カイ</t>
    </rPh>
    <phoneticPr fontId="8"/>
  </si>
  <si>
    <t>JOD①</t>
    <phoneticPr fontId="8"/>
  </si>
  <si>
    <t>大阪いずみ生協10月5回3色組（不透明袋）②</t>
    <rPh sb="0" eb="7">
      <t>オオサカイズミセイキョウ</t>
    </rPh>
    <rPh sb="9" eb="10">
      <t>ガツ</t>
    </rPh>
    <rPh sb="11" eb="12">
      <t>カイ</t>
    </rPh>
    <rPh sb="13" eb="15">
      <t>ショククミ</t>
    </rPh>
    <rPh sb="16" eb="20">
      <t>フトウメイフクロ</t>
    </rPh>
    <phoneticPr fontId="8"/>
  </si>
  <si>
    <t>電話注文</t>
    <rPh sb="0" eb="4">
      <t>デンワチュウモン</t>
    </rPh>
    <phoneticPr fontId="8"/>
  </si>
  <si>
    <t>コープ東北サンネット10月3回3色組（不透明袋）⑦直送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rPh sb="25" eb="27">
      <t>チョクソウ</t>
    </rPh>
    <phoneticPr fontId="8"/>
  </si>
  <si>
    <t>JOD324</t>
    <phoneticPr fontId="8"/>
  </si>
  <si>
    <t>ハルメク・アルファ㊵</t>
    <phoneticPr fontId="8"/>
  </si>
  <si>
    <t>コープ北陸11月1回3色組（不透明袋）￥3990②</t>
    <rPh sb="3" eb="5">
      <t>ホクリク</t>
    </rPh>
    <rPh sb="7" eb="8">
      <t>ガツ</t>
    </rPh>
    <rPh sb="9" eb="10">
      <t>カイ</t>
    </rPh>
    <phoneticPr fontId="8"/>
  </si>
  <si>
    <t>ニッセン⑩</t>
    <phoneticPr fontId="8"/>
  </si>
  <si>
    <t>JOD325</t>
  </si>
  <si>
    <t>JODアクセス7014/3色組</t>
    <rPh sb="13" eb="15">
      <t>ショククミ</t>
    </rPh>
    <phoneticPr fontId="8"/>
  </si>
  <si>
    <t>JODアクセス7014/3色組￥3990</t>
    <rPh sb="13" eb="15">
      <t>ショククミ</t>
    </rPh>
    <phoneticPr fontId="8"/>
  </si>
  <si>
    <t>夢販</t>
    <rPh sb="0" eb="2">
      <t>ユメハン</t>
    </rPh>
    <phoneticPr fontId="8"/>
  </si>
  <si>
    <t>コープ北陸11月1回3色組（不透明袋）￥3990③</t>
    <rPh sb="3" eb="5">
      <t>ホクリク</t>
    </rPh>
    <rPh sb="7" eb="8">
      <t>ガツ</t>
    </rPh>
    <rPh sb="9" eb="10">
      <t>カイ</t>
    </rPh>
    <phoneticPr fontId="8"/>
  </si>
  <si>
    <t>コープ北陸11月1回（不透明袋）￥3990②</t>
    <rPh sb="3" eb="5">
      <t>ホクリク</t>
    </rPh>
    <rPh sb="7" eb="8">
      <t>ガツ</t>
    </rPh>
    <rPh sb="9" eb="10">
      <t>カイ</t>
    </rPh>
    <phoneticPr fontId="8"/>
  </si>
  <si>
    <t>JOD326</t>
  </si>
  <si>
    <t>JOD327</t>
    <phoneticPr fontId="8"/>
  </si>
  <si>
    <t>ネット</t>
    <phoneticPr fontId="8"/>
  </si>
  <si>
    <t>コープこうべ2月4回3色組（不透明袋）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</si>
  <si>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1/30～4/30</t>
    <phoneticPr fontId="8"/>
  </si>
  <si>
    <t>ロイヤルステージ1月号3色組</t>
    <rPh sb="9" eb="11">
      <t>ガツゴウ</t>
    </rPh>
    <rPh sb="12" eb="14">
      <t>ショクグミ</t>
    </rPh>
    <phoneticPr fontId="8"/>
  </si>
  <si>
    <t>ロイヤルステージ1月号3色組　差分予測</t>
    <rPh sb="9" eb="11">
      <t>ガツゴウ</t>
    </rPh>
    <rPh sb="12" eb="14">
      <t>ショクグミ</t>
    </rPh>
    <rPh sb="15" eb="19">
      <t>サブンヨソク</t>
    </rPh>
    <phoneticPr fontId="8"/>
  </si>
  <si>
    <t>1/8～2/21</t>
    <phoneticPr fontId="8"/>
  </si>
  <si>
    <t>JOD328</t>
    <phoneticPr fontId="8"/>
  </si>
  <si>
    <t>パルくらす11月2回3色組（不透明袋）①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</si>
  <si>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IEI使ってヨカッタ11月号3色組①</t>
    <rPh sb="3" eb="4">
      <t>ツカ</t>
    </rPh>
    <rPh sb="12" eb="14">
      <t>ガツゴウ</t>
    </rPh>
    <rPh sb="15" eb="17">
      <t>ショククミ</t>
    </rPh>
    <phoneticPr fontId="8"/>
  </si>
  <si>
    <t>毎日が発見2025年10月売11月号⑤</t>
    <phoneticPr fontId="8"/>
  </si>
  <si>
    <t>JOD329</t>
    <phoneticPr fontId="8"/>
  </si>
  <si>
    <t>パルくらす11月2回3色組（不透明袋）②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</si>
  <si>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かりん</t>
    <phoneticPr fontId="8"/>
  </si>
  <si>
    <t>JOD330</t>
    <phoneticPr fontId="8"/>
  </si>
  <si>
    <t>コープ東北サンネット11月3回3色組（不透明袋）サクラマチ①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</si>
  <si>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パルくらす11月2回3色組（不透明袋）③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</si>
  <si>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夢販</t>
    <rPh sb="0" eb="2">
      <t>ユメハン</t>
    </rPh>
    <phoneticPr fontId="8"/>
  </si>
  <si>
    <t>ハルメク・アルファ㊶</t>
    <phoneticPr fontId="8"/>
  </si>
  <si>
    <t>ハルメク・アルファ㊷</t>
    <phoneticPr fontId="8"/>
  </si>
  <si>
    <t>JOD331</t>
  </si>
  <si>
    <t>ニッセン⑪</t>
    <phoneticPr fontId="8"/>
  </si>
  <si>
    <t>IEIあつめる1月号3色組差分予測</t>
    <rPh sb="8" eb="10">
      <t>ガツゴウ</t>
    </rPh>
    <rPh sb="11" eb="13">
      <t>ショククミ</t>
    </rPh>
    <rPh sb="13" eb="17">
      <t>サブンヨソク</t>
    </rPh>
    <phoneticPr fontId="8"/>
  </si>
  <si>
    <t>IEIあつめる1月号3色組￥4500</t>
    <rPh sb="8" eb="10">
      <t>ガツゴウ</t>
    </rPh>
    <rPh sb="11" eb="13">
      <t>ショククミ</t>
    </rPh>
    <phoneticPr fontId="8"/>
  </si>
  <si>
    <t>1/24～4/30</t>
    <phoneticPr fontId="8"/>
  </si>
  <si>
    <t>IEIあつめる1月号3色組</t>
    <rPh sb="8" eb="10">
      <t>ガツゴウ</t>
    </rPh>
    <rPh sb="11" eb="13">
      <t>ショククミ</t>
    </rPh>
    <phoneticPr fontId="8"/>
  </si>
  <si>
    <t>IEIあつめる1月号3色組￥4990差分予測</t>
    <rPh sb="8" eb="10">
      <t>ガツゴウ</t>
    </rPh>
    <rPh sb="11" eb="13">
      <t>ショククミ</t>
    </rPh>
    <rPh sb="18" eb="22">
      <t>サブンヨソク</t>
    </rPh>
    <phoneticPr fontId="8"/>
  </si>
  <si>
    <t>JOD332</t>
    <phoneticPr fontId="8"/>
  </si>
  <si>
    <t>ロイヤルステージ11月号3色組¥4500①</t>
    <rPh sb="10" eb="12">
      <t>ガツゴウ</t>
    </rPh>
    <rPh sb="13" eb="15">
      <t>ショククミ</t>
    </rPh>
    <phoneticPr fontId="8"/>
  </si>
  <si>
    <t>大阪いずみ生協１月２回　差分予測</t>
    <rPh sb="0" eb="2">
      <t>オオサカ</t>
    </rPh>
    <rPh sb="5" eb="7">
      <t>セイキョウ</t>
    </rPh>
    <rPh sb="8" eb="9">
      <t>ガツ</t>
    </rPh>
    <rPh sb="10" eb="11">
      <t>カイ</t>
    </rPh>
    <rPh sb="12" eb="16">
      <t>サブンヨソク</t>
    </rPh>
    <phoneticPr fontId="8"/>
  </si>
  <si>
    <t>大阪いずみ生協１月２回（不透明袋）</t>
    <rPh sb="0" eb="2">
      <t>オオサカ</t>
    </rPh>
    <rPh sb="5" eb="7">
      <t>セイキョウ</t>
    </rPh>
    <rPh sb="8" eb="9">
      <t>ガツ</t>
    </rPh>
    <rPh sb="10" eb="11">
      <t>カイ</t>
    </rPh>
    <phoneticPr fontId="8"/>
  </si>
  <si>
    <t>12/17～12/19　1/19</t>
    <phoneticPr fontId="8"/>
  </si>
  <si>
    <t>ハルメク・アルファ㊸</t>
    <phoneticPr fontId="8"/>
  </si>
  <si>
    <t>コープ東北サンネット11月3回3色組（不透明袋）サクラマチ②</t>
    <rPh sb="3" eb="5">
      <t>トウホク</t>
    </rPh>
    <rPh sb="12" eb="13">
      <t>ガツ</t>
    </rPh>
    <rPh sb="14" eb="15">
      <t>カイ</t>
    </rPh>
    <rPh sb="16" eb="18">
      <t>ショククミ</t>
    </rPh>
    <rPh sb="19" eb="23">
      <t>フトウメイフクロ</t>
    </rPh>
    <phoneticPr fontId="8"/>
  </si>
  <si>
    <t>JOD333</t>
    <phoneticPr fontId="8"/>
  </si>
  <si>
    <t>JOD特別号9550/3色組￥3990</t>
    <rPh sb="3" eb="6">
      <t>トクベツゴウ</t>
    </rPh>
    <rPh sb="12" eb="14">
      <t>ショククミ</t>
    </rPh>
    <phoneticPr fontId="8"/>
  </si>
  <si>
    <t>12/17～</t>
    <phoneticPr fontId="8"/>
  </si>
  <si>
    <t>JOD特別号9550/3色組</t>
    <rPh sb="3" eb="6">
      <t>トクベツゴウ</t>
    </rPh>
    <rPh sb="12" eb="14">
      <t>ショククミ</t>
    </rPh>
    <phoneticPr fontId="8"/>
  </si>
  <si>
    <t>点2/5、初回・アバウト2/17、最終発注2/23</t>
    <rPh sb="0" eb="1">
      <t>テン</t>
    </rPh>
    <rPh sb="5" eb="7">
      <t>ショカイ</t>
    </rPh>
    <rPh sb="17" eb="21">
      <t>サイシュウハッチュウ</t>
    </rPh>
    <phoneticPr fontId="8"/>
  </si>
  <si>
    <t>りすぺーる（パルシステム）2月4回3色組（不透明袋）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</si>
  <si>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りすぺーる（パルシステム）2月4回3色組差分予測</t>
    <rPh sb="14" eb="15">
      <t>ガツ</t>
    </rPh>
    <rPh sb="16" eb="17">
      <t>カイ</t>
    </rPh>
    <rPh sb="18" eb="20">
      <t>ショククミ</t>
    </rPh>
    <rPh sb="20" eb="24">
      <t>サブンヨソク</t>
    </rPh>
    <phoneticPr fontId="8"/>
  </si>
  <si>
    <t>ネット</t>
    <phoneticPr fontId="8"/>
  </si>
  <si>
    <t>わいわいバザールPLUS26年春号3色組（ベルーナ）</t>
    <rPh sb="14" eb="15">
      <t>ネン</t>
    </rPh>
    <rPh sb="15" eb="17">
      <t>ハルゴウ</t>
    </rPh>
    <rPh sb="18" eb="19">
      <t>ショク</t>
    </rPh>
    <rPh sb="19" eb="20">
      <t>クミ</t>
    </rPh>
    <phoneticPr fontId="8"/>
  </si>
  <si>
    <t>わいわいバザールPLUS26年春号3色組差分予測</t>
    <rPh sb="14" eb="15">
      <t>ネン</t>
    </rPh>
    <rPh sb="15" eb="17">
      <t>ハルゴウ</t>
    </rPh>
    <rPh sb="18" eb="19">
      <t>ショク</t>
    </rPh>
    <rPh sb="19" eb="20">
      <t>クミ</t>
    </rPh>
    <rPh sb="20" eb="24">
      <t>サブンヨソク</t>
    </rPh>
    <phoneticPr fontId="8"/>
  </si>
  <si>
    <t>2/25～6/30</t>
    <phoneticPr fontId="8"/>
  </si>
  <si>
    <t>わいわいバザールPLUS26年春号3色組（ベルーナ）</t>
    <rPh sb="14" eb="15">
      <t>ネン</t>
    </rPh>
    <rPh sb="15" eb="17">
      <t>ハルゴウ</t>
    </rPh>
    <rPh sb="18" eb="20">
      <t>ショククミ</t>
    </rPh>
    <phoneticPr fontId="8"/>
  </si>
  <si>
    <t>わいわいバザールPLUS26年春号3色組差分予測</t>
    <rPh sb="14" eb="15">
      <t>ネン</t>
    </rPh>
    <rPh sb="15" eb="17">
      <t>ハルゴウ</t>
    </rPh>
    <rPh sb="18" eb="20">
      <t>ショククミ</t>
    </rPh>
    <rPh sb="20" eb="24">
      <t>サブンヨソク</t>
    </rPh>
    <phoneticPr fontId="8"/>
  </si>
  <si>
    <t>JOD334</t>
    <phoneticPr fontId="8"/>
  </si>
  <si>
    <t>毎日が発見2025年10月売11月号⑥</t>
    <phoneticPr fontId="8"/>
  </si>
  <si>
    <t>夢販</t>
    <rPh sb="0" eb="2">
      <t>ユメハン</t>
    </rPh>
    <phoneticPr fontId="8"/>
  </si>
  <si>
    <t>JOD335</t>
    <phoneticPr fontId="8"/>
  </si>
  <si>
    <t>JOD336</t>
  </si>
  <si>
    <t>伝12月</t>
    <rPh sb="0" eb="1">
      <t>デン</t>
    </rPh>
    <rPh sb="3" eb="4">
      <t>ガツ</t>
    </rPh>
    <phoneticPr fontId="8"/>
  </si>
  <si>
    <t>JOD337</t>
  </si>
  <si>
    <t>JOD338</t>
    <phoneticPr fontId="8"/>
  </si>
  <si>
    <t>毎日が発見2025年10月売11月号⑦</t>
    <phoneticPr fontId="8"/>
  </si>
  <si>
    <t>毎日が発見2025年11月売12月号3色組②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6" eb="17">
      <t>ガツ</t>
    </rPh>
    <rPh sb="17" eb="18">
      <t>ゴウ</t>
    </rPh>
    <phoneticPr fontId="8"/>
  </si>
  <si>
    <t>2025/11/25数</t>
    <rPh sb="10" eb="11">
      <t>スウ</t>
    </rPh>
    <phoneticPr fontId="8"/>
  </si>
  <si>
    <t>東北サンネット　1月3回　差分予測</t>
    <rPh sb="0" eb="2">
      <t>トウホク</t>
    </rPh>
    <rPh sb="9" eb="10">
      <t>ガツ</t>
    </rPh>
    <rPh sb="11" eb="12">
      <t>カイ</t>
    </rPh>
    <rPh sb="13" eb="17">
      <t>サブンヨソク</t>
    </rPh>
    <phoneticPr fontId="8"/>
  </si>
  <si>
    <t>東北サンネット　1月3回3色組（不透明袋）サクラマチ</t>
    <rPh sb="0" eb="2">
      <t>トウホク</t>
    </rPh>
    <rPh sb="9" eb="10">
      <t>ガツ</t>
    </rPh>
    <rPh sb="11" eb="12">
      <t>カイ</t>
    </rPh>
    <phoneticPr fontId="8"/>
  </si>
  <si>
    <t>1/7～1/21</t>
    <phoneticPr fontId="8"/>
  </si>
  <si>
    <t>コープこうべ2月4回3色組（不透明袋）差分予測</t>
    <rPh sb="7" eb="8">
      <t>ガツ</t>
    </rPh>
    <rPh sb="9" eb="10">
      <t>カイ</t>
    </rPh>
    <rPh sb="11" eb="13">
      <t>ショククミ</t>
    </rPh>
    <rPh sb="14" eb="18">
      <t>フトウメイフクロ</t>
    </rPh>
    <rPh sb="19" eb="23">
      <t>サブンヨソク</t>
    </rPh>
    <phoneticPr fontId="8"/>
  </si>
  <si>
    <t>IEI使ってヨカッタ2月号3色組差分予測</t>
    <rPh sb="3" eb="4">
      <t>ツカ</t>
    </rPh>
    <rPh sb="11" eb="13">
      <t>ガツゴウ</t>
    </rPh>
    <rPh sb="14" eb="16">
      <t>ショククミ</t>
    </rPh>
    <rPh sb="16" eb="20">
      <t>サブンヨソク</t>
    </rPh>
    <phoneticPr fontId="8"/>
  </si>
  <si>
    <t>IEI使ってヨカッタ2月号3色組￥4500</t>
    <rPh sb="3" eb="4">
      <t>ツカ</t>
    </rPh>
    <rPh sb="11" eb="13">
      <t>ガツゴウ</t>
    </rPh>
    <rPh sb="14" eb="16">
      <t>ショククミ</t>
    </rPh>
    <phoneticPr fontId="8"/>
  </si>
  <si>
    <t>2/2～5/31</t>
    <phoneticPr fontId="8"/>
  </si>
  <si>
    <t>IEI使ってヨカッタ2月号3色組</t>
    <rPh sb="3" eb="4">
      <t>ツカ</t>
    </rPh>
    <rPh sb="11" eb="13">
      <t>ガツゴウ</t>
    </rPh>
    <rPh sb="14" eb="16">
      <t>ショククミ</t>
    </rPh>
    <phoneticPr fontId="8"/>
  </si>
  <si>
    <t>JOD339</t>
    <phoneticPr fontId="8"/>
  </si>
  <si>
    <t>初回：展開開始3週間前に計画数の30％納品、展開期間3/16～8/16</t>
    <rPh sb="0" eb="2">
      <t>ショカイ</t>
    </rPh>
    <rPh sb="3" eb="5">
      <t>テンカイ</t>
    </rPh>
    <rPh sb="5" eb="7">
      <t>カイシ</t>
    </rPh>
    <rPh sb="8" eb="11">
      <t>シュウカンマエ</t>
    </rPh>
    <rPh sb="12" eb="15">
      <t>ケイカクスウ</t>
    </rPh>
    <rPh sb="19" eb="21">
      <t>ノウヒン</t>
    </rPh>
    <rPh sb="22" eb="24">
      <t>テンカイ</t>
    </rPh>
    <rPh sb="24" eb="26">
      <t>キカン</t>
    </rPh>
    <phoneticPr fontId="8"/>
  </si>
  <si>
    <t>JOD340</t>
    <phoneticPr fontId="8"/>
  </si>
  <si>
    <t>コープきんき3月2回単品（不透明袋）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</si>
  <si>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コープきんき3月2回単品（不透明袋）差分予測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</si>
  <si>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JODメルシー1224/3色組￥3990</t>
    <rPh sb="13" eb="15">
      <t>ショククミ</t>
    </rPh>
    <phoneticPr fontId="8"/>
  </si>
  <si>
    <t>JODメルシー1224/3色組</t>
    <rPh sb="13" eb="15">
      <t>ショククミ</t>
    </rPh>
    <phoneticPr fontId="8"/>
  </si>
  <si>
    <t>ロイヤルステージ11月号3色組¥4500②</t>
    <rPh sb="10" eb="12">
      <t>ガツゴウ</t>
    </rPh>
    <rPh sb="13" eb="15">
      <t>ショククミ</t>
    </rPh>
    <phoneticPr fontId="8"/>
  </si>
  <si>
    <t>ニッセン⑫</t>
    <phoneticPr fontId="8"/>
  </si>
  <si>
    <t>JOD341</t>
    <phoneticPr fontId="8"/>
  </si>
  <si>
    <t>東北サンネット　12月2回3色組（不透明袋）サクラマチ①</t>
    <rPh sb="0" eb="2">
      <t>トウホク</t>
    </rPh>
    <rPh sb="10" eb="11">
      <t>ガツ</t>
    </rPh>
    <rPh sb="12" eb="13">
      <t>カイ</t>
    </rPh>
    <phoneticPr fontId="8"/>
  </si>
  <si>
    <t>夢販</t>
    <rPh sb="0" eb="2">
      <t>ユメハン</t>
    </rPh>
    <phoneticPr fontId="8"/>
  </si>
  <si>
    <t>JOD342</t>
  </si>
  <si>
    <t>毎日が発見2025年10月売11月号⑧</t>
    <phoneticPr fontId="8"/>
  </si>
  <si>
    <t>大阪いずみ生協１月２回3色組（不透明袋）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phoneticPr fontId="8"/>
  </si>
  <si>
    <t>大阪いずみ生協１月２回3色組　差分予測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rPh sb="15" eb="19">
      <t>サブンヨソク</t>
    </rPh>
    <phoneticPr fontId="8"/>
  </si>
  <si>
    <t>はぴねすくらぶ12月号①</t>
    <rPh sb="9" eb="11">
      <t>ガツゴウ</t>
    </rPh>
    <phoneticPr fontId="8"/>
  </si>
  <si>
    <t>JOD343</t>
    <phoneticPr fontId="8"/>
  </si>
  <si>
    <t>ハルメク・アルファ㊹</t>
    <phoneticPr fontId="8"/>
  </si>
  <si>
    <t>夢販</t>
    <rPh sb="0" eb="2">
      <t>y</t>
    </rPh>
    <phoneticPr fontId="8"/>
  </si>
  <si>
    <t>2/25～3/12</t>
    <phoneticPr fontId="8"/>
  </si>
  <si>
    <t>1/28～2/11</t>
    <phoneticPr fontId="8"/>
  </si>
  <si>
    <t>くらし企画sample（パル）</t>
    <rPh sb="3" eb="5">
      <t>キカク</t>
    </rPh>
    <phoneticPr fontId="8"/>
  </si>
  <si>
    <t>コープ北陸２月２回3色組（不透明袋）</t>
    <rPh sb="3" eb="5">
      <t>ホクリク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</si>
  <si>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コープ北陸２月２回3色組差分予測</t>
    <rPh sb="3" eb="5">
      <t>ホクリク</t>
    </rPh>
    <rPh sb="6" eb="7">
      <t>ガツ</t>
    </rPh>
    <rPh sb="8" eb="9">
      <t>カイ</t>
    </rPh>
    <rPh sb="10" eb="12">
      <t>ショククミ</t>
    </rPh>
    <rPh sb="12" eb="16">
      <t>サブンヨソク</t>
    </rPh>
    <phoneticPr fontId="8"/>
  </si>
  <si>
    <t>コープ北陸２月２回３色組（不透明袋）</t>
    <rPh sb="3" eb="5">
      <t>ホクリク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</si>
  <si>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コープ北陸２月２回３色組差分予測</t>
    <rPh sb="3" eb="5">
      <t>ホクリク</t>
    </rPh>
    <rPh sb="6" eb="7">
      <t>ガツ</t>
    </rPh>
    <rPh sb="8" eb="9">
      <t>カイ</t>
    </rPh>
    <rPh sb="10" eb="12">
      <t>ショククミ</t>
    </rPh>
    <rPh sb="12" eb="16">
      <t>サブンヨソク</t>
    </rPh>
    <phoneticPr fontId="8"/>
  </si>
  <si>
    <t>JOD344</t>
    <phoneticPr fontId="8"/>
  </si>
  <si>
    <r>
      <t>くらし企画sample（パル）</t>
    </r>
    <r>
      <rPr>
        <b/>
        <sz val="11"/>
        <rFont val="ＭＳ Ｐゴシック"/>
        <family val="3"/>
        <charset val="128"/>
      </rPr>
      <t>新洗濯ネーム</t>
    </r>
    <rPh sb="3" eb="5">
      <t>キカク</t>
    </rPh>
    <rPh sb="15" eb="16">
      <t>シン</t>
    </rPh>
    <rPh sb="16" eb="18">
      <t>センタク</t>
    </rPh>
    <phoneticPr fontId="8"/>
  </si>
  <si>
    <t>東北サンネット　12月2回3色組（不透明袋）サクラマチ②</t>
    <rPh sb="0" eb="2">
      <t>トウホク</t>
    </rPh>
    <rPh sb="10" eb="11">
      <t>ガツ</t>
    </rPh>
    <rPh sb="12" eb="13">
      <t>カイ</t>
    </rPh>
    <phoneticPr fontId="8"/>
  </si>
  <si>
    <t>毎日が発見2025年10月売11月号⑨</t>
    <phoneticPr fontId="8"/>
  </si>
  <si>
    <t>ことせ2571号/3色組（ハルメクアルファ）</t>
    <rPh sb="7" eb="8">
      <t>ゴウ</t>
    </rPh>
    <rPh sb="10" eb="12">
      <t>ショククミ</t>
    </rPh>
    <phoneticPr fontId="8"/>
  </si>
  <si>
    <t>1/5～3/31</t>
    <phoneticPr fontId="8"/>
  </si>
  <si>
    <t>ことせ2571号/3色組（ハルメクアルファ）差分予測</t>
    <rPh sb="7" eb="8">
      <t>ゴウ</t>
    </rPh>
    <rPh sb="10" eb="12">
      <t>ショククミ</t>
    </rPh>
    <rPh sb="22" eb="26">
      <t>サブンヨソク</t>
    </rPh>
    <phoneticPr fontId="8"/>
  </si>
  <si>
    <t>パルくらす12月5回3色組（不透明袋）①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</si>
  <si>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IEIヴィヴァン同梱冊子12月号3色組￥4500①</t>
    <rPh sb="14" eb="16">
      <t>ガツゴウ</t>
    </rPh>
    <rPh sb="17" eb="19">
      <t>ショククミ</t>
    </rPh>
    <phoneticPr fontId="8"/>
  </si>
  <si>
    <t>IEIヴィヴァン同梱冊子12月号3色組①</t>
    <rPh sb="14" eb="16">
      <t>ガツゴウ</t>
    </rPh>
    <rPh sb="17" eb="19">
      <t>ショククミ</t>
    </rPh>
    <phoneticPr fontId="8"/>
  </si>
  <si>
    <t>ハルメク・アルファ㊺</t>
    <phoneticPr fontId="8"/>
  </si>
  <si>
    <t>JOD345</t>
    <phoneticPr fontId="8"/>
  </si>
  <si>
    <t>夢販</t>
    <rPh sb="0" eb="2">
      <t>ユメハン</t>
    </rPh>
    <phoneticPr fontId="4"/>
  </si>
  <si>
    <t>東北サンネット　12月2回3色組（不透明袋）サクラマチ③</t>
    <rPh sb="0" eb="2">
      <t>トウホク</t>
    </rPh>
    <rPh sb="10" eb="11">
      <t>ガツ</t>
    </rPh>
    <rPh sb="12" eb="13">
      <t>カイ</t>
    </rPh>
    <phoneticPr fontId="8"/>
  </si>
  <si>
    <t>追加　2-2</t>
    <rPh sb="0" eb="2">
      <t>ツイカ</t>
    </rPh>
    <phoneticPr fontId="4"/>
  </si>
  <si>
    <t>毎日が発見2025年12月売1月号3色組①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</si>
  <si>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夢販</t>
    <rPh sb="0" eb="2">
      <t>ユメハン</t>
    </rPh>
    <phoneticPr fontId="8"/>
  </si>
  <si>
    <t>JOD346</t>
    <phoneticPr fontId="8"/>
  </si>
  <si>
    <t>ロイヤルステージ12月号3色組①</t>
    <rPh sb="10" eb="12">
      <t>ガツゴウ</t>
    </rPh>
    <rPh sb="13" eb="15">
      <t>ショクグミ</t>
    </rPh>
    <phoneticPr fontId="8"/>
  </si>
  <si>
    <t>1/末ship</t>
    <rPh sb="2" eb="3">
      <t>マツ</t>
    </rPh>
    <phoneticPr fontId="8"/>
  </si>
  <si>
    <t>12/16ship</t>
    <phoneticPr fontId="8"/>
  </si>
  <si>
    <t>グリーンコープ3月51号　3色組（不透明袋）</t>
    <rPh sb="8" eb="9">
      <t>ガツ</t>
    </rPh>
    <rPh sb="11" eb="12">
      <t>ゴウ</t>
    </rPh>
    <rPh sb="14" eb="16">
      <t>ショクグミ</t>
    </rPh>
    <rPh sb="17" eb="21">
      <t>フトウメイフクロ</t>
    </rPh>
    <phoneticPr fontId="8"/>
  </si>
  <si>
    <t>グリーンコープ3月51号３色組　差分予測</t>
    <rPh sb="8" eb="9">
      <t>ガツ</t>
    </rPh>
    <rPh sb="11" eb="12">
      <t>ゴウ</t>
    </rPh>
    <rPh sb="13" eb="15">
      <t>ショクグミ</t>
    </rPh>
    <rPh sb="16" eb="20">
      <t>サブンヨソク</t>
    </rPh>
    <phoneticPr fontId="8"/>
  </si>
  <si>
    <t>3/4～13</t>
    <phoneticPr fontId="8"/>
  </si>
  <si>
    <t>日生協カタログWEB限定トリオラ初夏/3色組（PP袋小）差分予測</t>
    <rPh sb="0" eb="3">
      <t>ニッセイキョウ</t>
    </rPh>
    <rPh sb="10" eb="12">
      <t>ゲンテイ</t>
    </rPh>
    <rPh sb="16" eb="18">
      <t>ショカ</t>
    </rPh>
    <rPh sb="20" eb="22">
      <t>ショククミ</t>
    </rPh>
    <rPh sb="25" eb="26">
      <t>フクロ</t>
    </rPh>
    <rPh sb="26" eb="27">
      <t>ショウ</t>
    </rPh>
    <rPh sb="28" eb="32">
      <t>サブンヨソク</t>
    </rPh>
    <phoneticPr fontId="8"/>
  </si>
  <si>
    <t>JOD特別号9552/3色組￥3990</t>
    <rPh sb="3" eb="6">
      <t>トクベツゴウ</t>
    </rPh>
    <rPh sb="12" eb="14">
      <t>ショククミ</t>
    </rPh>
    <phoneticPr fontId="8"/>
  </si>
  <si>
    <t>JOD347</t>
    <phoneticPr fontId="8"/>
  </si>
  <si>
    <t>毎日が発見2025年12月売1月号3色組②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</si>
  <si>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ユーコープ１月4回３色組　差分予測</t>
    <rPh sb="6" eb="7">
      <t>ガツ</t>
    </rPh>
    <rPh sb="8" eb="9">
      <t>カイ</t>
    </rPh>
    <rPh sb="10" eb="12">
      <t>ショクグミ</t>
    </rPh>
    <rPh sb="13" eb="17">
      <t>サブンヨソク</t>
    </rPh>
    <phoneticPr fontId="8"/>
  </si>
  <si>
    <t>ユーコープ1月4回3色組（不透明袋）￥3990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</si>
  <si>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ユーコープ10月3回3色組（不透明袋）￥3990④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</si>
  <si>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JOD348</t>
  </si>
  <si>
    <t>はぴねすくらぶ12月号3色組②</t>
    <rPh sb="9" eb="11">
      <t>ガツゴウ</t>
    </rPh>
    <rPh sb="12" eb="14">
      <t>ショククミ</t>
    </rPh>
    <phoneticPr fontId="8"/>
  </si>
  <si>
    <t>はぴねすくらぶ12月号②</t>
    <rPh sb="9" eb="11">
      <t>ガツゴウ</t>
    </rPh>
    <phoneticPr fontId="8"/>
  </si>
  <si>
    <t>IEI使ってヨカッタ3月号3色組差分予測</t>
    <rPh sb="3" eb="4">
      <t>ツカ</t>
    </rPh>
    <rPh sb="11" eb="13">
      <t>ガツゴウ</t>
    </rPh>
    <rPh sb="14" eb="16">
      <t>ショククミ</t>
    </rPh>
    <rPh sb="16" eb="20">
      <t>サブンヨソク</t>
    </rPh>
    <phoneticPr fontId="8"/>
  </si>
  <si>
    <t>IEI使ってヨカッタ3月号3色組￥4500</t>
    <rPh sb="3" eb="4">
      <t>ツカ</t>
    </rPh>
    <rPh sb="11" eb="13">
      <t>ガツゴウ</t>
    </rPh>
    <rPh sb="14" eb="16">
      <t>ショククミ</t>
    </rPh>
    <phoneticPr fontId="8"/>
  </si>
  <si>
    <t>3/7～4/30</t>
    <phoneticPr fontId="8"/>
  </si>
  <si>
    <t>IEI使ってヨカッタ3月号3色組</t>
    <rPh sb="3" eb="4">
      <t>ツカ</t>
    </rPh>
    <rPh sb="11" eb="13">
      <t>ガツゴウ</t>
    </rPh>
    <rPh sb="14" eb="16">
      <t>ショククミ</t>
    </rPh>
    <phoneticPr fontId="8"/>
  </si>
  <si>
    <t>IEIヴィヴァン同梱冊子12月号3色組￥4500②</t>
    <rPh sb="14" eb="16">
      <t>ガツゴウ</t>
    </rPh>
    <rPh sb="17" eb="19">
      <t>ショククミ</t>
    </rPh>
    <phoneticPr fontId="8"/>
  </si>
  <si>
    <t>ネット返品</t>
    <rPh sb="3" eb="5">
      <t>ヘンピン</t>
    </rPh>
    <phoneticPr fontId="8"/>
  </si>
  <si>
    <t>JOD花粉＆UV7472/3色組￥3990</t>
    <rPh sb="3" eb="5">
      <t>カフン</t>
    </rPh>
    <rPh sb="14" eb="16">
      <t>ショククミ</t>
    </rPh>
    <phoneticPr fontId="8"/>
  </si>
  <si>
    <t>JOD花粉＆UV7472/3色組</t>
    <rPh sb="3" eb="5">
      <t>カフン</t>
    </rPh>
    <rPh sb="14" eb="16">
      <t>ショククミ</t>
    </rPh>
    <phoneticPr fontId="8"/>
  </si>
  <si>
    <t>JOD349</t>
    <phoneticPr fontId="8"/>
  </si>
  <si>
    <t>毎日が発見2025年12月売1月号3色組③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</si>
  <si>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グリーンコープ１２月４０号3色組　差分予測</t>
    <rPh sb="9" eb="10">
      <t>ガツ</t>
    </rPh>
    <rPh sb="12" eb="13">
      <t>ゴウ</t>
    </rPh>
    <rPh sb="14" eb="16">
      <t>ショクグミ</t>
    </rPh>
    <rPh sb="17" eb="21">
      <t>サブンヨソク</t>
    </rPh>
    <phoneticPr fontId="8"/>
  </si>
  <si>
    <t>コープきんき4月1回単品（不透明袋）健康・介護用品ページ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</si>
  <si>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コープきんき4月1回単品（不透明袋）差分予測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</si>
  <si>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コープきんき4月1回単品（不透明袋）-健康・介護用品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</si>
  <si>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はぴねすくらぶ12月号③</t>
    <rPh sb="9" eb="11">
      <t>ガツゴウ</t>
    </rPh>
    <phoneticPr fontId="8"/>
  </si>
  <si>
    <t>ロイヤルステージ12月号3色組②</t>
    <rPh sb="10" eb="12">
      <t>ガツゴウ</t>
    </rPh>
    <rPh sb="13" eb="15">
      <t>ショクグミ</t>
    </rPh>
    <phoneticPr fontId="8"/>
  </si>
  <si>
    <t>ロイヤルステージ12月号3色組③</t>
    <rPh sb="10" eb="12">
      <t>ガツゴウ</t>
    </rPh>
    <rPh sb="13" eb="15">
      <t>ショクグミ</t>
    </rPh>
    <phoneticPr fontId="8"/>
  </si>
  <si>
    <t>東北サンネット2月2回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8"/>
  </si>
  <si>
    <t>東北サンネット　2月2回3色組（不透明袋）サクラマチ</t>
    <rPh sb="0" eb="2">
      <t>トウホク</t>
    </rPh>
    <rPh sb="9" eb="10">
      <t>ガツ</t>
    </rPh>
    <rPh sb="11" eb="12">
      <t>カイ</t>
    </rPh>
    <phoneticPr fontId="8"/>
  </si>
  <si>
    <t>1/18～2/11</t>
    <phoneticPr fontId="8"/>
  </si>
  <si>
    <t>毎日が発見2025年12月売1月号3色組④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</si>
  <si>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グリーンコープ１２月４０号　3色組（不透明袋）①</t>
    <rPh sb="9" eb="10">
      <t>ガツ</t>
    </rPh>
    <rPh sb="12" eb="13">
      <t>ゴウ</t>
    </rPh>
    <rPh sb="15" eb="17">
      <t>ショクグミ</t>
    </rPh>
    <rPh sb="18" eb="22">
      <t>フトウメイフクロ</t>
    </rPh>
    <phoneticPr fontId="8"/>
  </si>
  <si>
    <t>毎日が発見2025年12月売1月号3色組⑤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</si>
  <si>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はぴねすくらぶ12月号3色組③</t>
    <rPh sb="9" eb="11">
      <t>ガツゴウ</t>
    </rPh>
    <rPh sb="12" eb="14">
      <t>ショククミ</t>
    </rPh>
    <phoneticPr fontId="8"/>
  </si>
  <si>
    <t>電話注文</t>
    <rPh sb="0" eb="4">
      <t>デンワチュウモン</t>
    </rPh>
    <phoneticPr fontId="8"/>
  </si>
  <si>
    <t>ネット</t>
    <phoneticPr fontId="8"/>
  </si>
  <si>
    <t>コープきんき4月1回単品（不透明袋）健康・介護用品ページ差分予測</t>
    <rPh sb="7" eb="8">
      <t>ガツ</t>
    </rPh>
    <rPh sb="9" eb="10">
      <t>カイ</t>
    </rPh>
    <rPh sb="10" eb="12">
      <t>タンピン</t>
    </rPh>
    <rPh sb="13" eb="17">
      <t>フトウメイフクロ</t>
    </rPh>
    <rPh sb="28" eb="32">
      <t>サブンヨソク</t>
    </rPh>
    <phoneticPr fontId="8"/>
  </si>
  <si>
    <t>ネット</t>
    <phoneticPr fontId="8"/>
  </si>
  <si>
    <t>JOD350</t>
    <phoneticPr fontId="8"/>
  </si>
  <si>
    <t>グリーンコープ１２月４０号　3色組（不透明袋）②</t>
    <rPh sb="9" eb="10">
      <t>ガツ</t>
    </rPh>
    <rPh sb="12" eb="13">
      <t>ゴウ</t>
    </rPh>
    <rPh sb="15" eb="17">
      <t>ショクグミ</t>
    </rPh>
    <rPh sb="18" eb="22">
      <t>フトウメイフクロ</t>
    </rPh>
    <phoneticPr fontId="8"/>
  </si>
  <si>
    <t>大阪いずみ生協１月２回（不透明袋）①</t>
    <rPh sb="0" eb="2">
      <t>オオサカ</t>
    </rPh>
    <rPh sb="5" eb="7">
      <t>セイキョウ</t>
    </rPh>
    <rPh sb="8" eb="9">
      <t>ガツ</t>
    </rPh>
    <rPh sb="10" eb="11">
      <t>カイ</t>
    </rPh>
    <phoneticPr fontId="8"/>
  </si>
  <si>
    <t>大阪いずみ生協１月２回3色組（不透明袋）①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phoneticPr fontId="8"/>
  </si>
  <si>
    <t>JOD351</t>
    <phoneticPr fontId="8"/>
  </si>
  <si>
    <t>ロイヤルステージ12月号3色組④</t>
    <rPh sb="10" eb="12">
      <t>ガツゴウ</t>
    </rPh>
    <rPh sb="13" eb="15">
      <t>ショクグミ</t>
    </rPh>
    <phoneticPr fontId="8"/>
  </si>
  <si>
    <t>はぴねすくらぶ12月号3色組④</t>
    <rPh sb="9" eb="11">
      <t>ガツゴウ</t>
    </rPh>
    <rPh sb="12" eb="14">
      <t>ショククミ</t>
    </rPh>
    <phoneticPr fontId="8"/>
  </si>
  <si>
    <t>JOD352</t>
    <phoneticPr fontId="8"/>
  </si>
  <si>
    <t>東北サンネット2月3回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8"/>
  </si>
  <si>
    <t>東北サンネット　2月3回3色組（不透明袋）サクラマチ</t>
    <rPh sb="0" eb="2">
      <t>トウホク</t>
    </rPh>
    <rPh sb="9" eb="10">
      <t>ガツ</t>
    </rPh>
    <rPh sb="11" eb="12">
      <t>カイ</t>
    </rPh>
    <phoneticPr fontId="8"/>
  </si>
  <si>
    <t>2/4～2/18</t>
    <phoneticPr fontId="8"/>
  </si>
  <si>
    <t>4/1～4/15</t>
    <phoneticPr fontId="8"/>
  </si>
  <si>
    <t>コープ九州４月３回　差分予測</t>
    <rPh sb="3" eb="5">
      <t>キュウシュウ</t>
    </rPh>
    <rPh sb="6" eb="7">
      <t>ガツ</t>
    </rPh>
    <rPh sb="8" eb="9">
      <t>カイ</t>
    </rPh>
    <rPh sb="10" eb="14">
      <t>サブンヨソク</t>
    </rPh>
    <phoneticPr fontId="8"/>
  </si>
  <si>
    <t>2/27～5/31</t>
    <phoneticPr fontId="8"/>
  </si>
  <si>
    <t>ことせ2581号/3色組（ハルメクアルファ）</t>
    <rPh sb="7" eb="8">
      <t>ゴウ</t>
    </rPh>
    <rPh sb="10" eb="12">
      <t>ショククミ</t>
    </rPh>
    <phoneticPr fontId="8"/>
  </si>
  <si>
    <t>ことせ2581号/3色組（ハルメクアルファ）差分予測</t>
    <rPh sb="7" eb="8">
      <t>ゴウ</t>
    </rPh>
    <rPh sb="10" eb="12">
      <t>ショククミ</t>
    </rPh>
    <rPh sb="22" eb="26">
      <t>サブンヨソク</t>
    </rPh>
    <phoneticPr fontId="8"/>
  </si>
  <si>
    <t>JODアクセス7015/3色組￥3990</t>
    <rPh sb="13" eb="15">
      <t>ショククミ</t>
    </rPh>
    <phoneticPr fontId="8"/>
  </si>
  <si>
    <t>2/18～</t>
    <phoneticPr fontId="8"/>
  </si>
  <si>
    <t>JODアクセス7015/3色組</t>
    <rPh sb="13" eb="15">
      <t>ショククミ</t>
    </rPh>
    <phoneticPr fontId="8"/>
  </si>
  <si>
    <t>ことせファッション2619号5月号テスト版/3色組（ハルメクアルファ）</t>
    <rPh sb="13" eb="14">
      <t>ゴウ</t>
    </rPh>
    <rPh sb="15" eb="17">
      <t>ガツゴウ</t>
    </rPh>
    <rPh sb="20" eb="21">
      <t>バン</t>
    </rPh>
    <rPh sb="23" eb="25">
      <t>ショククミ</t>
    </rPh>
    <phoneticPr fontId="8"/>
  </si>
  <si>
    <t>ことせファッション2629号6月号テスト版/3色組（ハルメクアルファ）</t>
    <rPh sb="13" eb="14">
      <t>ゴウ</t>
    </rPh>
    <rPh sb="15" eb="17">
      <t>ガツゴウ</t>
    </rPh>
    <rPh sb="20" eb="21">
      <t>バン</t>
    </rPh>
    <rPh sb="23" eb="25">
      <t>ショククミ</t>
    </rPh>
    <phoneticPr fontId="8"/>
  </si>
  <si>
    <t>りすぺーる（パルシステム）4月2回3色組差分予測</t>
    <rPh sb="14" eb="15">
      <t>ガツ</t>
    </rPh>
    <rPh sb="16" eb="17">
      <t>カイ</t>
    </rPh>
    <rPh sb="18" eb="20">
      <t>ショククミ</t>
    </rPh>
    <rPh sb="20" eb="24">
      <t>サブンヨソク</t>
    </rPh>
    <phoneticPr fontId="8"/>
  </si>
  <si>
    <t>点3/19、初回・アバウト3/31、最終発注4/6</t>
    <rPh sb="0" eb="1">
      <t>テン</t>
    </rPh>
    <rPh sb="6" eb="8">
      <t>ショカイ</t>
    </rPh>
    <rPh sb="18" eb="22">
      <t>サイシュウハッチュウ</t>
    </rPh>
    <phoneticPr fontId="8"/>
  </si>
  <si>
    <t>りすぺーる（パルシステム）4月2回3色組（不透明袋）新洗濯ネーム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</si>
  <si>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りすぺーる（パルシステム）4月2回お試し企画差分予測</t>
    <rPh sb="18" eb="19">
      <t>タメ</t>
    </rPh>
    <rPh sb="20" eb="22">
      <t>キカク</t>
    </rPh>
    <rPh sb="22" eb="26">
      <t>サブンヨソク</t>
    </rPh>
    <phoneticPr fontId="8"/>
  </si>
  <si>
    <t>りすぺーる（パルシステム）4月2回お試し企画￥1680</t>
    <rPh sb="18" eb="19">
      <t>タメ</t>
    </rPh>
    <rPh sb="20" eb="22">
      <t>キカク</t>
    </rPh>
    <phoneticPr fontId="8"/>
  </si>
  <si>
    <t>コープ九州４月３回　単品(不透明袋)</t>
    <rPh sb="3" eb="5">
      <t>キュウシュウ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8"/>
  </si>
  <si>
    <t>りすぺーる（パル）4月2回お試し企画差分予測</t>
    <rPh sb="18" eb="22">
      <t>サブンヨソク</t>
    </rPh>
    <phoneticPr fontId="8"/>
  </si>
  <si>
    <t>JOD353</t>
    <phoneticPr fontId="8"/>
  </si>
  <si>
    <t>はぴねすくらぶ12月号3色組⑤</t>
    <rPh sb="9" eb="11">
      <t>ガツゴウ</t>
    </rPh>
    <rPh sb="12" eb="14">
      <t>ショククミ</t>
    </rPh>
    <phoneticPr fontId="8"/>
  </si>
  <si>
    <t>はぴねすくらぶ12月号④</t>
    <rPh sb="9" eb="11">
      <t>ガツゴウ</t>
    </rPh>
    <phoneticPr fontId="8"/>
  </si>
  <si>
    <t>毎日が発見2025年12月売1月号3色組⑥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</si>
  <si>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JOD花粉＆UV0207/3色組￥3990</t>
    <rPh sb="3" eb="5">
      <t>カフン</t>
    </rPh>
    <rPh sb="14" eb="16">
      <t>ショククミ</t>
    </rPh>
    <phoneticPr fontId="8"/>
  </si>
  <si>
    <t>2/2～</t>
    <phoneticPr fontId="8"/>
  </si>
  <si>
    <t>JOD花粉＆UV0207/3色組</t>
    <rPh sb="3" eb="5">
      <t>カフン</t>
    </rPh>
    <rPh sb="14" eb="16">
      <t>ショククミ</t>
    </rPh>
    <phoneticPr fontId="8"/>
  </si>
  <si>
    <t>点2/13、アバウト3/3、本3/3～3/9</t>
    <rPh sb="0" eb="1">
      <t>テン</t>
    </rPh>
    <rPh sb="14" eb="15">
      <t>ホン</t>
    </rPh>
    <phoneticPr fontId="8"/>
  </si>
  <si>
    <t>ロイヤルステージ12月号3色組⑤</t>
    <rPh sb="10" eb="12">
      <t>ガツゴウ</t>
    </rPh>
    <rPh sb="13" eb="15">
      <t>ショクグミ</t>
    </rPh>
    <phoneticPr fontId="8"/>
  </si>
  <si>
    <t>JODメルシー0210/3色組￥3990</t>
    <rPh sb="13" eb="15">
      <t>ショククミ</t>
    </rPh>
    <phoneticPr fontId="8"/>
  </si>
  <si>
    <t>JODメルシー0210/3色組</t>
    <rPh sb="13" eb="15">
      <t>ショククミ</t>
    </rPh>
    <phoneticPr fontId="8"/>
  </si>
  <si>
    <t>JOD354</t>
    <phoneticPr fontId="8"/>
  </si>
  <si>
    <t>ユーコープ1月4回3色組（不透明袋）￥3990①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</si>
  <si>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東北サンネット　1月3回3色組（不透明袋）サクラマチ①</t>
    <rPh sb="0" eb="2">
      <t>トウホク</t>
    </rPh>
    <rPh sb="9" eb="10">
      <t>ガツ</t>
    </rPh>
    <rPh sb="11" eb="12">
      <t>カイ</t>
    </rPh>
    <phoneticPr fontId="8"/>
  </si>
  <si>
    <t>JOD355</t>
    <phoneticPr fontId="8"/>
  </si>
  <si>
    <t>ゆめはん</t>
    <phoneticPr fontId="8"/>
  </si>
  <si>
    <t>ハルメク・アルファ㊻</t>
    <phoneticPr fontId="8"/>
  </si>
  <si>
    <t>ハルメク・アルファ㊽</t>
    <phoneticPr fontId="8"/>
  </si>
  <si>
    <t>ハルメク・アルファ㊾</t>
    <phoneticPr fontId="8"/>
  </si>
  <si>
    <t>わいわいバザールPLUS26年盛夏号3色組（ベルーナ）</t>
    <rPh sb="14" eb="15">
      <t>ネン</t>
    </rPh>
    <rPh sb="15" eb="17">
      <t>セイカ</t>
    </rPh>
    <rPh sb="17" eb="18">
      <t>ゴウ</t>
    </rPh>
    <rPh sb="19" eb="20">
      <t>ショク</t>
    </rPh>
    <rPh sb="20" eb="21">
      <t>クミ</t>
    </rPh>
    <phoneticPr fontId="8"/>
  </si>
  <si>
    <t>わいわいバザールPLUS26年盛夏号3色組差分予測</t>
    <rPh sb="14" eb="15">
      <t>ネン</t>
    </rPh>
    <rPh sb="15" eb="17">
      <t>セイカ</t>
    </rPh>
    <rPh sb="17" eb="18">
      <t>ゴウ</t>
    </rPh>
    <rPh sb="19" eb="20">
      <t>ショク</t>
    </rPh>
    <rPh sb="20" eb="21">
      <t>クミ</t>
    </rPh>
    <rPh sb="21" eb="25">
      <t>サブンヨソク</t>
    </rPh>
    <phoneticPr fontId="8"/>
  </si>
  <si>
    <t>わいわいバザールPLUS26年盛夏号3色組差分予測</t>
    <rPh sb="14" eb="15">
      <t>ネン</t>
    </rPh>
    <rPh sb="15" eb="17">
      <t>セイカ</t>
    </rPh>
    <rPh sb="17" eb="18">
      <t>ゴウ</t>
    </rPh>
    <rPh sb="19" eb="21">
      <t>ショククミ</t>
    </rPh>
    <rPh sb="21" eb="25">
      <t>サブンヨソク</t>
    </rPh>
    <phoneticPr fontId="8"/>
  </si>
  <si>
    <t>わいわいバザールPLUS26年盛夏号3色組（ベルーナ）</t>
    <rPh sb="14" eb="15">
      <t>ネン</t>
    </rPh>
    <rPh sb="15" eb="17">
      <t>セイカ</t>
    </rPh>
    <rPh sb="17" eb="18">
      <t>ゴウ</t>
    </rPh>
    <rPh sb="19" eb="21">
      <t>ショククミ</t>
    </rPh>
    <phoneticPr fontId="8"/>
  </si>
  <si>
    <t>JOD356</t>
    <phoneticPr fontId="8"/>
  </si>
  <si>
    <t>大阪いずみ生協１月２回（不透明袋）②</t>
    <rPh sb="0" eb="2">
      <t>オオサカ</t>
    </rPh>
    <rPh sb="5" eb="7">
      <t>セイキョウ</t>
    </rPh>
    <rPh sb="8" eb="9">
      <t>ガツ</t>
    </rPh>
    <rPh sb="10" eb="11">
      <t>カイ</t>
    </rPh>
    <phoneticPr fontId="8"/>
  </si>
  <si>
    <t>はぴねすくらぶ12月号3色組⑥</t>
    <rPh sb="9" eb="11">
      <t>ガツゴウ</t>
    </rPh>
    <rPh sb="12" eb="14">
      <t>ショククミ</t>
    </rPh>
    <phoneticPr fontId="8"/>
  </si>
  <si>
    <t>ハルメク・アルファ㊿</t>
    <phoneticPr fontId="8"/>
  </si>
  <si>
    <t>JOD357</t>
    <phoneticPr fontId="8"/>
  </si>
  <si>
    <t>東北サンネット　1月3回3色組（不透明袋）サクラマチ②</t>
    <rPh sb="0" eb="2">
      <t>トウホク</t>
    </rPh>
    <rPh sb="9" eb="10">
      <t>ガツ</t>
    </rPh>
    <rPh sb="11" eb="12">
      <t>カイ</t>
    </rPh>
    <phoneticPr fontId="8"/>
  </si>
  <si>
    <t>ユーコープ1月4回3色組（不透明袋）￥3990②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</si>
  <si>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JOD358</t>
    <phoneticPr fontId="8"/>
  </si>
  <si>
    <t>東北サンネット　1月3回3色組（不透明袋）サクラマチ③</t>
    <rPh sb="0" eb="2">
      <t>トウホク</t>
    </rPh>
    <rPh sb="9" eb="10">
      <t>ガツ</t>
    </rPh>
    <rPh sb="11" eb="12">
      <t>カイ</t>
    </rPh>
    <phoneticPr fontId="8"/>
  </si>
  <si>
    <t>ユーコープ1月4回3色組（不透明袋）￥3990③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</si>
  <si>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ハルメク・アルファ51</t>
    <phoneticPr fontId="8"/>
  </si>
  <si>
    <t>ハルメク・アルファ52</t>
    <phoneticPr fontId="8"/>
  </si>
  <si>
    <t>JOD359</t>
    <phoneticPr fontId="8"/>
  </si>
  <si>
    <t>ユーコープ1月4回3色組（不透明袋）￥3990④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</si>
  <si>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→1/9数伝</t>
    <rPh sb="4" eb="5">
      <t>スウ</t>
    </rPh>
    <rPh sb="5" eb="6">
      <t>デン</t>
    </rPh>
    <phoneticPr fontId="8"/>
  </si>
  <si>
    <t>JOD360</t>
    <phoneticPr fontId="8"/>
  </si>
  <si>
    <t>コープきんき4月5回単品（不透明袋）差分予測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</si>
  <si>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JOD361</t>
    <phoneticPr fontId="8"/>
  </si>
  <si>
    <t>3/18～26</t>
    <phoneticPr fontId="8"/>
  </si>
  <si>
    <t>ユーコープ３月４回　差分予測</t>
    <rPh sb="6" eb="7">
      <t>ガツ</t>
    </rPh>
    <rPh sb="8" eb="9">
      <t>カイ</t>
    </rPh>
    <rPh sb="10" eb="14">
      <t>サブンヨソク</t>
    </rPh>
    <phoneticPr fontId="8"/>
  </si>
  <si>
    <t>ロイヤルステージ1月号3色組①</t>
    <rPh sb="9" eb="11">
      <t>ガツゴウ</t>
    </rPh>
    <rPh sb="12" eb="14">
      <t>ショクグミ</t>
    </rPh>
    <phoneticPr fontId="8"/>
  </si>
  <si>
    <t>毎日が発見2025年12月売1月号3色組⑦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</si>
  <si>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ユーコープ３月４回3色組（不透明袋）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</si>
  <si>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JOD362</t>
    <phoneticPr fontId="8"/>
  </si>
  <si>
    <t>ハルメク・アルファ53</t>
    <phoneticPr fontId="8"/>
  </si>
  <si>
    <t>JOD363</t>
  </si>
  <si>
    <t>ゆめはん</t>
    <phoneticPr fontId="8"/>
  </si>
  <si>
    <t>毎日が発見2025年12月売1月号3色組⑧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</si>
  <si>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JOD364</t>
  </si>
  <si>
    <t>かりん</t>
    <phoneticPr fontId="8"/>
  </si>
  <si>
    <t>はぴねすくらぶ12月号3色組⑦</t>
    <rPh sb="9" eb="11">
      <t>ガツゴウ</t>
    </rPh>
    <rPh sb="12" eb="14">
      <t>ショククミ</t>
    </rPh>
    <phoneticPr fontId="8"/>
  </si>
  <si>
    <t>ゆめはん</t>
    <phoneticPr fontId="8"/>
  </si>
  <si>
    <t>JOD365</t>
    <phoneticPr fontId="8"/>
  </si>
  <si>
    <t>ハルメク・アルファ54</t>
    <phoneticPr fontId="8"/>
  </si>
  <si>
    <t>→2/6</t>
    <phoneticPr fontId="8"/>
  </si>
  <si>
    <t>点3/6、アバウト3/24、本3/24～30</t>
    <rPh sb="0" eb="1">
      <t>テン</t>
    </rPh>
    <rPh sb="14" eb="15">
      <t>ホン</t>
    </rPh>
    <phoneticPr fontId="8"/>
  </si>
  <si>
    <t>ロイヤルステージ1月号3色組②</t>
    <rPh sb="9" eb="11">
      <t>ガツゴウ</t>
    </rPh>
    <rPh sb="12" eb="14">
      <t>ショクグミ</t>
    </rPh>
    <phoneticPr fontId="8"/>
  </si>
  <si>
    <t>東都生協4月1回3色組（不透明袋）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</si>
  <si>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東都生協4月1回3色組（不透明袋）差分予測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rPh sb="17" eb="21">
      <t>サブンヨソク</t>
    </rPh>
    <phoneticPr fontId="8"/>
  </si>
  <si>
    <t>3/25～4/7</t>
    <phoneticPr fontId="8"/>
  </si>
  <si>
    <t>IEI使ってヨカッタ2月号3色組￥4500①</t>
    <rPh sb="3" eb="4">
      <t>ツカ</t>
    </rPh>
    <rPh sb="11" eb="13">
      <t>ガツゴウ</t>
    </rPh>
    <rPh sb="14" eb="16">
      <t>ショククミ</t>
    </rPh>
    <phoneticPr fontId="8"/>
  </si>
  <si>
    <t>JOD366</t>
    <phoneticPr fontId="8"/>
  </si>
  <si>
    <t>毎日が発見2025年12月売1月号3色組⑨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</si>
  <si>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ロイヤルステージ1月号3色組③</t>
    <rPh sb="9" eb="11">
      <t>ガツゴウ</t>
    </rPh>
    <rPh sb="12" eb="14">
      <t>ショクグミ</t>
    </rPh>
    <phoneticPr fontId="8"/>
  </si>
  <si>
    <t>ゆめはん</t>
    <phoneticPr fontId="8"/>
  </si>
  <si>
    <t>JOD367</t>
    <phoneticPr fontId="8"/>
  </si>
  <si>
    <t>コープ北陸２月２回3色組（不透明袋）①</t>
    <rPh sb="3" eb="5">
      <t>ホクリク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</si>
  <si>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ゆめはん</t>
    <phoneticPr fontId="8"/>
  </si>
  <si>
    <t>わいわいバザールPLUS26年春号3色組（ベルーナ）①</t>
    <rPh sb="14" eb="15">
      <t>ネン</t>
    </rPh>
    <rPh sb="15" eb="17">
      <t>ハルゴウ</t>
    </rPh>
    <rPh sb="18" eb="19">
      <t>ショク</t>
    </rPh>
    <rPh sb="19" eb="20">
      <t>クミ</t>
    </rPh>
    <phoneticPr fontId="8"/>
  </si>
  <si>
    <t>わいわいバザールPLUS26年春号3色組（ベルーナ）①</t>
    <rPh sb="14" eb="15">
      <t>ネン</t>
    </rPh>
    <rPh sb="15" eb="17">
      <t>ハルゴウ</t>
    </rPh>
    <rPh sb="18" eb="20">
      <t>ショククミ</t>
    </rPh>
    <phoneticPr fontId="8"/>
  </si>
  <si>
    <t>JOD368</t>
    <phoneticPr fontId="8"/>
  </si>
  <si>
    <t>はぴねすくらぶ12月号3色組⑧</t>
    <rPh sb="9" eb="11">
      <t>ガツゴウ</t>
    </rPh>
    <rPh sb="12" eb="14">
      <t>ショククミ</t>
    </rPh>
    <phoneticPr fontId="8"/>
  </si>
  <si>
    <r>
      <t>りすぺーる（パルシステム）2月4回3色組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14" eb="15">
      <t>ガツ</t>
    </rPh>
    <rPh sb="16" eb="17">
      <t>カイ</t>
    </rPh>
    <rPh sb="18" eb="20">
      <t>ショククミ</t>
    </rPh>
    <phoneticPr fontId="8"/>
  </si>
  <si>
    <t>JOD369</t>
    <phoneticPr fontId="8"/>
  </si>
  <si>
    <t>コープ北陸２月２回3色組（不透明袋）②</t>
    <rPh sb="3" eb="5">
      <t>ホクリク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</si>
  <si>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コープ北陸２月２回３色組（不透明袋）①</t>
    <rPh sb="3" eb="5">
      <t>ホクリク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</si>
  <si>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毎日が発見2025年12月売1月号3色組⑩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</si>
  <si>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毎日が発見2025年12月売1月号3色組⑪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</si>
  <si>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ネット返品交換</t>
    <rPh sb="3" eb="5">
      <t>ヘンピン</t>
    </rPh>
    <rPh sb="5" eb="7">
      <t>コウカン</t>
    </rPh>
    <phoneticPr fontId="8"/>
  </si>
  <si>
    <t>ニッセン⑬</t>
    <phoneticPr fontId="8"/>
  </si>
  <si>
    <t>ロイヤルステージ1月号3色組④</t>
    <rPh sb="9" eb="11">
      <t>ガツゴウ</t>
    </rPh>
    <rPh sb="12" eb="14">
      <t>ショクグミ</t>
    </rPh>
    <phoneticPr fontId="8"/>
  </si>
  <si>
    <t>JOD370</t>
    <phoneticPr fontId="8"/>
  </si>
  <si>
    <t>コープ北陸２月２回3色組（不透明袋）③</t>
    <rPh sb="3" eb="5">
      <t>ホクリク</t>
    </rPh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</si>
  <si>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電話注文</t>
    <rPh sb="0" eb="4">
      <t>デンワチュウモン</t>
    </rPh>
    <phoneticPr fontId="8"/>
  </si>
  <si>
    <t>4/2～5/1</t>
    <phoneticPr fontId="8"/>
  </si>
  <si>
    <t>ロイヤルステージ4月　3色組</t>
    <rPh sb="9" eb="10">
      <t>ガツ</t>
    </rPh>
    <rPh sb="12" eb="14">
      <t>ショクグミ</t>
    </rPh>
    <phoneticPr fontId="8"/>
  </si>
  <si>
    <t>JOD371</t>
    <phoneticPr fontId="8"/>
  </si>
  <si>
    <t>ゆめはん</t>
    <phoneticPr fontId="8"/>
  </si>
  <si>
    <t>IEI使ってヨカッタ4月号3色組差分予測</t>
    <rPh sb="3" eb="4">
      <t>ツカ</t>
    </rPh>
    <rPh sb="11" eb="13">
      <t>ガツゴウ</t>
    </rPh>
    <rPh sb="14" eb="16">
      <t>ショククミ</t>
    </rPh>
    <rPh sb="16" eb="20">
      <t>サブンヨソク</t>
    </rPh>
    <phoneticPr fontId="8"/>
  </si>
  <si>
    <t>IEI使ってヨカッタ4月号3色組￥4500</t>
    <rPh sb="3" eb="4">
      <t>ツカ</t>
    </rPh>
    <rPh sb="11" eb="13">
      <t>ガツゴウ</t>
    </rPh>
    <rPh sb="14" eb="16">
      <t>ショククミ</t>
    </rPh>
    <phoneticPr fontId="8"/>
  </si>
  <si>
    <t>4/11～8/31</t>
    <phoneticPr fontId="8"/>
  </si>
  <si>
    <t>IEI使ってヨカッタ4月号3色組</t>
    <rPh sb="3" eb="4">
      <t>ツカ</t>
    </rPh>
    <rPh sb="11" eb="13">
      <t>ガツゴウ</t>
    </rPh>
    <rPh sb="14" eb="16">
      <t>ショククミ</t>
    </rPh>
    <phoneticPr fontId="8"/>
  </si>
  <si>
    <t>JOD372</t>
    <phoneticPr fontId="8"/>
  </si>
  <si>
    <t>ハルメク・アルファ55</t>
    <phoneticPr fontId="8"/>
  </si>
  <si>
    <t>IEI使ってヨカッタ2月号3色組①</t>
    <rPh sb="3" eb="4">
      <t>ツカ</t>
    </rPh>
    <rPh sb="11" eb="13">
      <t>ガツゴウ</t>
    </rPh>
    <rPh sb="14" eb="16">
      <t>ショククミ</t>
    </rPh>
    <phoneticPr fontId="8"/>
  </si>
  <si>
    <t>JOD373</t>
  </si>
  <si>
    <t>はぴねすくらぶ12月号3色組⑨</t>
    <rPh sb="9" eb="11">
      <t>ガツゴウ</t>
    </rPh>
    <rPh sb="12" eb="14">
      <t>ショククミ</t>
    </rPh>
    <phoneticPr fontId="8"/>
  </si>
  <si>
    <t>JOD374</t>
    <phoneticPr fontId="8"/>
  </si>
  <si>
    <t>コープデリ4月2回～5月1回3色組（不透明袋）差分予測</t>
    <rPh sb="6" eb="7">
      <t>ガツ</t>
    </rPh>
    <rPh sb="8" eb="9">
      <t>カイ</t>
    </rPh>
    <rPh sb="15" eb="17">
      <t>ショククミ</t>
    </rPh>
    <rPh sb="23" eb="27">
      <t>サブンヨソク</t>
    </rPh>
    <phoneticPr fontId="8"/>
  </si>
  <si>
    <t>コープデリ4月2回～5月1回3色組（不透明袋）</t>
    <rPh sb="6" eb="7">
      <t>ガツ</t>
    </rPh>
    <rPh sb="8" eb="9">
      <t>カイ</t>
    </rPh>
    <rPh sb="11" eb="12">
      <t>ガツ</t>
    </rPh>
    <rPh sb="13" eb="14">
      <t>カイ</t>
    </rPh>
    <rPh sb="15" eb="17">
      <t>ショククミ</t>
    </rPh>
    <phoneticPr fontId="8"/>
  </si>
  <si>
    <t>点3/20～最終5/4</t>
    <rPh sb="0" eb="1">
      <t>テン</t>
    </rPh>
    <rPh sb="6" eb="8">
      <t>サイシュウ</t>
    </rPh>
    <phoneticPr fontId="8"/>
  </si>
  <si>
    <t>コープデリ12月2回～1月1回3色組（不透明袋）②</t>
    <rPh sb="7" eb="8">
      <t>ガツ</t>
    </rPh>
    <rPh sb="9" eb="10">
      <t>カイ</t>
    </rPh>
    <rPh sb="12" eb="13">
      <t>ガツ</t>
    </rPh>
    <rPh sb="14" eb="15">
      <t>カイ</t>
    </rPh>
    <rPh sb="16" eb="18">
      <t>ショククミ</t>
    </rPh>
    <phoneticPr fontId="8"/>
  </si>
  <si>
    <t>コープデリ12月2回～1月1回3色組（不透明袋）</t>
    <rPh sb="7" eb="8">
      <t>ガツ</t>
    </rPh>
    <rPh sb="9" eb="10">
      <t>カイ</t>
    </rPh>
    <rPh sb="12" eb="13">
      <t>ガツ</t>
    </rPh>
    <rPh sb="14" eb="15">
      <t>カイ</t>
    </rPh>
    <rPh sb="16" eb="18">
      <t>ショククミ</t>
    </rPh>
    <phoneticPr fontId="8"/>
  </si>
  <si>
    <t>コープデリ12月2回～1月1回3色組（不透明袋）③</t>
    <rPh sb="7" eb="8">
      <t>ガツ</t>
    </rPh>
    <rPh sb="9" eb="10">
      <t>カイ</t>
    </rPh>
    <rPh sb="12" eb="13">
      <t>ガツ</t>
    </rPh>
    <rPh sb="14" eb="15">
      <t>カイ</t>
    </rPh>
    <rPh sb="16" eb="18">
      <t>ショククミ</t>
    </rPh>
    <phoneticPr fontId="8"/>
  </si>
  <si>
    <t>コープデリ12月2回～1月1回3色組（不透明袋）①</t>
    <rPh sb="7" eb="8">
      <t>ガツ</t>
    </rPh>
    <rPh sb="9" eb="10">
      <t>カイ</t>
    </rPh>
    <rPh sb="12" eb="13">
      <t>ガツ</t>
    </rPh>
    <rPh sb="14" eb="15">
      <t>カイ</t>
    </rPh>
    <rPh sb="16" eb="18">
      <t>ショククミ</t>
    </rPh>
    <phoneticPr fontId="8"/>
  </si>
  <si>
    <t>東北サンネット　2月3回3色組（不透明袋）サクラマチ①</t>
    <rPh sb="0" eb="2">
      <t>トウホク</t>
    </rPh>
    <rPh sb="9" eb="10">
      <t>ガツ</t>
    </rPh>
    <rPh sb="11" eb="12">
      <t>カイ</t>
    </rPh>
    <phoneticPr fontId="8"/>
  </si>
  <si>
    <t>電話注文</t>
    <rPh sb="0" eb="4">
      <t>デンワチュウモン</t>
    </rPh>
    <phoneticPr fontId="8"/>
  </si>
  <si>
    <t>JOD375</t>
    <phoneticPr fontId="8"/>
  </si>
  <si>
    <t>ゆめはん</t>
    <phoneticPr fontId="8"/>
  </si>
  <si>
    <t>JOD376</t>
    <phoneticPr fontId="8"/>
  </si>
  <si>
    <t>はぴねすくらぶ12月号3色組⑩</t>
    <rPh sb="9" eb="11">
      <t>ガツゴウ</t>
    </rPh>
    <rPh sb="12" eb="14">
      <t>ショククミ</t>
    </rPh>
    <phoneticPr fontId="8"/>
  </si>
  <si>
    <t>6/17～10/31</t>
    <phoneticPr fontId="8"/>
  </si>
  <si>
    <t>ハルメク・アルファ56</t>
    <phoneticPr fontId="8"/>
  </si>
  <si>
    <t>JODメルシー0325/3色組￥3990</t>
    <rPh sb="13" eb="15">
      <t>ショククミ</t>
    </rPh>
    <phoneticPr fontId="8"/>
  </si>
  <si>
    <t>JODメルシー0325/3色組</t>
    <rPh sb="13" eb="15">
      <t>ショククミ</t>
    </rPh>
    <phoneticPr fontId="8"/>
  </si>
  <si>
    <t>コープきんき3月2回単品（不透明袋）①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</si>
  <si>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JOD377</t>
    <phoneticPr fontId="8"/>
  </si>
  <si>
    <t>点4/3、アバウト4/21、本4/21～27</t>
    <rPh sb="0" eb="1">
      <t>テン</t>
    </rPh>
    <rPh sb="14" eb="15">
      <t>ホン</t>
    </rPh>
    <phoneticPr fontId="8"/>
  </si>
  <si>
    <t>コープきんき4月5回単品（不透明袋）-健康・介護用品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</si>
  <si>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コープきんき4月5回単品（不透明袋）-健康・介護用品差分予測</t>
    <rPh sb="7" eb="8">
      <t>ガツ</t>
    </rPh>
    <rPh sb="9" eb="10">
      <t>カイ</t>
    </rPh>
    <rPh sb="10" eb="12">
      <t>タンピン</t>
    </rPh>
    <rPh sb="13" eb="17">
      <t>フトウメイフクロ</t>
    </rPh>
    <rPh sb="26" eb="30">
      <t>サブンヨソク</t>
    </rPh>
    <phoneticPr fontId="8"/>
  </si>
  <si>
    <t>りすぺーる（パルシステム）2月4回3色組（不透明袋）①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</si>
  <si>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はぴねすくらぶ12月号⑤</t>
    <rPh sb="9" eb="11">
      <t>ガツゴウ</t>
    </rPh>
    <phoneticPr fontId="8"/>
  </si>
  <si>
    <t>3/25～4/8</t>
    <phoneticPr fontId="8"/>
  </si>
  <si>
    <t>IEI使ってヨカッタ2月号3色組￥4500②</t>
    <rPh sb="3" eb="4">
      <t>ツカ</t>
    </rPh>
    <rPh sb="11" eb="13">
      <t>ガツゴウ</t>
    </rPh>
    <rPh sb="14" eb="16">
      <t>ショククミ</t>
    </rPh>
    <phoneticPr fontId="8"/>
  </si>
  <si>
    <t>日生協カタログ３７９号同梱こだわり特選秋　差分予測</t>
    <rPh sb="0" eb="3">
      <t>ニッセイキョウ</t>
    </rPh>
    <rPh sb="10" eb="11">
      <t>ゴウ</t>
    </rPh>
    <rPh sb="11" eb="13">
      <t>ドウコン</t>
    </rPh>
    <rPh sb="17" eb="19">
      <t>トクセン</t>
    </rPh>
    <rPh sb="19" eb="20">
      <t>アキ</t>
    </rPh>
    <rPh sb="21" eb="25">
      <t>サブンヨソク</t>
    </rPh>
    <phoneticPr fontId="8"/>
  </si>
  <si>
    <r>
      <t>りすぺーる（パルシステム）2月4回3色組</t>
    </r>
    <r>
      <rPr>
        <b/>
        <sz val="11"/>
        <rFont val="ＭＳ Ｐゴシック"/>
        <family val="3"/>
        <charset val="128"/>
      </rPr>
      <t>（不透明袋）②</t>
    </r>
    <rPh sb="14" eb="15">
      <t>ガツ</t>
    </rPh>
    <rPh sb="16" eb="17">
      <t>カイ</t>
    </rPh>
    <rPh sb="18" eb="20">
      <t>ショククミ</t>
    </rPh>
    <phoneticPr fontId="8"/>
  </si>
  <si>
    <r>
      <t>りすぺーる（パルシステム）2月4回3色組</t>
    </r>
    <r>
      <rPr>
        <b/>
        <sz val="11"/>
        <rFont val="ＭＳ Ｐゴシック"/>
        <family val="3"/>
        <charset val="128"/>
      </rPr>
      <t>（不透明袋）③</t>
    </r>
    <rPh sb="14" eb="15">
      <t>ガツ</t>
    </rPh>
    <rPh sb="16" eb="17">
      <t>カイ</t>
    </rPh>
    <rPh sb="18" eb="20">
      <t>ショククミ</t>
    </rPh>
    <phoneticPr fontId="8"/>
  </si>
  <si>
    <t>日生協カタログ３７９号同梱こだわり特選秋/3色組</t>
    <rPh sb="0" eb="3">
      <t>ニッセイキョウ</t>
    </rPh>
    <rPh sb="10" eb="11">
      <t>ゴウ</t>
    </rPh>
    <rPh sb="11" eb="13">
      <t>ドウコン</t>
    </rPh>
    <rPh sb="17" eb="19">
      <t>トクセン</t>
    </rPh>
    <rPh sb="19" eb="20">
      <t>アキ</t>
    </rPh>
    <rPh sb="22" eb="24">
      <t>ショククミ</t>
    </rPh>
    <phoneticPr fontId="8"/>
  </si>
  <si>
    <t>JOD378</t>
    <phoneticPr fontId="8"/>
  </si>
  <si>
    <r>
      <t>りすぺーる（パルシステム）2月4回3色組</t>
    </r>
    <r>
      <rPr>
        <b/>
        <sz val="11"/>
        <rFont val="ＭＳ Ｐゴシック"/>
        <family val="3"/>
        <charset val="128"/>
      </rPr>
      <t>（不透明袋）④</t>
    </r>
    <rPh sb="14" eb="15">
      <t>ガツ</t>
    </rPh>
    <rPh sb="16" eb="17">
      <t>カイ</t>
    </rPh>
    <rPh sb="18" eb="20">
      <t>ショククミ</t>
    </rPh>
    <phoneticPr fontId="8"/>
  </si>
  <si>
    <t>コープきんき5月4回単品（不透明袋）-健康・介護用品差分予測</t>
    <rPh sb="7" eb="8">
      <t>ガツ</t>
    </rPh>
    <rPh sb="9" eb="10">
      <t>カイ</t>
    </rPh>
    <rPh sb="10" eb="12">
      <t>タンピン</t>
    </rPh>
    <rPh sb="13" eb="17">
      <t>フトウメイフクロ</t>
    </rPh>
    <rPh sb="26" eb="30">
      <t>サブンヨソク</t>
    </rPh>
    <phoneticPr fontId="8"/>
  </si>
  <si>
    <t>コープきんき5月4回単品（不透明袋）-健康・介護用品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</si>
  <si>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内定</t>
    <rPh sb="0" eb="2">
      <t>ナイテイ</t>
    </rPh>
    <phoneticPr fontId="8"/>
  </si>
  <si>
    <t>コープきんき5月4回単品（不透明袋）差分予測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</si>
  <si>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JOD379</t>
  </si>
  <si>
    <t>JOD380</t>
    <phoneticPr fontId="8"/>
  </si>
  <si>
    <t>ゆめはん</t>
    <phoneticPr fontId="8"/>
  </si>
  <si>
    <t>はぴねすくらぶ12月号3色組⑪</t>
    <rPh sb="9" eb="11">
      <t>ガツゴウ</t>
    </rPh>
    <rPh sb="12" eb="14">
      <t>ショククミ</t>
    </rPh>
    <phoneticPr fontId="8"/>
  </si>
  <si>
    <t>はぴねすくらぶ12月号⑥</t>
    <rPh sb="9" eb="11">
      <t>ガツゴウ</t>
    </rPh>
    <phoneticPr fontId="8"/>
  </si>
  <si>
    <t>JOD381</t>
    <phoneticPr fontId="8"/>
  </si>
  <si>
    <t>はぴねすくらぶ12月号⑦</t>
    <rPh sb="9" eb="11">
      <t>ガツゴウ</t>
    </rPh>
    <phoneticPr fontId="8"/>
  </si>
  <si>
    <t>←ここまで在庫確認済２０２６年2/24</t>
    <rPh sb="5" eb="7">
      <t>ザイコ</t>
    </rPh>
    <rPh sb="7" eb="9">
      <t>カクニン</t>
    </rPh>
    <rPh sb="9" eb="10">
      <t>スミ</t>
    </rPh>
    <rPh sb="14" eb="15">
      <t>ネン</t>
    </rPh>
    <phoneticPr fontId="8"/>
  </si>
  <si>
    <t>←ここまで在庫確認済　２０２６年2/24</t>
    <rPh sb="5" eb="7">
      <t>ザイコ</t>
    </rPh>
    <rPh sb="7" eb="9">
      <t>カクニン</t>
    </rPh>
    <rPh sb="9" eb="10">
      <t>スミ</t>
    </rPh>
    <rPh sb="15" eb="16">
      <t>ネン</t>
    </rPh>
    <phoneticPr fontId="8"/>
  </si>
  <si>
    <t>JOD382</t>
    <phoneticPr fontId="8"/>
  </si>
  <si>
    <t>JOD383</t>
    <phoneticPr fontId="8"/>
  </si>
  <si>
    <t>IEI使ってヨカッタ2月号3色組②</t>
    <rPh sb="3" eb="4">
      <t>ツカ</t>
    </rPh>
    <rPh sb="11" eb="13">
      <t>ガツゴウ</t>
    </rPh>
    <rPh sb="14" eb="16">
      <t>ショククミ</t>
    </rPh>
    <phoneticPr fontId="8"/>
  </si>
  <si>
    <r>
      <t>りすぺーる（パルシステム）2月4回3色組</t>
    </r>
    <r>
      <rPr>
        <b/>
        <sz val="11"/>
        <rFont val="ＭＳ Ｐゴシック"/>
        <family val="3"/>
        <charset val="128"/>
      </rPr>
      <t>（不透明袋）</t>
    </r>
    <rPh sb="14" eb="15">
      <t>ガツ</t>
    </rPh>
    <rPh sb="16" eb="17">
      <t>カイ</t>
    </rPh>
    <rPh sb="18" eb="20">
      <t>ショククミ</t>
    </rPh>
    <phoneticPr fontId="8"/>
  </si>
  <si>
    <t>JOD384</t>
    <phoneticPr fontId="8"/>
  </si>
  <si>
    <t>毎日が発見2025年12月売1月号3色組⑫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</si>
  <si>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JOD385</t>
    <phoneticPr fontId="8"/>
  </si>
  <si>
    <t>電話注文</t>
    <rPh sb="0" eb="4">
      <t>デンワチュウモン</t>
    </rPh>
    <phoneticPr fontId="8"/>
  </si>
  <si>
    <t>JOD386</t>
    <phoneticPr fontId="8"/>
  </si>
  <si>
    <t>コープきんき3月2回単品（不透明袋）②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</si>
  <si>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グリーンコープ3月51号　3色組（不透明袋）①</t>
    <rPh sb="8" eb="9">
      <t>ガツ</t>
    </rPh>
    <rPh sb="11" eb="12">
      <t>ゴウ</t>
    </rPh>
    <rPh sb="14" eb="16">
      <t>ショクグミ</t>
    </rPh>
    <rPh sb="17" eb="21">
      <t>フトウメイフクロ</t>
    </rPh>
    <phoneticPr fontId="8"/>
  </si>
  <si>
    <t>コープ東北サンネット4月4回3色組</t>
    <rPh sb="3" eb="5">
      <t>トウホク</t>
    </rPh>
    <rPh sb="11" eb="12">
      <t>ガツ</t>
    </rPh>
    <rPh sb="13" eb="14">
      <t>カイ</t>
    </rPh>
    <rPh sb="15" eb="17">
      <t>ショククミ</t>
    </rPh>
    <phoneticPr fontId="8"/>
  </si>
  <si>
    <t>コープ東北サンネット4月4回3色組差分予測</t>
    <rPh sb="17" eb="21">
      <t>サブンヨソク</t>
    </rPh>
    <phoneticPr fontId="8"/>
  </si>
  <si>
    <t>4/9～22</t>
    <phoneticPr fontId="8"/>
  </si>
  <si>
    <t>コープ東北サンネット4月2回　差分予測</t>
    <rPh sb="3" eb="5">
      <t>トウホク</t>
    </rPh>
    <rPh sb="11" eb="12">
      <t>ガツ</t>
    </rPh>
    <rPh sb="13" eb="14">
      <t>カイ</t>
    </rPh>
    <rPh sb="15" eb="19">
      <t>サブンヨソク</t>
    </rPh>
    <phoneticPr fontId="8"/>
  </si>
  <si>
    <t>コープ東北サンネット　4月2回3色組（不透明袋）サクラマチ</t>
    <rPh sb="3" eb="5">
      <t>トウホク</t>
    </rPh>
    <rPh sb="12" eb="13">
      <t>ガツ</t>
    </rPh>
    <rPh sb="14" eb="15">
      <t>カイ</t>
    </rPh>
    <phoneticPr fontId="8"/>
  </si>
  <si>
    <t>JOD387</t>
    <phoneticPr fontId="8"/>
  </si>
  <si>
    <t>ハルメク・アルファ57</t>
    <phoneticPr fontId="8"/>
  </si>
  <si>
    <t>→ここまで在庫確認済3/4</t>
    <rPh sb="5" eb="10">
      <t>ザイコカクニンスミ</t>
    </rPh>
    <phoneticPr fontId="8"/>
  </si>
  <si>
    <t>わいわいバザールPLUS26年春号3色組（ベルーナ）②</t>
    <rPh sb="14" eb="15">
      <t>ネン</t>
    </rPh>
    <rPh sb="15" eb="17">
      <t>ハルゴウ</t>
    </rPh>
    <rPh sb="18" eb="19">
      <t>ショク</t>
    </rPh>
    <rPh sb="19" eb="20">
      <t>クミ</t>
    </rPh>
    <phoneticPr fontId="8"/>
  </si>
  <si>
    <t>わいわいバザールPLUS26年春号3色組（ベルーナ）②</t>
    <rPh sb="14" eb="15">
      <t>ネン</t>
    </rPh>
    <rPh sb="15" eb="17">
      <t>ハルゴウ</t>
    </rPh>
    <rPh sb="18" eb="20">
      <t>ショククミ</t>
    </rPh>
    <phoneticPr fontId="8"/>
  </si>
  <si>
    <t>IEI使ってヨカッタ3月号3色組①</t>
    <rPh sb="3" eb="4">
      <t>ツカ</t>
    </rPh>
    <rPh sb="11" eb="13">
      <t>ガツゴウ</t>
    </rPh>
    <rPh sb="14" eb="16">
      <t>ショククミ</t>
    </rPh>
    <phoneticPr fontId="8"/>
  </si>
  <si>
    <t>ニッセン⑭</t>
    <phoneticPr fontId="8"/>
  </si>
  <si>
    <t>JOD388</t>
    <phoneticPr fontId="8"/>
  </si>
  <si>
    <t>コープきんき3月2回単品（不透明袋）③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</si>
  <si>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展開期間8/10～12/5、初回：展開開始3週間前に計画数の30％納品</t>
    <phoneticPr fontId="8"/>
  </si>
  <si>
    <t>日生協カタログ346号WEB専用トリオラ秋/3色組</t>
    <rPh sb="0" eb="3">
      <t>ニッセイキョウ</t>
    </rPh>
    <rPh sb="10" eb="11">
      <t>ゴウ</t>
    </rPh>
    <rPh sb="14" eb="16">
      <t>センヨウ</t>
    </rPh>
    <rPh sb="20" eb="21">
      <t>アキ</t>
    </rPh>
    <rPh sb="23" eb="25">
      <t>ショククミ</t>
    </rPh>
    <phoneticPr fontId="8"/>
  </si>
  <si>
    <t>日生協カタログ346号WEB専用トリオラ秋　差分予測</t>
    <rPh sb="0" eb="2">
      <t>ニッセイ</t>
    </rPh>
    <rPh sb="2" eb="3">
      <t>キョウ</t>
    </rPh>
    <rPh sb="10" eb="11">
      <t>ゴウ</t>
    </rPh>
    <rPh sb="14" eb="16">
      <t>センヨウ</t>
    </rPh>
    <rPh sb="20" eb="21">
      <t>アキ</t>
    </rPh>
    <rPh sb="22" eb="26">
      <t>サブンヨソク</t>
    </rPh>
    <phoneticPr fontId="8"/>
  </si>
  <si>
    <t>展開期間8/17～3/21、初回：展開開始3週間前に計画数の30％納品</t>
    <phoneticPr fontId="8"/>
  </si>
  <si>
    <t>日生協カタログ346号WEB限定トリオラ秋/3色組（PP袋小）差分予測</t>
    <rPh sb="0" eb="3">
      <t>ニッセイキョウ</t>
    </rPh>
    <rPh sb="10" eb="11">
      <t>ゴウ</t>
    </rPh>
    <rPh sb="14" eb="16">
      <t>ゲンテイ</t>
    </rPh>
    <rPh sb="20" eb="21">
      <t>アキ</t>
    </rPh>
    <rPh sb="23" eb="25">
      <t>ショククミ</t>
    </rPh>
    <rPh sb="28" eb="29">
      <t>フクロ</t>
    </rPh>
    <rPh sb="29" eb="30">
      <t>ショウ</t>
    </rPh>
    <rPh sb="31" eb="35">
      <t>サブンヨソク</t>
    </rPh>
    <phoneticPr fontId="8"/>
  </si>
  <si>
    <r>
      <t>日生協カタログ346号WEB限定トリオラ秋/3色組</t>
    </r>
    <r>
      <rPr>
        <b/>
        <sz val="11"/>
        <color rgb="FFFF0000"/>
        <rFont val="ＭＳ Ｐゴシック"/>
        <family val="3"/>
        <charset val="128"/>
      </rPr>
      <t>（PP袋小）</t>
    </r>
    <rPh sb="0" eb="3">
      <t>ニッセイキョウ</t>
    </rPh>
    <rPh sb="10" eb="11">
      <t>ゴウ</t>
    </rPh>
    <rPh sb="14" eb="16">
      <t>ゲンテイ</t>
    </rPh>
    <rPh sb="20" eb="21">
      <t>アキ</t>
    </rPh>
    <rPh sb="23" eb="25">
      <t>ショククミ</t>
    </rPh>
    <rPh sb="28" eb="29">
      <t>フクロ</t>
    </rPh>
    <rPh sb="29" eb="30">
      <t>ショウ</t>
    </rPh>
    <phoneticPr fontId="8"/>
  </si>
  <si>
    <t>JOD389</t>
    <phoneticPr fontId="8"/>
  </si>
  <si>
    <t>コープこうべ2月4回3色組（不透明袋）①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</si>
  <si>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コープきんき3月2回単品（不透明袋）④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</si>
  <si>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ゆめはん</t>
    <phoneticPr fontId="8"/>
  </si>
  <si>
    <t>コープきんき4月1回単品（不透明袋）健康・介護用品ページ①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</si>
  <si>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コープきんき4月1回単品（不透明袋）-健康・介護用品①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</si>
  <si>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JOD390</t>
    <phoneticPr fontId="8"/>
  </si>
  <si>
    <t>グリーンコープ3月51号　3色組（不透明袋）②</t>
    <rPh sb="8" eb="9">
      <t>ガツ</t>
    </rPh>
    <rPh sb="11" eb="12">
      <t>ゴウ</t>
    </rPh>
    <rPh sb="14" eb="16">
      <t>ショクグミ</t>
    </rPh>
    <rPh sb="17" eb="21">
      <t>フトウメイフクロ</t>
    </rPh>
    <phoneticPr fontId="8"/>
  </si>
  <si>
    <t>くらし直送</t>
    <rPh sb="3" eb="5">
      <t>チョクソウ</t>
    </rPh>
    <phoneticPr fontId="8"/>
  </si>
  <si>
    <t>JODアクセス7016/3色組￥3990</t>
    <rPh sb="13" eb="15">
      <t>ショククミ</t>
    </rPh>
    <phoneticPr fontId="8"/>
  </si>
  <si>
    <t>JODアクセス7016/3色組</t>
    <rPh sb="13" eb="15">
      <t>ショククミ</t>
    </rPh>
    <phoneticPr fontId="8"/>
  </si>
  <si>
    <t>JOD特別号9560/3色組</t>
    <rPh sb="3" eb="6">
      <t>トクベツゴウ</t>
    </rPh>
    <rPh sb="12" eb="14">
      <t>ショククミ</t>
    </rPh>
    <phoneticPr fontId="8"/>
  </si>
  <si>
    <t>JOD特別号9560/3色組￥3990</t>
    <rPh sb="3" eb="6">
      <t>トクベツゴウ</t>
    </rPh>
    <rPh sb="12" eb="14">
      <t>ショククミ</t>
    </rPh>
    <phoneticPr fontId="8"/>
  </si>
  <si>
    <t>はぴねすくらぶ12月号3色組⑫</t>
    <rPh sb="9" eb="11">
      <t>ガツゴウ</t>
    </rPh>
    <rPh sb="12" eb="14">
      <t>ショククミ</t>
    </rPh>
    <phoneticPr fontId="8"/>
  </si>
  <si>
    <t>コープこうべ2月4回3色組（不透明袋）②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</si>
  <si>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ハルメク・アルファ58</t>
    <phoneticPr fontId="8"/>
  </si>
  <si>
    <t>りすぺーる（パルシステム）4月2回お試し企画￥1680①</t>
    <rPh sb="18" eb="19">
      <t>タメ</t>
    </rPh>
    <rPh sb="20" eb="22">
      <t>キカク</t>
    </rPh>
    <phoneticPr fontId="8"/>
  </si>
  <si>
    <t>ニッセン⑮</t>
    <phoneticPr fontId="8"/>
  </si>
  <si>
    <t>JOD391</t>
    <phoneticPr fontId="8"/>
  </si>
  <si>
    <t>JOD392</t>
    <phoneticPr fontId="8"/>
  </si>
  <si>
    <t>毎日が発見2025年12月売1月号3色組⑬</t>
    <rPh sb="0" eb="2">
      <t>マイニチ</t>
    </rPh>
    <rPh sb="3" eb="5">
      <t>ハッケン</t>
    </rPh>
    <rPh sb="9" eb="10">
      <t>ネン</t>
    </rPh>
    <rPh sb="12" eb="13">
      <t>ガツ</t>
    </rPh>
    <rPh sb="13" eb="14">
      <t>バイ</t>
    </rPh>
    <rPh sb="15" eb="16">
      <t>ガツ</t>
    </rPh>
    <rPh sb="16" eb="17">
      <t>ゴウ</t>
    </rPh>
    <rPh sb="18" eb="20">
      <t>ショククミ</t>
    </rPh>
    <phoneticPr fontId="8"/>
  </si>
  <si>
    <t>電話注文</t>
    <rPh sb="0" eb="4">
      <t>デンワチュウモン</t>
    </rPh>
    <phoneticPr fontId="8"/>
  </si>
  <si>
    <t>コープデリ4月2回～5月1回3色組（不透明袋）①</t>
    <rPh sb="6" eb="7">
      <t>ガツ</t>
    </rPh>
    <rPh sb="8" eb="9">
      <t>カイ</t>
    </rPh>
    <rPh sb="11" eb="12">
      <t>ガツ</t>
    </rPh>
    <rPh sb="13" eb="14">
      <t>カイ</t>
    </rPh>
    <rPh sb="15" eb="17">
      <t>ショククミ</t>
    </rPh>
    <phoneticPr fontId="8"/>
  </si>
  <si>
    <t>→ここまで在庫確認済3/11</t>
    <rPh sb="5" eb="10">
      <t>ザイコカクニンスミ</t>
    </rPh>
    <phoneticPr fontId="8"/>
  </si>
  <si>
    <t>JOD393</t>
    <phoneticPr fontId="8"/>
  </si>
  <si>
    <t>ユーコープ３月４回3色組（不透明袋）①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</si>
  <si>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りすぺーる（パルシステム）6月4回3色組差分予測</t>
    <rPh sb="14" eb="15">
      <t>ガツ</t>
    </rPh>
    <rPh sb="16" eb="17">
      <t>カイ</t>
    </rPh>
    <rPh sb="18" eb="20">
      <t>ショククミ</t>
    </rPh>
    <rPh sb="20" eb="24">
      <t>サブンヨソク</t>
    </rPh>
    <phoneticPr fontId="8"/>
  </si>
  <si>
    <t>りすぺーる（パルシステム）6月4回3色組（不透明袋）新洗濯ネーム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</si>
  <si>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ロイヤルステージ1月号3色組⑤</t>
    <rPh sb="9" eb="11">
      <t>ガツゴウ</t>
    </rPh>
    <rPh sb="12" eb="14">
      <t>ショクグミ</t>
    </rPh>
    <phoneticPr fontId="8"/>
  </si>
  <si>
    <t>わいわいバザールPLUS26年春号3色組（ベルーナ）③</t>
    <rPh sb="14" eb="15">
      <t>ネン</t>
    </rPh>
    <rPh sb="15" eb="17">
      <t>ハルゴウ</t>
    </rPh>
    <rPh sb="18" eb="19">
      <t>ショク</t>
    </rPh>
    <rPh sb="19" eb="20">
      <t>クミ</t>
    </rPh>
    <phoneticPr fontId="8"/>
  </si>
  <si>
    <t>わいわいバザールPLUS26年春号3色組（ベルーナ）③</t>
    <rPh sb="14" eb="15">
      <t>ネン</t>
    </rPh>
    <rPh sb="15" eb="17">
      <t>ハルゴウ</t>
    </rPh>
    <rPh sb="18" eb="20">
      <t>ショククミ</t>
    </rPh>
    <phoneticPr fontId="8"/>
  </si>
  <si>
    <t>JOD394</t>
    <phoneticPr fontId="8"/>
  </si>
  <si>
    <t>点6/4、初回・アバウト6/16、最終発注6/22</t>
    <rPh sb="0" eb="1">
      <t>テン</t>
    </rPh>
    <rPh sb="5" eb="7">
      <t>ショカイ</t>
    </rPh>
    <rPh sb="17" eb="21">
      <t>サイシュウハッチュウ</t>
    </rPh>
    <phoneticPr fontId="8"/>
  </si>
  <si>
    <t>点5/1、アバウト5/19、本5/19～25</t>
    <rPh sb="0" eb="1">
      <t>テン</t>
    </rPh>
    <rPh sb="14" eb="15">
      <t>ホン</t>
    </rPh>
    <phoneticPr fontId="8"/>
  </si>
  <si>
    <t>ゆめはん</t>
    <phoneticPr fontId="8"/>
  </si>
  <si>
    <t>ハルメク・アルファ59</t>
    <phoneticPr fontId="8"/>
  </si>
  <si>
    <t>コープこうべ2月4回3色組（不透明袋）③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</si>
  <si>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JODメルシー0507/3色組￥3990</t>
    <rPh sb="13" eb="15">
      <t>ショククミ</t>
    </rPh>
    <phoneticPr fontId="8"/>
  </si>
  <si>
    <t>JODメルシー0507/3色組</t>
    <rPh sb="13" eb="15">
      <t>ショククミ</t>
    </rPh>
    <phoneticPr fontId="8"/>
  </si>
  <si>
    <t>IEI使ってヨカッタ6月号3色組差分予測</t>
    <rPh sb="3" eb="4">
      <t>ツカ</t>
    </rPh>
    <rPh sb="11" eb="13">
      <t>ガツゴウ</t>
    </rPh>
    <rPh sb="14" eb="16">
      <t>ショククミ</t>
    </rPh>
    <rPh sb="16" eb="20">
      <t>サブンヨソク</t>
    </rPh>
    <phoneticPr fontId="8"/>
  </si>
  <si>
    <t>IEI使ってヨカッタ6月号3色組￥4500</t>
    <rPh sb="3" eb="4">
      <t>ツカ</t>
    </rPh>
    <rPh sb="11" eb="13">
      <t>ガツゴウ</t>
    </rPh>
    <rPh sb="14" eb="16">
      <t>ショククミ</t>
    </rPh>
    <phoneticPr fontId="8"/>
  </si>
  <si>
    <t>5/30～9/30</t>
    <phoneticPr fontId="8"/>
  </si>
  <si>
    <t>JOD395</t>
    <phoneticPr fontId="8"/>
  </si>
  <si>
    <t>コープきんき6月4回単品（不透明袋）差分予測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</si>
  <si>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コープきんき6月4回単品（不透明袋）-健康・介護用品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</si>
  <si>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コープきんき6月4回単品（不透明袋）-健康・介護用品差分予測</t>
    <rPh sb="7" eb="8">
      <t>ガツ</t>
    </rPh>
    <rPh sb="9" eb="10">
      <t>カイ</t>
    </rPh>
    <rPh sb="10" eb="12">
      <t>タンピン</t>
    </rPh>
    <rPh sb="13" eb="17">
      <t>フトウメイフクロ</t>
    </rPh>
    <rPh sb="26" eb="30">
      <t>サブンヨソク</t>
    </rPh>
    <phoneticPr fontId="8"/>
  </si>
  <si>
    <t>コープこうべ6月4回 差分予測</t>
    <rPh sb="7" eb="8">
      <t>ガツ</t>
    </rPh>
    <rPh sb="9" eb="10">
      <t>カイ</t>
    </rPh>
    <rPh sb="11" eb="15">
      <t>サブンヨソク</t>
    </rPh>
    <phoneticPr fontId="8"/>
  </si>
  <si>
    <t>はぴねすくらぶ12月号3色組⑬</t>
    <rPh sb="9" eb="11">
      <t>ガツゴウ</t>
    </rPh>
    <rPh sb="12" eb="14">
      <t>ショククミ</t>
    </rPh>
    <phoneticPr fontId="8"/>
  </si>
  <si>
    <r>
      <t>りすぺーる（パル）4月2回お試し企画（不透明袋）￥1480</t>
    </r>
    <r>
      <rPr>
        <b/>
        <sz val="11"/>
        <rFont val="ＭＳ Ｐゴシック"/>
        <family val="3"/>
        <charset val="128"/>
      </rPr>
      <t>新洗濯ネーム</t>
    </r>
    <r>
      <rPr>
        <sz val="11"/>
        <rFont val="ＭＳ Ｐゴシック"/>
        <family val="3"/>
        <charset val="128"/>
      </rPr>
      <t>①</t>
    </r>
    <rPh sb="14" eb="15">
      <t>タメ</t>
    </rPh>
    <rPh sb="16" eb="18">
      <t>キカク</t>
    </rPh>
    <rPh sb="29" eb="30">
      <t>シン</t>
    </rPh>
    <rPh sb="30" eb="32">
      <t>センタク</t>
    </rPh>
    <phoneticPr fontId="8"/>
  </si>
  <si>
    <t>ユーコープ３月４回3色組（不透明袋）②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</si>
  <si>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はぴねすくらぶ12月号3色組⑭</t>
    <rPh sb="9" eb="11">
      <t>ガツゴウ</t>
    </rPh>
    <rPh sb="12" eb="14">
      <t>ショククミ</t>
    </rPh>
    <phoneticPr fontId="8"/>
  </si>
  <si>
    <t>IEI使ってヨカッタ2月号3色組￥4500③</t>
    <rPh sb="3" eb="4">
      <t>ツカ</t>
    </rPh>
    <rPh sb="11" eb="13">
      <t>ガツゴウ</t>
    </rPh>
    <rPh sb="14" eb="16">
      <t>ショククミ</t>
    </rPh>
    <phoneticPr fontId="8"/>
  </si>
  <si>
    <t>くらし企画（きんき選定会議用）返却</t>
    <rPh sb="3" eb="5">
      <t>キカク</t>
    </rPh>
    <rPh sb="9" eb="14">
      <t>センテイカイギヨウ</t>
    </rPh>
    <rPh sb="15" eb="17">
      <t>ヘンキャク</t>
    </rPh>
    <phoneticPr fontId="8"/>
  </si>
  <si>
    <t>JOD396</t>
    <phoneticPr fontId="8"/>
  </si>
  <si>
    <t>ユーコープ３月４回3色組（不透明袋）③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</si>
  <si>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わいわいバザールPLUS26年春号3色組（ベルーナ）④</t>
    <rPh sb="14" eb="15">
      <t>ネン</t>
    </rPh>
    <rPh sb="15" eb="17">
      <t>ハルゴウ</t>
    </rPh>
    <rPh sb="18" eb="19">
      <t>ショク</t>
    </rPh>
    <rPh sb="19" eb="20">
      <t>クミ</t>
    </rPh>
    <phoneticPr fontId="8"/>
  </si>
  <si>
    <t>わいわいバザールPLUS26年春号3色組（ベルーナ）④</t>
    <rPh sb="14" eb="15">
      <t>ネン</t>
    </rPh>
    <rPh sb="15" eb="17">
      <t>ハルゴウ</t>
    </rPh>
    <rPh sb="18" eb="20">
      <t>ショククミ</t>
    </rPh>
    <phoneticPr fontId="8"/>
  </si>
  <si>
    <t>JOD397</t>
    <phoneticPr fontId="8"/>
  </si>
  <si>
    <t>東都生協4月1回3色組（不透明袋）①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</si>
  <si>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コープきんき4月1回単品（不透明袋）健康・介護用品ページ②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</si>
  <si>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東都生協4月1回3色組（不透明袋）②</t>
    <rPh sb="0" eb="2">
      <t>トウト</t>
    </rPh>
    <rPh sb="2" eb="4">
      <t>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</si>
  <si>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コープ九州8月3回　単品(不透明袋)</t>
    <rPh sb="3" eb="5">
      <t>キュウシュウ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8"/>
  </si>
  <si>
    <t>コープきんき4月1回単品（不透明袋）健康・介護用品ページ③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</si>
  <si>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ことせ2611号/3色組（ハルメクアルファ）</t>
    <rPh sb="7" eb="8">
      <t>ゴウ</t>
    </rPh>
    <rPh sb="10" eb="12">
      <t>ショククミ</t>
    </rPh>
    <phoneticPr fontId="8"/>
  </si>
  <si>
    <t>5/1～7/31</t>
    <phoneticPr fontId="8"/>
  </si>
  <si>
    <r>
      <t>日生協カタログWEB限定トリオラ初夏/3色組</t>
    </r>
    <r>
      <rPr>
        <b/>
        <sz val="11"/>
        <rFont val="ＭＳ Ｐゴシック"/>
        <family val="3"/>
        <charset val="128"/>
      </rPr>
      <t>（PP袋小）</t>
    </r>
    <rPh sb="0" eb="3">
      <t>ニッセイキョウ</t>
    </rPh>
    <rPh sb="10" eb="12">
      <t>ゲンテイ</t>
    </rPh>
    <rPh sb="16" eb="18">
      <t>ショカ</t>
    </rPh>
    <rPh sb="20" eb="22">
      <t>ショククミ</t>
    </rPh>
    <phoneticPr fontId="8"/>
  </si>
  <si>
    <t>ことせ2611号/3色組（ハルメクアルファ）差分予測</t>
    <rPh sb="7" eb="8">
      <t>ゴウ</t>
    </rPh>
    <rPh sb="10" eb="12">
      <t>ショククミ</t>
    </rPh>
    <rPh sb="22" eb="26">
      <t>サブンヨソク</t>
    </rPh>
    <phoneticPr fontId="8"/>
  </si>
  <si>
    <t>JOD398</t>
    <phoneticPr fontId="8"/>
  </si>
  <si>
    <t>KPORT</t>
    <phoneticPr fontId="8"/>
  </si>
  <si>
    <t>ゆめはん移動</t>
    <rPh sb="4" eb="6">
      <t>イドウ</t>
    </rPh>
    <phoneticPr fontId="4"/>
  </si>
  <si>
    <t>コープ東北サンネット　4月2回3色組（不透明袋）サクラマチ①</t>
    <rPh sb="3" eb="5">
      <t>トウホク</t>
    </rPh>
    <rPh sb="12" eb="13">
      <t>ガツ</t>
    </rPh>
    <rPh sb="14" eb="15">
      <t>カイ</t>
    </rPh>
    <phoneticPr fontId="8"/>
  </si>
  <si>
    <t>２０２３年１２月～２０２６年３月末実績販売数</t>
    <rPh sb="4" eb="5">
      <t>ネン</t>
    </rPh>
    <rPh sb="7" eb="8">
      <t>ガツ</t>
    </rPh>
    <rPh sb="13" eb="14">
      <t>ネン</t>
    </rPh>
    <rPh sb="15" eb="16">
      <t>ガツ</t>
    </rPh>
    <rPh sb="16" eb="17">
      <t>マツ</t>
    </rPh>
    <rPh sb="17" eb="19">
      <t>ジッセキ</t>
    </rPh>
    <rPh sb="19" eb="21">
      <t>ハンバイ</t>
    </rPh>
    <rPh sb="21" eb="22">
      <t>スウ</t>
    </rPh>
    <phoneticPr fontId="8"/>
  </si>
  <si>
    <t>構成比</t>
    <rPh sb="0" eb="3">
      <t>コウセイヒ</t>
    </rPh>
    <phoneticPr fontId="8"/>
  </si>
  <si>
    <t>コープきんき4月1回単品（不透明袋）健康・介護用品ページ④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</si>
  <si>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ゆめはん</t>
    <phoneticPr fontId="8"/>
  </si>
  <si>
    <t>２０２５年１０月～２０２６年３月実績数</t>
    <rPh sb="4" eb="5">
      <t>ネン</t>
    </rPh>
    <rPh sb="7" eb="8">
      <t>ガツ</t>
    </rPh>
    <rPh sb="13" eb="14">
      <t>ネン</t>
    </rPh>
    <rPh sb="15" eb="16">
      <t>ガツ</t>
    </rPh>
    <rPh sb="16" eb="18">
      <t>ジッセキ</t>
    </rPh>
    <rPh sb="18" eb="19">
      <t>スウ</t>
    </rPh>
    <phoneticPr fontId="8"/>
  </si>
  <si>
    <t>りすぺーる（パルシステム）4月2回3色組（不透明袋）新洗濯ネーム①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</si>
  <si>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はぴねすくらぶ12月号3色組⑮</t>
    <rPh sb="9" eb="11">
      <t>ガツゴウ</t>
    </rPh>
    <rPh sb="12" eb="14">
      <t>ショククミ</t>
    </rPh>
    <phoneticPr fontId="8"/>
  </si>
  <si>
    <t>りすぺーる（パルシステム）4月2回3色組（不透明袋）新洗濯ネーム②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</si>
  <si>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りすぺーる（パルシステム）4月2回お試し企画￥1680②</t>
    <rPh sb="18" eb="19">
      <t>タメ</t>
    </rPh>
    <rPh sb="20" eb="22">
      <t>キカク</t>
    </rPh>
    <phoneticPr fontId="8"/>
  </si>
  <si>
    <t>ハルメク・アルファ60</t>
    <phoneticPr fontId="8"/>
  </si>
  <si>
    <t>コープデリ4月2回～5月1回3色組（不透明袋）②</t>
    <rPh sb="6" eb="7">
      <t>ガツ</t>
    </rPh>
    <rPh sb="8" eb="9">
      <t>カイ</t>
    </rPh>
    <rPh sb="11" eb="12">
      <t>ガツ</t>
    </rPh>
    <rPh sb="13" eb="14">
      <t>カイ</t>
    </rPh>
    <rPh sb="15" eb="17">
      <t>ショククミ</t>
    </rPh>
    <phoneticPr fontId="8"/>
  </si>
  <si>
    <t>コープ九州４月３回　単品(不透明袋)①</t>
    <rPh sb="3" eb="5">
      <t>キュウシュウ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8"/>
  </si>
  <si>
    <t>コープ東北サンネット　4月2回3色組（不透明袋）サクラマチ②</t>
    <rPh sb="3" eb="5">
      <t>トウホク</t>
    </rPh>
    <rPh sb="12" eb="13">
      <t>ガツ</t>
    </rPh>
    <rPh sb="14" eb="15">
      <t>カイ</t>
    </rPh>
    <phoneticPr fontId="8"/>
  </si>
  <si>
    <t>コープこうべ6月4回3色組（不透明袋）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</si>
  <si>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6/24～7/9</t>
    <phoneticPr fontId="8"/>
  </si>
  <si>
    <t>コープ東北サンネット5月3回3色組差分予測</t>
    <rPh sb="17" eb="21">
      <t>サブンヨソク</t>
    </rPh>
    <phoneticPr fontId="8"/>
  </si>
  <si>
    <t>5/8～20</t>
    <phoneticPr fontId="8"/>
  </si>
  <si>
    <t>コープ東北サンネット5月3回3色組（不透明袋）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</si>
  <si>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りすぺーる（パルシステム）4月2回お試し企画￥1680③</t>
    <rPh sb="18" eb="19">
      <t>タメ</t>
    </rPh>
    <rPh sb="20" eb="22">
      <t>キカク</t>
    </rPh>
    <phoneticPr fontId="8"/>
  </si>
  <si>
    <t>ロイヤルステージ4月　3色組①</t>
    <rPh sb="9" eb="10">
      <t>ガツ</t>
    </rPh>
    <rPh sb="12" eb="14">
      <t>ショクグミ</t>
    </rPh>
    <phoneticPr fontId="8"/>
  </si>
  <si>
    <r>
      <t>りすぺーる（パル）4月2回お試し企画（不透明袋）￥1480</t>
    </r>
    <r>
      <rPr>
        <b/>
        <sz val="11"/>
        <rFont val="ＭＳ Ｐゴシック"/>
        <family val="3"/>
        <charset val="128"/>
      </rPr>
      <t>新洗濯ネーム②</t>
    </r>
    <rPh sb="14" eb="15">
      <t>タメ</t>
    </rPh>
    <rPh sb="16" eb="18">
      <t>キカク</t>
    </rPh>
    <rPh sb="29" eb="30">
      <t>シン</t>
    </rPh>
    <rPh sb="30" eb="32">
      <t>センタク</t>
    </rPh>
    <phoneticPr fontId="8"/>
  </si>
  <si>
    <t>JOD399</t>
    <phoneticPr fontId="8"/>
  </si>
  <si>
    <r>
      <t>りすぺーる（パルシステム）4月2回3色組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14" eb="15">
      <t>ガツ</t>
    </rPh>
    <rPh sb="16" eb="17">
      <t>カイ</t>
    </rPh>
    <rPh sb="18" eb="20">
      <t>ショククミ</t>
    </rPh>
    <phoneticPr fontId="8"/>
  </si>
  <si>
    <t>りすぺーる（パルシステム）4月2回お試し企画￥1680④</t>
    <rPh sb="18" eb="19">
      <t>タメ</t>
    </rPh>
    <rPh sb="20" eb="22">
      <t>キカク</t>
    </rPh>
    <phoneticPr fontId="8"/>
  </si>
  <si>
    <r>
      <t>りすぺーる（パル）4月2回お試し企画（不透明袋）￥1480</t>
    </r>
    <r>
      <rPr>
        <b/>
        <sz val="11"/>
        <rFont val="ＭＳ Ｐゴシック"/>
        <family val="3"/>
        <charset val="128"/>
      </rPr>
      <t>新洗濯ネーム③</t>
    </r>
    <rPh sb="14" eb="15">
      <t>タメ</t>
    </rPh>
    <rPh sb="16" eb="18">
      <t>キカク</t>
    </rPh>
    <rPh sb="29" eb="30">
      <t>シン</t>
    </rPh>
    <rPh sb="30" eb="32">
      <t>センタク</t>
    </rPh>
    <phoneticPr fontId="8"/>
  </si>
  <si>
    <r>
      <t>りすぺーる（パルシステム）4月2回3色組</t>
    </r>
    <r>
      <rPr>
        <b/>
        <sz val="11"/>
        <rFont val="ＭＳ Ｐゴシック"/>
        <family val="3"/>
        <charset val="128"/>
      </rPr>
      <t>（不透明袋）②</t>
    </r>
    <rPh sb="14" eb="15">
      <t>ガツ</t>
    </rPh>
    <rPh sb="16" eb="17">
      <t>カイ</t>
    </rPh>
    <rPh sb="18" eb="20">
      <t>ショククミ</t>
    </rPh>
    <phoneticPr fontId="8"/>
  </si>
  <si>
    <t>JOD400</t>
  </si>
  <si>
    <t>コープ東北サンネット　4月2回3色組（不透明袋）サクラマチ③</t>
    <rPh sb="3" eb="5">
      <t>トウホク</t>
    </rPh>
    <rPh sb="12" eb="13">
      <t>ガツ</t>
    </rPh>
    <rPh sb="14" eb="15">
      <t>カイ</t>
    </rPh>
    <phoneticPr fontId="8"/>
  </si>
  <si>
    <t>りすぺーる（パルシステム）4月2回お試し企画￥1680⑤</t>
    <rPh sb="18" eb="19">
      <t>タメ</t>
    </rPh>
    <rPh sb="20" eb="22">
      <t>キカク</t>
    </rPh>
    <phoneticPr fontId="8"/>
  </si>
  <si>
    <t>はぴねすくらぶ12月号3色組⑯</t>
    <rPh sb="9" eb="11">
      <t>ガツゴウ</t>
    </rPh>
    <rPh sb="12" eb="14">
      <t>ショククミ</t>
    </rPh>
    <phoneticPr fontId="8"/>
  </si>
  <si>
    <t>はぴねすくらぶ12月号⑧</t>
    <rPh sb="9" eb="11">
      <t>ガツゴウ</t>
    </rPh>
    <phoneticPr fontId="8"/>
  </si>
  <si>
    <r>
      <t>りすぺーる（パル）4月2回お試し企画（不透明袋）￥1480</t>
    </r>
    <r>
      <rPr>
        <b/>
        <sz val="11"/>
        <rFont val="ＭＳ Ｐゴシック"/>
        <family val="3"/>
        <charset val="128"/>
      </rPr>
      <t>新洗濯ネーム④</t>
    </r>
    <rPh sb="14" eb="15">
      <t>タメ</t>
    </rPh>
    <rPh sb="16" eb="18">
      <t>キカク</t>
    </rPh>
    <rPh sb="29" eb="30">
      <t>シン</t>
    </rPh>
    <rPh sb="30" eb="32">
      <t>センタク</t>
    </rPh>
    <phoneticPr fontId="8"/>
  </si>
  <si>
    <t>はぴねすくらぶ2026年6月号3色組</t>
    <rPh sb="11" eb="12">
      <t>ネン</t>
    </rPh>
    <rPh sb="13" eb="15">
      <t>ガツゴウ</t>
    </rPh>
    <rPh sb="16" eb="18">
      <t>ショククミ</t>
    </rPh>
    <phoneticPr fontId="8"/>
  </si>
  <si>
    <t>はぴねすくらぶ2026年6月号3色組差分予測</t>
    <rPh sb="11" eb="12">
      <t>ネン</t>
    </rPh>
    <rPh sb="13" eb="15">
      <t>ガツゴウ</t>
    </rPh>
    <rPh sb="16" eb="18">
      <t>ショククミ</t>
    </rPh>
    <rPh sb="18" eb="22">
      <t>サブンヨソク</t>
    </rPh>
    <phoneticPr fontId="8"/>
  </si>
  <si>
    <t>JOD401</t>
    <phoneticPr fontId="8"/>
  </si>
  <si>
    <t>サクラマチ直送</t>
    <rPh sb="5" eb="7">
      <t>チョクソウ</t>
    </rPh>
    <phoneticPr fontId="8"/>
  </si>
  <si>
    <t>コープきんき4月5回単品（不透明袋）-健康・介護用品①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</si>
  <si>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ロイヤルステージ6月号3色組</t>
    <rPh sb="9" eb="11">
      <t>ガツゴウ</t>
    </rPh>
    <rPh sb="12" eb="13">
      <t>ショク</t>
    </rPh>
    <rPh sb="13" eb="14">
      <t>クミ</t>
    </rPh>
    <phoneticPr fontId="8"/>
  </si>
  <si>
    <t>6/4～7/3</t>
    <phoneticPr fontId="8"/>
  </si>
  <si>
    <t>ロイヤルステージ6月号3色組差分予測</t>
    <rPh sb="9" eb="11">
      <t>ガツゴウ</t>
    </rPh>
    <rPh sb="12" eb="13">
      <t>ショク</t>
    </rPh>
    <rPh sb="13" eb="14">
      <t>クミ</t>
    </rPh>
    <rPh sb="14" eb="18">
      <t>サブンヨソク</t>
    </rPh>
    <phoneticPr fontId="8"/>
  </si>
  <si>
    <r>
      <t>りすぺーる（パル）4月2回お試し企画（不透明袋）￥1480</t>
    </r>
    <r>
      <rPr>
        <b/>
        <sz val="11"/>
        <rFont val="ＭＳ Ｐゴシック"/>
        <family val="3"/>
        <charset val="128"/>
      </rPr>
      <t>新洗濯ネーム</t>
    </r>
    <rPh sb="14" eb="15">
      <t>タメ</t>
    </rPh>
    <rPh sb="16" eb="18">
      <t>キカク</t>
    </rPh>
    <rPh sb="29" eb="30">
      <t>シン</t>
    </rPh>
    <rPh sb="30" eb="32">
      <t>センタク</t>
    </rPh>
    <phoneticPr fontId="8"/>
  </si>
  <si>
    <r>
      <t>りすぺーる（パルシステム）4月2回3色組</t>
    </r>
    <r>
      <rPr>
        <b/>
        <sz val="11"/>
        <rFont val="ＭＳ Ｐゴシック"/>
        <family val="3"/>
        <charset val="128"/>
      </rPr>
      <t>（不透明袋）</t>
    </r>
    <rPh sb="14" eb="15">
      <t>ガツ</t>
    </rPh>
    <rPh sb="16" eb="17">
      <t>カイ</t>
    </rPh>
    <rPh sb="18" eb="20">
      <t>ショククミ</t>
    </rPh>
    <phoneticPr fontId="8"/>
  </si>
  <si>
    <t>IEI使ってヨカッタ4月号3色組￥4500①</t>
    <rPh sb="3" eb="4">
      <t>ツカ</t>
    </rPh>
    <rPh sb="11" eb="13">
      <t>ガツゴウ</t>
    </rPh>
    <rPh sb="14" eb="16">
      <t>ショククミ</t>
    </rPh>
    <phoneticPr fontId="8"/>
  </si>
  <si>
    <t>2026/3/27数伝</t>
    <rPh sb="9" eb="10">
      <t>スウ</t>
    </rPh>
    <rPh sb="10" eb="11">
      <t>デン</t>
    </rPh>
    <phoneticPr fontId="8"/>
  </si>
  <si>
    <t>JOD402</t>
    <phoneticPr fontId="8"/>
  </si>
  <si>
    <t>コープ九州４月３回　単品(不透明袋)②</t>
    <rPh sb="3" eb="5">
      <t>キュウシュウ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8"/>
  </si>
  <si>
    <t>JOD403</t>
    <phoneticPr fontId="8"/>
  </si>
  <si>
    <t>コープ九州４月３回　単品(不透明袋)③</t>
    <rPh sb="3" eb="5">
      <t>キュウシュウ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8"/>
  </si>
  <si>
    <t>コープ東北サンネット4月4回3色組①</t>
    <rPh sb="3" eb="5">
      <t>トウホク</t>
    </rPh>
    <rPh sb="11" eb="12">
      <t>ガツ</t>
    </rPh>
    <rPh sb="13" eb="14">
      <t>カイ</t>
    </rPh>
    <rPh sb="15" eb="17">
      <t>ショククミ</t>
    </rPh>
    <phoneticPr fontId="8"/>
  </si>
  <si>
    <t>JOD撮影用sample</t>
    <rPh sb="3" eb="6">
      <t>サツエイヨウ</t>
    </rPh>
    <phoneticPr fontId="8"/>
  </si>
  <si>
    <t>JOD404</t>
    <phoneticPr fontId="8"/>
  </si>
  <si>
    <t>コープ九州４月３回　単品(不透明袋)④</t>
    <phoneticPr fontId="8"/>
  </si>
  <si>
    <t>JOD405</t>
    <phoneticPr fontId="8"/>
  </si>
  <si>
    <t>コープ九州４月３回　単品(不透明袋)⑤</t>
    <phoneticPr fontId="8"/>
  </si>
  <si>
    <t>JOD406</t>
  </si>
  <si>
    <t>点5/29、アバウト6/16、本6/16～22</t>
    <rPh sb="0" eb="1">
      <t>テン</t>
    </rPh>
    <rPh sb="15" eb="16">
      <t>ホン</t>
    </rPh>
    <phoneticPr fontId="8"/>
  </si>
  <si>
    <t>JOD407</t>
    <phoneticPr fontId="8"/>
  </si>
  <si>
    <t>JOD408</t>
    <phoneticPr fontId="8"/>
  </si>
  <si>
    <t>コープ東北サンネット4月4回3色組②</t>
    <rPh sb="3" eb="5">
      <t>トウホク</t>
    </rPh>
    <rPh sb="11" eb="12">
      <t>ガツ</t>
    </rPh>
    <rPh sb="13" eb="14">
      <t>カイ</t>
    </rPh>
    <rPh sb="15" eb="17">
      <t>ショククミ</t>
    </rPh>
    <phoneticPr fontId="8"/>
  </si>
  <si>
    <t>JOD409</t>
  </si>
  <si>
    <t>コープ東北サンネット4月4回3色組③</t>
    <rPh sb="3" eb="5">
      <t>トウホク</t>
    </rPh>
    <rPh sb="11" eb="12">
      <t>ガツ</t>
    </rPh>
    <rPh sb="13" eb="14">
      <t>カイ</t>
    </rPh>
    <rPh sb="15" eb="17">
      <t>ショククミ</t>
    </rPh>
    <phoneticPr fontId="8"/>
  </si>
  <si>
    <t>ゆめはん</t>
    <phoneticPr fontId="8"/>
  </si>
  <si>
    <t>JOD410</t>
    <phoneticPr fontId="8"/>
  </si>
  <si>
    <t>ロイヤルステージ4月　3色組②</t>
    <rPh sb="9" eb="10">
      <t>ガツ</t>
    </rPh>
    <rPh sb="12" eb="14">
      <t>ショクグミ</t>
    </rPh>
    <phoneticPr fontId="8"/>
  </si>
  <si>
    <t>JOD411</t>
    <phoneticPr fontId="8"/>
  </si>
  <si>
    <t>コープ九州8月3回　単品(不透明袋)差分予測</t>
    <rPh sb="3" eb="5">
      <t>キュウシュウ</t>
    </rPh>
    <rPh sb="6" eb="7">
      <t>ガツ</t>
    </rPh>
    <rPh sb="8" eb="9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</si>
  <si>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コープきんき7月4回単品（不透明袋）差分予測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</si>
  <si>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コープきんき7月4回単品（不透明袋）-健康・介護用品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</si>
  <si>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コープきんき7月4回単品（不透明袋）-健康・介護用品差分予測</t>
    <rPh sb="7" eb="8">
      <t>ガツ</t>
    </rPh>
    <rPh sb="9" eb="10">
      <t>カイ</t>
    </rPh>
    <rPh sb="10" eb="12">
      <t>タンピン</t>
    </rPh>
    <rPh sb="13" eb="17">
      <t>フトウメイフクロ</t>
    </rPh>
    <rPh sb="26" eb="30">
      <t>サブンヨソク</t>
    </rPh>
    <phoneticPr fontId="8"/>
  </si>
  <si>
    <r>
      <t>日生協カタログWEB限定トリオラ初夏/3色組</t>
    </r>
    <r>
      <rPr>
        <b/>
        <sz val="11"/>
        <rFont val="ＭＳ Ｐゴシック"/>
        <family val="3"/>
        <charset val="128"/>
      </rPr>
      <t>（PP袋小）</t>
    </r>
    <rPh sb="0" eb="3">
      <t>ニッセイキョウ</t>
    </rPh>
    <rPh sb="10" eb="12">
      <t>ゲンテイ</t>
    </rPh>
    <rPh sb="16" eb="18">
      <t>ショカ</t>
    </rPh>
    <rPh sb="20" eb="22">
      <t>ショククミ</t>
    </rPh>
    <rPh sb="25" eb="26">
      <t>フクロ</t>
    </rPh>
    <rPh sb="26" eb="27">
      <t>ショウ</t>
    </rPh>
    <phoneticPr fontId="8"/>
  </si>
  <si>
    <t>JOD412</t>
    <phoneticPr fontId="8"/>
  </si>
  <si>
    <t>グリーンコープ　７月１６号　３色組　差分予測</t>
    <rPh sb="9" eb="10">
      <t>ガツ</t>
    </rPh>
    <rPh sb="12" eb="13">
      <t>ゴウ</t>
    </rPh>
    <rPh sb="15" eb="16">
      <t>ショク</t>
    </rPh>
    <rPh sb="16" eb="17">
      <t>グミ</t>
    </rPh>
    <rPh sb="18" eb="22">
      <t>サブンヨソク</t>
    </rPh>
    <phoneticPr fontId="8"/>
  </si>
  <si>
    <t>7/1～7/9</t>
    <phoneticPr fontId="8"/>
  </si>
  <si>
    <t>コープきんき4月5回単品（不透明袋）-健康・介護用品②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</si>
  <si>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コープきんき5月4回単品（不透明袋）-健康・介護用品①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</si>
  <si>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JOD413</t>
    <phoneticPr fontId="8"/>
  </si>
  <si>
    <t>はぴねす返品</t>
    <rPh sb="4" eb="6">
      <t>ヘンピン</t>
    </rPh>
    <phoneticPr fontId="4"/>
  </si>
  <si>
    <t>JOD414</t>
  </si>
  <si>
    <t>ロイヤルステージ4月　3色組③</t>
    <rPh sb="9" eb="10">
      <t>ガツ</t>
    </rPh>
    <rPh sb="12" eb="14">
      <t>ショクグミ</t>
    </rPh>
    <phoneticPr fontId="8"/>
  </si>
  <si>
    <t>IEI使ってヨカッタ4月号3色組￥4500②</t>
    <rPh sb="3" eb="4">
      <t>ツカ</t>
    </rPh>
    <rPh sb="11" eb="13">
      <t>ガツゴウ</t>
    </rPh>
    <rPh sb="14" eb="16">
      <t>ショククミ</t>
    </rPh>
    <phoneticPr fontId="8"/>
  </si>
  <si>
    <t>6/3～</t>
    <phoneticPr fontId="8"/>
  </si>
  <si>
    <t>JOD特別版0604/3色組￥3990</t>
    <rPh sb="3" eb="5">
      <t>トクベツ</t>
    </rPh>
    <rPh sb="5" eb="6">
      <t>バン</t>
    </rPh>
    <rPh sb="12" eb="14">
      <t>ショククミ</t>
    </rPh>
    <phoneticPr fontId="8"/>
  </si>
  <si>
    <t>コープきんき4月5回単品（不透明袋）-健康・介護用品③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</si>
  <si>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グリーンコープ　７月１６号　３色組　(不透明袋)</t>
    <rPh sb="9" eb="10">
      <t>ガツ</t>
    </rPh>
    <rPh sb="12" eb="13">
      <t>ゴウ</t>
    </rPh>
    <rPh sb="15" eb="16">
      <t>ショク</t>
    </rPh>
    <rPh sb="16" eb="17">
      <t>グミ</t>
    </rPh>
    <phoneticPr fontId="8"/>
  </si>
  <si>
    <t>JOD415</t>
    <phoneticPr fontId="8"/>
  </si>
  <si>
    <t>6/15～</t>
    <phoneticPr fontId="8"/>
  </si>
  <si>
    <t>JODアクセス7017/3色組￥3990</t>
    <rPh sb="13" eb="15">
      <t>ショククミ</t>
    </rPh>
    <phoneticPr fontId="8"/>
  </si>
  <si>
    <t>くらし直送</t>
    <rPh sb="3" eb="5">
      <t>チョクソウ</t>
    </rPh>
    <phoneticPr fontId="8"/>
  </si>
  <si>
    <t>電話注文</t>
    <rPh sb="0" eb="4">
      <t>デンワチュウモン</t>
    </rPh>
    <phoneticPr fontId="8"/>
  </si>
  <si>
    <t>毎日が発見</t>
    <rPh sb="0" eb="2">
      <t>マイニチ</t>
    </rPh>
    <rPh sb="3" eb="5">
      <t>ハッケン</t>
    </rPh>
    <phoneticPr fontId="4"/>
  </si>
  <si>
    <t>JOD416</t>
    <phoneticPr fontId="8"/>
  </si>
  <si>
    <t>コープ東北サンネット7月1回3色組差分予測</t>
    <rPh sb="17" eb="21">
      <t>サブンヨソク</t>
    </rPh>
    <phoneticPr fontId="8"/>
  </si>
  <si>
    <t>コープ東北サンネット7月1回3色組（不透明袋）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</si>
  <si>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6/25～7/8</t>
    <phoneticPr fontId="8"/>
  </si>
  <si>
    <t>8/5～19</t>
    <phoneticPr fontId="8"/>
  </si>
  <si>
    <t>ニッセン⑯</t>
    <phoneticPr fontId="8"/>
  </si>
  <si>
    <t>ニッセン⑰</t>
    <phoneticPr fontId="8"/>
  </si>
  <si>
    <t>わいわいバザールPLUS26年春号3色組（ベルーナ）⑤</t>
    <rPh sb="14" eb="15">
      <t>ネン</t>
    </rPh>
    <rPh sb="15" eb="17">
      <t>ハルゴウ</t>
    </rPh>
    <rPh sb="18" eb="19">
      <t>ショク</t>
    </rPh>
    <rPh sb="19" eb="20">
      <t>クミ</t>
    </rPh>
    <phoneticPr fontId="8"/>
  </si>
  <si>
    <t>JOD特別号9566/3色組￥3990</t>
    <rPh sb="3" eb="5">
      <t>トクベツ</t>
    </rPh>
    <rPh sb="5" eb="6">
      <t>ゴウ</t>
    </rPh>
    <rPh sb="12" eb="14">
      <t>ショククミ</t>
    </rPh>
    <phoneticPr fontId="8"/>
  </si>
  <si>
    <t>JOD417</t>
    <phoneticPr fontId="8"/>
  </si>
  <si>
    <t>日生協カタログ346号WEB専用トリオラ秋/3色組①</t>
    <rPh sb="0" eb="3">
      <t>ニッセイキョウ</t>
    </rPh>
    <rPh sb="10" eb="11">
      <t>ゴウ</t>
    </rPh>
    <rPh sb="14" eb="16">
      <t>センヨウ</t>
    </rPh>
    <rPh sb="20" eb="21">
      <t>アキ</t>
    </rPh>
    <rPh sb="23" eb="25">
      <t>ショククミ</t>
    </rPh>
    <phoneticPr fontId="8"/>
  </si>
  <si>
    <t>ことせ2621号/3色組（ハルメクアルファ）差分予測</t>
    <rPh sb="7" eb="8">
      <t>ゴウ</t>
    </rPh>
    <rPh sb="10" eb="12">
      <t>ショククミ</t>
    </rPh>
    <rPh sb="22" eb="26">
      <t>サブンヨソク</t>
    </rPh>
    <phoneticPr fontId="8"/>
  </si>
  <si>
    <t>ことせ2621号/3色組（ハルメクアルファ）</t>
    <rPh sb="7" eb="8">
      <t>ゴウ</t>
    </rPh>
    <rPh sb="10" eb="12">
      <t>ショククミ</t>
    </rPh>
    <phoneticPr fontId="8"/>
  </si>
  <si>
    <t>5/29～8/31</t>
    <phoneticPr fontId="8"/>
  </si>
  <si>
    <t>ゆめはん</t>
    <phoneticPr fontId="8"/>
  </si>
  <si>
    <t>IEIヴィヴァン6月号3色組差分予測</t>
    <rPh sb="9" eb="11">
      <t>ガツゴウ</t>
    </rPh>
    <rPh sb="12" eb="14">
      <t>ショククミ</t>
    </rPh>
    <rPh sb="14" eb="18">
      <t>サブンヨソク</t>
    </rPh>
    <phoneticPr fontId="8"/>
  </si>
  <si>
    <t>6/13～9/30</t>
    <phoneticPr fontId="8"/>
  </si>
  <si>
    <t>IEIヴィヴァン6月号3色組￥4500</t>
    <rPh sb="9" eb="11">
      <t>ガツゴウ</t>
    </rPh>
    <rPh sb="12" eb="14">
      <t>ショククミ</t>
    </rPh>
    <phoneticPr fontId="8"/>
  </si>
  <si>
    <t>IEIヴィヴァン6月号3色組</t>
    <rPh sb="9" eb="11">
      <t>ガツゴウ</t>
    </rPh>
    <rPh sb="12" eb="14">
      <t>ショククミ</t>
    </rPh>
    <phoneticPr fontId="8"/>
  </si>
  <si>
    <t>JOD418</t>
    <phoneticPr fontId="8"/>
  </si>
  <si>
    <t>かりん</t>
    <phoneticPr fontId="8"/>
  </si>
  <si>
    <t>りすぺーる（パルシステム）8月2回3色組（不透明袋）新洗濯ネーム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</si>
  <si>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りすぺーる（パルシステム）8月2回3色組差分予測</t>
    <rPh sb="14" eb="15">
      <t>ガツ</t>
    </rPh>
    <rPh sb="16" eb="17">
      <t>カイ</t>
    </rPh>
    <rPh sb="18" eb="20">
      <t>ショククミ</t>
    </rPh>
    <rPh sb="20" eb="24">
      <t>サブンヨソク</t>
    </rPh>
    <phoneticPr fontId="8"/>
  </si>
  <si>
    <t>点7/23、初回・アバウト8/4、最終発注日8/10</t>
    <rPh sb="0" eb="1">
      <t>テン</t>
    </rPh>
    <rPh sb="6" eb="8">
      <t>ショカイ</t>
    </rPh>
    <rPh sb="17" eb="22">
      <t>サイシュウハッチュウビ</t>
    </rPh>
    <phoneticPr fontId="8"/>
  </si>
  <si>
    <t>ロイヤルステージ4月　3色組④</t>
    <rPh sb="9" eb="10">
      <t>ガツ</t>
    </rPh>
    <rPh sb="12" eb="14">
      <t>ショクグミ</t>
    </rPh>
    <phoneticPr fontId="8"/>
  </si>
  <si>
    <t>ロイヤルステージ7月号3色組</t>
    <rPh sb="9" eb="11">
      <t>ガツゴウ</t>
    </rPh>
    <rPh sb="12" eb="13">
      <t>ショク</t>
    </rPh>
    <rPh sb="13" eb="14">
      <t>クミ</t>
    </rPh>
    <phoneticPr fontId="8"/>
  </si>
  <si>
    <t>ロイヤルステージ7月号3色組差分予測</t>
    <rPh sb="9" eb="11">
      <t>ガツゴウ</t>
    </rPh>
    <rPh sb="12" eb="13">
      <t>ショク</t>
    </rPh>
    <rPh sb="13" eb="14">
      <t>クミ</t>
    </rPh>
    <rPh sb="14" eb="18">
      <t>サブンヨソク</t>
    </rPh>
    <phoneticPr fontId="8"/>
  </si>
  <si>
    <t>7/2～8/15</t>
    <phoneticPr fontId="8"/>
  </si>
  <si>
    <t>JOD419</t>
    <phoneticPr fontId="8"/>
  </si>
  <si>
    <t>コープ東北サンネット5月3回3色組（不透明袋）①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</si>
  <si>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コープきんき5月4回単品（不透明袋）-健康・介護用品②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</si>
  <si>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JOD420</t>
    <phoneticPr fontId="8"/>
  </si>
  <si>
    <t>JOD421</t>
    <phoneticPr fontId="8"/>
  </si>
  <si>
    <t>コープ東北サンネット5月3回3色組（不透明袋）②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</si>
  <si>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コープ東北サンネット5月3回3色組（不透明袋）③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</si>
  <si>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JOD422</t>
    <phoneticPr fontId="8"/>
  </si>
  <si>
    <t>コープ東北サンネット5月3回3色組（不透明袋）⑤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</si>
  <si>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コープこうべ8月4回 差分予測</t>
    <rPh sb="7" eb="8">
      <t>ガツ</t>
    </rPh>
    <rPh sb="9" eb="10">
      <t>カイ</t>
    </rPh>
    <rPh sb="11" eb="15">
      <t>サブンヨソク</t>
    </rPh>
    <phoneticPr fontId="8"/>
  </si>
  <si>
    <t>コープこうべ8月4回3色組（不透明袋）</t>
    <rPh sb="7" eb="8">
      <t>ガツ</t>
    </rPh>
    <rPh sb="9" eb="10">
      <t>カイ</t>
    </rPh>
    <rPh sb="11" eb="13">
      <t>ショククミ</t>
    </rPh>
    <rPh sb="14" eb="18">
      <t>フトウメイフクロ</t>
    </rPh>
    <phoneticPr fontId="8"/>
  </si>
  <si>
    <t>グリーンコープ　9月23号　３色組　差分予測</t>
    <rPh sb="9" eb="10">
      <t>ガツ</t>
    </rPh>
    <rPh sb="12" eb="13">
      <t>ゴウ</t>
    </rPh>
    <rPh sb="15" eb="16">
      <t>ショク</t>
    </rPh>
    <rPh sb="16" eb="17">
      <t>グミ</t>
    </rPh>
    <rPh sb="18" eb="22">
      <t>サブンヨソク</t>
    </rPh>
    <phoneticPr fontId="8"/>
  </si>
  <si>
    <t>グリーンコープ　9月23号　３色組　(不透明袋)</t>
    <rPh sb="9" eb="10">
      <t>ガツ</t>
    </rPh>
    <rPh sb="12" eb="13">
      <t>ゴウ</t>
    </rPh>
    <rPh sb="15" eb="16">
      <t>ショク</t>
    </rPh>
    <rPh sb="16" eb="17">
      <t>グミ</t>
    </rPh>
    <phoneticPr fontId="8"/>
  </si>
  <si>
    <t>2026/10/1→８/１へ修正依頼</t>
    <rPh sb="14" eb="18">
      <t>シュウセイイライ</t>
    </rPh>
    <phoneticPr fontId="8"/>
  </si>
  <si>
    <t>ゆめはん</t>
    <phoneticPr fontId="8"/>
  </si>
  <si>
    <t>ネット</t>
    <phoneticPr fontId="8"/>
  </si>
  <si>
    <r>
      <t>日生協カタログ346号WEB限定トリオラ秋/3色組</t>
    </r>
    <r>
      <rPr>
        <b/>
        <sz val="11"/>
        <rFont val="ＭＳ Ｐゴシック"/>
        <family val="3"/>
        <charset val="128"/>
      </rPr>
      <t>（PP袋小）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10" eb="11">
      <t>ゴウ</t>
    </rPh>
    <rPh sb="14" eb="16">
      <t>ゲンテイ</t>
    </rPh>
    <rPh sb="20" eb="21">
      <t>アキ</t>
    </rPh>
    <rPh sb="23" eb="25">
      <t>ショククミ</t>
    </rPh>
    <rPh sb="28" eb="29">
      <t>フクロ</t>
    </rPh>
    <rPh sb="29" eb="30">
      <t>ショウ</t>
    </rPh>
    <phoneticPr fontId="8"/>
  </si>
  <si>
    <t>JOD423</t>
    <phoneticPr fontId="8"/>
  </si>
  <si>
    <t>コープきんき8月3回単品（不透明袋）-健康・介護用品差分予測</t>
    <rPh sb="7" eb="8">
      <t>ガツ</t>
    </rPh>
    <rPh sb="9" eb="10">
      <t>カイ</t>
    </rPh>
    <rPh sb="10" eb="12">
      <t>タンピン</t>
    </rPh>
    <rPh sb="13" eb="17">
      <t>フトウメイフクロ</t>
    </rPh>
    <rPh sb="26" eb="30">
      <t>サブンヨソク</t>
    </rPh>
    <phoneticPr fontId="8"/>
  </si>
  <si>
    <t>コープきんき8月3回単品（不透明袋）-健康・介護用品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</si>
  <si>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コープきんき8月3回単品（不透明袋）差分予測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</si>
  <si>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ロイヤルステージ4月　3色組⑤</t>
    <rPh sb="9" eb="10">
      <t>ガツ</t>
    </rPh>
    <rPh sb="12" eb="14">
      <t>ショクグミ</t>
    </rPh>
    <phoneticPr fontId="8"/>
  </si>
  <si>
    <t>点6/26、アバウト7/14、本7/14～20</t>
    <rPh sb="0" eb="1">
      <t>テン</t>
    </rPh>
    <rPh sb="15" eb="16">
      <t>ホン</t>
    </rPh>
    <phoneticPr fontId="8"/>
  </si>
  <si>
    <t>JOD424</t>
    <phoneticPr fontId="8"/>
  </si>
  <si>
    <t>コープきんき5月4回単品（不透明袋）-健康・介護用品③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</si>
  <si>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東都生協7月4回3色組（不透明袋）</t>
    <rPh sb="0" eb="4">
      <t>トウトセイキョウ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phoneticPr fontId="8"/>
  </si>
  <si>
    <t>7/9～22</t>
    <phoneticPr fontId="8"/>
  </si>
  <si>
    <t>東都生協7月4回3色組（不透明袋）差分予測</t>
    <rPh sb="0" eb="4">
      <t>トウトセイキョウ</t>
    </rPh>
    <rPh sb="5" eb="6">
      <t>ガツ</t>
    </rPh>
    <rPh sb="7" eb="8">
      <t>カイ</t>
    </rPh>
    <rPh sb="9" eb="11">
      <t>ショククミ</t>
    </rPh>
    <rPh sb="12" eb="16">
      <t>フトウメイフクロ</t>
    </rPh>
    <rPh sb="17" eb="21">
      <t>サブンヨソク</t>
    </rPh>
    <phoneticPr fontId="8"/>
  </si>
  <si>
    <t>8/19～27</t>
    <phoneticPr fontId="8"/>
  </si>
  <si>
    <t>JOD425</t>
  </si>
  <si>
    <t>ハルメク・アルファ61</t>
    <phoneticPr fontId="8"/>
  </si>
  <si>
    <t>JOD426</t>
    <phoneticPr fontId="8"/>
  </si>
  <si>
    <t>わいわいバザールPLUS26年盛夏号3色組（ベルーナ）①</t>
    <rPh sb="14" eb="15">
      <t>ネン</t>
    </rPh>
    <rPh sb="15" eb="17">
      <t>セイカ</t>
    </rPh>
    <rPh sb="17" eb="18">
      <t>ゴウ</t>
    </rPh>
    <rPh sb="19" eb="20">
      <t>ショク</t>
    </rPh>
    <rPh sb="20" eb="21">
      <t>クミ</t>
    </rPh>
    <phoneticPr fontId="8"/>
  </si>
  <si>
    <t>りすぺーる（パルシステム）9月1回3色組差分予測</t>
    <rPh sb="14" eb="15">
      <t>ガツ</t>
    </rPh>
    <rPh sb="16" eb="17">
      <t>カイ</t>
    </rPh>
    <rPh sb="18" eb="20">
      <t>ショククミ</t>
    </rPh>
    <rPh sb="20" eb="24">
      <t>サブンヨソク</t>
    </rPh>
    <phoneticPr fontId="8"/>
  </si>
  <si>
    <t>りすぺーる（パルシステム）9月1回3色組（不透明袋）新洗濯ネーム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</si>
  <si>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点8/6、初回・アバウト8/25、最終発注日8/31</t>
    <rPh sb="0" eb="1">
      <t>テン</t>
    </rPh>
    <rPh sb="5" eb="7">
      <t>ショカイ</t>
    </rPh>
    <rPh sb="17" eb="22">
      <t>サイシュウハッチュウビ</t>
    </rPh>
    <phoneticPr fontId="8"/>
  </si>
  <si>
    <t>ゆめはん</t>
    <phoneticPr fontId="8"/>
  </si>
  <si>
    <t>JOD427</t>
    <phoneticPr fontId="8"/>
  </si>
  <si>
    <t>コープきんき5月4回単品（不透明袋）-健康・介護用品④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</si>
  <si>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電話注文</t>
    <rPh sb="0" eb="4">
      <t>デンワチュウモン</t>
    </rPh>
    <phoneticPr fontId="8"/>
  </si>
  <si>
    <t>JOD428</t>
    <phoneticPr fontId="8"/>
  </si>
  <si>
    <t>7/11～</t>
    <phoneticPr fontId="8"/>
  </si>
  <si>
    <t>JODアクセス7018/3色組￥3990</t>
    <rPh sb="13" eb="15">
      <t>ショククミ</t>
    </rPh>
    <phoneticPr fontId="8"/>
  </si>
  <si>
    <t>JODアクセス7018/3色組￥4990</t>
    <rPh sb="13" eb="15">
      <t>ショククミ</t>
    </rPh>
    <phoneticPr fontId="8"/>
  </si>
  <si>
    <t>JOD特別版0604/3色組￥4990</t>
    <rPh sb="3" eb="5">
      <t>トクベツ</t>
    </rPh>
    <rPh sb="5" eb="6">
      <t>バン</t>
    </rPh>
    <rPh sb="12" eb="14">
      <t>ショククミ</t>
    </rPh>
    <phoneticPr fontId="8"/>
  </si>
  <si>
    <t>JODアクセス7017/3色組￥4990</t>
    <rPh sb="13" eb="15">
      <t>ショククミ</t>
    </rPh>
    <phoneticPr fontId="8"/>
  </si>
  <si>
    <t>JOD特別号9566/3色組￥4990</t>
    <rPh sb="3" eb="5">
      <t>トクベツ</t>
    </rPh>
    <rPh sb="5" eb="6">
      <t>ゴウ</t>
    </rPh>
    <rPh sb="12" eb="14">
      <t>ショククミ</t>
    </rPh>
    <phoneticPr fontId="8"/>
  </si>
  <si>
    <t>ロイヤルステージ4月　3色組⑥</t>
    <rPh sb="9" eb="10">
      <t>ガツ</t>
    </rPh>
    <rPh sb="12" eb="14">
      <t>ショクグミ</t>
    </rPh>
    <phoneticPr fontId="8"/>
  </si>
  <si>
    <t>ハルメク・アルファ62</t>
    <phoneticPr fontId="8"/>
  </si>
  <si>
    <t>JOD429</t>
    <phoneticPr fontId="8"/>
  </si>
  <si>
    <t>8/26～9/10</t>
    <phoneticPr fontId="8"/>
  </si>
  <si>
    <t>8/12～8/26</t>
    <phoneticPr fontId="8"/>
  </si>
  <si>
    <t>コープ北陸 ８月４回　差分予定</t>
    <rPh sb="3" eb="5">
      <t>ホクリク</t>
    </rPh>
    <rPh sb="7" eb="8">
      <t>ガツ</t>
    </rPh>
    <rPh sb="9" eb="10">
      <t>カイ</t>
    </rPh>
    <rPh sb="11" eb="15">
      <t>サブンヨテイ</t>
    </rPh>
    <phoneticPr fontId="8"/>
  </si>
  <si>
    <t>JOD430</t>
  </si>
  <si>
    <t>IEI使ってヨカッタ7月号3色組差分予測</t>
    <rPh sb="3" eb="4">
      <t>ツカ</t>
    </rPh>
    <rPh sb="11" eb="13">
      <t>ガツゴウ</t>
    </rPh>
    <rPh sb="14" eb="16">
      <t>ショククミ</t>
    </rPh>
    <rPh sb="16" eb="20">
      <t>サブンヨソク</t>
    </rPh>
    <phoneticPr fontId="8"/>
  </si>
  <si>
    <t>IEI使ってヨカッタ7月号3色組</t>
    <rPh sb="3" eb="4">
      <t>ツカ</t>
    </rPh>
    <rPh sb="11" eb="13">
      <t>ガツゴウ</t>
    </rPh>
    <rPh sb="14" eb="16">
      <t>ショククミ</t>
    </rPh>
    <phoneticPr fontId="8"/>
  </si>
  <si>
    <t>7/4～10/31</t>
    <phoneticPr fontId="8"/>
  </si>
  <si>
    <t>IEI使ってヨカッタ7月号3色組￥4500</t>
    <rPh sb="3" eb="4">
      <t>ツカ</t>
    </rPh>
    <rPh sb="11" eb="13">
      <t>ガツゴウ</t>
    </rPh>
    <rPh sb="14" eb="16">
      <t>ショククミ</t>
    </rPh>
    <phoneticPr fontId="8"/>
  </si>
  <si>
    <t>コープ北陸 ８月４回（不透明袋）</t>
    <rPh sb="3" eb="5">
      <t>ホクリク</t>
    </rPh>
    <rPh sb="7" eb="8">
      <t>ガツ</t>
    </rPh>
    <rPh sb="9" eb="10">
      <t>カイ</t>
    </rPh>
    <phoneticPr fontId="8"/>
  </si>
  <si>
    <t>ハルメク・アルファ63</t>
    <phoneticPr fontId="8"/>
  </si>
  <si>
    <t>JOD431</t>
    <phoneticPr fontId="8"/>
  </si>
  <si>
    <t>コープきんき6月4回単品（不透明袋）-健康・介護用品①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</si>
  <si>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コープきんき6月4回単品（不透明袋）-健康・介護用①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</si>
  <si>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JOD432</t>
    <phoneticPr fontId="8"/>
  </si>
  <si>
    <t>ハルメクアルファ（チラシ2656）/3色組差分予測</t>
    <rPh sb="21" eb="25">
      <t>サブンヨソク</t>
    </rPh>
    <phoneticPr fontId="8"/>
  </si>
  <si>
    <t>ハルメクアルファ（チラシ2656）3色組</t>
    <rPh sb="18" eb="20">
      <t>ショククミ</t>
    </rPh>
    <phoneticPr fontId="8"/>
  </si>
  <si>
    <t>8/28～11/30</t>
    <phoneticPr fontId="8"/>
  </si>
  <si>
    <t>ゆめはん</t>
    <phoneticPr fontId="8"/>
  </si>
  <si>
    <t>JOD433</t>
  </si>
  <si>
    <t>ロイヤルステージ6月号3色組①</t>
    <rPh sb="9" eb="11">
      <t>ガツゴウ</t>
    </rPh>
    <rPh sb="12" eb="13">
      <t>ショク</t>
    </rPh>
    <rPh sb="13" eb="14">
      <t>クミ</t>
    </rPh>
    <phoneticPr fontId="8"/>
  </si>
  <si>
    <t>JOD434</t>
    <phoneticPr fontId="8"/>
  </si>
  <si>
    <t>はぴねすくらぶ2026年6月号3色組①</t>
    <rPh sb="11" eb="12">
      <t>ネン</t>
    </rPh>
    <rPh sb="13" eb="15">
      <t>ガツゴウ</t>
    </rPh>
    <rPh sb="16" eb="18">
      <t>ショククミ</t>
    </rPh>
    <phoneticPr fontId="8"/>
  </si>
  <si>
    <t>JODメルシー0704/3色組￥4990</t>
    <rPh sb="13" eb="15">
      <t>ショククミ</t>
    </rPh>
    <phoneticPr fontId="8"/>
  </si>
  <si>
    <t>JODメルシー0704/3色組￥3990</t>
    <rPh sb="13" eb="15">
      <t>ショククミ</t>
    </rPh>
    <phoneticPr fontId="8"/>
  </si>
  <si>
    <t>わいわいバザールPLUS26年盛夏号3色組（ベルーナ）②</t>
    <rPh sb="14" eb="15">
      <t>ネン</t>
    </rPh>
    <rPh sb="15" eb="17">
      <t>セイカ</t>
    </rPh>
    <rPh sb="17" eb="18">
      <t>ゴウ</t>
    </rPh>
    <rPh sb="19" eb="20">
      <t>ショク</t>
    </rPh>
    <rPh sb="20" eb="21">
      <t>クミ</t>
    </rPh>
    <phoneticPr fontId="8"/>
  </si>
  <si>
    <t>６月～→５月１１日へ依頼へ→5/15数伝</t>
    <rPh sb="1" eb="2">
      <t>ガツ</t>
    </rPh>
    <rPh sb="5" eb="6">
      <t>ガツ</t>
    </rPh>
    <rPh sb="8" eb="9">
      <t>ヒ</t>
    </rPh>
    <rPh sb="10" eb="12">
      <t>イライ</t>
    </rPh>
    <rPh sb="18" eb="19">
      <t>スウ</t>
    </rPh>
    <rPh sb="19" eb="20">
      <t>デン</t>
    </rPh>
    <phoneticPr fontId="8"/>
  </si>
  <si>
    <t>６月～→５月１１日へ依頼へ→5/11数伝</t>
    <rPh sb="1" eb="2">
      <t>ガツ</t>
    </rPh>
    <rPh sb="5" eb="6">
      <t>ガツ</t>
    </rPh>
    <rPh sb="8" eb="9">
      <t>ヒ</t>
    </rPh>
    <rPh sb="10" eb="12">
      <t>イライ</t>
    </rPh>
    <rPh sb="18" eb="19">
      <t>スウ</t>
    </rPh>
    <rPh sb="19" eb="20">
      <t>デン</t>
    </rPh>
    <phoneticPr fontId="8"/>
  </si>
  <si>
    <t>ロイヤルステージ6月号3色組②</t>
    <rPh sb="9" eb="11">
      <t>ガツゴウ</t>
    </rPh>
    <rPh sb="12" eb="13">
      <t>ショク</t>
    </rPh>
    <rPh sb="13" eb="14">
      <t>クミ</t>
    </rPh>
    <phoneticPr fontId="8"/>
  </si>
  <si>
    <t>JOD435</t>
    <phoneticPr fontId="8"/>
  </si>
  <si>
    <t>JOD436</t>
    <phoneticPr fontId="8"/>
  </si>
  <si>
    <t>ニッセン⑱</t>
    <phoneticPr fontId="8"/>
  </si>
  <si>
    <t>ハルメク・アルファ64</t>
    <phoneticPr fontId="8"/>
  </si>
  <si>
    <t>IEIヴィヴァン7月号3色組差分予測</t>
    <rPh sb="9" eb="11">
      <t>ガツゴウ</t>
    </rPh>
    <rPh sb="12" eb="14">
      <t>ショククミ</t>
    </rPh>
    <rPh sb="14" eb="18">
      <t>サブンヨソク</t>
    </rPh>
    <phoneticPr fontId="8"/>
  </si>
  <si>
    <t>IEIヴィヴァン7月号3色組￥4500</t>
    <rPh sb="9" eb="11">
      <t>ガツゴウ</t>
    </rPh>
    <rPh sb="12" eb="14">
      <t>ショククミ</t>
    </rPh>
    <phoneticPr fontId="8"/>
  </si>
  <si>
    <t>7/25～10/31</t>
    <phoneticPr fontId="8"/>
  </si>
  <si>
    <t>JOD437</t>
    <phoneticPr fontId="8"/>
  </si>
  <si>
    <t>ロイヤルステージ8月号3色組</t>
    <rPh sb="9" eb="11">
      <t>ガツゴウ</t>
    </rPh>
    <rPh sb="12" eb="13">
      <t>ショク</t>
    </rPh>
    <rPh sb="13" eb="14">
      <t>クミ</t>
    </rPh>
    <phoneticPr fontId="8"/>
  </si>
  <si>
    <t>ロイヤルステージ8月号3色組差分予測</t>
    <rPh sb="9" eb="11">
      <t>ガツゴウ</t>
    </rPh>
    <rPh sb="12" eb="13">
      <t>ショク</t>
    </rPh>
    <rPh sb="13" eb="14">
      <t>クミ</t>
    </rPh>
    <rPh sb="14" eb="18">
      <t>サブンヨソク</t>
    </rPh>
    <phoneticPr fontId="8"/>
  </si>
  <si>
    <t>8/13～9/26</t>
    <phoneticPr fontId="8"/>
  </si>
  <si>
    <t>JOD438</t>
    <phoneticPr fontId="8"/>
  </si>
  <si>
    <t>電話注文</t>
    <rPh sb="0" eb="4">
      <t>デンワチュウモン</t>
    </rPh>
    <phoneticPr fontId="8"/>
  </si>
  <si>
    <t>IEI使ってヨカッタ6月号3色組￥4500①</t>
    <rPh sb="3" eb="4">
      <t>ツカ</t>
    </rPh>
    <rPh sb="11" eb="13">
      <t>ガツゴウ</t>
    </rPh>
    <rPh sb="14" eb="16">
      <t>ショククミ</t>
    </rPh>
    <phoneticPr fontId="8"/>
  </si>
  <si>
    <t>JOD439</t>
    <phoneticPr fontId="8"/>
  </si>
  <si>
    <t>JOD52</t>
  </si>
  <si>
    <t>ユーコープ8月4回　差分予測</t>
    <rPh sb="6" eb="7">
      <t>ガツ</t>
    </rPh>
    <rPh sb="8" eb="9">
      <t>カイ</t>
    </rPh>
    <rPh sb="10" eb="14">
      <t>サブンヨソク</t>
    </rPh>
    <phoneticPr fontId="8"/>
  </si>
  <si>
    <t>ユーコープ8月4回3色組（不透明袋）</t>
    <rPh sb="6" eb="7">
      <t>ガツ</t>
    </rPh>
    <rPh sb="8" eb="9">
      <t>カイ</t>
    </rPh>
    <rPh sb="10" eb="12">
      <t>ショククミ</t>
    </rPh>
    <rPh sb="13" eb="17">
      <t>フトウメイフクロ</t>
    </rPh>
    <phoneticPr fontId="8"/>
  </si>
  <si>
    <t>8/10～26</t>
    <phoneticPr fontId="8"/>
  </si>
  <si>
    <t>6/5～9/30</t>
    <phoneticPr fontId="8"/>
  </si>
  <si>
    <t>JOD440</t>
    <phoneticPr fontId="8"/>
  </si>
  <si>
    <t>JOD53</t>
    <phoneticPr fontId="8"/>
  </si>
  <si>
    <t>ニッセン⑲</t>
    <phoneticPr fontId="8"/>
  </si>
  <si>
    <t>JOD441</t>
    <phoneticPr fontId="8"/>
  </si>
  <si>
    <t>JOD54</t>
  </si>
  <si>
    <t>ハルメク・アルファ65</t>
    <phoneticPr fontId="8"/>
  </si>
  <si>
    <t>はぴねすくらぶ2026年6月号3色組②</t>
    <rPh sb="11" eb="12">
      <t>ネン</t>
    </rPh>
    <rPh sb="13" eb="15">
      <t>ガツゴウ</t>
    </rPh>
    <rPh sb="16" eb="18">
      <t>ショククミ</t>
    </rPh>
    <phoneticPr fontId="8"/>
  </si>
  <si>
    <t>JOD442</t>
    <phoneticPr fontId="8"/>
  </si>
  <si>
    <t>JOD55</t>
    <phoneticPr fontId="8"/>
  </si>
  <si>
    <t>ロイヤルステージ6月号3色組③</t>
    <rPh sb="9" eb="11">
      <t>ガツゴウ</t>
    </rPh>
    <rPh sb="12" eb="13">
      <t>ショク</t>
    </rPh>
    <rPh sb="13" eb="14">
      <t>クミ</t>
    </rPh>
    <phoneticPr fontId="8"/>
  </si>
  <si>
    <t>JOD443</t>
  </si>
  <si>
    <t>ハルメク・アルファ66</t>
    <phoneticPr fontId="8"/>
  </si>
  <si>
    <t>JOD444</t>
    <phoneticPr fontId="8"/>
  </si>
  <si>
    <t>JOD57</t>
  </si>
  <si>
    <t>りすぺーる（パルシステム）6月4回3色組（不透明袋）新洗濯ネーム①</t>
    <rPh sb="14" eb="15">
      <t>ガツ</t>
    </rPh>
    <rPh sb="16" eb="17">
      <t>カイ</t>
    </rPh>
    <rPh sb="18" eb="20">
      <t>ショククミ</t>
    </rPh>
    <rPh sb="21" eb="25">
      <t>フトウメイフクロ</t>
    </rPh>
    <phoneticPr fontId="8"/>
  </si>
  <si>
    <t>はぴねすくらぶ2026年6月号3色組③</t>
    <rPh sb="11" eb="12">
      <t>ネン</t>
    </rPh>
    <rPh sb="13" eb="15">
      <t>ガツゴウ</t>
    </rPh>
    <rPh sb="16" eb="18">
      <t>ショククミ</t>
    </rPh>
    <phoneticPr fontId="8"/>
  </si>
  <si>
    <t>コープ東北サンネット7月1回3色組（不透明袋）①</t>
    <rPh sb="3" eb="5">
      <t>トウホク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8"/>
  </si>
  <si>
    <t>かりん</t>
    <phoneticPr fontId="8"/>
  </si>
  <si>
    <t>千趣会sample</t>
    <rPh sb="0" eb="3">
      <t>センシュカイ</t>
    </rPh>
    <phoneticPr fontId="8"/>
  </si>
  <si>
    <t>点7/31、アバウト8/18、本8/18～24</t>
    <rPh sb="0" eb="1">
      <t>テン</t>
    </rPh>
    <rPh sb="15" eb="16">
      <t>ホン</t>
    </rPh>
    <phoneticPr fontId="8"/>
  </si>
  <si>
    <t>コープ北陸8月4回　差分予定</t>
    <rPh sb="3" eb="5">
      <t>ホクリク</t>
    </rPh>
    <rPh sb="6" eb="7">
      <t>ガツ</t>
    </rPh>
    <rPh sb="8" eb="9">
      <t>カイ</t>
    </rPh>
    <rPh sb="10" eb="14">
      <t>サブンヨテイ</t>
    </rPh>
    <phoneticPr fontId="8"/>
  </si>
  <si>
    <t>コープ北陸 8月4回3色組（不透明袋）</t>
    <rPh sb="3" eb="5">
      <t>ホクリク</t>
    </rPh>
    <rPh sb="7" eb="8">
      <t>ガツ</t>
    </rPh>
    <rPh sb="9" eb="10">
      <t>カイ</t>
    </rPh>
    <rPh sb="11" eb="13">
      <t>ショククミ</t>
    </rPh>
    <phoneticPr fontId="8"/>
  </si>
  <si>
    <t>コープきんき9月4回単品（不透明袋）-健康・介護用品差分予測</t>
    <rPh sb="7" eb="8">
      <t>ガツ</t>
    </rPh>
    <rPh sb="9" eb="10">
      <t>カイ</t>
    </rPh>
    <rPh sb="10" eb="12">
      <t>タンピン</t>
    </rPh>
    <rPh sb="13" eb="17">
      <t>フトウメイフクロ</t>
    </rPh>
    <rPh sb="26" eb="30">
      <t>サブンヨソク</t>
    </rPh>
    <phoneticPr fontId="8"/>
  </si>
  <si>
    <t>コープきんき9月4回単品（不透明袋）-健康・介護用品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</si>
  <si>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コープきんき9月4回単品（不透明袋）差分予測</t>
    <rPh sb="7" eb="8">
      <t>ガツ</t>
    </rPh>
    <rPh sb="9" eb="10">
      <t>カイ</t>
    </rPh>
    <rPh sb="10" eb="12">
      <t>タンピン</t>
    </rPh>
    <rPh sb="13" eb="17">
      <t>フトウメイフクロ</t>
    </rPh>
    <rPh sb="18" eb="22">
      <t>サブンヨソク</t>
    </rPh>
    <phoneticPr fontId="8"/>
  </si>
  <si>
    <t>コープきんき6月4回単品（不透明袋）-健康・介護用品②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</si>
  <si>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コープきんき6月4回単品（不透明袋）-健康・介護用②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</si>
  <si>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JOD58</t>
    <phoneticPr fontId="8"/>
  </si>
  <si>
    <t>JODアクセス7019/3色組￥4990</t>
    <rPh sb="13" eb="15">
      <t>ショククミ</t>
    </rPh>
    <phoneticPr fontId="8"/>
  </si>
  <si>
    <t>8/17～</t>
    <phoneticPr fontId="8"/>
  </si>
  <si>
    <t>JODアクセス7019/3色組￥3990</t>
    <rPh sb="13" eb="15">
      <t>ショククミ</t>
    </rPh>
    <phoneticPr fontId="8"/>
  </si>
  <si>
    <t>JOD445</t>
    <phoneticPr fontId="8"/>
  </si>
  <si>
    <t>コープきんき6月4回単品（不透明袋）-健康・介護用品③</t>
    <rPh sb="7" eb="8">
      <t>ガツ</t>
    </rPh>
    <rPh sb="9" eb="10">
      <t>カイ</t>
    </rPh>
    <rPh sb="10" eb="12">
      <t>タンピン</t>
    </rPh>
    <rPh sb="13" eb="17">
      <t>フトウメイフクロ</t>
    </rPh>
    <phoneticPr fontId="8"/>
  </si>
  <si>
    <t>サクラマチ返品</t>
    <rPh sb="0" eb="7">
      <t>s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</si>
</sst>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0_);[Red]\(0\)"/>
    <numFmt numFmtId="177" formatCode="0.0"/>
    <numFmt numFmtId="178" formatCode="0_ "/>
    <numFmt numFmtId="179" formatCode="0_ ;[Red]\-0\ "/>
    <numFmt numFmtId="180" formatCode="0;[Red]0"/>
    <numFmt numFmtId="181" formatCode="m&quot;月&quot;d&quot;日&quot;;@"/>
  </numFmts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8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 tint="0.14999847407452621"/>
      <name val="ＭＳ Ｐゴシック"/>
      <family val="3"/>
      <charset val="128"/>
    </font>
    <font>
      <sz val="12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356">
    <xf numFmtId="0" fontId="0" fillId="0" borderId="0" xfId="0">
      <alignment vertical="center"/>
    </xf>
    <xf numFmtId="0" fontId="1" fillId="0" borderId="0" xfId="1">
      <alignment vertical="center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5" fillId="0" borderId="5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5" xfId="2" applyBorder="1" applyAlignment="1">
      <alignment horizontal="center" vertical="center"/>
    </xf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2" fillId="2" borderId="13" xfId="2" applyFill="1" applyBorder="1"/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56" fontId="9" fillId="0" borderId="0" xfId="1" applyNumberFormat="1" applyFont="1">
      <alignment vertical="center"/>
    </xf>
    <xf numFmtId="0" fontId="2" fillId="0" borderId="15" xfId="2" applyBorder="1"/>
    <xf numFmtId="56" fontId="1" fillId="0" borderId="0" xfId="1" applyNumberFormat="1">
      <alignment vertical="center"/>
    </xf>
    <xf numFmtId="56" fontId="9" fillId="0" borderId="0" xfId="0" applyNumberFormat="1" applyFont="1">
      <alignment vertical="center"/>
    </xf>
    <xf numFmtId="0" fontId="2" fillId="0" borderId="9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7" xfId="2" applyBorder="1" applyAlignment="1">
      <alignment horizontal="center"/>
    </xf>
    <xf numFmtId="0" fontId="10" fillId="0" borderId="0" xfId="0" applyFont="1">
      <alignment vertical="center"/>
    </xf>
    <xf numFmtId="0" fontId="2" fillId="0" borderId="14" xfId="2" applyBorder="1"/>
    <xf numFmtId="0" fontId="2" fillId="0" borderId="15" xfId="2" applyBorder="1" applyAlignment="1">
      <alignment horizontal="center"/>
    </xf>
    <xf numFmtId="0" fontId="2" fillId="0" borderId="4" xfId="2" applyBorder="1" applyAlignment="1">
      <alignment horizontal="center" vertical="center" shrinkToFit="1"/>
    </xf>
    <xf numFmtId="0" fontId="2" fillId="0" borderId="9" xfId="2" applyBorder="1" applyAlignment="1">
      <alignment horizontal="center" vertical="center"/>
    </xf>
    <xf numFmtId="0" fontId="2" fillId="0" borderId="10" xfId="2" applyBorder="1" applyAlignment="1">
      <alignment horizontal="center"/>
    </xf>
    <xf numFmtId="0" fontId="6" fillId="0" borderId="5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2" fillId="2" borderId="16" xfId="2" applyFill="1" applyBorder="1"/>
    <xf numFmtId="0" fontId="2" fillId="2" borderId="9" xfId="2" applyFill="1" applyBorder="1"/>
    <xf numFmtId="0" fontId="2" fillId="2" borderId="17" xfId="2" applyFill="1" applyBorder="1"/>
    <xf numFmtId="0" fontId="7" fillId="0" borderId="9" xfId="2" applyFont="1" applyBorder="1" applyAlignment="1">
      <alignment horizontal="center"/>
    </xf>
    <xf numFmtId="0" fontId="7" fillId="3" borderId="9" xfId="2" applyFont="1" applyFill="1" applyBorder="1" applyAlignment="1">
      <alignment horizontal="right"/>
    </xf>
    <xf numFmtId="0" fontId="3" fillId="7" borderId="0" xfId="2" applyFont="1" applyFill="1"/>
    <xf numFmtId="0" fontId="2" fillId="7" borderId="0" xfId="2" applyFill="1"/>
    <xf numFmtId="0" fontId="0" fillId="7" borderId="0" xfId="0" applyFill="1">
      <alignment vertical="center"/>
    </xf>
    <xf numFmtId="0" fontId="1" fillId="7" borderId="0" xfId="1" applyFill="1">
      <alignment vertical="center"/>
    </xf>
    <xf numFmtId="0" fontId="2" fillId="8" borderId="0" xfId="2" applyFill="1"/>
    <xf numFmtId="0" fontId="1" fillId="8" borderId="0" xfId="1" applyFill="1">
      <alignment vertical="center"/>
    </xf>
    <xf numFmtId="0" fontId="7" fillId="0" borderId="5" xfId="2" applyFont="1" applyBorder="1" applyAlignment="1">
      <alignment horizontal="center" vertical="center"/>
    </xf>
    <xf numFmtId="0" fontId="7" fillId="2" borderId="5" xfId="2" applyFont="1" applyFill="1" applyBorder="1"/>
    <xf numFmtId="0" fontId="7" fillId="0" borderId="9" xfId="2" applyFont="1" applyBorder="1"/>
    <xf numFmtId="0" fontId="7" fillId="0" borderId="5" xfId="2" applyFont="1" applyBorder="1"/>
    <xf numFmtId="6" fontId="1" fillId="7" borderId="0" xfId="1" applyNumberFormat="1" applyFill="1">
      <alignment vertical="center"/>
    </xf>
    <xf numFmtId="176" fontId="9" fillId="0" borderId="5" xfId="1" applyNumberFormat="1" applyFont="1" applyBorder="1">
      <alignment vertical="center"/>
    </xf>
    <xf numFmtId="0" fontId="2" fillId="0" borderId="14" xfId="2" applyBorder="1" applyAlignment="1">
      <alignment horizontal="center" vertical="center"/>
    </xf>
    <xf numFmtId="0" fontId="2" fillId="0" borderId="20" xfId="2" applyBorder="1"/>
    <xf numFmtId="0" fontId="2" fillId="2" borderId="14" xfId="2" applyFill="1" applyBorder="1"/>
    <xf numFmtId="0" fontId="9" fillId="0" borderId="0" xfId="0" applyFont="1">
      <alignment vertical="center"/>
    </xf>
    <xf numFmtId="0" fontId="9" fillId="0" borderId="0" xfId="1" applyFont="1">
      <alignment vertical="center"/>
    </xf>
    <xf numFmtId="0" fontId="2" fillId="0" borderId="10" xfId="2" applyBorder="1"/>
    <xf numFmtId="0" fontId="2" fillId="0" borderId="7" xfId="2" applyBorder="1"/>
    <xf numFmtId="0" fontId="2" fillId="0" borderId="8" xfId="2" applyBorder="1" applyAlignment="1">
      <alignment horizontal="center" vertical="center"/>
    </xf>
    <xf numFmtId="0" fontId="2" fillId="0" borderId="5" xfId="2" applyBorder="1" applyAlignment="1">
      <alignment horizontal="center" vertical="center" shrinkToFit="1"/>
    </xf>
    <xf numFmtId="177" fontId="12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6" fillId="2" borderId="5" xfId="2" applyFont="1" applyFill="1" applyBorder="1"/>
    <xf numFmtId="0" fontId="6" fillId="0" borderId="9" xfId="2" applyFont="1" applyBorder="1"/>
    <xf numFmtId="0" fontId="6" fillId="0" borderId="5" xfId="2" applyFont="1" applyBorder="1"/>
    <xf numFmtId="56" fontId="0" fillId="0" borderId="0" xfId="0" applyNumberFormat="1">
      <alignment vertical="center"/>
    </xf>
    <xf numFmtId="0" fontId="5" fillId="0" borderId="9" xfId="2" applyFont="1" applyBorder="1"/>
    <xf numFmtId="0" fontId="5" fillId="0" borderId="5" xfId="2" applyFont="1" applyBorder="1"/>
    <xf numFmtId="0" fontId="5" fillId="2" borderId="5" xfId="2" applyFont="1" applyFill="1" applyBorder="1"/>
    <xf numFmtId="0" fontId="5" fillId="0" borderId="10" xfId="2" applyFont="1" applyBorder="1"/>
    <xf numFmtId="0" fontId="5" fillId="0" borderId="7" xfId="2" applyFont="1" applyBorder="1"/>
    <xf numFmtId="0" fontId="14" fillId="0" borderId="0" xfId="0" applyFont="1">
      <alignment vertical="center"/>
    </xf>
    <xf numFmtId="0" fontId="2" fillId="0" borderId="16" xfId="2" applyBorder="1"/>
    <xf numFmtId="0" fontId="2" fillId="0" borderId="4" xfId="2" applyBorder="1"/>
    <xf numFmtId="177" fontId="0" fillId="0" borderId="0" xfId="0" applyNumberFormat="1">
      <alignment vertical="center"/>
    </xf>
    <xf numFmtId="0" fontId="12" fillId="0" borderId="0" xfId="0" applyFont="1">
      <alignment vertical="center"/>
    </xf>
    <xf numFmtId="0" fontId="5" fillId="0" borderId="4" xfId="2" applyFont="1" applyBorder="1" applyAlignment="1">
      <alignment horizontal="center" vertical="center"/>
    </xf>
    <xf numFmtId="0" fontId="5" fillId="0" borderId="16" xfId="2" applyFont="1" applyBorder="1"/>
    <xf numFmtId="0" fontId="5" fillId="0" borderId="4" xfId="2" applyFont="1" applyBorder="1"/>
    <xf numFmtId="0" fontId="5" fillId="2" borderId="4" xfId="2" applyFont="1" applyFill="1" applyBorder="1"/>
    <xf numFmtId="0" fontId="0" fillId="0" borderId="0" xfId="0" applyAlignment="1">
      <alignment horizontal="right" vertical="center"/>
    </xf>
    <xf numFmtId="176" fontId="9" fillId="0" borderId="5" xfId="1" applyNumberFormat="1" applyFont="1" applyBorder="1" applyAlignment="1">
      <alignment horizontal="right" vertical="center"/>
    </xf>
    <xf numFmtId="176" fontId="9" fillId="0" borderId="7" xfId="1" applyNumberFormat="1" applyFont="1" applyBorder="1" applyAlignment="1">
      <alignment horizontal="right" vertical="center"/>
    </xf>
    <xf numFmtId="176" fontId="11" fillId="0" borderId="1" xfId="1" applyNumberFormat="1" applyFont="1" applyBorder="1" applyAlignment="1">
      <alignment horizontal="right" vertical="center"/>
    </xf>
    <xf numFmtId="176" fontId="9" fillId="0" borderId="14" xfId="1" applyNumberFormat="1" applyFont="1" applyBorder="1" applyAlignment="1">
      <alignment horizontal="right" vertical="center"/>
    </xf>
    <xf numFmtId="176" fontId="11" fillId="0" borderId="5" xfId="1" applyNumberFormat="1" applyFont="1" applyBorder="1" applyAlignment="1">
      <alignment horizontal="right" vertical="center"/>
    </xf>
    <xf numFmtId="176" fontId="9" fillId="0" borderId="4" xfId="1" applyNumberFormat="1" applyFont="1" applyBorder="1" applyAlignment="1">
      <alignment horizontal="right" vertical="center"/>
    </xf>
    <xf numFmtId="0" fontId="14" fillId="0" borderId="5" xfId="1" applyFont="1" applyBorder="1" applyAlignment="1">
      <alignment horizontal="right" vertical="center"/>
    </xf>
    <xf numFmtId="0" fontId="9" fillId="0" borderId="5" xfId="1" applyFont="1" applyBorder="1" applyAlignment="1">
      <alignment horizontal="right" vertical="center"/>
    </xf>
    <xf numFmtId="178" fontId="9" fillId="0" borderId="5" xfId="1" applyNumberFormat="1" applyFont="1" applyBorder="1" applyAlignment="1">
      <alignment horizontal="right" vertical="center"/>
    </xf>
    <xf numFmtId="176" fontId="14" fillId="0" borderId="4" xfId="1" applyNumberFormat="1" applyFont="1" applyBorder="1" applyAlignment="1">
      <alignment horizontal="right" vertical="center"/>
    </xf>
    <xf numFmtId="0" fontId="2" fillId="0" borderId="17" xfId="2" applyBorder="1"/>
    <xf numFmtId="0" fontId="2" fillId="0" borderId="13" xfId="2" applyBorder="1"/>
    <xf numFmtId="176" fontId="14" fillId="0" borderId="5" xfId="1" applyNumberFormat="1" applyFont="1" applyBorder="1" applyAlignment="1">
      <alignment horizontal="right" vertical="center"/>
    </xf>
    <xf numFmtId="0" fontId="10" fillId="0" borderId="0" xfId="0" applyFont="1" applyAlignment="1">
      <alignment vertical="center" shrinkToFit="1"/>
    </xf>
    <xf numFmtId="0" fontId="5" fillId="0" borderId="1" xfId="2" applyFont="1" applyBorder="1" applyAlignment="1">
      <alignment horizontal="center" vertical="center" shrinkToFit="1"/>
    </xf>
    <xf numFmtId="0" fontId="5" fillId="0" borderId="5" xfId="2" applyFont="1" applyBorder="1" applyAlignment="1">
      <alignment horizontal="center" vertical="center" shrinkToFit="1"/>
    </xf>
    <xf numFmtId="0" fontId="5" fillId="0" borderId="7" xfId="2" applyFont="1" applyBorder="1" applyAlignment="1">
      <alignment horizontal="center" vertical="center" shrinkToFit="1"/>
    </xf>
    <xf numFmtId="0" fontId="7" fillId="0" borderId="1" xfId="2" applyFont="1" applyBorder="1" applyAlignment="1">
      <alignment horizontal="center" vertical="center" shrinkToFit="1"/>
    </xf>
    <xf numFmtId="0" fontId="5" fillId="0" borderId="2" xfId="2" applyFont="1" applyBorder="1" applyAlignment="1">
      <alignment horizontal="center" vertical="center" shrinkToFit="1"/>
    </xf>
    <xf numFmtId="0" fontId="6" fillId="0" borderId="2" xfId="2" applyFont="1" applyBorder="1" applyAlignment="1">
      <alignment horizontal="center" vertical="center" shrinkToFit="1"/>
    </xf>
    <xf numFmtId="0" fontId="6" fillId="0" borderId="5" xfId="2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8" borderId="0" xfId="2" applyFont="1" applyFill="1"/>
    <xf numFmtId="56" fontId="9" fillId="0" borderId="0" xfId="0" applyNumberFormat="1" applyFont="1" applyAlignment="1">
      <alignment horizontal="left" vertical="center"/>
    </xf>
    <xf numFmtId="179" fontId="14" fillId="0" borderId="5" xfId="1" applyNumberFormat="1" applyFont="1" applyBorder="1" applyAlignment="1">
      <alignment horizontal="right" vertical="center"/>
    </xf>
    <xf numFmtId="177" fontId="9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56" fontId="11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5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9" fillId="0" borderId="0" xfId="1" applyNumberFormat="1" applyFont="1" applyAlignment="1">
      <alignment horizontal="left" vertical="center"/>
    </xf>
    <xf numFmtId="56" fontId="14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7" fontId="16" fillId="0" borderId="0" xfId="0" applyNumberFormat="1" applyFont="1">
      <alignment vertical="center"/>
    </xf>
    <xf numFmtId="0" fontId="15" fillId="0" borderId="0" xfId="0" applyFont="1" applyAlignment="1">
      <alignment horizontal="right" vertical="center" shrinkToFit="1"/>
    </xf>
    <xf numFmtId="0" fontId="6" fillId="0" borderId="4" xfId="2" applyFont="1" applyBorder="1" applyAlignment="1">
      <alignment horizontal="center" vertical="center"/>
    </xf>
    <xf numFmtId="181" fontId="9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right" vertical="center"/>
    </xf>
    <xf numFmtId="0" fontId="2" fillId="3" borderId="5" xfId="2" applyFill="1" applyBorder="1"/>
    <xf numFmtId="180" fontId="14" fillId="0" borderId="5" xfId="1" applyNumberFormat="1" applyFont="1" applyBorder="1" applyAlignment="1">
      <alignment horizontal="right" vertical="center"/>
    </xf>
    <xf numFmtId="31" fontId="9" fillId="0" borderId="0" xfId="0" applyNumberFormat="1" applyFont="1" applyAlignment="1">
      <alignment horizontal="left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3" fillId="0" borderId="5" xfId="1" applyFont="1" applyBorder="1" applyAlignment="1">
      <alignment horizontal="right" vertical="center"/>
    </xf>
    <xf numFmtId="179" fontId="0" fillId="0" borderId="0" xfId="0" applyNumberFormat="1">
      <alignment vertical="center"/>
    </xf>
    <xf numFmtId="179" fontId="1" fillId="0" borderId="0" xfId="1" applyNumberFormat="1">
      <alignment vertical="center"/>
    </xf>
    <xf numFmtId="179" fontId="9" fillId="0" borderId="5" xfId="1" applyNumberFormat="1" applyFont="1" applyBorder="1">
      <alignment vertical="center"/>
    </xf>
    <xf numFmtId="179" fontId="9" fillId="0" borderId="7" xfId="1" applyNumberFormat="1" applyFont="1" applyBorder="1">
      <alignment vertical="center"/>
    </xf>
    <xf numFmtId="179" fontId="11" fillId="0" borderId="1" xfId="1" applyNumberFormat="1" applyFont="1" applyBorder="1">
      <alignment vertical="center"/>
    </xf>
    <xf numFmtId="179" fontId="9" fillId="0" borderId="4" xfId="1" applyNumberFormat="1" applyFont="1" applyBorder="1">
      <alignment vertical="center"/>
    </xf>
    <xf numFmtId="179" fontId="9" fillId="0" borderId="1" xfId="1" applyNumberFormat="1" applyFont="1" applyBorder="1">
      <alignment vertical="center"/>
    </xf>
    <xf numFmtId="179" fontId="11" fillId="0" borderId="5" xfId="1" applyNumberFormat="1" applyFont="1" applyBorder="1">
      <alignment vertical="center"/>
    </xf>
    <xf numFmtId="179" fontId="15" fillId="0" borderId="0" xfId="0" applyNumberFormat="1" applyFont="1">
      <alignment vertical="center"/>
    </xf>
    <xf numFmtId="179" fontId="9" fillId="0" borderId="5" xfId="1" applyNumberFormat="1" applyFont="1" applyBorder="1" applyAlignment="1">
      <alignment horizontal="right" vertical="center"/>
    </xf>
    <xf numFmtId="179" fontId="9" fillId="0" borderId="4" xfId="1" applyNumberFormat="1" applyFont="1" applyBorder="1" applyAlignment="1">
      <alignment horizontal="right" vertical="center"/>
    </xf>
    <xf numFmtId="0" fontId="7" fillId="2" borderId="4" xfId="2" applyFont="1" applyFill="1" applyBorder="1"/>
    <xf numFmtId="0" fontId="9" fillId="0" borderId="4" xfId="1" applyFont="1" applyBorder="1" applyAlignment="1">
      <alignment horizontal="right" vertical="center"/>
    </xf>
    <xf numFmtId="0" fontId="11" fillId="0" borderId="5" xfId="1" applyFont="1" applyBorder="1" applyAlignment="1">
      <alignment horizontal="right" vertical="center"/>
    </xf>
    <xf numFmtId="177" fontId="2" fillId="7" borderId="0" xfId="2" applyNumberFormat="1" applyFill="1"/>
    <xf numFmtId="177" fontId="0" fillId="7" borderId="0" xfId="0" applyNumberFormat="1" applyFill="1">
      <alignment vertical="center"/>
    </xf>
    <xf numFmtId="177" fontId="1" fillId="0" borderId="0" xfId="1" applyNumberFormat="1">
      <alignment vertical="center"/>
    </xf>
    <xf numFmtId="179" fontId="1" fillId="0" borderId="5" xfId="1" applyNumberFormat="1" applyBorder="1">
      <alignment vertical="center"/>
    </xf>
    <xf numFmtId="178" fontId="9" fillId="0" borderId="5" xfId="1" applyNumberFormat="1" applyFont="1" applyBorder="1">
      <alignment vertical="center"/>
    </xf>
    <xf numFmtId="176" fontId="9" fillId="0" borderId="1" xfId="1" applyNumberFormat="1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7" fillId="0" borderId="7" xfId="2" applyFont="1" applyBorder="1" applyAlignment="1">
      <alignment horizontal="center" vertical="center" shrinkToFit="1"/>
    </xf>
    <xf numFmtId="0" fontId="18" fillId="0" borderId="6" xfId="2" applyFont="1" applyBorder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0" fontId="18" fillId="2" borderId="4" xfId="2" applyFont="1" applyFill="1" applyBorder="1"/>
    <xf numFmtId="0" fontId="18" fillId="0" borderId="9" xfId="2" applyFont="1" applyBorder="1" applyAlignment="1">
      <alignment horizontal="center" vertical="center"/>
    </xf>
    <xf numFmtId="0" fontId="18" fillId="2" borderId="16" xfId="2" applyFont="1" applyFill="1" applyBorder="1"/>
    <xf numFmtId="56" fontId="1" fillId="0" borderId="0" xfId="0" applyNumberFormat="1" applyFont="1">
      <alignment vertical="center"/>
    </xf>
    <xf numFmtId="0" fontId="18" fillId="0" borderId="4" xfId="2" applyFont="1" applyBorder="1" applyAlignment="1">
      <alignment horizontal="center" vertical="center"/>
    </xf>
    <xf numFmtId="0" fontId="18" fillId="0" borderId="9" xfId="2" applyFont="1" applyBorder="1"/>
    <xf numFmtId="0" fontId="18" fillId="0" borderId="5" xfId="2" applyFont="1" applyBorder="1"/>
    <xf numFmtId="0" fontId="18" fillId="2" borderId="5" xfId="2" applyFont="1" applyFill="1" applyBorder="1"/>
    <xf numFmtId="0" fontId="1" fillId="0" borderId="5" xfId="1" applyBorder="1" applyAlignment="1">
      <alignment horizontal="right" vertical="center"/>
    </xf>
    <xf numFmtId="56" fontId="1" fillId="0" borderId="0" xfId="0" applyNumberFormat="1" applyFont="1" applyAlignment="1">
      <alignment horizontal="left" vertical="center"/>
    </xf>
    <xf numFmtId="0" fontId="10" fillId="9" borderId="0" xfId="0" applyFont="1" applyFill="1" applyAlignment="1">
      <alignment vertical="center" shrinkToFit="1"/>
    </xf>
    <xf numFmtId="0" fontId="0" fillId="9" borderId="0" xfId="0" applyFill="1">
      <alignment vertical="center"/>
    </xf>
    <xf numFmtId="179" fontId="0" fillId="9" borderId="0" xfId="0" applyNumberFormat="1" applyFill="1">
      <alignment vertical="center"/>
    </xf>
    <xf numFmtId="0" fontId="10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3" fillId="9" borderId="0" xfId="2" applyFont="1" applyFill="1"/>
    <xf numFmtId="0" fontId="2" fillId="9" borderId="0" xfId="2" applyFill="1"/>
    <xf numFmtId="0" fontId="1" fillId="9" borderId="0" xfId="1" applyFill="1">
      <alignment vertical="center"/>
    </xf>
    <xf numFmtId="179" fontId="1" fillId="9" borderId="0" xfId="1" applyNumberFormat="1" applyFill="1">
      <alignment vertical="center"/>
    </xf>
    <xf numFmtId="6" fontId="1" fillId="9" borderId="0" xfId="1" applyNumberFormat="1" applyFill="1">
      <alignment vertical="center"/>
    </xf>
    <xf numFmtId="0" fontId="5" fillId="9" borderId="1" xfId="2" applyFont="1" applyFill="1" applyBorder="1" applyAlignment="1">
      <alignment horizontal="center" vertical="center" shrinkToFit="1"/>
    </xf>
    <xf numFmtId="0" fontId="5" fillId="9" borderId="1" xfId="2" applyFont="1" applyFill="1" applyBorder="1" applyAlignment="1">
      <alignment horizontal="center" vertical="center"/>
    </xf>
    <xf numFmtId="0" fontId="5" fillId="9" borderId="2" xfId="2" applyFont="1" applyFill="1" applyBorder="1" applyAlignment="1">
      <alignment horizontal="center" vertical="center"/>
    </xf>
    <xf numFmtId="0" fontId="5" fillId="9" borderId="7" xfId="2" applyFont="1" applyFill="1" applyBorder="1" applyAlignment="1">
      <alignment horizontal="center" vertical="center" shrinkToFit="1"/>
    </xf>
    <xf numFmtId="0" fontId="2" fillId="9" borderId="9" xfId="2" applyFill="1" applyBorder="1" applyAlignment="1">
      <alignment horizontal="center"/>
    </xf>
    <xf numFmtId="0" fontId="2" fillId="9" borderId="5" xfId="2" applyFill="1" applyBorder="1" applyAlignment="1">
      <alignment horizontal="center"/>
    </xf>
    <xf numFmtId="0" fontId="2" fillId="9" borderId="5" xfId="2" applyFill="1" applyBorder="1"/>
    <xf numFmtId="0" fontId="2" fillId="9" borderId="9" xfId="2" applyFill="1" applyBorder="1"/>
    <xf numFmtId="56" fontId="9" fillId="9" borderId="0" xfId="0" applyNumberFormat="1" applyFont="1" applyFill="1">
      <alignment vertical="center"/>
    </xf>
    <xf numFmtId="0" fontId="5" fillId="9" borderId="5" xfId="2" applyFont="1" applyFill="1" applyBorder="1" applyAlignment="1">
      <alignment horizontal="center" vertical="center"/>
    </xf>
    <xf numFmtId="0" fontId="2" fillId="9" borderId="8" xfId="2" applyFill="1" applyBorder="1" applyAlignment="1">
      <alignment horizontal="center" vertical="center"/>
    </xf>
    <xf numFmtId="0" fontId="2" fillId="9" borderId="4" xfId="2" applyFill="1" applyBorder="1" applyAlignment="1">
      <alignment horizontal="center" vertical="center"/>
    </xf>
    <xf numFmtId="56" fontId="9" fillId="9" borderId="0" xfId="0" applyNumberFormat="1" applyFont="1" applyFill="1" applyAlignment="1">
      <alignment horizontal="left" vertical="center"/>
    </xf>
    <xf numFmtId="0" fontId="9" fillId="9" borderId="0" xfId="0" applyFont="1" applyFill="1">
      <alignment vertical="center"/>
    </xf>
    <xf numFmtId="0" fontId="2" fillId="9" borderId="9" xfId="2" applyFill="1" applyBorder="1" applyAlignment="1">
      <alignment horizontal="center" vertical="center"/>
    </xf>
    <xf numFmtId="0" fontId="2" fillId="9" borderId="5" xfId="2" applyFill="1" applyBorder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2" fillId="9" borderId="6" xfId="2" applyFill="1" applyBorder="1" applyAlignment="1">
      <alignment horizontal="center" vertical="center"/>
    </xf>
    <xf numFmtId="0" fontId="2" fillId="9" borderId="6" xfId="2" applyFill="1" applyBorder="1" applyAlignment="1">
      <alignment horizontal="center"/>
    </xf>
    <xf numFmtId="56" fontId="9" fillId="9" borderId="0" xfId="1" applyNumberFormat="1" applyFont="1" applyFill="1">
      <alignment vertical="center"/>
    </xf>
    <xf numFmtId="0" fontId="2" fillId="9" borderId="11" xfId="2" applyFill="1" applyBorder="1" applyAlignment="1">
      <alignment horizontal="center"/>
    </xf>
    <xf numFmtId="0" fontId="2" fillId="9" borderId="7" xfId="2" applyFill="1" applyBorder="1" applyAlignment="1">
      <alignment horizontal="center"/>
    </xf>
    <xf numFmtId="0" fontId="2" fillId="9" borderId="15" xfId="2" applyFill="1" applyBorder="1" applyAlignment="1">
      <alignment horizontal="center"/>
    </xf>
    <xf numFmtId="0" fontId="2" fillId="9" borderId="10" xfId="2" applyFill="1" applyBorder="1" applyAlignment="1">
      <alignment horizontal="center"/>
    </xf>
    <xf numFmtId="0" fontId="5" fillId="9" borderId="7" xfId="2" applyFont="1" applyFill="1" applyBorder="1" applyAlignment="1">
      <alignment horizontal="center" vertical="center"/>
    </xf>
    <xf numFmtId="0" fontId="7" fillId="9" borderId="1" xfId="2" applyFont="1" applyFill="1" applyBorder="1" applyAlignment="1">
      <alignment horizontal="center" vertical="center" shrinkToFit="1"/>
    </xf>
    <xf numFmtId="0" fontId="7" fillId="9" borderId="1" xfId="2" applyFont="1" applyFill="1" applyBorder="1"/>
    <xf numFmtId="0" fontId="7" fillId="9" borderId="2" xfId="2" applyFont="1" applyFill="1" applyBorder="1"/>
    <xf numFmtId="0" fontId="7" fillId="9" borderId="1" xfId="2" applyFont="1" applyFill="1" applyBorder="1" applyAlignment="1">
      <alignment horizontal="center" vertical="center"/>
    </xf>
    <xf numFmtId="0" fontId="7" fillId="9" borderId="5" xfId="2" applyFont="1" applyFill="1" applyBorder="1" applyAlignment="1">
      <alignment horizontal="center" vertical="center"/>
    </xf>
    <xf numFmtId="0" fontId="7" fillId="9" borderId="9" xfId="2" applyFont="1" applyFill="1" applyBorder="1"/>
    <xf numFmtId="0" fontId="7" fillId="9" borderId="5" xfId="2" applyFont="1" applyFill="1" applyBorder="1"/>
    <xf numFmtId="0" fontId="11" fillId="9" borderId="0" xfId="0" applyFont="1" applyFill="1" applyAlignment="1">
      <alignment horizontal="left" vertical="center"/>
    </xf>
    <xf numFmtId="0" fontId="6" fillId="9" borderId="5" xfId="2" applyFont="1" applyFill="1" applyBorder="1" applyAlignment="1">
      <alignment horizontal="center" vertical="center"/>
    </xf>
    <xf numFmtId="0" fontId="6" fillId="9" borderId="9" xfId="2" applyFont="1" applyFill="1" applyBorder="1"/>
    <xf numFmtId="0" fontId="6" fillId="9" borderId="5" xfId="2" applyFont="1" applyFill="1" applyBorder="1"/>
    <xf numFmtId="0" fontId="13" fillId="9" borderId="0" xfId="0" applyFont="1" applyFill="1" applyAlignment="1">
      <alignment horizontal="left" vertical="center"/>
    </xf>
    <xf numFmtId="0" fontId="6" fillId="9" borderId="4" xfId="2" applyFont="1" applyFill="1" applyBorder="1" applyAlignment="1">
      <alignment horizontal="center" vertical="center"/>
    </xf>
    <xf numFmtId="0" fontId="7" fillId="9" borderId="4" xfId="2" applyFont="1" applyFill="1" applyBorder="1" applyAlignment="1">
      <alignment horizontal="center" vertical="center"/>
    </xf>
    <xf numFmtId="0" fontId="5" fillId="9" borderId="2" xfId="2" applyFont="1" applyFill="1" applyBorder="1" applyAlignment="1">
      <alignment horizontal="center" vertical="center" shrinkToFit="1"/>
    </xf>
    <xf numFmtId="0" fontId="2" fillId="9" borderId="2" xfId="2" applyFill="1" applyBorder="1"/>
    <xf numFmtId="0" fontId="6" fillId="9" borderId="2" xfId="2" applyFont="1" applyFill="1" applyBorder="1" applyAlignment="1">
      <alignment horizontal="center" vertical="center" shrinkToFit="1"/>
    </xf>
    <xf numFmtId="0" fontId="6" fillId="9" borderId="2" xfId="2" applyFont="1" applyFill="1" applyBorder="1" applyAlignment="1">
      <alignment horizontal="center" vertical="center"/>
    </xf>
    <xf numFmtId="0" fontId="6" fillId="9" borderId="5" xfId="2" applyFont="1" applyFill="1" applyBorder="1" applyAlignment="1">
      <alignment horizontal="center" vertical="center" shrinkToFit="1"/>
    </xf>
    <xf numFmtId="0" fontId="7" fillId="9" borderId="9" xfId="2" applyFont="1" applyFill="1" applyBorder="1" applyAlignment="1">
      <alignment horizontal="center"/>
    </xf>
    <xf numFmtId="0" fontId="7" fillId="9" borderId="6" xfId="2" applyFont="1" applyFill="1" applyBorder="1" applyAlignment="1">
      <alignment horizontal="center" vertical="center"/>
    </xf>
    <xf numFmtId="0" fontId="7" fillId="9" borderId="5" xfId="2" applyFont="1" applyFill="1" applyBorder="1" applyAlignment="1">
      <alignment horizontal="center"/>
    </xf>
    <xf numFmtId="0" fontId="9" fillId="9" borderId="0" xfId="1" applyFont="1" applyFill="1">
      <alignment vertical="center"/>
    </xf>
    <xf numFmtId="0" fontId="0" fillId="9" borderId="0" xfId="0" applyFill="1" applyAlignment="1">
      <alignment vertical="center" shrinkToFit="1"/>
    </xf>
    <xf numFmtId="177" fontId="13" fillId="9" borderId="0" xfId="0" applyNumberFormat="1" applyFont="1" applyFill="1">
      <alignment vertical="center"/>
    </xf>
    <xf numFmtId="56" fontId="0" fillId="9" borderId="0" xfId="0" applyNumberFormat="1" applyFill="1">
      <alignment vertical="center"/>
    </xf>
    <xf numFmtId="0" fontId="18" fillId="9" borderId="4" xfId="2" applyFont="1" applyFill="1" applyBorder="1" applyAlignment="1">
      <alignment horizontal="center" vertical="center"/>
    </xf>
    <xf numFmtId="0" fontId="18" fillId="9" borderId="9" xfId="2" applyFont="1" applyFill="1" applyBorder="1"/>
    <xf numFmtId="0" fontId="18" fillId="9" borderId="5" xfId="2" applyFont="1" applyFill="1" applyBorder="1"/>
    <xf numFmtId="56" fontId="1" fillId="9" borderId="0" xfId="0" applyNumberFormat="1" applyFont="1" applyFill="1" applyAlignment="1">
      <alignment horizontal="left" vertical="center"/>
    </xf>
    <xf numFmtId="0" fontId="18" fillId="0" borderId="9" xfId="2" applyFont="1" applyBorder="1" applyAlignment="1">
      <alignment horizontal="center"/>
    </xf>
    <xf numFmtId="0" fontId="18" fillId="0" borderId="5" xfId="2" applyFont="1" applyBorder="1" applyAlignment="1">
      <alignment horizontal="center"/>
    </xf>
    <xf numFmtId="0" fontId="5" fillId="9" borderId="9" xfId="2" applyFont="1" applyFill="1" applyBorder="1"/>
    <xf numFmtId="0" fontId="5" fillId="9" borderId="5" xfId="2" applyFont="1" applyFill="1" applyBorder="1"/>
    <xf numFmtId="0" fontId="14" fillId="9" borderId="0" xfId="0" applyFont="1" applyFill="1" applyAlignment="1">
      <alignment horizontal="left" vertical="center"/>
    </xf>
    <xf numFmtId="0" fontId="5" fillId="10" borderId="1" xfId="2" applyFont="1" applyFill="1" applyBorder="1" applyAlignment="1">
      <alignment horizontal="center" vertical="center"/>
    </xf>
    <xf numFmtId="0" fontId="2" fillId="10" borderId="4" xfId="2" applyFill="1" applyBorder="1"/>
    <xf numFmtId="0" fontId="2" fillId="10" borderId="5" xfId="2" applyFill="1" applyBorder="1"/>
    <xf numFmtId="0" fontId="2" fillId="10" borderId="13" xfId="2" applyFill="1" applyBorder="1"/>
    <xf numFmtId="0" fontId="7" fillId="10" borderId="1" xfId="2" applyFont="1" applyFill="1" applyBorder="1"/>
    <xf numFmtId="0" fontId="18" fillId="10" borderId="5" xfId="2" applyFont="1" applyFill="1" applyBorder="1"/>
    <xf numFmtId="0" fontId="7" fillId="10" borderId="5" xfId="2" applyFont="1" applyFill="1" applyBorder="1"/>
    <xf numFmtId="0" fontId="5" fillId="10" borderId="5" xfId="2" applyFont="1" applyFill="1" applyBorder="1"/>
    <xf numFmtId="0" fontId="6" fillId="10" borderId="5" xfId="2" applyFont="1" applyFill="1" applyBorder="1"/>
    <xf numFmtId="0" fontId="2" fillId="10" borderId="1" xfId="2" applyFill="1" applyBorder="1"/>
    <xf numFmtId="0" fontId="5" fillId="10" borderId="2" xfId="2" applyFont="1" applyFill="1" applyBorder="1" applyAlignment="1">
      <alignment horizontal="center" vertical="center"/>
    </xf>
    <xf numFmtId="176" fontId="9" fillId="10" borderId="5" xfId="1" applyNumberFormat="1" applyFont="1" applyFill="1" applyBorder="1" applyAlignment="1">
      <alignment horizontal="right" vertical="center"/>
    </xf>
    <xf numFmtId="3" fontId="9" fillId="10" borderId="5" xfId="1" applyNumberFormat="1" applyFont="1" applyFill="1" applyBorder="1" applyAlignment="1">
      <alignment horizontal="right" vertical="center"/>
    </xf>
    <xf numFmtId="176" fontId="9" fillId="10" borderId="7" xfId="1" applyNumberFormat="1" applyFont="1" applyFill="1" applyBorder="1" applyAlignment="1">
      <alignment horizontal="right" vertical="center"/>
    </xf>
    <xf numFmtId="176" fontId="11" fillId="10" borderId="1" xfId="1" applyNumberFormat="1" applyFont="1" applyFill="1" applyBorder="1" applyAlignment="1">
      <alignment horizontal="right" vertical="center"/>
    </xf>
    <xf numFmtId="176" fontId="1" fillId="10" borderId="5" xfId="1" applyNumberFormat="1" applyFill="1" applyBorder="1" applyAlignment="1">
      <alignment horizontal="right" vertical="center"/>
    </xf>
    <xf numFmtId="176" fontId="11" fillId="10" borderId="5" xfId="1" applyNumberFormat="1" applyFont="1" applyFill="1" applyBorder="1" applyAlignment="1">
      <alignment horizontal="right" vertical="center"/>
    </xf>
    <xf numFmtId="176" fontId="14" fillId="10" borderId="5" xfId="1" applyNumberFormat="1" applyFont="1" applyFill="1" applyBorder="1" applyAlignment="1">
      <alignment horizontal="right" vertical="center"/>
    </xf>
    <xf numFmtId="0" fontId="7" fillId="10" borderId="9" xfId="2" applyFont="1" applyFill="1" applyBorder="1" applyAlignment="1">
      <alignment horizontal="right"/>
    </xf>
    <xf numFmtId="0" fontId="7" fillId="10" borderId="4" xfId="2" applyFont="1" applyFill="1" applyBorder="1"/>
    <xf numFmtId="0" fontId="13" fillId="10" borderId="5" xfId="1" applyFont="1" applyFill="1" applyBorder="1" applyAlignment="1">
      <alignment horizontal="right" vertical="center"/>
    </xf>
    <xf numFmtId="0" fontId="2" fillId="10" borderId="9" xfId="2" applyFill="1" applyBorder="1"/>
    <xf numFmtId="0" fontId="2" fillId="10" borderId="16" xfId="2" applyFill="1" applyBorder="1"/>
    <xf numFmtId="0" fontId="2" fillId="10" borderId="17" xfId="2" applyFill="1" applyBorder="1"/>
    <xf numFmtId="0" fontId="7" fillId="10" borderId="2" xfId="2" applyFont="1" applyFill="1" applyBorder="1"/>
    <xf numFmtId="0" fontId="2" fillId="10" borderId="2" xfId="2" applyFill="1" applyBorder="1"/>
    <xf numFmtId="179" fontId="9" fillId="10" borderId="5" xfId="1" applyNumberFormat="1" applyFont="1" applyFill="1" applyBorder="1">
      <alignment vertical="center"/>
    </xf>
    <xf numFmtId="176" fontId="9" fillId="10" borderId="5" xfId="1" applyNumberFormat="1" applyFont="1" applyFill="1" applyBorder="1">
      <alignment vertical="center"/>
    </xf>
    <xf numFmtId="179" fontId="9" fillId="10" borderId="7" xfId="1" applyNumberFormat="1" applyFont="1" applyFill="1" applyBorder="1">
      <alignment vertical="center"/>
    </xf>
    <xf numFmtId="179" fontId="11" fillId="10" borderId="1" xfId="1" applyNumberFormat="1" applyFont="1" applyFill="1" applyBorder="1">
      <alignment vertical="center"/>
    </xf>
    <xf numFmtId="179" fontId="9" fillId="10" borderId="1" xfId="1" applyNumberFormat="1" applyFont="1" applyFill="1" applyBorder="1">
      <alignment vertical="center"/>
    </xf>
    <xf numFmtId="179" fontId="11" fillId="10" borderId="5" xfId="1" applyNumberFormat="1" applyFont="1" applyFill="1" applyBorder="1">
      <alignment vertical="center"/>
    </xf>
    <xf numFmtId="0" fontId="5" fillId="9" borderId="4" xfId="2" applyFont="1" applyFill="1" applyBorder="1" applyAlignment="1">
      <alignment horizontal="center" vertical="center"/>
    </xf>
    <xf numFmtId="179" fontId="9" fillId="10" borderId="5" xfId="1" applyNumberFormat="1" applyFont="1" applyFill="1" applyBorder="1" applyAlignment="1">
      <alignment horizontal="right" vertical="center"/>
    </xf>
    <xf numFmtId="0" fontId="2" fillId="2" borderId="20" xfId="2" applyFill="1" applyBorder="1"/>
    <xf numFmtId="179" fontId="9" fillId="0" borderId="14" xfId="1" applyNumberFormat="1" applyFont="1" applyBorder="1">
      <alignment vertical="center"/>
    </xf>
    <xf numFmtId="0" fontId="14" fillId="10" borderId="5" xfId="1" applyFont="1" applyFill="1" applyBorder="1" applyAlignment="1">
      <alignment horizontal="right" vertical="center"/>
    </xf>
    <xf numFmtId="0" fontId="7" fillId="9" borderId="9" xfId="2" applyFont="1" applyFill="1" applyBorder="1" applyAlignment="1">
      <alignment horizontal="center" vertical="center"/>
    </xf>
    <xf numFmtId="0" fontId="2" fillId="0" borderId="16" xfId="2" applyBorder="1" applyAlignment="1">
      <alignment horizontal="center"/>
    </xf>
    <xf numFmtId="0" fontId="2" fillId="0" borderId="4" xfId="2" applyBorder="1" applyAlignment="1">
      <alignment horizontal="center"/>
    </xf>
    <xf numFmtId="176" fontId="13" fillId="10" borderId="5" xfId="1" applyNumberFormat="1" applyFont="1" applyFill="1" applyBorder="1" applyAlignment="1">
      <alignment horizontal="right" vertical="center"/>
    </xf>
    <xf numFmtId="0" fontId="5" fillId="3" borderId="5" xfId="2" applyFont="1" applyFill="1" applyBorder="1"/>
    <xf numFmtId="0" fontId="18" fillId="0" borderId="6" xfId="2" applyFont="1" applyBorder="1" applyAlignment="1">
      <alignment horizontal="center"/>
    </xf>
    <xf numFmtId="178" fontId="13" fillId="10" borderId="5" xfId="1" applyNumberFormat="1" applyFont="1" applyFill="1" applyBorder="1" applyAlignment="1">
      <alignment horizontal="right" vertical="center"/>
    </xf>
    <xf numFmtId="178" fontId="9" fillId="0" borderId="7" xfId="1" applyNumberFormat="1" applyFont="1" applyBorder="1">
      <alignment vertical="center"/>
    </xf>
    <xf numFmtId="0" fontId="9" fillId="10" borderId="5" xfId="1" applyFont="1" applyFill="1" applyBorder="1" applyAlignment="1">
      <alignment horizontal="right" vertical="center"/>
    </xf>
    <xf numFmtId="0" fontId="17" fillId="9" borderId="5" xfId="2" applyFont="1" applyFill="1" applyBorder="1" applyAlignment="1">
      <alignment horizontal="center" vertical="center"/>
    </xf>
    <xf numFmtId="0" fontId="18" fillId="9" borderId="6" xfId="2" applyFont="1" applyFill="1" applyBorder="1" applyAlignment="1">
      <alignment horizontal="center" vertical="center"/>
    </xf>
    <xf numFmtId="0" fontId="18" fillId="9" borderId="5" xfId="2" applyFont="1" applyFill="1" applyBorder="1" applyAlignment="1">
      <alignment horizontal="center" vertical="center"/>
    </xf>
    <xf numFmtId="0" fontId="18" fillId="10" borderId="4" xfId="2" applyFont="1" applyFill="1" applyBorder="1"/>
    <xf numFmtId="0" fontId="18" fillId="9" borderId="9" xfId="2" applyFont="1" applyFill="1" applyBorder="1" applyAlignment="1">
      <alignment horizontal="center"/>
    </xf>
    <xf numFmtId="0" fontId="18" fillId="9" borderId="5" xfId="2" applyFont="1" applyFill="1" applyBorder="1" applyAlignment="1">
      <alignment horizontal="center"/>
    </xf>
    <xf numFmtId="56" fontId="1" fillId="9" borderId="0" xfId="0" applyNumberFormat="1" applyFont="1" applyFill="1">
      <alignment vertical="center"/>
    </xf>
    <xf numFmtId="0" fontId="2" fillId="9" borderId="4" xfId="2" applyFill="1" applyBorder="1" applyAlignment="1">
      <alignment horizontal="center" vertical="center" shrinkToFit="1"/>
    </xf>
    <xf numFmtId="0" fontId="20" fillId="0" borderId="0" xfId="0" applyFont="1" applyAlignment="1">
      <alignment horizontal="left" vertical="center"/>
    </xf>
    <xf numFmtId="56" fontId="11" fillId="9" borderId="0" xfId="0" applyNumberFormat="1" applyFont="1" applyFill="1" applyAlignment="1">
      <alignment horizontal="left" vertical="center"/>
    </xf>
    <xf numFmtId="179" fontId="14" fillId="10" borderId="5" xfId="1" applyNumberFormat="1" applyFont="1" applyFill="1" applyBorder="1" applyAlignment="1">
      <alignment horizontal="right" vertical="center"/>
    </xf>
    <xf numFmtId="0" fontId="18" fillId="9" borderId="9" xfId="2" applyFont="1" applyFill="1" applyBorder="1" applyAlignment="1">
      <alignment horizontal="center" vertical="center"/>
    </xf>
    <xf numFmtId="0" fontId="1" fillId="10" borderId="18" xfId="1" applyFill="1" applyBorder="1" applyAlignment="1">
      <alignment horizontal="center" vertical="center"/>
    </xf>
    <xf numFmtId="0" fontId="1" fillId="10" borderId="19" xfId="1" applyFill="1" applyBorder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178" fontId="14" fillId="10" borderId="5" xfId="1" applyNumberFormat="1" applyFont="1" applyFill="1" applyBorder="1" applyAlignment="1">
      <alignment horizontal="right" vertical="center"/>
    </xf>
    <xf numFmtId="178" fontId="9" fillId="10" borderId="5" xfId="1" applyNumberFormat="1" applyFont="1" applyFill="1" applyBorder="1" applyAlignment="1">
      <alignment horizontal="right" vertical="center"/>
    </xf>
    <xf numFmtId="0" fontId="6" fillId="2" borderId="4" xfId="2" applyFont="1" applyFill="1" applyBorder="1"/>
    <xf numFmtId="0" fontId="5" fillId="7" borderId="0" xfId="2" applyFont="1" applyFill="1" applyAlignment="1">
      <alignment horizontal="right"/>
    </xf>
    <xf numFmtId="177" fontId="5" fillId="7" borderId="0" xfId="2" applyNumberFormat="1" applyFont="1" applyFill="1"/>
    <xf numFmtId="0" fontId="15" fillId="7" borderId="0" xfId="0" applyFont="1" applyFill="1">
      <alignment vertical="center"/>
    </xf>
    <xf numFmtId="177" fontId="15" fillId="7" borderId="0" xfId="0" applyNumberFormat="1" applyFont="1" applyFill="1">
      <alignment vertical="center"/>
    </xf>
    <xf numFmtId="0" fontId="15" fillId="7" borderId="0" xfId="1" applyFont="1" applyFill="1">
      <alignment vertical="center"/>
    </xf>
    <xf numFmtId="6" fontId="15" fillId="7" borderId="0" xfId="1" applyNumberFormat="1" applyFont="1" applyFill="1">
      <alignment vertical="center"/>
    </xf>
    <xf numFmtId="0" fontId="15" fillId="0" borderId="0" xfId="1" applyFont="1">
      <alignment vertical="center"/>
    </xf>
    <xf numFmtId="177" fontId="15" fillId="0" borderId="0" xfId="1" applyNumberFormat="1" applyFont="1">
      <alignment vertical="center"/>
    </xf>
    <xf numFmtId="177" fontId="11" fillId="0" borderId="0" xfId="0" applyNumberFormat="1" applyFont="1">
      <alignment vertical="center"/>
    </xf>
    <xf numFmtId="177" fontId="0" fillId="9" borderId="0" xfId="0" applyNumberFormat="1" applyFill="1">
      <alignment vertical="center"/>
    </xf>
    <xf numFmtId="177" fontId="2" fillId="9" borderId="0" xfId="2" applyNumberFormat="1" applyFill="1"/>
    <xf numFmtId="177" fontId="1" fillId="9" borderId="0" xfId="1" applyNumberFormat="1" applyFill="1">
      <alignment vertical="center"/>
    </xf>
    <xf numFmtId="0" fontId="12" fillId="9" borderId="0" xfId="0" applyFont="1" applyFill="1">
      <alignment vertical="center"/>
    </xf>
    <xf numFmtId="177" fontId="12" fillId="9" borderId="0" xfId="0" applyNumberFormat="1" applyFont="1" applyFill="1">
      <alignment vertical="center"/>
    </xf>
    <xf numFmtId="0" fontId="13" fillId="9" borderId="0" xfId="0" applyFont="1" applyFill="1">
      <alignment vertical="center"/>
    </xf>
    <xf numFmtId="0" fontId="12" fillId="9" borderId="0" xfId="0" applyFont="1" applyFill="1" applyAlignment="1">
      <alignment horizontal="right" vertical="center"/>
    </xf>
    <xf numFmtId="0" fontId="13" fillId="9" borderId="0" xfId="0" applyFont="1" applyFill="1" applyAlignment="1">
      <alignment horizontal="right" vertical="center"/>
    </xf>
    <xf numFmtId="0" fontId="7" fillId="0" borderId="8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176" fontId="11" fillId="0" borderId="4" xfId="1" applyNumberFormat="1" applyFont="1" applyBorder="1" applyAlignment="1">
      <alignment horizontal="right" vertical="center"/>
    </xf>
    <xf numFmtId="0" fontId="2" fillId="0" borderId="9" xfId="2" applyBorder="1" applyAlignment="1">
      <alignment wrapText="1"/>
    </xf>
    <xf numFmtId="56" fontId="12" fillId="0" borderId="0" xfId="0" applyNumberFormat="1" applyFont="1" applyAlignment="1">
      <alignment horizontal="left" vertical="center"/>
    </xf>
    <xf numFmtId="179" fontId="13" fillId="10" borderId="5" xfId="1" applyNumberFormat="1" applyFont="1" applyFill="1" applyBorder="1" applyAlignment="1">
      <alignment horizontal="right" vertical="center"/>
    </xf>
    <xf numFmtId="0" fontId="11" fillId="10" borderId="5" xfId="1" applyFont="1" applyFill="1" applyBorder="1" applyAlignment="1">
      <alignment horizontal="right" vertical="center"/>
    </xf>
    <xf numFmtId="56" fontId="11" fillId="9" borderId="0" xfId="0" applyNumberFormat="1" applyFont="1" applyFill="1">
      <alignment vertical="center"/>
    </xf>
    <xf numFmtId="0" fontId="18" fillId="2" borderId="9" xfId="2" applyFont="1" applyFill="1" applyBorder="1"/>
    <xf numFmtId="0" fontId="7" fillId="0" borderId="4" xfId="2" applyFont="1" applyBorder="1" applyAlignment="1">
      <alignment horizontal="center" vertical="center" shrinkToFit="1"/>
    </xf>
    <xf numFmtId="0" fontId="7" fillId="2" borderId="9" xfId="2" applyFont="1" applyFill="1" applyBorder="1"/>
    <xf numFmtId="56" fontId="11" fillId="0" borderId="0" xfId="0" applyNumberFormat="1" applyFont="1">
      <alignment vertical="center"/>
    </xf>
    <xf numFmtId="0" fontId="5" fillId="4" borderId="2" xfId="2" applyFont="1" applyFill="1" applyBorder="1" applyAlignment="1">
      <alignment horizontal="center"/>
    </xf>
    <xf numFmtId="0" fontId="5" fillId="4" borderId="12" xfId="2" applyFont="1" applyFill="1" applyBorder="1" applyAlignment="1">
      <alignment horizontal="center"/>
    </xf>
    <xf numFmtId="0" fontId="5" fillId="4" borderId="3" xfId="2" applyFont="1" applyFill="1" applyBorder="1" applyAlignment="1">
      <alignment horizontal="center"/>
    </xf>
    <xf numFmtId="0" fontId="5" fillId="5" borderId="2" xfId="2" applyFont="1" applyFill="1" applyBorder="1" applyAlignment="1">
      <alignment horizontal="center"/>
    </xf>
    <xf numFmtId="0" fontId="5" fillId="5" borderId="12" xfId="2" applyFont="1" applyFill="1" applyBorder="1" applyAlignment="1">
      <alignment horizontal="center"/>
    </xf>
    <xf numFmtId="0" fontId="5" fillId="5" borderId="3" xfId="2" applyFont="1" applyFill="1" applyBorder="1" applyAlignment="1">
      <alignment horizontal="center"/>
    </xf>
    <xf numFmtId="0" fontId="5" fillId="6" borderId="2" xfId="2" applyFont="1" applyFill="1" applyBorder="1" applyAlignment="1">
      <alignment horizontal="center"/>
    </xf>
    <xf numFmtId="0" fontId="5" fillId="6" borderId="12" xfId="2" applyFont="1" applyFill="1" applyBorder="1" applyAlignment="1">
      <alignment horizontal="center"/>
    </xf>
    <xf numFmtId="0" fontId="5" fillId="6" borderId="3" xfId="2" applyFont="1" applyFill="1" applyBorder="1" applyAlignment="1">
      <alignment horizont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179" fontId="1" fillId="0" borderId="18" xfId="1" applyNumberFormat="1" applyBorder="1" applyAlignment="1">
      <alignment horizontal="center" vertical="center"/>
    </xf>
    <xf numFmtId="179" fontId="1" fillId="0" borderId="19" xfId="1" applyNumberFormat="1" applyBorder="1" applyAlignment="1">
      <alignment horizontal="center" vertical="center"/>
    </xf>
    <xf numFmtId="0" fontId="19" fillId="9" borderId="2" xfId="2" applyFont="1" applyFill="1" applyBorder="1" applyAlignment="1">
      <alignment horizontal="center"/>
    </xf>
    <xf numFmtId="0" fontId="19" fillId="9" borderId="12" xfId="2" applyFont="1" applyFill="1" applyBorder="1" applyAlignment="1">
      <alignment horizontal="center"/>
    </xf>
    <xf numFmtId="0" fontId="19" fillId="9" borderId="3" xfId="2" applyFont="1" applyFill="1" applyBorder="1" applyAlignment="1">
      <alignment horizontal="center"/>
    </xf>
    <xf numFmtId="179" fontId="1" fillId="10" borderId="18" xfId="1" applyNumberFormat="1" applyFill="1" applyBorder="1" applyAlignment="1">
      <alignment horizontal="center" vertical="center"/>
    </xf>
    <xf numFmtId="179" fontId="1" fillId="10" borderId="19" xfId="1" applyNumberFormat="1" applyFill="1" applyBorder="1" applyAlignment="1">
      <alignment horizontal="center" vertical="center"/>
    </xf>
    <xf numFmtId="0" fontId="1" fillId="10" borderId="18" xfId="1" applyFill="1" applyBorder="1" applyAlignment="1">
      <alignment horizontal="center" vertical="center"/>
    </xf>
    <xf numFmtId="0" fontId="1" fillId="10" borderId="19" xfId="1" applyFill="1" applyBorder="1" applyAlignment="1">
      <alignment horizontal="center" vertic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AH2278"/>
  <sheetViews>
    <sheetView tabSelected="1" topLeftCell="A1924" zoomScaleNormal="100" workbookViewId="0">
      <selection activeCell="C1945" sqref="C1945"/>
    </sheetView>
  </sheetViews>
  <sheetFormatPr defaultRowHeight="13.5" x14ac:dyDescent="0.15"/>
  <cols>
    <col min="1" max="1" width="39.875" style="107" customWidth="1"/>
    <col min="2" max="4" width="7.75" customWidth="1"/>
    <col min="5" max="5" width="9" customWidth="1"/>
    <col min="6" max="8" width="7.75" customWidth="1"/>
    <col min="9" max="9" width="9" customWidth="1"/>
    <col min="10" max="12" width="7.75" customWidth="1"/>
    <col min="13" max="13" width="9" customWidth="1"/>
    <col min="14" max="14" width="10.25" style="136" customWidth="1"/>
    <col min="15" max="15" width="10.25" customWidth="1"/>
    <col min="16" max="16" width="60.125" customWidth="1"/>
    <col min="17" max="19" width="7.75" customWidth="1"/>
    <col min="20" max="20" width="9" customWidth="1"/>
    <col min="21" max="23" width="7.75" customWidth="1"/>
    <col min="25" max="27" width="7.75" customWidth="1"/>
    <col min="28" max="28" width="9" customWidth="1"/>
    <col min="29" max="29" width="9" style="85"/>
    <col min="30" max="30" width="9.5" style="118" customWidth="1"/>
  </cols>
  <sheetData>
    <row r="1" spans="1:30" ht="21.75" customHeight="1" x14ac:dyDescent="0.15">
      <c r="A1" s="99"/>
      <c r="P1" s="30"/>
    </row>
    <row r="2" spans="1:30" ht="19.5" thickBot="1" x14ac:dyDescent="0.25">
      <c r="A2" s="108" t="s">
        <v>264</v>
      </c>
      <c r="B2" s="47"/>
      <c r="C2" s="47"/>
      <c r="D2" s="47"/>
      <c r="E2" s="47"/>
      <c r="F2" s="48"/>
      <c r="G2" s="48"/>
      <c r="H2" s="48"/>
      <c r="I2" s="48"/>
      <c r="J2" s="48"/>
      <c r="K2" s="48"/>
      <c r="L2" s="1"/>
      <c r="M2" s="1"/>
      <c r="N2" s="137"/>
      <c r="O2" s="1"/>
      <c r="P2" s="43" t="s">
        <v>29</v>
      </c>
      <c r="Q2" s="44"/>
      <c r="R2" s="44"/>
      <c r="S2" s="44"/>
      <c r="T2" s="44"/>
      <c r="U2" s="45"/>
      <c r="V2" s="45"/>
      <c r="W2" s="45"/>
      <c r="X2" s="45"/>
      <c r="Y2" s="46"/>
      <c r="Z2" s="53"/>
      <c r="AA2" s="1"/>
      <c r="AB2" s="1"/>
    </row>
    <row r="3" spans="1:30" ht="14.25" thickBot="1" x14ac:dyDescent="0.2">
      <c r="A3" s="100" t="s">
        <v>0</v>
      </c>
      <c r="B3" s="337" t="s">
        <v>11</v>
      </c>
      <c r="C3" s="337"/>
      <c r="D3" s="337"/>
      <c r="E3" s="338"/>
      <c r="F3" s="339" t="s">
        <v>9</v>
      </c>
      <c r="G3" s="340"/>
      <c r="H3" s="340"/>
      <c r="I3" s="341"/>
      <c r="J3" s="342" t="s">
        <v>12</v>
      </c>
      <c r="K3" s="343"/>
      <c r="L3" s="343"/>
      <c r="M3" s="343"/>
      <c r="N3" s="347" t="s">
        <v>13</v>
      </c>
      <c r="O3" s="1"/>
      <c r="P3" s="2" t="s">
        <v>0</v>
      </c>
      <c r="Q3" s="337" t="s">
        <v>11</v>
      </c>
      <c r="R3" s="337"/>
      <c r="S3" s="337"/>
      <c r="T3" s="338"/>
      <c r="U3" s="339" t="s">
        <v>9</v>
      </c>
      <c r="V3" s="340"/>
      <c r="W3" s="340"/>
      <c r="X3" s="341"/>
      <c r="Y3" s="342" t="s">
        <v>12</v>
      </c>
      <c r="Z3" s="343"/>
      <c r="AA3" s="343"/>
      <c r="AB3" s="343"/>
      <c r="AC3" s="345" t="s">
        <v>13</v>
      </c>
    </row>
    <row r="4" spans="1:30" ht="14.25" thickBot="1" x14ac:dyDescent="0.2">
      <c r="A4" s="100" t="s">
        <v>1</v>
      </c>
      <c r="B4" s="3" t="s">
        <v>7</v>
      </c>
      <c r="C4" s="2" t="s">
        <v>10</v>
      </c>
      <c r="D4" s="2" t="s">
        <v>8</v>
      </c>
      <c r="E4" s="2" t="s">
        <v>2</v>
      </c>
      <c r="F4" s="3" t="s">
        <v>7</v>
      </c>
      <c r="G4" s="2" t="s">
        <v>10</v>
      </c>
      <c r="H4" s="2" t="s">
        <v>8</v>
      </c>
      <c r="I4" s="2" t="s">
        <v>2</v>
      </c>
      <c r="J4" s="3" t="s">
        <v>7</v>
      </c>
      <c r="K4" s="2" t="s">
        <v>10</v>
      </c>
      <c r="L4" s="2" t="s">
        <v>8</v>
      </c>
      <c r="M4" s="3" t="s">
        <v>2</v>
      </c>
      <c r="N4" s="348"/>
      <c r="O4" s="1"/>
      <c r="P4" s="2" t="s">
        <v>1</v>
      </c>
      <c r="Q4" s="3" t="s">
        <v>7</v>
      </c>
      <c r="R4" s="2" t="s">
        <v>10</v>
      </c>
      <c r="S4" s="2" t="s">
        <v>8</v>
      </c>
      <c r="T4" s="2" t="s">
        <v>2</v>
      </c>
      <c r="U4" s="3" t="s">
        <v>7</v>
      </c>
      <c r="V4" s="2" t="s">
        <v>10</v>
      </c>
      <c r="W4" s="2" t="s">
        <v>8</v>
      </c>
      <c r="X4" s="2" t="s">
        <v>2</v>
      </c>
      <c r="Y4" s="3" t="s">
        <v>7</v>
      </c>
      <c r="Z4" s="2" t="s">
        <v>10</v>
      </c>
      <c r="AA4" s="2" t="s">
        <v>8</v>
      </c>
      <c r="AB4" s="2" t="s">
        <v>2</v>
      </c>
      <c r="AC4" s="346"/>
    </row>
    <row r="5" spans="1:30" x14ac:dyDescent="0.15">
      <c r="A5" s="101" t="s">
        <v>3</v>
      </c>
      <c r="B5" s="25">
        <v>15</v>
      </c>
      <c r="C5" s="26">
        <v>15</v>
      </c>
      <c r="D5" s="26">
        <v>10</v>
      </c>
      <c r="E5" s="5">
        <f t="shared" ref="E5:E41" si="0">SUM(B5:D5)</f>
        <v>40</v>
      </c>
      <c r="F5" s="25">
        <v>15</v>
      </c>
      <c r="G5" s="26">
        <v>15</v>
      </c>
      <c r="H5" s="26">
        <v>10</v>
      </c>
      <c r="I5" s="5">
        <f t="shared" ref="I5:I41" si="1">SUM(F5:H5)</f>
        <v>40</v>
      </c>
      <c r="J5" s="25">
        <v>15</v>
      </c>
      <c r="K5" s="26">
        <v>15</v>
      </c>
      <c r="L5" s="26">
        <v>10</v>
      </c>
      <c r="M5" s="38">
        <f t="shared" ref="M5:M41" si="2">SUM(J5:L5)</f>
        <v>40</v>
      </c>
      <c r="N5" s="138">
        <f>E5+I5+M5</f>
        <v>120</v>
      </c>
      <c r="O5" s="24">
        <v>45244</v>
      </c>
      <c r="P5" s="6" t="s">
        <v>14</v>
      </c>
      <c r="Q5" s="62">
        <v>700</v>
      </c>
      <c r="R5" s="4">
        <v>800</v>
      </c>
      <c r="S5" s="4">
        <v>500</v>
      </c>
      <c r="T5" s="5">
        <f t="shared" ref="T5:T41" si="3">SUM(Q5:S5)</f>
        <v>2000</v>
      </c>
      <c r="U5" s="62">
        <v>700</v>
      </c>
      <c r="V5" s="4">
        <v>800</v>
      </c>
      <c r="W5" s="4">
        <v>500</v>
      </c>
      <c r="X5" s="5">
        <f t="shared" ref="X5:X41" si="4">SUM(U5:W5)</f>
        <v>2000</v>
      </c>
      <c r="Y5" s="25">
        <v>700</v>
      </c>
      <c r="Z5" s="26">
        <v>800</v>
      </c>
      <c r="AA5" s="26">
        <v>500</v>
      </c>
      <c r="AB5" s="5">
        <f t="shared" ref="AB5:AB41" si="5">SUM(Y5:AA5)</f>
        <v>2000</v>
      </c>
      <c r="AC5" s="86">
        <f>T5+X5+AB5</f>
        <v>6000</v>
      </c>
      <c r="AD5" s="109" t="s">
        <v>33</v>
      </c>
    </row>
    <row r="6" spans="1:30" s="58" customFormat="1" x14ac:dyDescent="0.15">
      <c r="A6" s="102" t="s">
        <v>3</v>
      </c>
      <c r="B6" s="25">
        <v>15</v>
      </c>
      <c r="C6" s="26">
        <v>15</v>
      </c>
      <c r="D6" s="26">
        <v>15</v>
      </c>
      <c r="E6" s="5">
        <f t="shared" si="0"/>
        <v>45</v>
      </c>
      <c r="F6" s="25">
        <v>15</v>
      </c>
      <c r="G6" s="26">
        <v>15</v>
      </c>
      <c r="H6" s="26">
        <v>15</v>
      </c>
      <c r="I6" s="5">
        <f t="shared" si="1"/>
        <v>45</v>
      </c>
      <c r="J6" s="25">
        <v>15</v>
      </c>
      <c r="K6" s="26">
        <v>15</v>
      </c>
      <c r="L6" s="26">
        <v>15</v>
      </c>
      <c r="M6" s="38">
        <f t="shared" si="2"/>
        <v>45</v>
      </c>
      <c r="N6" s="138">
        <f t="shared" ref="N6:N42" si="6">E6+I6+M6</f>
        <v>135</v>
      </c>
      <c r="O6" s="24">
        <v>45268</v>
      </c>
      <c r="P6" s="6" t="s">
        <v>3</v>
      </c>
      <c r="Q6" s="14"/>
      <c r="R6" s="11"/>
      <c r="S6" s="11"/>
      <c r="T6" s="5">
        <f t="shared" si="3"/>
        <v>0</v>
      </c>
      <c r="U6" s="14"/>
      <c r="V6" s="11"/>
      <c r="W6" s="11"/>
      <c r="X6" s="5">
        <f t="shared" si="4"/>
        <v>0</v>
      </c>
      <c r="Y6" s="25"/>
      <c r="Z6" s="26"/>
      <c r="AA6" s="26"/>
      <c r="AB6" s="5">
        <f t="shared" si="5"/>
        <v>0</v>
      </c>
      <c r="AC6" s="86">
        <f t="shared" ref="AC6:AC42" si="7">T6+X6+AB6</f>
        <v>0</v>
      </c>
      <c r="AD6" s="116"/>
    </row>
    <row r="7" spans="1:30" s="58" customFormat="1" x14ac:dyDescent="0.15">
      <c r="A7" s="102" t="s">
        <v>3</v>
      </c>
      <c r="B7" s="14">
        <v>10</v>
      </c>
      <c r="C7" s="11">
        <v>15</v>
      </c>
      <c r="D7" s="11">
        <v>5</v>
      </c>
      <c r="E7" s="5">
        <f t="shared" si="0"/>
        <v>30</v>
      </c>
      <c r="F7" s="34">
        <v>10</v>
      </c>
      <c r="G7" s="11">
        <v>15</v>
      </c>
      <c r="H7" s="11">
        <v>5</v>
      </c>
      <c r="I7" s="5">
        <f t="shared" si="1"/>
        <v>30</v>
      </c>
      <c r="J7" s="34">
        <v>10</v>
      </c>
      <c r="K7" s="11">
        <v>15</v>
      </c>
      <c r="L7" s="11">
        <v>5</v>
      </c>
      <c r="M7" s="38">
        <f t="shared" si="2"/>
        <v>30</v>
      </c>
      <c r="N7" s="138">
        <f t="shared" si="6"/>
        <v>90</v>
      </c>
      <c r="O7" s="21">
        <v>45276</v>
      </c>
      <c r="P7" s="6" t="s">
        <v>3</v>
      </c>
      <c r="Q7" s="25"/>
      <c r="R7" s="26"/>
      <c r="S7" s="26"/>
      <c r="T7" s="8">
        <f t="shared" si="3"/>
        <v>0</v>
      </c>
      <c r="U7" s="25"/>
      <c r="V7" s="26"/>
      <c r="W7" s="26"/>
      <c r="X7" s="8">
        <f t="shared" si="4"/>
        <v>0</v>
      </c>
      <c r="Y7" s="34"/>
      <c r="Z7" s="11"/>
      <c r="AA7" s="11"/>
      <c r="AB7" s="5">
        <f t="shared" si="5"/>
        <v>0</v>
      </c>
      <c r="AC7" s="86">
        <f t="shared" si="7"/>
        <v>0</v>
      </c>
      <c r="AD7" s="116"/>
    </row>
    <row r="8" spans="1:30" s="58" customFormat="1" x14ac:dyDescent="0.15">
      <c r="A8" s="102" t="s">
        <v>3</v>
      </c>
      <c r="B8" s="14">
        <v>10</v>
      </c>
      <c r="C8" s="11">
        <v>5</v>
      </c>
      <c r="D8" s="11"/>
      <c r="E8" s="5">
        <f t="shared" si="0"/>
        <v>15</v>
      </c>
      <c r="F8" s="34">
        <v>10</v>
      </c>
      <c r="G8" s="11">
        <v>5</v>
      </c>
      <c r="H8" s="11"/>
      <c r="I8" s="5">
        <f t="shared" si="1"/>
        <v>15</v>
      </c>
      <c r="J8" s="34">
        <v>10</v>
      </c>
      <c r="K8" s="11">
        <v>5</v>
      </c>
      <c r="L8" s="11"/>
      <c r="M8" s="38">
        <f t="shared" si="2"/>
        <v>15</v>
      </c>
      <c r="N8" s="138">
        <f t="shared" si="6"/>
        <v>45</v>
      </c>
      <c r="O8" s="21">
        <v>45285</v>
      </c>
      <c r="P8" s="6" t="s">
        <v>3</v>
      </c>
      <c r="Q8" s="14"/>
      <c r="R8" s="11"/>
      <c r="S8" s="11"/>
      <c r="T8" s="5">
        <f t="shared" si="3"/>
        <v>0</v>
      </c>
      <c r="U8" s="14"/>
      <c r="V8" s="11"/>
      <c r="W8" s="11"/>
      <c r="X8" s="5">
        <f t="shared" si="4"/>
        <v>0</v>
      </c>
      <c r="Y8" s="34"/>
      <c r="Z8" s="11"/>
      <c r="AA8" s="11"/>
      <c r="AB8" s="5">
        <f t="shared" si="5"/>
        <v>0</v>
      </c>
      <c r="AC8" s="86">
        <f t="shared" si="7"/>
        <v>0</v>
      </c>
      <c r="AD8" s="116"/>
    </row>
    <row r="9" spans="1:30" s="58" customFormat="1" x14ac:dyDescent="0.15">
      <c r="A9" s="102" t="s">
        <v>57</v>
      </c>
      <c r="B9" s="14"/>
      <c r="C9" s="11"/>
      <c r="D9" s="11">
        <v>1</v>
      </c>
      <c r="E9" s="5">
        <f t="shared" si="0"/>
        <v>1</v>
      </c>
      <c r="F9" s="34"/>
      <c r="G9" s="11"/>
      <c r="H9" s="11">
        <v>1</v>
      </c>
      <c r="I9" s="5">
        <f t="shared" si="1"/>
        <v>1</v>
      </c>
      <c r="J9" s="34"/>
      <c r="K9" s="11"/>
      <c r="L9" s="11">
        <v>1</v>
      </c>
      <c r="M9" s="38">
        <f t="shared" si="2"/>
        <v>1</v>
      </c>
      <c r="N9" s="138">
        <f t="shared" si="6"/>
        <v>3</v>
      </c>
      <c r="O9" s="21">
        <v>45286</v>
      </c>
      <c r="P9" s="6" t="s">
        <v>3</v>
      </c>
      <c r="Q9" s="14"/>
      <c r="R9" s="11"/>
      <c r="S9" s="11"/>
      <c r="T9" s="5">
        <f t="shared" si="3"/>
        <v>0</v>
      </c>
      <c r="U9" s="14"/>
      <c r="V9" s="11"/>
      <c r="W9" s="11"/>
      <c r="X9" s="5">
        <f t="shared" si="4"/>
        <v>0</v>
      </c>
      <c r="Y9" s="34"/>
      <c r="Z9" s="11"/>
      <c r="AA9" s="11"/>
      <c r="AB9" s="5">
        <f t="shared" si="5"/>
        <v>0</v>
      </c>
      <c r="AC9" s="86">
        <f t="shared" si="7"/>
        <v>0</v>
      </c>
      <c r="AD9" s="116"/>
    </row>
    <row r="10" spans="1:30" s="58" customFormat="1" x14ac:dyDescent="0.15">
      <c r="A10" s="102" t="s">
        <v>3</v>
      </c>
      <c r="B10" s="14"/>
      <c r="C10" s="11"/>
      <c r="D10" s="11"/>
      <c r="E10" s="5">
        <f t="shared" si="0"/>
        <v>0</v>
      </c>
      <c r="F10" s="34"/>
      <c r="G10" s="11"/>
      <c r="H10" s="11"/>
      <c r="I10" s="5">
        <f t="shared" si="1"/>
        <v>0</v>
      </c>
      <c r="J10" s="34"/>
      <c r="K10" s="11"/>
      <c r="L10" s="11"/>
      <c r="M10" s="38">
        <f t="shared" si="2"/>
        <v>0</v>
      </c>
      <c r="N10" s="138">
        <f t="shared" si="6"/>
        <v>0</v>
      </c>
      <c r="O10" s="21"/>
      <c r="P10" s="6" t="s">
        <v>3</v>
      </c>
      <c r="Q10" s="14"/>
      <c r="R10" s="11"/>
      <c r="S10" s="11"/>
      <c r="T10" s="5">
        <f t="shared" si="3"/>
        <v>0</v>
      </c>
      <c r="U10" s="14"/>
      <c r="V10" s="11"/>
      <c r="W10" s="11"/>
      <c r="X10" s="5">
        <f t="shared" si="4"/>
        <v>0</v>
      </c>
      <c r="Y10" s="34"/>
      <c r="Z10" s="11"/>
      <c r="AA10" s="11"/>
      <c r="AB10" s="5">
        <f t="shared" si="5"/>
        <v>0</v>
      </c>
      <c r="AC10" s="86">
        <f t="shared" si="7"/>
        <v>0</v>
      </c>
      <c r="AD10" s="116"/>
    </row>
    <row r="11" spans="1:30" s="58" customFormat="1" x14ac:dyDescent="0.15">
      <c r="A11" s="102" t="s">
        <v>3</v>
      </c>
      <c r="B11" s="25"/>
      <c r="C11" s="26"/>
      <c r="D11" s="26"/>
      <c r="E11" s="8">
        <f t="shared" si="0"/>
        <v>0</v>
      </c>
      <c r="F11" s="25"/>
      <c r="G11" s="26"/>
      <c r="H11" s="26"/>
      <c r="I11" s="8">
        <f t="shared" si="1"/>
        <v>0</v>
      </c>
      <c r="J11" s="25"/>
      <c r="K11" s="26"/>
      <c r="L11" s="26"/>
      <c r="M11" s="39">
        <f t="shared" si="2"/>
        <v>0</v>
      </c>
      <c r="N11" s="138">
        <f t="shared" si="6"/>
        <v>0</v>
      </c>
      <c r="O11" s="24"/>
      <c r="P11" s="6" t="s">
        <v>3</v>
      </c>
      <c r="Q11" s="14"/>
      <c r="R11" s="11"/>
      <c r="S11" s="11"/>
      <c r="T11" s="5">
        <f t="shared" si="3"/>
        <v>0</v>
      </c>
      <c r="U11" s="14"/>
      <c r="V11" s="11"/>
      <c r="W11" s="11"/>
      <c r="X11" s="5">
        <f t="shared" si="4"/>
        <v>0</v>
      </c>
      <c r="Y11" s="25"/>
      <c r="Z11" s="26"/>
      <c r="AA11" s="26"/>
      <c r="AB11" s="8">
        <f t="shared" si="5"/>
        <v>0</v>
      </c>
      <c r="AC11" s="86">
        <f t="shared" si="7"/>
        <v>0</v>
      </c>
      <c r="AD11" s="116"/>
    </row>
    <row r="12" spans="1:30" s="58" customFormat="1" x14ac:dyDescent="0.15">
      <c r="A12" s="102" t="s">
        <v>3</v>
      </c>
      <c r="B12" s="27"/>
      <c r="C12" s="26"/>
      <c r="D12" s="26"/>
      <c r="E12" s="5">
        <f t="shared" si="0"/>
        <v>0</v>
      </c>
      <c r="F12" s="25"/>
      <c r="G12" s="26"/>
      <c r="H12" s="26"/>
      <c r="I12" s="5">
        <f t="shared" si="1"/>
        <v>0</v>
      </c>
      <c r="J12" s="25"/>
      <c r="K12" s="26"/>
      <c r="L12" s="26"/>
      <c r="M12" s="38">
        <f t="shared" si="2"/>
        <v>0</v>
      </c>
      <c r="N12" s="138">
        <f t="shared" si="6"/>
        <v>0</v>
      </c>
      <c r="O12" s="21"/>
      <c r="P12" s="6" t="s">
        <v>3</v>
      </c>
      <c r="Q12" s="27"/>
      <c r="R12" s="26"/>
      <c r="S12" s="26"/>
      <c r="T12" s="5">
        <f t="shared" si="3"/>
        <v>0</v>
      </c>
      <c r="U12" s="27"/>
      <c r="V12" s="26"/>
      <c r="W12" s="26"/>
      <c r="X12" s="5">
        <f t="shared" si="4"/>
        <v>0</v>
      </c>
      <c r="Y12" s="25"/>
      <c r="Z12" s="26"/>
      <c r="AA12" s="26"/>
      <c r="AB12" s="5">
        <f t="shared" si="5"/>
        <v>0</v>
      </c>
      <c r="AC12" s="86">
        <f t="shared" si="7"/>
        <v>0</v>
      </c>
      <c r="AD12" s="116"/>
    </row>
    <row r="13" spans="1:30" s="58" customFormat="1" x14ac:dyDescent="0.15">
      <c r="A13" s="102" t="s">
        <v>3</v>
      </c>
      <c r="B13" s="27"/>
      <c r="C13" s="26"/>
      <c r="D13" s="26"/>
      <c r="E13" s="5">
        <f t="shared" si="0"/>
        <v>0</v>
      </c>
      <c r="F13" s="25"/>
      <c r="G13" s="26"/>
      <c r="H13" s="26"/>
      <c r="I13" s="5">
        <f t="shared" si="1"/>
        <v>0</v>
      </c>
      <c r="J13" s="25"/>
      <c r="K13" s="26"/>
      <c r="L13" s="26"/>
      <c r="M13" s="38">
        <f t="shared" si="2"/>
        <v>0</v>
      </c>
      <c r="N13" s="138">
        <f t="shared" si="6"/>
        <v>0</v>
      </c>
      <c r="O13" s="21"/>
      <c r="P13" s="6" t="s">
        <v>3</v>
      </c>
      <c r="Q13" s="14"/>
      <c r="R13" s="11"/>
      <c r="S13" s="11"/>
      <c r="T13" s="5">
        <f t="shared" si="3"/>
        <v>0</v>
      </c>
      <c r="U13" s="14"/>
      <c r="V13" s="11"/>
      <c r="W13" s="11"/>
      <c r="X13" s="5">
        <f t="shared" si="4"/>
        <v>0</v>
      </c>
      <c r="Y13" s="25"/>
      <c r="Z13" s="26"/>
      <c r="AA13" s="26"/>
      <c r="AB13" s="5">
        <f t="shared" si="5"/>
        <v>0</v>
      </c>
      <c r="AC13" s="86">
        <f t="shared" si="7"/>
        <v>0</v>
      </c>
      <c r="AD13" s="116"/>
    </row>
    <row r="14" spans="1:30" s="58" customFormat="1" x14ac:dyDescent="0.15">
      <c r="A14" s="102" t="s">
        <v>3</v>
      </c>
      <c r="B14" s="27"/>
      <c r="C14" s="26"/>
      <c r="D14" s="26"/>
      <c r="E14" s="5">
        <f t="shared" si="0"/>
        <v>0</v>
      </c>
      <c r="F14" s="25"/>
      <c r="G14" s="26"/>
      <c r="H14" s="26"/>
      <c r="I14" s="5">
        <f t="shared" si="1"/>
        <v>0</v>
      </c>
      <c r="J14" s="25"/>
      <c r="K14" s="26"/>
      <c r="L14" s="26"/>
      <c r="M14" s="38">
        <f t="shared" si="2"/>
        <v>0</v>
      </c>
      <c r="N14" s="138">
        <f t="shared" si="6"/>
        <v>0</v>
      </c>
      <c r="O14" s="21"/>
      <c r="P14" s="6" t="s">
        <v>3</v>
      </c>
      <c r="Q14" s="27"/>
      <c r="R14" s="26"/>
      <c r="S14" s="26"/>
      <c r="T14" s="5">
        <f t="shared" si="3"/>
        <v>0</v>
      </c>
      <c r="U14" s="27"/>
      <c r="V14" s="26"/>
      <c r="W14" s="26"/>
      <c r="X14" s="5">
        <f t="shared" si="4"/>
        <v>0</v>
      </c>
      <c r="Y14" s="25"/>
      <c r="Z14" s="26"/>
      <c r="AA14" s="26"/>
      <c r="AB14" s="5">
        <f t="shared" si="5"/>
        <v>0</v>
      </c>
      <c r="AC14" s="86">
        <f t="shared" si="7"/>
        <v>0</v>
      </c>
      <c r="AD14" s="116"/>
    </row>
    <row r="15" spans="1:30" s="58" customFormat="1" ht="14.25" thickBot="1" x14ac:dyDescent="0.2">
      <c r="A15" s="102" t="s">
        <v>3</v>
      </c>
      <c r="B15" s="28"/>
      <c r="C15" s="29"/>
      <c r="D15" s="32"/>
      <c r="E15" s="15">
        <f t="shared" si="0"/>
        <v>0</v>
      </c>
      <c r="F15" s="35"/>
      <c r="G15" s="29"/>
      <c r="H15" s="32"/>
      <c r="I15" s="15">
        <f t="shared" si="1"/>
        <v>0</v>
      </c>
      <c r="J15" s="35"/>
      <c r="K15" s="29"/>
      <c r="L15" s="32"/>
      <c r="M15" s="40">
        <f t="shared" si="2"/>
        <v>0</v>
      </c>
      <c r="N15" s="139">
        <f t="shared" si="6"/>
        <v>0</v>
      </c>
      <c r="O15" s="21"/>
      <c r="P15" s="7" t="s">
        <v>3</v>
      </c>
      <c r="Q15" s="28"/>
      <c r="R15" s="29"/>
      <c r="S15" s="29"/>
      <c r="T15" s="15">
        <f t="shared" si="3"/>
        <v>0</v>
      </c>
      <c r="U15" s="28"/>
      <c r="V15" s="29"/>
      <c r="W15" s="29"/>
      <c r="X15" s="15">
        <f t="shared" si="4"/>
        <v>0</v>
      </c>
      <c r="Y15" s="35"/>
      <c r="Z15" s="29"/>
      <c r="AA15" s="32"/>
      <c r="AB15" s="15">
        <f t="shared" si="5"/>
        <v>0</v>
      </c>
      <c r="AC15" s="87">
        <f t="shared" si="7"/>
        <v>0</v>
      </c>
      <c r="AD15" s="116"/>
    </row>
    <row r="16" spans="1:30" ht="14.25" thickBot="1" x14ac:dyDescent="0.2">
      <c r="A16" s="103" t="s">
        <v>4</v>
      </c>
      <c r="B16" s="17">
        <f>SUM(B5:B15)</f>
        <v>50</v>
      </c>
      <c r="C16" s="17">
        <f>SUM(C5:C15)</f>
        <v>50</v>
      </c>
      <c r="D16" s="17">
        <f>SUM(D5:D15)</f>
        <v>31</v>
      </c>
      <c r="E16" s="18">
        <f t="shared" si="0"/>
        <v>131</v>
      </c>
      <c r="F16" s="17">
        <f>SUM(F5:F15)</f>
        <v>50</v>
      </c>
      <c r="G16" s="17">
        <f>SUM(G5:G15)</f>
        <v>50</v>
      </c>
      <c r="H16" s="17">
        <f>SUM(H5:H15)</f>
        <v>31</v>
      </c>
      <c r="I16" s="18">
        <f t="shared" si="1"/>
        <v>131</v>
      </c>
      <c r="J16" s="17">
        <f>SUM(J5:J15)</f>
        <v>50</v>
      </c>
      <c r="K16" s="17">
        <f>SUM(K5:K15)</f>
        <v>50</v>
      </c>
      <c r="L16" s="17">
        <f>SUM(L5:L15)</f>
        <v>31</v>
      </c>
      <c r="M16" s="20">
        <f t="shared" si="2"/>
        <v>131</v>
      </c>
      <c r="N16" s="140">
        <f t="shared" si="6"/>
        <v>393</v>
      </c>
      <c r="O16" s="1"/>
      <c r="P16" s="16" t="s">
        <v>4</v>
      </c>
      <c r="Q16" s="17">
        <f>SUM(Q5:Q15)</f>
        <v>700</v>
      </c>
      <c r="R16" s="17">
        <f>SUM(R5:R15)</f>
        <v>800</v>
      </c>
      <c r="S16" s="17">
        <f>SUM(S5:S15)</f>
        <v>500</v>
      </c>
      <c r="T16" s="18">
        <f t="shared" si="3"/>
        <v>2000</v>
      </c>
      <c r="U16" s="17">
        <f>SUM(U5:U15)</f>
        <v>700</v>
      </c>
      <c r="V16" s="17">
        <f>SUM(V5:V15)</f>
        <v>800</v>
      </c>
      <c r="W16" s="17">
        <f>SUM(W5:W15)</f>
        <v>500</v>
      </c>
      <c r="X16" s="18">
        <f t="shared" si="4"/>
        <v>2000</v>
      </c>
      <c r="Y16" s="17">
        <f>SUM(Y5:Y15)</f>
        <v>700</v>
      </c>
      <c r="Z16" s="17">
        <f>SUM(Z5:Z15)</f>
        <v>800</v>
      </c>
      <c r="AA16" s="17">
        <f>SUM(AA5:AA15)</f>
        <v>500</v>
      </c>
      <c r="AB16" s="18">
        <f t="shared" si="5"/>
        <v>2000</v>
      </c>
      <c r="AC16" s="88">
        <f t="shared" si="7"/>
        <v>6000</v>
      </c>
    </row>
    <row r="17" spans="1:31" x14ac:dyDescent="0.15">
      <c r="A17" s="33" t="s">
        <v>28</v>
      </c>
      <c r="B17" s="9">
        <v>1</v>
      </c>
      <c r="C17" s="10"/>
      <c r="D17" s="31"/>
      <c r="E17" s="5">
        <f t="shared" si="0"/>
        <v>1</v>
      </c>
      <c r="F17" s="9">
        <v>1</v>
      </c>
      <c r="G17" s="10"/>
      <c r="H17" s="31"/>
      <c r="I17" s="5">
        <f t="shared" si="1"/>
        <v>1</v>
      </c>
      <c r="J17" s="9">
        <v>1</v>
      </c>
      <c r="K17" s="10"/>
      <c r="L17" s="31"/>
      <c r="M17" s="38">
        <f t="shared" si="2"/>
        <v>1</v>
      </c>
      <c r="N17" s="141">
        <f t="shared" si="6"/>
        <v>3</v>
      </c>
      <c r="O17" s="21">
        <v>45245</v>
      </c>
      <c r="P17" s="55" t="s">
        <v>27</v>
      </c>
      <c r="Q17" s="56">
        <v>15</v>
      </c>
      <c r="R17" s="31">
        <v>15</v>
      </c>
      <c r="S17" s="31">
        <v>10</v>
      </c>
      <c r="T17" s="57">
        <f t="shared" si="3"/>
        <v>40</v>
      </c>
      <c r="U17" s="56">
        <v>15</v>
      </c>
      <c r="V17" s="31">
        <v>15</v>
      </c>
      <c r="W17" s="31">
        <v>10</v>
      </c>
      <c r="X17" s="57">
        <f t="shared" si="4"/>
        <v>40</v>
      </c>
      <c r="Y17" s="56">
        <v>15</v>
      </c>
      <c r="Z17" s="31">
        <v>15</v>
      </c>
      <c r="AA17" s="31">
        <v>10</v>
      </c>
      <c r="AB17" s="57">
        <f t="shared" si="5"/>
        <v>40</v>
      </c>
      <c r="AC17" s="89">
        <f t="shared" si="7"/>
        <v>120</v>
      </c>
      <c r="AD17" s="109">
        <v>45244</v>
      </c>
    </row>
    <row r="18" spans="1:31" x14ac:dyDescent="0.15">
      <c r="A18" s="33" t="s">
        <v>30</v>
      </c>
      <c r="B18" s="9"/>
      <c r="C18" s="10"/>
      <c r="D18" s="10"/>
      <c r="E18" s="5">
        <f t="shared" si="0"/>
        <v>0</v>
      </c>
      <c r="F18" s="9">
        <v>1</v>
      </c>
      <c r="G18" s="10"/>
      <c r="H18" s="10"/>
      <c r="I18" s="5">
        <f t="shared" si="1"/>
        <v>1</v>
      </c>
      <c r="J18" s="9">
        <v>1</v>
      </c>
      <c r="K18" s="10"/>
      <c r="L18" s="10"/>
      <c r="M18" s="38">
        <f t="shared" si="2"/>
        <v>1</v>
      </c>
      <c r="N18" s="138">
        <f t="shared" si="6"/>
        <v>2</v>
      </c>
      <c r="O18" s="21">
        <v>45250</v>
      </c>
      <c r="P18" s="4" t="s">
        <v>27</v>
      </c>
      <c r="Q18" s="9">
        <v>15</v>
      </c>
      <c r="R18" s="10">
        <v>15</v>
      </c>
      <c r="S18" s="10">
        <v>15</v>
      </c>
      <c r="T18" s="5">
        <f t="shared" ref="T18" si="8">SUM(Q18:S18)</f>
        <v>45</v>
      </c>
      <c r="U18" s="9">
        <v>15</v>
      </c>
      <c r="V18" s="10">
        <v>15</v>
      </c>
      <c r="W18" s="10">
        <v>15</v>
      </c>
      <c r="X18" s="5">
        <f t="shared" si="4"/>
        <v>45</v>
      </c>
      <c r="Y18" s="9">
        <v>15</v>
      </c>
      <c r="Z18" s="10">
        <v>15</v>
      </c>
      <c r="AA18" s="10">
        <v>15</v>
      </c>
      <c r="AB18" s="5">
        <f t="shared" si="5"/>
        <v>45</v>
      </c>
      <c r="AC18" s="86">
        <f t="shared" si="7"/>
        <v>135</v>
      </c>
      <c r="AD18" s="109">
        <v>45268</v>
      </c>
    </row>
    <row r="19" spans="1:31" x14ac:dyDescent="0.15">
      <c r="A19" s="33" t="s">
        <v>32</v>
      </c>
      <c r="B19" s="9"/>
      <c r="C19" s="10">
        <v>1</v>
      </c>
      <c r="D19" s="10"/>
      <c r="E19" s="5">
        <f t="shared" si="0"/>
        <v>1</v>
      </c>
      <c r="F19" s="9">
        <v>1</v>
      </c>
      <c r="G19" s="10"/>
      <c r="H19" s="10"/>
      <c r="I19" s="5">
        <f t="shared" si="1"/>
        <v>1</v>
      </c>
      <c r="J19" s="9"/>
      <c r="K19" s="10"/>
      <c r="L19" s="10">
        <v>1</v>
      </c>
      <c r="M19" s="38">
        <f t="shared" si="2"/>
        <v>1</v>
      </c>
      <c r="N19" s="138">
        <f t="shared" si="6"/>
        <v>3</v>
      </c>
      <c r="O19" s="21">
        <v>45260</v>
      </c>
      <c r="P19" s="4" t="s">
        <v>39</v>
      </c>
      <c r="Q19" s="9"/>
      <c r="R19" s="10">
        <v>9</v>
      </c>
      <c r="S19" s="10">
        <v>12</v>
      </c>
      <c r="T19" s="5">
        <f t="shared" ref="T19" si="9">SUM(Q19:S19)</f>
        <v>21</v>
      </c>
      <c r="U19" s="9"/>
      <c r="V19" s="10">
        <v>9</v>
      </c>
      <c r="W19" s="10">
        <v>12</v>
      </c>
      <c r="X19" s="5">
        <f t="shared" ref="X19" si="10">SUM(U19:W19)</f>
        <v>21</v>
      </c>
      <c r="Y19" s="9"/>
      <c r="Z19" s="10">
        <v>9</v>
      </c>
      <c r="AA19" s="10">
        <v>12</v>
      </c>
      <c r="AB19" s="5">
        <f t="shared" ref="AB19" si="11">SUM(Y19:AA19)</f>
        <v>21</v>
      </c>
      <c r="AC19" s="86">
        <f t="shared" ref="AC19" si="12">T19+X19+AB19</f>
        <v>63</v>
      </c>
      <c r="AD19" s="109">
        <v>45274</v>
      </c>
    </row>
    <row r="20" spans="1:31" x14ac:dyDescent="0.15">
      <c r="A20" s="63" t="s">
        <v>31</v>
      </c>
      <c r="B20" s="9">
        <v>3</v>
      </c>
      <c r="C20" s="10">
        <v>3</v>
      </c>
      <c r="D20" s="10">
        <v>3</v>
      </c>
      <c r="E20" s="5">
        <f t="shared" ref="E20" si="13">SUM(B20:D20)</f>
        <v>9</v>
      </c>
      <c r="F20" s="9">
        <v>3</v>
      </c>
      <c r="G20" s="10">
        <v>3</v>
      </c>
      <c r="H20" s="10">
        <v>3</v>
      </c>
      <c r="I20" s="5">
        <f t="shared" si="1"/>
        <v>9</v>
      </c>
      <c r="J20" s="9">
        <v>3</v>
      </c>
      <c r="K20" s="10">
        <v>3</v>
      </c>
      <c r="L20" s="10">
        <v>3</v>
      </c>
      <c r="M20" s="5">
        <f t="shared" si="2"/>
        <v>9</v>
      </c>
      <c r="N20" s="138">
        <f t="shared" si="6"/>
        <v>27</v>
      </c>
      <c r="O20" s="24">
        <v>45264</v>
      </c>
      <c r="P20" s="63" t="s">
        <v>40</v>
      </c>
      <c r="Q20" s="9">
        <v>8</v>
      </c>
      <c r="R20" s="10">
        <v>4</v>
      </c>
      <c r="S20" s="10">
        <v>4</v>
      </c>
      <c r="T20" s="5">
        <f t="shared" si="3"/>
        <v>16</v>
      </c>
      <c r="U20" s="9">
        <v>8</v>
      </c>
      <c r="V20" s="10">
        <v>4</v>
      </c>
      <c r="W20" s="10">
        <v>4</v>
      </c>
      <c r="X20" s="5">
        <f t="shared" si="4"/>
        <v>16</v>
      </c>
      <c r="Y20" s="9">
        <v>8</v>
      </c>
      <c r="Z20" s="10">
        <v>4</v>
      </c>
      <c r="AA20" s="10">
        <v>4</v>
      </c>
      <c r="AB20" s="5">
        <f t="shared" si="5"/>
        <v>16</v>
      </c>
      <c r="AC20" s="86">
        <f t="shared" si="7"/>
        <v>48</v>
      </c>
      <c r="AD20" s="109">
        <v>45274</v>
      </c>
    </row>
    <row r="21" spans="1:31" x14ac:dyDescent="0.15">
      <c r="A21" s="33" t="s">
        <v>34</v>
      </c>
      <c r="B21" s="9">
        <v>1</v>
      </c>
      <c r="C21" s="10">
        <v>1</v>
      </c>
      <c r="D21" s="10">
        <v>1</v>
      </c>
      <c r="E21" s="5">
        <f t="shared" si="0"/>
        <v>3</v>
      </c>
      <c r="F21" s="9">
        <v>1</v>
      </c>
      <c r="G21" s="10">
        <v>1</v>
      </c>
      <c r="H21" s="10">
        <v>1</v>
      </c>
      <c r="I21" s="5">
        <f t="shared" si="1"/>
        <v>3</v>
      </c>
      <c r="J21" s="9">
        <v>1</v>
      </c>
      <c r="K21" s="10">
        <v>1</v>
      </c>
      <c r="L21" s="10">
        <v>1</v>
      </c>
      <c r="M21" s="38">
        <f t="shared" si="2"/>
        <v>3</v>
      </c>
      <c r="N21" s="138">
        <f t="shared" si="6"/>
        <v>9</v>
      </c>
      <c r="O21" s="21">
        <v>45267</v>
      </c>
      <c r="P21" s="11" t="s">
        <v>43</v>
      </c>
      <c r="Q21" s="9"/>
      <c r="R21" s="10"/>
      <c r="S21" s="10">
        <v>5</v>
      </c>
      <c r="T21" s="5">
        <f t="shared" si="3"/>
        <v>5</v>
      </c>
      <c r="U21" s="9"/>
      <c r="V21" s="10"/>
      <c r="W21" s="10">
        <v>5</v>
      </c>
      <c r="X21" s="5">
        <f t="shared" si="4"/>
        <v>5</v>
      </c>
      <c r="Y21" s="9"/>
      <c r="Z21" s="10"/>
      <c r="AA21" s="10">
        <v>5</v>
      </c>
      <c r="AB21" s="5">
        <f t="shared" si="5"/>
        <v>5</v>
      </c>
      <c r="AC21" s="86">
        <f t="shared" si="7"/>
        <v>15</v>
      </c>
      <c r="AD21" s="109">
        <v>45275</v>
      </c>
    </row>
    <row r="22" spans="1:31" x14ac:dyDescent="0.15">
      <c r="A22" s="33" t="s">
        <v>35</v>
      </c>
      <c r="B22" s="9">
        <v>1</v>
      </c>
      <c r="C22" s="10"/>
      <c r="D22" s="10"/>
      <c r="E22" s="8">
        <f t="shared" si="0"/>
        <v>1</v>
      </c>
      <c r="F22" s="9">
        <v>1</v>
      </c>
      <c r="G22" s="10"/>
      <c r="H22" s="10"/>
      <c r="I22" s="8">
        <f t="shared" si="1"/>
        <v>1</v>
      </c>
      <c r="J22" s="9">
        <v>1</v>
      </c>
      <c r="K22" s="10"/>
      <c r="L22" s="10"/>
      <c r="M22" s="39">
        <f t="shared" si="2"/>
        <v>1</v>
      </c>
      <c r="N22" s="138">
        <f t="shared" si="6"/>
        <v>3</v>
      </c>
      <c r="O22" s="21">
        <v>45265</v>
      </c>
      <c r="P22" s="4" t="s">
        <v>46</v>
      </c>
      <c r="Q22" s="9">
        <v>10</v>
      </c>
      <c r="R22" s="10">
        <v>15</v>
      </c>
      <c r="S22" s="10">
        <v>5</v>
      </c>
      <c r="T22" s="8">
        <f t="shared" si="3"/>
        <v>30</v>
      </c>
      <c r="U22" s="9">
        <v>10</v>
      </c>
      <c r="V22" s="10">
        <v>15</v>
      </c>
      <c r="W22" s="10">
        <v>5</v>
      </c>
      <c r="X22" s="8">
        <f t="shared" si="4"/>
        <v>30</v>
      </c>
      <c r="Y22" s="9">
        <v>10</v>
      </c>
      <c r="Z22" s="10">
        <v>15</v>
      </c>
      <c r="AA22" s="10">
        <v>5</v>
      </c>
      <c r="AB22" s="8">
        <f t="shared" si="5"/>
        <v>30</v>
      </c>
      <c r="AC22" s="86">
        <f t="shared" si="7"/>
        <v>90</v>
      </c>
      <c r="AD22" s="109">
        <v>45276</v>
      </c>
      <c r="AE22" s="58"/>
    </row>
    <row r="23" spans="1:31" x14ac:dyDescent="0.15">
      <c r="A23" s="33" t="s">
        <v>36</v>
      </c>
      <c r="B23" s="9"/>
      <c r="C23" s="10">
        <v>1</v>
      </c>
      <c r="D23" s="10"/>
      <c r="E23" s="8">
        <f t="shared" si="0"/>
        <v>1</v>
      </c>
      <c r="F23" s="9"/>
      <c r="G23" s="10">
        <v>1</v>
      </c>
      <c r="H23" s="10"/>
      <c r="I23" s="8">
        <f t="shared" si="1"/>
        <v>1</v>
      </c>
      <c r="J23" s="9"/>
      <c r="K23" s="10"/>
      <c r="L23" s="10"/>
      <c r="M23" s="39">
        <f t="shared" si="2"/>
        <v>0</v>
      </c>
      <c r="N23" s="138">
        <f t="shared" si="6"/>
        <v>2</v>
      </c>
      <c r="O23" s="21">
        <v>45266</v>
      </c>
      <c r="P23" s="11" t="s">
        <v>47</v>
      </c>
      <c r="Q23" s="9">
        <v>4</v>
      </c>
      <c r="R23" s="10">
        <v>4</v>
      </c>
      <c r="S23" s="10">
        <v>3</v>
      </c>
      <c r="T23" s="8">
        <f t="shared" si="3"/>
        <v>11</v>
      </c>
      <c r="U23" s="9">
        <v>4</v>
      </c>
      <c r="V23" s="10">
        <v>4</v>
      </c>
      <c r="W23" s="10">
        <v>3</v>
      </c>
      <c r="X23" s="8">
        <f t="shared" si="4"/>
        <v>11</v>
      </c>
      <c r="Y23" s="9">
        <v>4</v>
      </c>
      <c r="Z23" s="10">
        <v>4</v>
      </c>
      <c r="AA23" s="10">
        <v>3</v>
      </c>
      <c r="AB23" s="8">
        <f t="shared" si="5"/>
        <v>11</v>
      </c>
      <c r="AC23" s="86">
        <f t="shared" si="7"/>
        <v>33</v>
      </c>
      <c r="AD23" s="109">
        <v>45279</v>
      </c>
    </row>
    <row r="24" spans="1:31" x14ac:dyDescent="0.15">
      <c r="A24" s="63" t="s">
        <v>37</v>
      </c>
      <c r="B24" s="9">
        <v>5</v>
      </c>
      <c r="C24" s="10">
        <v>7</v>
      </c>
      <c r="D24" s="10">
        <v>5</v>
      </c>
      <c r="E24" s="8">
        <f t="shared" si="0"/>
        <v>17</v>
      </c>
      <c r="F24" s="9">
        <v>5</v>
      </c>
      <c r="G24" s="10">
        <v>7</v>
      </c>
      <c r="H24" s="10">
        <v>5</v>
      </c>
      <c r="I24" s="8">
        <f t="shared" si="1"/>
        <v>17</v>
      </c>
      <c r="J24" s="9">
        <v>5</v>
      </c>
      <c r="K24" s="10">
        <v>7</v>
      </c>
      <c r="L24" s="10">
        <v>5</v>
      </c>
      <c r="M24" s="39">
        <f t="shared" si="2"/>
        <v>17</v>
      </c>
      <c r="N24" s="138">
        <f t="shared" si="6"/>
        <v>51</v>
      </c>
      <c r="O24" s="21">
        <v>45271</v>
      </c>
      <c r="P24" s="4" t="s">
        <v>48</v>
      </c>
      <c r="Q24" s="9"/>
      <c r="R24" s="10">
        <v>11</v>
      </c>
      <c r="S24" s="10">
        <v>7</v>
      </c>
      <c r="T24" s="8">
        <f t="shared" si="3"/>
        <v>18</v>
      </c>
      <c r="U24" s="9"/>
      <c r="V24" s="10">
        <v>11</v>
      </c>
      <c r="W24" s="10">
        <v>7</v>
      </c>
      <c r="X24" s="8">
        <f t="shared" si="4"/>
        <v>18</v>
      </c>
      <c r="Y24" s="9"/>
      <c r="Z24" s="10">
        <v>11</v>
      </c>
      <c r="AA24" s="10">
        <v>7</v>
      </c>
      <c r="AB24" s="8">
        <f t="shared" si="5"/>
        <v>18</v>
      </c>
      <c r="AC24" s="86">
        <f t="shared" si="7"/>
        <v>54</v>
      </c>
      <c r="AD24" s="109">
        <v>45280</v>
      </c>
    </row>
    <row r="25" spans="1:31" x14ac:dyDescent="0.15">
      <c r="A25" s="63" t="s">
        <v>38</v>
      </c>
      <c r="B25" s="9">
        <v>3</v>
      </c>
      <c r="C25" s="10">
        <v>2</v>
      </c>
      <c r="D25" s="10">
        <v>3</v>
      </c>
      <c r="E25" s="8">
        <f t="shared" si="0"/>
        <v>8</v>
      </c>
      <c r="F25" s="9">
        <v>3</v>
      </c>
      <c r="G25" s="10">
        <v>2</v>
      </c>
      <c r="H25" s="10">
        <v>3</v>
      </c>
      <c r="I25" s="8">
        <f t="shared" si="1"/>
        <v>8</v>
      </c>
      <c r="J25" s="9">
        <v>3</v>
      </c>
      <c r="K25" s="10">
        <v>2</v>
      </c>
      <c r="L25" s="10">
        <v>3</v>
      </c>
      <c r="M25" s="39">
        <f t="shared" si="2"/>
        <v>8</v>
      </c>
      <c r="N25" s="138">
        <f t="shared" si="6"/>
        <v>24</v>
      </c>
      <c r="O25" s="21">
        <v>45272</v>
      </c>
      <c r="P25" s="4" t="s">
        <v>50</v>
      </c>
      <c r="Q25" s="9">
        <v>3</v>
      </c>
      <c r="R25" s="10">
        <v>12</v>
      </c>
      <c r="S25" s="10">
        <v>1</v>
      </c>
      <c r="T25" s="8">
        <f t="shared" si="3"/>
        <v>16</v>
      </c>
      <c r="U25" s="9">
        <v>3</v>
      </c>
      <c r="V25" s="10">
        <v>12</v>
      </c>
      <c r="W25" s="10">
        <v>1</v>
      </c>
      <c r="X25" s="8">
        <f t="shared" si="4"/>
        <v>16</v>
      </c>
      <c r="Y25" s="9">
        <v>3</v>
      </c>
      <c r="Z25" s="10">
        <v>12</v>
      </c>
      <c r="AA25" s="10">
        <v>1</v>
      </c>
      <c r="AB25" s="8">
        <f t="shared" si="5"/>
        <v>16</v>
      </c>
      <c r="AC25" s="86">
        <f t="shared" si="7"/>
        <v>48</v>
      </c>
      <c r="AD25" s="109">
        <v>45281</v>
      </c>
    </row>
    <row r="26" spans="1:31" x14ac:dyDescent="0.15">
      <c r="A26" s="33" t="s">
        <v>36</v>
      </c>
      <c r="B26" s="9">
        <v>1</v>
      </c>
      <c r="C26" s="10"/>
      <c r="D26" s="10">
        <v>1</v>
      </c>
      <c r="E26" s="8">
        <f t="shared" si="0"/>
        <v>2</v>
      </c>
      <c r="F26" s="9">
        <v>2</v>
      </c>
      <c r="G26" s="10"/>
      <c r="H26" s="10">
        <v>2</v>
      </c>
      <c r="I26" s="8">
        <f t="shared" si="1"/>
        <v>4</v>
      </c>
      <c r="J26" s="9">
        <v>1</v>
      </c>
      <c r="K26" s="10"/>
      <c r="L26" s="10">
        <v>1</v>
      </c>
      <c r="M26" s="39">
        <f t="shared" si="2"/>
        <v>2</v>
      </c>
      <c r="N26" s="138">
        <f t="shared" si="6"/>
        <v>8</v>
      </c>
      <c r="O26" s="21">
        <v>45271</v>
      </c>
      <c r="P26" s="63" t="s">
        <v>52</v>
      </c>
      <c r="Q26" s="9">
        <v>3</v>
      </c>
      <c r="R26" s="10"/>
      <c r="S26" s="10">
        <v>10</v>
      </c>
      <c r="T26" s="8">
        <f t="shared" si="3"/>
        <v>13</v>
      </c>
      <c r="U26" s="9">
        <v>3</v>
      </c>
      <c r="V26" s="10"/>
      <c r="W26" s="10">
        <v>10</v>
      </c>
      <c r="X26" s="8">
        <f t="shared" si="4"/>
        <v>13</v>
      </c>
      <c r="Y26" s="9">
        <v>3</v>
      </c>
      <c r="Z26" s="10"/>
      <c r="AA26" s="10">
        <v>10</v>
      </c>
      <c r="AB26" s="8">
        <f t="shared" si="5"/>
        <v>13</v>
      </c>
      <c r="AC26" s="86">
        <f t="shared" si="7"/>
        <v>39</v>
      </c>
      <c r="AD26" s="109">
        <v>45285</v>
      </c>
    </row>
    <row r="27" spans="1:31" x14ac:dyDescent="0.15">
      <c r="A27" s="33" t="s">
        <v>41</v>
      </c>
      <c r="B27" s="9">
        <v>5</v>
      </c>
      <c r="C27" s="10"/>
      <c r="D27" s="10"/>
      <c r="E27" s="8">
        <f t="shared" si="0"/>
        <v>5</v>
      </c>
      <c r="F27" s="9">
        <v>5</v>
      </c>
      <c r="G27" s="10"/>
      <c r="H27" s="10"/>
      <c r="I27" s="8">
        <f t="shared" si="1"/>
        <v>5</v>
      </c>
      <c r="J27" s="9">
        <v>5</v>
      </c>
      <c r="K27" s="10"/>
      <c r="L27" s="10"/>
      <c r="M27" s="39">
        <f t="shared" si="2"/>
        <v>5</v>
      </c>
      <c r="N27" s="138">
        <f t="shared" si="6"/>
        <v>15</v>
      </c>
      <c r="O27" s="21">
        <v>45275</v>
      </c>
      <c r="P27" s="4" t="s">
        <v>27</v>
      </c>
      <c r="Q27" s="9">
        <v>10</v>
      </c>
      <c r="R27" s="10">
        <v>5</v>
      </c>
      <c r="S27" s="10"/>
      <c r="T27" s="8">
        <f t="shared" si="3"/>
        <v>15</v>
      </c>
      <c r="U27" s="9">
        <v>10</v>
      </c>
      <c r="V27" s="10">
        <v>5</v>
      </c>
      <c r="W27" s="10"/>
      <c r="X27" s="8">
        <f t="shared" si="4"/>
        <v>15</v>
      </c>
      <c r="Y27" s="9">
        <v>10</v>
      </c>
      <c r="Z27" s="10">
        <v>5</v>
      </c>
      <c r="AA27" s="10"/>
      <c r="AB27" s="8">
        <f t="shared" si="5"/>
        <v>15</v>
      </c>
      <c r="AC27" s="86">
        <f t="shared" si="7"/>
        <v>45</v>
      </c>
      <c r="AD27" s="109">
        <v>45285</v>
      </c>
    </row>
    <row r="28" spans="1:31" x14ac:dyDescent="0.15">
      <c r="A28" s="33" t="s">
        <v>42</v>
      </c>
      <c r="B28" s="9">
        <v>1</v>
      </c>
      <c r="C28" s="10">
        <v>1</v>
      </c>
      <c r="D28" s="10"/>
      <c r="E28" s="8">
        <f t="shared" si="0"/>
        <v>2</v>
      </c>
      <c r="F28" s="9">
        <v>1</v>
      </c>
      <c r="G28" s="10">
        <v>1</v>
      </c>
      <c r="H28" s="10"/>
      <c r="I28" s="8">
        <f t="shared" si="1"/>
        <v>2</v>
      </c>
      <c r="J28" s="9">
        <v>1</v>
      </c>
      <c r="K28" s="10">
        <v>1</v>
      </c>
      <c r="L28" s="10"/>
      <c r="M28" s="39">
        <f t="shared" si="2"/>
        <v>2</v>
      </c>
      <c r="N28" s="138">
        <f t="shared" si="6"/>
        <v>6</v>
      </c>
      <c r="O28" s="21">
        <v>45275</v>
      </c>
      <c r="P28" s="63" t="s">
        <v>56</v>
      </c>
      <c r="Q28" s="9">
        <v>10</v>
      </c>
      <c r="R28" s="10">
        <v>5</v>
      </c>
      <c r="S28" s="10">
        <v>10</v>
      </c>
      <c r="T28" s="8">
        <f t="shared" si="3"/>
        <v>25</v>
      </c>
      <c r="U28" s="9">
        <v>10</v>
      </c>
      <c r="V28" s="10">
        <v>5</v>
      </c>
      <c r="W28" s="10">
        <v>10</v>
      </c>
      <c r="X28" s="8">
        <f t="shared" si="4"/>
        <v>25</v>
      </c>
      <c r="Y28" s="9">
        <v>10</v>
      </c>
      <c r="Z28" s="10">
        <v>5</v>
      </c>
      <c r="AA28" s="10">
        <v>10</v>
      </c>
      <c r="AB28" s="8">
        <f t="shared" si="5"/>
        <v>25</v>
      </c>
      <c r="AC28" s="86">
        <f t="shared" si="7"/>
        <v>75</v>
      </c>
      <c r="AD28" s="109">
        <v>44935</v>
      </c>
    </row>
    <row r="29" spans="1:31" x14ac:dyDescent="0.15">
      <c r="A29" s="33" t="s">
        <v>44</v>
      </c>
      <c r="B29" s="9">
        <v>1</v>
      </c>
      <c r="C29" s="10"/>
      <c r="D29" s="10"/>
      <c r="E29" s="8">
        <f t="shared" si="0"/>
        <v>1</v>
      </c>
      <c r="F29" s="9">
        <v>1</v>
      </c>
      <c r="G29" s="10"/>
      <c r="H29" s="10"/>
      <c r="I29" s="8">
        <f t="shared" si="1"/>
        <v>1</v>
      </c>
      <c r="J29" s="9">
        <v>1</v>
      </c>
      <c r="K29" s="10"/>
      <c r="L29" s="10"/>
      <c r="M29" s="39">
        <f t="shared" si="2"/>
        <v>1</v>
      </c>
      <c r="N29" s="138">
        <f t="shared" si="6"/>
        <v>3</v>
      </c>
      <c r="O29" s="21">
        <v>45278</v>
      </c>
      <c r="P29" s="11" t="s">
        <v>67</v>
      </c>
      <c r="Q29" s="9">
        <v>11</v>
      </c>
      <c r="R29" s="10">
        <v>22</v>
      </c>
      <c r="S29" s="10">
        <v>11</v>
      </c>
      <c r="T29" s="8">
        <f t="shared" si="3"/>
        <v>44</v>
      </c>
      <c r="U29" s="9">
        <v>11</v>
      </c>
      <c r="V29" s="10">
        <v>22</v>
      </c>
      <c r="W29" s="10">
        <v>11</v>
      </c>
      <c r="X29" s="8">
        <f t="shared" si="4"/>
        <v>44</v>
      </c>
      <c r="Y29" s="9">
        <v>11</v>
      </c>
      <c r="Z29" s="10">
        <v>22</v>
      </c>
      <c r="AA29" s="10">
        <v>11</v>
      </c>
      <c r="AB29" s="8">
        <f t="shared" si="5"/>
        <v>44</v>
      </c>
      <c r="AC29" s="86">
        <f t="shared" si="7"/>
        <v>132</v>
      </c>
      <c r="AD29" s="109">
        <v>45306</v>
      </c>
    </row>
    <row r="30" spans="1:31" x14ac:dyDescent="0.15">
      <c r="A30" s="63" t="s">
        <v>45</v>
      </c>
      <c r="B30" s="9"/>
      <c r="C30" s="10">
        <v>15</v>
      </c>
      <c r="D30" s="10">
        <v>3</v>
      </c>
      <c r="E30" s="8">
        <f t="shared" si="0"/>
        <v>18</v>
      </c>
      <c r="F30" s="9"/>
      <c r="G30" s="10">
        <v>15</v>
      </c>
      <c r="H30" s="10">
        <v>3</v>
      </c>
      <c r="I30" s="8">
        <f t="shared" si="1"/>
        <v>18</v>
      </c>
      <c r="J30" s="9"/>
      <c r="K30" s="10">
        <v>15</v>
      </c>
      <c r="L30" s="10">
        <v>3</v>
      </c>
      <c r="M30" s="39">
        <f t="shared" si="2"/>
        <v>18</v>
      </c>
      <c r="N30" s="138">
        <f t="shared" si="6"/>
        <v>54</v>
      </c>
      <c r="O30" s="21">
        <v>45279</v>
      </c>
      <c r="P30" s="11"/>
      <c r="Q30" s="9"/>
      <c r="R30" s="10"/>
      <c r="S30" s="10"/>
      <c r="T30" s="8">
        <f t="shared" si="3"/>
        <v>0</v>
      </c>
      <c r="U30" s="9"/>
      <c r="V30" s="10"/>
      <c r="W30" s="10"/>
      <c r="X30" s="8">
        <f t="shared" si="4"/>
        <v>0</v>
      </c>
      <c r="Y30" s="9"/>
      <c r="Z30" s="10"/>
      <c r="AA30" s="10"/>
      <c r="AB30" s="8">
        <f t="shared" si="5"/>
        <v>0</v>
      </c>
      <c r="AC30" s="86">
        <f t="shared" si="7"/>
        <v>0</v>
      </c>
      <c r="AD30" s="116"/>
    </row>
    <row r="31" spans="1:31" x14ac:dyDescent="0.15">
      <c r="A31" s="33" t="s">
        <v>36</v>
      </c>
      <c r="B31" s="9"/>
      <c r="C31" s="10">
        <v>1</v>
      </c>
      <c r="D31" s="10"/>
      <c r="E31" s="8">
        <f t="shared" si="0"/>
        <v>1</v>
      </c>
      <c r="F31" s="9"/>
      <c r="G31" s="10">
        <v>1</v>
      </c>
      <c r="H31" s="10"/>
      <c r="I31" s="8">
        <f t="shared" si="1"/>
        <v>1</v>
      </c>
      <c r="J31" s="9"/>
      <c r="K31" s="10">
        <v>1</v>
      </c>
      <c r="L31" s="10"/>
      <c r="M31" s="39">
        <f t="shared" si="2"/>
        <v>1</v>
      </c>
      <c r="N31" s="138">
        <f t="shared" si="6"/>
        <v>3</v>
      </c>
      <c r="O31" s="21">
        <v>45275</v>
      </c>
      <c r="P31" s="4"/>
      <c r="Q31" s="9"/>
      <c r="R31" s="10"/>
      <c r="S31" s="10"/>
      <c r="T31" s="8">
        <f t="shared" si="3"/>
        <v>0</v>
      </c>
      <c r="U31" s="9"/>
      <c r="V31" s="10"/>
      <c r="W31" s="10"/>
      <c r="X31" s="8">
        <f t="shared" si="4"/>
        <v>0</v>
      </c>
      <c r="Y31" s="9"/>
      <c r="Z31" s="10"/>
      <c r="AA31" s="10"/>
      <c r="AB31" s="8">
        <f t="shared" si="5"/>
        <v>0</v>
      </c>
      <c r="AC31" s="86">
        <f t="shared" si="7"/>
        <v>0</v>
      </c>
      <c r="AD31" s="116"/>
    </row>
    <row r="32" spans="1:31" x14ac:dyDescent="0.15">
      <c r="A32" s="63" t="s">
        <v>49</v>
      </c>
      <c r="B32" s="9">
        <v>5</v>
      </c>
      <c r="C32" s="10"/>
      <c r="D32" s="10"/>
      <c r="E32" s="8">
        <f t="shared" si="0"/>
        <v>5</v>
      </c>
      <c r="F32" s="9">
        <v>5</v>
      </c>
      <c r="G32" s="10"/>
      <c r="H32" s="10"/>
      <c r="I32" s="8">
        <f t="shared" si="1"/>
        <v>5</v>
      </c>
      <c r="J32" s="9">
        <v>5</v>
      </c>
      <c r="K32" s="10"/>
      <c r="L32" s="10"/>
      <c r="M32" s="39">
        <f t="shared" si="2"/>
        <v>5</v>
      </c>
      <c r="N32" s="138">
        <f t="shared" si="6"/>
        <v>15</v>
      </c>
      <c r="O32" s="21">
        <v>45281</v>
      </c>
      <c r="P32" s="11"/>
      <c r="Q32" s="9"/>
      <c r="R32" s="10"/>
      <c r="S32" s="10"/>
      <c r="T32" s="8">
        <f t="shared" si="3"/>
        <v>0</v>
      </c>
      <c r="U32" s="9"/>
      <c r="V32" s="10"/>
      <c r="W32" s="10"/>
      <c r="X32" s="8">
        <f t="shared" si="4"/>
        <v>0</v>
      </c>
      <c r="Y32" s="9"/>
      <c r="Z32" s="10"/>
      <c r="AA32" s="10"/>
      <c r="AB32" s="8">
        <f t="shared" si="5"/>
        <v>0</v>
      </c>
      <c r="AC32" s="86">
        <f t="shared" si="7"/>
        <v>0</v>
      </c>
      <c r="AD32" s="116"/>
    </row>
    <row r="33" spans="1:31" x14ac:dyDescent="0.15">
      <c r="A33" s="33" t="s">
        <v>51</v>
      </c>
      <c r="B33" s="9">
        <v>3</v>
      </c>
      <c r="C33" s="10"/>
      <c r="D33" s="10"/>
      <c r="E33" s="8">
        <f t="shared" si="0"/>
        <v>3</v>
      </c>
      <c r="F33" s="9">
        <v>3</v>
      </c>
      <c r="G33" s="10"/>
      <c r="H33" s="10"/>
      <c r="I33" s="8">
        <f t="shared" si="1"/>
        <v>3</v>
      </c>
      <c r="J33" s="9">
        <v>3</v>
      </c>
      <c r="K33" s="10"/>
      <c r="L33" s="10"/>
      <c r="M33" s="39">
        <f t="shared" si="2"/>
        <v>3</v>
      </c>
      <c r="N33" s="138">
        <f t="shared" si="6"/>
        <v>9</v>
      </c>
      <c r="O33" s="21">
        <v>45282</v>
      </c>
      <c r="P33" s="11"/>
      <c r="Q33" s="9"/>
      <c r="R33" s="10"/>
      <c r="S33" s="10"/>
      <c r="T33" s="8">
        <f t="shared" si="3"/>
        <v>0</v>
      </c>
      <c r="U33" s="9"/>
      <c r="V33" s="10"/>
      <c r="W33" s="10"/>
      <c r="X33" s="8">
        <f t="shared" si="4"/>
        <v>0</v>
      </c>
      <c r="Y33" s="9"/>
      <c r="Z33" s="10"/>
      <c r="AA33" s="10"/>
      <c r="AB33" s="8">
        <f t="shared" si="5"/>
        <v>0</v>
      </c>
      <c r="AC33" s="86">
        <f t="shared" si="7"/>
        <v>0</v>
      </c>
      <c r="AD33" s="116"/>
    </row>
    <row r="34" spans="1:31" x14ac:dyDescent="0.15">
      <c r="A34" s="33" t="s">
        <v>53</v>
      </c>
      <c r="B34" s="9">
        <v>1</v>
      </c>
      <c r="C34" s="10"/>
      <c r="D34" s="10"/>
      <c r="E34" s="8">
        <f t="shared" si="0"/>
        <v>1</v>
      </c>
      <c r="F34" s="9">
        <v>1</v>
      </c>
      <c r="G34" s="10"/>
      <c r="H34" s="10"/>
      <c r="I34" s="8">
        <f t="shared" si="1"/>
        <v>1</v>
      </c>
      <c r="J34" s="9">
        <v>1</v>
      </c>
      <c r="K34" s="10"/>
      <c r="L34" s="10"/>
      <c r="M34" s="39">
        <f t="shared" si="2"/>
        <v>1</v>
      </c>
      <c r="N34" s="138">
        <f t="shared" si="6"/>
        <v>3</v>
      </c>
      <c r="O34" s="21">
        <v>45285</v>
      </c>
      <c r="P34" s="11"/>
      <c r="Q34" s="9"/>
      <c r="R34" s="10"/>
      <c r="S34" s="10"/>
      <c r="T34" s="8">
        <f t="shared" si="3"/>
        <v>0</v>
      </c>
      <c r="U34" s="9"/>
      <c r="V34" s="10"/>
      <c r="W34" s="10"/>
      <c r="X34" s="8">
        <f t="shared" si="4"/>
        <v>0</v>
      </c>
      <c r="Y34" s="9"/>
      <c r="Z34" s="10"/>
      <c r="AA34" s="10"/>
      <c r="AB34" s="8">
        <f t="shared" si="5"/>
        <v>0</v>
      </c>
      <c r="AC34" s="86">
        <f t="shared" si="7"/>
        <v>0</v>
      </c>
      <c r="AD34" s="116"/>
    </row>
    <row r="35" spans="1:31" x14ac:dyDescent="0.15">
      <c r="A35" s="33" t="s">
        <v>54</v>
      </c>
      <c r="B35" s="9">
        <v>1</v>
      </c>
      <c r="C35" s="10"/>
      <c r="D35" s="10">
        <v>1</v>
      </c>
      <c r="E35" s="8">
        <f t="shared" si="0"/>
        <v>2</v>
      </c>
      <c r="F35" s="9">
        <v>1</v>
      </c>
      <c r="G35" s="10"/>
      <c r="H35" s="10">
        <v>1</v>
      </c>
      <c r="I35" s="8">
        <f t="shared" si="1"/>
        <v>2</v>
      </c>
      <c r="J35" s="9">
        <v>1</v>
      </c>
      <c r="K35" s="10"/>
      <c r="L35" s="10">
        <v>1</v>
      </c>
      <c r="M35" s="39">
        <f t="shared" si="2"/>
        <v>2</v>
      </c>
      <c r="N35" s="138">
        <f t="shared" si="6"/>
        <v>6</v>
      </c>
      <c r="O35" s="21">
        <v>45287</v>
      </c>
      <c r="P35" s="11"/>
      <c r="Q35" s="9"/>
      <c r="R35" s="10"/>
      <c r="S35" s="10"/>
      <c r="T35" s="8">
        <f t="shared" si="3"/>
        <v>0</v>
      </c>
      <c r="U35" s="9"/>
      <c r="V35" s="10"/>
      <c r="W35" s="10"/>
      <c r="X35" s="8">
        <f t="shared" si="4"/>
        <v>0</v>
      </c>
      <c r="Y35" s="9"/>
      <c r="Z35" s="10"/>
      <c r="AA35" s="10"/>
      <c r="AB35" s="8">
        <f t="shared" si="5"/>
        <v>0</v>
      </c>
      <c r="AC35" s="86">
        <f t="shared" si="7"/>
        <v>0</v>
      </c>
      <c r="AD35" s="116"/>
    </row>
    <row r="36" spans="1:31" x14ac:dyDescent="0.15">
      <c r="A36" s="33" t="s">
        <v>55</v>
      </c>
      <c r="B36" s="9"/>
      <c r="C36" s="10"/>
      <c r="D36" s="10">
        <v>1</v>
      </c>
      <c r="E36" s="8">
        <f t="shared" si="0"/>
        <v>1</v>
      </c>
      <c r="F36" s="9"/>
      <c r="G36" s="10"/>
      <c r="H36" s="10">
        <v>1</v>
      </c>
      <c r="I36" s="8">
        <f t="shared" si="1"/>
        <v>1</v>
      </c>
      <c r="J36" s="9"/>
      <c r="K36" s="10"/>
      <c r="L36" s="10">
        <v>1</v>
      </c>
      <c r="M36" s="39">
        <f t="shared" si="2"/>
        <v>1</v>
      </c>
      <c r="N36" s="138">
        <f t="shared" si="6"/>
        <v>3</v>
      </c>
      <c r="O36" s="21">
        <v>45288</v>
      </c>
      <c r="P36" s="11"/>
      <c r="Q36" s="9"/>
      <c r="R36" s="10"/>
      <c r="S36" s="10"/>
      <c r="T36" s="8">
        <f t="shared" si="3"/>
        <v>0</v>
      </c>
      <c r="U36" s="9"/>
      <c r="V36" s="10"/>
      <c r="W36" s="10"/>
      <c r="X36" s="8">
        <f t="shared" si="4"/>
        <v>0</v>
      </c>
      <c r="Y36" s="9"/>
      <c r="Z36" s="10"/>
      <c r="AA36" s="10"/>
      <c r="AB36" s="8">
        <f t="shared" si="5"/>
        <v>0</v>
      </c>
      <c r="AC36" s="86">
        <f t="shared" si="7"/>
        <v>0</v>
      </c>
      <c r="AD36" s="116"/>
    </row>
    <row r="37" spans="1:31" x14ac:dyDescent="0.15">
      <c r="A37" s="33" t="s">
        <v>60</v>
      </c>
      <c r="B37" s="9"/>
      <c r="C37" s="10"/>
      <c r="D37" s="10">
        <v>1</v>
      </c>
      <c r="E37" s="8">
        <f t="shared" si="0"/>
        <v>1</v>
      </c>
      <c r="F37" s="9"/>
      <c r="G37" s="10"/>
      <c r="H37" s="10">
        <v>1</v>
      </c>
      <c r="I37" s="8">
        <f t="shared" si="1"/>
        <v>1</v>
      </c>
      <c r="J37" s="9"/>
      <c r="K37" s="10"/>
      <c r="L37" s="10">
        <v>1</v>
      </c>
      <c r="M37" s="39">
        <f t="shared" si="2"/>
        <v>1</v>
      </c>
      <c r="N37" s="138">
        <f t="shared" si="6"/>
        <v>3</v>
      </c>
      <c r="O37" s="21">
        <v>45300</v>
      </c>
      <c r="P37" s="11" t="s">
        <v>23</v>
      </c>
      <c r="Q37" s="9"/>
      <c r="R37" s="10"/>
      <c r="S37" s="10"/>
      <c r="T37" s="8">
        <f t="shared" si="3"/>
        <v>0</v>
      </c>
      <c r="U37" s="9"/>
      <c r="V37" s="10"/>
      <c r="W37" s="10"/>
      <c r="X37" s="8">
        <f t="shared" si="4"/>
        <v>0</v>
      </c>
      <c r="Y37" s="9"/>
      <c r="Z37" s="10"/>
      <c r="AA37" s="10"/>
      <c r="AB37" s="8">
        <f t="shared" si="5"/>
        <v>0</v>
      </c>
      <c r="AC37" s="86">
        <f t="shared" si="7"/>
        <v>0</v>
      </c>
      <c r="AD37" s="116" t="s">
        <v>24</v>
      </c>
    </row>
    <row r="38" spans="1:31" x14ac:dyDescent="0.15">
      <c r="A38" s="33" t="s">
        <v>61</v>
      </c>
      <c r="B38" s="9">
        <v>1</v>
      </c>
      <c r="C38" s="10">
        <v>1</v>
      </c>
      <c r="D38" s="10"/>
      <c r="E38" s="8">
        <f t="shared" si="0"/>
        <v>2</v>
      </c>
      <c r="F38" s="9">
        <v>1</v>
      </c>
      <c r="G38" s="10">
        <v>1</v>
      </c>
      <c r="H38" s="10"/>
      <c r="I38" s="8">
        <f t="shared" si="1"/>
        <v>2</v>
      </c>
      <c r="J38" s="9">
        <v>1</v>
      </c>
      <c r="K38" s="10">
        <v>1</v>
      </c>
      <c r="L38" s="10"/>
      <c r="M38" s="39">
        <f t="shared" si="2"/>
        <v>2</v>
      </c>
      <c r="N38" s="138">
        <f t="shared" si="6"/>
        <v>6</v>
      </c>
      <c r="O38" s="21">
        <v>45302</v>
      </c>
      <c r="P38" s="11" t="s">
        <v>22</v>
      </c>
      <c r="Q38" s="60"/>
      <c r="R38" s="61"/>
      <c r="S38" s="61"/>
      <c r="T38" s="8">
        <f t="shared" si="3"/>
        <v>0</v>
      </c>
      <c r="U38" s="60"/>
      <c r="V38" s="61"/>
      <c r="W38" s="61"/>
      <c r="X38" s="8">
        <f t="shared" si="4"/>
        <v>0</v>
      </c>
      <c r="Y38" s="60"/>
      <c r="Z38" s="61"/>
      <c r="AA38" s="61"/>
      <c r="AB38" s="8">
        <f t="shared" si="5"/>
        <v>0</v>
      </c>
      <c r="AC38" s="86">
        <f t="shared" si="7"/>
        <v>0</v>
      </c>
      <c r="AD38" s="116" t="s">
        <v>16</v>
      </c>
      <c r="AE38" s="58"/>
    </row>
    <row r="39" spans="1:31" x14ac:dyDescent="0.15">
      <c r="A39" s="33" t="s">
        <v>62</v>
      </c>
      <c r="B39" s="9">
        <v>1</v>
      </c>
      <c r="C39" s="10"/>
      <c r="D39" s="10"/>
      <c r="E39" s="8">
        <f t="shared" si="0"/>
        <v>1</v>
      </c>
      <c r="F39" s="9"/>
      <c r="G39" s="10">
        <v>1</v>
      </c>
      <c r="H39" s="10"/>
      <c r="I39" s="8">
        <f t="shared" si="1"/>
        <v>1</v>
      </c>
      <c r="J39" s="9"/>
      <c r="K39" s="10"/>
      <c r="L39" s="10">
        <v>1</v>
      </c>
      <c r="M39" s="39">
        <f t="shared" si="2"/>
        <v>1</v>
      </c>
      <c r="N39" s="138">
        <f t="shared" si="6"/>
        <v>3</v>
      </c>
      <c r="O39" s="21">
        <v>45301</v>
      </c>
      <c r="P39" s="11" t="s">
        <v>21</v>
      </c>
      <c r="Q39" s="60"/>
      <c r="R39" s="61"/>
      <c r="S39" s="61"/>
      <c r="T39" s="8">
        <f t="shared" si="3"/>
        <v>0</v>
      </c>
      <c r="U39" s="60"/>
      <c r="V39" s="61"/>
      <c r="W39" s="61"/>
      <c r="X39" s="8">
        <f t="shared" si="4"/>
        <v>0</v>
      </c>
      <c r="Y39" s="60"/>
      <c r="Z39" s="61"/>
      <c r="AA39" s="61"/>
      <c r="AB39" s="8">
        <f t="shared" si="5"/>
        <v>0</v>
      </c>
      <c r="AC39" s="86">
        <f t="shared" si="7"/>
        <v>0</v>
      </c>
      <c r="AD39" s="116" t="s">
        <v>15</v>
      </c>
      <c r="AE39" s="58"/>
    </row>
    <row r="40" spans="1:31" ht="14.25" thickBot="1" x14ac:dyDescent="0.2">
      <c r="A40" s="63" t="s">
        <v>65</v>
      </c>
      <c r="B40" s="9"/>
      <c r="C40" s="10">
        <v>3</v>
      </c>
      <c r="D40" s="22"/>
      <c r="E40" s="8">
        <f t="shared" si="0"/>
        <v>3</v>
      </c>
      <c r="F40" s="9"/>
      <c r="G40" s="10">
        <v>3</v>
      </c>
      <c r="H40" s="22"/>
      <c r="I40" s="8">
        <f t="shared" si="1"/>
        <v>3</v>
      </c>
      <c r="J40" s="9"/>
      <c r="K40" s="10">
        <v>3</v>
      </c>
      <c r="L40" s="22"/>
      <c r="M40" s="39">
        <f t="shared" si="2"/>
        <v>3</v>
      </c>
      <c r="N40" s="139">
        <f t="shared" si="6"/>
        <v>9</v>
      </c>
      <c r="O40" s="21">
        <v>45302</v>
      </c>
      <c r="P40" s="11" t="s">
        <v>20</v>
      </c>
      <c r="Q40" s="60"/>
      <c r="R40" s="61"/>
      <c r="S40" s="22"/>
      <c r="T40" s="8">
        <f t="shared" si="3"/>
        <v>0</v>
      </c>
      <c r="U40" s="60"/>
      <c r="V40" s="61"/>
      <c r="W40" s="22"/>
      <c r="X40" s="8">
        <f t="shared" si="4"/>
        <v>0</v>
      </c>
      <c r="Y40" s="60"/>
      <c r="Z40" s="61"/>
      <c r="AA40" s="22"/>
      <c r="AB40" s="8">
        <f t="shared" si="5"/>
        <v>0</v>
      </c>
      <c r="AC40" s="87">
        <f t="shared" si="7"/>
        <v>0</v>
      </c>
      <c r="AD40" s="116" t="s">
        <v>18</v>
      </c>
      <c r="AE40" s="58"/>
    </row>
    <row r="41" spans="1:31" ht="14.25" thickBot="1" x14ac:dyDescent="0.2">
      <c r="A41" s="104" t="s">
        <v>5</v>
      </c>
      <c r="B41" s="12">
        <f>SUM(B17:B40)</f>
        <v>34</v>
      </c>
      <c r="C41" s="12">
        <f>SUM(C17:C40)</f>
        <v>36</v>
      </c>
      <c r="D41" s="12">
        <f>SUM(D17:D40)</f>
        <v>19</v>
      </c>
      <c r="E41" s="13">
        <f t="shared" si="0"/>
        <v>89</v>
      </c>
      <c r="F41" s="12">
        <f>SUM(F17:F40)</f>
        <v>36</v>
      </c>
      <c r="G41" s="12">
        <f>SUM(G17:G40)</f>
        <v>36</v>
      </c>
      <c r="H41" s="12">
        <f>SUM(H17:H40)</f>
        <v>20</v>
      </c>
      <c r="I41" s="13">
        <f t="shared" si="1"/>
        <v>92</v>
      </c>
      <c r="J41" s="12">
        <f>SUM(J17:J40)</f>
        <v>34</v>
      </c>
      <c r="K41" s="12">
        <f>SUM(K17:K40)</f>
        <v>34</v>
      </c>
      <c r="L41" s="12">
        <f>SUM(L17:L40)</f>
        <v>21</v>
      </c>
      <c r="M41" s="12">
        <f t="shared" si="2"/>
        <v>89</v>
      </c>
      <c r="N41" s="142">
        <f t="shared" si="6"/>
        <v>270</v>
      </c>
      <c r="O41" s="1"/>
      <c r="P41" s="3" t="s">
        <v>5</v>
      </c>
      <c r="Q41" s="12">
        <f>SUM(Q17:Q40)</f>
        <v>89</v>
      </c>
      <c r="R41" s="12">
        <f>SUM(R17:R40)</f>
        <v>117</v>
      </c>
      <c r="S41" s="12">
        <f>SUM(S17:S40)</f>
        <v>93</v>
      </c>
      <c r="T41" s="13">
        <f t="shared" si="3"/>
        <v>299</v>
      </c>
      <c r="U41" s="12">
        <f>SUM(U17:U40)</f>
        <v>89</v>
      </c>
      <c r="V41" s="12">
        <f>SUM(V17:V40)</f>
        <v>117</v>
      </c>
      <c r="W41" s="12">
        <f>SUM(W17:W40)</f>
        <v>93</v>
      </c>
      <c r="X41" s="13">
        <f t="shared" si="4"/>
        <v>299</v>
      </c>
      <c r="Y41" s="12">
        <f>SUM(Y17:Y40)</f>
        <v>89</v>
      </c>
      <c r="Z41" s="12">
        <f>SUM(Z17:Z40)</f>
        <v>117</v>
      </c>
      <c r="AA41" s="12">
        <f>SUM(AA17:AA40)</f>
        <v>93</v>
      </c>
      <c r="AB41" s="13">
        <f t="shared" si="5"/>
        <v>299</v>
      </c>
      <c r="AC41" s="88">
        <f t="shared" si="7"/>
        <v>897</v>
      </c>
    </row>
    <row r="42" spans="1:31" ht="14.25" thickBot="1" x14ac:dyDescent="0.2">
      <c r="A42" s="105" t="s">
        <v>6</v>
      </c>
      <c r="B42" s="20">
        <f>B16-B41</f>
        <v>16</v>
      </c>
      <c r="C42" s="20">
        <f t="shared" ref="C42:E42" si="14">C16-C41</f>
        <v>14</v>
      </c>
      <c r="D42" s="20">
        <f t="shared" ref="D42" si="15">D16-D41</f>
        <v>12</v>
      </c>
      <c r="E42" s="18">
        <f t="shared" si="14"/>
        <v>42</v>
      </c>
      <c r="F42" s="20">
        <f>F16-F41</f>
        <v>14</v>
      </c>
      <c r="G42" s="20">
        <f t="shared" ref="G42:I42" si="16">G16-G41</f>
        <v>14</v>
      </c>
      <c r="H42" s="20">
        <f t="shared" si="16"/>
        <v>11</v>
      </c>
      <c r="I42" s="18">
        <f t="shared" si="16"/>
        <v>39</v>
      </c>
      <c r="J42" s="20">
        <f>J16-J41</f>
        <v>16</v>
      </c>
      <c r="K42" s="20">
        <f t="shared" ref="K42:M42" si="17">K16-K41</f>
        <v>16</v>
      </c>
      <c r="L42" s="20">
        <f t="shared" si="17"/>
        <v>10</v>
      </c>
      <c r="M42" s="20">
        <f t="shared" si="17"/>
        <v>42</v>
      </c>
      <c r="N42" s="140">
        <f t="shared" si="6"/>
        <v>123</v>
      </c>
      <c r="O42" s="1"/>
      <c r="P42" s="19" t="s">
        <v>6</v>
      </c>
      <c r="Q42" s="20">
        <f>Q16-Q41</f>
        <v>611</v>
      </c>
      <c r="R42" s="20">
        <f t="shared" ref="R42:S42" si="18">R16-R41</f>
        <v>683</v>
      </c>
      <c r="S42" s="20">
        <f t="shared" si="18"/>
        <v>407</v>
      </c>
      <c r="T42" s="18">
        <f t="shared" ref="T42" si="19">T16-T41</f>
        <v>1701</v>
      </c>
      <c r="U42" s="20">
        <f>U16-U41</f>
        <v>611</v>
      </c>
      <c r="V42" s="20">
        <f t="shared" ref="V42:X42" si="20">V16-V41</f>
        <v>683</v>
      </c>
      <c r="W42" s="20">
        <f t="shared" si="20"/>
        <v>407</v>
      </c>
      <c r="X42" s="18">
        <f t="shared" si="20"/>
        <v>1701</v>
      </c>
      <c r="Y42" s="20">
        <f>Y16-Y41</f>
        <v>611</v>
      </c>
      <c r="Z42" s="20">
        <f t="shared" ref="Z42:AB42" si="21">Z16-Z41</f>
        <v>683</v>
      </c>
      <c r="AA42" s="20">
        <f t="shared" si="21"/>
        <v>407</v>
      </c>
      <c r="AB42" s="18">
        <f t="shared" si="21"/>
        <v>1701</v>
      </c>
      <c r="AC42" s="88">
        <f t="shared" si="7"/>
        <v>5103</v>
      </c>
    </row>
    <row r="44" spans="1:31" ht="21" x14ac:dyDescent="0.15">
      <c r="A44" s="99"/>
      <c r="P44" s="30"/>
    </row>
    <row r="45" spans="1:31" ht="19.5" thickBot="1" x14ac:dyDescent="0.25">
      <c r="A45" s="108" t="s">
        <v>264</v>
      </c>
      <c r="B45" s="47"/>
      <c r="C45" s="47"/>
      <c r="D45" s="47"/>
      <c r="E45" s="47"/>
      <c r="F45" s="48"/>
      <c r="G45" s="48"/>
      <c r="H45" s="48"/>
      <c r="I45" s="48"/>
      <c r="J45" s="48"/>
      <c r="K45" s="48"/>
      <c r="L45" s="1"/>
      <c r="M45" s="1"/>
      <c r="N45" s="137"/>
      <c r="O45" s="1"/>
      <c r="P45" s="43" t="s">
        <v>29</v>
      </c>
      <c r="Q45" s="44"/>
      <c r="R45" s="44"/>
      <c r="S45" s="44"/>
      <c r="T45" s="44"/>
      <c r="U45" s="45"/>
      <c r="V45" s="45"/>
      <c r="W45" s="45"/>
      <c r="X45" s="45"/>
      <c r="Y45" s="46"/>
      <c r="Z45" s="53"/>
      <c r="AA45" s="1"/>
      <c r="AB45" s="1"/>
    </row>
    <row r="46" spans="1:31" ht="14.25" thickBot="1" x14ac:dyDescent="0.2">
      <c r="A46" s="100" t="s">
        <v>0</v>
      </c>
      <c r="B46" s="337" t="s">
        <v>11</v>
      </c>
      <c r="C46" s="337"/>
      <c r="D46" s="337"/>
      <c r="E46" s="338"/>
      <c r="F46" s="339" t="s">
        <v>9</v>
      </c>
      <c r="G46" s="340"/>
      <c r="H46" s="340"/>
      <c r="I46" s="341"/>
      <c r="J46" s="342" t="s">
        <v>12</v>
      </c>
      <c r="K46" s="343"/>
      <c r="L46" s="343"/>
      <c r="M46" s="343"/>
      <c r="N46" s="347" t="s">
        <v>13</v>
      </c>
      <c r="O46" s="1"/>
      <c r="P46" s="2" t="s">
        <v>0</v>
      </c>
      <c r="Q46" s="337" t="s">
        <v>11</v>
      </c>
      <c r="R46" s="337"/>
      <c r="S46" s="337"/>
      <c r="T46" s="338"/>
      <c r="U46" s="339" t="s">
        <v>9</v>
      </c>
      <c r="V46" s="340"/>
      <c r="W46" s="340"/>
      <c r="X46" s="341"/>
      <c r="Y46" s="342" t="s">
        <v>12</v>
      </c>
      <c r="Z46" s="343"/>
      <c r="AA46" s="343"/>
      <c r="AB46" s="343"/>
      <c r="AC46" s="345" t="s">
        <v>13</v>
      </c>
    </row>
    <row r="47" spans="1:31" ht="14.25" thickBot="1" x14ac:dyDescent="0.2">
      <c r="A47" s="100" t="s">
        <v>1</v>
      </c>
      <c r="B47" s="3" t="s">
        <v>7</v>
      </c>
      <c r="C47" s="2" t="s">
        <v>10</v>
      </c>
      <c r="D47" s="2" t="s">
        <v>8</v>
      </c>
      <c r="E47" s="2" t="s">
        <v>2</v>
      </c>
      <c r="F47" s="3" t="s">
        <v>7</v>
      </c>
      <c r="G47" s="2" t="s">
        <v>10</v>
      </c>
      <c r="H47" s="2" t="s">
        <v>8</v>
      </c>
      <c r="I47" s="2" t="s">
        <v>2</v>
      </c>
      <c r="J47" s="3" t="s">
        <v>7</v>
      </c>
      <c r="K47" s="2" t="s">
        <v>10</v>
      </c>
      <c r="L47" s="2" t="s">
        <v>8</v>
      </c>
      <c r="M47" s="3" t="s">
        <v>2</v>
      </c>
      <c r="N47" s="348"/>
      <c r="O47" s="1"/>
      <c r="P47" s="2" t="s">
        <v>1</v>
      </c>
      <c r="Q47" s="3" t="s">
        <v>7</v>
      </c>
      <c r="R47" s="2" t="s">
        <v>10</v>
      </c>
      <c r="S47" s="2" t="s">
        <v>8</v>
      </c>
      <c r="T47" s="2" t="s">
        <v>2</v>
      </c>
      <c r="U47" s="3" t="s">
        <v>7</v>
      </c>
      <c r="V47" s="2" t="s">
        <v>10</v>
      </c>
      <c r="W47" s="2" t="s">
        <v>8</v>
      </c>
      <c r="X47" s="2" t="s">
        <v>2</v>
      </c>
      <c r="Y47" s="3" t="s">
        <v>7</v>
      </c>
      <c r="Z47" s="2" t="s">
        <v>10</v>
      </c>
      <c r="AA47" s="2" t="s">
        <v>8</v>
      </c>
      <c r="AB47" s="2" t="s">
        <v>2</v>
      </c>
      <c r="AC47" s="346"/>
    </row>
    <row r="48" spans="1:31" x14ac:dyDescent="0.15">
      <c r="A48" s="106" t="s">
        <v>6</v>
      </c>
      <c r="B48" s="41">
        <f>B42</f>
        <v>16</v>
      </c>
      <c r="C48" s="41">
        <f t="shared" ref="C48:M48" si="22">C42</f>
        <v>14</v>
      </c>
      <c r="D48" s="41">
        <f t="shared" si="22"/>
        <v>12</v>
      </c>
      <c r="E48" s="42">
        <f t="shared" si="22"/>
        <v>42</v>
      </c>
      <c r="F48" s="41">
        <f>F42</f>
        <v>14</v>
      </c>
      <c r="G48" s="41">
        <f t="shared" si="22"/>
        <v>14</v>
      </c>
      <c r="H48" s="41">
        <f t="shared" si="22"/>
        <v>11</v>
      </c>
      <c r="I48" s="42">
        <f t="shared" si="22"/>
        <v>39</v>
      </c>
      <c r="J48" s="41">
        <f>J42</f>
        <v>16</v>
      </c>
      <c r="K48" s="41">
        <f t="shared" si="22"/>
        <v>16</v>
      </c>
      <c r="L48" s="41">
        <f t="shared" si="22"/>
        <v>10</v>
      </c>
      <c r="M48" s="42">
        <f t="shared" si="22"/>
        <v>42</v>
      </c>
      <c r="N48" s="143">
        <f>E48+I48+M48</f>
        <v>123</v>
      </c>
      <c r="O48" s="24"/>
      <c r="P48" s="36" t="s">
        <v>6</v>
      </c>
      <c r="Q48" s="41">
        <f>Q42</f>
        <v>611</v>
      </c>
      <c r="R48" s="41">
        <f t="shared" ref="R48:T48" si="23">R42</f>
        <v>683</v>
      </c>
      <c r="S48" s="41">
        <f t="shared" si="23"/>
        <v>407</v>
      </c>
      <c r="T48" s="42">
        <f t="shared" si="23"/>
        <v>1701</v>
      </c>
      <c r="U48" s="41">
        <f>U42</f>
        <v>611</v>
      </c>
      <c r="V48" s="41">
        <f t="shared" ref="V48:X48" si="24">V42</f>
        <v>683</v>
      </c>
      <c r="W48" s="41">
        <f t="shared" si="24"/>
        <v>407</v>
      </c>
      <c r="X48" s="42">
        <f t="shared" si="24"/>
        <v>1701</v>
      </c>
      <c r="Y48" s="41">
        <f>Y42</f>
        <v>611</v>
      </c>
      <c r="Z48" s="41">
        <f t="shared" ref="Z48:AB48" si="25">Z42</f>
        <v>683</v>
      </c>
      <c r="AA48" s="41">
        <f t="shared" si="25"/>
        <v>407</v>
      </c>
      <c r="AB48" s="42">
        <f t="shared" si="25"/>
        <v>1701</v>
      </c>
      <c r="AC48" s="90">
        <f>T48+X48+AB48</f>
        <v>5103</v>
      </c>
    </row>
    <row r="49" spans="1:31" x14ac:dyDescent="0.15">
      <c r="A49" s="102" t="s">
        <v>3</v>
      </c>
      <c r="B49" s="25"/>
      <c r="C49" s="26"/>
      <c r="D49" s="26">
        <v>5</v>
      </c>
      <c r="E49" s="5">
        <f t="shared" ref="E49:E84" si="26">SUM(B49:D49)</f>
        <v>5</v>
      </c>
      <c r="F49" s="25"/>
      <c r="G49" s="26"/>
      <c r="H49" s="26">
        <v>5</v>
      </c>
      <c r="I49" s="5">
        <f t="shared" ref="I49:I84" si="27">SUM(F49:H49)</f>
        <v>5</v>
      </c>
      <c r="J49" s="25"/>
      <c r="K49" s="26"/>
      <c r="L49" s="26">
        <v>5</v>
      </c>
      <c r="M49" s="38">
        <f t="shared" ref="M49:M84" si="28">SUM(J49:L49)</f>
        <v>5</v>
      </c>
      <c r="N49" s="138">
        <f t="shared" ref="N49:N85" si="29">E49+I49+M49</f>
        <v>15</v>
      </c>
      <c r="O49" s="24">
        <v>45302</v>
      </c>
      <c r="P49" s="6" t="s">
        <v>3</v>
      </c>
      <c r="Q49" s="14"/>
      <c r="R49" s="11"/>
      <c r="S49" s="11"/>
      <c r="T49" s="5">
        <f t="shared" ref="T49:T84" si="30">SUM(Q49:S49)</f>
        <v>0</v>
      </c>
      <c r="U49" s="14"/>
      <c r="V49" s="11"/>
      <c r="W49" s="11"/>
      <c r="X49" s="5">
        <f t="shared" ref="X49:X84" si="31">SUM(U49:W49)</f>
        <v>0</v>
      </c>
      <c r="Y49" s="25"/>
      <c r="Z49" s="26"/>
      <c r="AA49" s="26"/>
      <c r="AB49" s="5">
        <f t="shared" ref="AB49:AB84" si="32">SUM(Y49:AA49)</f>
        <v>0</v>
      </c>
      <c r="AC49" s="86">
        <f t="shared" ref="AC49:AC85" si="33">T49+X49+AB49</f>
        <v>0</v>
      </c>
      <c r="AD49" s="116"/>
    </row>
    <row r="50" spans="1:31" x14ac:dyDescent="0.15">
      <c r="A50" s="102" t="s">
        <v>57</v>
      </c>
      <c r="B50" s="14"/>
      <c r="C50" s="11">
        <v>1</v>
      </c>
      <c r="D50" s="11"/>
      <c r="E50" s="5">
        <f t="shared" si="26"/>
        <v>1</v>
      </c>
      <c r="F50" s="34"/>
      <c r="G50" s="11">
        <v>1</v>
      </c>
      <c r="H50" s="11"/>
      <c r="I50" s="5">
        <f t="shared" si="27"/>
        <v>1</v>
      </c>
      <c r="J50" s="34"/>
      <c r="K50" s="11">
        <v>1</v>
      </c>
      <c r="L50" s="11"/>
      <c r="M50" s="38">
        <f t="shared" si="28"/>
        <v>1</v>
      </c>
      <c r="N50" s="138">
        <f t="shared" si="29"/>
        <v>3</v>
      </c>
      <c r="O50" s="21">
        <v>45320</v>
      </c>
      <c r="P50" s="6" t="s">
        <v>3</v>
      </c>
      <c r="Q50" s="25"/>
      <c r="R50" s="26"/>
      <c r="S50" s="26"/>
      <c r="T50" s="8">
        <f t="shared" si="30"/>
        <v>0</v>
      </c>
      <c r="U50" s="25"/>
      <c r="V50" s="26"/>
      <c r="W50" s="26"/>
      <c r="X50" s="8">
        <f t="shared" si="31"/>
        <v>0</v>
      </c>
      <c r="Y50" s="34"/>
      <c r="Z50" s="11"/>
      <c r="AA50" s="11"/>
      <c r="AB50" s="5">
        <f t="shared" si="32"/>
        <v>0</v>
      </c>
      <c r="AC50" s="86">
        <f t="shared" si="33"/>
        <v>0</v>
      </c>
      <c r="AD50" s="116"/>
    </row>
    <row r="51" spans="1:31" x14ac:dyDescent="0.15">
      <c r="A51" s="102" t="s">
        <v>80</v>
      </c>
      <c r="B51" s="14">
        <v>1</v>
      </c>
      <c r="C51" s="11"/>
      <c r="D51" s="11"/>
      <c r="E51" s="5">
        <f t="shared" si="26"/>
        <v>1</v>
      </c>
      <c r="F51" s="34">
        <v>1</v>
      </c>
      <c r="G51" s="11"/>
      <c r="H51" s="11"/>
      <c r="I51" s="5">
        <f t="shared" si="27"/>
        <v>1</v>
      </c>
      <c r="J51" s="34">
        <v>1</v>
      </c>
      <c r="K51" s="11"/>
      <c r="L51" s="11"/>
      <c r="M51" s="38">
        <f t="shared" si="28"/>
        <v>1</v>
      </c>
      <c r="N51" s="138">
        <f t="shared" si="29"/>
        <v>3</v>
      </c>
      <c r="O51" s="21">
        <v>45321</v>
      </c>
      <c r="P51" s="6" t="s">
        <v>3</v>
      </c>
      <c r="Q51" s="14"/>
      <c r="R51" s="11"/>
      <c r="S51" s="11"/>
      <c r="T51" s="5">
        <f t="shared" si="30"/>
        <v>0</v>
      </c>
      <c r="U51" s="14"/>
      <c r="V51" s="11"/>
      <c r="W51" s="11"/>
      <c r="X51" s="5">
        <f t="shared" si="31"/>
        <v>0</v>
      </c>
      <c r="Y51" s="34"/>
      <c r="Z51" s="11"/>
      <c r="AA51" s="11"/>
      <c r="AB51" s="5">
        <f t="shared" si="32"/>
        <v>0</v>
      </c>
      <c r="AC51" s="86">
        <f t="shared" si="33"/>
        <v>0</v>
      </c>
      <c r="AD51" s="116"/>
    </row>
    <row r="52" spans="1:31" x14ac:dyDescent="0.15">
      <c r="A52" s="102" t="s">
        <v>3</v>
      </c>
      <c r="B52" s="14"/>
      <c r="C52" s="11">
        <v>10</v>
      </c>
      <c r="D52" s="11"/>
      <c r="E52" s="5">
        <f t="shared" si="26"/>
        <v>10</v>
      </c>
      <c r="F52" s="34"/>
      <c r="G52" s="11">
        <v>10</v>
      </c>
      <c r="H52" s="11">
        <v>10</v>
      </c>
      <c r="I52" s="5">
        <f t="shared" si="27"/>
        <v>20</v>
      </c>
      <c r="J52" s="34"/>
      <c r="K52" s="11">
        <v>10</v>
      </c>
      <c r="L52" s="11">
        <v>10</v>
      </c>
      <c r="M52" s="38">
        <f t="shared" si="28"/>
        <v>20</v>
      </c>
      <c r="N52" s="138">
        <f t="shared" si="29"/>
        <v>50</v>
      </c>
      <c r="O52" s="21">
        <v>45325</v>
      </c>
      <c r="P52" s="6" t="s">
        <v>3</v>
      </c>
      <c r="Q52" s="14"/>
      <c r="R52" s="11"/>
      <c r="S52" s="11"/>
      <c r="T52" s="5">
        <f t="shared" si="30"/>
        <v>0</v>
      </c>
      <c r="U52" s="14"/>
      <c r="V52" s="11"/>
      <c r="W52" s="11"/>
      <c r="X52" s="5">
        <f t="shared" si="31"/>
        <v>0</v>
      </c>
      <c r="Y52" s="34"/>
      <c r="Z52" s="11"/>
      <c r="AA52" s="11"/>
      <c r="AB52" s="5">
        <f t="shared" si="32"/>
        <v>0</v>
      </c>
      <c r="AC52" s="86">
        <f t="shared" si="33"/>
        <v>0</v>
      </c>
      <c r="AD52" s="116"/>
    </row>
    <row r="53" spans="1:31" x14ac:dyDescent="0.15">
      <c r="A53" s="102" t="s">
        <v>3</v>
      </c>
      <c r="B53" s="14">
        <v>10</v>
      </c>
      <c r="C53" s="11">
        <v>10</v>
      </c>
      <c r="D53" s="11">
        <v>10</v>
      </c>
      <c r="E53" s="5">
        <f t="shared" si="26"/>
        <v>30</v>
      </c>
      <c r="F53" s="34">
        <v>10</v>
      </c>
      <c r="G53" s="11">
        <v>10</v>
      </c>
      <c r="H53" s="11"/>
      <c r="I53" s="5">
        <f t="shared" si="27"/>
        <v>20</v>
      </c>
      <c r="J53" s="34">
        <v>10</v>
      </c>
      <c r="K53" s="11">
        <v>10</v>
      </c>
      <c r="L53" s="11"/>
      <c r="M53" s="38">
        <f t="shared" si="28"/>
        <v>20</v>
      </c>
      <c r="N53" s="138">
        <f t="shared" si="29"/>
        <v>70</v>
      </c>
      <c r="O53" s="21">
        <v>45336</v>
      </c>
      <c r="P53" s="6" t="s">
        <v>3</v>
      </c>
      <c r="Q53" s="14"/>
      <c r="R53" s="11"/>
      <c r="S53" s="11"/>
      <c r="T53" s="5">
        <f t="shared" si="30"/>
        <v>0</v>
      </c>
      <c r="U53" s="14"/>
      <c r="V53" s="11"/>
      <c r="W53" s="11"/>
      <c r="X53" s="5">
        <f t="shared" si="31"/>
        <v>0</v>
      </c>
      <c r="Y53" s="34"/>
      <c r="Z53" s="11"/>
      <c r="AA53" s="11"/>
      <c r="AB53" s="5">
        <f t="shared" si="32"/>
        <v>0</v>
      </c>
      <c r="AC53" s="86">
        <f t="shared" si="33"/>
        <v>0</v>
      </c>
      <c r="AD53" s="116"/>
    </row>
    <row r="54" spans="1:31" x14ac:dyDescent="0.15">
      <c r="A54" s="102" t="s">
        <v>3</v>
      </c>
      <c r="B54" s="25"/>
      <c r="C54" s="26"/>
      <c r="D54" s="26"/>
      <c r="E54" s="8">
        <f t="shared" si="26"/>
        <v>0</v>
      </c>
      <c r="F54" s="25"/>
      <c r="G54" s="26"/>
      <c r="H54" s="26"/>
      <c r="I54" s="8">
        <f t="shared" si="27"/>
        <v>0</v>
      </c>
      <c r="J54" s="25"/>
      <c r="K54" s="26"/>
      <c r="L54" s="26"/>
      <c r="M54" s="39">
        <f t="shared" si="28"/>
        <v>0</v>
      </c>
      <c r="N54" s="138">
        <f t="shared" si="29"/>
        <v>0</v>
      </c>
      <c r="O54" s="24"/>
      <c r="P54" s="6" t="s">
        <v>3</v>
      </c>
      <c r="Q54" s="14"/>
      <c r="R54" s="11"/>
      <c r="S54" s="11"/>
      <c r="T54" s="5">
        <f t="shared" si="30"/>
        <v>0</v>
      </c>
      <c r="U54" s="14"/>
      <c r="V54" s="11"/>
      <c r="W54" s="11"/>
      <c r="X54" s="5">
        <f t="shared" si="31"/>
        <v>0</v>
      </c>
      <c r="Y54" s="25"/>
      <c r="Z54" s="26"/>
      <c r="AA54" s="26"/>
      <c r="AB54" s="8">
        <f t="shared" si="32"/>
        <v>0</v>
      </c>
      <c r="AC54" s="86">
        <f t="shared" si="33"/>
        <v>0</v>
      </c>
      <c r="AD54" s="116"/>
    </row>
    <row r="55" spans="1:31" x14ac:dyDescent="0.15">
      <c r="A55" s="102" t="s">
        <v>3</v>
      </c>
      <c r="B55" s="27"/>
      <c r="C55" s="26"/>
      <c r="D55" s="26"/>
      <c r="E55" s="5">
        <f t="shared" si="26"/>
        <v>0</v>
      </c>
      <c r="F55" s="25"/>
      <c r="G55" s="26"/>
      <c r="H55" s="26"/>
      <c r="I55" s="5">
        <f t="shared" si="27"/>
        <v>0</v>
      </c>
      <c r="J55" s="25"/>
      <c r="K55" s="26"/>
      <c r="L55" s="26"/>
      <c r="M55" s="38">
        <f t="shared" si="28"/>
        <v>0</v>
      </c>
      <c r="N55" s="138">
        <f t="shared" si="29"/>
        <v>0</v>
      </c>
      <c r="O55" s="21"/>
      <c r="P55" s="6" t="s">
        <v>3</v>
      </c>
      <c r="Q55" s="27"/>
      <c r="R55" s="26"/>
      <c r="S55" s="26"/>
      <c r="T55" s="5">
        <f t="shared" si="30"/>
        <v>0</v>
      </c>
      <c r="U55" s="27"/>
      <c r="V55" s="26"/>
      <c r="W55" s="26"/>
      <c r="X55" s="5">
        <f t="shared" si="31"/>
        <v>0</v>
      </c>
      <c r="Y55" s="25"/>
      <c r="Z55" s="26"/>
      <c r="AA55" s="26"/>
      <c r="AB55" s="5">
        <f t="shared" si="32"/>
        <v>0</v>
      </c>
      <c r="AC55" s="86">
        <f t="shared" si="33"/>
        <v>0</v>
      </c>
      <c r="AD55" s="116"/>
    </row>
    <row r="56" spans="1:31" x14ac:dyDescent="0.15">
      <c r="A56" s="102" t="s">
        <v>3</v>
      </c>
      <c r="B56" s="27"/>
      <c r="C56" s="26"/>
      <c r="D56" s="26"/>
      <c r="E56" s="5">
        <f t="shared" si="26"/>
        <v>0</v>
      </c>
      <c r="F56" s="25"/>
      <c r="G56" s="26"/>
      <c r="H56" s="26"/>
      <c r="I56" s="5">
        <f t="shared" si="27"/>
        <v>0</v>
      </c>
      <c r="J56" s="25"/>
      <c r="K56" s="26"/>
      <c r="L56" s="26"/>
      <c r="M56" s="38">
        <f t="shared" si="28"/>
        <v>0</v>
      </c>
      <c r="N56" s="138">
        <f t="shared" si="29"/>
        <v>0</v>
      </c>
      <c r="O56" s="21"/>
      <c r="P56" s="6" t="s">
        <v>3</v>
      </c>
      <c r="Q56" s="14"/>
      <c r="R56" s="11"/>
      <c r="S56" s="11"/>
      <c r="T56" s="5">
        <f t="shared" si="30"/>
        <v>0</v>
      </c>
      <c r="U56" s="14"/>
      <c r="V56" s="11"/>
      <c r="W56" s="11"/>
      <c r="X56" s="5">
        <f t="shared" si="31"/>
        <v>0</v>
      </c>
      <c r="Y56" s="25"/>
      <c r="Z56" s="26"/>
      <c r="AA56" s="26"/>
      <c r="AB56" s="5">
        <f t="shared" si="32"/>
        <v>0</v>
      </c>
      <c r="AC56" s="86">
        <f t="shared" si="33"/>
        <v>0</v>
      </c>
      <c r="AD56" s="116"/>
    </row>
    <row r="57" spans="1:31" x14ac:dyDescent="0.15">
      <c r="A57" s="102" t="s">
        <v>3</v>
      </c>
      <c r="B57" s="27"/>
      <c r="C57" s="26"/>
      <c r="D57" s="26"/>
      <c r="E57" s="5">
        <f t="shared" si="26"/>
        <v>0</v>
      </c>
      <c r="F57" s="25"/>
      <c r="G57" s="26"/>
      <c r="H57" s="26"/>
      <c r="I57" s="5">
        <f t="shared" si="27"/>
        <v>0</v>
      </c>
      <c r="J57" s="25"/>
      <c r="K57" s="26"/>
      <c r="L57" s="26"/>
      <c r="M57" s="38">
        <f t="shared" si="28"/>
        <v>0</v>
      </c>
      <c r="N57" s="138">
        <f t="shared" si="29"/>
        <v>0</v>
      </c>
      <c r="O57" s="23"/>
      <c r="P57" s="6" t="s">
        <v>3</v>
      </c>
      <c r="Q57" s="27"/>
      <c r="R57" s="26"/>
      <c r="S57" s="26"/>
      <c r="T57" s="5">
        <f t="shared" si="30"/>
        <v>0</v>
      </c>
      <c r="U57" s="27"/>
      <c r="V57" s="26"/>
      <c r="W57" s="26"/>
      <c r="X57" s="5">
        <f t="shared" si="31"/>
        <v>0</v>
      </c>
      <c r="Y57" s="25"/>
      <c r="Z57" s="26"/>
      <c r="AA57" s="26"/>
      <c r="AB57" s="5">
        <f t="shared" si="32"/>
        <v>0</v>
      </c>
      <c r="AC57" s="86">
        <f t="shared" si="33"/>
        <v>0</v>
      </c>
      <c r="AD57" s="116"/>
    </row>
    <row r="58" spans="1:31" ht="14.25" thickBot="1" x14ac:dyDescent="0.2">
      <c r="A58" s="102" t="s">
        <v>3</v>
      </c>
      <c r="B58" s="28"/>
      <c r="C58" s="29"/>
      <c r="D58" s="32"/>
      <c r="E58" s="15">
        <f t="shared" si="26"/>
        <v>0</v>
      </c>
      <c r="F58" s="35"/>
      <c r="G58" s="29"/>
      <c r="H58" s="32"/>
      <c r="I58" s="15">
        <f t="shared" si="27"/>
        <v>0</v>
      </c>
      <c r="J58" s="35"/>
      <c r="K58" s="29"/>
      <c r="L58" s="32"/>
      <c r="M58" s="40">
        <f t="shared" si="28"/>
        <v>0</v>
      </c>
      <c r="N58" s="139">
        <f t="shared" si="29"/>
        <v>0</v>
      </c>
      <c r="O58" s="21"/>
      <c r="P58" s="7" t="s">
        <v>3</v>
      </c>
      <c r="Q58" s="28"/>
      <c r="R58" s="29"/>
      <c r="S58" s="29"/>
      <c r="T58" s="15">
        <f t="shared" si="30"/>
        <v>0</v>
      </c>
      <c r="U58" s="28"/>
      <c r="V58" s="29"/>
      <c r="W58" s="29"/>
      <c r="X58" s="15">
        <f t="shared" si="31"/>
        <v>0</v>
      </c>
      <c r="Y58" s="35"/>
      <c r="Z58" s="29"/>
      <c r="AA58" s="32"/>
      <c r="AB58" s="15">
        <f t="shared" si="32"/>
        <v>0</v>
      </c>
      <c r="AC58" s="87">
        <f t="shared" si="33"/>
        <v>0</v>
      </c>
      <c r="AD58" s="116"/>
    </row>
    <row r="59" spans="1:31" ht="14.25" thickBot="1" x14ac:dyDescent="0.2">
      <c r="A59" s="103" t="s">
        <v>4</v>
      </c>
      <c r="B59" s="17">
        <f>SUM(B48:B58)</f>
        <v>27</v>
      </c>
      <c r="C59" s="17">
        <f>SUM(C48:C58)</f>
        <v>35</v>
      </c>
      <c r="D59" s="17">
        <f>SUM(D48:D58)</f>
        <v>27</v>
      </c>
      <c r="E59" s="18">
        <f t="shared" si="26"/>
        <v>89</v>
      </c>
      <c r="F59" s="17">
        <f>SUM(F48:F58)</f>
        <v>25</v>
      </c>
      <c r="G59" s="17">
        <f>SUM(G48:G58)</f>
        <v>35</v>
      </c>
      <c r="H59" s="17">
        <f>SUM(H48:H58)</f>
        <v>26</v>
      </c>
      <c r="I59" s="18">
        <f t="shared" si="27"/>
        <v>86</v>
      </c>
      <c r="J59" s="17">
        <f>SUM(J48:J58)</f>
        <v>27</v>
      </c>
      <c r="K59" s="17">
        <f>SUM(K48:K58)</f>
        <v>37</v>
      </c>
      <c r="L59" s="17">
        <f>SUM(L48:L58)</f>
        <v>25</v>
      </c>
      <c r="M59" s="20">
        <f t="shared" si="28"/>
        <v>89</v>
      </c>
      <c r="N59" s="140">
        <f t="shared" si="29"/>
        <v>264</v>
      </c>
      <c r="O59" s="1"/>
      <c r="P59" s="16" t="s">
        <v>4</v>
      </c>
      <c r="Q59" s="17">
        <f>SUM(Q48:Q58)</f>
        <v>611</v>
      </c>
      <c r="R59" s="17">
        <f>SUM(R48:R58)</f>
        <v>683</v>
      </c>
      <c r="S59" s="17">
        <f>SUM(S48:S58)</f>
        <v>407</v>
      </c>
      <c r="T59" s="18">
        <f t="shared" si="30"/>
        <v>1701</v>
      </c>
      <c r="U59" s="17">
        <f>SUM(U48:U58)</f>
        <v>611</v>
      </c>
      <c r="V59" s="17">
        <f>SUM(V48:V58)</f>
        <v>683</v>
      </c>
      <c r="W59" s="17">
        <f>SUM(W48:W58)</f>
        <v>407</v>
      </c>
      <c r="X59" s="18">
        <f t="shared" si="31"/>
        <v>1701</v>
      </c>
      <c r="Y59" s="17">
        <f>SUM(Y48:Y58)</f>
        <v>611</v>
      </c>
      <c r="Z59" s="17">
        <f>SUM(Z48:Z58)</f>
        <v>683</v>
      </c>
      <c r="AA59" s="17">
        <f>SUM(AA48:AA58)</f>
        <v>407</v>
      </c>
      <c r="AB59" s="18">
        <f t="shared" si="32"/>
        <v>1701</v>
      </c>
      <c r="AC59" s="88">
        <f t="shared" si="33"/>
        <v>5103</v>
      </c>
    </row>
    <row r="60" spans="1:31" x14ac:dyDescent="0.15">
      <c r="A60" s="33" t="s">
        <v>66</v>
      </c>
      <c r="B60" s="9"/>
      <c r="C60" s="10"/>
      <c r="D60" s="31">
        <v>2</v>
      </c>
      <c r="E60" s="5">
        <f t="shared" si="26"/>
        <v>2</v>
      </c>
      <c r="F60" s="9"/>
      <c r="G60" s="10"/>
      <c r="H60" s="31">
        <v>2</v>
      </c>
      <c r="I60" s="5">
        <f t="shared" si="27"/>
        <v>2</v>
      </c>
      <c r="J60" s="9"/>
      <c r="K60" s="10"/>
      <c r="L60" s="31">
        <v>2</v>
      </c>
      <c r="M60" s="38">
        <f t="shared" si="28"/>
        <v>2</v>
      </c>
      <c r="N60" s="141">
        <f t="shared" si="29"/>
        <v>6</v>
      </c>
      <c r="O60" s="21">
        <v>45303</v>
      </c>
      <c r="P60" s="4" t="s">
        <v>68</v>
      </c>
      <c r="Q60" s="9"/>
      <c r="R60" s="10"/>
      <c r="S60" s="31">
        <v>5</v>
      </c>
      <c r="T60" s="5">
        <f t="shared" si="30"/>
        <v>5</v>
      </c>
      <c r="U60" s="9"/>
      <c r="V60" s="10"/>
      <c r="W60" s="31">
        <v>5</v>
      </c>
      <c r="X60" s="5">
        <f t="shared" si="31"/>
        <v>5</v>
      </c>
      <c r="Y60" s="9"/>
      <c r="Z60" s="10"/>
      <c r="AA60" s="31">
        <v>5</v>
      </c>
      <c r="AB60" s="5">
        <f t="shared" si="32"/>
        <v>5</v>
      </c>
      <c r="AC60" s="91">
        <f t="shared" si="33"/>
        <v>15</v>
      </c>
      <c r="AD60" s="109">
        <v>45302</v>
      </c>
    </row>
    <row r="61" spans="1:31" x14ac:dyDescent="0.15">
      <c r="A61" s="33" t="s">
        <v>70</v>
      </c>
      <c r="B61" s="9">
        <v>4</v>
      </c>
      <c r="C61" s="10"/>
      <c r="D61" s="10"/>
      <c r="E61" s="5">
        <f t="shared" si="26"/>
        <v>4</v>
      </c>
      <c r="F61" s="9">
        <v>4</v>
      </c>
      <c r="G61" s="10"/>
      <c r="H61" s="10"/>
      <c r="I61" s="5">
        <f t="shared" si="27"/>
        <v>4</v>
      </c>
      <c r="J61" s="9">
        <v>4</v>
      </c>
      <c r="K61" s="10"/>
      <c r="L61" s="10"/>
      <c r="M61" s="38">
        <f t="shared" si="28"/>
        <v>4</v>
      </c>
      <c r="N61" s="138">
        <f t="shared" si="29"/>
        <v>12</v>
      </c>
      <c r="O61" s="21">
        <v>45308</v>
      </c>
      <c r="P61" s="11" t="s">
        <v>69</v>
      </c>
      <c r="Q61" s="9">
        <v>20</v>
      </c>
      <c r="R61" s="10">
        <v>25</v>
      </c>
      <c r="S61" s="10">
        <v>10</v>
      </c>
      <c r="T61" s="5">
        <f t="shared" si="30"/>
        <v>55</v>
      </c>
      <c r="U61" s="9">
        <v>20</v>
      </c>
      <c r="V61" s="10">
        <v>25</v>
      </c>
      <c r="W61" s="10">
        <v>10</v>
      </c>
      <c r="X61" s="5">
        <f t="shared" si="31"/>
        <v>55</v>
      </c>
      <c r="Y61" s="9">
        <v>20</v>
      </c>
      <c r="Z61" s="10">
        <v>25</v>
      </c>
      <c r="AA61" s="10">
        <v>10</v>
      </c>
      <c r="AB61" s="5">
        <f t="shared" si="32"/>
        <v>55</v>
      </c>
      <c r="AC61" s="86">
        <f t="shared" si="33"/>
        <v>165</v>
      </c>
      <c r="AD61" s="109">
        <v>45308</v>
      </c>
      <c r="AE61" s="58"/>
    </row>
    <row r="62" spans="1:31" x14ac:dyDescent="0.15">
      <c r="A62" s="33" t="s">
        <v>71</v>
      </c>
      <c r="B62" s="9"/>
      <c r="C62" s="10"/>
      <c r="D62" s="10">
        <v>1</v>
      </c>
      <c r="E62" s="5">
        <f t="shared" si="26"/>
        <v>1</v>
      </c>
      <c r="F62" s="9"/>
      <c r="G62" s="10"/>
      <c r="H62" s="10">
        <v>1</v>
      </c>
      <c r="I62" s="5">
        <f t="shared" si="27"/>
        <v>1</v>
      </c>
      <c r="J62" s="9"/>
      <c r="K62" s="10"/>
      <c r="L62" s="10">
        <v>1</v>
      </c>
      <c r="M62" s="38">
        <f t="shared" si="28"/>
        <v>1</v>
      </c>
      <c r="N62" s="138">
        <f t="shared" si="29"/>
        <v>3</v>
      </c>
      <c r="O62" s="21">
        <v>45306</v>
      </c>
      <c r="P62" s="11" t="s">
        <v>72</v>
      </c>
      <c r="Q62" s="9">
        <v>10</v>
      </c>
      <c r="R62" s="10"/>
      <c r="S62" s="10">
        <v>2</v>
      </c>
      <c r="T62" s="5">
        <f t="shared" si="30"/>
        <v>12</v>
      </c>
      <c r="U62" s="9">
        <v>10</v>
      </c>
      <c r="V62" s="10"/>
      <c r="W62" s="10">
        <v>2</v>
      </c>
      <c r="X62" s="5">
        <f t="shared" si="31"/>
        <v>12</v>
      </c>
      <c r="Y62" s="9">
        <v>10</v>
      </c>
      <c r="Z62" s="10"/>
      <c r="AA62" s="10">
        <v>2</v>
      </c>
      <c r="AB62" s="5">
        <f t="shared" si="32"/>
        <v>12</v>
      </c>
      <c r="AC62" s="86">
        <f t="shared" si="33"/>
        <v>36</v>
      </c>
      <c r="AD62" s="109">
        <v>45313</v>
      </c>
      <c r="AE62" s="58"/>
    </row>
    <row r="63" spans="1:31" x14ac:dyDescent="0.15">
      <c r="A63" s="33" t="s">
        <v>36</v>
      </c>
      <c r="B63" s="9"/>
      <c r="C63" s="10"/>
      <c r="D63" s="10">
        <v>1</v>
      </c>
      <c r="E63" s="5">
        <f t="shared" si="26"/>
        <v>1</v>
      </c>
      <c r="F63" s="9"/>
      <c r="G63" s="10"/>
      <c r="H63" s="10">
        <v>1</v>
      </c>
      <c r="I63" s="5">
        <f t="shared" si="27"/>
        <v>1</v>
      </c>
      <c r="J63" s="9"/>
      <c r="K63" s="10"/>
      <c r="L63" s="10">
        <v>1</v>
      </c>
      <c r="M63" s="38">
        <f t="shared" si="28"/>
        <v>1</v>
      </c>
      <c r="N63" s="138">
        <f t="shared" si="29"/>
        <v>3</v>
      </c>
      <c r="O63" s="21">
        <v>45309</v>
      </c>
      <c r="P63" s="63" t="s">
        <v>73</v>
      </c>
      <c r="Q63" s="9"/>
      <c r="R63" s="10"/>
      <c r="S63" s="10">
        <v>6</v>
      </c>
      <c r="T63" s="5">
        <f t="shared" si="30"/>
        <v>6</v>
      </c>
      <c r="U63" s="9"/>
      <c r="V63" s="10"/>
      <c r="W63" s="10">
        <v>6</v>
      </c>
      <c r="X63" s="5">
        <f t="shared" si="31"/>
        <v>6</v>
      </c>
      <c r="Y63" s="9"/>
      <c r="Z63" s="10"/>
      <c r="AA63" s="10">
        <v>6</v>
      </c>
      <c r="AB63" s="5">
        <f t="shared" si="32"/>
        <v>6</v>
      </c>
      <c r="AC63" s="86">
        <f t="shared" si="33"/>
        <v>18</v>
      </c>
      <c r="AD63" s="109">
        <v>45314</v>
      </c>
    </row>
    <row r="64" spans="1:31" x14ac:dyDescent="0.15">
      <c r="A64" s="33" t="s">
        <v>74</v>
      </c>
      <c r="B64" s="9"/>
      <c r="C64" s="10">
        <v>1</v>
      </c>
      <c r="D64" s="10"/>
      <c r="E64" s="5">
        <f t="shared" si="26"/>
        <v>1</v>
      </c>
      <c r="F64" s="9"/>
      <c r="G64" s="10">
        <v>1</v>
      </c>
      <c r="H64" s="10"/>
      <c r="I64" s="5">
        <f t="shared" si="27"/>
        <v>1</v>
      </c>
      <c r="J64" s="9"/>
      <c r="K64" s="10">
        <v>1</v>
      </c>
      <c r="L64" s="10"/>
      <c r="M64" s="38">
        <f t="shared" si="28"/>
        <v>1</v>
      </c>
      <c r="N64" s="138">
        <f t="shared" si="29"/>
        <v>3</v>
      </c>
      <c r="O64" s="21">
        <v>45315</v>
      </c>
      <c r="P64" s="11" t="s">
        <v>81</v>
      </c>
      <c r="Q64" s="9"/>
      <c r="R64" s="10">
        <v>10</v>
      </c>
      <c r="S64" s="10">
        <v>5</v>
      </c>
      <c r="T64" s="5">
        <f t="shared" si="30"/>
        <v>15</v>
      </c>
      <c r="U64" s="9"/>
      <c r="V64" s="10">
        <v>10</v>
      </c>
      <c r="W64" s="10">
        <v>5</v>
      </c>
      <c r="X64" s="5">
        <f t="shared" si="31"/>
        <v>15</v>
      </c>
      <c r="Y64" s="9"/>
      <c r="Z64" s="10">
        <v>10</v>
      </c>
      <c r="AA64" s="10">
        <v>5</v>
      </c>
      <c r="AB64" s="5">
        <f t="shared" si="32"/>
        <v>15</v>
      </c>
      <c r="AC64" s="86">
        <f t="shared" si="33"/>
        <v>45</v>
      </c>
      <c r="AD64" s="109">
        <v>45324</v>
      </c>
    </row>
    <row r="65" spans="1:32" x14ac:dyDescent="0.15">
      <c r="A65" s="33" t="s">
        <v>77</v>
      </c>
      <c r="B65" s="9">
        <v>2</v>
      </c>
      <c r="C65" s="10"/>
      <c r="D65" s="10">
        <v>1</v>
      </c>
      <c r="E65" s="8">
        <f t="shared" si="26"/>
        <v>3</v>
      </c>
      <c r="F65" s="9">
        <v>2</v>
      </c>
      <c r="G65" s="10"/>
      <c r="H65" s="10">
        <v>1</v>
      </c>
      <c r="I65" s="8">
        <f t="shared" si="27"/>
        <v>3</v>
      </c>
      <c r="J65" s="9">
        <v>2</v>
      </c>
      <c r="K65" s="10"/>
      <c r="L65" s="10">
        <v>1</v>
      </c>
      <c r="M65" s="39">
        <f t="shared" si="28"/>
        <v>3</v>
      </c>
      <c r="N65" s="138">
        <f t="shared" si="29"/>
        <v>9</v>
      </c>
      <c r="O65" s="21">
        <v>45316</v>
      </c>
      <c r="P65" s="4" t="s">
        <v>27</v>
      </c>
      <c r="Q65" s="9"/>
      <c r="R65" s="10">
        <v>10</v>
      </c>
      <c r="S65" s="10"/>
      <c r="T65" s="8">
        <f t="shared" ref="T65" si="34">SUM(Q65:S65)</f>
        <v>10</v>
      </c>
      <c r="U65" s="9"/>
      <c r="V65" s="10">
        <v>10</v>
      </c>
      <c r="W65" s="10">
        <v>10</v>
      </c>
      <c r="X65" s="8">
        <f t="shared" si="31"/>
        <v>20</v>
      </c>
      <c r="Y65" s="9"/>
      <c r="Z65" s="10">
        <v>10</v>
      </c>
      <c r="AA65" s="10">
        <v>10</v>
      </c>
      <c r="AB65" s="8">
        <f t="shared" si="32"/>
        <v>20</v>
      </c>
      <c r="AC65" s="86">
        <f t="shared" si="33"/>
        <v>50</v>
      </c>
      <c r="AD65" s="109">
        <v>45325</v>
      </c>
    </row>
    <row r="66" spans="1:32" x14ac:dyDescent="0.15">
      <c r="A66" s="63" t="s">
        <v>78</v>
      </c>
      <c r="B66" s="9"/>
      <c r="C66" s="10">
        <v>3</v>
      </c>
      <c r="D66" s="10"/>
      <c r="E66" s="8">
        <f t="shared" si="26"/>
        <v>3</v>
      </c>
      <c r="F66" s="9"/>
      <c r="G66" s="10">
        <v>3</v>
      </c>
      <c r="H66" s="10"/>
      <c r="I66" s="8">
        <f t="shared" si="27"/>
        <v>3</v>
      </c>
      <c r="J66" s="9"/>
      <c r="K66" s="10">
        <v>3</v>
      </c>
      <c r="L66" s="10"/>
      <c r="M66" s="39">
        <f t="shared" si="28"/>
        <v>3</v>
      </c>
      <c r="N66" s="138">
        <f t="shared" si="29"/>
        <v>9</v>
      </c>
      <c r="O66" s="21">
        <v>45324</v>
      </c>
      <c r="P66" s="11" t="s">
        <v>83</v>
      </c>
      <c r="Q66" s="9"/>
      <c r="R66" s="10">
        <v>12</v>
      </c>
      <c r="S66" s="10">
        <v>13</v>
      </c>
      <c r="T66" s="8">
        <f t="shared" si="30"/>
        <v>25</v>
      </c>
      <c r="U66" s="9"/>
      <c r="V66" s="10">
        <v>12</v>
      </c>
      <c r="W66" s="10">
        <v>13</v>
      </c>
      <c r="X66" s="8">
        <f t="shared" si="31"/>
        <v>25</v>
      </c>
      <c r="Y66" s="9"/>
      <c r="Z66" s="10">
        <v>12</v>
      </c>
      <c r="AA66" s="10">
        <v>13</v>
      </c>
      <c r="AB66" s="8">
        <f t="shared" si="32"/>
        <v>25</v>
      </c>
      <c r="AC66" s="86">
        <f t="shared" si="33"/>
        <v>75</v>
      </c>
      <c r="AD66" s="109">
        <v>45331</v>
      </c>
      <c r="AE66" s="58"/>
      <c r="AF66" s="58"/>
    </row>
    <row r="67" spans="1:32" x14ac:dyDescent="0.15">
      <c r="A67" s="33" t="s">
        <v>36</v>
      </c>
      <c r="B67" s="9"/>
      <c r="C67" s="10">
        <f>1+1</f>
        <v>2</v>
      </c>
      <c r="D67" s="10"/>
      <c r="E67" s="8">
        <f t="shared" si="26"/>
        <v>2</v>
      </c>
      <c r="F67" s="9"/>
      <c r="G67" s="10">
        <f>1+1</f>
        <v>2</v>
      </c>
      <c r="H67" s="10"/>
      <c r="I67" s="8">
        <f t="shared" si="27"/>
        <v>2</v>
      </c>
      <c r="J67" s="9"/>
      <c r="K67" s="10">
        <f>1+1</f>
        <v>2</v>
      </c>
      <c r="L67" s="10"/>
      <c r="M67" s="39">
        <f t="shared" si="28"/>
        <v>2</v>
      </c>
      <c r="N67" s="138">
        <f t="shared" si="29"/>
        <v>6</v>
      </c>
      <c r="O67" s="21">
        <v>45317</v>
      </c>
      <c r="P67" s="11" t="s">
        <v>84</v>
      </c>
      <c r="Q67" s="9">
        <v>4</v>
      </c>
      <c r="R67" s="10">
        <v>5</v>
      </c>
      <c r="S67" s="10">
        <v>2</v>
      </c>
      <c r="T67" s="8">
        <f t="shared" si="30"/>
        <v>11</v>
      </c>
      <c r="U67" s="9">
        <v>4</v>
      </c>
      <c r="V67" s="10">
        <v>5</v>
      </c>
      <c r="W67" s="10">
        <v>2</v>
      </c>
      <c r="X67" s="8">
        <f t="shared" si="31"/>
        <v>11</v>
      </c>
      <c r="Y67" s="9">
        <v>4</v>
      </c>
      <c r="Z67" s="10">
        <v>5</v>
      </c>
      <c r="AA67" s="10">
        <v>2</v>
      </c>
      <c r="AB67" s="8">
        <f t="shared" si="32"/>
        <v>11</v>
      </c>
      <c r="AC67" s="86">
        <f t="shared" si="33"/>
        <v>33</v>
      </c>
      <c r="AD67" s="109">
        <v>45335</v>
      </c>
    </row>
    <row r="68" spans="1:32" x14ac:dyDescent="0.15">
      <c r="A68" s="33" t="s">
        <v>36</v>
      </c>
      <c r="B68" s="9"/>
      <c r="C68" s="10">
        <v>1</v>
      </c>
      <c r="D68" s="10"/>
      <c r="E68" s="8">
        <f t="shared" si="26"/>
        <v>1</v>
      </c>
      <c r="F68" s="9"/>
      <c r="G68" s="10">
        <v>1</v>
      </c>
      <c r="H68" s="10"/>
      <c r="I68" s="8">
        <f t="shared" si="27"/>
        <v>1</v>
      </c>
      <c r="J68" s="9"/>
      <c r="K68" s="10">
        <v>1</v>
      </c>
      <c r="L68" s="10"/>
      <c r="M68" s="39">
        <f t="shared" si="28"/>
        <v>1</v>
      </c>
      <c r="N68" s="138">
        <f t="shared" si="29"/>
        <v>3</v>
      </c>
      <c r="O68" s="21">
        <v>45320</v>
      </c>
      <c r="P68" s="11" t="s">
        <v>91</v>
      </c>
      <c r="Q68" s="9">
        <v>10</v>
      </c>
      <c r="R68" s="10">
        <v>10</v>
      </c>
      <c r="S68" s="10">
        <v>10</v>
      </c>
      <c r="T68" s="8">
        <f t="shared" si="30"/>
        <v>30</v>
      </c>
      <c r="U68" s="9">
        <v>10</v>
      </c>
      <c r="V68" s="10">
        <v>10</v>
      </c>
      <c r="W68" s="10">
        <v>10</v>
      </c>
      <c r="X68" s="8">
        <f t="shared" si="31"/>
        <v>30</v>
      </c>
      <c r="Y68" s="9">
        <v>10</v>
      </c>
      <c r="Z68" s="10">
        <v>10</v>
      </c>
      <c r="AA68" s="10">
        <v>10</v>
      </c>
      <c r="AB68" s="8">
        <f t="shared" si="32"/>
        <v>30</v>
      </c>
      <c r="AC68" s="86">
        <f t="shared" si="33"/>
        <v>90</v>
      </c>
      <c r="AD68" s="109">
        <v>45336</v>
      </c>
      <c r="AE68" s="58"/>
    </row>
    <row r="69" spans="1:32" x14ac:dyDescent="0.15">
      <c r="A69" s="33" t="s">
        <v>79</v>
      </c>
      <c r="B69" s="9">
        <v>1</v>
      </c>
      <c r="C69" s="10"/>
      <c r="D69" s="10"/>
      <c r="E69" s="8">
        <f t="shared" si="26"/>
        <v>1</v>
      </c>
      <c r="F69" s="9">
        <v>1</v>
      </c>
      <c r="G69" s="10"/>
      <c r="H69" s="10"/>
      <c r="I69" s="8">
        <f t="shared" si="27"/>
        <v>1</v>
      </c>
      <c r="J69" s="9">
        <v>1</v>
      </c>
      <c r="K69" s="10"/>
      <c r="L69" s="10"/>
      <c r="M69" s="39">
        <f t="shared" si="28"/>
        <v>1</v>
      </c>
      <c r="N69" s="138">
        <f t="shared" si="29"/>
        <v>3</v>
      </c>
      <c r="O69" s="21">
        <v>45323</v>
      </c>
      <c r="P69" s="4" t="s">
        <v>96</v>
      </c>
      <c r="Q69" s="9">
        <v>8</v>
      </c>
      <c r="R69" s="10">
        <v>13</v>
      </c>
      <c r="S69" s="10">
        <v>9</v>
      </c>
      <c r="T69" s="8">
        <f t="shared" si="30"/>
        <v>30</v>
      </c>
      <c r="U69" s="9">
        <v>8</v>
      </c>
      <c r="V69" s="10">
        <v>13</v>
      </c>
      <c r="W69" s="10">
        <v>9</v>
      </c>
      <c r="X69" s="8">
        <f t="shared" si="31"/>
        <v>30</v>
      </c>
      <c r="Y69" s="9">
        <v>8</v>
      </c>
      <c r="Z69" s="10">
        <v>13</v>
      </c>
      <c r="AA69" s="10">
        <v>9</v>
      </c>
      <c r="AB69" s="8">
        <f t="shared" si="32"/>
        <v>30</v>
      </c>
      <c r="AC69" s="86">
        <f t="shared" si="33"/>
        <v>90</v>
      </c>
      <c r="AD69" s="109">
        <v>45337</v>
      </c>
    </row>
    <row r="70" spans="1:32" x14ac:dyDescent="0.15">
      <c r="A70" s="63" t="s">
        <v>82</v>
      </c>
      <c r="B70" s="9"/>
      <c r="C70" s="10">
        <v>5</v>
      </c>
      <c r="D70" s="10">
        <v>4</v>
      </c>
      <c r="E70" s="8">
        <f t="shared" si="26"/>
        <v>9</v>
      </c>
      <c r="F70" s="9"/>
      <c r="G70" s="10">
        <v>5</v>
      </c>
      <c r="H70" s="10">
        <v>4</v>
      </c>
      <c r="I70" s="8">
        <f t="shared" si="27"/>
        <v>9</v>
      </c>
      <c r="J70" s="9"/>
      <c r="K70" s="10">
        <v>5</v>
      </c>
      <c r="L70" s="10">
        <v>4</v>
      </c>
      <c r="M70" s="39">
        <f t="shared" si="28"/>
        <v>9</v>
      </c>
      <c r="N70" s="138">
        <f t="shared" si="29"/>
        <v>27</v>
      </c>
      <c r="O70" s="21">
        <v>45325</v>
      </c>
      <c r="P70" s="4" t="s">
        <v>27</v>
      </c>
      <c r="Q70" s="9">
        <v>10</v>
      </c>
      <c r="R70" s="10">
        <v>10</v>
      </c>
      <c r="S70" s="10">
        <v>10</v>
      </c>
      <c r="T70" s="8">
        <f t="shared" ref="T70" si="35">SUM(Q70:S70)</f>
        <v>30</v>
      </c>
      <c r="U70" s="9">
        <v>10</v>
      </c>
      <c r="V70" s="10">
        <v>10</v>
      </c>
      <c r="W70" s="10"/>
      <c r="X70" s="8">
        <f t="shared" si="31"/>
        <v>20</v>
      </c>
      <c r="Y70" s="9">
        <v>10</v>
      </c>
      <c r="Z70" s="10">
        <v>10</v>
      </c>
      <c r="AA70" s="10"/>
      <c r="AB70" s="8">
        <f t="shared" si="32"/>
        <v>20</v>
      </c>
      <c r="AC70" s="86">
        <f t="shared" si="33"/>
        <v>70</v>
      </c>
      <c r="AD70" s="109">
        <v>45336</v>
      </c>
    </row>
    <row r="71" spans="1:32" x14ac:dyDescent="0.15">
      <c r="A71" s="33" t="s">
        <v>85</v>
      </c>
      <c r="B71" s="9"/>
      <c r="C71" s="10"/>
      <c r="D71" s="10"/>
      <c r="E71" s="8">
        <f t="shared" si="26"/>
        <v>0</v>
      </c>
      <c r="F71" s="9"/>
      <c r="G71" s="10"/>
      <c r="H71" s="10"/>
      <c r="I71" s="8">
        <f t="shared" si="27"/>
        <v>0</v>
      </c>
      <c r="J71" s="9">
        <v>1</v>
      </c>
      <c r="K71" s="10"/>
      <c r="L71" s="10"/>
      <c r="M71" s="39">
        <f t="shared" si="28"/>
        <v>1</v>
      </c>
      <c r="N71" s="138">
        <f t="shared" si="29"/>
        <v>1</v>
      </c>
      <c r="O71" s="21">
        <v>45331</v>
      </c>
      <c r="P71" s="11" t="s">
        <v>105</v>
      </c>
      <c r="Q71" s="9"/>
      <c r="R71" s="10">
        <v>10</v>
      </c>
      <c r="S71" s="10">
        <v>5</v>
      </c>
      <c r="T71" s="8">
        <f t="shared" si="30"/>
        <v>15</v>
      </c>
      <c r="U71" s="9"/>
      <c r="V71" s="10">
        <v>10</v>
      </c>
      <c r="W71" s="10">
        <v>5</v>
      </c>
      <c r="X71" s="8">
        <f t="shared" si="31"/>
        <v>15</v>
      </c>
      <c r="Y71" s="9"/>
      <c r="Z71" s="10">
        <v>10</v>
      </c>
      <c r="AA71" s="10">
        <v>5</v>
      </c>
      <c r="AB71" s="8">
        <f t="shared" si="32"/>
        <v>15</v>
      </c>
      <c r="AC71" s="86">
        <f t="shared" si="33"/>
        <v>45</v>
      </c>
      <c r="AD71" s="109">
        <v>45348</v>
      </c>
    </row>
    <row r="72" spans="1:32" x14ac:dyDescent="0.15">
      <c r="A72" s="33" t="s">
        <v>88</v>
      </c>
      <c r="B72" s="9"/>
      <c r="C72" s="10">
        <v>1</v>
      </c>
      <c r="D72" s="10"/>
      <c r="E72" s="8">
        <f t="shared" si="26"/>
        <v>1</v>
      </c>
      <c r="F72" s="9"/>
      <c r="G72" s="10">
        <v>1</v>
      </c>
      <c r="H72" s="10"/>
      <c r="I72" s="8">
        <f t="shared" si="27"/>
        <v>1</v>
      </c>
      <c r="J72" s="9"/>
      <c r="K72" s="10">
        <v>1</v>
      </c>
      <c r="L72" s="10"/>
      <c r="M72" s="39">
        <f t="shared" si="28"/>
        <v>1</v>
      </c>
      <c r="N72" s="138">
        <f t="shared" si="29"/>
        <v>3</v>
      </c>
      <c r="O72" s="21">
        <v>45331</v>
      </c>
      <c r="P72" s="4" t="s">
        <v>107</v>
      </c>
      <c r="Q72" s="9"/>
      <c r="R72" s="10">
        <v>6</v>
      </c>
      <c r="S72" s="10"/>
      <c r="T72" s="8">
        <f t="shared" si="30"/>
        <v>6</v>
      </c>
      <c r="U72" s="9"/>
      <c r="V72" s="10">
        <v>6</v>
      </c>
      <c r="W72" s="10"/>
      <c r="X72" s="8">
        <f t="shared" si="31"/>
        <v>6</v>
      </c>
      <c r="Y72" s="9"/>
      <c r="Z72" s="10">
        <v>6</v>
      </c>
      <c r="AA72" s="10"/>
      <c r="AB72" s="8">
        <f t="shared" si="32"/>
        <v>6</v>
      </c>
      <c r="AC72" s="86">
        <f t="shared" si="33"/>
        <v>18</v>
      </c>
      <c r="AD72" s="109">
        <v>45350</v>
      </c>
    </row>
    <row r="73" spans="1:32" x14ac:dyDescent="0.15">
      <c r="A73" s="33" t="s">
        <v>89</v>
      </c>
      <c r="B73" s="9">
        <v>1</v>
      </c>
      <c r="C73" s="10">
        <v>1</v>
      </c>
      <c r="D73" s="10">
        <v>1</v>
      </c>
      <c r="E73" s="8">
        <f t="shared" si="26"/>
        <v>3</v>
      </c>
      <c r="F73" s="9">
        <v>1</v>
      </c>
      <c r="G73" s="10">
        <v>1</v>
      </c>
      <c r="H73" s="10">
        <v>1</v>
      </c>
      <c r="I73" s="8">
        <f t="shared" si="27"/>
        <v>3</v>
      </c>
      <c r="J73" s="9">
        <v>1</v>
      </c>
      <c r="K73" s="10">
        <v>1</v>
      </c>
      <c r="L73" s="10">
        <v>1</v>
      </c>
      <c r="M73" s="39">
        <f t="shared" si="28"/>
        <v>3</v>
      </c>
      <c r="N73" s="138">
        <f t="shared" si="29"/>
        <v>9</v>
      </c>
      <c r="O73" s="21">
        <v>45331</v>
      </c>
      <c r="P73" s="11" t="s">
        <v>98</v>
      </c>
      <c r="Q73" s="9">
        <v>20</v>
      </c>
      <c r="R73" s="10">
        <v>20</v>
      </c>
      <c r="S73" s="78">
        <v>20</v>
      </c>
      <c r="T73" s="5">
        <f t="shared" si="30"/>
        <v>60</v>
      </c>
      <c r="U73" s="77">
        <v>20</v>
      </c>
      <c r="V73" s="78">
        <v>20</v>
      </c>
      <c r="W73" s="78">
        <v>20</v>
      </c>
      <c r="X73" s="5">
        <f t="shared" si="31"/>
        <v>60</v>
      </c>
      <c r="Y73" s="77">
        <v>20</v>
      </c>
      <c r="Z73" s="78">
        <v>20</v>
      </c>
      <c r="AA73" s="78">
        <v>20</v>
      </c>
      <c r="AB73" s="5">
        <f t="shared" si="32"/>
        <v>60</v>
      </c>
      <c r="AC73" s="91">
        <f t="shared" si="33"/>
        <v>180</v>
      </c>
      <c r="AD73" s="109">
        <v>45356</v>
      </c>
    </row>
    <row r="74" spans="1:32" x14ac:dyDescent="0.15">
      <c r="A74" s="63" t="s">
        <v>90</v>
      </c>
      <c r="B74" s="9"/>
      <c r="C74" s="10">
        <v>3</v>
      </c>
      <c r="D74" s="10">
        <v>3</v>
      </c>
      <c r="E74" s="8">
        <f t="shared" si="26"/>
        <v>6</v>
      </c>
      <c r="F74" s="9"/>
      <c r="G74" s="10">
        <v>3</v>
      </c>
      <c r="H74" s="10">
        <v>3</v>
      </c>
      <c r="I74" s="8">
        <f t="shared" si="27"/>
        <v>6</v>
      </c>
      <c r="J74" s="9"/>
      <c r="K74" s="10">
        <v>3</v>
      </c>
      <c r="L74" s="10">
        <v>3</v>
      </c>
      <c r="M74" s="39">
        <f t="shared" si="28"/>
        <v>6</v>
      </c>
      <c r="N74" s="138">
        <f t="shared" si="29"/>
        <v>18</v>
      </c>
      <c r="O74" s="21">
        <v>45336</v>
      </c>
      <c r="P74" s="4" t="s">
        <v>27</v>
      </c>
      <c r="Q74" s="9"/>
      <c r="R74" s="10">
        <v>10</v>
      </c>
      <c r="S74" s="10"/>
      <c r="T74" s="5">
        <f t="shared" si="30"/>
        <v>10</v>
      </c>
      <c r="U74" s="9"/>
      <c r="V74" s="10">
        <v>10</v>
      </c>
      <c r="W74" s="10"/>
      <c r="X74" s="5">
        <f t="shared" si="31"/>
        <v>10</v>
      </c>
      <c r="Y74" s="9"/>
      <c r="Z74" s="10">
        <v>10</v>
      </c>
      <c r="AA74" s="10"/>
      <c r="AB74" s="5">
        <f t="shared" si="32"/>
        <v>10</v>
      </c>
      <c r="AC74" s="86">
        <f t="shared" si="33"/>
        <v>30</v>
      </c>
      <c r="AD74" s="109">
        <v>45350</v>
      </c>
    </row>
    <row r="75" spans="1:32" x14ac:dyDescent="0.15">
      <c r="A75" s="33" t="s">
        <v>36</v>
      </c>
      <c r="B75" s="9"/>
      <c r="C75" s="10">
        <v>1</v>
      </c>
      <c r="D75" s="10"/>
      <c r="E75" s="8">
        <f t="shared" si="26"/>
        <v>1</v>
      </c>
      <c r="F75" s="9"/>
      <c r="G75" s="10">
        <v>1</v>
      </c>
      <c r="H75" s="10"/>
      <c r="I75" s="8">
        <f t="shared" si="27"/>
        <v>1</v>
      </c>
      <c r="J75" s="9"/>
      <c r="K75" s="10">
        <v>1</v>
      </c>
      <c r="L75" s="10"/>
      <c r="M75" s="39">
        <f t="shared" si="28"/>
        <v>1</v>
      </c>
      <c r="N75" s="138">
        <f t="shared" si="29"/>
        <v>3</v>
      </c>
      <c r="O75" s="21">
        <v>45331</v>
      </c>
      <c r="P75" s="11" t="s">
        <v>110</v>
      </c>
      <c r="Q75" s="9">
        <v>10</v>
      </c>
      <c r="R75" s="10"/>
      <c r="S75" s="10"/>
      <c r="T75" s="5">
        <f t="shared" si="30"/>
        <v>10</v>
      </c>
      <c r="U75" s="9">
        <v>10</v>
      </c>
      <c r="V75" s="10"/>
      <c r="W75" s="10"/>
      <c r="X75" s="5">
        <f t="shared" si="31"/>
        <v>10</v>
      </c>
      <c r="Y75" s="9">
        <v>10</v>
      </c>
      <c r="Z75" s="10"/>
      <c r="AA75" s="10"/>
      <c r="AB75" s="5">
        <f t="shared" si="32"/>
        <v>10</v>
      </c>
      <c r="AC75" s="86">
        <f t="shared" si="33"/>
        <v>30</v>
      </c>
      <c r="AD75" s="109">
        <v>45351</v>
      </c>
    </row>
    <row r="76" spans="1:32" x14ac:dyDescent="0.15">
      <c r="A76" s="33" t="s">
        <v>36</v>
      </c>
      <c r="B76" s="9"/>
      <c r="C76" s="10"/>
      <c r="D76" s="10"/>
      <c r="E76" s="8">
        <f t="shared" si="26"/>
        <v>0</v>
      </c>
      <c r="F76" s="9"/>
      <c r="G76" s="10"/>
      <c r="H76" s="10">
        <v>1</v>
      </c>
      <c r="I76" s="8">
        <f t="shared" si="27"/>
        <v>1</v>
      </c>
      <c r="J76" s="9"/>
      <c r="K76" s="10"/>
      <c r="L76" s="10"/>
      <c r="M76" s="39">
        <f t="shared" si="28"/>
        <v>0</v>
      </c>
      <c r="N76" s="138">
        <f t="shared" si="29"/>
        <v>1</v>
      </c>
      <c r="O76" s="21">
        <v>45335</v>
      </c>
      <c r="P76" s="11"/>
      <c r="Q76" s="9"/>
      <c r="R76" s="10"/>
      <c r="S76" s="10"/>
      <c r="T76" s="8">
        <f t="shared" si="30"/>
        <v>0</v>
      </c>
      <c r="U76" s="9"/>
      <c r="V76" s="10"/>
      <c r="W76" s="10"/>
      <c r="X76" s="8">
        <f t="shared" si="31"/>
        <v>0</v>
      </c>
      <c r="Y76" s="9"/>
      <c r="Z76" s="10"/>
      <c r="AA76" s="10"/>
      <c r="AB76" s="8">
        <f t="shared" si="32"/>
        <v>0</v>
      </c>
      <c r="AC76" s="86">
        <f t="shared" si="33"/>
        <v>0</v>
      </c>
      <c r="AD76" s="116"/>
    </row>
    <row r="77" spans="1:32" x14ac:dyDescent="0.15">
      <c r="A77" s="33" t="s">
        <v>97</v>
      </c>
      <c r="B77" s="9"/>
      <c r="C77" s="10"/>
      <c r="D77" s="10"/>
      <c r="E77" s="8">
        <f t="shared" si="26"/>
        <v>0</v>
      </c>
      <c r="F77" s="9"/>
      <c r="G77" s="10"/>
      <c r="H77" s="10"/>
      <c r="I77" s="8">
        <f t="shared" si="27"/>
        <v>0</v>
      </c>
      <c r="J77" s="9"/>
      <c r="K77" s="10">
        <v>1</v>
      </c>
      <c r="L77" s="10"/>
      <c r="M77" s="39">
        <f t="shared" si="28"/>
        <v>1</v>
      </c>
      <c r="N77" s="138">
        <f t="shared" si="29"/>
        <v>1</v>
      </c>
      <c r="O77" s="21">
        <v>45336</v>
      </c>
      <c r="P77" s="11"/>
      <c r="Q77" s="9"/>
      <c r="R77" s="10"/>
      <c r="S77" s="10"/>
      <c r="T77" s="8">
        <f t="shared" si="30"/>
        <v>0</v>
      </c>
      <c r="U77" s="9"/>
      <c r="V77" s="10"/>
      <c r="W77" s="10"/>
      <c r="X77" s="8">
        <f t="shared" si="31"/>
        <v>0</v>
      </c>
      <c r="Y77" s="9"/>
      <c r="Z77" s="10"/>
      <c r="AA77" s="10"/>
      <c r="AB77" s="8">
        <f t="shared" si="32"/>
        <v>0</v>
      </c>
      <c r="AC77" s="86">
        <f t="shared" si="33"/>
        <v>0</v>
      </c>
      <c r="AD77" s="116"/>
    </row>
    <row r="78" spans="1:32" x14ac:dyDescent="0.15">
      <c r="A78" s="33" t="s">
        <v>99</v>
      </c>
      <c r="B78" s="9">
        <v>2</v>
      </c>
      <c r="C78" s="10"/>
      <c r="D78" s="10"/>
      <c r="E78" s="8">
        <f t="shared" si="26"/>
        <v>2</v>
      </c>
      <c r="F78" s="9">
        <v>2</v>
      </c>
      <c r="G78" s="10"/>
      <c r="H78" s="10"/>
      <c r="I78" s="8">
        <f t="shared" si="27"/>
        <v>2</v>
      </c>
      <c r="J78" s="9">
        <v>2</v>
      </c>
      <c r="K78" s="10"/>
      <c r="L78" s="10"/>
      <c r="M78" s="39">
        <f t="shared" si="28"/>
        <v>2</v>
      </c>
      <c r="N78" s="138">
        <f t="shared" si="29"/>
        <v>6</v>
      </c>
      <c r="O78" s="21">
        <v>45337</v>
      </c>
      <c r="P78" s="11"/>
      <c r="Q78" s="9"/>
      <c r="R78" s="10"/>
      <c r="S78" s="10"/>
      <c r="T78" s="8">
        <f t="shared" si="30"/>
        <v>0</v>
      </c>
      <c r="U78" s="9"/>
      <c r="V78" s="10"/>
      <c r="W78" s="10"/>
      <c r="X78" s="8">
        <f t="shared" si="31"/>
        <v>0</v>
      </c>
      <c r="Y78" s="9"/>
      <c r="Z78" s="10"/>
      <c r="AA78" s="10"/>
      <c r="AB78" s="8">
        <f t="shared" si="32"/>
        <v>0</v>
      </c>
      <c r="AC78" s="86">
        <f t="shared" si="33"/>
        <v>0</v>
      </c>
      <c r="AD78" s="116"/>
    </row>
    <row r="79" spans="1:32" x14ac:dyDescent="0.15">
      <c r="A79" s="63" t="s">
        <v>100</v>
      </c>
      <c r="B79" s="9"/>
      <c r="C79" s="10">
        <v>3</v>
      </c>
      <c r="D79" s="10"/>
      <c r="E79" s="8">
        <f t="shared" si="26"/>
        <v>3</v>
      </c>
      <c r="F79" s="9"/>
      <c r="G79" s="10">
        <v>3</v>
      </c>
      <c r="H79" s="10"/>
      <c r="I79" s="8">
        <f t="shared" si="27"/>
        <v>3</v>
      </c>
      <c r="J79" s="9"/>
      <c r="K79" s="10">
        <v>3</v>
      </c>
      <c r="L79" s="10"/>
      <c r="M79" s="39">
        <f t="shared" si="28"/>
        <v>3</v>
      </c>
      <c r="N79" s="138">
        <f t="shared" si="29"/>
        <v>9</v>
      </c>
      <c r="O79" s="21">
        <v>45348</v>
      </c>
      <c r="P79" s="11"/>
      <c r="Q79" s="9"/>
      <c r="R79" s="10"/>
      <c r="S79" s="10"/>
      <c r="T79" s="8">
        <f t="shared" si="30"/>
        <v>0</v>
      </c>
      <c r="U79" s="9"/>
      <c r="V79" s="10"/>
      <c r="W79" s="10"/>
      <c r="X79" s="8">
        <f t="shared" si="31"/>
        <v>0</v>
      </c>
      <c r="Y79" s="9"/>
      <c r="Z79" s="10"/>
      <c r="AA79" s="10"/>
      <c r="AB79" s="8">
        <f t="shared" si="32"/>
        <v>0</v>
      </c>
      <c r="AC79" s="86">
        <f t="shared" si="33"/>
        <v>0</v>
      </c>
      <c r="AD79" s="116"/>
    </row>
    <row r="80" spans="1:32" x14ac:dyDescent="0.15">
      <c r="A80" s="33" t="s">
        <v>36</v>
      </c>
      <c r="B80" s="9"/>
      <c r="C80" s="10"/>
      <c r="D80" s="10"/>
      <c r="E80" s="8">
        <f t="shared" si="26"/>
        <v>0</v>
      </c>
      <c r="F80" s="9"/>
      <c r="G80" s="10">
        <v>2</v>
      </c>
      <c r="H80" s="10"/>
      <c r="I80" s="8">
        <f t="shared" si="27"/>
        <v>2</v>
      </c>
      <c r="J80" s="9"/>
      <c r="K80" s="10"/>
      <c r="L80" s="10"/>
      <c r="M80" s="39">
        <f t="shared" si="28"/>
        <v>0</v>
      </c>
      <c r="N80" s="138">
        <f t="shared" si="29"/>
        <v>2</v>
      </c>
      <c r="O80" s="21">
        <v>45343</v>
      </c>
      <c r="P80" s="11"/>
      <c r="Q80" s="9"/>
      <c r="R80" s="10"/>
      <c r="S80" s="10"/>
      <c r="T80" s="8">
        <f t="shared" si="30"/>
        <v>0</v>
      </c>
      <c r="U80" s="9"/>
      <c r="V80" s="10"/>
      <c r="W80" s="10"/>
      <c r="X80" s="8">
        <f t="shared" si="31"/>
        <v>0</v>
      </c>
      <c r="Y80" s="9"/>
      <c r="Z80" s="10"/>
      <c r="AA80" s="10"/>
      <c r="AB80" s="8">
        <f t="shared" si="32"/>
        <v>0</v>
      </c>
      <c r="AC80" s="86">
        <f t="shared" si="33"/>
        <v>0</v>
      </c>
      <c r="AD80" s="116"/>
    </row>
    <row r="81" spans="1:30" x14ac:dyDescent="0.15">
      <c r="A81" s="33" t="s">
        <v>106</v>
      </c>
      <c r="B81" s="9"/>
      <c r="C81" s="10">
        <v>1</v>
      </c>
      <c r="D81" s="10"/>
      <c r="E81" s="8">
        <f t="shared" si="26"/>
        <v>1</v>
      </c>
      <c r="F81" s="9"/>
      <c r="G81" s="10">
        <v>1</v>
      </c>
      <c r="H81" s="10"/>
      <c r="I81" s="8">
        <f t="shared" si="27"/>
        <v>1</v>
      </c>
      <c r="J81" s="9"/>
      <c r="K81" s="10">
        <v>1</v>
      </c>
      <c r="L81" s="10"/>
      <c r="M81" s="39">
        <f t="shared" si="28"/>
        <v>1</v>
      </c>
      <c r="N81" s="138">
        <f t="shared" si="29"/>
        <v>3</v>
      </c>
      <c r="O81" s="21">
        <v>45348</v>
      </c>
      <c r="P81" s="11"/>
      <c r="Q81" s="60"/>
      <c r="R81" s="61"/>
      <c r="S81" s="61"/>
      <c r="T81" s="8">
        <f t="shared" si="30"/>
        <v>0</v>
      </c>
      <c r="U81" s="60"/>
      <c r="V81" s="61"/>
      <c r="W81" s="61"/>
      <c r="X81" s="8">
        <f t="shared" si="31"/>
        <v>0</v>
      </c>
      <c r="Y81" s="9"/>
      <c r="Z81" s="10"/>
      <c r="AA81" s="10"/>
      <c r="AB81" s="8">
        <f t="shared" si="32"/>
        <v>0</v>
      </c>
      <c r="AC81" s="86">
        <f t="shared" si="33"/>
        <v>0</v>
      </c>
      <c r="AD81" s="116"/>
    </row>
    <row r="82" spans="1:30" x14ac:dyDescent="0.15">
      <c r="A82" s="33" t="s">
        <v>36</v>
      </c>
      <c r="B82" s="9"/>
      <c r="C82" s="10">
        <v>1</v>
      </c>
      <c r="D82" s="10"/>
      <c r="E82" s="8">
        <f t="shared" si="26"/>
        <v>1</v>
      </c>
      <c r="F82" s="9"/>
      <c r="G82" s="10">
        <v>1</v>
      </c>
      <c r="H82" s="10"/>
      <c r="I82" s="8">
        <f t="shared" si="27"/>
        <v>1</v>
      </c>
      <c r="J82" s="9"/>
      <c r="K82" s="10">
        <v>1</v>
      </c>
      <c r="L82" s="10"/>
      <c r="M82" s="39">
        <f t="shared" si="28"/>
        <v>1</v>
      </c>
      <c r="N82" s="138">
        <f t="shared" si="29"/>
        <v>3</v>
      </c>
      <c r="O82" s="21">
        <v>45348</v>
      </c>
      <c r="P82" s="11" t="s">
        <v>58</v>
      </c>
      <c r="Q82" s="60"/>
      <c r="R82" s="61"/>
      <c r="S82" s="61"/>
      <c r="T82" s="8">
        <f t="shared" si="30"/>
        <v>0</v>
      </c>
      <c r="U82" s="60"/>
      <c r="V82" s="61"/>
      <c r="W82" s="61"/>
      <c r="X82" s="8">
        <f t="shared" si="31"/>
        <v>0</v>
      </c>
      <c r="Y82" s="9"/>
      <c r="Z82" s="10"/>
      <c r="AA82" s="10"/>
      <c r="AB82" s="8">
        <f t="shared" si="32"/>
        <v>0</v>
      </c>
      <c r="AC82" s="86">
        <f t="shared" si="33"/>
        <v>0</v>
      </c>
      <c r="AD82" s="116" t="s">
        <v>59</v>
      </c>
    </row>
    <row r="83" spans="1:30" ht="14.25" thickBot="1" x14ac:dyDescent="0.2">
      <c r="A83" s="63" t="s">
        <v>108</v>
      </c>
      <c r="B83" s="9">
        <v>5</v>
      </c>
      <c r="C83" s="10">
        <v>5</v>
      </c>
      <c r="D83" s="22"/>
      <c r="E83" s="8">
        <f t="shared" si="26"/>
        <v>10</v>
      </c>
      <c r="F83" s="9">
        <v>5</v>
      </c>
      <c r="G83" s="10">
        <v>5</v>
      </c>
      <c r="H83" s="22"/>
      <c r="I83" s="8">
        <f t="shared" si="27"/>
        <v>10</v>
      </c>
      <c r="J83" s="9">
        <v>5</v>
      </c>
      <c r="K83" s="10">
        <v>5</v>
      </c>
      <c r="L83" s="22"/>
      <c r="M83" s="39">
        <f t="shared" si="28"/>
        <v>10</v>
      </c>
      <c r="N83" s="139">
        <f t="shared" si="29"/>
        <v>30</v>
      </c>
      <c r="O83" s="21">
        <v>45351</v>
      </c>
      <c r="P83" s="11" t="s">
        <v>19</v>
      </c>
      <c r="Q83" s="60"/>
      <c r="R83" s="61"/>
      <c r="S83" s="22"/>
      <c r="T83" s="8">
        <f t="shared" si="30"/>
        <v>0</v>
      </c>
      <c r="U83" s="60"/>
      <c r="V83" s="61"/>
      <c r="W83" s="22"/>
      <c r="X83" s="8">
        <f t="shared" si="31"/>
        <v>0</v>
      </c>
      <c r="Y83" s="60"/>
      <c r="Z83" s="61"/>
      <c r="AA83" s="22"/>
      <c r="AB83" s="8">
        <f t="shared" si="32"/>
        <v>0</v>
      </c>
      <c r="AC83" s="87">
        <f t="shared" si="33"/>
        <v>0</v>
      </c>
      <c r="AD83" s="116" t="s">
        <v>17</v>
      </c>
    </row>
    <row r="84" spans="1:30" ht="14.25" thickBot="1" x14ac:dyDescent="0.2">
      <c r="A84" s="104" t="s">
        <v>5</v>
      </c>
      <c r="B84" s="12">
        <f>SUM(B60:B83)</f>
        <v>15</v>
      </c>
      <c r="C84" s="12">
        <f>SUM(C60:C83)</f>
        <v>28</v>
      </c>
      <c r="D84" s="12">
        <f>SUM(D60:D83)</f>
        <v>13</v>
      </c>
      <c r="E84" s="13">
        <f t="shared" si="26"/>
        <v>56</v>
      </c>
      <c r="F84" s="12">
        <f>SUM(F60:F83)</f>
        <v>15</v>
      </c>
      <c r="G84" s="12">
        <f>SUM(G60:G83)</f>
        <v>30</v>
      </c>
      <c r="H84" s="12">
        <f>SUM(H60:H83)</f>
        <v>14</v>
      </c>
      <c r="I84" s="13">
        <f t="shared" si="27"/>
        <v>59</v>
      </c>
      <c r="J84" s="12">
        <f>SUM(J60:J83)</f>
        <v>16</v>
      </c>
      <c r="K84" s="12">
        <f>SUM(K60:K83)</f>
        <v>29</v>
      </c>
      <c r="L84" s="12">
        <f>SUM(L60:L83)</f>
        <v>13</v>
      </c>
      <c r="M84" s="12">
        <f t="shared" si="28"/>
        <v>58</v>
      </c>
      <c r="N84" s="142">
        <f t="shared" si="29"/>
        <v>173</v>
      </c>
      <c r="O84" s="59"/>
      <c r="P84" s="3" t="s">
        <v>5</v>
      </c>
      <c r="Q84" s="12">
        <f>SUM(Q60:Q83)</f>
        <v>92</v>
      </c>
      <c r="R84" s="12">
        <f>SUM(R60:R83)</f>
        <v>141</v>
      </c>
      <c r="S84" s="12">
        <f>SUM(S60:S83)</f>
        <v>97</v>
      </c>
      <c r="T84" s="13">
        <f t="shared" si="30"/>
        <v>330</v>
      </c>
      <c r="U84" s="12">
        <f>SUM(U60:U83)</f>
        <v>92</v>
      </c>
      <c r="V84" s="12">
        <f>SUM(V60:V83)</f>
        <v>141</v>
      </c>
      <c r="W84" s="12">
        <f>SUM(W60:W83)</f>
        <v>97</v>
      </c>
      <c r="X84" s="13">
        <f t="shared" si="31"/>
        <v>330</v>
      </c>
      <c r="Y84" s="12">
        <f>SUM(Y60:Y83)</f>
        <v>92</v>
      </c>
      <c r="Z84" s="12">
        <f>SUM(Z60:Z83)</f>
        <v>141</v>
      </c>
      <c r="AA84" s="12">
        <f>SUM(AA60:AA83)</f>
        <v>97</v>
      </c>
      <c r="AB84" s="13">
        <f t="shared" si="32"/>
        <v>330</v>
      </c>
      <c r="AC84" s="88">
        <f t="shared" si="33"/>
        <v>990</v>
      </c>
    </row>
    <row r="85" spans="1:30" ht="14.25" thickBot="1" x14ac:dyDescent="0.2">
      <c r="A85" s="105" t="s">
        <v>6</v>
      </c>
      <c r="B85" s="20">
        <f>B59-B84</f>
        <v>12</v>
      </c>
      <c r="C85" s="20">
        <f t="shared" ref="C85:E85" si="36">C59-C84</f>
        <v>7</v>
      </c>
      <c r="D85" s="20">
        <f t="shared" si="36"/>
        <v>14</v>
      </c>
      <c r="E85" s="18">
        <f t="shared" si="36"/>
        <v>33</v>
      </c>
      <c r="F85" s="20">
        <f>F59-F84</f>
        <v>10</v>
      </c>
      <c r="G85" s="20">
        <f t="shared" ref="G85:I85" si="37">G59-G84</f>
        <v>5</v>
      </c>
      <c r="H85" s="20">
        <f t="shared" si="37"/>
        <v>12</v>
      </c>
      <c r="I85" s="18">
        <f t="shared" si="37"/>
        <v>27</v>
      </c>
      <c r="J85" s="20">
        <f>J59-J84</f>
        <v>11</v>
      </c>
      <c r="K85" s="20">
        <f t="shared" ref="K85:M85" si="38">K59-K84</f>
        <v>8</v>
      </c>
      <c r="L85" s="20">
        <f t="shared" si="38"/>
        <v>12</v>
      </c>
      <c r="M85" s="20">
        <f t="shared" si="38"/>
        <v>31</v>
      </c>
      <c r="N85" s="140">
        <f t="shared" si="29"/>
        <v>91</v>
      </c>
      <c r="O85" s="1"/>
      <c r="P85" s="19" t="s">
        <v>6</v>
      </c>
      <c r="Q85" s="20">
        <f>Q59-Q84</f>
        <v>519</v>
      </c>
      <c r="R85" s="20">
        <f t="shared" ref="R85:T85" si="39">R59-R84</f>
        <v>542</v>
      </c>
      <c r="S85" s="20">
        <f t="shared" si="39"/>
        <v>310</v>
      </c>
      <c r="T85" s="18">
        <f t="shared" si="39"/>
        <v>1371</v>
      </c>
      <c r="U85" s="20">
        <f>U59-U84</f>
        <v>519</v>
      </c>
      <c r="V85" s="20">
        <f t="shared" ref="V85:X85" si="40">V59-V84</f>
        <v>542</v>
      </c>
      <c r="W85" s="20">
        <f t="shared" si="40"/>
        <v>310</v>
      </c>
      <c r="X85" s="18">
        <f t="shared" si="40"/>
        <v>1371</v>
      </c>
      <c r="Y85" s="20">
        <f>Y59-Y84</f>
        <v>519</v>
      </c>
      <c r="Z85" s="20">
        <f t="shared" ref="Z85:AB85" si="41">Z59-Z84</f>
        <v>542</v>
      </c>
      <c r="AA85" s="20">
        <f t="shared" si="41"/>
        <v>310</v>
      </c>
      <c r="AB85" s="18">
        <f t="shared" si="41"/>
        <v>1371</v>
      </c>
      <c r="AC85" s="88">
        <f t="shared" si="33"/>
        <v>4113</v>
      </c>
    </row>
    <row r="86" spans="1:30" x14ac:dyDescent="0.15">
      <c r="Q86">
        <f>Q84+Q41</f>
        <v>181</v>
      </c>
      <c r="R86">
        <f t="shared" ref="R86:AC86" si="42">R84+R41</f>
        <v>258</v>
      </c>
      <c r="S86">
        <f t="shared" si="42"/>
        <v>190</v>
      </c>
      <c r="T86">
        <f t="shared" si="42"/>
        <v>629</v>
      </c>
      <c r="U86">
        <f t="shared" si="42"/>
        <v>181</v>
      </c>
      <c r="V86">
        <f t="shared" si="42"/>
        <v>258</v>
      </c>
      <c r="W86">
        <f t="shared" si="42"/>
        <v>190</v>
      </c>
      <c r="X86">
        <f t="shared" si="42"/>
        <v>629</v>
      </c>
      <c r="Y86">
        <f t="shared" si="42"/>
        <v>181</v>
      </c>
      <c r="Z86">
        <f t="shared" si="42"/>
        <v>258</v>
      </c>
      <c r="AA86">
        <f t="shared" si="42"/>
        <v>190</v>
      </c>
      <c r="AB86">
        <f t="shared" si="42"/>
        <v>629</v>
      </c>
      <c r="AC86" s="85">
        <f t="shared" si="42"/>
        <v>1887</v>
      </c>
    </row>
    <row r="87" spans="1:30" ht="21" customHeight="1" x14ac:dyDescent="0.15">
      <c r="Q87" s="65">
        <f>Q86/$T$86*100</f>
        <v>28.775834658187598</v>
      </c>
      <c r="R87" s="65">
        <f t="shared" ref="R87:T87" si="43">R86/$T$86*100</f>
        <v>41.017488076311601</v>
      </c>
      <c r="S87" s="65">
        <f t="shared" si="43"/>
        <v>30.206677265500797</v>
      </c>
      <c r="T87" s="65">
        <f t="shared" si="43"/>
        <v>100</v>
      </c>
    </row>
    <row r="88" spans="1:30" ht="19.5" thickBot="1" x14ac:dyDescent="0.25">
      <c r="A88" s="108" t="s">
        <v>264</v>
      </c>
      <c r="B88" s="47"/>
      <c r="C88" s="47"/>
      <c r="D88" s="47"/>
      <c r="E88" s="47"/>
      <c r="F88" s="48"/>
      <c r="G88" s="48"/>
      <c r="H88" s="48"/>
      <c r="I88" s="48"/>
      <c r="J88" s="48"/>
      <c r="K88" s="48"/>
      <c r="L88" s="1"/>
      <c r="M88" s="1"/>
      <c r="N88" s="137"/>
      <c r="O88" s="1"/>
      <c r="P88" s="43" t="s">
        <v>29</v>
      </c>
      <c r="Q88" s="44"/>
      <c r="R88" s="44"/>
      <c r="S88" s="44"/>
      <c r="T88" s="44"/>
      <c r="U88" s="45"/>
      <c r="V88" s="45"/>
      <c r="W88" s="45"/>
      <c r="X88" s="45"/>
      <c r="Y88" s="46"/>
      <c r="Z88" s="53"/>
      <c r="AA88" s="1"/>
      <c r="AB88" s="1"/>
    </row>
    <row r="89" spans="1:30" ht="14.25" thickBot="1" x14ac:dyDescent="0.2">
      <c r="A89" s="100" t="s">
        <v>0</v>
      </c>
      <c r="B89" s="337" t="s">
        <v>11</v>
      </c>
      <c r="C89" s="337"/>
      <c r="D89" s="337"/>
      <c r="E89" s="338"/>
      <c r="F89" s="339" t="s">
        <v>9</v>
      </c>
      <c r="G89" s="340"/>
      <c r="H89" s="340"/>
      <c r="I89" s="341"/>
      <c r="J89" s="342" t="s">
        <v>12</v>
      </c>
      <c r="K89" s="343"/>
      <c r="L89" s="343"/>
      <c r="M89" s="343"/>
      <c r="N89" s="347" t="s">
        <v>13</v>
      </c>
      <c r="O89" s="1"/>
      <c r="P89" s="2" t="s">
        <v>0</v>
      </c>
      <c r="Q89" s="337" t="s">
        <v>11</v>
      </c>
      <c r="R89" s="337"/>
      <c r="S89" s="337"/>
      <c r="T89" s="338"/>
      <c r="U89" s="339" t="s">
        <v>9</v>
      </c>
      <c r="V89" s="340"/>
      <c r="W89" s="340"/>
      <c r="X89" s="341"/>
      <c r="Y89" s="342" t="s">
        <v>12</v>
      </c>
      <c r="Z89" s="343"/>
      <c r="AA89" s="343"/>
      <c r="AB89" s="343"/>
      <c r="AC89" s="345" t="s">
        <v>13</v>
      </c>
    </row>
    <row r="90" spans="1:30" ht="14.25" thickBot="1" x14ac:dyDescent="0.2">
      <c r="A90" s="100" t="s">
        <v>1</v>
      </c>
      <c r="B90" s="3" t="s">
        <v>7</v>
      </c>
      <c r="C90" s="2" t="s">
        <v>10</v>
      </c>
      <c r="D90" s="2" t="s">
        <v>8</v>
      </c>
      <c r="E90" s="2" t="s">
        <v>2</v>
      </c>
      <c r="F90" s="3" t="s">
        <v>7</v>
      </c>
      <c r="G90" s="2" t="s">
        <v>10</v>
      </c>
      <c r="H90" s="2" t="s">
        <v>8</v>
      </c>
      <c r="I90" s="2" t="s">
        <v>2</v>
      </c>
      <c r="J90" s="3" t="s">
        <v>7</v>
      </c>
      <c r="K90" s="2" t="s">
        <v>10</v>
      </c>
      <c r="L90" s="2" t="s">
        <v>8</v>
      </c>
      <c r="M90" s="3" t="s">
        <v>2</v>
      </c>
      <c r="N90" s="348"/>
      <c r="O90" s="1"/>
      <c r="P90" s="2" t="s">
        <v>1</v>
      </c>
      <c r="Q90" s="3" t="s">
        <v>7</v>
      </c>
      <c r="R90" s="2" t="s">
        <v>10</v>
      </c>
      <c r="S90" s="2" t="s">
        <v>8</v>
      </c>
      <c r="T90" s="2" t="s">
        <v>2</v>
      </c>
      <c r="U90" s="3" t="s">
        <v>7</v>
      </c>
      <c r="V90" s="2" t="s">
        <v>10</v>
      </c>
      <c r="W90" s="2" t="s">
        <v>8</v>
      </c>
      <c r="X90" s="2" t="s">
        <v>2</v>
      </c>
      <c r="Y90" s="3" t="s">
        <v>7</v>
      </c>
      <c r="Z90" s="2" t="s">
        <v>10</v>
      </c>
      <c r="AA90" s="2" t="s">
        <v>8</v>
      </c>
      <c r="AB90" s="2" t="s">
        <v>2</v>
      </c>
      <c r="AC90" s="346"/>
    </row>
    <row r="91" spans="1:30" x14ac:dyDescent="0.15">
      <c r="A91" s="106" t="s">
        <v>6</v>
      </c>
      <c r="B91" s="41">
        <f>B85</f>
        <v>12</v>
      </c>
      <c r="C91" s="41">
        <f t="shared" ref="C91:E91" si="44">C85</f>
        <v>7</v>
      </c>
      <c r="D91" s="41">
        <f t="shared" si="44"/>
        <v>14</v>
      </c>
      <c r="E91" s="42">
        <f t="shared" si="44"/>
        <v>33</v>
      </c>
      <c r="F91" s="41">
        <f>F85</f>
        <v>10</v>
      </c>
      <c r="G91" s="41">
        <f t="shared" ref="G91:I91" si="45">G85</f>
        <v>5</v>
      </c>
      <c r="H91" s="41">
        <f t="shared" si="45"/>
        <v>12</v>
      </c>
      <c r="I91" s="42">
        <f t="shared" si="45"/>
        <v>27</v>
      </c>
      <c r="J91" s="41">
        <f>J85</f>
        <v>11</v>
      </c>
      <c r="K91" s="41">
        <f t="shared" ref="K91:M91" si="46">K85</f>
        <v>8</v>
      </c>
      <c r="L91" s="41">
        <f t="shared" si="46"/>
        <v>12</v>
      </c>
      <c r="M91" s="42">
        <f t="shared" si="46"/>
        <v>31</v>
      </c>
      <c r="N91" s="143">
        <f>E91+I91+M91</f>
        <v>91</v>
      </c>
      <c r="O91" s="24"/>
      <c r="P91" s="36" t="s">
        <v>6</v>
      </c>
      <c r="Q91" s="41">
        <f>Q85</f>
        <v>519</v>
      </c>
      <c r="R91" s="41">
        <f t="shared" ref="R91:T91" si="47">R85</f>
        <v>542</v>
      </c>
      <c r="S91" s="41">
        <f t="shared" si="47"/>
        <v>310</v>
      </c>
      <c r="T91" s="42">
        <f t="shared" si="47"/>
        <v>1371</v>
      </c>
      <c r="U91" s="41">
        <f>U85</f>
        <v>519</v>
      </c>
      <c r="V91" s="41">
        <f t="shared" ref="V91:X91" si="48">V85</f>
        <v>542</v>
      </c>
      <c r="W91" s="41">
        <f t="shared" si="48"/>
        <v>310</v>
      </c>
      <c r="X91" s="42">
        <f t="shared" si="48"/>
        <v>1371</v>
      </c>
      <c r="Y91" s="41">
        <f>Y85</f>
        <v>519</v>
      </c>
      <c r="Z91" s="41">
        <f t="shared" ref="Z91:AB91" si="49">Z85</f>
        <v>542</v>
      </c>
      <c r="AA91" s="41">
        <f t="shared" si="49"/>
        <v>310</v>
      </c>
      <c r="AB91" s="42">
        <f t="shared" si="49"/>
        <v>1371</v>
      </c>
      <c r="AC91" s="90">
        <f>T91+X91+AB91</f>
        <v>4113</v>
      </c>
    </row>
    <row r="92" spans="1:30" x14ac:dyDescent="0.15">
      <c r="A92" s="102" t="s">
        <v>3</v>
      </c>
      <c r="B92" s="25"/>
      <c r="C92" s="26">
        <v>10</v>
      </c>
      <c r="D92" s="26"/>
      <c r="E92" s="5">
        <f t="shared" ref="E92:E127" si="50">SUM(B92:D92)</f>
        <v>10</v>
      </c>
      <c r="F92" s="25"/>
      <c r="G92" s="26">
        <v>10</v>
      </c>
      <c r="H92" s="26"/>
      <c r="I92" s="5">
        <f t="shared" ref="I92:I127" si="51">SUM(F92:H92)</f>
        <v>10</v>
      </c>
      <c r="J92" s="25"/>
      <c r="K92" s="26">
        <v>10</v>
      </c>
      <c r="L92" s="26"/>
      <c r="M92" s="38">
        <f t="shared" ref="M92:M127" si="52">SUM(J92:L92)</f>
        <v>10</v>
      </c>
      <c r="N92" s="138">
        <f t="shared" ref="N92:N128" si="53">E92+I92+M92</f>
        <v>30</v>
      </c>
      <c r="O92" s="24">
        <v>45350</v>
      </c>
      <c r="P92" s="6" t="s">
        <v>3</v>
      </c>
      <c r="Q92" s="14"/>
      <c r="R92" s="11"/>
      <c r="S92" s="11"/>
      <c r="T92" s="5">
        <f t="shared" ref="T92:T127" si="54">SUM(Q92:S92)</f>
        <v>0</v>
      </c>
      <c r="U92" s="14"/>
      <c r="V92" s="11"/>
      <c r="W92" s="11"/>
      <c r="X92" s="5">
        <f t="shared" ref="X92:X127" si="55">SUM(U92:W92)</f>
        <v>0</v>
      </c>
      <c r="Y92" s="25"/>
      <c r="Z92" s="26"/>
      <c r="AA92" s="26"/>
      <c r="AB92" s="5">
        <f t="shared" ref="AB92:AB127" si="56">SUM(Y92:AA92)</f>
        <v>0</v>
      </c>
      <c r="AC92" s="86">
        <f t="shared" ref="AC92:AC128" si="57">T92+X92+AB92</f>
        <v>0</v>
      </c>
      <c r="AD92" s="116"/>
    </row>
    <row r="93" spans="1:30" x14ac:dyDescent="0.15">
      <c r="A93" s="102" t="s">
        <v>114</v>
      </c>
      <c r="B93" s="14">
        <v>2</v>
      </c>
      <c r="C93" s="11">
        <v>1</v>
      </c>
      <c r="D93" s="11">
        <v>4</v>
      </c>
      <c r="E93" s="5">
        <f t="shared" si="50"/>
        <v>7</v>
      </c>
      <c r="F93" s="34">
        <v>2</v>
      </c>
      <c r="G93" s="11">
        <v>1</v>
      </c>
      <c r="H93" s="11">
        <v>4</v>
      </c>
      <c r="I93" s="5">
        <f t="shared" si="51"/>
        <v>7</v>
      </c>
      <c r="J93" s="34">
        <v>2</v>
      </c>
      <c r="K93" s="11">
        <v>1</v>
      </c>
      <c r="L93" s="11">
        <v>4</v>
      </c>
      <c r="M93" s="38">
        <f t="shared" si="52"/>
        <v>7</v>
      </c>
      <c r="N93" s="138">
        <f t="shared" si="53"/>
        <v>21</v>
      </c>
      <c r="O93" s="21">
        <v>45350</v>
      </c>
      <c r="P93" s="6" t="s">
        <v>3</v>
      </c>
      <c r="Q93" s="25"/>
      <c r="R93" s="26"/>
      <c r="S93" s="26"/>
      <c r="T93" s="8">
        <f t="shared" si="54"/>
        <v>0</v>
      </c>
      <c r="U93" s="25"/>
      <c r="V93" s="26"/>
      <c r="W93" s="26"/>
      <c r="X93" s="8">
        <f t="shared" si="55"/>
        <v>0</v>
      </c>
      <c r="Y93" s="34"/>
      <c r="Z93" s="11"/>
      <c r="AA93" s="11"/>
      <c r="AB93" s="5">
        <f t="shared" si="56"/>
        <v>0</v>
      </c>
      <c r="AC93" s="86">
        <f t="shared" si="57"/>
        <v>0</v>
      </c>
      <c r="AD93" s="116"/>
    </row>
    <row r="94" spans="1:30" x14ac:dyDescent="0.15">
      <c r="A94" s="102" t="s">
        <v>3</v>
      </c>
      <c r="B94" s="14"/>
      <c r="C94" s="11">
        <v>10</v>
      </c>
      <c r="D94" s="11"/>
      <c r="E94" s="5">
        <f t="shared" si="50"/>
        <v>10</v>
      </c>
      <c r="F94" s="34">
        <v>5</v>
      </c>
      <c r="G94" s="11">
        <v>10</v>
      </c>
      <c r="H94" s="11"/>
      <c r="I94" s="5">
        <f t="shared" si="51"/>
        <v>15</v>
      </c>
      <c r="J94" s="34">
        <v>5</v>
      </c>
      <c r="K94" s="11">
        <v>10</v>
      </c>
      <c r="L94" s="11"/>
      <c r="M94" s="38">
        <f t="shared" si="52"/>
        <v>15</v>
      </c>
      <c r="N94" s="138">
        <f t="shared" si="53"/>
        <v>40</v>
      </c>
      <c r="O94" s="21">
        <v>45352</v>
      </c>
      <c r="P94" s="6" t="s">
        <v>3</v>
      </c>
      <c r="Q94" s="14"/>
      <c r="R94" s="11"/>
      <c r="S94" s="11"/>
      <c r="T94" s="5">
        <f t="shared" si="54"/>
        <v>0</v>
      </c>
      <c r="U94" s="14"/>
      <c r="V94" s="11"/>
      <c r="W94" s="11"/>
      <c r="X94" s="5">
        <f t="shared" si="55"/>
        <v>0</v>
      </c>
      <c r="Y94" s="34"/>
      <c r="Z94" s="11"/>
      <c r="AA94" s="11"/>
      <c r="AB94" s="5">
        <f t="shared" si="56"/>
        <v>0</v>
      </c>
      <c r="AC94" s="86">
        <f t="shared" si="57"/>
        <v>0</v>
      </c>
      <c r="AD94" s="116"/>
    </row>
    <row r="95" spans="1:30" x14ac:dyDescent="0.15">
      <c r="A95" s="102" t="s">
        <v>139</v>
      </c>
      <c r="B95" s="14"/>
      <c r="C95" s="11">
        <v>1</v>
      </c>
      <c r="D95" s="11"/>
      <c r="E95" s="5">
        <f t="shared" si="50"/>
        <v>1</v>
      </c>
      <c r="F95" s="34"/>
      <c r="G95" s="11">
        <v>1</v>
      </c>
      <c r="H95" s="11"/>
      <c r="I95" s="5">
        <f t="shared" si="51"/>
        <v>1</v>
      </c>
      <c r="J95" s="34"/>
      <c r="K95" s="11">
        <v>1</v>
      </c>
      <c r="L95" s="11"/>
      <c r="M95" s="38">
        <f t="shared" si="52"/>
        <v>1</v>
      </c>
      <c r="N95" s="138">
        <f t="shared" si="53"/>
        <v>3</v>
      </c>
      <c r="O95" s="21">
        <v>45369</v>
      </c>
      <c r="P95" s="6" t="s">
        <v>3</v>
      </c>
      <c r="Q95" s="14"/>
      <c r="R95" s="11"/>
      <c r="S95" s="11"/>
      <c r="T95" s="5">
        <f t="shared" si="54"/>
        <v>0</v>
      </c>
      <c r="U95" s="14"/>
      <c r="V95" s="11"/>
      <c r="W95" s="11"/>
      <c r="X95" s="5">
        <f t="shared" si="55"/>
        <v>0</v>
      </c>
      <c r="Y95" s="34"/>
      <c r="Z95" s="11"/>
      <c r="AA95" s="11"/>
      <c r="AB95" s="5">
        <f t="shared" si="56"/>
        <v>0</v>
      </c>
      <c r="AC95" s="86">
        <f t="shared" si="57"/>
        <v>0</v>
      </c>
      <c r="AD95" s="116"/>
    </row>
    <row r="96" spans="1:30" x14ac:dyDescent="0.15">
      <c r="A96" s="102" t="s">
        <v>3</v>
      </c>
      <c r="B96" s="14">
        <v>10</v>
      </c>
      <c r="C96" s="11"/>
      <c r="D96" s="11">
        <v>10</v>
      </c>
      <c r="E96" s="5">
        <f t="shared" si="50"/>
        <v>20</v>
      </c>
      <c r="F96" s="34"/>
      <c r="G96" s="11"/>
      <c r="H96" s="11">
        <v>10</v>
      </c>
      <c r="I96" s="5">
        <f t="shared" si="51"/>
        <v>10</v>
      </c>
      <c r="J96" s="34"/>
      <c r="K96" s="11"/>
      <c r="L96" s="11">
        <v>10</v>
      </c>
      <c r="M96" s="38">
        <f t="shared" si="52"/>
        <v>10</v>
      </c>
      <c r="N96" s="138">
        <f t="shared" si="53"/>
        <v>40</v>
      </c>
      <c r="O96" s="21">
        <v>45373</v>
      </c>
      <c r="P96" s="6" t="s">
        <v>3</v>
      </c>
      <c r="Q96" s="14"/>
      <c r="R96" s="11"/>
      <c r="S96" s="11"/>
      <c r="T96" s="5">
        <f t="shared" si="54"/>
        <v>0</v>
      </c>
      <c r="U96" s="14"/>
      <c r="V96" s="11"/>
      <c r="W96" s="11"/>
      <c r="X96" s="5">
        <f t="shared" si="55"/>
        <v>0</v>
      </c>
      <c r="Y96" s="34"/>
      <c r="Z96" s="11"/>
      <c r="AA96" s="11"/>
      <c r="AB96" s="5">
        <f t="shared" si="56"/>
        <v>0</v>
      </c>
      <c r="AC96" s="86">
        <f t="shared" si="57"/>
        <v>0</v>
      </c>
      <c r="AD96" s="116"/>
    </row>
    <row r="97" spans="1:31" x14ac:dyDescent="0.15">
      <c r="A97" s="102" t="s">
        <v>3</v>
      </c>
      <c r="B97" s="25"/>
      <c r="C97" s="26"/>
      <c r="D97" s="26"/>
      <c r="E97" s="8">
        <f t="shared" si="50"/>
        <v>0</v>
      </c>
      <c r="F97" s="25"/>
      <c r="G97" s="26"/>
      <c r="H97" s="26"/>
      <c r="I97" s="8">
        <f t="shared" si="51"/>
        <v>0</v>
      </c>
      <c r="J97" s="25"/>
      <c r="K97" s="26"/>
      <c r="L97" s="26"/>
      <c r="M97" s="39">
        <f t="shared" si="52"/>
        <v>0</v>
      </c>
      <c r="N97" s="138">
        <f t="shared" si="53"/>
        <v>0</v>
      </c>
      <c r="O97" s="24"/>
      <c r="P97" s="6" t="s">
        <v>3</v>
      </c>
      <c r="Q97" s="14"/>
      <c r="R97" s="11"/>
      <c r="S97" s="11"/>
      <c r="T97" s="5">
        <f t="shared" si="54"/>
        <v>0</v>
      </c>
      <c r="U97" s="14"/>
      <c r="V97" s="11"/>
      <c r="W97" s="11"/>
      <c r="X97" s="5">
        <f t="shared" si="55"/>
        <v>0</v>
      </c>
      <c r="Y97" s="25"/>
      <c r="Z97" s="26"/>
      <c r="AA97" s="26"/>
      <c r="AB97" s="8">
        <f t="shared" si="56"/>
        <v>0</v>
      </c>
      <c r="AC97" s="86">
        <f t="shared" si="57"/>
        <v>0</v>
      </c>
      <c r="AD97" s="116"/>
    </row>
    <row r="98" spans="1:31" x14ac:dyDescent="0.15">
      <c r="A98" s="102" t="s">
        <v>3</v>
      </c>
      <c r="B98" s="27"/>
      <c r="C98" s="26"/>
      <c r="D98" s="26"/>
      <c r="E98" s="5">
        <f t="shared" si="50"/>
        <v>0</v>
      </c>
      <c r="F98" s="25"/>
      <c r="G98" s="26"/>
      <c r="H98" s="26"/>
      <c r="I98" s="5">
        <f t="shared" si="51"/>
        <v>0</v>
      </c>
      <c r="J98" s="25"/>
      <c r="K98" s="26"/>
      <c r="L98" s="26"/>
      <c r="M98" s="38">
        <f t="shared" si="52"/>
        <v>0</v>
      </c>
      <c r="N98" s="138">
        <f t="shared" si="53"/>
        <v>0</v>
      </c>
      <c r="O98" s="21"/>
      <c r="P98" s="6" t="s">
        <v>3</v>
      </c>
      <c r="Q98" s="27"/>
      <c r="R98" s="26"/>
      <c r="S98" s="26"/>
      <c r="T98" s="5">
        <f t="shared" si="54"/>
        <v>0</v>
      </c>
      <c r="U98" s="27"/>
      <c r="V98" s="26"/>
      <c r="W98" s="26"/>
      <c r="X98" s="5">
        <f t="shared" si="55"/>
        <v>0</v>
      </c>
      <c r="Y98" s="25"/>
      <c r="Z98" s="26"/>
      <c r="AA98" s="26"/>
      <c r="AB98" s="5">
        <f t="shared" si="56"/>
        <v>0</v>
      </c>
      <c r="AC98" s="86">
        <f t="shared" si="57"/>
        <v>0</v>
      </c>
      <c r="AD98" s="116"/>
    </row>
    <row r="99" spans="1:31" x14ac:dyDescent="0.15">
      <c r="A99" s="102" t="s">
        <v>3</v>
      </c>
      <c r="B99" s="27"/>
      <c r="C99" s="26"/>
      <c r="D99" s="26"/>
      <c r="E99" s="5">
        <f t="shared" si="50"/>
        <v>0</v>
      </c>
      <c r="F99" s="25"/>
      <c r="G99" s="26"/>
      <c r="H99" s="26"/>
      <c r="I99" s="5">
        <f t="shared" si="51"/>
        <v>0</v>
      </c>
      <c r="J99" s="25"/>
      <c r="K99" s="26"/>
      <c r="L99" s="26"/>
      <c r="M99" s="38">
        <f t="shared" si="52"/>
        <v>0</v>
      </c>
      <c r="N99" s="138">
        <f t="shared" si="53"/>
        <v>0</v>
      </c>
      <c r="O99" s="21"/>
      <c r="P99" s="6" t="s">
        <v>3</v>
      </c>
      <c r="Q99" s="14"/>
      <c r="R99" s="11"/>
      <c r="S99" s="11"/>
      <c r="T99" s="5">
        <f t="shared" si="54"/>
        <v>0</v>
      </c>
      <c r="U99" s="14"/>
      <c r="V99" s="11"/>
      <c r="W99" s="11"/>
      <c r="X99" s="5">
        <f t="shared" si="55"/>
        <v>0</v>
      </c>
      <c r="Y99" s="25"/>
      <c r="Z99" s="26"/>
      <c r="AA99" s="26"/>
      <c r="AB99" s="5">
        <f t="shared" si="56"/>
        <v>0</v>
      </c>
      <c r="AC99" s="86">
        <f t="shared" si="57"/>
        <v>0</v>
      </c>
      <c r="AD99" s="116"/>
    </row>
    <row r="100" spans="1:31" x14ac:dyDescent="0.15">
      <c r="A100" s="102" t="s">
        <v>3</v>
      </c>
      <c r="B100" s="27"/>
      <c r="C100" s="26"/>
      <c r="D100" s="26"/>
      <c r="E100" s="5">
        <f t="shared" si="50"/>
        <v>0</v>
      </c>
      <c r="F100" s="25"/>
      <c r="G100" s="26"/>
      <c r="H100" s="26"/>
      <c r="I100" s="5">
        <f t="shared" si="51"/>
        <v>0</v>
      </c>
      <c r="J100" s="25"/>
      <c r="K100" s="26"/>
      <c r="L100" s="26"/>
      <c r="M100" s="38">
        <f t="shared" si="52"/>
        <v>0</v>
      </c>
      <c r="N100" s="138">
        <f t="shared" si="53"/>
        <v>0</v>
      </c>
      <c r="O100" s="23"/>
      <c r="P100" s="6" t="s">
        <v>3</v>
      </c>
      <c r="Q100" s="27"/>
      <c r="R100" s="26"/>
      <c r="S100" s="26"/>
      <c r="T100" s="5">
        <f t="shared" si="54"/>
        <v>0</v>
      </c>
      <c r="U100" s="27"/>
      <c r="V100" s="26"/>
      <c r="W100" s="26"/>
      <c r="X100" s="5">
        <f t="shared" si="55"/>
        <v>0</v>
      </c>
      <c r="Y100" s="25"/>
      <c r="Z100" s="26"/>
      <c r="AA100" s="26"/>
      <c r="AB100" s="5">
        <f t="shared" si="56"/>
        <v>0</v>
      </c>
      <c r="AC100" s="86">
        <f t="shared" si="57"/>
        <v>0</v>
      </c>
      <c r="AD100" s="116"/>
    </row>
    <row r="101" spans="1:31" ht="14.25" thickBot="1" x14ac:dyDescent="0.2">
      <c r="A101" s="102" t="s">
        <v>3</v>
      </c>
      <c r="B101" s="28"/>
      <c r="C101" s="29"/>
      <c r="D101" s="32"/>
      <c r="E101" s="15">
        <f t="shared" si="50"/>
        <v>0</v>
      </c>
      <c r="F101" s="35"/>
      <c r="G101" s="29"/>
      <c r="H101" s="32"/>
      <c r="I101" s="15">
        <f t="shared" si="51"/>
        <v>0</v>
      </c>
      <c r="J101" s="35"/>
      <c r="K101" s="29"/>
      <c r="L101" s="32"/>
      <c r="M101" s="40">
        <f t="shared" si="52"/>
        <v>0</v>
      </c>
      <c r="N101" s="139">
        <f t="shared" si="53"/>
        <v>0</v>
      </c>
      <c r="O101" s="21"/>
      <c r="P101" s="7" t="s">
        <v>3</v>
      </c>
      <c r="Q101" s="28"/>
      <c r="R101" s="29"/>
      <c r="S101" s="29"/>
      <c r="T101" s="15">
        <f t="shared" si="54"/>
        <v>0</v>
      </c>
      <c r="U101" s="28"/>
      <c r="V101" s="29"/>
      <c r="W101" s="29"/>
      <c r="X101" s="15">
        <f t="shared" si="55"/>
        <v>0</v>
      </c>
      <c r="Y101" s="35"/>
      <c r="Z101" s="29"/>
      <c r="AA101" s="32"/>
      <c r="AB101" s="15">
        <f t="shared" si="56"/>
        <v>0</v>
      </c>
      <c r="AC101" s="87">
        <f t="shared" si="57"/>
        <v>0</v>
      </c>
      <c r="AD101" s="116"/>
    </row>
    <row r="102" spans="1:31" ht="14.25" thickBot="1" x14ac:dyDescent="0.2">
      <c r="A102" s="103" t="s">
        <v>4</v>
      </c>
      <c r="B102" s="17">
        <f>SUM(B91:B101)</f>
        <v>24</v>
      </c>
      <c r="C102" s="17">
        <f>SUM(C91:C101)</f>
        <v>29</v>
      </c>
      <c r="D102" s="17">
        <f>SUM(D91:D101)</f>
        <v>28</v>
      </c>
      <c r="E102" s="18">
        <f t="shared" si="50"/>
        <v>81</v>
      </c>
      <c r="F102" s="17">
        <f>SUM(F91:F101)</f>
        <v>17</v>
      </c>
      <c r="G102" s="17">
        <f>SUM(G91:G101)</f>
        <v>27</v>
      </c>
      <c r="H102" s="17">
        <f>SUM(H91:H101)</f>
        <v>26</v>
      </c>
      <c r="I102" s="18">
        <f t="shared" si="51"/>
        <v>70</v>
      </c>
      <c r="J102" s="17">
        <f>SUM(J91:J101)</f>
        <v>18</v>
      </c>
      <c r="K102" s="17">
        <f>SUM(K91:K101)</f>
        <v>30</v>
      </c>
      <c r="L102" s="17">
        <f>SUM(L91:L101)</f>
        <v>26</v>
      </c>
      <c r="M102" s="20">
        <f t="shared" si="52"/>
        <v>74</v>
      </c>
      <c r="N102" s="140">
        <f t="shared" si="53"/>
        <v>225</v>
      </c>
      <c r="O102" s="1"/>
      <c r="P102" s="16" t="s">
        <v>4</v>
      </c>
      <c r="Q102" s="17">
        <f>SUM(Q91:Q101)</f>
        <v>519</v>
      </c>
      <c r="R102" s="17">
        <f>SUM(R91:R101)</f>
        <v>542</v>
      </c>
      <c r="S102" s="17">
        <f>SUM(S91:S101)</f>
        <v>310</v>
      </c>
      <c r="T102" s="18">
        <f t="shared" si="54"/>
        <v>1371</v>
      </c>
      <c r="U102" s="17">
        <f>SUM(U91:U101)</f>
        <v>519</v>
      </c>
      <c r="V102" s="17">
        <f>SUM(V91:V101)</f>
        <v>542</v>
      </c>
      <c r="W102" s="17">
        <f>SUM(W91:W101)</f>
        <v>310</v>
      </c>
      <c r="X102" s="18">
        <f t="shared" si="55"/>
        <v>1371</v>
      </c>
      <c r="Y102" s="17">
        <f>SUM(Y91:Y101)</f>
        <v>519</v>
      </c>
      <c r="Z102" s="17">
        <f>SUM(Z91:Z101)</f>
        <v>542</v>
      </c>
      <c r="AA102" s="17">
        <f>SUM(AA91:AA101)</f>
        <v>310</v>
      </c>
      <c r="AB102" s="18">
        <f t="shared" si="56"/>
        <v>1371</v>
      </c>
      <c r="AC102" s="88">
        <f t="shared" si="57"/>
        <v>4113</v>
      </c>
    </row>
    <row r="103" spans="1:31" x14ac:dyDescent="0.15">
      <c r="A103" s="33" t="s">
        <v>109</v>
      </c>
      <c r="B103" s="9"/>
      <c r="C103" s="10">
        <v>3</v>
      </c>
      <c r="D103" s="31"/>
      <c r="E103" s="5">
        <f t="shared" si="50"/>
        <v>3</v>
      </c>
      <c r="F103" s="9"/>
      <c r="G103" s="10">
        <v>3</v>
      </c>
      <c r="H103" s="31"/>
      <c r="I103" s="5">
        <f t="shared" si="51"/>
        <v>3</v>
      </c>
      <c r="J103" s="9"/>
      <c r="K103" s="10">
        <v>3</v>
      </c>
      <c r="L103" s="31"/>
      <c r="M103" s="38">
        <f t="shared" si="52"/>
        <v>3</v>
      </c>
      <c r="N103" s="141">
        <f t="shared" si="53"/>
        <v>9</v>
      </c>
      <c r="O103" s="21">
        <v>45351</v>
      </c>
      <c r="P103" s="4" t="s">
        <v>27</v>
      </c>
      <c r="Q103" s="9"/>
      <c r="R103" s="10">
        <v>10</v>
      </c>
      <c r="S103" s="10"/>
      <c r="T103" s="5">
        <f t="shared" ref="T103:T119" si="58">SUM(Q103:S103)</f>
        <v>10</v>
      </c>
      <c r="U103" s="9">
        <v>5</v>
      </c>
      <c r="V103" s="10">
        <v>10</v>
      </c>
      <c r="W103" s="10"/>
      <c r="X103" s="5">
        <f t="shared" ref="X103:X119" si="59">SUM(U103:W103)</f>
        <v>15</v>
      </c>
      <c r="Y103" s="9">
        <v>5</v>
      </c>
      <c r="Z103" s="10">
        <v>10</v>
      </c>
      <c r="AA103" s="10"/>
      <c r="AB103" s="5">
        <f t="shared" ref="AB103:AB119" si="60">SUM(Y103:AA103)</f>
        <v>15</v>
      </c>
      <c r="AC103" s="86">
        <f t="shared" ref="AC103:AC119" si="61">T103+X103+AB103</f>
        <v>40</v>
      </c>
      <c r="AD103" s="109">
        <v>45352</v>
      </c>
      <c r="AE103" s="58"/>
    </row>
    <row r="104" spans="1:31" x14ac:dyDescent="0.15">
      <c r="A104" s="33" t="s">
        <v>112</v>
      </c>
      <c r="B104" s="9">
        <v>1</v>
      </c>
      <c r="C104" s="10">
        <v>6</v>
      </c>
      <c r="D104" s="10"/>
      <c r="E104" s="5">
        <f t="shared" si="50"/>
        <v>7</v>
      </c>
      <c r="F104" s="9">
        <v>1</v>
      </c>
      <c r="G104" s="10">
        <v>6</v>
      </c>
      <c r="H104" s="10"/>
      <c r="I104" s="5">
        <f t="shared" si="51"/>
        <v>7</v>
      </c>
      <c r="J104" s="9">
        <v>1</v>
      </c>
      <c r="K104" s="10">
        <v>6</v>
      </c>
      <c r="L104" s="10"/>
      <c r="M104" s="38">
        <f t="shared" si="52"/>
        <v>7</v>
      </c>
      <c r="N104" s="138">
        <f t="shared" si="53"/>
        <v>21</v>
      </c>
      <c r="O104" s="21">
        <v>45352</v>
      </c>
      <c r="P104" s="11" t="s">
        <v>118</v>
      </c>
      <c r="Q104" s="9"/>
      <c r="R104" s="10">
        <v>10</v>
      </c>
      <c r="S104" s="10"/>
      <c r="T104" s="5">
        <f t="shared" si="58"/>
        <v>10</v>
      </c>
      <c r="U104" s="9"/>
      <c r="V104" s="10">
        <v>10</v>
      </c>
      <c r="W104" s="10"/>
      <c r="X104" s="5">
        <f t="shared" si="59"/>
        <v>10</v>
      </c>
      <c r="Y104" s="9"/>
      <c r="Z104" s="10">
        <v>10</v>
      </c>
      <c r="AA104" s="10"/>
      <c r="AB104" s="5">
        <f t="shared" si="60"/>
        <v>10</v>
      </c>
      <c r="AC104" s="86">
        <f t="shared" si="61"/>
        <v>30</v>
      </c>
      <c r="AD104" s="109">
        <v>45356</v>
      </c>
    </row>
    <row r="105" spans="1:31" x14ac:dyDescent="0.15">
      <c r="A105" s="33" t="s">
        <v>113</v>
      </c>
      <c r="B105" s="9">
        <v>1</v>
      </c>
      <c r="C105" s="10">
        <v>2</v>
      </c>
      <c r="D105" s="10"/>
      <c r="E105" s="5">
        <f t="shared" si="50"/>
        <v>3</v>
      </c>
      <c r="F105" s="9">
        <v>1</v>
      </c>
      <c r="G105" s="10">
        <v>2</v>
      </c>
      <c r="H105" s="10"/>
      <c r="I105" s="5">
        <f t="shared" si="51"/>
        <v>3</v>
      </c>
      <c r="J105" s="9">
        <v>1</v>
      </c>
      <c r="K105" s="10">
        <v>2</v>
      </c>
      <c r="L105" s="10"/>
      <c r="M105" s="38">
        <f t="shared" si="52"/>
        <v>3</v>
      </c>
      <c r="N105" s="138">
        <f t="shared" si="53"/>
        <v>9</v>
      </c>
      <c r="O105" s="21">
        <v>45352</v>
      </c>
      <c r="P105" s="11" t="s">
        <v>124</v>
      </c>
      <c r="Q105" s="9">
        <v>10</v>
      </c>
      <c r="R105" s="10">
        <v>10</v>
      </c>
      <c r="S105" s="10">
        <v>10</v>
      </c>
      <c r="T105" s="8">
        <f t="shared" si="58"/>
        <v>30</v>
      </c>
      <c r="U105" s="9">
        <v>10</v>
      </c>
      <c r="V105" s="10">
        <v>10</v>
      </c>
      <c r="W105" s="10">
        <v>10</v>
      </c>
      <c r="X105" s="8">
        <f t="shared" si="59"/>
        <v>30</v>
      </c>
      <c r="Y105" s="9">
        <v>10</v>
      </c>
      <c r="Z105" s="10">
        <v>10</v>
      </c>
      <c r="AA105" s="10">
        <v>10</v>
      </c>
      <c r="AB105" s="8">
        <f t="shared" si="60"/>
        <v>30</v>
      </c>
      <c r="AC105" s="86">
        <f t="shared" si="61"/>
        <v>90</v>
      </c>
      <c r="AD105" s="109">
        <v>45358</v>
      </c>
    </row>
    <row r="106" spans="1:31" x14ac:dyDescent="0.15">
      <c r="A106" s="33" t="s">
        <v>115</v>
      </c>
      <c r="B106" s="9">
        <v>1</v>
      </c>
      <c r="C106" s="10"/>
      <c r="D106" s="10"/>
      <c r="E106" s="5">
        <f t="shared" si="50"/>
        <v>1</v>
      </c>
      <c r="F106" s="9">
        <v>1</v>
      </c>
      <c r="G106" s="10"/>
      <c r="H106" s="10"/>
      <c r="I106" s="5">
        <f t="shared" si="51"/>
        <v>1</v>
      </c>
      <c r="J106" s="9">
        <v>1</v>
      </c>
      <c r="K106" s="10"/>
      <c r="L106" s="10"/>
      <c r="M106" s="38">
        <f t="shared" si="52"/>
        <v>1</v>
      </c>
      <c r="N106" s="138">
        <f t="shared" si="53"/>
        <v>3</v>
      </c>
      <c r="O106" s="21">
        <v>45355</v>
      </c>
      <c r="P106" s="11" t="s">
        <v>134</v>
      </c>
      <c r="Q106" s="9">
        <v>10</v>
      </c>
      <c r="R106" s="10">
        <v>10</v>
      </c>
      <c r="S106" s="10">
        <v>10</v>
      </c>
      <c r="T106" s="8">
        <f t="shared" si="58"/>
        <v>30</v>
      </c>
      <c r="U106" s="9">
        <v>10</v>
      </c>
      <c r="V106" s="10">
        <v>10</v>
      </c>
      <c r="W106" s="10">
        <v>10</v>
      </c>
      <c r="X106" s="8">
        <f t="shared" si="59"/>
        <v>30</v>
      </c>
      <c r="Y106" s="9">
        <v>10</v>
      </c>
      <c r="Z106" s="10">
        <v>10</v>
      </c>
      <c r="AA106" s="10">
        <v>10</v>
      </c>
      <c r="AB106" s="8">
        <f t="shared" si="60"/>
        <v>30</v>
      </c>
      <c r="AC106" s="86">
        <f t="shared" si="61"/>
        <v>90</v>
      </c>
      <c r="AD106" s="109">
        <v>45365</v>
      </c>
    </row>
    <row r="107" spans="1:31" x14ac:dyDescent="0.15">
      <c r="A107" s="33" t="s">
        <v>119</v>
      </c>
      <c r="B107" s="9"/>
      <c r="C107" s="10"/>
      <c r="D107" s="10">
        <v>1</v>
      </c>
      <c r="E107" s="5">
        <f t="shared" si="50"/>
        <v>1</v>
      </c>
      <c r="F107" s="9"/>
      <c r="G107" s="10"/>
      <c r="H107" s="10">
        <v>1</v>
      </c>
      <c r="I107" s="5">
        <f t="shared" si="51"/>
        <v>1</v>
      </c>
      <c r="J107" s="9"/>
      <c r="K107" s="10"/>
      <c r="L107" s="10">
        <v>1</v>
      </c>
      <c r="M107" s="38">
        <f t="shared" si="52"/>
        <v>1</v>
      </c>
      <c r="N107" s="138">
        <f t="shared" si="53"/>
        <v>3</v>
      </c>
      <c r="O107" s="21">
        <v>45357</v>
      </c>
      <c r="P107" s="11" t="s">
        <v>129</v>
      </c>
      <c r="Q107" s="9"/>
      <c r="R107" s="10"/>
      <c r="S107" s="10">
        <v>5</v>
      </c>
      <c r="T107" s="8">
        <f t="shared" si="58"/>
        <v>5</v>
      </c>
      <c r="U107" s="9"/>
      <c r="V107" s="10"/>
      <c r="W107" s="10">
        <v>5</v>
      </c>
      <c r="X107" s="8">
        <f t="shared" si="59"/>
        <v>5</v>
      </c>
      <c r="Y107" s="9"/>
      <c r="Z107" s="10"/>
      <c r="AA107" s="10">
        <v>5</v>
      </c>
      <c r="AB107" s="8">
        <f t="shared" si="60"/>
        <v>5</v>
      </c>
      <c r="AC107" s="86">
        <f t="shared" si="61"/>
        <v>15</v>
      </c>
      <c r="AD107" s="109">
        <v>45363</v>
      </c>
      <c r="AE107" s="58"/>
    </row>
    <row r="108" spans="1:31" x14ac:dyDescent="0.15">
      <c r="A108" s="33" t="s">
        <v>36</v>
      </c>
      <c r="B108" s="9"/>
      <c r="C108" s="10"/>
      <c r="D108" s="10">
        <v>1</v>
      </c>
      <c r="E108" s="8">
        <f t="shared" si="50"/>
        <v>1</v>
      </c>
      <c r="F108" s="9"/>
      <c r="G108" s="10"/>
      <c r="H108" s="10">
        <v>1</v>
      </c>
      <c r="I108" s="8">
        <f t="shared" si="51"/>
        <v>1</v>
      </c>
      <c r="J108" s="9"/>
      <c r="K108" s="10"/>
      <c r="L108" s="10">
        <v>1</v>
      </c>
      <c r="M108" s="39">
        <f t="shared" si="52"/>
        <v>1</v>
      </c>
      <c r="N108" s="138">
        <f t="shared" si="53"/>
        <v>3</v>
      </c>
      <c r="O108" s="21">
        <v>45355</v>
      </c>
      <c r="P108" s="63" t="s">
        <v>133</v>
      </c>
      <c r="Q108" s="9"/>
      <c r="R108" s="10">
        <v>2</v>
      </c>
      <c r="S108" s="10">
        <v>1</v>
      </c>
      <c r="T108" s="8">
        <f t="shared" si="58"/>
        <v>3</v>
      </c>
      <c r="U108" s="9"/>
      <c r="V108" s="10">
        <v>2</v>
      </c>
      <c r="W108" s="10">
        <v>1</v>
      </c>
      <c r="X108" s="8">
        <f t="shared" si="59"/>
        <v>3</v>
      </c>
      <c r="Y108" s="9"/>
      <c r="Z108" s="10">
        <v>2</v>
      </c>
      <c r="AA108" s="10">
        <v>1</v>
      </c>
      <c r="AB108" s="39">
        <f t="shared" si="60"/>
        <v>3</v>
      </c>
      <c r="AC108" s="86">
        <f t="shared" si="61"/>
        <v>9</v>
      </c>
      <c r="AD108" s="119">
        <v>45366</v>
      </c>
      <c r="AE108" s="58"/>
    </row>
    <row r="109" spans="1:31" x14ac:dyDescent="0.15">
      <c r="A109" s="33" t="s">
        <v>125</v>
      </c>
      <c r="B109" s="9">
        <v>1</v>
      </c>
      <c r="C109" s="10"/>
      <c r="D109" s="10"/>
      <c r="E109" s="8">
        <f t="shared" si="50"/>
        <v>1</v>
      </c>
      <c r="F109" s="9">
        <v>1</v>
      </c>
      <c r="G109" s="10"/>
      <c r="H109" s="10"/>
      <c r="I109" s="8">
        <f t="shared" si="51"/>
        <v>1</v>
      </c>
      <c r="J109" s="9">
        <v>1</v>
      </c>
      <c r="K109" s="10"/>
      <c r="L109" s="10"/>
      <c r="M109" s="39">
        <f t="shared" si="52"/>
        <v>1</v>
      </c>
      <c r="N109" s="138">
        <f t="shared" si="53"/>
        <v>3</v>
      </c>
      <c r="O109" s="21">
        <v>45359</v>
      </c>
      <c r="P109" s="63" t="s">
        <v>137</v>
      </c>
      <c r="Q109" s="9"/>
      <c r="R109" s="10">
        <v>1</v>
      </c>
      <c r="S109" s="10"/>
      <c r="T109" s="8">
        <f t="shared" si="58"/>
        <v>1</v>
      </c>
      <c r="U109" s="9"/>
      <c r="V109" s="10">
        <v>1</v>
      </c>
      <c r="W109" s="10"/>
      <c r="X109" s="8">
        <f t="shared" si="59"/>
        <v>1</v>
      </c>
      <c r="Y109" s="9"/>
      <c r="Z109" s="10">
        <v>1</v>
      </c>
      <c r="AA109" s="10"/>
      <c r="AB109" s="8">
        <f t="shared" si="60"/>
        <v>1</v>
      </c>
      <c r="AC109" s="86">
        <f t="shared" si="61"/>
        <v>3</v>
      </c>
      <c r="AD109" s="109">
        <v>45371</v>
      </c>
    </row>
    <row r="110" spans="1:31" x14ac:dyDescent="0.15">
      <c r="A110" s="33" t="s">
        <v>126</v>
      </c>
      <c r="B110" s="9"/>
      <c r="C110" s="10"/>
      <c r="D110" s="10">
        <v>1</v>
      </c>
      <c r="E110" s="8">
        <f t="shared" si="50"/>
        <v>1</v>
      </c>
      <c r="F110" s="9"/>
      <c r="G110" s="10"/>
      <c r="H110" s="10">
        <v>1</v>
      </c>
      <c r="I110" s="8">
        <f t="shared" si="51"/>
        <v>1</v>
      </c>
      <c r="J110" s="9"/>
      <c r="K110" s="10"/>
      <c r="L110" s="10">
        <v>1</v>
      </c>
      <c r="M110" s="39">
        <f t="shared" si="52"/>
        <v>1</v>
      </c>
      <c r="N110" s="138">
        <f t="shared" si="53"/>
        <v>3</v>
      </c>
      <c r="O110" s="21">
        <v>45362</v>
      </c>
      <c r="P110" s="11" t="s">
        <v>140</v>
      </c>
      <c r="Q110" s="9">
        <v>10</v>
      </c>
      <c r="R110" s="10">
        <v>30</v>
      </c>
      <c r="S110" s="10">
        <v>20</v>
      </c>
      <c r="T110" s="8">
        <f t="shared" si="58"/>
        <v>60</v>
      </c>
      <c r="U110" s="9">
        <v>10</v>
      </c>
      <c r="V110" s="10">
        <v>20</v>
      </c>
      <c r="W110" s="10">
        <v>10</v>
      </c>
      <c r="X110" s="8">
        <f t="shared" si="59"/>
        <v>40</v>
      </c>
      <c r="Y110" s="9">
        <v>20</v>
      </c>
      <c r="Z110" s="10">
        <v>20</v>
      </c>
      <c r="AA110" s="10">
        <v>10</v>
      </c>
      <c r="AB110" s="8">
        <f t="shared" si="60"/>
        <v>50</v>
      </c>
      <c r="AC110" s="86">
        <f t="shared" si="61"/>
        <v>150</v>
      </c>
      <c r="AD110" s="109">
        <v>45370</v>
      </c>
    </row>
    <row r="111" spans="1:31" x14ac:dyDescent="0.15">
      <c r="A111" s="33" t="s">
        <v>130</v>
      </c>
      <c r="B111" s="9"/>
      <c r="C111" s="10"/>
      <c r="D111" s="10">
        <v>1</v>
      </c>
      <c r="E111" s="8">
        <f t="shared" si="50"/>
        <v>1</v>
      </c>
      <c r="F111" s="9"/>
      <c r="G111" s="10"/>
      <c r="H111" s="10">
        <v>1</v>
      </c>
      <c r="I111" s="8">
        <f t="shared" si="51"/>
        <v>1</v>
      </c>
      <c r="J111" s="9"/>
      <c r="K111" s="10"/>
      <c r="L111" s="10">
        <v>1</v>
      </c>
      <c r="M111" s="39">
        <f t="shared" si="52"/>
        <v>1</v>
      </c>
      <c r="N111" s="138">
        <f t="shared" si="53"/>
        <v>3</v>
      </c>
      <c r="O111" s="21">
        <v>45364</v>
      </c>
      <c r="P111" s="11" t="s">
        <v>146</v>
      </c>
      <c r="Q111" s="9">
        <v>20</v>
      </c>
      <c r="R111" s="10"/>
      <c r="S111" s="10"/>
      <c r="T111" s="8">
        <f t="shared" si="58"/>
        <v>20</v>
      </c>
      <c r="U111" s="9"/>
      <c r="V111" s="10"/>
      <c r="W111" s="10"/>
      <c r="X111" s="8">
        <f t="shared" si="59"/>
        <v>0</v>
      </c>
      <c r="Y111" s="9"/>
      <c r="Z111" s="10"/>
      <c r="AA111" s="10"/>
      <c r="AB111" s="8">
        <f t="shared" si="60"/>
        <v>0</v>
      </c>
      <c r="AC111" s="86">
        <f t="shared" si="61"/>
        <v>20</v>
      </c>
      <c r="AD111" s="109">
        <v>45373</v>
      </c>
    </row>
    <row r="112" spans="1:31" x14ac:dyDescent="0.15">
      <c r="A112" s="33" t="s">
        <v>36</v>
      </c>
      <c r="B112" s="9">
        <v>1</v>
      </c>
      <c r="C112" s="10"/>
      <c r="D112" s="10"/>
      <c r="E112" s="8">
        <f t="shared" si="50"/>
        <v>1</v>
      </c>
      <c r="F112" s="9">
        <v>1</v>
      </c>
      <c r="G112" s="10"/>
      <c r="H112" s="10"/>
      <c r="I112" s="8">
        <f t="shared" si="51"/>
        <v>1</v>
      </c>
      <c r="J112" s="9">
        <v>1</v>
      </c>
      <c r="K112" s="10"/>
      <c r="L112" s="10"/>
      <c r="M112" s="39">
        <f t="shared" si="52"/>
        <v>1</v>
      </c>
      <c r="N112" s="138">
        <f t="shared" si="53"/>
        <v>3</v>
      </c>
      <c r="O112" s="21">
        <v>45362</v>
      </c>
      <c r="P112" s="11" t="s">
        <v>141</v>
      </c>
      <c r="Q112" s="9"/>
      <c r="R112" s="10">
        <v>11</v>
      </c>
      <c r="S112" s="10"/>
      <c r="T112" s="8">
        <f t="shared" si="58"/>
        <v>11</v>
      </c>
      <c r="U112" s="9"/>
      <c r="V112" s="10">
        <v>11</v>
      </c>
      <c r="W112" s="10"/>
      <c r="X112" s="8">
        <f t="shared" si="59"/>
        <v>11</v>
      </c>
      <c r="Y112" s="9"/>
      <c r="Z112" s="10">
        <v>11</v>
      </c>
      <c r="AA112" s="10"/>
      <c r="AB112" s="8">
        <f t="shared" si="60"/>
        <v>11</v>
      </c>
      <c r="AC112" s="86">
        <f t="shared" si="61"/>
        <v>33</v>
      </c>
      <c r="AD112" s="109">
        <v>45376</v>
      </c>
      <c r="AE112" s="58"/>
    </row>
    <row r="113" spans="1:33" x14ac:dyDescent="0.15">
      <c r="A113" s="33" t="s">
        <v>135</v>
      </c>
      <c r="B113" s="9">
        <v>1</v>
      </c>
      <c r="C113" s="10"/>
      <c r="D113" s="10"/>
      <c r="E113" s="8">
        <f t="shared" ref="E113:E117" si="62">SUM(B113:D113)</f>
        <v>1</v>
      </c>
      <c r="F113" s="9">
        <v>1</v>
      </c>
      <c r="G113" s="10"/>
      <c r="H113" s="10"/>
      <c r="I113" s="8">
        <f t="shared" ref="I113:I118" si="63">SUM(F113:H113)</f>
        <v>1</v>
      </c>
      <c r="J113" s="9">
        <v>1</v>
      </c>
      <c r="K113" s="10"/>
      <c r="L113" s="10"/>
      <c r="M113" s="39">
        <f t="shared" ref="M113:M118" si="64">SUM(J113:L113)</f>
        <v>1</v>
      </c>
      <c r="N113" s="138">
        <f t="shared" ref="N113:N118" si="65">E113+I113+M113</f>
        <v>3</v>
      </c>
      <c r="O113" s="21">
        <v>45366</v>
      </c>
      <c r="P113" s="63" t="s">
        <v>142</v>
      </c>
      <c r="Q113" s="9"/>
      <c r="R113" s="10">
        <v>1</v>
      </c>
      <c r="S113" s="10">
        <v>1</v>
      </c>
      <c r="T113" s="8">
        <f t="shared" si="58"/>
        <v>2</v>
      </c>
      <c r="U113" s="9"/>
      <c r="V113" s="10">
        <v>1</v>
      </c>
      <c r="W113" s="10">
        <v>1</v>
      </c>
      <c r="X113" s="8">
        <f t="shared" si="59"/>
        <v>2</v>
      </c>
      <c r="Y113" s="9"/>
      <c r="Z113" s="10">
        <v>1</v>
      </c>
      <c r="AA113" s="10">
        <v>1</v>
      </c>
      <c r="AB113" s="8">
        <f t="shared" si="60"/>
        <v>2</v>
      </c>
      <c r="AC113" s="86">
        <f t="shared" si="61"/>
        <v>6</v>
      </c>
      <c r="AD113" s="109">
        <v>45374</v>
      </c>
    </row>
    <row r="114" spans="1:33" x14ac:dyDescent="0.15">
      <c r="A114" s="33" t="s">
        <v>136</v>
      </c>
      <c r="B114" s="9"/>
      <c r="C114" s="10">
        <v>2</v>
      </c>
      <c r="D114" s="10"/>
      <c r="E114" s="8">
        <f t="shared" si="62"/>
        <v>2</v>
      </c>
      <c r="F114" s="9"/>
      <c r="G114" s="10">
        <v>2</v>
      </c>
      <c r="H114" s="10"/>
      <c r="I114" s="8">
        <f t="shared" si="63"/>
        <v>2</v>
      </c>
      <c r="J114" s="9"/>
      <c r="K114" s="10">
        <v>2</v>
      </c>
      <c r="L114" s="10"/>
      <c r="M114" s="39">
        <f t="shared" si="64"/>
        <v>2</v>
      </c>
      <c r="N114" s="138">
        <f t="shared" si="65"/>
        <v>6</v>
      </c>
      <c r="O114" s="21">
        <v>45366</v>
      </c>
      <c r="P114" s="11" t="s">
        <v>145</v>
      </c>
      <c r="Q114" s="9"/>
      <c r="R114" s="10"/>
      <c r="S114" s="10"/>
      <c r="T114" s="8">
        <f t="shared" si="58"/>
        <v>0</v>
      </c>
      <c r="U114" s="9"/>
      <c r="V114" s="10"/>
      <c r="W114" s="10"/>
      <c r="X114" s="8">
        <f t="shared" si="59"/>
        <v>0</v>
      </c>
      <c r="Y114" s="9"/>
      <c r="Z114" s="10"/>
      <c r="AA114" s="10">
        <v>10</v>
      </c>
      <c r="AB114" s="8">
        <f t="shared" si="60"/>
        <v>10</v>
      </c>
      <c r="AC114" s="86">
        <f t="shared" si="61"/>
        <v>10</v>
      </c>
      <c r="AD114" s="109">
        <v>45373</v>
      </c>
    </row>
    <row r="115" spans="1:33" x14ac:dyDescent="0.15">
      <c r="A115" s="33" t="s">
        <v>36</v>
      </c>
      <c r="B115" s="9"/>
      <c r="C115" s="10">
        <v>1</v>
      </c>
      <c r="D115" s="10"/>
      <c r="E115" s="8">
        <f t="shared" si="62"/>
        <v>1</v>
      </c>
      <c r="F115" s="9"/>
      <c r="G115" s="10">
        <v>1</v>
      </c>
      <c r="H115" s="10"/>
      <c r="I115" s="8">
        <f t="shared" si="63"/>
        <v>1</v>
      </c>
      <c r="J115" s="9"/>
      <c r="K115" s="10">
        <v>1</v>
      </c>
      <c r="L115" s="10"/>
      <c r="M115" s="39">
        <f t="shared" si="64"/>
        <v>1</v>
      </c>
      <c r="N115" s="138">
        <f t="shared" si="65"/>
        <v>3</v>
      </c>
      <c r="O115" s="21">
        <v>45367</v>
      </c>
      <c r="P115" s="11" t="s">
        <v>144</v>
      </c>
      <c r="Q115" s="9"/>
      <c r="R115" s="10">
        <v>2</v>
      </c>
      <c r="S115" s="10"/>
      <c r="T115" s="8">
        <f t="shared" si="58"/>
        <v>2</v>
      </c>
      <c r="U115" s="9"/>
      <c r="V115" s="10">
        <v>2</v>
      </c>
      <c r="W115" s="10"/>
      <c r="X115" s="8">
        <f t="shared" si="59"/>
        <v>2</v>
      </c>
      <c r="Y115" s="9"/>
      <c r="Z115" s="10">
        <v>2</v>
      </c>
      <c r="AA115" s="10"/>
      <c r="AB115" s="8">
        <f t="shared" si="60"/>
        <v>2</v>
      </c>
      <c r="AC115" s="86">
        <f t="shared" si="61"/>
        <v>6</v>
      </c>
      <c r="AD115" s="109">
        <v>45376</v>
      </c>
      <c r="AE115" s="58"/>
      <c r="AF115" s="58"/>
    </row>
    <row r="116" spans="1:33" x14ac:dyDescent="0.15">
      <c r="A116" s="33" t="s">
        <v>138</v>
      </c>
      <c r="B116" s="9"/>
      <c r="C116" s="10">
        <v>1</v>
      </c>
      <c r="D116" s="10"/>
      <c r="E116" s="8">
        <f t="shared" si="62"/>
        <v>1</v>
      </c>
      <c r="F116" s="9"/>
      <c r="G116" s="10">
        <v>1</v>
      </c>
      <c r="H116" s="10"/>
      <c r="I116" s="8">
        <f t="shared" si="63"/>
        <v>1</v>
      </c>
      <c r="J116" s="9"/>
      <c r="K116" s="10">
        <v>1</v>
      </c>
      <c r="L116" s="10"/>
      <c r="M116" s="39">
        <f t="shared" si="64"/>
        <v>1</v>
      </c>
      <c r="N116" s="138">
        <f t="shared" si="65"/>
        <v>3</v>
      </c>
      <c r="O116" s="21">
        <v>45370</v>
      </c>
      <c r="P116" s="4" t="s">
        <v>27</v>
      </c>
      <c r="Q116" s="77">
        <v>10</v>
      </c>
      <c r="R116" s="78"/>
      <c r="S116" s="78">
        <v>10</v>
      </c>
      <c r="T116" s="5">
        <f t="shared" si="58"/>
        <v>20</v>
      </c>
      <c r="U116" s="77"/>
      <c r="V116" s="78"/>
      <c r="W116" s="78">
        <v>10</v>
      </c>
      <c r="X116" s="5">
        <f t="shared" si="59"/>
        <v>10</v>
      </c>
      <c r="Y116" s="77"/>
      <c r="Z116" s="78"/>
      <c r="AA116" s="78">
        <v>10</v>
      </c>
      <c r="AB116" s="5">
        <f t="shared" si="60"/>
        <v>10</v>
      </c>
      <c r="AC116" s="91">
        <f t="shared" si="61"/>
        <v>40</v>
      </c>
      <c r="AD116" s="109">
        <v>45373</v>
      </c>
      <c r="AE116" s="58"/>
      <c r="AF116" s="58"/>
    </row>
    <row r="117" spans="1:33" x14ac:dyDescent="0.15">
      <c r="A117" s="33" t="s">
        <v>143</v>
      </c>
      <c r="B117" s="9">
        <v>1</v>
      </c>
      <c r="C117" s="10">
        <v>1</v>
      </c>
      <c r="D117" s="10">
        <v>6</v>
      </c>
      <c r="E117" s="8">
        <f t="shared" si="62"/>
        <v>8</v>
      </c>
      <c r="F117" s="9">
        <v>1</v>
      </c>
      <c r="G117" s="10">
        <v>1</v>
      </c>
      <c r="H117" s="10">
        <v>6</v>
      </c>
      <c r="I117" s="8">
        <f t="shared" si="63"/>
        <v>8</v>
      </c>
      <c r="J117" s="9">
        <v>1</v>
      </c>
      <c r="K117" s="10">
        <v>1</v>
      </c>
      <c r="L117" s="10">
        <v>6</v>
      </c>
      <c r="M117" s="39">
        <f t="shared" si="64"/>
        <v>8</v>
      </c>
      <c r="N117" s="138">
        <f t="shared" si="65"/>
        <v>24</v>
      </c>
      <c r="O117" s="21">
        <v>45373</v>
      </c>
      <c r="P117" s="4" t="s">
        <v>149</v>
      </c>
      <c r="Q117" s="9">
        <v>9</v>
      </c>
      <c r="R117" s="10">
        <v>1</v>
      </c>
      <c r="S117" s="10">
        <v>2</v>
      </c>
      <c r="T117" s="5">
        <f t="shared" si="58"/>
        <v>12</v>
      </c>
      <c r="U117" s="9">
        <v>9</v>
      </c>
      <c r="V117" s="10">
        <v>1</v>
      </c>
      <c r="W117" s="10">
        <v>2</v>
      </c>
      <c r="X117" s="5">
        <f t="shared" si="59"/>
        <v>12</v>
      </c>
      <c r="Y117" s="9">
        <v>9</v>
      </c>
      <c r="Z117" s="10">
        <v>1</v>
      </c>
      <c r="AA117" s="10">
        <v>2</v>
      </c>
      <c r="AB117" s="5">
        <f t="shared" si="60"/>
        <v>12</v>
      </c>
      <c r="AC117" s="86">
        <f t="shared" si="61"/>
        <v>36</v>
      </c>
      <c r="AD117" s="109">
        <v>45376</v>
      </c>
      <c r="AE117" s="58"/>
      <c r="AF117" s="58"/>
      <c r="AG117" s="58"/>
    </row>
    <row r="118" spans="1:33" x14ac:dyDescent="0.15">
      <c r="A118" s="33"/>
      <c r="B118" s="9"/>
      <c r="C118" s="10"/>
      <c r="D118" s="10"/>
      <c r="E118" s="8">
        <f t="shared" ref="E118" si="66">SUM(B118:D118)</f>
        <v>0</v>
      </c>
      <c r="F118" s="9"/>
      <c r="G118" s="10"/>
      <c r="H118" s="10"/>
      <c r="I118" s="8">
        <f t="shared" si="63"/>
        <v>0</v>
      </c>
      <c r="J118" s="9"/>
      <c r="K118" s="10"/>
      <c r="L118" s="10"/>
      <c r="M118" s="39">
        <f t="shared" si="64"/>
        <v>0</v>
      </c>
      <c r="N118" s="138">
        <f t="shared" si="65"/>
        <v>0</v>
      </c>
      <c r="O118" s="21"/>
      <c r="P118" s="11" t="s">
        <v>150</v>
      </c>
      <c r="Q118" s="9">
        <v>10</v>
      </c>
      <c r="R118" s="10">
        <v>15</v>
      </c>
      <c r="S118" s="10">
        <v>10</v>
      </c>
      <c r="T118" s="5">
        <f t="shared" si="58"/>
        <v>35</v>
      </c>
      <c r="U118" s="9"/>
      <c r="V118" s="10"/>
      <c r="W118" s="10"/>
      <c r="X118" s="5">
        <f t="shared" si="59"/>
        <v>0</v>
      </c>
      <c r="Y118" s="9">
        <v>10</v>
      </c>
      <c r="Z118" s="10">
        <v>25</v>
      </c>
      <c r="AA118" s="10">
        <v>15</v>
      </c>
      <c r="AB118" s="5">
        <f t="shared" si="60"/>
        <v>50</v>
      </c>
      <c r="AC118" s="86">
        <f t="shared" si="61"/>
        <v>85</v>
      </c>
      <c r="AD118" s="109">
        <v>45374</v>
      </c>
      <c r="AE118" s="70"/>
    </row>
    <row r="119" spans="1:33" x14ac:dyDescent="0.15">
      <c r="A119" s="33"/>
      <c r="B119" s="9"/>
      <c r="C119" s="10"/>
      <c r="D119" s="10"/>
      <c r="E119" s="8">
        <f t="shared" si="50"/>
        <v>0</v>
      </c>
      <c r="F119" s="9"/>
      <c r="G119" s="10"/>
      <c r="H119" s="10"/>
      <c r="I119" s="8">
        <f t="shared" si="51"/>
        <v>0</v>
      </c>
      <c r="J119" s="9"/>
      <c r="K119" s="10"/>
      <c r="L119" s="10"/>
      <c r="M119" s="39">
        <f t="shared" si="52"/>
        <v>0</v>
      </c>
      <c r="N119" s="138">
        <f t="shared" si="53"/>
        <v>0</v>
      </c>
      <c r="O119" s="21"/>
      <c r="P119" s="11" t="s">
        <v>153</v>
      </c>
      <c r="Q119" s="9"/>
      <c r="R119" s="10">
        <v>20</v>
      </c>
      <c r="S119" s="10">
        <v>25</v>
      </c>
      <c r="T119" s="5">
        <f t="shared" si="58"/>
        <v>45</v>
      </c>
      <c r="U119" s="9"/>
      <c r="V119" s="10">
        <v>20</v>
      </c>
      <c r="W119" s="10">
        <v>25</v>
      </c>
      <c r="X119" s="5">
        <f t="shared" si="59"/>
        <v>45</v>
      </c>
      <c r="Y119" s="9"/>
      <c r="Z119" s="10">
        <v>20</v>
      </c>
      <c r="AA119" s="10">
        <v>25</v>
      </c>
      <c r="AB119" s="5">
        <f t="shared" si="60"/>
        <v>45</v>
      </c>
      <c r="AC119" s="86">
        <f t="shared" si="61"/>
        <v>135</v>
      </c>
      <c r="AD119" s="109">
        <v>45378</v>
      </c>
    </row>
    <row r="120" spans="1:33" x14ac:dyDescent="0.15">
      <c r="A120" s="33"/>
      <c r="B120" s="9"/>
      <c r="C120" s="10"/>
      <c r="D120" s="10"/>
      <c r="E120" s="8">
        <f t="shared" si="50"/>
        <v>0</v>
      </c>
      <c r="F120" s="9"/>
      <c r="G120" s="10"/>
      <c r="H120" s="10"/>
      <c r="I120" s="8">
        <f t="shared" si="51"/>
        <v>0</v>
      </c>
      <c r="J120" s="9"/>
      <c r="K120" s="10"/>
      <c r="L120" s="10"/>
      <c r="M120" s="39">
        <f t="shared" si="52"/>
        <v>0</v>
      </c>
      <c r="N120" s="138">
        <f t="shared" si="53"/>
        <v>0</v>
      </c>
      <c r="O120" s="21"/>
      <c r="P120" s="4"/>
      <c r="Q120" s="9"/>
      <c r="R120" s="10"/>
      <c r="S120" s="10"/>
      <c r="T120" s="8">
        <f t="shared" ref="T120" si="67">SUM(Q120:S120)</f>
        <v>0</v>
      </c>
      <c r="U120" s="9"/>
      <c r="V120" s="10"/>
      <c r="W120" s="10"/>
      <c r="X120" s="8">
        <f t="shared" ref="X120" si="68">SUM(U120:W120)</f>
        <v>0</v>
      </c>
      <c r="Y120" s="9"/>
      <c r="Z120" s="10"/>
      <c r="AA120" s="10"/>
      <c r="AB120" s="8">
        <f t="shared" ref="AB120" si="69">SUM(Y120:AA120)</f>
        <v>0</v>
      </c>
      <c r="AC120" s="86">
        <f t="shared" ref="AC120" si="70">T120+X120+AB120</f>
        <v>0</v>
      </c>
      <c r="AD120" s="116"/>
    </row>
    <row r="121" spans="1:33" x14ac:dyDescent="0.15">
      <c r="A121" s="33"/>
      <c r="B121" s="9"/>
      <c r="C121" s="10"/>
      <c r="D121" s="10"/>
      <c r="E121" s="8">
        <f t="shared" si="50"/>
        <v>0</v>
      </c>
      <c r="F121" s="9"/>
      <c r="G121" s="10"/>
      <c r="H121" s="10"/>
      <c r="I121" s="8">
        <f t="shared" si="51"/>
        <v>0</v>
      </c>
      <c r="J121" s="9"/>
      <c r="K121" s="10"/>
      <c r="L121" s="10"/>
      <c r="M121" s="39">
        <f t="shared" si="52"/>
        <v>0</v>
      </c>
      <c r="N121" s="138">
        <f t="shared" si="53"/>
        <v>0</v>
      </c>
      <c r="O121" s="21"/>
      <c r="P121" s="11" t="s">
        <v>94</v>
      </c>
      <c r="Q121" s="60"/>
      <c r="R121" s="61"/>
      <c r="S121" s="61"/>
      <c r="T121" s="8">
        <f t="shared" si="54"/>
        <v>0</v>
      </c>
      <c r="U121" s="60"/>
      <c r="V121" s="61"/>
      <c r="W121" s="61"/>
      <c r="X121" s="8">
        <f t="shared" si="55"/>
        <v>0</v>
      </c>
      <c r="Y121" s="9"/>
      <c r="Z121" s="10"/>
      <c r="AA121" s="10"/>
      <c r="AB121" s="8">
        <f t="shared" si="56"/>
        <v>0</v>
      </c>
      <c r="AC121" s="86">
        <f t="shared" si="57"/>
        <v>0</v>
      </c>
      <c r="AD121" s="109" t="s">
        <v>95</v>
      </c>
    </row>
    <row r="122" spans="1:33" x14ac:dyDescent="0.15">
      <c r="A122" s="33"/>
      <c r="B122" s="9"/>
      <c r="C122" s="10"/>
      <c r="D122" s="10"/>
      <c r="E122" s="8">
        <f t="shared" si="50"/>
        <v>0</v>
      </c>
      <c r="F122" s="9"/>
      <c r="G122" s="10"/>
      <c r="H122" s="10"/>
      <c r="I122" s="8">
        <f t="shared" si="51"/>
        <v>0</v>
      </c>
      <c r="J122" s="9"/>
      <c r="K122" s="10"/>
      <c r="L122" s="10"/>
      <c r="M122" s="39">
        <f t="shared" si="52"/>
        <v>0</v>
      </c>
      <c r="N122" s="138">
        <f t="shared" si="53"/>
        <v>0</v>
      </c>
      <c r="O122" s="21"/>
      <c r="P122" s="11" t="s">
        <v>86</v>
      </c>
      <c r="Q122" s="60"/>
      <c r="R122" s="61"/>
      <c r="S122" s="61"/>
      <c r="T122" s="8">
        <f t="shared" si="54"/>
        <v>0</v>
      </c>
      <c r="U122" s="60"/>
      <c r="V122" s="61"/>
      <c r="W122" s="61"/>
      <c r="X122" s="8">
        <f t="shared" si="55"/>
        <v>0</v>
      </c>
      <c r="Y122" s="9"/>
      <c r="Z122" s="10"/>
      <c r="AA122" s="10"/>
      <c r="AB122" s="8">
        <f t="shared" si="56"/>
        <v>0</v>
      </c>
      <c r="AC122" s="86">
        <f t="shared" si="57"/>
        <v>0</v>
      </c>
      <c r="AD122" s="109" t="s">
        <v>87</v>
      </c>
    </row>
    <row r="123" spans="1:33" x14ac:dyDescent="0.15">
      <c r="A123" s="33"/>
      <c r="B123" s="9"/>
      <c r="C123" s="10"/>
      <c r="D123" s="10"/>
      <c r="E123" s="8">
        <f t="shared" si="50"/>
        <v>0</v>
      </c>
      <c r="F123" s="9"/>
      <c r="G123" s="10"/>
      <c r="H123" s="10"/>
      <c r="I123" s="8">
        <f t="shared" si="51"/>
        <v>0</v>
      </c>
      <c r="J123" s="9"/>
      <c r="K123" s="10"/>
      <c r="L123" s="10"/>
      <c r="M123" s="39">
        <f t="shared" si="52"/>
        <v>0</v>
      </c>
      <c r="N123" s="138">
        <f t="shared" si="53"/>
        <v>0</v>
      </c>
      <c r="O123" s="21"/>
      <c r="P123" s="6" t="s">
        <v>75</v>
      </c>
      <c r="Q123" s="71"/>
      <c r="R123" s="72"/>
      <c r="S123" s="72"/>
      <c r="T123" s="73">
        <f t="shared" si="54"/>
        <v>0</v>
      </c>
      <c r="U123" s="71"/>
      <c r="V123" s="72"/>
      <c r="W123" s="72"/>
      <c r="X123" s="73">
        <f t="shared" si="55"/>
        <v>0</v>
      </c>
      <c r="Y123" s="71"/>
      <c r="Z123" s="72"/>
      <c r="AA123" s="72"/>
      <c r="AB123" s="73">
        <f t="shared" si="56"/>
        <v>0</v>
      </c>
      <c r="AC123" s="92">
        <f t="shared" si="57"/>
        <v>0</v>
      </c>
      <c r="AD123" s="116"/>
    </row>
    <row r="124" spans="1:33" x14ac:dyDescent="0.15">
      <c r="A124" s="33"/>
      <c r="B124" s="9"/>
      <c r="C124" s="10"/>
      <c r="D124" s="10"/>
      <c r="E124" s="8">
        <f t="shared" si="50"/>
        <v>0</v>
      </c>
      <c r="F124" s="9"/>
      <c r="G124" s="10"/>
      <c r="H124" s="10"/>
      <c r="I124" s="8">
        <f t="shared" si="51"/>
        <v>0</v>
      </c>
      <c r="J124" s="9"/>
      <c r="K124" s="10"/>
      <c r="L124" s="10"/>
      <c r="M124" s="39">
        <f t="shared" si="52"/>
        <v>0</v>
      </c>
      <c r="N124" s="138">
        <f t="shared" si="53"/>
        <v>0</v>
      </c>
      <c r="O124" s="21"/>
      <c r="P124" s="11" t="s">
        <v>160</v>
      </c>
      <c r="Q124" s="9"/>
      <c r="R124" s="10"/>
      <c r="S124" s="10"/>
      <c r="T124" s="8">
        <f t="shared" si="54"/>
        <v>0</v>
      </c>
      <c r="U124" s="9"/>
      <c r="V124" s="10"/>
      <c r="W124" s="10"/>
      <c r="X124" s="8">
        <f t="shared" si="55"/>
        <v>0</v>
      </c>
      <c r="Y124" s="9"/>
      <c r="Z124" s="10"/>
      <c r="AA124" s="10"/>
      <c r="AB124" s="8">
        <f t="shared" si="56"/>
        <v>0</v>
      </c>
      <c r="AC124" s="86">
        <f t="shared" si="57"/>
        <v>0</v>
      </c>
      <c r="AD124" s="116" t="s">
        <v>76</v>
      </c>
    </row>
    <row r="125" spans="1:33" x14ac:dyDescent="0.15">
      <c r="A125" s="33"/>
      <c r="B125" s="9"/>
      <c r="C125" s="10"/>
      <c r="D125" s="10"/>
      <c r="E125" s="8">
        <f t="shared" si="50"/>
        <v>0</v>
      </c>
      <c r="F125" s="9"/>
      <c r="G125" s="10"/>
      <c r="H125" s="10"/>
      <c r="I125" s="8">
        <f t="shared" si="51"/>
        <v>0</v>
      </c>
      <c r="J125" s="9"/>
      <c r="K125" s="10"/>
      <c r="L125" s="10"/>
      <c r="M125" s="39">
        <f t="shared" si="52"/>
        <v>0</v>
      </c>
      <c r="N125" s="138">
        <f t="shared" si="53"/>
        <v>0</v>
      </c>
      <c r="O125" s="21"/>
      <c r="P125" s="6" t="s">
        <v>64</v>
      </c>
      <c r="Q125" s="74"/>
      <c r="R125" s="75"/>
      <c r="S125" s="75"/>
      <c r="T125" s="73">
        <f t="shared" si="54"/>
        <v>0</v>
      </c>
      <c r="U125" s="74"/>
      <c r="V125" s="75"/>
      <c r="W125" s="75"/>
      <c r="X125" s="73">
        <f t="shared" si="55"/>
        <v>0</v>
      </c>
      <c r="Y125" s="71"/>
      <c r="Z125" s="72"/>
      <c r="AA125" s="72"/>
      <c r="AB125" s="73">
        <f t="shared" si="56"/>
        <v>0</v>
      </c>
      <c r="AC125" s="93">
        <f t="shared" si="57"/>
        <v>0</v>
      </c>
      <c r="AD125" s="117"/>
    </row>
    <row r="126" spans="1:33" ht="14.25" thickBot="1" x14ac:dyDescent="0.2">
      <c r="A126" s="63"/>
      <c r="B126" s="9"/>
      <c r="C126" s="10"/>
      <c r="D126" s="22"/>
      <c r="E126" s="8">
        <f t="shared" si="50"/>
        <v>0</v>
      </c>
      <c r="F126" s="9"/>
      <c r="G126" s="10"/>
      <c r="H126" s="22"/>
      <c r="I126" s="8">
        <f t="shared" si="51"/>
        <v>0</v>
      </c>
      <c r="J126" s="9"/>
      <c r="K126" s="10"/>
      <c r="L126" s="22"/>
      <c r="M126" s="39">
        <f t="shared" si="52"/>
        <v>0</v>
      </c>
      <c r="N126" s="139">
        <f t="shared" si="53"/>
        <v>0</v>
      </c>
      <c r="O126" s="21"/>
      <c r="P126" s="11" t="s">
        <v>161</v>
      </c>
      <c r="Q126" s="60"/>
      <c r="R126" s="61"/>
      <c r="S126" s="61"/>
      <c r="T126" s="8">
        <f t="shared" si="54"/>
        <v>0</v>
      </c>
      <c r="U126" s="60"/>
      <c r="V126" s="61"/>
      <c r="W126" s="61"/>
      <c r="X126" s="8">
        <f t="shared" si="55"/>
        <v>0</v>
      </c>
      <c r="Y126" s="60"/>
      <c r="Z126" s="61"/>
      <c r="AA126" s="61"/>
      <c r="AB126" s="8">
        <f t="shared" si="56"/>
        <v>0</v>
      </c>
      <c r="AC126" s="86">
        <f t="shared" si="57"/>
        <v>0</v>
      </c>
      <c r="AD126" s="116" t="s">
        <v>63</v>
      </c>
    </row>
    <row r="127" spans="1:33" ht="14.25" thickBot="1" x14ac:dyDescent="0.2">
      <c r="A127" s="104" t="s">
        <v>5</v>
      </c>
      <c r="B127" s="12">
        <f>SUM(B103:B126)</f>
        <v>7</v>
      </c>
      <c r="C127" s="12">
        <f>SUM(C103:C126)</f>
        <v>16</v>
      </c>
      <c r="D127" s="12">
        <f>SUM(D103:D126)</f>
        <v>10</v>
      </c>
      <c r="E127" s="13">
        <f t="shared" si="50"/>
        <v>33</v>
      </c>
      <c r="F127" s="12">
        <f>SUM(F103:F126)</f>
        <v>7</v>
      </c>
      <c r="G127" s="12">
        <f>SUM(G103:G126)</f>
        <v>16</v>
      </c>
      <c r="H127" s="12">
        <f>SUM(H103:H126)</f>
        <v>10</v>
      </c>
      <c r="I127" s="13">
        <f t="shared" si="51"/>
        <v>33</v>
      </c>
      <c r="J127" s="12">
        <f>SUM(J103:J126)</f>
        <v>7</v>
      </c>
      <c r="K127" s="12">
        <f>SUM(K103:K126)</f>
        <v>16</v>
      </c>
      <c r="L127" s="12">
        <f>SUM(L103:L126)</f>
        <v>10</v>
      </c>
      <c r="M127" s="12">
        <f t="shared" si="52"/>
        <v>33</v>
      </c>
      <c r="N127" s="142">
        <f t="shared" si="53"/>
        <v>99</v>
      </c>
      <c r="O127" s="1"/>
      <c r="P127" s="3" t="s">
        <v>5</v>
      </c>
      <c r="Q127" s="12">
        <f>SUM(Q103:Q126)</f>
        <v>79</v>
      </c>
      <c r="R127" s="12">
        <f>SUM(R103:R126)</f>
        <v>123</v>
      </c>
      <c r="S127" s="12">
        <f>SUM(S103:S126)</f>
        <v>94</v>
      </c>
      <c r="T127" s="13">
        <f t="shared" si="54"/>
        <v>296</v>
      </c>
      <c r="U127" s="12">
        <f>SUM(U103:U126)</f>
        <v>44</v>
      </c>
      <c r="V127" s="12">
        <f>SUM(V103:V126)</f>
        <v>98</v>
      </c>
      <c r="W127" s="12">
        <f>SUM(W103:W126)</f>
        <v>74</v>
      </c>
      <c r="X127" s="13">
        <f t="shared" si="55"/>
        <v>216</v>
      </c>
      <c r="Y127" s="12">
        <f>SUM(Y103:Y126)</f>
        <v>64</v>
      </c>
      <c r="Z127" s="12">
        <f>SUM(Z103:Z126)</f>
        <v>123</v>
      </c>
      <c r="AA127" s="12">
        <f>SUM(AA103:AA126)</f>
        <v>99</v>
      </c>
      <c r="AB127" s="13">
        <f t="shared" si="56"/>
        <v>286</v>
      </c>
      <c r="AC127" s="88">
        <f t="shared" si="57"/>
        <v>798</v>
      </c>
    </row>
    <row r="128" spans="1:33" ht="14.25" thickBot="1" x14ac:dyDescent="0.2">
      <c r="A128" s="105" t="s">
        <v>6</v>
      </c>
      <c r="B128" s="20">
        <f>B102-B127</f>
        <v>17</v>
      </c>
      <c r="C128" s="20">
        <f t="shared" ref="C128:E128" si="71">C102-C127</f>
        <v>13</v>
      </c>
      <c r="D128" s="20">
        <f t="shared" si="71"/>
        <v>18</v>
      </c>
      <c r="E128" s="18">
        <f t="shared" si="71"/>
        <v>48</v>
      </c>
      <c r="F128" s="20">
        <f>F102-F127</f>
        <v>10</v>
      </c>
      <c r="G128" s="20">
        <f t="shared" ref="G128:I128" si="72">G102-G127</f>
        <v>11</v>
      </c>
      <c r="H128" s="20">
        <f t="shared" si="72"/>
        <v>16</v>
      </c>
      <c r="I128" s="18">
        <f t="shared" si="72"/>
        <v>37</v>
      </c>
      <c r="J128" s="20">
        <f>J102-J127</f>
        <v>11</v>
      </c>
      <c r="K128" s="20">
        <f t="shared" ref="K128:M128" si="73">K102-K127</f>
        <v>14</v>
      </c>
      <c r="L128" s="20">
        <f t="shared" si="73"/>
        <v>16</v>
      </c>
      <c r="M128" s="20">
        <f t="shared" si="73"/>
        <v>41</v>
      </c>
      <c r="N128" s="140">
        <f t="shared" si="53"/>
        <v>126</v>
      </c>
      <c r="O128" s="1"/>
      <c r="P128" s="19" t="s">
        <v>6</v>
      </c>
      <c r="Q128" s="20">
        <f>Q102-Q127</f>
        <v>440</v>
      </c>
      <c r="R128" s="20">
        <f t="shared" ref="R128:T128" si="74">R102-R127</f>
        <v>419</v>
      </c>
      <c r="S128" s="20">
        <f t="shared" si="74"/>
        <v>216</v>
      </c>
      <c r="T128" s="18">
        <f t="shared" si="74"/>
        <v>1075</v>
      </c>
      <c r="U128" s="20">
        <f>U102-U127</f>
        <v>475</v>
      </c>
      <c r="V128" s="20">
        <f t="shared" ref="V128:X128" si="75">V102-V127</f>
        <v>444</v>
      </c>
      <c r="W128" s="20">
        <f t="shared" si="75"/>
        <v>236</v>
      </c>
      <c r="X128" s="18">
        <f t="shared" si="75"/>
        <v>1155</v>
      </c>
      <c r="Y128" s="20">
        <f>Y102-Y127</f>
        <v>455</v>
      </c>
      <c r="Z128" s="20">
        <f t="shared" ref="Z128:AB128" si="76">Z102-Z127</f>
        <v>419</v>
      </c>
      <c r="AA128" s="20">
        <f t="shared" si="76"/>
        <v>211</v>
      </c>
      <c r="AB128" s="18">
        <f t="shared" si="76"/>
        <v>1085</v>
      </c>
      <c r="AC128" s="88">
        <f t="shared" si="57"/>
        <v>3315</v>
      </c>
    </row>
    <row r="131" spans="1:30" ht="19.5" thickBot="1" x14ac:dyDescent="0.25">
      <c r="A131" s="108" t="s">
        <v>264</v>
      </c>
      <c r="B131" s="47"/>
      <c r="C131" s="47"/>
      <c r="D131" s="47"/>
      <c r="E131" s="47"/>
      <c r="F131" s="48"/>
      <c r="G131" s="48"/>
      <c r="H131" s="48"/>
      <c r="I131" s="48"/>
      <c r="J131" s="48"/>
      <c r="K131" s="48"/>
      <c r="L131" s="1"/>
      <c r="M131" s="1"/>
      <c r="N131" s="137"/>
      <c r="O131" s="1"/>
      <c r="P131" s="43" t="s">
        <v>29</v>
      </c>
      <c r="Q131" s="44"/>
      <c r="R131" s="44"/>
      <c r="S131" s="44"/>
      <c r="T131" s="44"/>
      <c r="U131" s="45"/>
      <c r="V131" s="45"/>
      <c r="W131" s="45"/>
      <c r="X131" s="45"/>
      <c r="Y131" s="46"/>
      <c r="Z131" s="53"/>
      <c r="AA131" s="1"/>
      <c r="AB131" s="1"/>
    </row>
    <row r="132" spans="1:30" ht="14.25" thickBot="1" x14ac:dyDescent="0.2">
      <c r="A132" s="100" t="s">
        <v>0</v>
      </c>
      <c r="B132" s="337" t="s">
        <v>11</v>
      </c>
      <c r="C132" s="337"/>
      <c r="D132" s="337"/>
      <c r="E132" s="338"/>
      <c r="F132" s="339" t="s">
        <v>9</v>
      </c>
      <c r="G132" s="340"/>
      <c r="H132" s="340"/>
      <c r="I132" s="341"/>
      <c r="J132" s="342" t="s">
        <v>12</v>
      </c>
      <c r="K132" s="343"/>
      <c r="L132" s="343"/>
      <c r="M132" s="343"/>
      <c r="N132" s="347" t="s">
        <v>13</v>
      </c>
      <c r="O132" s="1"/>
      <c r="P132" s="2" t="s">
        <v>0</v>
      </c>
      <c r="Q132" s="337" t="s">
        <v>11</v>
      </c>
      <c r="R132" s="337"/>
      <c r="S132" s="337"/>
      <c r="T132" s="338"/>
      <c r="U132" s="339" t="s">
        <v>9</v>
      </c>
      <c r="V132" s="340"/>
      <c r="W132" s="340"/>
      <c r="X132" s="341"/>
      <c r="Y132" s="342" t="s">
        <v>12</v>
      </c>
      <c r="Z132" s="343"/>
      <c r="AA132" s="343"/>
      <c r="AB132" s="343"/>
      <c r="AC132" s="345" t="s">
        <v>13</v>
      </c>
    </row>
    <row r="133" spans="1:30" ht="14.25" thickBot="1" x14ac:dyDescent="0.2">
      <c r="A133" s="100" t="s">
        <v>1</v>
      </c>
      <c r="B133" s="3" t="s">
        <v>7</v>
      </c>
      <c r="C133" s="2" t="s">
        <v>10</v>
      </c>
      <c r="D133" s="2" t="s">
        <v>8</v>
      </c>
      <c r="E133" s="2" t="s">
        <v>2</v>
      </c>
      <c r="F133" s="3" t="s">
        <v>7</v>
      </c>
      <c r="G133" s="2" t="s">
        <v>10</v>
      </c>
      <c r="H133" s="2" t="s">
        <v>8</v>
      </c>
      <c r="I133" s="2" t="s">
        <v>2</v>
      </c>
      <c r="J133" s="3" t="s">
        <v>7</v>
      </c>
      <c r="K133" s="2" t="s">
        <v>10</v>
      </c>
      <c r="L133" s="2" t="s">
        <v>8</v>
      </c>
      <c r="M133" s="3" t="s">
        <v>2</v>
      </c>
      <c r="N133" s="348"/>
      <c r="O133" s="1"/>
      <c r="P133" s="2" t="s">
        <v>1</v>
      </c>
      <c r="Q133" s="3" t="s">
        <v>7</v>
      </c>
      <c r="R133" s="2" t="s">
        <v>10</v>
      </c>
      <c r="S133" s="2" t="s">
        <v>8</v>
      </c>
      <c r="T133" s="2" t="s">
        <v>2</v>
      </c>
      <c r="U133" s="3" t="s">
        <v>7</v>
      </c>
      <c r="V133" s="2" t="s">
        <v>10</v>
      </c>
      <c r="W133" s="2" t="s">
        <v>8</v>
      </c>
      <c r="X133" s="2" t="s">
        <v>2</v>
      </c>
      <c r="Y133" s="3" t="s">
        <v>7</v>
      </c>
      <c r="Z133" s="2" t="s">
        <v>10</v>
      </c>
      <c r="AA133" s="2" t="s">
        <v>8</v>
      </c>
      <c r="AB133" s="2" t="s">
        <v>2</v>
      </c>
      <c r="AC133" s="346"/>
    </row>
    <row r="134" spans="1:30" x14ac:dyDescent="0.15">
      <c r="A134" s="106" t="s">
        <v>6</v>
      </c>
      <c r="B134" s="41">
        <f>B128</f>
        <v>17</v>
      </c>
      <c r="C134" s="41">
        <f t="shared" ref="C134:E134" si="77">C128</f>
        <v>13</v>
      </c>
      <c r="D134" s="41">
        <f t="shared" si="77"/>
        <v>18</v>
      </c>
      <c r="E134" s="42">
        <f t="shared" si="77"/>
        <v>48</v>
      </c>
      <c r="F134" s="41">
        <f>F128</f>
        <v>10</v>
      </c>
      <c r="G134" s="41">
        <f t="shared" ref="G134:I134" si="78">G128</f>
        <v>11</v>
      </c>
      <c r="H134" s="41">
        <f t="shared" si="78"/>
        <v>16</v>
      </c>
      <c r="I134" s="42">
        <f t="shared" si="78"/>
        <v>37</v>
      </c>
      <c r="J134" s="41">
        <f>J128</f>
        <v>11</v>
      </c>
      <c r="K134" s="41">
        <f t="shared" ref="K134:M134" si="79">K128</f>
        <v>14</v>
      </c>
      <c r="L134" s="41">
        <f t="shared" si="79"/>
        <v>16</v>
      </c>
      <c r="M134" s="42">
        <f t="shared" si="79"/>
        <v>41</v>
      </c>
      <c r="N134" s="143">
        <f>E134+I134+M134</f>
        <v>126</v>
      </c>
      <c r="O134" s="24"/>
      <c r="P134" s="36" t="s">
        <v>6</v>
      </c>
      <c r="Q134" s="41">
        <f>Q128</f>
        <v>440</v>
      </c>
      <c r="R134" s="41">
        <f t="shared" ref="R134:T134" si="80">R128</f>
        <v>419</v>
      </c>
      <c r="S134" s="41">
        <f t="shared" si="80"/>
        <v>216</v>
      </c>
      <c r="T134" s="42">
        <f t="shared" si="80"/>
        <v>1075</v>
      </c>
      <c r="U134" s="41">
        <f>U128</f>
        <v>475</v>
      </c>
      <c r="V134" s="41">
        <f t="shared" ref="V134:X134" si="81">V128</f>
        <v>444</v>
      </c>
      <c r="W134" s="41">
        <f t="shared" si="81"/>
        <v>236</v>
      </c>
      <c r="X134" s="42">
        <f t="shared" si="81"/>
        <v>1155</v>
      </c>
      <c r="Y134" s="41">
        <f>Y128</f>
        <v>455</v>
      </c>
      <c r="Z134" s="41">
        <f t="shared" ref="Z134:AB134" si="82">Z128</f>
        <v>419</v>
      </c>
      <c r="AA134" s="41">
        <f t="shared" si="82"/>
        <v>211</v>
      </c>
      <c r="AB134" s="42">
        <f t="shared" si="82"/>
        <v>1085</v>
      </c>
      <c r="AC134" s="90">
        <f>T134+X134+AB134</f>
        <v>3315</v>
      </c>
    </row>
    <row r="135" spans="1:30" x14ac:dyDescent="0.15">
      <c r="A135" s="101" t="s">
        <v>3</v>
      </c>
      <c r="B135" s="14"/>
      <c r="C135" s="11"/>
      <c r="D135" s="11"/>
      <c r="E135" s="5">
        <f t="shared" ref="E135" si="83">SUM(B135:D135)</f>
        <v>0</v>
      </c>
      <c r="F135" s="34">
        <v>10</v>
      </c>
      <c r="G135" s="11"/>
      <c r="H135" s="11"/>
      <c r="I135" s="5">
        <f t="shared" ref="I135:I136" si="84">SUM(F135:H135)</f>
        <v>10</v>
      </c>
      <c r="J135" s="34">
        <v>10</v>
      </c>
      <c r="K135" s="11">
        <v>10</v>
      </c>
      <c r="L135" s="11"/>
      <c r="M135" s="38">
        <f t="shared" ref="M135:M136" si="85">SUM(J135:L135)</f>
        <v>20</v>
      </c>
      <c r="N135" s="138">
        <f t="shared" ref="N135:N136" si="86">E135+I135+M135</f>
        <v>30</v>
      </c>
      <c r="O135" s="21">
        <v>45381</v>
      </c>
      <c r="P135" s="6" t="s">
        <v>3</v>
      </c>
      <c r="Q135" s="14"/>
      <c r="R135" s="11"/>
      <c r="S135" s="11"/>
      <c r="T135" s="5">
        <f t="shared" ref="T135:T170" si="87">SUM(Q135:S135)</f>
        <v>0</v>
      </c>
      <c r="U135" s="14"/>
      <c r="V135" s="11"/>
      <c r="W135" s="11"/>
      <c r="X135" s="5">
        <f t="shared" ref="X135:X170" si="88">SUM(U135:W135)</f>
        <v>0</v>
      </c>
      <c r="Y135" s="25"/>
      <c r="Z135" s="26"/>
      <c r="AA135" s="26"/>
      <c r="AB135" s="5">
        <f t="shared" ref="AB135:AB170" si="89">SUM(Y135:AA135)</f>
        <v>0</v>
      </c>
      <c r="AC135" s="86">
        <f t="shared" ref="AC135:AC171" si="90">T135+X135+AB135</f>
        <v>0</v>
      </c>
      <c r="AD135" s="116"/>
    </row>
    <row r="136" spans="1:30" x14ac:dyDescent="0.15">
      <c r="A136" s="33" t="s">
        <v>173</v>
      </c>
      <c r="B136" s="9"/>
      <c r="C136" s="10"/>
      <c r="D136" s="10"/>
      <c r="E136" s="8">
        <f t="shared" ref="E136" si="91">SUM(B136:D136)</f>
        <v>0</v>
      </c>
      <c r="F136" s="9">
        <v>1</v>
      </c>
      <c r="G136" s="10"/>
      <c r="H136" s="10"/>
      <c r="I136" s="8">
        <f t="shared" si="84"/>
        <v>1</v>
      </c>
      <c r="J136" s="9">
        <v>1</v>
      </c>
      <c r="K136" s="10"/>
      <c r="L136" s="10"/>
      <c r="M136" s="39">
        <f t="shared" si="85"/>
        <v>1</v>
      </c>
      <c r="N136" s="138">
        <f t="shared" si="86"/>
        <v>2</v>
      </c>
      <c r="O136" s="21">
        <v>45388</v>
      </c>
      <c r="P136" s="6" t="s">
        <v>3</v>
      </c>
      <c r="Q136" s="25"/>
      <c r="R136" s="26"/>
      <c r="S136" s="26"/>
      <c r="T136" s="8">
        <f t="shared" si="87"/>
        <v>0</v>
      </c>
      <c r="U136" s="25"/>
      <c r="V136" s="26"/>
      <c r="W136" s="26"/>
      <c r="X136" s="8">
        <f t="shared" si="88"/>
        <v>0</v>
      </c>
      <c r="Y136" s="34"/>
      <c r="Z136" s="11"/>
      <c r="AA136" s="11"/>
      <c r="AB136" s="5">
        <f t="shared" si="89"/>
        <v>0</v>
      </c>
      <c r="AC136" s="86">
        <f t="shared" si="90"/>
        <v>0</v>
      </c>
      <c r="AD136" s="116"/>
    </row>
    <row r="137" spans="1:30" x14ac:dyDescent="0.15">
      <c r="A137" s="102" t="s">
        <v>3</v>
      </c>
      <c r="B137" s="14"/>
      <c r="C137" s="11"/>
      <c r="D137" s="11"/>
      <c r="E137" s="5">
        <f t="shared" ref="E137:E170" si="92">SUM(B137:D137)</f>
        <v>0</v>
      </c>
      <c r="F137" s="34"/>
      <c r="G137" s="11">
        <v>10</v>
      </c>
      <c r="H137" s="11"/>
      <c r="I137" s="5">
        <f t="shared" ref="I137:I170" si="93">SUM(F137:H137)</f>
        <v>10</v>
      </c>
      <c r="J137" s="34"/>
      <c r="K137" s="11"/>
      <c r="L137" s="11"/>
      <c r="M137" s="38">
        <f t="shared" ref="M137:M170" si="94">SUM(J137:L137)</f>
        <v>0</v>
      </c>
      <c r="N137" s="138">
        <f t="shared" ref="N137:N171" si="95">E137+I137+M137</f>
        <v>10</v>
      </c>
      <c r="O137" s="21">
        <v>45391</v>
      </c>
      <c r="P137" s="6" t="s">
        <v>3</v>
      </c>
      <c r="Q137" s="14"/>
      <c r="R137" s="11"/>
      <c r="S137" s="11"/>
      <c r="T137" s="5">
        <f t="shared" ref="T137" si="96">SUM(Q137:S137)</f>
        <v>0</v>
      </c>
      <c r="U137" s="14"/>
      <c r="V137" s="11"/>
      <c r="W137" s="11"/>
      <c r="X137" s="5">
        <f t="shared" ref="X137" si="97">SUM(U137:W137)</f>
        <v>0</v>
      </c>
      <c r="Y137" s="14"/>
      <c r="Z137" s="11"/>
      <c r="AA137" s="11"/>
      <c r="AB137" s="5">
        <f t="shared" ref="AB137" si="98">SUM(Y137:AA137)</f>
        <v>0</v>
      </c>
      <c r="AC137" s="86">
        <f t="shared" ref="AC137" si="99">T137+X137+AB137</f>
        <v>0</v>
      </c>
      <c r="AD137" s="116"/>
    </row>
    <row r="138" spans="1:30" x14ac:dyDescent="0.15">
      <c r="A138" s="102" t="s">
        <v>57</v>
      </c>
      <c r="B138" s="14"/>
      <c r="C138" s="11"/>
      <c r="D138" s="11">
        <v>1</v>
      </c>
      <c r="E138" s="5">
        <f t="shared" si="92"/>
        <v>1</v>
      </c>
      <c r="F138" s="34"/>
      <c r="G138" s="11"/>
      <c r="H138" s="11">
        <v>1</v>
      </c>
      <c r="I138" s="5">
        <f t="shared" si="93"/>
        <v>1</v>
      </c>
      <c r="J138" s="34"/>
      <c r="K138" s="11"/>
      <c r="L138" s="11">
        <v>1</v>
      </c>
      <c r="M138" s="38">
        <f t="shared" si="94"/>
        <v>1</v>
      </c>
      <c r="N138" s="138">
        <f t="shared" si="95"/>
        <v>3</v>
      </c>
      <c r="O138" s="21">
        <v>45394</v>
      </c>
      <c r="P138" s="6" t="s">
        <v>3</v>
      </c>
      <c r="Q138" s="14"/>
      <c r="R138" s="11"/>
      <c r="S138" s="11"/>
      <c r="T138" s="5">
        <f t="shared" si="87"/>
        <v>0</v>
      </c>
      <c r="U138" s="14"/>
      <c r="V138" s="11"/>
      <c r="W138" s="11"/>
      <c r="X138" s="5">
        <f t="shared" si="88"/>
        <v>0</v>
      </c>
      <c r="Y138" s="14"/>
      <c r="Z138" s="11"/>
      <c r="AA138" s="11"/>
      <c r="AB138" s="5">
        <f t="shared" si="89"/>
        <v>0</v>
      </c>
      <c r="AC138" s="86">
        <f t="shared" si="90"/>
        <v>0</v>
      </c>
      <c r="AD138" s="116"/>
    </row>
    <row r="139" spans="1:30" x14ac:dyDescent="0.15">
      <c r="A139" s="102" t="s">
        <v>3</v>
      </c>
      <c r="B139" s="14"/>
      <c r="C139" s="11"/>
      <c r="D139" s="11"/>
      <c r="E139" s="5">
        <f t="shared" si="92"/>
        <v>0</v>
      </c>
      <c r="F139" s="34"/>
      <c r="G139" s="11"/>
      <c r="H139" s="11"/>
      <c r="I139" s="5">
        <f t="shared" si="93"/>
        <v>0</v>
      </c>
      <c r="J139" s="34"/>
      <c r="K139" s="11"/>
      <c r="L139" s="11"/>
      <c r="M139" s="38">
        <f t="shared" si="94"/>
        <v>0</v>
      </c>
      <c r="N139" s="138">
        <f t="shared" si="95"/>
        <v>0</v>
      </c>
      <c r="O139" s="21"/>
      <c r="P139" s="6" t="s">
        <v>3</v>
      </c>
      <c r="Q139" s="14"/>
      <c r="R139" s="11"/>
      <c r="S139" s="11"/>
      <c r="T139" s="5">
        <f t="shared" ref="T139" si="100">SUM(Q139:S139)</f>
        <v>0</v>
      </c>
      <c r="U139" s="14"/>
      <c r="V139" s="11"/>
      <c r="W139" s="11"/>
      <c r="X139" s="5">
        <f t="shared" ref="X139" si="101">SUM(U139:W139)</f>
        <v>0</v>
      </c>
      <c r="Y139" s="25"/>
      <c r="Z139" s="26"/>
      <c r="AA139" s="26"/>
      <c r="AB139" s="8">
        <f t="shared" ref="AB139" si="102">SUM(Y139:AA139)</f>
        <v>0</v>
      </c>
      <c r="AC139" s="86">
        <f t="shared" ref="AC139" si="103">T139+X139+AB139</f>
        <v>0</v>
      </c>
      <c r="AD139" s="116"/>
    </row>
    <row r="140" spans="1:30" x14ac:dyDescent="0.15">
      <c r="A140" s="102" t="s">
        <v>3</v>
      </c>
      <c r="B140" s="25"/>
      <c r="C140" s="26"/>
      <c r="D140" s="26"/>
      <c r="E140" s="8">
        <f t="shared" si="92"/>
        <v>0</v>
      </c>
      <c r="F140" s="25"/>
      <c r="G140" s="26"/>
      <c r="H140" s="26"/>
      <c r="I140" s="8">
        <f t="shared" si="93"/>
        <v>0</v>
      </c>
      <c r="J140" s="25"/>
      <c r="K140" s="26"/>
      <c r="L140" s="26"/>
      <c r="M140" s="39">
        <f t="shared" si="94"/>
        <v>0</v>
      </c>
      <c r="N140" s="138">
        <f t="shared" si="95"/>
        <v>0</v>
      </c>
      <c r="O140" s="24"/>
      <c r="P140" s="6" t="s">
        <v>3</v>
      </c>
      <c r="Q140" s="14"/>
      <c r="R140" s="11"/>
      <c r="S140" s="11"/>
      <c r="T140" s="5">
        <f t="shared" si="87"/>
        <v>0</v>
      </c>
      <c r="U140" s="14"/>
      <c r="V140" s="11"/>
      <c r="W140" s="11"/>
      <c r="X140" s="5">
        <f t="shared" si="88"/>
        <v>0</v>
      </c>
      <c r="Y140" s="25"/>
      <c r="Z140" s="26"/>
      <c r="AA140" s="26"/>
      <c r="AB140" s="8">
        <f t="shared" si="89"/>
        <v>0</v>
      </c>
      <c r="AC140" s="86">
        <f t="shared" si="90"/>
        <v>0</v>
      </c>
      <c r="AD140" s="116"/>
    </row>
    <row r="141" spans="1:30" x14ac:dyDescent="0.15">
      <c r="A141" s="102" t="s">
        <v>3</v>
      </c>
      <c r="B141" s="27"/>
      <c r="C141" s="26"/>
      <c r="D141" s="26"/>
      <c r="E141" s="5">
        <f t="shared" si="92"/>
        <v>0</v>
      </c>
      <c r="F141" s="25"/>
      <c r="G141" s="26"/>
      <c r="H141" s="26"/>
      <c r="I141" s="5">
        <f t="shared" si="93"/>
        <v>0</v>
      </c>
      <c r="J141" s="25"/>
      <c r="K141" s="26"/>
      <c r="L141" s="26"/>
      <c r="M141" s="38">
        <f t="shared" si="94"/>
        <v>0</v>
      </c>
      <c r="N141" s="138">
        <f t="shared" si="95"/>
        <v>0</v>
      </c>
      <c r="O141" s="21"/>
      <c r="P141" s="6" t="s">
        <v>3</v>
      </c>
      <c r="Q141" s="27"/>
      <c r="R141" s="26"/>
      <c r="S141" s="26"/>
      <c r="T141" s="5">
        <f t="shared" si="87"/>
        <v>0</v>
      </c>
      <c r="U141" s="27"/>
      <c r="V141" s="26"/>
      <c r="W141" s="26"/>
      <c r="X141" s="5">
        <f t="shared" si="88"/>
        <v>0</v>
      </c>
      <c r="Y141" s="25"/>
      <c r="Z141" s="26"/>
      <c r="AA141" s="26"/>
      <c r="AB141" s="5">
        <f t="shared" si="89"/>
        <v>0</v>
      </c>
      <c r="AC141" s="86">
        <f t="shared" si="90"/>
        <v>0</v>
      </c>
      <c r="AD141" s="116"/>
    </row>
    <row r="142" spans="1:30" x14ac:dyDescent="0.15">
      <c r="A142" s="102" t="s">
        <v>3</v>
      </c>
      <c r="B142" s="27"/>
      <c r="C142" s="26"/>
      <c r="D142" s="26"/>
      <c r="E142" s="5">
        <f t="shared" si="92"/>
        <v>0</v>
      </c>
      <c r="F142" s="25"/>
      <c r="G142" s="26"/>
      <c r="H142" s="26"/>
      <c r="I142" s="5">
        <f t="shared" si="93"/>
        <v>0</v>
      </c>
      <c r="J142" s="25"/>
      <c r="K142" s="26"/>
      <c r="L142" s="26"/>
      <c r="M142" s="38">
        <f t="shared" si="94"/>
        <v>0</v>
      </c>
      <c r="N142" s="138">
        <f t="shared" si="95"/>
        <v>0</v>
      </c>
      <c r="O142" s="21"/>
      <c r="P142" s="6" t="s">
        <v>3</v>
      </c>
      <c r="Q142" s="14"/>
      <c r="R142" s="11"/>
      <c r="S142" s="11"/>
      <c r="T142" s="5">
        <f t="shared" si="87"/>
        <v>0</v>
      </c>
      <c r="U142" s="14"/>
      <c r="V142" s="11"/>
      <c r="W142" s="11"/>
      <c r="X142" s="5">
        <f t="shared" si="88"/>
        <v>0</v>
      </c>
      <c r="Y142" s="25"/>
      <c r="Z142" s="26"/>
      <c r="AA142" s="26"/>
      <c r="AB142" s="5">
        <f t="shared" si="89"/>
        <v>0</v>
      </c>
      <c r="AC142" s="86">
        <f t="shared" si="90"/>
        <v>0</v>
      </c>
      <c r="AD142" s="116"/>
    </row>
    <row r="143" spans="1:30" x14ac:dyDescent="0.15">
      <c r="A143" s="102" t="s">
        <v>3</v>
      </c>
      <c r="B143" s="27"/>
      <c r="C143" s="26"/>
      <c r="D143" s="26"/>
      <c r="E143" s="5">
        <f t="shared" si="92"/>
        <v>0</v>
      </c>
      <c r="F143" s="25"/>
      <c r="G143" s="26"/>
      <c r="H143" s="26"/>
      <c r="I143" s="5">
        <f t="shared" si="93"/>
        <v>0</v>
      </c>
      <c r="J143" s="25"/>
      <c r="K143" s="26"/>
      <c r="L143" s="26"/>
      <c r="M143" s="38">
        <f t="shared" si="94"/>
        <v>0</v>
      </c>
      <c r="N143" s="138">
        <f t="shared" si="95"/>
        <v>0</v>
      </c>
      <c r="O143" s="23"/>
      <c r="P143" s="6" t="s">
        <v>3</v>
      </c>
      <c r="Q143" s="27"/>
      <c r="R143" s="26"/>
      <c r="S143" s="26"/>
      <c r="T143" s="5">
        <f t="shared" si="87"/>
        <v>0</v>
      </c>
      <c r="U143" s="27"/>
      <c r="V143" s="26"/>
      <c r="W143" s="26"/>
      <c r="X143" s="5">
        <f t="shared" si="88"/>
        <v>0</v>
      </c>
      <c r="Y143" s="25"/>
      <c r="Z143" s="26"/>
      <c r="AA143" s="26"/>
      <c r="AB143" s="5">
        <f t="shared" si="89"/>
        <v>0</v>
      </c>
      <c r="AC143" s="86">
        <f t="shared" si="90"/>
        <v>0</v>
      </c>
      <c r="AD143" s="116"/>
    </row>
    <row r="144" spans="1:30" ht="14.25" thickBot="1" x14ac:dyDescent="0.2">
      <c r="A144" s="102" t="s">
        <v>3</v>
      </c>
      <c r="B144" s="28"/>
      <c r="C144" s="29"/>
      <c r="D144" s="32"/>
      <c r="E144" s="15">
        <f t="shared" si="92"/>
        <v>0</v>
      </c>
      <c r="F144" s="35"/>
      <c r="G144" s="29"/>
      <c r="H144" s="32"/>
      <c r="I144" s="15">
        <f t="shared" si="93"/>
        <v>0</v>
      </c>
      <c r="J144" s="35"/>
      <c r="K144" s="29"/>
      <c r="L144" s="32"/>
      <c r="M144" s="40">
        <f t="shared" si="94"/>
        <v>0</v>
      </c>
      <c r="N144" s="139">
        <f t="shared" si="95"/>
        <v>0</v>
      </c>
      <c r="O144" s="21"/>
      <c r="P144" s="7" t="s">
        <v>3</v>
      </c>
      <c r="Q144" s="28"/>
      <c r="R144" s="29"/>
      <c r="S144" s="29"/>
      <c r="T144" s="15">
        <f t="shared" si="87"/>
        <v>0</v>
      </c>
      <c r="U144" s="28"/>
      <c r="V144" s="29"/>
      <c r="W144" s="29"/>
      <c r="X144" s="15">
        <f t="shared" si="88"/>
        <v>0</v>
      </c>
      <c r="Y144" s="35"/>
      <c r="Z144" s="29"/>
      <c r="AA144" s="32"/>
      <c r="AB144" s="15">
        <f t="shared" si="89"/>
        <v>0</v>
      </c>
      <c r="AC144" s="87">
        <f t="shared" si="90"/>
        <v>0</v>
      </c>
      <c r="AD144" s="116"/>
    </row>
    <row r="145" spans="1:31" ht="14.25" thickBot="1" x14ac:dyDescent="0.2">
      <c r="A145" s="103" t="s">
        <v>4</v>
      </c>
      <c r="B145" s="17">
        <f>SUM(B134:B144)</f>
        <v>17</v>
      </c>
      <c r="C145" s="17">
        <f>SUM(C134:C144)</f>
        <v>13</v>
      </c>
      <c r="D145" s="17">
        <f>SUM(D134:D144)</f>
        <v>19</v>
      </c>
      <c r="E145" s="18">
        <f t="shared" si="92"/>
        <v>49</v>
      </c>
      <c r="F145" s="17">
        <f>SUM(F134:F144)</f>
        <v>21</v>
      </c>
      <c r="G145" s="17">
        <f>SUM(G134:G144)</f>
        <v>21</v>
      </c>
      <c r="H145" s="17">
        <f>SUM(H134:H144)</f>
        <v>17</v>
      </c>
      <c r="I145" s="18">
        <f t="shared" si="93"/>
        <v>59</v>
      </c>
      <c r="J145" s="17">
        <f>SUM(J134:J144)</f>
        <v>22</v>
      </c>
      <c r="K145" s="17">
        <f>SUM(K134:K144)</f>
        <v>24</v>
      </c>
      <c r="L145" s="17">
        <f>SUM(L134:L144)</f>
        <v>17</v>
      </c>
      <c r="M145" s="20">
        <f t="shared" si="94"/>
        <v>63</v>
      </c>
      <c r="N145" s="140">
        <f t="shared" si="95"/>
        <v>171</v>
      </c>
      <c r="O145" s="1"/>
      <c r="P145" s="16" t="s">
        <v>4</v>
      </c>
      <c r="Q145" s="17">
        <f>SUM(Q134:Q144)</f>
        <v>440</v>
      </c>
      <c r="R145" s="17">
        <f>SUM(R134:R144)</f>
        <v>419</v>
      </c>
      <c r="S145" s="17">
        <f>SUM(S134:S144)</f>
        <v>216</v>
      </c>
      <c r="T145" s="18">
        <f t="shared" si="87"/>
        <v>1075</v>
      </c>
      <c r="U145" s="17">
        <f>SUM(U134:U144)</f>
        <v>475</v>
      </c>
      <c r="V145" s="17">
        <f>SUM(V134:V144)</f>
        <v>444</v>
      </c>
      <c r="W145" s="17">
        <f>SUM(W134:W144)</f>
        <v>236</v>
      </c>
      <c r="X145" s="18">
        <f t="shared" si="88"/>
        <v>1155</v>
      </c>
      <c r="Y145" s="17">
        <f>SUM(Y134:Y144)</f>
        <v>455</v>
      </c>
      <c r="Z145" s="17">
        <f>SUM(Z134:Z144)</f>
        <v>419</v>
      </c>
      <c r="AA145" s="17">
        <f>SUM(AA134:AA144)</f>
        <v>211</v>
      </c>
      <c r="AB145" s="18">
        <f t="shared" si="89"/>
        <v>1085</v>
      </c>
      <c r="AC145" s="88">
        <f t="shared" si="90"/>
        <v>3315</v>
      </c>
    </row>
    <row r="146" spans="1:31" x14ac:dyDescent="0.15">
      <c r="A146" s="33" t="s">
        <v>151</v>
      </c>
      <c r="B146" s="9"/>
      <c r="C146" s="10"/>
      <c r="D146" s="10">
        <v>2</v>
      </c>
      <c r="E146" s="8">
        <f t="shared" ref="E146" si="104">SUM(B146:D146)</f>
        <v>2</v>
      </c>
      <c r="F146" s="9"/>
      <c r="G146" s="10"/>
      <c r="H146" s="10">
        <v>2</v>
      </c>
      <c r="I146" s="8">
        <f t="shared" si="93"/>
        <v>2</v>
      </c>
      <c r="J146" s="9"/>
      <c r="K146" s="10"/>
      <c r="L146" s="10">
        <v>2</v>
      </c>
      <c r="M146" s="39">
        <f t="shared" si="94"/>
        <v>2</v>
      </c>
      <c r="N146" s="138">
        <f t="shared" si="95"/>
        <v>6</v>
      </c>
      <c r="O146" s="21">
        <v>45378</v>
      </c>
      <c r="P146" s="4" t="s">
        <v>154</v>
      </c>
      <c r="Q146" s="9">
        <v>3</v>
      </c>
      <c r="R146" s="10">
        <v>8</v>
      </c>
      <c r="S146" s="10">
        <v>3</v>
      </c>
      <c r="T146" s="5">
        <f t="shared" si="87"/>
        <v>14</v>
      </c>
      <c r="U146" s="9">
        <v>3</v>
      </c>
      <c r="V146" s="10">
        <v>8</v>
      </c>
      <c r="W146" s="10">
        <v>3</v>
      </c>
      <c r="X146" s="5">
        <f t="shared" si="88"/>
        <v>14</v>
      </c>
      <c r="Y146" s="9">
        <v>3</v>
      </c>
      <c r="Z146" s="10">
        <v>8</v>
      </c>
      <c r="AA146" s="10">
        <v>3</v>
      </c>
      <c r="AB146" s="5">
        <f t="shared" si="89"/>
        <v>14</v>
      </c>
      <c r="AC146" s="86">
        <f t="shared" si="90"/>
        <v>42</v>
      </c>
      <c r="AD146" s="109">
        <v>45379</v>
      </c>
      <c r="AE146" s="58"/>
    </row>
    <row r="147" spans="1:31" x14ac:dyDescent="0.15">
      <c r="A147" s="33" t="s">
        <v>152</v>
      </c>
      <c r="B147" s="9"/>
      <c r="C147" s="10"/>
      <c r="D147" s="10"/>
      <c r="E147" s="5">
        <f t="shared" si="92"/>
        <v>0</v>
      </c>
      <c r="F147" s="9"/>
      <c r="G147" s="10"/>
      <c r="H147" s="10">
        <v>1</v>
      </c>
      <c r="I147" s="5">
        <f t="shared" si="93"/>
        <v>1</v>
      </c>
      <c r="J147" s="9"/>
      <c r="K147" s="10"/>
      <c r="L147" s="10"/>
      <c r="M147" s="38">
        <f t="shared" si="94"/>
        <v>0</v>
      </c>
      <c r="N147" s="138">
        <f t="shared" si="95"/>
        <v>1</v>
      </c>
      <c r="O147" s="21">
        <v>45377</v>
      </c>
      <c r="P147" s="11" t="s">
        <v>157</v>
      </c>
      <c r="Q147" s="9">
        <v>45</v>
      </c>
      <c r="R147" s="10">
        <v>35</v>
      </c>
      <c r="S147" s="10">
        <v>70</v>
      </c>
      <c r="T147" s="8">
        <f t="shared" si="87"/>
        <v>150</v>
      </c>
      <c r="U147" s="9">
        <v>45</v>
      </c>
      <c r="V147" s="10">
        <v>35</v>
      </c>
      <c r="W147" s="10">
        <v>70</v>
      </c>
      <c r="X147" s="8">
        <f t="shared" si="88"/>
        <v>150</v>
      </c>
      <c r="Y147" s="9">
        <v>45</v>
      </c>
      <c r="Z147" s="10">
        <v>35</v>
      </c>
      <c r="AA147" s="10">
        <v>70</v>
      </c>
      <c r="AB147" s="8">
        <f t="shared" si="89"/>
        <v>150</v>
      </c>
      <c r="AC147" s="86">
        <f t="shared" si="90"/>
        <v>450</v>
      </c>
      <c r="AD147" s="109">
        <v>45378</v>
      </c>
    </row>
    <row r="148" spans="1:31" x14ac:dyDescent="0.15">
      <c r="A148" s="33" t="s">
        <v>36</v>
      </c>
      <c r="B148" s="9">
        <v>1</v>
      </c>
      <c r="C148" s="10"/>
      <c r="D148" s="10"/>
      <c r="E148" s="5">
        <f t="shared" si="92"/>
        <v>1</v>
      </c>
      <c r="F148" s="9">
        <v>1</v>
      </c>
      <c r="G148" s="10"/>
      <c r="H148" s="10"/>
      <c r="I148" s="5">
        <f t="shared" si="93"/>
        <v>1</v>
      </c>
      <c r="J148" s="9">
        <v>1</v>
      </c>
      <c r="K148" s="10"/>
      <c r="L148" s="10"/>
      <c r="M148" s="38">
        <f t="shared" si="94"/>
        <v>1</v>
      </c>
      <c r="N148" s="138">
        <f t="shared" si="95"/>
        <v>3</v>
      </c>
      <c r="O148" s="21">
        <v>45376</v>
      </c>
      <c r="P148" s="11" t="s">
        <v>158</v>
      </c>
      <c r="Q148" s="9">
        <v>8</v>
      </c>
      <c r="R148" s="10">
        <v>4</v>
      </c>
      <c r="S148" s="10">
        <v>8</v>
      </c>
      <c r="T148" s="8">
        <f t="shared" si="87"/>
        <v>20</v>
      </c>
      <c r="U148" s="9">
        <v>8</v>
      </c>
      <c r="V148" s="10">
        <v>4</v>
      </c>
      <c r="W148" s="10">
        <v>8</v>
      </c>
      <c r="X148" s="8">
        <f t="shared" si="88"/>
        <v>20</v>
      </c>
      <c r="Y148" s="9">
        <v>8</v>
      </c>
      <c r="Z148" s="10">
        <v>4</v>
      </c>
      <c r="AA148" s="10">
        <v>8</v>
      </c>
      <c r="AB148" s="8">
        <f t="shared" si="89"/>
        <v>20</v>
      </c>
      <c r="AC148" s="86">
        <f t="shared" si="90"/>
        <v>60</v>
      </c>
      <c r="AD148" s="109">
        <v>45383</v>
      </c>
    </row>
    <row r="149" spans="1:31" x14ac:dyDescent="0.15">
      <c r="A149" s="33" t="s">
        <v>36</v>
      </c>
      <c r="B149" s="9"/>
      <c r="C149" s="10"/>
      <c r="D149" s="10"/>
      <c r="E149" s="5">
        <f t="shared" si="92"/>
        <v>0</v>
      </c>
      <c r="F149" s="9"/>
      <c r="G149" s="10">
        <v>4</v>
      </c>
      <c r="H149" s="10"/>
      <c r="I149" s="5">
        <f t="shared" si="93"/>
        <v>4</v>
      </c>
      <c r="J149" s="9"/>
      <c r="K149" s="10"/>
      <c r="L149" s="10"/>
      <c r="M149" s="38">
        <f t="shared" si="94"/>
        <v>0</v>
      </c>
      <c r="N149" s="138">
        <f t="shared" si="95"/>
        <v>4</v>
      </c>
      <c r="O149" s="21">
        <v>45377</v>
      </c>
      <c r="P149" s="11" t="s">
        <v>159</v>
      </c>
      <c r="Q149" s="9"/>
      <c r="R149" s="10">
        <v>40</v>
      </c>
      <c r="S149" s="10"/>
      <c r="T149" s="8">
        <f t="shared" si="87"/>
        <v>40</v>
      </c>
      <c r="U149" s="9"/>
      <c r="V149" s="10">
        <v>40</v>
      </c>
      <c r="W149" s="10"/>
      <c r="X149" s="8">
        <f t="shared" si="88"/>
        <v>40</v>
      </c>
      <c r="Y149" s="9"/>
      <c r="Z149" s="10">
        <v>40</v>
      </c>
      <c r="AA149" s="10"/>
      <c r="AB149" s="8">
        <f t="shared" si="89"/>
        <v>40</v>
      </c>
      <c r="AC149" s="86">
        <f t="shared" si="90"/>
        <v>120</v>
      </c>
      <c r="AD149" s="109">
        <v>45379</v>
      </c>
    </row>
    <row r="150" spans="1:31" x14ac:dyDescent="0.15">
      <c r="A150" s="33" t="s">
        <v>162</v>
      </c>
      <c r="B150" s="9"/>
      <c r="C150" s="10">
        <v>1</v>
      </c>
      <c r="D150" s="10"/>
      <c r="E150" s="5">
        <f t="shared" si="92"/>
        <v>1</v>
      </c>
      <c r="F150" s="9"/>
      <c r="G150" s="10">
        <v>1</v>
      </c>
      <c r="H150" s="10"/>
      <c r="I150" s="5">
        <f t="shared" si="93"/>
        <v>1</v>
      </c>
      <c r="J150" s="9"/>
      <c r="K150" s="10">
        <v>1</v>
      </c>
      <c r="L150" s="10"/>
      <c r="M150" s="38">
        <f t="shared" si="94"/>
        <v>1</v>
      </c>
      <c r="N150" s="138">
        <f t="shared" si="95"/>
        <v>3</v>
      </c>
      <c r="O150" s="21">
        <v>45380</v>
      </c>
      <c r="P150" s="11" t="s">
        <v>166</v>
      </c>
      <c r="Q150" s="9">
        <v>55</v>
      </c>
      <c r="R150" s="10">
        <v>65</v>
      </c>
      <c r="S150" s="10">
        <v>45</v>
      </c>
      <c r="T150" s="8">
        <f t="shared" si="87"/>
        <v>165</v>
      </c>
      <c r="U150" s="9">
        <v>55</v>
      </c>
      <c r="V150" s="10">
        <v>65</v>
      </c>
      <c r="W150" s="10">
        <v>45</v>
      </c>
      <c r="X150" s="8">
        <f t="shared" si="88"/>
        <v>165</v>
      </c>
      <c r="Y150" s="9">
        <v>55</v>
      </c>
      <c r="Z150" s="10">
        <v>65</v>
      </c>
      <c r="AA150" s="10">
        <v>45</v>
      </c>
      <c r="AB150" s="8">
        <f t="shared" si="89"/>
        <v>165</v>
      </c>
      <c r="AC150" s="86">
        <f t="shared" si="90"/>
        <v>495</v>
      </c>
      <c r="AD150" s="109">
        <v>45380</v>
      </c>
    </row>
    <row r="151" spans="1:31" x14ac:dyDescent="0.15">
      <c r="A151" s="33" t="s">
        <v>170</v>
      </c>
      <c r="B151" s="9"/>
      <c r="C151" s="10"/>
      <c r="D151" s="10"/>
      <c r="E151" s="8">
        <f t="shared" si="92"/>
        <v>0</v>
      </c>
      <c r="F151" s="9">
        <v>1</v>
      </c>
      <c r="G151" s="10"/>
      <c r="H151" s="10"/>
      <c r="I151" s="8">
        <f t="shared" si="93"/>
        <v>1</v>
      </c>
      <c r="J151" s="9">
        <v>1</v>
      </c>
      <c r="K151" s="10"/>
      <c r="L151" s="10"/>
      <c r="M151" s="39">
        <f t="shared" si="94"/>
        <v>1</v>
      </c>
      <c r="N151" s="138">
        <f t="shared" si="95"/>
        <v>2</v>
      </c>
      <c r="O151" s="21">
        <v>45384</v>
      </c>
      <c r="P151" s="11" t="s">
        <v>165</v>
      </c>
      <c r="Q151" s="9">
        <v>11</v>
      </c>
      <c r="R151" s="10">
        <v>11</v>
      </c>
      <c r="S151" s="10">
        <v>11</v>
      </c>
      <c r="T151" s="8">
        <f t="shared" si="87"/>
        <v>33</v>
      </c>
      <c r="U151" s="9">
        <v>11</v>
      </c>
      <c r="V151" s="10">
        <v>11</v>
      </c>
      <c r="W151" s="10">
        <v>11</v>
      </c>
      <c r="X151" s="8">
        <f t="shared" si="88"/>
        <v>33</v>
      </c>
      <c r="Y151" s="9">
        <v>11</v>
      </c>
      <c r="Z151" s="10">
        <v>11</v>
      </c>
      <c r="AA151" s="10">
        <v>11</v>
      </c>
      <c r="AB151" s="8">
        <f t="shared" si="89"/>
        <v>33</v>
      </c>
      <c r="AC151" s="86">
        <f t="shared" si="90"/>
        <v>99</v>
      </c>
      <c r="AD151" s="109">
        <v>45383</v>
      </c>
    </row>
    <row r="152" spans="1:31" x14ac:dyDescent="0.15">
      <c r="A152" s="33" t="s">
        <v>171</v>
      </c>
      <c r="B152" s="9"/>
      <c r="C152" s="10"/>
      <c r="D152" s="10">
        <v>1</v>
      </c>
      <c r="E152" s="8">
        <f t="shared" si="92"/>
        <v>1</v>
      </c>
      <c r="F152" s="9"/>
      <c r="G152" s="10"/>
      <c r="H152" s="10">
        <v>1</v>
      </c>
      <c r="I152" s="8">
        <f t="shared" si="93"/>
        <v>1</v>
      </c>
      <c r="J152" s="9"/>
      <c r="K152" s="10"/>
      <c r="L152" s="10">
        <v>1</v>
      </c>
      <c r="M152" s="39">
        <f t="shared" si="94"/>
        <v>1</v>
      </c>
      <c r="N152" s="138">
        <f t="shared" si="95"/>
        <v>3</v>
      </c>
      <c r="O152" s="21">
        <v>45387</v>
      </c>
      <c r="P152" s="4" t="s">
        <v>27</v>
      </c>
      <c r="Q152" s="9"/>
      <c r="R152" s="10"/>
      <c r="S152" s="10"/>
      <c r="T152" s="8">
        <f t="shared" si="87"/>
        <v>0</v>
      </c>
      <c r="U152" s="9">
        <v>10</v>
      </c>
      <c r="V152" s="10"/>
      <c r="W152" s="10"/>
      <c r="X152" s="8">
        <f t="shared" si="88"/>
        <v>10</v>
      </c>
      <c r="Y152" s="9">
        <v>10</v>
      </c>
      <c r="Z152" s="10">
        <v>10</v>
      </c>
      <c r="AA152" s="10"/>
      <c r="AB152" s="8">
        <f t="shared" si="89"/>
        <v>20</v>
      </c>
      <c r="AC152" s="86">
        <f t="shared" si="90"/>
        <v>30</v>
      </c>
      <c r="AD152" s="109">
        <v>45381</v>
      </c>
      <c r="AE152" s="58"/>
    </row>
    <row r="153" spans="1:31" x14ac:dyDescent="0.15">
      <c r="A153" s="33" t="s">
        <v>172</v>
      </c>
      <c r="B153" s="9">
        <v>1</v>
      </c>
      <c r="C153" s="10">
        <v>1</v>
      </c>
      <c r="D153" s="10"/>
      <c r="E153" s="8">
        <f t="shared" si="92"/>
        <v>2</v>
      </c>
      <c r="F153" s="9">
        <v>1</v>
      </c>
      <c r="G153" s="10">
        <v>1</v>
      </c>
      <c r="H153" s="10"/>
      <c r="I153" s="8">
        <f t="shared" si="93"/>
        <v>2</v>
      </c>
      <c r="J153" s="9">
        <v>1</v>
      </c>
      <c r="K153" s="10">
        <v>1</v>
      </c>
      <c r="L153" s="10"/>
      <c r="M153" s="39">
        <f t="shared" si="94"/>
        <v>2</v>
      </c>
      <c r="N153" s="138">
        <f t="shared" si="95"/>
        <v>6</v>
      </c>
      <c r="O153" s="21">
        <v>45390</v>
      </c>
      <c r="P153" s="11" t="s">
        <v>167</v>
      </c>
      <c r="Q153" s="9"/>
      <c r="R153" s="10">
        <v>5</v>
      </c>
      <c r="S153" s="10"/>
      <c r="T153" s="8">
        <f t="shared" si="87"/>
        <v>5</v>
      </c>
      <c r="U153" s="9"/>
      <c r="V153" s="10">
        <v>5</v>
      </c>
      <c r="W153" s="10"/>
      <c r="X153" s="8">
        <f t="shared" si="88"/>
        <v>5</v>
      </c>
      <c r="Y153" s="9"/>
      <c r="Z153" s="10">
        <v>5</v>
      </c>
      <c r="AA153" s="10"/>
      <c r="AB153" s="8">
        <f t="shared" si="89"/>
        <v>5</v>
      </c>
      <c r="AC153" s="86">
        <f t="shared" si="90"/>
        <v>15</v>
      </c>
      <c r="AD153" s="109">
        <v>45386</v>
      </c>
    </row>
    <row r="154" spans="1:31" x14ac:dyDescent="0.15">
      <c r="A154" s="33" t="s">
        <v>152</v>
      </c>
      <c r="B154" s="9"/>
      <c r="C154" s="10"/>
      <c r="D154" s="10"/>
      <c r="E154" s="8">
        <f t="shared" si="92"/>
        <v>0</v>
      </c>
      <c r="F154" s="9"/>
      <c r="G154" s="10"/>
      <c r="H154" s="10"/>
      <c r="I154" s="8">
        <f t="shared" si="93"/>
        <v>0</v>
      </c>
      <c r="J154" s="9"/>
      <c r="K154" s="10">
        <v>1</v>
      </c>
      <c r="L154" s="10"/>
      <c r="M154" s="39">
        <f t="shared" si="94"/>
        <v>1</v>
      </c>
      <c r="N154" s="138">
        <f t="shared" si="95"/>
        <v>1</v>
      </c>
      <c r="O154" s="21">
        <v>45391</v>
      </c>
      <c r="P154" s="4" t="s">
        <v>168</v>
      </c>
      <c r="Q154" s="9"/>
      <c r="R154" s="10">
        <v>9</v>
      </c>
      <c r="S154" s="10"/>
      <c r="T154" s="8">
        <f t="shared" si="87"/>
        <v>9</v>
      </c>
      <c r="U154" s="9"/>
      <c r="V154" s="10">
        <v>9</v>
      </c>
      <c r="W154" s="10"/>
      <c r="X154" s="8">
        <f t="shared" si="88"/>
        <v>9</v>
      </c>
      <c r="Y154" s="9"/>
      <c r="Z154" s="10">
        <v>9</v>
      </c>
      <c r="AA154" s="10"/>
      <c r="AB154" s="8">
        <f t="shared" si="89"/>
        <v>9</v>
      </c>
      <c r="AC154" s="86">
        <f t="shared" si="90"/>
        <v>27</v>
      </c>
      <c r="AD154" s="109">
        <v>45385</v>
      </c>
      <c r="AE154" s="58"/>
    </row>
    <row r="155" spans="1:31" x14ac:dyDescent="0.15">
      <c r="A155" s="33" t="s">
        <v>36</v>
      </c>
      <c r="B155" s="9"/>
      <c r="C155" s="10">
        <v>1</v>
      </c>
      <c r="D155" s="10"/>
      <c r="E155" s="8">
        <f t="shared" si="92"/>
        <v>1</v>
      </c>
      <c r="F155" s="9"/>
      <c r="G155" s="10">
        <v>1</v>
      </c>
      <c r="H155" s="10"/>
      <c r="I155" s="8">
        <f t="shared" si="93"/>
        <v>1</v>
      </c>
      <c r="J155" s="9"/>
      <c r="K155" s="10">
        <v>1</v>
      </c>
      <c r="L155" s="10"/>
      <c r="M155" s="39">
        <f t="shared" si="94"/>
        <v>1</v>
      </c>
      <c r="N155" s="138">
        <f t="shared" si="95"/>
        <v>3</v>
      </c>
      <c r="O155" s="21">
        <v>45390</v>
      </c>
      <c r="P155" s="4" t="s">
        <v>169</v>
      </c>
      <c r="Q155" s="9"/>
      <c r="R155" s="10">
        <v>4</v>
      </c>
      <c r="S155" s="10">
        <v>10</v>
      </c>
      <c r="T155" s="8">
        <f t="shared" si="87"/>
        <v>14</v>
      </c>
      <c r="U155" s="9"/>
      <c r="V155" s="10">
        <v>4</v>
      </c>
      <c r="W155" s="10">
        <v>10</v>
      </c>
      <c r="X155" s="8">
        <f t="shared" si="88"/>
        <v>14</v>
      </c>
      <c r="Y155" s="9"/>
      <c r="Z155" s="10">
        <v>4</v>
      </c>
      <c r="AA155" s="10">
        <v>10</v>
      </c>
      <c r="AB155" s="8">
        <f t="shared" si="89"/>
        <v>14</v>
      </c>
      <c r="AC155" s="86">
        <f t="shared" si="90"/>
        <v>42</v>
      </c>
      <c r="AD155" s="109">
        <v>45386</v>
      </c>
      <c r="AE155" s="58"/>
    </row>
    <row r="156" spans="1:31" x14ac:dyDescent="0.15">
      <c r="A156" s="33" t="s">
        <v>175</v>
      </c>
      <c r="B156" s="9"/>
      <c r="C156" s="10"/>
      <c r="D156" s="10"/>
      <c r="E156" s="8">
        <f t="shared" si="92"/>
        <v>0</v>
      </c>
      <c r="F156" s="9"/>
      <c r="G156" s="10"/>
      <c r="H156" s="10"/>
      <c r="I156" s="8">
        <f t="shared" si="93"/>
        <v>0</v>
      </c>
      <c r="J156" s="9">
        <v>1</v>
      </c>
      <c r="K156" s="10"/>
      <c r="L156" s="10"/>
      <c r="M156" s="39">
        <f t="shared" si="94"/>
        <v>1</v>
      </c>
      <c r="N156" s="138">
        <f t="shared" si="95"/>
        <v>1</v>
      </c>
      <c r="O156" s="21">
        <v>45390</v>
      </c>
      <c r="P156" s="4" t="s">
        <v>174</v>
      </c>
      <c r="Q156" s="9"/>
      <c r="R156" s="10"/>
      <c r="S156" s="10">
        <v>4</v>
      </c>
      <c r="T156" s="8">
        <f t="shared" si="87"/>
        <v>4</v>
      </c>
      <c r="U156" s="9"/>
      <c r="V156" s="10"/>
      <c r="W156" s="10">
        <v>4</v>
      </c>
      <c r="X156" s="8">
        <f t="shared" si="88"/>
        <v>4</v>
      </c>
      <c r="Y156" s="9"/>
      <c r="Z156" s="10"/>
      <c r="AA156" s="10">
        <v>4</v>
      </c>
      <c r="AB156" s="8">
        <f t="shared" si="89"/>
        <v>4</v>
      </c>
      <c r="AC156" s="86">
        <f t="shared" si="90"/>
        <v>12</v>
      </c>
      <c r="AD156" s="109">
        <v>45392</v>
      </c>
    </row>
    <row r="157" spans="1:31" x14ac:dyDescent="0.15">
      <c r="A157" s="33" t="s">
        <v>176</v>
      </c>
      <c r="B157" s="9"/>
      <c r="C157" s="10">
        <v>1</v>
      </c>
      <c r="D157" s="10"/>
      <c r="E157" s="8">
        <f t="shared" si="92"/>
        <v>1</v>
      </c>
      <c r="F157" s="9"/>
      <c r="G157" s="10">
        <v>1</v>
      </c>
      <c r="H157" s="10"/>
      <c r="I157" s="8">
        <f t="shared" si="93"/>
        <v>1</v>
      </c>
      <c r="J157" s="9"/>
      <c r="K157" s="10">
        <v>1</v>
      </c>
      <c r="L157" s="10"/>
      <c r="M157" s="39">
        <f t="shared" si="94"/>
        <v>1</v>
      </c>
      <c r="N157" s="138">
        <f t="shared" si="95"/>
        <v>3</v>
      </c>
      <c r="O157" s="21">
        <v>45393</v>
      </c>
      <c r="P157" s="11" t="s">
        <v>27</v>
      </c>
      <c r="Q157" s="9"/>
      <c r="R157" s="10"/>
      <c r="S157" s="10"/>
      <c r="T157" s="8">
        <f t="shared" si="87"/>
        <v>0</v>
      </c>
      <c r="U157" s="9"/>
      <c r="V157" s="10">
        <v>10</v>
      </c>
      <c r="W157" s="10"/>
      <c r="X157" s="8">
        <f t="shared" si="88"/>
        <v>10</v>
      </c>
      <c r="Y157" s="9"/>
      <c r="Z157" s="10"/>
      <c r="AA157" s="10"/>
      <c r="AB157" s="8">
        <f t="shared" si="89"/>
        <v>0</v>
      </c>
      <c r="AC157" s="86">
        <f t="shared" si="90"/>
        <v>10</v>
      </c>
      <c r="AD157" s="109">
        <v>45391</v>
      </c>
      <c r="AE157" s="58"/>
    </row>
    <row r="158" spans="1:31" x14ac:dyDescent="0.15">
      <c r="A158" s="33" t="s">
        <v>152</v>
      </c>
      <c r="B158" s="9"/>
      <c r="C158" s="10"/>
      <c r="D158" s="10">
        <v>2</v>
      </c>
      <c r="E158" s="8">
        <f t="shared" si="92"/>
        <v>2</v>
      </c>
      <c r="F158" s="9"/>
      <c r="G158" s="10"/>
      <c r="H158" s="10"/>
      <c r="I158" s="8">
        <f t="shared" si="93"/>
        <v>0</v>
      </c>
      <c r="J158" s="9"/>
      <c r="K158" s="10"/>
      <c r="L158" s="10"/>
      <c r="M158" s="39">
        <f t="shared" si="94"/>
        <v>0</v>
      </c>
      <c r="N158" s="138">
        <f t="shared" si="95"/>
        <v>2</v>
      </c>
      <c r="O158" s="21">
        <v>45392</v>
      </c>
      <c r="P158" s="4" t="s">
        <v>176</v>
      </c>
      <c r="Q158" s="9">
        <v>3</v>
      </c>
      <c r="R158" s="10">
        <v>5</v>
      </c>
      <c r="S158" s="10"/>
      <c r="T158" s="8">
        <f t="shared" si="87"/>
        <v>8</v>
      </c>
      <c r="U158" s="9">
        <v>3</v>
      </c>
      <c r="V158" s="10">
        <v>5</v>
      </c>
      <c r="W158" s="10"/>
      <c r="X158" s="8">
        <f t="shared" si="88"/>
        <v>8</v>
      </c>
      <c r="Y158" s="9">
        <v>3</v>
      </c>
      <c r="Z158" s="10">
        <v>5</v>
      </c>
      <c r="AA158" s="10"/>
      <c r="AB158" s="8">
        <f t="shared" si="89"/>
        <v>8</v>
      </c>
      <c r="AC158" s="86">
        <f t="shared" si="90"/>
        <v>24</v>
      </c>
      <c r="AD158" s="109">
        <v>45394</v>
      </c>
      <c r="AE158" s="58"/>
    </row>
    <row r="159" spans="1:31" x14ac:dyDescent="0.15">
      <c r="A159" s="33" t="s">
        <v>177</v>
      </c>
      <c r="B159" s="9">
        <v>1</v>
      </c>
      <c r="C159" s="10"/>
      <c r="D159" s="10"/>
      <c r="E159" s="8">
        <f t="shared" si="92"/>
        <v>1</v>
      </c>
      <c r="F159" s="9"/>
      <c r="G159" s="10">
        <v>1</v>
      </c>
      <c r="H159" s="10"/>
      <c r="I159" s="8">
        <f t="shared" si="93"/>
        <v>1</v>
      </c>
      <c r="J159" s="9"/>
      <c r="K159" s="10"/>
      <c r="L159" s="10">
        <v>1</v>
      </c>
      <c r="M159" s="39">
        <f t="shared" si="94"/>
        <v>1</v>
      </c>
      <c r="N159" s="138">
        <f t="shared" si="95"/>
        <v>3</v>
      </c>
      <c r="O159" s="21">
        <v>45393</v>
      </c>
      <c r="P159" s="11" t="s">
        <v>181</v>
      </c>
      <c r="Q159" s="9">
        <v>5</v>
      </c>
      <c r="R159" s="10">
        <v>10</v>
      </c>
      <c r="S159" s="10">
        <v>10</v>
      </c>
      <c r="T159" s="8">
        <f t="shared" ref="T159:T165" si="105">SUM(Q159:S159)</f>
        <v>25</v>
      </c>
      <c r="U159" s="9">
        <v>5</v>
      </c>
      <c r="V159" s="10">
        <v>10</v>
      </c>
      <c r="W159" s="10">
        <v>10</v>
      </c>
      <c r="X159" s="8">
        <f t="shared" ref="X159:X165" si="106">SUM(U159:W159)</f>
        <v>25</v>
      </c>
      <c r="Y159" s="9">
        <v>5</v>
      </c>
      <c r="Z159" s="10">
        <v>10</v>
      </c>
      <c r="AA159" s="10">
        <v>10</v>
      </c>
      <c r="AB159" s="8">
        <f t="shared" ref="AB159:AB165" si="107">SUM(Y159:AA159)</f>
        <v>25</v>
      </c>
      <c r="AC159" s="86">
        <f t="shared" ref="AC159:AC165" si="108">T159+X159+AB159</f>
        <v>75</v>
      </c>
      <c r="AD159" s="109">
        <v>45397</v>
      </c>
      <c r="AE159" s="58"/>
    </row>
    <row r="160" spans="1:31" x14ac:dyDescent="0.15">
      <c r="A160" s="33" t="s">
        <v>180</v>
      </c>
      <c r="B160" s="9">
        <v>1</v>
      </c>
      <c r="C160" s="10">
        <v>2</v>
      </c>
      <c r="D160" s="10">
        <v>1</v>
      </c>
      <c r="E160" s="8">
        <f t="shared" si="92"/>
        <v>4</v>
      </c>
      <c r="F160" s="9">
        <v>1</v>
      </c>
      <c r="G160" s="10">
        <v>2</v>
      </c>
      <c r="H160" s="10">
        <v>1</v>
      </c>
      <c r="I160" s="8">
        <f t="shared" si="93"/>
        <v>4</v>
      </c>
      <c r="J160" s="9">
        <v>1</v>
      </c>
      <c r="K160" s="10">
        <v>2</v>
      </c>
      <c r="L160" s="10">
        <v>1</v>
      </c>
      <c r="M160" s="39">
        <f t="shared" si="94"/>
        <v>4</v>
      </c>
      <c r="N160" s="138">
        <f t="shared" si="95"/>
        <v>12</v>
      </c>
      <c r="O160" s="21">
        <v>45397</v>
      </c>
      <c r="P160" s="4" t="s">
        <v>178</v>
      </c>
      <c r="Q160" s="9"/>
      <c r="R160" s="10">
        <v>2</v>
      </c>
      <c r="S160" s="10"/>
      <c r="T160" s="8">
        <f t="shared" si="105"/>
        <v>2</v>
      </c>
      <c r="U160" s="9"/>
      <c r="V160" s="10">
        <v>2</v>
      </c>
      <c r="W160" s="10"/>
      <c r="X160" s="8">
        <f t="shared" si="106"/>
        <v>2</v>
      </c>
      <c r="Y160" s="9"/>
      <c r="Z160" s="10">
        <v>2</v>
      </c>
      <c r="AA160" s="10"/>
      <c r="AB160" s="8">
        <f t="shared" si="107"/>
        <v>2</v>
      </c>
      <c r="AC160" s="86">
        <f t="shared" si="108"/>
        <v>6</v>
      </c>
      <c r="AD160" s="109">
        <v>45394</v>
      </c>
      <c r="AE160" s="58"/>
    </row>
    <row r="161" spans="1:33" x14ac:dyDescent="0.15">
      <c r="A161" s="33" t="s">
        <v>185</v>
      </c>
      <c r="B161" s="9"/>
      <c r="C161" s="10"/>
      <c r="D161" s="10">
        <v>3</v>
      </c>
      <c r="E161" s="8">
        <f t="shared" si="92"/>
        <v>3</v>
      </c>
      <c r="F161" s="9"/>
      <c r="G161" s="10"/>
      <c r="H161" s="10">
        <v>3</v>
      </c>
      <c r="I161" s="8">
        <f t="shared" si="93"/>
        <v>3</v>
      </c>
      <c r="J161" s="9"/>
      <c r="K161" s="10"/>
      <c r="L161" s="10">
        <v>3</v>
      </c>
      <c r="M161" s="39">
        <f t="shared" si="94"/>
        <v>3</v>
      </c>
      <c r="N161" s="138">
        <f t="shared" si="95"/>
        <v>9</v>
      </c>
      <c r="O161" s="21">
        <v>45401</v>
      </c>
      <c r="P161" s="11" t="s">
        <v>179</v>
      </c>
      <c r="Q161" s="9">
        <v>5</v>
      </c>
      <c r="R161" s="10">
        <v>5</v>
      </c>
      <c r="S161" s="10">
        <v>5</v>
      </c>
      <c r="T161" s="8">
        <f t="shared" si="105"/>
        <v>15</v>
      </c>
      <c r="U161" s="9">
        <v>5</v>
      </c>
      <c r="V161" s="10">
        <v>5</v>
      </c>
      <c r="W161" s="10">
        <v>5</v>
      </c>
      <c r="X161" s="8">
        <f t="shared" si="106"/>
        <v>15</v>
      </c>
      <c r="Y161" s="9">
        <v>5</v>
      </c>
      <c r="Z161" s="10">
        <v>5</v>
      </c>
      <c r="AA161" s="10">
        <v>5</v>
      </c>
      <c r="AB161" s="8">
        <f t="shared" si="107"/>
        <v>15</v>
      </c>
      <c r="AC161" s="86">
        <f t="shared" si="108"/>
        <v>45</v>
      </c>
      <c r="AD161" s="109">
        <v>45394</v>
      </c>
      <c r="AE161" s="58"/>
    </row>
    <row r="162" spans="1:33" x14ac:dyDescent="0.15">
      <c r="A162" s="33" t="s">
        <v>186</v>
      </c>
      <c r="B162" s="9">
        <v>1</v>
      </c>
      <c r="C162" s="10"/>
      <c r="D162" s="10"/>
      <c r="E162" s="8">
        <f t="shared" si="92"/>
        <v>1</v>
      </c>
      <c r="F162" s="9">
        <v>1</v>
      </c>
      <c r="G162" s="10"/>
      <c r="H162" s="10"/>
      <c r="I162" s="8">
        <f t="shared" si="93"/>
        <v>1</v>
      </c>
      <c r="J162" s="9">
        <v>1</v>
      </c>
      <c r="K162" s="10"/>
      <c r="L162" s="10"/>
      <c r="M162" s="39">
        <f t="shared" si="94"/>
        <v>1</v>
      </c>
      <c r="N162" s="138">
        <f t="shared" si="95"/>
        <v>3</v>
      </c>
      <c r="O162" s="21">
        <v>45404</v>
      </c>
      <c r="P162" s="11" t="s">
        <v>182</v>
      </c>
      <c r="Q162" s="9">
        <v>2</v>
      </c>
      <c r="R162" s="10">
        <v>5</v>
      </c>
      <c r="S162" s="10">
        <v>2</v>
      </c>
      <c r="T162" s="8">
        <f t="shared" si="105"/>
        <v>9</v>
      </c>
      <c r="U162" s="9">
        <v>2</v>
      </c>
      <c r="V162" s="10">
        <v>5</v>
      </c>
      <c r="W162" s="10">
        <v>2</v>
      </c>
      <c r="X162" s="8">
        <f t="shared" si="106"/>
        <v>9</v>
      </c>
      <c r="Y162" s="9">
        <v>2</v>
      </c>
      <c r="Z162" s="10">
        <v>5</v>
      </c>
      <c r="AA162" s="10">
        <v>2</v>
      </c>
      <c r="AB162" s="8">
        <f t="shared" si="107"/>
        <v>9</v>
      </c>
      <c r="AC162" s="86">
        <f t="shared" si="108"/>
        <v>27</v>
      </c>
      <c r="AD162" s="109">
        <v>45399</v>
      </c>
    </row>
    <row r="163" spans="1:33" x14ac:dyDescent="0.15">
      <c r="A163" s="33" t="s">
        <v>188</v>
      </c>
      <c r="B163" s="9">
        <v>2</v>
      </c>
      <c r="C163" s="10"/>
      <c r="D163" s="10">
        <v>1</v>
      </c>
      <c r="E163" s="8">
        <f t="shared" si="92"/>
        <v>3</v>
      </c>
      <c r="F163" s="9">
        <v>2</v>
      </c>
      <c r="G163" s="10"/>
      <c r="H163" s="10">
        <v>1</v>
      </c>
      <c r="I163" s="8">
        <f t="shared" si="93"/>
        <v>3</v>
      </c>
      <c r="J163" s="9">
        <v>2</v>
      </c>
      <c r="K163" s="10"/>
      <c r="L163" s="10">
        <v>1</v>
      </c>
      <c r="M163" s="39">
        <f t="shared" si="94"/>
        <v>3</v>
      </c>
      <c r="N163" s="138">
        <f t="shared" si="95"/>
        <v>9</v>
      </c>
      <c r="O163" s="21">
        <v>45406</v>
      </c>
      <c r="P163" s="4" t="s">
        <v>183</v>
      </c>
      <c r="Q163" s="77"/>
      <c r="R163" s="78">
        <v>5</v>
      </c>
      <c r="S163" s="78"/>
      <c r="T163" s="5">
        <f t="shared" si="105"/>
        <v>5</v>
      </c>
      <c r="U163" s="77"/>
      <c r="V163" s="78">
        <v>5</v>
      </c>
      <c r="W163" s="78"/>
      <c r="X163" s="5">
        <f t="shared" si="106"/>
        <v>5</v>
      </c>
      <c r="Y163" s="77"/>
      <c r="Z163" s="78">
        <v>5</v>
      </c>
      <c r="AA163" s="78"/>
      <c r="AB163" s="5">
        <f t="shared" si="107"/>
        <v>5</v>
      </c>
      <c r="AC163" s="91">
        <f t="shared" si="108"/>
        <v>15</v>
      </c>
      <c r="AD163" s="109">
        <v>45400</v>
      </c>
      <c r="AE163" s="58"/>
      <c r="AF163" s="58"/>
      <c r="AG163" s="58"/>
    </row>
    <row r="164" spans="1:33" x14ac:dyDescent="0.15">
      <c r="A164" s="33" t="s">
        <v>36</v>
      </c>
      <c r="B164" s="9">
        <v>1</v>
      </c>
      <c r="C164" s="10"/>
      <c r="D164" s="10"/>
      <c r="E164" s="8">
        <f t="shared" si="92"/>
        <v>1</v>
      </c>
      <c r="F164" s="9">
        <v>1</v>
      </c>
      <c r="G164" s="10"/>
      <c r="H164" s="10"/>
      <c r="I164" s="8">
        <f t="shared" si="93"/>
        <v>1</v>
      </c>
      <c r="J164" s="9">
        <v>1</v>
      </c>
      <c r="K164" s="10"/>
      <c r="L164" s="10"/>
      <c r="M164" s="39">
        <f t="shared" si="94"/>
        <v>1</v>
      </c>
      <c r="N164" s="138">
        <f t="shared" si="95"/>
        <v>3</v>
      </c>
      <c r="O164" s="21">
        <v>45406</v>
      </c>
      <c r="P164" s="11" t="s">
        <v>184</v>
      </c>
      <c r="Q164" s="9">
        <v>11</v>
      </c>
      <c r="R164" s="10">
        <v>11</v>
      </c>
      <c r="S164" s="10">
        <v>16</v>
      </c>
      <c r="T164" s="8">
        <f t="shared" si="105"/>
        <v>38</v>
      </c>
      <c r="U164" s="9">
        <v>11</v>
      </c>
      <c r="V164" s="10">
        <v>11</v>
      </c>
      <c r="W164" s="10">
        <v>16</v>
      </c>
      <c r="X164" s="8">
        <f t="shared" si="106"/>
        <v>38</v>
      </c>
      <c r="Y164" s="9">
        <v>11</v>
      </c>
      <c r="Z164" s="10">
        <v>11</v>
      </c>
      <c r="AA164" s="10">
        <v>16</v>
      </c>
      <c r="AB164" s="8">
        <f t="shared" si="107"/>
        <v>38</v>
      </c>
      <c r="AC164" s="86">
        <f t="shared" si="108"/>
        <v>114</v>
      </c>
      <c r="AD164" s="109">
        <v>45401</v>
      </c>
      <c r="AE164" s="58"/>
      <c r="AF164" s="58"/>
      <c r="AG164" s="58"/>
    </row>
    <row r="165" spans="1:33" x14ac:dyDescent="0.15">
      <c r="A165" s="33" t="s">
        <v>36</v>
      </c>
      <c r="B165" s="9"/>
      <c r="C165" s="10"/>
      <c r="D165" s="10"/>
      <c r="E165" s="8">
        <f t="shared" si="92"/>
        <v>0</v>
      </c>
      <c r="F165" s="9"/>
      <c r="G165" s="10"/>
      <c r="H165" s="10"/>
      <c r="I165" s="8">
        <f t="shared" si="93"/>
        <v>0</v>
      </c>
      <c r="J165" s="9">
        <v>1</v>
      </c>
      <c r="K165" s="10"/>
      <c r="L165" s="10"/>
      <c r="M165" s="39">
        <f t="shared" si="94"/>
        <v>1</v>
      </c>
      <c r="N165" s="138">
        <f t="shared" si="95"/>
        <v>1</v>
      </c>
      <c r="O165" s="21">
        <v>45407</v>
      </c>
      <c r="P165" s="4"/>
      <c r="Q165" s="9"/>
      <c r="R165" s="10"/>
      <c r="S165" s="10"/>
      <c r="T165" s="8">
        <f t="shared" si="105"/>
        <v>0</v>
      </c>
      <c r="U165" s="9"/>
      <c r="V165" s="10"/>
      <c r="W165" s="10"/>
      <c r="X165" s="8">
        <f t="shared" si="106"/>
        <v>0</v>
      </c>
      <c r="Y165" s="9"/>
      <c r="Z165" s="10"/>
      <c r="AA165" s="10"/>
      <c r="AB165" s="8">
        <f t="shared" si="107"/>
        <v>0</v>
      </c>
      <c r="AC165" s="86">
        <f t="shared" si="108"/>
        <v>0</v>
      </c>
      <c r="AD165" s="109"/>
      <c r="AE165" s="58"/>
      <c r="AF165" s="58"/>
    </row>
    <row r="166" spans="1:33" x14ac:dyDescent="0.15">
      <c r="A166" s="33" t="s">
        <v>36</v>
      </c>
      <c r="B166" s="9"/>
      <c r="C166" s="10"/>
      <c r="D166" s="10">
        <v>1</v>
      </c>
      <c r="E166" s="8">
        <f t="shared" si="92"/>
        <v>1</v>
      </c>
      <c r="F166" s="9"/>
      <c r="G166" s="10"/>
      <c r="H166" s="10"/>
      <c r="I166" s="8">
        <f t="shared" si="93"/>
        <v>0</v>
      </c>
      <c r="J166" s="9"/>
      <c r="K166" s="10"/>
      <c r="L166" s="10"/>
      <c r="M166" s="39">
        <f t="shared" si="94"/>
        <v>0</v>
      </c>
      <c r="N166" s="138">
        <f t="shared" si="95"/>
        <v>1</v>
      </c>
      <c r="O166" s="21">
        <v>45408</v>
      </c>
      <c r="P166" s="4"/>
      <c r="Q166" s="9"/>
      <c r="R166" s="10"/>
      <c r="S166" s="10"/>
      <c r="T166" s="8">
        <f t="shared" ref="T166:T167" si="109">SUM(Q166:S166)</f>
        <v>0</v>
      </c>
      <c r="U166" s="9"/>
      <c r="V166" s="10"/>
      <c r="W166" s="10"/>
      <c r="X166" s="8">
        <f t="shared" ref="X166:X167" si="110">SUM(U166:W166)</f>
        <v>0</v>
      </c>
      <c r="Y166" s="9"/>
      <c r="Z166" s="10"/>
      <c r="AA166" s="10"/>
      <c r="AB166" s="8">
        <f t="shared" ref="AB166:AB167" si="111">SUM(Y166:AA166)</f>
        <v>0</v>
      </c>
      <c r="AC166" s="86">
        <f t="shared" ref="AC166:AC167" si="112">T166+X166+AB166</f>
        <v>0</v>
      </c>
      <c r="AD166" s="109"/>
    </row>
    <row r="167" spans="1:33" x14ac:dyDescent="0.15">
      <c r="A167" s="33" t="s">
        <v>36</v>
      </c>
      <c r="B167" s="9"/>
      <c r="C167" s="10"/>
      <c r="D167" s="10"/>
      <c r="E167" s="8">
        <f t="shared" si="92"/>
        <v>0</v>
      </c>
      <c r="F167" s="9">
        <v>1</v>
      </c>
      <c r="G167" s="10"/>
      <c r="H167" s="10"/>
      <c r="I167" s="8">
        <f t="shared" si="93"/>
        <v>1</v>
      </c>
      <c r="J167" s="9"/>
      <c r="K167" s="10"/>
      <c r="L167" s="10"/>
      <c r="M167" s="39">
        <f t="shared" si="94"/>
        <v>0</v>
      </c>
      <c r="N167" s="138">
        <f t="shared" si="95"/>
        <v>1</v>
      </c>
      <c r="O167" s="21">
        <v>45412</v>
      </c>
      <c r="P167" s="11" t="s">
        <v>187</v>
      </c>
      <c r="Q167" s="9"/>
      <c r="R167" s="10"/>
      <c r="S167" s="10"/>
      <c r="T167" s="8">
        <f t="shared" si="109"/>
        <v>0</v>
      </c>
      <c r="U167" s="9"/>
      <c r="V167" s="10"/>
      <c r="W167" s="10"/>
      <c r="X167" s="8">
        <f t="shared" si="110"/>
        <v>0</v>
      </c>
      <c r="Y167" s="9"/>
      <c r="Z167" s="10"/>
      <c r="AA167" s="10"/>
      <c r="AB167" s="8">
        <f t="shared" si="111"/>
        <v>0</v>
      </c>
      <c r="AC167" s="86">
        <f t="shared" si="112"/>
        <v>0</v>
      </c>
      <c r="AD167" s="116" t="s">
        <v>111</v>
      </c>
    </row>
    <row r="168" spans="1:33" x14ac:dyDescent="0.15">
      <c r="A168" s="33" t="s">
        <v>216</v>
      </c>
      <c r="B168" s="9">
        <v>-1</v>
      </c>
      <c r="C168" s="10">
        <v>-1</v>
      </c>
      <c r="D168" s="10">
        <v>-1</v>
      </c>
      <c r="E168" s="8">
        <f t="shared" si="92"/>
        <v>-3</v>
      </c>
      <c r="F168" s="9">
        <v>-1</v>
      </c>
      <c r="G168" s="10">
        <v>-1</v>
      </c>
      <c r="H168" s="10">
        <v>-1</v>
      </c>
      <c r="I168" s="8">
        <f t="shared" si="93"/>
        <v>-3</v>
      </c>
      <c r="J168" s="9">
        <v>-1</v>
      </c>
      <c r="K168" s="10">
        <v>-1</v>
      </c>
      <c r="L168" s="10">
        <v>-1</v>
      </c>
      <c r="M168" s="39">
        <f t="shared" si="94"/>
        <v>-3</v>
      </c>
      <c r="N168" s="138">
        <f t="shared" si="95"/>
        <v>-9</v>
      </c>
      <c r="O168" s="21">
        <v>45433</v>
      </c>
      <c r="P168" s="11" t="s">
        <v>104</v>
      </c>
      <c r="Q168" s="9">
        <f>30-8-11-11</f>
        <v>0</v>
      </c>
      <c r="R168" s="10">
        <f>30-11-4-11-4</f>
        <v>0</v>
      </c>
      <c r="S168" s="10">
        <f>20-8-11-1</f>
        <v>0</v>
      </c>
      <c r="T168" s="8">
        <f t="shared" si="87"/>
        <v>0</v>
      </c>
      <c r="U168" s="9">
        <f>30-8-11-11</f>
        <v>0</v>
      </c>
      <c r="V168" s="10">
        <f>30-11-4-11-4</f>
        <v>0</v>
      </c>
      <c r="W168" s="10">
        <f>20-8-11-1</f>
        <v>0</v>
      </c>
      <c r="X168" s="8">
        <f t="shared" si="88"/>
        <v>0</v>
      </c>
      <c r="Y168" s="9">
        <f>30-8-11-11</f>
        <v>0</v>
      </c>
      <c r="Z168" s="10">
        <f>30-11-4-11-4</f>
        <v>0</v>
      </c>
      <c r="AA168" s="10">
        <f>20-8-11-1</f>
        <v>0</v>
      </c>
      <c r="AB168" s="8">
        <f t="shared" si="89"/>
        <v>0</v>
      </c>
      <c r="AC168" s="86">
        <f t="shared" si="90"/>
        <v>0</v>
      </c>
      <c r="AD168" s="116" t="s">
        <v>102</v>
      </c>
    </row>
    <row r="169" spans="1:33" ht="14.25" thickBot="1" x14ac:dyDescent="0.2">
      <c r="A169" s="63"/>
      <c r="B169" s="9"/>
      <c r="C169" s="10"/>
      <c r="D169" s="22"/>
      <c r="E169" s="8">
        <f t="shared" si="92"/>
        <v>0</v>
      </c>
      <c r="F169" s="9"/>
      <c r="G169" s="10"/>
      <c r="H169" s="22"/>
      <c r="I169" s="8">
        <f t="shared" si="93"/>
        <v>0</v>
      </c>
      <c r="J169" s="9"/>
      <c r="K169" s="10"/>
      <c r="L169" s="22"/>
      <c r="M169" s="39">
        <f t="shared" si="94"/>
        <v>0</v>
      </c>
      <c r="N169" s="139">
        <f t="shared" si="95"/>
        <v>0</v>
      </c>
      <c r="O169" s="21"/>
      <c r="P169" s="11" t="s">
        <v>122</v>
      </c>
      <c r="Q169" s="60"/>
      <c r="R169" s="61"/>
      <c r="S169" s="61"/>
      <c r="T169" s="8">
        <f t="shared" si="87"/>
        <v>0</v>
      </c>
      <c r="U169" s="60"/>
      <c r="V169" s="61"/>
      <c r="W169" s="61"/>
      <c r="X169" s="8">
        <f t="shared" si="88"/>
        <v>0</v>
      </c>
      <c r="Y169" s="9"/>
      <c r="Z169" s="10"/>
      <c r="AA169" s="10"/>
      <c r="AB169" s="8">
        <f t="shared" si="89"/>
        <v>0</v>
      </c>
      <c r="AC169" s="86">
        <f t="shared" si="90"/>
        <v>0</v>
      </c>
      <c r="AD169" s="109" t="s">
        <v>123</v>
      </c>
    </row>
    <row r="170" spans="1:33" ht="14.25" thickBot="1" x14ac:dyDescent="0.2">
      <c r="A170" s="104" t="s">
        <v>5</v>
      </c>
      <c r="B170" s="12">
        <f>SUM(B146:B169)</f>
        <v>7</v>
      </c>
      <c r="C170" s="12">
        <f>SUM(C146:C169)</f>
        <v>5</v>
      </c>
      <c r="D170" s="12">
        <f>SUM(D146:D169)</f>
        <v>10</v>
      </c>
      <c r="E170" s="13">
        <f t="shared" si="92"/>
        <v>22</v>
      </c>
      <c r="F170" s="12">
        <f>SUM(F146:F169)</f>
        <v>8</v>
      </c>
      <c r="G170" s="12">
        <f>SUM(G146:G169)</f>
        <v>10</v>
      </c>
      <c r="H170" s="12">
        <f>SUM(H146:H169)</f>
        <v>8</v>
      </c>
      <c r="I170" s="13">
        <f t="shared" si="93"/>
        <v>26</v>
      </c>
      <c r="J170" s="12">
        <f>SUM(J146:J169)</f>
        <v>9</v>
      </c>
      <c r="K170" s="12">
        <f>SUM(K146:K169)</f>
        <v>6</v>
      </c>
      <c r="L170" s="12">
        <f>SUM(L146:L169)</f>
        <v>8</v>
      </c>
      <c r="M170" s="12">
        <f t="shared" si="94"/>
        <v>23</v>
      </c>
      <c r="N170" s="142">
        <f t="shared" si="95"/>
        <v>71</v>
      </c>
      <c r="O170" s="1"/>
      <c r="P170" s="3" t="s">
        <v>5</v>
      </c>
      <c r="Q170" s="12">
        <f>SUM(Q146:Q169)</f>
        <v>148</v>
      </c>
      <c r="R170" s="12">
        <f>SUM(R146:R169)</f>
        <v>224</v>
      </c>
      <c r="S170" s="12">
        <f>SUM(S146:S169)</f>
        <v>184</v>
      </c>
      <c r="T170" s="13">
        <f t="shared" si="87"/>
        <v>556</v>
      </c>
      <c r="U170" s="12">
        <f>SUM(U146:U169)</f>
        <v>158</v>
      </c>
      <c r="V170" s="12">
        <f>SUM(V146:V169)</f>
        <v>234</v>
      </c>
      <c r="W170" s="12">
        <f>SUM(W146:W169)</f>
        <v>184</v>
      </c>
      <c r="X170" s="13">
        <f t="shared" si="88"/>
        <v>576</v>
      </c>
      <c r="Y170" s="12">
        <f>SUM(Y146:Y169)</f>
        <v>158</v>
      </c>
      <c r="Z170" s="12">
        <f>SUM(Z146:Z169)</f>
        <v>234</v>
      </c>
      <c r="AA170" s="12">
        <f>SUM(AA146:AA169)</f>
        <v>184</v>
      </c>
      <c r="AB170" s="13">
        <f t="shared" si="89"/>
        <v>576</v>
      </c>
      <c r="AC170" s="88">
        <f t="shared" si="90"/>
        <v>1708</v>
      </c>
    </row>
    <row r="171" spans="1:33" ht="14.25" thickBot="1" x14ac:dyDescent="0.2">
      <c r="A171" s="105" t="s">
        <v>6</v>
      </c>
      <c r="B171" s="20">
        <f>B145-B170</f>
        <v>10</v>
      </c>
      <c r="C171" s="20">
        <f t="shared" ref="C171:E171" si="113">C145-C170</f>
        <v>8</v>
      </c>
      <c r="D171" s="20">
        <f t="shared" si="113"/>
        <v>9</v>
      </c>
      <c r="E171" s="18">
        <f t="shared" si="113"/>
        <v>27</v>
      </c>
      <c r="F171" s="20">
        <f>F145-F170</f>
        <v>13</v>
      </c>
      <c r="G171" s="20">
        <f t="shared" ref="G171:I171" si="114">G145-G170</f>
        <v>11</v>
      </c>
      <c r="H171" s="20">
        <f t="shared" si="114"/>
        <v>9</v>
      </c>
      <c r="I171" s="18">
        <f t="shared" si="114"/>
        <v>33</v>
      </c>
      <c r="J171" s="20">
        <f>J145-J170</f>
        <v>13</v>
      </c>
      <c r="K171" s="20">
        <f t="shared" ref="K171:M171" si="115">K145-K170</f>
        <v>18</v>
      </c>
      <c r="L171" s="20">
        <f t="shared" si="115"/>
        <v>9</v>
      </c>
      <c r="M171" s="20">
        <f t="shared" si="115"/>
        <v>40</v>
      </c>
      <c r="N171" s="140">
        <f t="shared" si="95"/>
        <v>100</v>
      </c>
      <c r="O171" s="1"/>
      <c r="P171" s="19" t="s">
        <v>6</v>
      </c>
      <c r="Q171" s="20">
        <f>Q145-Q170</f>
        <v>292</v>
      </c>
      <c r="R171" s="20">
        <f t="shared" ref="R171:T171" si="116">R145-R170</f>
        <v>195</v>
      </c>
      <c r="S171" s="20">
        <f t="shared" si="116"/>
        <v>32</v>
      </c>
      <c r="T171" s="18">
        <f t="shared" si="116"/>
        <v>519</v>
      </c>
      <c r="U171" s="20">
        <f>U145-U170</f>
        <v>317</v>
      </c>
      <c r="V171" s="20">
        <f t="shared" ref="V171:X171" si="117">V145-V170</f>
        <v>210</v>
      </c>
      <c r="W171" s="20">
        <f t="shared" si="117"/>
        <v>52</v>
      </c>
      <c r="X171" s="18">
        <f t="shared" si="117"/>
        <v>579</v>
      </c>
      <c r="Y171" s="20">
        <f>Y145-Y170</f>
        <v>297</v>
      </c>
      <c r="Z171" s="20">
        <f t="shared" ref="Z171:AB171" si="118">Z145-Z170</f>
        <v>185</v>
      </c>
      <c r="AA171" s="20">
        <f t="shared" si="118"/>
        <v>27</v>
      </c>
      <c r="AB171" s="18">
        <f t="shared" si="118"/>
        <v>509</v>
      </c>
      <c r="AC171" s="88">
        <f t="shared" si="90"/>
        <v>1607</v>
      </c>
    </row>
    <row r="172" spans="1:33" x14ac:dyDescent="0.15">
      <c r="Q172" s="64"/>
      <c r="R172" s="64"/>
      <c r="S172" s="64"/>
      <c r="T172" s="64"/>
    </row>
    <row r="173" spans="1:33" x14ac:dyDescent="0.15">
      <c r="Q173" s="66"/>
      <c r="R173" s="66"/>
      <c r="S173" s="66"/>
      <c r="T173" s="66"/>
    </row>
    <row r="174" spans="1:33" ht="19.5" thickBot="1" x14ac:dyDescent="0.25">
      <c r="A174" s="108" t="s">
        <v>264</v>
      </c>
      <c r="B174" s="47"/>
      <c r="C174" s="47"/>
      <c r="D174" s="47"/>
      <c r="E174" s="47"/>
      <c r="F174" s="48"/>
      <c r="G174" s="48"/>
      <c r="H174" s="48"/>
      <c r="I174" s="48"/>
      <c r="J174" s="48"/>
      <c r="K174" s="48"/>
      <c r="L174" s="1"/>
      <c r="M174" s="1"/>
      <c r="N174" s="137"/>
      <c r="O174" s="1"/>
      <c r="P174" s="43" t="s">
        <v>263</v>
      </c>
      <c r="Q174" s="44"/>
      <c r="R174" s="44"/>
      <c r="S174" s="44"/>
      <c r="T174" s="44"/>
      <c r="U174" s="45"/>
      <c r="V174" s="45"/>
      <c r="W174" s="45"/>
      <c r="X174" s="45"/>
      <c r="Y174" s="46"/>
      <c r="Z174" s="53"/>
      <c r="AA174" s="1"/>
      <c r="AB174" s="1"/>
    </row>
    <row r="175" spans="1:33" ht="14.25" thickBot="1" x14ac:dyDescent="0.2">
      <c r="A175" s="100" t="s">
        <v>0</v>
      </c>
      <c r="B175" s="337" t="s">
        <v>11</v>
      </c>
      <c r="C175" s="337"/>
      <c r="D175" s="337"/>
      <c r="E175" s="338"/>
      <c r="F175" s="339" t="s">
        <v>9</v>
      </c>
      <c r="G175" s="340"/>
      <c r="H175" s="340"/>
      <c r="I175" s="341"/>
      <c r="J175" s="342" t="s">
        <v>12</v>
      </c>
      <c r="K175" s="343"/>
      <c r="L175" s="343"/>
      <c r="M175" s="343"/>
      <c r="N175" s="347" t="s">
        <v>13</v>
      </c>
      <c r="O175" s="1"/>
      <c r="P175" s="2" t="s">
        <v>0</v>
      </c>
      <c r="Q175" s="337" t="s">
        <v>11</v>
      </c>
      <c r="R175" s="337"/>
      <c r="S175" s="337"/>
      <c r="T175" s="338"/>
      <c r="U175" s="339" t="s">
        <v>9</v>
      </c>
      <c r="V175" s="340"/>
      <c r="W175" s="340"/>
      <c r="X175" s="341"/>
      <c r="Y175" s="342" t="s">
        <v>12</v>
      </c>
      <c r="Z175" s="343"/>
      <c r="AA175" s="343"/>
      <c r="AB175" s="343"/>
      <c r="AC175" s="345" t="s">
        <v>13</v>
      </c>
    </row>
    <row r="176" spans="1:33" ht="14.25" thickBot="1" x14ac:dyDescent="0.2">
      <c r="A176" s="100" t="s">
        <v>1</v>
      </c>
      <c r="B176" s="3" t="s">
        <v>7</v>
      </c>
      <c r="C176" s="2" t="s">
        <v>10</v>
      </c>
      <c r="D176" s="2" t="s">
        <v>8</v>
      </c>
      <c r="E176" s="2" t="s">
        <v>2</v>
      </c>
      <c r="F176" s="3" t="s">
        <v>7</v>
      </c>
      <c r="G176" s="2" t="s">
        <v>10</v>
      </c>
      <c r="H176" s="2" t="s">
        <v>8</v>
      </c>
      <c r="I176" s="2" t="s">
        <v>2</v>
      </c>
      <c r="J176" s="3" t="s">
        <v>7</v>
      </c>
      <c r="K176" s="2" t="s">
        <v>10</v>
      </c>
      <c r="L176" s="2" t="s">
        <v>8</v>
      </c>
      <c r="M176" s="3" t="s">
        <v>2</v>
      </c>
      <c r="N176" s="348"/>
      <c r="O176" s="1"/>
      <c r="P176" s="2" t="s">
        <v>1</v>
      </c>
      <c r="Q176" s="3" t="s">
        <v>7</v>
      </c>
      <c r="R176" s="2" t="s">
        <v>10</v>
      </c>
      <c r="S176" s="2" t="s">
        <v>8</v>
      </c>
      <c r="T176" s="2" t="s">
        <v>2</v>
      </c>
      <c r="U176" s="3" t="s">
        <v>7</v>
      </c>
      <c r="V176" s="2" t="s">
        <v>10</v>
      </c>
      <c r="W176" s="2" t="s">
        <v>8</v>
      </c>
      <c r="X176" s="2" t="s">
        <v>2</v>
      </c>
      <c r="Y176" s="3" t="s">
        <v>7</v>
      </c>
      <c r="Z176" s="2" t="s">
        <v>10</v>
      </c>
      <c r="AA176" s="2" t="s">
        <v>8</v>
      </c>
      <c r="AB176" s="2" t="s">
        <v>2</v>
      </c>
      <c r="AC176" s="346"/>
    </row>
    <row r="177" spans="1:32" x14ac:dyDescent="0.15">
      <c r="A177" s="106" t="s">
        <v>6</v>
      </c>
      <c r="B177" s="41">
        <f>B171</f>
        <v>10</v>
      </c>
      <c r="C177" s="41">
        <f t="shared" ref="C177:E177" si="119">C171</f>
        <v>8</v>
      </c>
      <c r="D177" s="41">
        <f t="shared" si="119"/>
        <v>9</v>
      </c>
      <c r="E177" s="42">
        <f t="shared" si="119"/>
        <v>27</v>
      </c>
      <c r="F177" s="41">
        <f>F171</f>
        <v>13</v>
      </c>
      <c r="G177" s="41">
        <f t="shared" ref="G177:I177" si="120">G171</f>
        <v>11</v>
      </c>
      <c r="H177" s="41">
        <f t="shared" si="120"/>
        <v>9</v>
      </c>
      <c r="I177" s="42">
        <f t="shared" si="120"/>
        <v>33</v>
      </c>
      <c r="J177" s="41">
        <f>J171</f>
        <v>13</v>
      </c>
      <c r="K177" s="41">
        <f t="shared" ref="K177:M177" si="121">K171</f>
        <v>18</v>
      </c>
      <c r="L177" s="41">
        <f t="shared" si="121"/>
        <v>9</v>
      </c>
      <c r="M177" s="42">
        <f t="shared" si="121"/>
        <v>40</v>
      </c>
      <c r="N177" s="143">
        <f>E177+I177+M177</f>
        <v>100</v>
      </c>
      <c r="O177" s="24"/>
      <c r="P177" s="36" t="s">
        <v>6</v>
      </c>
      <c r="Q177" s="41">
        <f>Q171</f>
        <v>292</v>
      </c>
      <c r="R177" s="41">
        <f t="shared" ref="R177:T177" si="122">R171</f>
        <v>195</v>
      </c>
      <c r="S177" s="41">
        <f t="shared" si="122"/>
        <v>32</v>
      </c>
      <c r="T177" s="42">
        <f t="shared" si="122"/>
        <v>519</v>
      </c>
      <c r="U177" s="41">
        <f>U171</f>
        <v>317</v>
      </c>
      <c r="V177" s="41">
        <f t="shared" ref="V177:X177" si="123">V171</f>
        <v>210</v>
      </c>
      <c r="W177" s="41">
        <f t="shared" si="123"/>
        <v>52</v>
      </c>
      <c r="X177" s="42">
        <f t="shared" si="123"/>
        <v>579</v>
      </c>
      <c r="Y177" s="41">
        <f>Y171</f>
        <v>297</v>
      </c>
      <c r="Z177" s="41">
        <f t="shared" ref="Z177:AB177" si="124">Z171</f>
        <v>185</v>
      </c>
      <c r="AA177" s="41">
        <f t="shared" si="124"/>
        <v>27</v>
      </c>
      <c r="AB177" s="42">
        <f t="shared" si="124"/>
        <v>509</v>
      </c>
      <c r="AC177" s="90">
        <f>T177+X177+AB177</f>
        <v>1607</v>
      </c>
    </row>
    <row r="178" spans="1:32" x14ac:dyDescent="0.15">
      <c r="A178" s="102" t="s">
        <v>57</v>
      </c>
      <c r="B178" s="25">
        <v>1</v>
      </c>
      <c r="C178" s="26">
        <v>1</v>
      </c>
      <c r="D178" s="26"/>
      <c r="E178" s="5">
        <f t="shared" ref="E178:E213" si="125">SUM(B178:D178)</f>
        <v>2</v>
      </c>
      <c r="F178" s="25">
        <v>1</v>
      </c>
      <c r="G178" s="26">
        <v>1</v>
      </c>
      <c r="H178" s="26"/>
      <c r="I178" s="5">
        <f t="shared" ref="I178:I213" si="126">SUM(F178:H178)</f>
        <v>2</v>
      </c>
      <c r="J178" s="25">
        <v>1</v>
      </c>
      <c r="K178" s="26"/>
      <c r="L178" s="26"/>
      <c r="M178" s="38">
        <f t="shared" ref="M178:M213" si="127">SUM(J178:L178)</f>
        <v>1</v>
      </c>
      <c r="N178" s="138">
        <f t="shared" ref="N178:N214" si="128">E178+I178+M178</f>
        <v>5</v>
      </c>
      <c r="O178" s="24">
        <v>45421</v>
      </c>
      <c r="P178" s="6" t="s">
        <v>195</v>
      </c>
      <c r="Q178" s="14">
        <v>16</v>
      </c>
      <c r="R178" s="11">
        <v>1</v>
      </c>
      <c r="S178" s="11">
        <v>12</v>
      </c>
      <c r="T178" s="5">
        <f t="shared" ref="T178:T213" si="129">SUM(Q178:S178)</f>
        <v>29</v>
      </c>
      <c r="U178" s="14">
        <v>5</v>
      </c>
      <c r="V178" s="11">
        <v>8</v>
      </c>
      <c r="W178" s="11">
        <v>8</v>
      </c>
      <c r="X178" s="5">
        <f t="shared" ref="X178:X213" si="130">SUM(U178:W178)</f>
        <v>21</v>
      </c>
      <c r="Y178" s="25">
        <v>6</v>
      </c>
      <c r="Z178" s="26">
        <v>12</v>
      </c>
      <c r="AA178" s="26">
        <v>10</v>
      </c>
      <c r="AB178" s="5">
        <f t="shared" ref="AB178:AB213" si="131">SUM(Y178:AA178)</f>
        <v>28</v>
      </c>
      <c r="AC178" s="86">
        <f t="shared" ref="AC178:AC214" si="132">T178+X178+AB178</f>
        <v>78</v>
      </c>
      <c r="AD178" s="109">
        <v>45429</v>
      </c>
    </row>
    <row r="179" spans="1:32" x14ac:dyDescent="0.15">
      <c r="A179" s="102" t="s">
        <v>3</v>
      </c>
      <c r="B179" s="14">
        <v>10</v>
      </c>
      <c r="C179" s="11">
        <v>10</v>
      </c>
      <c r="D179" s="11">
        <v>14</v>
      </c>
      <c r="E179" s="5">
        <f t="shared" si="125"/>
        <v>34</v>
      </c>
      <c r="F179" s="34"/>
      <c r="G179" s="11">
        <v>10</v>
      </c>
      <c r="H179" s="11">
        <v>10</v>
      </c>
      <c r="I179" s="5">
        <f t="shared" si="126"/>
        <v>20</v>
      </c>
      <c r="J179" s="34"/>
      <c r="K179" s="11"/>
      <c r="L179" s="11">
        <v>9</v>
      </c>
      <c r="M179" s="38">
        <f t="shared" si="127"/>
        <v>9</v>
      </c>
      <c r="N179" s="138">
        <f t="shared" si="128"/>
        <v>63</v>
      </c>
      <c r="O179" s="21">
        <v>45423</v>
      </c>
      <c r="P179" s="6" t="s">
        <v>3</v>
      </c>
      <c r="Q179" s="25"/>
      <c r="R179" s="26"/>
      <c r="S179" s="26"/>
      <c r="T179" s="8">
        <f t="shared" si="129"/>
        <v>0</v>
      </c>
      <c r="U179" s="25"/>
      <c r="V179" s="26"/>
      <c r="W179" s="26"/>
      <c r="X179" s="8">
        <f t="shared" si="130"/>
        <v>0</v>
      </c>
      <c r="Y179" s="34"/>
      <c r="Z179" s="11"/>
      <c r="AA179" s="11"/>
      <c r="AB179" s="5">
        <f t="shared" si="131"/>
        <v>0</v>
      </c>
      <c r="AC179" s="86">
        <f t="shared" si="132"/>
        <v>0</v>
      </c>
    </row>
    <row r="180" spans="1:32" x14ac:dyDescent="0.15">
      <c r="A180" s="102" t="s">
        <v>3</v>
      </c>
      <c r="B180" s="14"/>
      <c r="C180" s="11"/>
      <c r="D180" s="11"/>
      <c r="E180" s="5">
        <f t="shared" si="125"/>
        <v>0</v>
      </c>
      <c r="F180" s="34">
        <v>10</v>
      </c>
      <c r="G180" s="11"/>
      <c r="H180" s="11"/>
      <c r="I180" s="5">
        <f t="shared" si="126"/>
        <v>10</v>
      </c>
      <c r="J180" s="34">
        <v>10</v>
      </c>
      <c r="K180" s="11"/>
      <c r="L180" s="11"/>
      <c r="M180" s="38">
        <f t="shared" si="127"/>
        <v>10</v>
      </c>
      <c r="N180" s="138">
        <f t="shared" si="128"/>
        <v>20</v>
      </c>
      <c r="O180" s="21">
        <v>45437</v>
      </c>
      <c r="P180" s="6" t="s">
        <v>3</v>
      </c>
      <c r="Q180" s="14"/>
      <c r="R180" s="11"/>
      <c r="S180" s="11">
        <v>50</v>
      </c>
      <c r="T180" s="5">
        <f t="shared" si="129"/>
        <v>50</v>
      </c>
      <c r="U180" s="14"/>
      <c r="V180" s="11"/>
      <c r="W180" s="11">
        <v>50</v>
      </c>
      <c r="X180" s="5">
        <f t="shared" si="130"/>
        <v>50</v>
      </c>
      <c r="Y180" s="34"/>
      <c r="Z180" s="11"/>
      <c r="AA180" s="11">
        <v>50</v>
      </c>
      <c r="AB180" s="5">
        <f t="shared" si="131"/>
        <v>50</v>
      </c>
      <c r="AC180" s="86">
        <f t="shared" si="132"/>
        <v>150</v>
      </c>
      <c r="AD180" s="109" t="s">
        <v>203</v>
      </c>
    </row>
    <row r="181" spans="1:32" x14ac:dyDescent="0.15">
      <c r="A181" s="102" t="s">
        <v>3</v>
      </c>
      <c r="B181" s="14"/>
      <c r="C181" s="11"/>
      <c r="D181" s="11">
        <v>8</v>
      </c>
      <c r="E181" s="5">
        <f t="shared" si="125"/>
        <v>8</v>
      </c>
      <c r="F181" s="34"/>
      <c r="G181" s="11"/>
      <c r="H181" s="11">
        <v>10</v>
      </c>
      <c r="I181" s="5">
        <f t="shared" si="126"/>
        <v>10</v>
      </c>
      <c r="J181" s="34"/>
      <c r="K181" s="11"/>
      <c r="L181" s="11">
        <v>6</v>
      </c>
      <c r="M181" s="38">
        <f t="shared" si="127"/>
        <v>6</v>
      </c>
      <c r="N181" s="138">
        <f t="shared" si="128"/>
        <v>24</v>
      </c>
      <c r="O181" s="21">
        <v>45440</v>
      </c>
      <c r="P181" s="6" t="s">
        <v>3</v>
      </c>
      <c r="Q181" s="14"/>
      <c r="R181" s="11"/>
      <c r="S181" s="11"/>
      <c r="T181" s="5">
        <f t="shared" ref="T181" si="133">SUM(Q181:S181)</f>
        <v>0</v>
      </c>
      <c r="U181" s="14"/>
      <c r="V181" s="11"/>
      <c r="W181" s="11"/>
      <c r="X181" s="5">
        <f t="shared" ref="X181" si="134">SUM(U181:W181)</f>
        <v>0</v>
      </c>
      <c r="Y181" s="34"/>
      <c r="Z181" s="11"/>
      <c r="AA181" s="11"/>
      <c r="AB181" s="5">
        <f t="shared" ref="AB181" si="135">SUM(Y181:AA181)</f>
        <v>0</v>
      </c>
      <c r="AC181" s="86">
        <f t="shared" ref="AC181" si="136">T181+X181+AB181</f>
        <v>0</v>
      </c>
    </row>
    <row r="182" spans="1:32" x14ac:dyDescent="0.15">
      <c r="A182" s="102" t="s">
        <v>3</v>
      </c>
      <c r="B182" s="14">
        <v>10</v>
      </c>
      <c r="C182" s="11">
        <v>10</v>
      </c>
      <c r="D182" s="11">
        <v>10</v>
      </c>
      <c r="E182" s="5">
        <f t="shared" si="125"/>
        <v>30</v>
      </c>
      <c r="F182" s="34">
        <v>10</v>
      </c>
      <c r="G182" s="11">
        <v>10</v>
      </c>
      <c r="H182" s="11">
        <v>10</v>
      </c>
      <c r="I182" s="5">
        <f t="shared" si="126"/>
        <v>30</v>
      </c>
      <c r="J182" s="34"/>
      <c r="K182" s="11">
        <v>10</v>
      </c>
      <c r="L182" s="11">
        <v>10</v>
      </c>
      <c r="M182" s="38">
        <f t="shared" si="127"/>
        <v>20</v>
      </c>
      <c r="N182" s="138">
        <f t="shared" si="128"/>
        <v>80</v>
      </c>
      <c r="O182" s="21">
        <v>45448</v>
      </c>
      <c r="P182" s="6" t="s">
        <v>3</v>
      </c>
      <c r="Q182" s="14"/>
      <c r="R182" s="11"/>
      <c r="S182" s="11"/>
      <c r="T182" s="5">
        <f t="shared" si="129"/>
        <v>0</v>
      </c>
      <c r="U182" s="14"/>
      <c r="V182" s="11"/>
      <c r="W182" s="11"/>
      <c r="X182" s="5">
        <f t="shared" si="130"/>
        <v>0</v>
      </c>
      <c r="Y182" s="34"/>
      <c r="Z182" s="11"/>
      <c r="AA182" s="11"/>
      <c r="AB182" s="5">
        <f t="shared" si="131"/>
        <v>0</v>
      </c>
      <c r="AC182" s="86">
        <f t="shared" si="132"/>
        <v>0</v>
      </c>
    </row>
    <row r="183" spans="1:32" x14ac:dyDescent="0.15">
      <c r="A183" s="102" t="s">
        <v>3</v>
      </c>
      <c r="B183" s="25"/>
      <c r="C183" s="26"/>
      <c r="D183" s="26"/>
      <c r="E183" s="8">
        <f t="shared" si="125"/>
        <v>0</v>
      </c>
      <c r="F183" s="25"/>
      <c r="G183" s="26"/>
      <c r="H183" s="26"/>
      <c r="I183" s="8">
        <f t="shared" si="126"/>
        <v>0</v>
      </c>
      <c r="J183" s="25"/>
      <c r="K183" s="26"/>
      <c r="L183" s="26"/>
      <c r="M183" s="39">
        <f t="shared" si="127"/>
        <v>0</v>
      </c>
      <c r="N183" s="138">
        <f t="shared" si="128"/>
        <v>0</v>
      </c>
      <c r="O183" s="24"/>
      <c r="P183" s="6" t="s">
        <v>3</v>
      </c>
      <c r="Q183" s="14"/>
      <c r="R183" s="11"/>
      <c r="S183" s="11"/>
      <c r="T183" s="5">
        <f t="shared" si="129"/>
        <v>0</v>
      </c>
      <c r="U183" s="14"/>
      <c r="V183" s="11"/>
      <c r="W183" s="11"/>
      <c r="X183" s="5">
        <f t="shared" si="130"/>
        <v>0</v>
      </c>
      <c r="Y183" s="25"/>
      <c r="Z183" s="26"/>
      <c r="AA183" s="26"/>
      <c r="AB183" s="8">
        <f t="shared" si="131"/>
        <v>0</v>
      </c>
      <c r="AC183" s="86">
        <f t="shared" si="132"/>
        <v>0</v>
      </c>
    </row>
    <row r="184" spans="1:32" x14ac:dyDescent="0.15">
      <c r="A184" s="102" t="s">
        <v>3</v>
      </c>
      <c r="B184" s="27"/>
      <c r="C184" s="26"/>
      <c r="D184" s="26"/>
      <c r="E184" s="5">
        <f t="shared" si="125"/>
        <v>0</v>
      </c>
      <c r="F184" s="25"/>
      <c r="G184" s="26"/>
      <c r="H184" s="26"/>
      <c r="I184" s="5">
        <f t="shared" si="126"/>
        <v>0</v>
      </c>
      <c r="J184" s="25"/>
      <c r="K184" s="26"/>
      <c r="L184" s="26"/>
      <c r="M184" s="38">
        <f t="shared" si="127"/>
        <v>0</v>
      </c>
      <c r="N184" s="138">
        <f t="shared" si="128"/>
        <v>0</v>
      </c>
      <c r="O184" s="21"/>
      <c r="P184" s="6" t="s">
        <v>3</v>
      </c>
      <c r="Q184" s="27"/>
      <c r="R184" s="26"/>
      <c r="S184" s="26"/>
      <c r="T184" s="5">
        <f t="shared" si="129"/>
        <v>0</v>
      </c>
      <c r="U184" s="27"/>
      <c r="V184" s="26"/>
      <c r="W184" s="26"/>
      <c r="X184" s="5">
        <f t="shared" si="130"/>
        <v>0</v>
      </c>
      <c r="Y184" s="25"/>
      <c r="Z184" s="26"/>
      <c r="AA184" s="26"/>
      <c r="AB184" s="5">
        <f t="shared" si="131"/>
        <v>0</v>
      </c>
      <c r="AC184" s="86">
        <f t="shared" si="132"/>
        <v>0</v>
      </c>
    </row>
    <row r="185" spans="1:32" x14ac:dyDescent="0.15">
      <c r="A185" s="102" t="s">
        <v>3</v>
      </c>
      <c r="B185" s="27"/>
      <c r="C185" s="26"/>
      <c r="D185" s="26"/>
      <c r="E185" s="5">
        <f t="shared" si="125"/>
        <v>0</v>
      </c>
      <c r="F185" s="25"/>
      <c r="G185" s="26"/>
      <c r="H185" s="26"/>
      <c r="I185" s="5">
        <f t="shared" si="126"/>
        <v>0</v>
      </c>
      <c r="J185" s="25"/>
      <c r="K185" s="26"/>
      <c r="L185" s="26"/>
      <c r="M185" s="38">
        <f t="shared" si="127"/>
        <v>0</v>
      </c>
      <c r="N185" s="138">
        <f t="shared" si="128"/>
        <v>0</v>
      </c>
      <c r="O185" s="21"/>
      <c r="P185" s="6" t="s">
        <v>3</v>
      </c>
      <c r="Q185" s="14"/>
      <c r="R185" s="11"/>
      <c r="S185" s="11"/>
      <c r="T185" s="5">
        <f t="shared" si="129"/>
        <v>0</v>
      </c>
      <c r="U185" s="14"/>
      <c r="V185" s="11"/>
      <c r="W185" s="11"/>
      <c r="X185" s="5">
        <f t="shared" si="130"/>
        <v>0</v>
      </c>
      <c r="Y185" s="25"/>
      <c r="Z185" s="26"/>
      <c r="AA185" s="26"/>
      <c r="AB185" s="5">
        <f t="shared" si="131"/>
        <v>0</v>
      </c>
      <c r="AC185" s="86">
        <f t="shared" si="132"/>
        <v>0</v>
      </c>
    </row>
    <row r="186" spans="1:32" x14ac:dyDescent="0.15">
      <c r="A186" s="102" t="s">
        <v>3</v>
      </c>
      <c r="B186" s="27"/>
      <c r="C186" s="26"/>
      <c r="D186" s="26"/>
      <c r="E186" s="5">
        <f t="shared" si="125"/>
        <v>0</v>
      </c>
      <c r="F186" s="25"/>
      <c r="G186" s="26"/>
      <c r="H186" s="26"/>
      <c r="I186" s="5">
        <f t="shared" si="126"/>
        <v>0</v>
      </c>
      <c r="J186" s="25"/>
      <c r="K186" s="26"/>
      <c r="L186" s="26"/>
      <c r="M186" s="38">
        <f t="shared" si="127"/>
        <v>0</v>
      </c>
      <c r="N186" s="138">
        <f t="shared" si="128"/>
        <v>0</v>
      </c>
      <c r="O186" s="23"/>
      <c r="P186" s="6" t="s">
        <v>3</v>
      </c>
      <c r="Q186" s="27"/>
      <c r="R186" s="26"/>
      <c r="S186" s="26"/>
      <c r="T186" s="5">
        <f t="shared" si="129"/>
        <v>0</v>
      </c>
      <c r="U186" s="27"/>
      <c r="V186" s="26"/>
      <c r="W186" s="26"/>
      <c r="X186" s="5">
        <f t="shared" si="130"/>
        <v>0</v>
      </c>
      <c r="Y186" s="25"/>
      <c r="Z186" s="26"/>
      <c r="AA186" s="26"/>
      <c r="AB186" s="5">
        <f t="shared" si="131"/>
        <v>0</v>
      </c>
      <c r="AC186" s="86">
        <f t="shared" si="132"/>
        <v>0</v>
      </c>
    </row>
    <row r="187" spans="1:32" ht="14.25" thickBot="1" x14ac:dyDescent="0.2">
      <c r="A187" s="102" t="s">
        <v>3</v>
      </c>
      <c r="B187" s="28"/>
      <c r="C187" s="29"/>
      <c r="D187" s="32"/>
      <c r="E187" s="15">
        <f t="shared" si="125"/>
        <v>0</v>
      </c>
      <c r="F187" s="35"/>
      <c r="G187" s="29"/>
      <c r="H187" s="32"/>
      <c r="I187" s="15">
        <f t="shared" si="126"/>
        <v>0</v>
      </c>
      <c r="J187" s="35"/>
      <c r="K187" s="29"/>
      <c r="L187" s="32"/>
      <c r="M187" s="40">
        <f t="shared" si="127"/>
        <v>0</v>
      </c>
      <c r="N187" s="139">
        <f t="shared" si="128"/>
        <v>0</v>
      </c>
      <c r="O187" s="21"/>
      <c r="P187" s="7" t="s">
        <v>3</v>
      </c>
      <c r="Q187" s="28"/>
      <c r="R187" s="29"/>
      <c r="S187" s="29"/>
      <c r="T187" s="15">
        <f t="shared" si="129"/>
        <v>0</v>
      </c>
      <c r="U187" s="28"/>
      <c r="V187" s="29"/>
      <c r="W187" s="29"/>
      <c r="X187" s="15">
        <f t="shared" si="130"/>
        <v>0</v>
      </c>
      <c r="Y187" s="35"/>
      <c r="Z187" s="29"/>
      <c r="AA187" s="32"/>
      <c r="AB187" s="15">
        <f t="shared" si="131"/>
        <v>0</v>
      </c>
      <c r="AC187" s="87">
        <f t="shared" si="132"/>
        <v>0</v>
      </c>
    </row>
    <row r="188" spans="1:32" ht="14.25" thickBot="1" x14ac:dyDescent="0.2">
      <c r="A188" s="103" t="s">
        <v>4</v>
      </c>
      <c r="B188" s="17">
        <f>SUM(B177:B187)</f>
        <v>31</v>
      </c>
      <c r="C188" s="17">
        <f>SUM(C177:C187)</f>
        <v>29</v>
      </c>
      <c r="D188" s="17">
        <f>SUM(D177:D187)</f>
        <v>41</v>
      </c>
      <c r="E188" s="18">
        <f t="shared" si="125"/>
        <v>101</v>
      </c>
      <c r="F188" s="17">
        <f>SUM(F177:F187)</f>
        <v>34</v>
      </c>
      <c r="G188" s="17">
        <f>SUM(G177:G187)</f>
        <v>32</v>
      </c>
      <c r="H188" s="17">
        <f>SUM(H177:H187)</f>
        <v>39</v>
      </c>
      <c r="I188" s="18">
        <f t="shared" si="126"/>
        <v>105</v>
      </c>
      <c r="J188" s="17">
        <f>SUM(J177:J187)</f>
        <v>24</v>
      </c>
      <c r="K188" s="17">
        <f>SUM(K177:K187)</f>
        <v>28</v>
      </c>
      <c r="L188" s="17">
        <f>SUM(L177:L187)</f>
        <v>34</v>
      </c>
      <c r="M188" s="20">
        <f t="shared" si="127"/>
        <v>86</v>
      </c>
      <c r="N188" s="140">
        <f t="shared" si="128"/>
        <v>292</v>
      </c>
      <c r="O188" s="1"/>
      <c r="P188" s="16" t="s">
        <v>4</v>
      </c>
      <c r="Q188" s="17">
        <f>SUM(Q177:Q187)</f>
        <v>308</v>
      </c>
      <c r="R188" s="17">
        <f>SUM(R177:R187)</f>
        <v>196</v>
      </c>
      <c r="S188" s="17">
        <f>SUM(S177:S187)</f>
        <v>94</v>
      </c>
      <c r="T188" s="18">
        <f t="shared" si="129"/>
        <v>598</v>
      </c>
      <c r="U188" s="17">
        <f>SUM(U177:U187)</f>
        <v>322</v>
      </c>
      <c r="V188" s="17">
        <f>SUM(V177:V187)</f>
        <v>218</v>
      </c>
      <c r="W188" s="17">
        <f>SUM(W177:W187)</f>
        <v>110</v>
      </c>
      <c r="X188" s="18">
        <f t="shared" si="130"/>
        <v>650</v>
      </c>
      <c r="Y188" s="17">
        <f>SUM(Y177:Y187)</f>
        <v>303</v>
      </c>
      <c r="Z188" s="17">
        <f>SUM(Z177:Z187)</f>
        <v>197</v>
      </c>
      <c r="AA188" s="17">
        <f>SUM(AA177:AA187)</f>
        <v>87</v>
      </c>
      <c r="AB188" s="18">
        <f t="shared" si="131"/>
        <v>587</v>
      </c>
      <c r="AC188" s="88">
        <f t="shared" si="132"/>
        <v>1835</v>
      </c>
    </row>
    <row r="189" spans="1:32" x14ac:dyDescent="0.15">
      <c r="A189" s="33" t="s">
        <v>196</v>
      </c>
      <c r="B189" s="9"/>
      <c r="C189" s="10"/>
      <c r="D189" s="31">
        <v>3</v>
      </c>
      <c r="E189" s="5">
        <f t="shared" si="125"/>
        <v>3</v>
      </c>
      <c r="F189" s="9"/>
      <c r="G189" s="10"/>
      <c r="H189" s="31">
        <v>3</v>
      </c>
      <c r="I189" s="5">
        <f t="shared" si="126"/>
        <v>3</v>
      </c>
      <c r="J189" s="9"/>
      <c r="K189" s="10"/>
      <c r="L189" s="31">
        <v>3</v>
      </c>
      <c r="M189" s="38">
        <f t="shared" si="127"/>
        <v>3</v>
      </c>
      <c r="N189" s="141">
        <f t="shared" si="128"/>
        <v>9</v>
      </c>
      <c r="O189" s="21">
        <v>45419</v>
      </c>
      <c r="P189" s="4" t="s">
        <v>189</v>
      </c>
      <c r="Q189" s="9">
        <v>5</v>
      </c>
      <c r="R189" s="10">
        <v>10</v>
      </c>
      <c r="S189" s="10">
        <v>5</v>
      </c>
      <c r="T189" s="8">
        <f t="shared" si="129"/>
        <v>20</v>
      </c>
      <c r="U189" s="9">
        <v>5</v>
      </c>
      <c r="V189" s="10">
        <v>10</v>
      </c>
      <c r="W189" s="10">
        <v>5</v>
      </c>
      <c r="X189" s="8">
        <f t="shared" si="130"/>
        <v>20</v>
      </c>
      <c r="Y189" s="9">
        <v>5</v>
      </c>
      <c r="Z189" s="10">
        <v>10</v>
      </c>
      <c r="AA189" s="10">
        <v>5</v>
      </c>
      <c r="AB189" s="8">
        <f t="shared" si="131"/>
        <v>20</v>
      </c>
      <c r="AC189" s="86">
        <f t="shared" si="132"/>
        <v>60</v>
      </c>
      <c r="AD189" s="109">
        <v>45407</v>
      </c>
    </row>
    <row r="190" spans="1:32" x14ac:dyDescent="0.15">
      <c r="A190" s="33" t="s">
        <v>197</v>
      </c>
      <c r="B190" s="9"/>
      <c r="C190" s="10">
        <v>2</v>
      </c>
      <c r="D190" s="10">
        <v>2</v>
      </c>
      <c r="E190" s="5">
        <f t="shared" si="125"/>
        <v>4</v>
      </c>
      <c r="F190" s="9"/>
      <c r="G190" s="10">
        <v>2</v>
      </c>
      <c r="H190" s="10">
        <v>2</v>
      </c>
      <c r="I190" s="5">
        <f t="shared" si="126"/>
        <v>4</v>
      </c>
      <c r="J190" s="9"/>
      <c r="K190" s="10">
        <v>2</v>
      </c>
      <c r="L190" s="10">
        <v>2</v>
      </c>
      <c r="M190" s="38">
        <f t="shared" si="127"/>
        <v>4</v>
      </c>
      <c r="N190" s="138">
        <f t="shared" si="128"/>
        <v>12</v>
      </c>
      <c r="O190" s="21">
        <v>45421</v>
      </c>
      <c r="P190" s="11" t="s">
        <v>190</v>
      </c>
      <c r="Q190" s="9"/>
      <c r="R190" s="10"/>
      <c r="S190" s="10">
        <v>5</v>
      </c>
      <c r="T190" s="5">
        <f t="shared" si="129"/>
        <v>5</v>
      </c>
      <c r="U190" s="9"/>
      <c r="V190" s="10"/>
      <c r="W190" s="10">
        <v>5</v>
      </c>
      <c r="X190" s="5">
        <f t="shared" si="130"/>
        <v>5</v>
      </c>
      <c r="Y190" s="9"/>
      <c r="Z190" s="10"/>
      <c r="AA190" s="10">
        <v>5</v>
      </c>
      <c r="AB190" s="5">
        <f t="shared" si="131"/>
        <v>5</v>
      </c>
      <c r="AC190" s="86">
        <f t="shared" si="132"/>
        <v>15</v>
      </c>
      <c r="AD190" s="109">
        <v>45421</v>
      </c>
    </row>
    <row r="191" spans="1:32" x14ac:dyDescent="0.15">
      <c r="A191" s="33" t="s">
        <v>36</v>
      </c>
      <c r="B191" s="9">
        <v>1</v>
      </c>
      <c r="C191" s="10"/>
      <c r="D191" s="10"/>
      <c r="E191" s="5">
        <f t="shared" si="125"/>
        <v>1</v>
      </c>
      <c r="F191" s="9">
        <v>1</v>
      </c>
      <c r="G191" s="10"/>
      <c r="H191" s="10"/>
      <c r="I191" s="5">
        <f t="shared" si="126"/>
        <v>1</v>
      </c>
      <c r="J191" s="9">
        <v>1</v>
      </c>
      <c r="K191" s="10"/>
      <c r="L191" s="10"/>
      <c r="M191" s="38">
        <f t="shared" si="127"/>
        <v>1</v>
      </c>
      <c r="N191" s="138">
        <f t="shared" si="128"/>
        <v>3</v>
      </c>
      <c r="O191" s="21">
        <v>45420</v>
      </c>
      <c r="P191" s="4" t="s">
        <v>194</v>
      </c>
      <c r="Q191" s="9">
        <v>4</v>
      </c>
      <c r="R191" s="10">
        <v>5</v>
      </c>
      <c r="S191" s="10">
        <v>9</v>
      </c>
      <c r="T191" s="5">
        <f t="shared" si="129"/>
        <v>18</v>
      </c>
      <c r="U191" s="9">
        <v>4</v>
      </c>
      <c r="V191" s="10">
        <v>5</v>
      </c>
      <c r="W191" s="10">
        <v>9</v>
      </c>
      <c r="X191" s="5">
        <f t="shared" si="130"/>
        <v>18</v>
      </c>
      <c r="Y191" s="9">
        <v>4</v>
      </c>
      <c r="Z191" s="10">
        <v>5</v>
      </c>
      <c r="AA191" s="10">
        <v>9</v>
      </c>
      <c r="AB191" s="5">
        <f t="shared" si="131"/>
        <v>18</v>
      </c>
      <c r="AC191" s="86">
        <f t="shared" si="132"/>
        <v>54</v>
      </c>
      <c r="AD191" s="109">
        <v>45413</v>
      </c>
      <c r="AE191" s="58"/>
      <c r="AF191" s="58"/>
    </row>
    <row r="192" spans="1:32" x14ac:dyDescent="0.15">
      <c r="A192" s="33" t="s">
        <v>199</v>
      </c>
      <c r="B192" s="9">
        <v>3</v>
      </c>
      <c r="C192" s="10">
        <v>2</v>
      </c>
      <c r="D192" s="10"/>
      <c r="E192" s="5">
        <f t="shared" si="125"/>
        <v>5</v>
      </c>
      <c r="F192" s="9">
        <v>3</v>
      </c>
      <c r="G192" s="10">
        <v>2</v>
      </c>
      <c r="H192" s="10"/>
      <c r="I192" s="5">
        <f t="shared" si="126"/>
        <v>5</v>
      </c>
      <c r="J192" s="9">
        <v>3</v>
      </c>
      <c r="K192" s="10">
        <v>2</v>
      </c>
      <c r="L192" s="10"/>
      <c r="M192" s="38">
        <f t="shared" si="127"/>
        <v>5</v>
      </c>
      <c r="N192" s="138">
        <f t="shared" si="128"/>
        <v>15</v>
      </c>
      <c r="O192" s="21">
        <v>45425</v>
      </c>
      <c r="P192" s="11" t="s">
        <v>198</v>
      </c>
      <c r="Q192" s="9">
        <v>5</v>
      </c>
      <c r="R192" s="10">
        <v>10</v>
      </c>
      <c r="S192" s="10"/>
      <c r="T192" s="5">
        <f t="shared" si="129"/>
        <v>15</v>
      </c>
      <c r="U192" s="9">
        <v>5</v>
      </c>
      <c r="V192" s="10">
        <v>10</v>
      </c>
      <c r="W192" s="10"/>
      <c r="X192" s="5">
        <f t="shared" si="130"/>
        <v>15</v>
      </c>
      <c r="Y192" s="9">
        <v>5</v>
      </c>
      <c r="Z192" s="10">
        <v>10</v>
      </c>
      <c r="AA192" s="10"/>
      <c r="AB192" s="5">
        <f t="shared" si="131"/>
        <v>15</v>
      </c>
      <c r="AC192" s="86">
        <f t="shared" si="132"/>
        <v>45</v>
      </c>
      <c r="AD192" s="109">
        <v>45427</v>
      </c>
      <c r="AE192" s="58"/>
      <c r="AF192" s="58"/>
    </row>
    <row r="193" spans="1:31" x14ac:dyDescent="0.15">
      <c r="A193" s="33" t="s">
        <v>36</v>
      </c>
      <c r="B193" s="9"/>
      <c r="C193" s="10"/>
      <c r="D193" s="10"/>
      <c r="E193" s="5">
        <f t="shared" si="125"/>
        <v>0</v>
      </c>
      <c r="F193" s="9"/>
      <c r="G193" s="10"/>
      <c r="H193" s="10"/>
      <c r="I193" s="5">
        <f t="shared" si="126"/>
        <v>0</v>
      </c>
      <c r="J193" s="9"/>
      <c r="K193" s="10">
        <v>1</v>
      </c>
      <c r="L193" s="10"/>
      <c r="M193" s="38">
        <f t="shared" si="127"/>
        <v>1</v>
      </c>
      <c r="N193" s="138">
        <f t="shared" si="128"/>
        <v>1</v>
      </c>
      <c r="O193" s="21">
        <v>45425</v>
      </c>
      <c r="P193" s="11" t="s">
        <v>27</v>
      </c>
      <c r="Q193" s="9">
        <v>10</v>
      </c>
      <c r="R193" s="10">
        <v>10</v>
      </c>
      <c r="S193" s="10">
        <v>13</v>
      </c>
      <c r="T193" s="5">
        <f t="shared" ref="T193" si="137">SUM(Q193:S193)</f>
        <v>33</v>
      </c>
      <c r="U193" s="9"/>
      <c r="V193" s="10">
        <v>10</v>
      </c>
      <c r="W193" s="10">
        <v>10</v>
      </c>
      <c r="X193" s="5">
        <f t="shared" si="130"/>
        <v>20</v>
      </c>
      <c r="Y193" s="9"/>
      <c r="Z193" s="10"/>
      <c r="AA193" s="10">
        <v>8</v>
      </c>
      <c r="AB193" s="5">
        <f t="shared" si="131"/>
        <v>8</v>
      </c>
      <c r="AC193" s="86">
        <f t="shared" si="132"/>
        <v>61</v>
      </c>
      <c r="AD193" s="109">
        <v>45423</v>
      </c>
    </row>
    <row r="194" spans="1:31" x14ac:dyDescent="0.15">
      <c r="A194" s="33" t="s">
        <v>36</v>
      </c>
      <c r="B194" s="9"/>
      <c r="C194" s="10"/>
      <c r="D194" s="10">
        <v>1</v>
      </c>
      <c r="E194" s="8">
        <f t="shared" si="125"/>
        <v>1</v>
      </c>
      <c r="F194" s="9"/>
      <c r="G194" s="10"/>
      <c r="H194" s="10">
        <v>1</v>
      </c>
      <c r="I194" s="8">
        <f t="shared" si="126"/>
        <v>1</v>
      </c>
      <c r="J194" s="9"/>
      <c r="K194" s="10"/>
      <c r="L194" s="10">
        <v>1</v>
      </c>
      <c r="M194" s="39">
        <f t="shared" si="127"/>
        <v>1</v>
      </c>
      <c r="N194" s="138">
        <f t="shared" si="128"/>
        <v>3</v>
      </c>
      <c r="O194" s="21">
        <v>45425</v>
      </c>
      <c r="P194" s="4" t="s">
        <v>202</v>
      </c>
      <c r="Q194" s="9">
        <v>8</v>
      </c>
      <c r="R194" s="10">
        <v>10</v>
      </c>
      <c r="S194" s="10">
        <v>8</v>
      </c>
      <c r="T194" s="8">
        <f t="shared" si="129"/>
        <v>26</v>
      </c>
      <c r="U194" s="9">
        <v>8</v>
      </c>
      <c r="V194" s="10">
        <v>10</v>
      </c>
      <c r="W194" s="10">
        <v>8</v>
      </c>
      <c r="X194" s="8">
        <f t="shared" si="130"/>
        <v>26</v>
      </c>
      <c r="Y194" s="9">
        <v>8</v>
      </c>
      <c r="Z194" s="10">
        <v>10</v>
      </c>
      <c r="AA194" s="10">
        <v>8</v>
      </c>
      <c r="AB194" s="8">
        <f t="shared" si="131"/>
        <v>26</v>
      </c>
      <c r="AC194" s="86">
        <f t="shared" si="132"/>
        <v>78</v>
      </c>
      <c r="AD194" s="109">
        <v>45427</v>
      </c>
      <c r="AE194" s="58"/>
    </row>
    <row r="195" spans="1:31" x14ac:dyDescent="0.15">
      <c r="A195" s="33" t="s">
        <v>36</v>
      </c>
      <c r="B195" s="9"/>
      <c r="C195" s="10">
        <v>1</v>
      </c>
      <c r="D195" s="10"/>
      <c r="E195" s="8">
        <f t="shared" si="125"/>
        <v>1</v>
      </c>
      <c r="F195" s="9"/>
      <c r="G195" s="10">
        <v>1</v>
      </c>
      <c r="H195" s="10"/>
      <c r="I195" s="8">
        <f t="shared" si="126"/>
        <v>1</v>
      </c>
      <c r="J195" s="9"/>
      <c r="K195" s="10">
        <v>1</v>
      </c>
      <c r="L195" s="10"/>
      <c r="M195" s="39">
        <f t="shared" si="127"/>
        <v>1</v>
      </c>
      <c r="N195" s="138">
        <f t="shared" si="128"/>
        <v>3</v>
      </c>
      <c r="O195" s="21">
        <v>45428</v>
      </c>
      <c r="P195" s="4" t="s">
        <v>204</v>
      </c>
      <c r="Q195" s="9">
        <v>1</v>
      </c>
      <c r="R195" s="10"/>
      <c r="S195" s="10">
        <v>2</v>
      </c>
      <c r="T195" s="8">
        <f t="shared" si="129"/>
        <v>3</v>
      </c>
      <c r="U195" s="9">
        <v>1</v>
      </c>
      <c r="V195" s="10"/>
      <c r="W195" s="10">
        <v>2</v>
      </c>
      <c r="X195" s="8">
        <f t="shared" si="130"/>
        <v>3</v>
      </c>
      <c r="Y195" s="9">
        <v>1</v>
      </c>
      <c r="Z195" s="10"/>
      <c r="AA195" s="10">
        <v>2</v>
      </c>
      <c r="AB195" s="8">
        <f t="shared" si="131"/>
        <v>3</v>
      </c>
      <c r="AC195" s="86">
        <f t="shared" si="132"/>
        <v>9</v>
      </c>
      <c r="AD195" s="109">
        <v>45429</v>
      </c>
      <c r="AE195" s="58"/>
    </row>
    <row r="196" spans="1:31" x14ac:dyDescent="0.15">
      <c r="A196" s="33" t="s">
        <v>209</v>
      </c>
      <c r="B196" s="9">
        <v>2</v>
      </c>
      <c r="C196" s="10"/>
      <c r="D196" s="10">
        <v>1</v>
      </c>
      <c r="E196" s="8">
        <f t="shared" si="125"/>
        <v>3</v>
      </c>
      <c r="F196" s="9">
        <v>2</v>
      </c>
      <c r="G196" s="10"/>
      <c r="H196" s="10">
        <v>1</v>
      </c>
      <c r="I196" s="8">
        <f t="shared" si="126"/>
        <v>3</v>
      </c>
      <c r="J196" s="9">
        <v>2</v>
      </c>
      <c r="K196" s="10"/>
      <c r="L196" s="10">
        <v>1</v>
      </c>
      <c r="M196" s="39">
        <f t="shared" si="127"/>
        <v>3</v>
      </c>
      <c r="N196" s="138">
        <f t="shared" si="128"/>
        <v>9</v>
      </c>
      <c r="O196" s="21">
        <v>45432</v>
      </c>
      <c r="P196" s="11" t="s">
        <v>205</v>
      </c>
      <c r="Q196" s="9">
        <v>3</v>
      </c>
      <c r="R196" s="10">
        <v>5</v>
      </c>
      <c r="S196" s="10">
        <v>3</v>
      </c>
      <c r="T196" s="8">
        <f t="shared" si="129"/>
        <v>11</v>
      </c>
      <c r="U196" s="9">
        <v>3</v>
      </c>
      <c r="V196" s="10">
        <v>5</v>
      </c>
      <c r="W196" s="10">
        <v>3</v>
      </c>
      <c r="X196" s="8">
        <f t="shared" si="130"/>
        <v>11</v>
      </c>
      <c r="Y196" s="9">
        <v>3</v>
      </c>
      <c r="Z196" s="10">
        <v>5</v>
      </c>
      <c r="AA196" s="10">
        <v>3</v>
      </c>
      <c r="AB196" s="8">
        <f t="shared" si="131"/>
        <v>11</v>
      </c>
      <c r="AC196" s="86">
        <f t="shared" si="132"/>
        <v>33</v>
      </c>
      <c r="AD196" s="109">
        <v>45429</v>
      </c>
    </row>
    <row r="197" spans="1:31" x14ac:dyDescent="0.15">
      <c r="A197" s="33" t="s">
        <v>212</v>
      </c>
      <c r="B197" s="9">
        <v>1</v>
      </c>
      <c r="C197" s="10"/>
      <c r="D197" s="10">
        <v>1</v>
      </c>
      <c r="E197" s="8">
        <f t="shared" si="125"/>
        <v>2</v>
      </c>
      <c r="F197" s="9">
        <v>1</v>
      </c>
      <c r="G197" s="10"/>
      <c r="H197" s="10">
        <v>1</v>
      </c>
      <c r="I197" s="8">
        <f t="shared" si="126"/>
        <v>2</v>
      </c>
      <c r="J197" s="9">
        <v>1</v>
      </c>
      <c r="K197" s="10"/>
      <c r="L197" s="10">
        <v>1</v>
      </c>
      <c r="M197" s="39">
        <f t="shared" si="127"/>
        <v>2</v>
      </c>
      <c r="N197" s="138">
        <f t="shared" si="128"/>
        <v>6</v>
      </c>
      <c r="O197" s="21">
        <v>45434</v>
      </c>
      <c r="P197" s="11" t="s">
        <v>206</v>
      </c>
      <c r="Q197" s="9"/>
      <c r="R197" s="10">
        <v>10</v>
      </c>
      <c r="S197" s="10">
        <v>5</v>
      </c>
      <c r="T197" s="8">
        <f t="shared" si="129"/>
        <v>15</v>
      </c>
      <c r="U197" s="9"/>
      <c r="V197" s="10">
        <v>10</v>
      </c>
      <c r="W197" s="10">
        <v>5</v>
      </c>
      <c r="X197" s="8">
        <f t="shared" si="130"/>
        <v>15</v>
      </c>
      <c r="Y197" s="9"/>
      <c r="Z197" s="10">
        <v>10</v>
      </c>
      <c r="AA197" s="10">
        <v>5</v>
      </c>
      <c r="AB197" s="8">
        <f t="shared" si="131"/>
        <v>15</v>
      </c>
      <c r="AC197" s="86">
        <f t="shared" si="132"/>
        <v>45</v>
      </c>
      <c r="AD197" s="109">
        <v>45433</v>
      </c>
    </row>
    <row r="198" spans="1:31" x14ac:dyDescent="0.15">
      <c r="A198" s="33" t="s">
        <v>36</v>
      </c>
      <c r="B198" s="9"/>
      <c r="C198" s="10"/>
      <c r="D198" s="10">
        <f>1+1</f>
        <v>2</v>
      </c>
      <c r="E198" s="8">
        <f t="shared" si="125"/>
        <v>2</v>
      </c>
      <c r="F198" s="9"/>
      <c r="G198" s="10"/>
      <c r="H198" s="10">
        <v>1</v>
      </c>
      <c r="I198" s="8">
        <f t="shared" si="126"/>
        <v>1</v>
      </c>
      <c r="J198" s="9"/>
      <c r="K198" s="10"/>
      <c r="L198" s="10">
        <v>1</v>
      </c>
      <c r="M198" s="39">
        <f t="shared" si="127"/>
        <v>1</v>
      </c>
      <c r="N198" s="138">
        <f t="shared" si="128"/>
        <v>4</v>
      </c>
      <c r="O198" s="21">
        <v>45433</v>
      </c>
      <c r="P198" s="4" t="s">
        <v>208</v>
      </c>
      <c r="Q198" s="9">
        <v>20</v>
      </c>
      <c r="R198" s="10">
        <v>30</v>
      </c>
      <c r="S198" s="10">
        <v>20</v>
      </c>
      <c r="T198" s="8">
        <f t="shared" si="129"/>
        <v>70</v>
      </c>
      <c r="U198" s="9">
        <v>20</v>
      </c>
      <c r="V198" s="10">
        <v>30</v>
      </c>
      <c r="W198" s="10">
        <v>20</v>
      </c>
      <c r="X198" s="8">
        <f t="shared" si="130"/>
        <v>70</v>
      </c>
      <c r="Y198" s="9">
        <v>20</v>
      </c>
      <c r="Z198" s="10">
        <v>30</v>
      </c>
      <c r="AA198" s="10">
        <v>20</v>
      </c>
      <c r="AB198" s="8">
        <f t="shared" si="131"/>
        <v>70</v>
      </c>
      <c r="AC198" s="86">
        <f t="shared" si="132"/>
        <v>210</v>
      </c>
      <c r="AD198" s="109">
        <v>45434</v>
      </c>
    </row>
    <row r="199" spans="1:31" x14ac:dyDescent="0.15">
      <c r="A199" s="33" t="s">
        <v>218</v>
      </c>
      <c r="B199" s="9">
        <v>1</v>
      </c>
      <c r="C199" s="10"/>
      <c r="D199" s="10"/>
      <c r="E199" s="8">
        <f t="shared" si="125"/>
        <v>1</v>
      </c>
      <c r="F199" s="9">
        <v>2</v>
      </c>
      <c r="G199" s="10"/>
      <c r="H199" s="10"/>
      <c r="I199" s="8">
        <f t="shared" si="126"/>
        <v>2</v>
      </c>
      <c r="J199" s="9">
        <v>1</v>
      </c>
      <c r="K199" s="10"/>
      <c r="L199" s="10"/>
      <c r="M199" s="39">
        <f t="shared" si="127"/>
        <v>1</v>
      </c>
      <c r="N199" s="138">
        <f t="shared" si="128"/>
        <v>4</v>
      </c>
      <c r="O199" s="21">
        <v>45435</v>
      </c>
      <c r="P199" s="11" t="s">
        <v>213</v>
      </c>
      <c r="Q199" s="9">
        <v>3</v>
      </c>
      <c r="R199" s="10">
        <v>2</v>
      </c>
      <c r="S199" s="10"/>
      <c r="T199" s="8">
        <f t="shared" si="129"/>
        <v>5</v>
      </c>
      <c r="U199" s="9">
        <v>3</v>
      </c>
      <c r="V199" s="10">
        <v>2</v>
      </c>
      <c r="W199" s="10"/>
      <c r="X199" s="8">
        <f t="shared" si="130"/>
        <v>5</v>
      </c>
      <c r="Y199" s="9">
        <v>3</v>
      </c>
      <c r="Z199" s="10">
        <v>2</v>
      </c>
      <c r="AA199" s="10"/>
      <c r="AB199" s="8">
        <f t="shared" si="131"/>
        <v>5</v>
      </c>
      <c r="AC199" s="86">
        <f t="shared" si="132"/>
        <v>15</v>
      </c>
      <c r="AD199" s="109">
        <v>45434</v>
      </c>
    </row>
    <row r="200" spans="1:31" x14ac:dyDescent="0.15">
      <c r="A200" s="33" t="s">
        <v>217</v>
      </c>
      <c r="B200" s="9"/>
      <c r="C200" s="10">
        <v>2</v>
      </c>
      <c r="D200" s="10"/>
      <c r="E200" s="8">
        <f t="shared" si="125"/>
        <v>2</v>
      </c>
      <c r="F200" s="9"/>
      <c r="G200" s="10">
        <v>2</v>
      </c>
      <c r="H200" s="10"/>
      <c r="I200" s="8">
        <f t="shared" si="126"/>
        <v>2</v>
      </c>
      <c r="J200" s="9"/>
      <c r="K200" s="10">
        <v>2</v>
      </c>
      <c r="L200" s="10"/>
      <c r="M200" s="39">
        <f t="shared" si="127"/>
        <v>2</v>
      </c>
      <c r="N200" s="138">
        <f t="shared" si="128"/>
        <v>6</v>
      </c>
      <c r="O200" s="21">
        <v>45439</v>
      </c>
      <c r="P200" s="4" t="s">
        <v>214</v>
      </c>
      <c r="Q200" s="9">
        <v>5</v>
      </c>
      <c r="R200" s="10">
        <v>11</v>
      </c>
      <c r="S200" s="10">
        <v>6</v>
      </c>
      <c r="T200" s="8">
        <f t="shared" si="129"/>
        <v>22</v>
      </c>
      <c r="U200" s="9">
        <v>5</v>
      </c>
      <c r="V200" s="10">
        <v>11</v>
      </c>
      <c r="W200" s="10">
        <v>6</v>
      </c>
      <c r="X200" s="8">
        <f t="shared" si="130"/>
        <v>22</v>
      </c>
      <c r="Y200" s="9">
        <v>5</v>
      </c>
      <c r="Z200" s="10">
        <v>11</v>
      </c>
      <c r="AA200" s="10">
        <v>6</v>
      </c>
      <c r="AB200" s="8">
        <f t="shared" si="131"/>
        <v>22</v>
      </c>
      <c r="AC200" s="86">
        <f t="shared" si="132"/>
        <v>66</v>
      </c>
      <c r="AD200" s="109">
        <v>45435</v>
      </c>
    </row>
    <row r="201" spans="1:31" x14ac:dyDescent="0.15">
      <c r="A201" s="33" t="s">
        <v>219</v>
      </c>
      <c r="B201" s="9"/>
      <c r="C201" s="10"/>
      <c r="D201" s="10">
        <v>8</v>
      </c>
      <c r="E201" s="8">
        <f t="shared" si="125"/>
        <v>8</v>
      </c>
      <c r="F201" s="9"/>
      <c r="G201" s="10"/>
      <c r="H201" s="10">
        <v>8</v>
      </c>
      <c r="I201" s="8">
        <f t="shared" si="126"/>
        <v>8</v>
      </c>
      <c r="J201" s="9"/>
      <c r="K201" s="10"/>
      <c r="L201" s="10">
        <v>8</v>
      </c>
      <c r="M201" s="39">
        <f t="shared" si="127"/>
        <v>8</v>
      </c>
      <c r="N201" s="138">
        <f t="shared" si="128"/>
        <v>24</v>
      </c>
      <c r="O201" s="21">
        <v>45441</v>
      </c>
      <c r="P201" s="11" t="s">
        <v>27</v>
      </c>
      <c r="Q201" s="9"/>
      <c r="R201" s="10"/>
      <c r="S201" s="10"/>
      <c r="T201" s="8">
        <f t="shared" ref="T201" si="138">SUM(Q201:S201)</f>
        <v>0</v>
      </c>
      <c r="U201" s="9">
        <v>10</v>
      </c>
      <c r="V201" s="10"/>
      <c r="W201" s="10"/>
      <c r="X201" s="8">
        <f t="shared" si="130"/>
        <v>10</v>
      </c>
      <c r="Y201" s="9">
        <v>10</v>
      </c>
      <c r="Z201" s="10"/>
      <c r="AA201" s="10"/>
      <c r="AB201" s="8">
        <f t="shared" si="131"/>
        <v>10</v>
      </c>
      <c r="AC201" s="86">
        <f t="shared" si="132"/>
        <v>20</v>
      </c>
      <c r="AD201" s="109">
        <v>45437</v>
      </c>
      <c r="AE201" s="58"/>
    </row>
    <row r="202" spans="1:31" x14ac:dyDescent="0.15">
      <c r="A202" s="33" t="s">
        <v>36</v>
      </c>
      <c r="B202" s="9"/>
      <c r="C202" s="10">
        <v>2</v>
      </c>
      <c r="D202" s="10">
        <v>1</v>
      </c>
      <c r="E202" s="8">
        <f t="shared" si="125"/>
        <v>3</v>
      </c>
      <c r="F202" s="9">
        <v>5</v>
      </c>
      <c r="G202" s="10">
        <v>1</v>
      </c>
      <c r="H202" s="10">
        <v>1</v>
      </c>
      <c r="I202" s="8">
        <f t="shared" si="126"/>
        <v>7</v>
      </c>
      <c r="J202" s="9"/>
      <c r="K202" s="10">
        <v>2</v>
      </c>
      <c r="L202" s="10">
        <v>1</v>
      </c>
      <c r="M202" s="39">
        <f t="shared" si="127"/>
        <v>3</v>
      </c>
      <c r="N202" s="138">
        <f t="shared" si="128"/>
        <v>13</v>
      </c>
      <c r="O202" s="21">
        <v>45439</v>
      </c>
      <c r="P202" s="11" t="s">
        <v>27</v>
      </c>
      <c r="Q202" s="9"/>
      <c r="R202" s="10"/>
      <c r="S202" s="10">
        <v>8</v>
      </c>
      <c r="T202" s="8">
        <f t="shared" ref="T202" si="139">SUM(Q202:S202)</f>
        <v>8</v>
      </c>
      <c r="U202" s="9"/>
      <c r="V202" s="10"/>
      <c r="W202" s="10">
        <v>10</v>
      </c>
      <c r="X202" s="8">
        <f t="shared" si="130"/>
        <v>10</v>
      </c>
      <c r="Y202" s="9"/>
      <c r="Z202" s="10"/>
      <c r="AA202" s="10">
        <v>6</v>
      </c>
      <c r="AB202" s="8">
        <f t="shared" si="131"/>
        <v>6</v>
      </c>
      <c r="AC202" s="86">
        <f t="shared" si="132"/>
        <v>24</v>
      </c>
      <c r="AD202" s="109">
        <v>45440</v>
      </c>
    </row>
    <row r="203" spans="1:31" x14ac:dyDescent="0.15">
      <c r="A203" s="33" t="s">
        <v>225</v>
      </c>
      <c r="B203" s="9"/>
      <c r="C203" s="10">
        <v>1</v>
      </c>
      <c r="D203" s="10">
        <v>4</v>
      </c>
      <c r="E203" s="8">
        <f t="shared" si="125"/>
        <v>5</v>
      </c>
      <c r="F203" s="9"/>
      <c r="G203" s="10">
        <v>1</v>
      </c>
      <c r="H203" s="10">
        <v>4</v>
      </c>
      <c r="I203" s="8">
        <f t="shared" si="126"/>
        <v>5</v>
      </c>
      <c r="J203" s="9"/>
      <c r="K203" s="10">
        <v>1</v>
      </c>
      <c r="L203" s="10">
        <v>4</v>
      </c>
      <c r="M203" s="39">
        <f t="shared" si="127"/>
        <v>5</v>
      </c>
      <c r="N203" s="138">
        <f t="shared" si="128"/>
        <v>15</v>
      </c>
      <c r="O203" s="21">
        <v>45443</v>
      </c>
      <c r="P203" s="4" t="s">
        <v>224</v>
      </c>
      <c r="Q203" s="9">
        <v>10</v>
      </c>
      <c r="R203" s="10">
        <v>20</v>
      </c>
      <c r="S203" s="10">
        <v>10</v>
      </c>
      <c r="T203" s="8">
        <f t="shared" si="129"/>
        <v>40</v>
      </c>
      <c r="U203" s="9">
        <v>10</v>
      </c>
      <c r="V203" s="10">
        <v>20</v>
      </c>
      <c r="W203" s="10">
        <v>10</v>
      </c>
      <c r="X203" s="8">
        <f t="shared" si="130"/>
        <v>40</v>
      </c>
      <c r="Y203" s="9">
        <v>10</v>
      </c>
      <c r="Z203" s="10">
        <v>20</v>
      </c>
      <c r="AA203" s="10">
        <v>10</v>
      </c>
      <c r="AB203" s="8">
        <f t="shared" si="131"/>
        <v>40</v>
      </c>
      <c r="AC203" s="86">
        <f t="shared" si="132"/>
        <v>120</v>
      </c>
      <c r="AD203" s="109">
        <v>45443</v>
      </c>
    </row>
    <row r="204" spans="1:31" x14ac:dyDescent="0.15">
      <c r="A204" s="33" t="s">
        <v>234</v>
      </c>
      <c r="B204" s="9">
        <v>1</v>
      </c>
      <c r="C204" s="10"/>
      <c r="D204" s="10"/>
      <c r="E204" s="8">
        <f t="shared" si="125"/>
        <v>1</v>
      </c>
      <c r="F204" s="9">
        <v>1</v>
      </c>
      <c r="G204" s="10"/>
      <c r="H204" s="10"/>
      <c r="I204" s="8">
        <f t="shared" si="126"/>
        <v>1</v>
      </c>
      <c r="J204" s="9">
        <v>1</v>
      </c>
      <c r="K204" s="10"/>
      <c r="L204" s="10"/>
      <c r="M204" s="39">
        <f t="shared" si="127"/>
        <v>1</v>
      </c>
      <c r="N204" s="138">
        <f t="shared" si="128"/>
        <v>3</v>
      </c>
      <c r="O204" s="21">
        <v>45446</v>
      </c>
      <c r="P204" s="4" t="s">
        <v>233</v>
      </c>
      <c r="Q204" s="9">
        <v>1</v>
      </c>
      <c r="R204" s="10">
        <v>2</v>
      </c>
      <c r="S204" s="10"/>
      <c r="T204" s="8">
        <f t="shared" si="129"/>
        <v>3</v>
      </c>
      <c r="U204" s="9">
        <v>1</v>
      </c>
      <c r="V204" s="10">
        <v>2</v>
      </c>
      <c r="W204" s="10"/>
      <c r="X204" s="8">
        <f t="shared" si="130"/>
        <v>3</v>
      </c>
      <c r="Y204" s="9">
        <v>1</v>
      </c>
      <c r="Z204" s="10">
        <v>2</v>
      </c>
      <c r="AA204" s="10"/>
      <c r="AB204" s="8">
        <f t="shared" si="131"/>
        <v>3</v>
      </c>
      <c r="AC204" s="86">
        <f t="shared" si="132"/>
        <v>9</v>
      </c>
      <c r="AD204" s="109">
        <v>45443</v>
      </c>
    </row>
    <row r="205" spans="1:31" x14ac:dyDescent="0.15">
      <c r="A205" s="33" t="s">
        <v>152</v>
      </c>
      <c r="B205" s="9"/>
      <c r="C205" s="10"/>
      <c r="D205" s="10"/>
      <c r="E205" s="8">
        <f t="shared" si="125"/>
        <v>0</v>
      </c>
      <c r="F205" s="9"/>
      <c r="G205" s="10">
        <v>1</v>
      </c>
      <c r="H205" s="10"/>
      <c r="I205" s="8">
        <f t="shared" si="126"/>
        <v>1</v>
      </c>
      <c r="J205" s="9"/>
      <c r="K205" s="10"/>
      <c r="L205" s="10"/>
      <c r="M205" s="39">
        <f t="shared" si="127"/>
        <v>0</v>
      </c>
      <c r="N205" s="138">
        <f t="shared" si="128"/>
        <v>1</v>
      </c>
      <c r="O205" s="21">
        <v>45447</v>
      </c>
      <c r="P205" s="11"/>
      <c r="Q205" s="9"/>
      <c r="R205" s="10"/>
      <c r="S205" s="10"/>
      <c r="T205" s="8">
        <f t="shared" si="129"/>
        <v>0</v>
      </c>
      <c r="U205" s="9"/>
      <c r="V205" s="10"/>
      <c r="W205" s="10"/>
      <c r="X205" s="8">
        <f t="shared" si="130"/>
        <v>0</v>
      </c>
      <c r="Y205" s="9"/>
      <c r="Z205" s="10"/>
      <c r="AA205" s="10"/>
      <c r="AB205" s="8">
        <f t="shared" si="131"/>
        <v>0</v>
      </c>
      <c r="AC205" s="86">
        <f t="shared" si="132"/>
        <v>0</v>
      </c>
    </row>
    <row r="206" spans="1:31" x14ac:dyDescent="0.15">
      <c r="A206" s="33" t="s">
        <v>36</v>
      </c>
      <c r="B206" s="9">
        <v>1</v>
      </c>
      <c r="C206" s="10"/>
      <c r="D206" s="10">
        <v>1</v>
      </c>
      <c r="E206" s="8">
        <f t="shared" si="125"/>
        <v>2</v>
      </c>
      <c r="F206" s="9">
        <v>1</v>
      </c>
      <c r="G206" s="10"/>
      <c r="H206" s="10">
        <v>1</v>
      </c>
      <c r="I206" s="8">
        <f t="shared" si="126"/>
        <v>2</v>
      </c>
      <c r="J206" s="9">
        <v>1</v>
      </c>
      <c r="K206" s="10"/>
      <c r="L206" s="10">
        <v>1</v>
      </c>
      <c r="M206" s="39">
        <f t="shared" si="127"/>
        <v>2</v>
      </c>
      <c r="N206" s="138">
        <f t="shared" si="128"/>
        <v>6</v>
      </c>
      <c r="O206" s="21">
        <v>45446</v>
      </c>
      <c r="P206" s="11"/>
      <c r="Q206" s="9"/>
      <c r="R206" s="10"/>
      <c r="S206" s="10"/>
      <c r="T206" s="8">
        <f t="shared" ref="T206:T212" si="140">SUM(Q206:S206)</f>
        <v>0</v>
      </c>
      <c r="U206" s="9"/>
      <c r="V206" s="10"/>
      <c r="W206" s="10"/>
      <c r="X206" s="8">
        <f t="shared" ref="X206:X212" si="141">SUM(U206:W206)</f>
        <v>0</v>
      </c>
      <c r="Y206" s="9"/>
      <c r="Z206" s="10"/>
      <c r="AA206" s="10"/>
      <c r="AB206" s="8">
        <f t="shared" ref="AB206:AB212" si="142">SUM(Y206:AA206)</f>
        <v>0</v>
      </c>
      <c r="AC206" s="86">
        <f t="shared" ref="AC206:AC212" si="143">T206+X206+AB206</f>
        <v>0</v>
      </c>
    </row>
    <row r="207" spans="1:31" x14ac:dyDescent="0.15">
      <c r="A207" s="33" t="s">
        <v>236</v>
      </c>
      <c r="B207" s="9">
        <v>3</v>
      </c>
      <c r="C207" s="10">
        <v>3</v>
      </c>
      <c r="D207" s="10"/>
      <c r="E207" s="8">
        <f t="shared" si="125"/>
        <v>6</v>
      </c>
      <c r="F207" s="9">
        <v>3</v>
      </c>
      <c r="G207" s="10">
        <v>3</v>
      </c>
      <c r="H207" s="10"/>
      <c r="I207" s="8">
        <f t="shared" si="126"/>
        <v>6</v>
      </c>
      <c r="J207" s="9">
        <v>3</v>
      </c>
      <c r="K207" s="10">
        <v>3</v>
      </c>
      <c r="L207" s="10"/>
      <c r="M207" s="39">
        <f t="shared" si="127"/>
        <v>6</v>
      </c>
      <c r="N207" s="138">
        <f t="shared" si="128"/>
        <v>18</v>
      </c>
      <c r="O207" s="21">
        <v>45449</v>
      </c>
      <c r="P207" s="11"/>
      <c r="Q207" s="9"/>
      <c r="R207" s="10"/>
      <c r="S207" s="10"/>
      <c r="T207" s="8">
        <f t="shared" si="140"/>
        <v>0</v>
      </c>
      <c r="U207" s="9"/>
      <c r="V207" s="10"/>
      <c r="W207" s="10"/>
      <c r="X207" s="8">
        <f t="shared" si="141"/>
        <v>0</v>
      </c>
      <c r="Y207" s="9"/>
      <c r="Z207" s="10"/>
      <c r="AA207" s="10"/>
      <c r="AB207" s="8">
        <f t="shared" si="142"/>
        <v>0</v>
      </c>
      <c r="AC207" s="86">
        <f t="shared" si="143"/>
        <v>0</v>
      </c>
    </row>
    <row r="208" spans="1:31" x14ac:dyDescent="0.15">
      <c r="A208" s="33" t="s">
        <v>36</v>
      </c>
      <c r="B208" s="9">
        <v>1</v>
      </c>
      <c r="C208" s="10"/>
      <c r="D208" s="10"/>
      <c r="E208" s="8">
        <f t="shared" si="125"/>
        <v>1</v>
      </c>
      <c r="F208" s="9">
        <v>1</v>
      </c>
      <c r="G208" s="10"/>
      <c r="H208" s="10"/>
      <c r="I208" s="8">
        <f t="shared" si="126"/>
        <v>1</v>
      </c>
      <c r="J208" s="9">
        <v>1</v>
      </c>
      <c r="K208" s="10"/>
      <c r="L208" s="10"/>
      <c r="M208" s="39">
        <f t="shared" si="127"/>
        <v>1</v>
      </c>
      <c r="N208" s="138">
        <f t="shared" si="128"/>
        <v>3</v>
      </c>
      <c r="O208" s="21">
        <v>45447</v>
      </c>
      <c r="P208" s="11"/>
      <c r="Q208" s="9"/>
      <c r="R208" s="10"/>
      <c r="S208" s="10"/>
      <c r="T208" s="8">
        <f t="shared" ref="T208" si="144">SUM(Q208:S208)</f>
        <v>0</v>
      </c>
      <c r="U208" s="9"/>
      <c r="V208" s="10"/>
      <c r="W208" s="10"/>
      <c r="X208" s="8">
        <f t="shared" ref="X208" si="145">SUM(U208:W208)</f>
        <v>0</v>
      </c>
      <c r="Y208" s="9"/>
      <c r="Z208" s="10"/>
      <c r="AA208" s="10"/>
      <c r="AB208" s="8">
        <f t="shared" ref="AB208" si="146">SUM(Y208:AA208)</f>
        <v>0</v>
      </c>
      <c r="AC208" s="86">
        <f t="shared" ref="AC208" si="147">T208+X208+AB208</f>
        <v>0</v>
      </c>
    </row>
    <row r="209" spans="1:30" x14ac:dyDescent="0.15">
      <c r="A209" s="33" t="s">
        <v>36</v>
      </c>
      <c r="B209" s="9"/>
      <c r="C209" s="10">
        <v>1</v>
      </c>
      <c r="D209" s="10"/>
      <c r="E209" s="8">
        <f t="shared" si="125"/>
        <v>1</v>
      </c>
      <c r="F209" s="9"/>
      <c r="G209" s="10">
        <v>1</v>
      </c>
      <c r="H209" s="10"/>
      <c r="I209" s="8">
        <f t="shared" si="126"/>
        <v>1</v>
      </c>
      <c r="J209" s="9"/>
      <c r="K209" s="10">
        <v>1</v>
      </c>
      <c r="L209" s="10"/>
      <c r="M209" s="39">
        <f t="shared" si="127"/>
        <v>1</v>
      </c>
      <c r="N209" s="138">
        <f t="shared" si="128"/>
        <v>3</v>
      </c>
      <c r="O209" s="21">
        <v>45449</v>
      </c>
      <c r="P209" s="11" t="s">
        <v>26</v>
      </c>
      <c r="Q209" s="9"/>
      <c r="R209" s="10"/>
      <c r="S209" s="10"/>
      <c r="T209" s="8">
        <f t="shared" ref="T209" si="148">SUM(Q209:S209)</f>
        <v>0</v>
      </c>
      <c r="U209" s="9"/>
      <c r="V209" s="10"/>
      <c r="W209" s="10"/>
      <c r="X209" s="8">
        <f t="shared" ref="X209" si="149">SUM(U209:W209)</f>
        <v>0</v>
      </c>
      <c r="Y209" s="9"/>
      <c r="Z209" s="10"/>
      <c r="AA209" s="10"/>
      <c r="AB209" s="8">
        <f t="shared" ref="AB209" si="150">SUM(Y209:AA209)</f>
        <v>0</v>
      </c>
      <c r="AC209" s="86">
        <f t="shared" ref="AC209" si="151">T209+X209+AB209</f>
        <v>0</v>
      </c>
      <c r="AD209" s="116" t="s">
        <v>25</v>
      </c>
    </row>
    <row r="210" spans="1:30" x14ac:dyDescent="0.15">
      <c r="A210" s="33"/>
      <c r="B210" s="9"/>
      <c r="C210" s="10"/>
      <c r="D210" s="10"/>
      <c r="E210" s="8">
        <f t="shared" si="125"/>
        <v>0</v>
      </c>
      <c r="F210" s="9"/>
      <c r="G210" s="10"/>
      <c r="H210" s="10"/>
      <c r="I210" s="8">
        <f t="shared" si="126"/>
        <v>0</v>
      </c>
      <c r="J210" s="9"/>
      <c r="K210" s="10"/>
      <c r="L210" s="10"/>
      <c r="M210" s="39">
        <f t="shared" si="127"/>
        <v>0</v>
      </c>
      <c r="N210" s="138">
        <f t="shared" si="128"/>
        <v>0</v>
      </c>
      <c r="O210" s="21"/>
      <c r="P210" s="11" t="s">
        <v>193</v>
      </c>
      <c r="Q210" s="60"/>
      <c r="R210" s="61"/>
      <c r="S210" s="61"/>
      <c r="T210" s="8">
        <f t="shared" si="140"/>
        <v>0</v>
      </c>
      <c r="U210" s="60"/>
      <c r="V210" s="61"/>
      <c r="W210" s="61"/>
      <c r="X210" s="8">
        <f t="shared" si="141"/>
        <v>0</v>
      </c>
      <c r="Y210" s="60"/>
      <c r="Z210" s="61"/>
      <c r="AA210" s="61"/>
      <c r="AB210" s="8">
        <f t="shared" si="142"/>
        <v>0</v>
      </c>
      <c r="AC210" s="86">
        <f t="shared" si="143"/>
        <v>0</v>
      </c>
      <c r="AD210" s="116" t="s">
        <v>92</v>
      </c>
    </row>
    <row r="211" spans="1:30" x14ac:dyDescent="0.15">
      <c r="A211" s="33"/>
      <c r="B211" s="9"/>
      <c r="C211" s="10"/>
      <c r="D211" s="10"/>
      <c r="E211" s="8">
        <f t="shared" si="125"/>
        <v>0</v>
      </c>
      <c r="F211" s="9"/>
      <c r="G211" s="10"/>
      <c r="H211" s="10"/>
      <c r="I211" s="8">
        <f t="shared" si="126"/>
        <v>0</v>
      </c>
      <c r="J211" s="9"/>
      <c r="K211" s="10"/>
      <c r="L211" s="10"/>
      <c r="M211" s="39">
        <f t="shared" si="127"/>
        <v>0</v>
      </c>
      <c r="N211" s="138">
        <f t="shared" si="128"/>
        <v>0</v>
      </c>
      <c r="O211" s="21"/>
      <c r="P211" s="11" t="s">
        <v>131</v>
      </c>
      <c r="Q211" s="60"/>
      <c r="R211" s="61"/>
      <c r="S211" s="61"/>
      <c r="T211" s="8">
        <f t="shared" si="140"/>
        <v>0</v>
      </c>
      <c r="U211" s="60"/>
      <c r="V211" s="61"/>
      <c r="W211" s="61"/>
      <c r="X211" s="8">
        <f t="shared" si="141"/>
        <v>0</v>
      </c>
      <c r="Y211" s="9"/>
      <c r="Z211" s="10"/>
      <c r="AA211" s="10"/>
      <c r="AB211" s="8">
        <f t="shared" si="142"/>
        <v>0</v>
      </c>
      <c r="AC211" s="86">
        <f t="shared" si="143"/>
        <v>0</v>
      </c>
      <c r="AD211" s="109" t="s">
        <v>132</v>
      </c>
    </row>
    <row r="212" spans="1:30" ht="14.25" thickBot="1" x14ac:dyDescent="0.2">
      <c r="A212" s="63"/>
      <c r="B212" s="9"/>
      <c r="C212" s="10"/>
      <c r="D212" s="22"/>
      <c r="E212" s="8">
        <f t="shared" si="125"/>
        <v>0</v>
      </c>
      <c r="F212" s="9"/>
      <c r="G212" s="10"/>
      <c r="H212" s="22"/>
      <c r="I212" s="8">
        <f t="shared" si="126"/>
        <v>0</v>
      </c>
      <c r="J212" s="9"/>
      <c r="K212" s="10"/>
      <c r="L212" s="22"/>
      <c r="M212" s="39">
        <f t="shared" si="127"/>
        <v>0</v>
      </c>
      <c r="N212" s="139">
        <f t="shared" si="128"/>
        <v>0</v>
      </c>
      <c r="O212" s="21"/>
      <c r="P212" s="11" t="s">
        <v>127</v>
      </c>
      <c r="Q212" s="60"/>
      <c r="R212" s="61"/>
      <c r="S212" s="61"/>
      <c r="T212" s="8">
        <f t="shared" si="140"/>
        <v>0</v>
      </c>
      <c r="U212" s="60"/>
      <c r="V212" s="61"/>
      <c r="W212" s="61"/>
      <c r="X212" s="8">
        <f t="shared" si="141"/>
        <v>0</v>
      </c>
      <c r="Y212" s="9"/>
      <c r="Z212" s="10"/>
      <c r="AA212" s="10"/>
      <c r="AB212" s="8">
        <f t="shared" si="142"/>
        <v>0</v>
      </c>
      <c r="AC212" s="86">
        <f t="shared" si="143"/>
        <v>0</v>
      </c>
      <c r="AD212" s="109" t="s">
        <v>128</v>
      </c>
    </row>
    <row r="213" spans="1:30" ht="14.25" thickBot="1" x14ac:dyDescent="0.2">
      <c r="A213" s="104" t="s">
        <v>5</v>
      </c>
      <c r="B213" s="12">
        <f>SUM(B189:B212)</f>
        <v>14</v>
      </c>
      <c r="C213" s="12">
        <f>SUM(C189:C212)</f>
        <v>14</v>
      </c>
      <c r="D213" s="12">
        <f>SUM(D189:D212)</f>
        <v>24</v>
      </c>
      <c r="E213" s="13">
        <f t="shared" si="125"/>
        <v>52</v>
      </c>
      <c r="F213" s="12">
        <f>SUM(F189:F212)</f>
        <v>20</v>
      </c>
      <c r="G213" s="12">
        <f>SUM(G189:G212)</f>
        <v>14</v>
      </c>
      <c r="H213" s="12">
        <f>SUM(H189:H212)</f>
        <v>23</v>
      </c>
      <c r="I213" s="13">
        <f t="shared" si="126"/>
        <v>57</v>
      </c>
      <c r="J213" s="12">
        <f>SUM(J189:J212)</f>
        <v>14</v>
      </c>
      <c r="K213" s="12">
        <f>SUM(K189:K212)</f>
        <v>15</v>
      </c>
      <c r="L213" s="12">
        <f>SUM(L189:L212)</f>
        <v>23</v>
      </c>
      <c r="M213" s="12">
        <f t="shared" si="127"/>
        <v>52</v>
      </c>
      <c r="N213" s="142">
        <f t="shared" si="128"/>
        <v>161</v>
      </c>
      <c r="O213" s="1"/>
      <c r="P213" s="3" t="s">
        <v>5</v>
      </c>
      <c r="Q213" s="12">
        <f>SUM(Q189:Q212)</f>
        <v>75</v>
      </c>
      <c r="R213" s="12">
        <f>SUM(R189:R212)</f>
        <v>125</v>
      </c>
      <c r="S213" s="12">
        <f>SUM(S189:S212)</f>
        <v>94</v>
      </c>
      <c r="T213" s="13">
        <f t="shared" si="129"/>
        <v>294</v>
      </c>
      <c r="U213" s="12">
        <f>SUM(U189:U212)</f>
        <v>75</v>
      </c>
      <c r="V213" s="12">
        <f>SUM(V189:V212)</f>
        <v>125</v>
      </c>
      <c r="W213" s="12">
        <f>SUM(W189:W212)</f>
        <v>93</v>
      </c>
      <c r="X213" s="13">
        <f t="shared" si="130"/>
        <v>293</v>
      </c>
      <c r="Y213" s="12">
        <f>SUM(Y189:Y212)</f>
        <v>75</v>
      </c>
      <c r="Z213" s="12">
        <f>SUM(Z189:Z212)</f>
        <v>115</v>
      </c>
      <c r="AA213" s="12">
        <f>SUM(AA189:AA212)</f>
        <v>87</v>
      </c>
      <c r="AB213" s="13">
        <f t="shared" si="131"/>
        <v>277</v>
      </c>
      <c r="AC213" s="88">
        <f t="shared" si="132"/>
        <v>864</v>
      </c>
    </row>
    <row r="214" spans="1:30" ht="14.25" thickBot="1" x14ac:dyDescent="0.2">
      <c r="A214" s="105" t="s">
        <v>6</v>
      </c>
      <c r="B214" s="20">
        <f>B188-B213</f>
        <v>17</v>
      </c>
      <c r="C214" s="20">
        <f t="shared" ref="C214:E214" si="152">C188-C213</f>
        <v>15</v>
      </c>
      <c r="D214" s="20">
        <f t="shared" si="152"/>
        <v>17</v>
      </c>
      <c r="E214" s="18">
        <f t="shared" si="152"/>
        <v>49</v>
      </c>
      <c r="F214" s="20">
        <f>F188-F213</f>
        <v>14</v>
      </c>
      <c r="G214" s="20">
        <f t="shared" ref="G214:I214" si="153">G188-G213</f>
        <v>18</v>
      </c>
      <c r="H214" s="20">
        <f t="shared" si="153"/>
        <v>16</v>
      </c>
      <c r="I214" s="18">
        <f t="shared" si="153"/>
        <v>48</v>
      </c>
      <c r="J214" s="20">
        <f>J188-J213</f>
        <v>10</v>
      </c>
      <c r="K214" s="20">
        <f t="shared" ref="K214:M214" si="154">K188-K213</f>
        <v>13</v>
      </c>
      <c r="L214" s="20">
        <f t="shared" si="154"/>
        <v>11</v>
      </c>
      <c r="M214" s="20">
        <f t="shared" si="154"/>
        <v>34</v>
      </c>
      <c r="N214" s="140">
        <f t="shared" si="128"/>
        <v>131</v>
      </c>
      <c r="O214" s="1"/>
      <c r="P214" s="19" t="s">
        <v>6</v>
      </c>
      <c r="Q214" s="20">
        <f>Q188-Q213</f>
        <v>233</v>
      </c>
      <c r="R214" s="20">
        <f t="shared" ref="R214:T214" si="155">R188-R213</f>
        <v>71</v>
      </c>
      <c r="S214" s="20">
        <f t="shared" si="155"/>
        <v>0</v>
      </c>
      <c r="T214" s="18">
        <f t="shared" si="155"/>
        <v>304</v>
      </c>
      <c r="U214" s="20">
        <f>U188-U213</f>
        <v>247</v>
      </c>
      <c r="V214" s="20">
        <f t="shared" ref="V214:X214" si="156">V188-V213</f>
        <v>93</v>
      </c>
      <c r="W214" s="20">
        <f t="shared" si="156"/>
        <v>17</v>
      </c>
      <c r="X214" s="18">
        <f t="shared" si="156"/>
        <v>357</v>
      </c>
      <c r="Y214" s="20">
        <f>Y188-Y213</f>
        <v>228</v>
      </c>
      <c r="Z214" s="20">
        <f t="shared" ref="Z214:AB214" si="157">Z188-Z213</f>
        <v>82</v>
      </c>
      <c r="AA214" s="20">
        <f t="shared" si="157"/>
        <v>0</v>
      </c>
      <c r="AB214" s="18">
        <f t="shared" si="157"/>
        <v>310</v>
      </c>
      <c r="AC214" s="88">
        <f t="shared" si="132"/>
        <v>971</v>
      </c>
    </row>
    <row r="215" spans="1:30" x14ac:dyDescent="0.15">
      <c r="Q215" s="80">
        <f>Q213+Q170+Q127+Q86</f>
        <v>483</v>
      </c>
      <c r="R215" s="80">
        <f t="shared" ref="R215:AC215" si="158">R213+R170+R127+R86</f>
        <v>730</v>
      </c>
      <c r="S215" s="80">
        <f t="shared" si="158"/>
        <v>562</v>
      </c>
      <c r="T215" s="80">
        <f t="shared" si="158"/>
        <v>1775</v>
      </c>
      <c r="U215" s="80">
        <f t="shared" si="158"/>
        <v>458</v>
      </c>
      <c r="V215" s="80">
        <f t="shared" si="158"/>
        <v>715</v>
      </c>
      <c r="W215" s="80">
        <f t="shared" si="158"/>
        <v>541</v>
      </c>
      <c r="X215" s="80">
        <f t="shared" si="158"/>
        <v>1714</v>
      </c>
      <c r="Y215" s="80">
        <f t="shared" si="158"/>
        <v>478</v>
      </c>
      <c r="Z215" s="80">
        <f t="shared" si="158"/>
        <v>730</v>
      </c>
      <c r="AA215" s="80">
        <f t="shared" si="158"/>
        <v>560</v>
      </c>
      <c r="AB215" s="80">
        <f t="shared" si="158"/>
        <v>1768</v>
      </c>
      <c r="AC215" s="85">
        <f t="shared" si="158"/>
        <v>5257</v>
      </c>
    </row>
    <row r="216" spans="1:30" x14ac:dyDescent="0.15">
      <c r="Q216" s="65">
        <f>Q215/$T$215*100</f>
        <v>27.211267605633804</v>
      </c>
      <c r="R216" s="65">
        <f t="shared" ref="R216:T216" si="159">R215/$T$215*100</f>
        <v>41.12676056338028</v>
      </c>
      <c r="S216" s="65">
        <f t="shared" si="159"/>
        <v>31.661971830985912</v>
      </c>
      <c r="T216" s="65">
        <f t="shared" si="159"/>
        <v>100</v>
      </c>
      <c r="U216" s="65">
        <f>U215/$X$215*100</f>
        <v>26.721120186697782</v>
      </c>
      <c r="V216" s="65">
        <f t="shared" ref="V216:X216" si="160">V215/$X$215*100</f>
        <v>41.715285880980161</v>
      </c>
      <c r="W216" s="65">
        <f t="shared" si="160"/>
        <v>31.563593932322053</v>
      </c>
      <c r="X216" s="65">
        <f t="shared" si="160"/>
        <v>100</v>
      </c>
      <c r="Y216" s="65">
        <f>Y215/$AB$215*100</f>
        <v>27.036199095022624</v>
      </c>
      <c r="Z216" s="65">
        <f t="shared" ref="Z216:AB216" si="161">Z215/$AB$215*100</f>
        <v>41.289592760180994</v>
      </c>
      <c r="AA216" s="65">
        <f t="shared" si="161"/>
        <v>31.674208144796378</v>
      </c>
      <c r="AB216" s="65">
        <f t="shared" si="161"/>
        <v>100</v>
      </c>
    </row>
    <row r="217" spans="1:30" ht="19.5" thickBot="1" x14ac:dyDescent="0.25">
      <c r="A217" s="108" t="s">
        <v>264</v>
      </c>
      <c r="B217" s="47"/>
      <c r="C217" s="47"/>
      <c r="D217" s="47"/>
      <c r="E217" s="47"/>
      <c r="F217" s="48"/>
      <c r="G217" s="48"/>
      <c r="H217" s="48"/>
      <c r="I217" s="48"/>
      <c r="J217" s="48"/>
      <c r="K217" s="48"/>
      <c r="L217" s="1"/>
      <c r="M217" s="1"/>
      <c r="N217" s="137"/>
      <c r="O217" s="1"/>
      <c r="P217" s="43" t="s">
        <v>263</v>
      </c>
      <c r="Q217" s="44"/>
      <c r="R217" s="44"/>
      <c r="S217" s="44"/>
      <c r="T217" s="44"/>
      <c r="U217" s="45"/>
      <c r="V217" s="45"/>
      <c r="W217" s="45"/>
      <c r="X217" s="45"/>
      <c r="Y217" s="46"/>
      <c r="Z217" s="53"/>
      <c r="AA217" s="1"/>
      <c r="AB217" s="1"/>
    </row>
    <row r="218" spans="1:30" ht="14.25" thickBot="1" x14ac:dyDescent="0.2">
      <c r="A218" s="100" t="s">
        <v>0</v>
      </c>
      <c r="B218" s="337" t="s">
        <v>11</v>
      </c>
      <c r="C218" s="337"/>
      <c r="D218" s="337"/>
      <c r="E218" s="338"/>
      <c r="F218" s="339" t="s">
        <v>9</v>
      </c>
      <c r="G218" s="340"/>
      <c r="H218" s="340"/>
      <c r="I218" s="341"/>
      <c r="J218" s="342" t="s">
        <v>12</v>
      </c>
      <c r="K218" s="343"/>
      <c r="L218" s="343"/>
      <c r="M218" s="343"/>
      <c r="N218" s="347" t="s">
        <v>13</v>
      </c>
      <c r="O218" s="1"/>
      <c r="P218" s="2" t="s">
        <v>0</v>
      </c>
      <c r="Q218" s="337" t="s">
        <v>11</v>
      </c>
      <c r="R218" s="337"/>
      <c r="S218" s="337"/>
      <c r="T218" s="338"/>
      <c r="U218" s="339" t="s">
        <v>9</v>
      </c>
      <c r="V218" s="340"/>
      <c r="W218" s="340"/>
      <c r="X218" s="341"/>
      <c r="Y218" s="342" t="s">
        <v>12</v>
      </c>
      <c r="Z218" s="343"/>
      <c r="AA218" s="343"/>
      <c r="AB218" s="343"/>
      <c r="AC218" s="345" t="s">
        <v>13</v>
      </c>
    </row>
    <row r="219" spans="1:30" ht="14.25" thickBot="1" x14ac:dyDescent="0.2">
      <c r="A219" s="100" t="s">
        <v>1</v>
      </c>
      <c r="B219" s="3" t="s">
        <v>7</v>
      </c>
      <c r="C219" s="2" t="s">
        <v>10</v>
      </c>
      <c r="D219" s="2" t="s">
        <v>8</v>
      </c>
      <c r="E219" s="2" t="s">
        <v>2</v>
      </c>
      <c r="F219" s="3" t="s">
        <v>7</v>
      </c>
      <c r="G219" s="2" t="s">
        <v>10</v>
      </c>
      <c r="H219" s="2" t="s">
        <v>8</v>
      </c>
      <c r="I219" s="2" t="s">
        <v>2</v>
      </c>
      <c r="J219" s="3" t="s">
        <v>7</v>
      </c>
      <c r="K219" s="2" t="s">
        <v>10</v>
      </c>
      <c r="L219" s="2" t="s">
        <v>8</v>
      </c>
      <c r="M219" s="3" t="s">
        <v>2</v>
      </c>
      <c r="N219" s="348"/>
      <c r="O219" s="1"/>
      <c r="P219" s="2" t="s">
        <v>1</v>
      </c>
      <c r="Q219" s="3" t="s">
        <v>7</v>
      </c>
      <c r="R219" s="2" t="s">
        <v>10</v>
      </c>
      <c r="S219" s="2" t="s">
        <v>8</v>
      </c>
      <c r="T219" s="2" t="s">
        <v>2</v>
      </c>
      <c r="U219" s="3" t="s">
        <v>7</v>
      </c>
      <c r="V219" s="2" t="s">
        <v>10</v>
      </c>
      <c r="W219" s="2" t="s">
        <v>8</v>
      </c>
      <c r="X219" s="2" t="s">
        <v>2</v>
      </c>
      <c r="Y219" s="3" t="s">
        <v>7</v>
      </c>
      <c r="Z219" s="2" t="s">
        <v>10</v>
      </c>
      <c r="AA219" s="2" t="s">
        <v>8</v>
      </c>
      <c r="AB219" s="2" t="s">
        <v>2</v>
      </c>
      <c r="AC219" s="346"/>
    </row>
    <row r="220" spans="1:30" x14ac:dyDescent="0.15">
      <c r="A220" s="106" t="s">
        <v>6</v>
      </c>
      <c r="B220" s="41">
        <f>B214</f>
        <v>17</v>
      </c>
      <c r="C220" s="41">
        <f t="shared" ref="C220:E220" si="162">C214</f>
        <v>15</v>
      </c>
      <c r="D220" s="41">
        <f t="shared" si="162"/>
        <v>17</v>
      </c>
      <c r="E220" s="42">
        <f t="shared" si="162"/>
        <v>49</v>
      </c>
      <c r="F220" s="41">
        <f>F214</f>
        <v>14</v>
      </c>
      <c r="G220" s="41">
        <f t="shared" ref="G220:I220" si="163">G214</f>
        <v>18</v>
      </c>
      <c r="H220" s="41">
        <f t="shared" si="163"/>
        <v>16</v>
      </c>
      <c r="I220" s="42">
        <f t="shared" si="163"/>
        <v>48</v>
      </c>
      <c r="J220" s="41">
        <f>J214</f>
        <v>10</v>
      </c>
      <c r="K220" s="41">
        <f t="shared" ref="K220:M220" si="164">K214</f>
        <v>13</v>
      </c>
      <c r="L220" s="41">
        <f t="shared" si="164"/>
        <v>11</v>
      </c>
      <c r="M220" s="42">
        <f t="shared" si="164"/>
        <v>34</v>
      </c>
      <c r="N220" s="143">
        <f>E220+I220+M220</f>
        <v>131</v>
      </c>
      <c r="O220" s="24"/>
      <c r="P220" s="36" t="s">
        <v>6</v>
      </c>
      <c r="Q220" s="41">
        <f>Q214</f>
        <v>233</v>
      </c>
      <c r="R220" s="41">
        <f t="shared" ref="R220:T220" si="165">R214</f>
        <v>71</v>
      </c>
      <c r="S220" s="41">
        <f t="shared" si="165"/>
        <v>0</v>
      </c>
      <c r="T220" s="42">
        <f t="shared" si="165"/>
        <v>304</v>
      </c>
      <c r="U220" s="41">
        <f>U214</f>
        <v>247</v>
      </c>
      <c r="V220" s="41">
        <f t="shared" ref="V220:X220" si="166">V214</f>
        <v>93</v>
      </c>
      <c r="W220" s="41">
        <f t="shared" si="166"/>
        <v>17</v>
      </c>
      <c r="X220" s="42">
        <f t="shared" si="166"/>
        <v>357</v>
      </c>
      <c r="Y220" s="41">
        <f>Y214</f>
        <v>228</v>
      </c>
      <c r="Z220" s="41">
        <f t="shared" ref="Z220:AB220" si="167">Z214</f>
        <v>82</v>
      </c>
      <c r="AA220" s="41">
        <f t="shared" si="167"/>
        <v>0</v>
      </c>
      <c r="AB220" s="42">
        <f t="shared" si="167"/>
        <v>310</v>
      </c>
      <c r="AC220" s="90">
        <f>T220+X220+AB220</f>
        <v>971</v>
      </c>
    </row>
    <row r="221" spans="1:30" x14ac:dyDescent="0.15">
      <c r="A221" s="102" t="s">
        <v>249</v>
      </c>
      <c r="B221" s="25">
        <v>5</v>
      </c>
      <c r="C221" s="26">
        <v>5</v>
      </c>
      <c r="D221" s="26">
        <v>1</v>
      </c>
      <c r="E221" s="5">
        <f t="shared" ref="E221:E256" si="168">SUM(B221:D221)</f>
        <v>11</v>
      </c>
      <c r="F221" s="25">
        <v>2</v>
      </c>
      <c r="G221" s="26">
        <v>4</v>
      </c>
      <c r="H221" s="26"/>
      <c r="I221" s="5">
        <f t="shared" ref="I221:I256" si="169">SUM(F221:H221)</f>
        <v>6</v>
      </c>
      <c r="J221" s="25">
        <v>5</v>
      </c>
      <c r="K221" s="26">
        <v>4</v>
      </c>
      <c r="L221" s="26"/>
      <c r="M221" s="38">
        <f t="shared" ref="M221:M256" si="170">SUM(J221:L221)</f>
        <v>9</v>
      </c>
      <c r="N221" s="138">
        <f t="shared" ref="N221:N257" si="171">E221+I221+M221</f>
        <v>26</v>
      </c>
      <c r="O221" s="24">
        <v>45456</v>
      </c>
      <c r="P221" s="6" t="s">
        <v>3</v>
      </c>
      <c r="Q221" s="14"/>
      <c r="R221" s="11"/>
      <c r="S221" s="11"/>
      <c r="T221" s="5">
        <f t="shared" ref="T221:T256" si="172">SUM(Q221:S221)</f>
        <v>0</v>
      </c>
      <c r="U221" s="14"/>
      <c r="V221" s="11"/>
      <c r="W221" s="11"/>
      <c r="X221" s="5">
        <f t="shared" ref="X221:X256" si="173">SUM(U221:W221)</f>
        <v>0</v>
      </c>
      <c r="Y221" s="25"/>
      <c r="Z221" s="26"/>
      <c r="AA221" s="26"/>
      <c r="AB221" s="5">
        <f t="shared" ref="AB221:AB256" si="174">SUM(Y221:AA221)</f>
        <v>0</v>
      </c>
      <c r="AC221" s="86">
        <f t="shared" ref="AC221:AC257" si="175">T221+X221+AB221</f>
        <v>0</v>
      </c>
    </row>
    <row r="222" spans="1:30" x14ac:dyDescent="0.15">
      <c r="A222" s="102" t="s">
        <v>3</v>
      </c>
      <c r="B222" s="14"/>
      <c r="C222" s="11"/>
      <c r="D222" s="11"/>
      <c r="E222" s="5">
        <f t="shared" si="168"/>
        <v>0</v>
      </c>
      <c r="F222" s="34"/>
      <c r="G222" s="11"/>
      <c r="H222" s="11"/>
      <c r="I222" s="5">
        <f t="shared" si="169"/>
        <v>0</v>
      </c>
      <c r="J222" s="34">
        <v>10</v>
      </c>
      <c r="K222" s="11">
        <v>10</v>
      </c>
      <c r="L222" s="11">
        <v>10</v>
      </c>
      <c r="M222" s="38">
        <f t="shared" si="170"/>
        <v>30</v>
      </c>
      <c r="N222" s="138">
        <f t="shared" si="171"/>
        <v>30</v>
      </c>
      <c r="O222" s="21">
        <v>45462</v>
      </c>
      <c r="P222" s="6" t="s">
        <v>3</v>
      </c>
      <c r="Q222" s="25"/>
      <c r="R222" s="26"/>
      <c r="S222" s="26">
        <v>-50</v>
      </c>
      <c r="T222" s="8">
        <f t="shared" si="172"/>
        <v>-50</v>
      </c>
      <c r="U222" s="25"/>
      <c r="V222" s="26"/>
      <c r="W222" s="26">
        <v>-50</v>
      </c>
      <c r="X222" s="8">
        <f t="shared" si="173"/>
        <v>-50</v>
      </c>
      <c r="Y222" s="34"/>
      <c r="Z222" s="11"/>
      <c r="AA222" s="11">
        <v>-50</v>
      </c>
      <c r="AB222" s="5">
        <f t="shared" si="174"/>
        <v>-50</v>
      </c>
      <c r="AC222" s="94">
        <f t="shared" si="175"/>
        <v>-150</v>
      </c>
    </row>
    <row r="223" spans="1:30" x14ac:dyDescent="0.15">
      <c r="A223" s="102" t="s">
        <v>3</v>
      </c>
      <c r="B223" s="14"/>
      <c r="C223" s="11">
        <v>10</v>
      </c>
      <c r="D223" s="11"/>
      <c r="E223" s="5">
        <f t="shared" si="168"/>
        <v>10</v>
      </c>
      <c r="F223" s="34">
        <v>5</v>
      </c>
      <c r="G223" s="11">
        <v>5</v>
      </c>
      <c r="H223" s="11">
        <v>5</v>
      </c>
      <c r="I223" s="5">
        <f t="shared" si="169"/>
        <v>15</v>
      </c>
      <c r="J223" s="34"/>
      <c r="K223" s="11"/>
      <c r="L223" s="11"/>
      <c r="M223" s="38">
        <f t="shared" si="170"/>
        <v>0</v>
      </c>
      <c r="N223" s="138">
        <f t="shared" si="171"/>
        <v>25</v>
      </c>
      <c r="O223" s="21">
        <v>45471</v>
      </c>
      <c r="P223" s="6" t="s">
        <v>228</v>
      </c>
      <c r="Q223" s="14">
        <v>320</v>
      </c>
      <c r="R223" s="11">
        <v>480</v>
      </c>
      <c r="S223" s="11">
        <v>320</v>
      </c>
      <c r="T223" s="5">
        <f t="shared" si="172"/>
        <v>1120</v>
      </c>
      <c r="U223" s="14">
        <v>320</v>
      </c>
      <c r="V223" s="11">
        <v>480</v>
      </c>
      <c r="W223" s="11">
        <v>320</v>
      </c>
      <c r="X223" s="5">
        <f t="shared" si="173"/>
        <v>1120</v>
      </c>
      <c r="Y223" s="14">
        <v>320</v>
      </c>
      <c r="Z223" s="11">
        <v>480</v>
      </c>
      <c r="AA223" s="11">
        <v>320</v>
      </c>
      <c r="AB223" s="5">
        <f t="shared" si="174"/>
        <v>1120</v>
      </c>
      <c r="AC223" s="86">
        <f t="shared" si="175"/>
        <v>3360</v>
      </c>
      <c r="AD223" s="109" t="s">
        <v>262</v>
      </c>
    </row>
    <row r="224" spans="1:30" x14ac:dyDescent="0.15">
      <c r="A224" s="102" t="s">
        <v>3</v>
      </c>
      <c r="B224" s="14"/>
      <c r="C224" s="11">
        <v>10</v>
      </c>
      <c r="D224" s="11"/>
      <c r="E224" s="5">
        <f t="shared" si="168"/>
        <v>10</v>
      </c>
      <c r="F224" s="34"/>
      <c r="G224" s="11">
        <v>10</v>
      </c>
      <c r="H224" s="11"/>
      <c r="I224" s="5">
        <f t="shared" si="169"/>
        <v>10</v>
      </c>
      <c r="J224" s="34"/>
      <c r="K224" s="11">
        <v>10</v>
      </c>
      <c r="L224" s="11"/>
      <c r="M224" s="38">
        <f t="shared" si="170"/>
        <v>10</v>
      </c>
      <c r="N224" s="138">
        <f t="shared" si="171"/>
        <v>30</v>
      </c>
      <c r="O224" s="21">
        <v>45472</v>
      </c>
      <c r="P224" s="6" t="s">
        <v>3</v>
      </c>
      <c r="Q224" s="14"/>
      <c r="R224" s="11"/>
      <c r="S224" s="11"/>
      <c r="T224" s="5">
        <f t="shared" si="172"/>
        <v>0</v>
      </c>
      <c r="U224" s="14"/>
      <c r="V224" s="11"/>
      <c r="W224" s="11"/>
      <c r="X224" s="5">
        <f t="shared" si="173"/>
        <v>0</v>
      </c>
      <c r="Y224" s="34"/>
      <c r="Z224" s="11"/>
      <c r="AA224" s="11"/>
      <c r="AB224" s="5">
        <f t="shared" si="174"/>
        <v>0</v>
      </c>
      <c r="AC224" s="86">
        <f t="shared" si="175"/>
        <v>0</v>
      </c>
    </row>
    <row r="225" spans="1:32" x14ac:dyDescent="0.15">
      <c r="A225" s="102" t="s">
        <v>281</v>
      </c>
      <c r="B225" s="14"/>
      <c r="C225" s="11">
        <v>1</v>
      </c>
      <c r="D225" s="11"/>
      <c r="E225" s="5">
        <f t="shared" si="168"/>
        <v>1</v>
      </c>
      <c r="F225" s="34"/>
      <c r="G225" s="11">
        <v>1</v>
      </c>
      <c r="H225" s="11"/>
      <c r="I225" s="5">
        <f t="shared" si="169"/>
        <v>1</v>
      </c>
      <c r="J225" s="34"/>
      <c r="K225" s="11">
        <v>1</v>
      </c>
      <c r="L225" s="11"/>
      <c r="M225" s="38">
        <f t="shared" si="170"/>
        <v>1</v>
      </c>
      <c r="N225" s="138">
        <f t="shared" si="171"/>
        <v>3</v>
      </c>
      <c r="O225" s="21">
        <v>45471</v>
      </c>
      <c r="P225" s="6" t="s">
        <v>3</v>
      </c>
      <c r="Q225" s="14"/>
      <c r="R225" s="11"/>
      <c r="S225" s="11"/>
      <c r="T225" s="5">
        <f t="shared" si="172"/>
        <v>0</v>
      </c>
      <c r="U225" s="14"/>
      <c r="V225" s="11"/>
      <c r="W225" s="11"/>
      <c r="X225" s="5">
        <f t="shared" si="173"/>
        <v>0</v>
      </c>
      <c r="Y225" s="34"/>
      <c r="Z225" s="11"/>
      <c r="AA225" s="11"/>
      <c r="AB225" s="5">
        <f t="shared" si="174"/>
        <v>0</v>
      </c>
      <c r="AC225" s="86">
        <f t="shared" si="175"/>
        <v>0</v>
      </c>
    </row>
    <row r="226" spans="1:32" x14ac:dyDescent="0.15">
      <c r="A226" s="102" t="s">
        <v>3</v>
      </c>
      <c r="B226" s="25"/>
      <c r="C226" s="26"/>
      <c r="D226" s="26"/>
      <c r="E226" s="8">
        <f t="shared" si="168"/>
        <v>0</v>
      </c>
      <c r="F226" s="25"/>
      <c r="G226" s="26"/>
      <c r="H226" s="26"/>
      <c r="I226" s="8">
        <f t="shared" si="169"/>
        <v>0</v>
      </c>
      <c r="J226" s="25"/>
      <c r="K226" s="26"/>
      <c r="L226" s="26"/>
      <c r="M226" s="39">
        <f t="shared" si="170"/>
        <v>0</v>
      </c>
      <c r="N226" s="138">
        <f t="shared" si="171"/>
        <v>0</v>
      </c>
      <c r="O226" s="24"/>
      <c r="P226" s="6" t="s">
        <v>3</v>
      </c>
      <c r="Q226" s="14"/>
      <c r="R226" s="11"/>
      <c r="S226" s="11"/>
      <c r="T226" s="5">
        <f t="shared" si="172"/>
        <v>0</v>
      </c>
      <c r="U226" s="14"/>
      <c r="V226" s="11"/>
      <c r="W226" s="11"/>
      <c r="X226" s="5">
        <f t="shared" si="173"/>
        <v>0</v>
      </c>
      <c r="Y226" s="25"/>
      <c r="Z226" s="26"/>
      <c r="AA226" s="26"/>
      <c r="AB226" s="8">
        <f t="shared" si="174"/>
        <v>0</v>
      </c>
      <c r="AC226" s="86">
        <f t="shared" si="175"/>
        <v>0</v>
      </c>
    </row>
    <row r="227" spans="1:32" x14ac:dyDescent="0.15">
      <c r="A227" s="102" t="s">
        <v>3</v>
      </c>
      <c r="B227" s="27"/>
      <c r="C227" s="26"/>
      <c r="D227" s="26"/>
      <c r="E227" s="5">
        <f t="shared" si="168"/>
        <v>0</v>
      </c>
      <c r="F227" s="25"/>
      <c r="G227" s="26"/>
      <c r="H227" s="26"/>
      <c r="I227" s="5">
        <f t="shared" si="169"/>
        <v>0</v>
      </c>
      <c r="J227" s="25"/>
      <c r="K227" s="26"/>
      <c r="L227" s="26"/>
      <c r="M227" s="38">
        <f t="shared" si="170"/>
        <v>0</v>
      </c>
      <c r="N227" s="138">
        <f t="shared" si="171"/>
        <v>0</v>
      </c>
      <c r="O227" s="21"/>
      <c r="P227" s="6" t="s">
        <v>3</v>
      </c>
      <c r="Q227" s="27"/>
      <c r="R227" s="26"/>
      <c r="S227" s="26"/>
      <c r="T227" s="5">
        <f t="shared" si="172"/>
        <v>0</v>
      </c>
      <c r="U227" s="27"/>
      <c r="V227" s="26"/>
      <c r="W227" s="26"/>
      <c r="X227" s="5">
        <f t="shared" si="173"/>
        <v>0</v>
      </c>
      <c r="Y227" s="25"/>
      <c r="Z227" s="26"/>
      <c r="AA227" s="26"/>
      <c r="AB227" s="5">
        <f t="shared" si="174"/>
        <v>0</v>
      </c>
      <c r="AC227" s="86">
        <f t="shared" si="175"/>
        <v>0</v>
      </c>
    </row>
    <row r="228" spans="1:32" x14ac:dyDescent="0.15">
      <c r="A228" s="102" t="s">
        <v>3</v>
      </c>
      <c r="B228" s="27"/>
      <c r="C228" s="26"/>
      <c r="D228" s="26"/>
      <c r="E228" s="5">
        <f t="shared" si="168"/>
        <v>0</v>
      </c>
      <c r="F228" s="25"/>
      <c r="G228" s="26"/>
      <c r="H228" s="26"/>
      <c r="I228" s="5">
        <f t="shared" si="169"/>
        <v>0</v>
      </c>
      <c r="J228" s="25"/>
      <c r="K228" s="26"/>
      <c r="L228" s="26"/>
      <c r="M228" s="38">
        <f t="shared" si="170"/>
        <v>0</v>
      </c>
      <c r="N228" s="138">
        <f t="shared" si="171"/>
        <v>0</v>
      </c>
      <c r="O228" s="21"/>
      <c r="P228" s="6" t="s">
        <v>3</v>
      </c>
      <c r="Q228" s="14"/>
      <c r="R228" s="11"/>
      <c r="S228" s="11"/>
      <c r="T228" s="5">
        <f t="shared" si="172"/>
        <v>0</v>
      </c>
      <c r="U228" s="14"/>
      <c r="V228" s="11"/>
      <c r="W228" s="11"/>
      <c r="X228" s="5">
        <f t="shared" si="173"/>
        <v>0</v>
      </c>
      <c r="Y228" s="25"/>
      <c r="Z228" s="26"/>
      <c r="AA228" s="26"/>
      <c r="AB228" s="5">
        <f t="shared" si="174"/>
        <v>0</v>
      </c>
      <c r="AC228" s="86">
        <f t="shared" si="175"/>
        <v>0</v>
      </c>
    </row>
    <row r="229" spans="1:32" x14ac:dyDescent="0.15">
      <c r="A229" s="102" t="s">
        <v>3</v>
      </c>
      <c r="B229" s="27"/>
      <c r="C229" s="26"/>
      <c r="D229" s="26"/>
      <c r="E229" s="5">
        <f t="shared" si="168"/>
        <v>0</v>
      </c>
      <c r="F229" s="25"/>
      <c r="G229" s="26"/>
      <c r="H229" s="26"/>
      <c r="I229" s="5">
        <f t="shared" si="169"/>
        <v>0</v>
      </c>
      <c r="J229" s="25"/>
      <c r="K229" s="26"/>
      <c r="L229" s="26"/>
      <c r="M229" s="38">
        <f t="shared" si="170"/>
        <v>0</v>
      </c>
      <c r="N229" s="138">
        <f t="shared" si="171"/>
        <v>0</v>
      </c>
      <c r="O229" s="23"/>
      <c r="P229" s="6" t="s">
        <v>3</v>
      </c>
      <c r="Q229" s="27"/>
      <c r="R229" s="26"/>
      <c r="S229" s="26"/>
      <c r="T229" s="5">
        <f t="shared" si="172"/>
        <v>0</v>
      </c>
      <c r="U229" s="27"/>
      <c r="V229" s="26"/>
      <c r="W229" s="26"/>
      <c r="X229" s="5">
        <f t="shared" si="173"/>
        <v>0</v>
      </c>
      <c r="Y229" s="25"/>
      <c r="Z229" s="26"/>
      <c r="AA229" s="26"/>
      <c r="AB229" s="5">
        <f t="shared" si="174"/>
        <v>0</v>
      </c>
      <c r="AC229" s="86">
        <f t="shared" si="175"/>
        <v>0</v>
      </c>
    </row>
    <row r="230" spans="1:32" ht="14.25" thickBot="1" x14ac:dyDescent="0.2">
      <c r="A230" s="102" t="s">
        <v>3</v>
      </c>
      <c r="B230" s="28"/>
      <c r="C230" s="29"/>
      <c r="D230" s="32"/>
      <c r="E230" s="15">
        <f t="shared" si="168"/>
        <v>0</v>
      </c>
      <c r="F230" s="35"/>
      <c r="G230" s="29"/>
      <c r="H230" s="32"/>
      <c r="I230" s="15">
        <f t="shared" si="169"/>
        <v>0</v>
      </c>
      <c r="J230" s="35"/>
      <c r="K230" s="29"/>
      <c r="L230" s="32"/>
      <c r="M230" s="40">
        <f t="shared" si="170"/>
        <v>0</v>
      </c>
      <c r="N230" s="139">
        <f t="shared" si="171"/>
        <v>0</v>
      </c>
      <c r="O230" s="21"/>
      <c r="P230" s="7" t="s">
        <v>3</v>
      </c>
      <c r="Q230" s="28"/>
      <c r="R230" s="29"/>
      <c r="S230" s="29"/>
      <c r="T230" s="15">
        <f t="shared" si="172"/>
        <v>0</v>
      </c>
      <c r="U230" s="28"/>
      <c r="V230" s="29"/>
      <c r="W230" s="29"/>
      <c r="X230" s="15">
        <f t="shared" si="173"/>
        <v>0</v>
      </c>
      <c r="Y230" s="35"/>
      <c r="Z230" s="29"/>
      <c r="AA230" s="32"/>
      <c r="AB230" s="15">
        <f t="shared" si="174"/>
        <v>0</v>
      </c>
      <c r="AC230" s="87">
        <f t="shared" si="175"/>
        <v>0</v>
      </c>
    </row>
    <row r="231" spans="1:32" ht="14.25" thickBot="1" x14ac:dyDescent="0.2">
      <c r="A231" s="103" t="s">
        <v>4</v>
      </c>
      <c r="B231" s="17">
        <f>SUM(B220:B230)</f>
        <v>22</v>
      </c>
      <c r="C231" s="17">
        <f>SUM(C220:C230)</f>
        <v>41</v>
      </c>
      <c r="D231" s="17">
        <f>SUM(D220:D230)</f>
        <v>18</v>
      </c>
      <c r="E231" s="18">
        <f t="shared" si="168"/>
        <v>81</v>
      </c>
      <c r="F231" s="17">
        <f>SUM(F220:F230)</f>
        <v>21</v>
      </c>
      <c r="G231" s="17">
        <f>SUM(G220:G230)</f>
        <v>38</v>
      </c>
      <c r="H231" s="17">
        <f>SUM(H220:H230)</f>
        <v>21</v>
      </c>
      <c r="I231" s="18">
        <f t="shared" si="169"/>
        <v>80</v>
      </c>
      <c r="J231" s="17">
        <f>SUM(J220:J230)</f>
        <v>25</v>
      </c>
      <c r="K231" s="17">
        <f>SUM(K220:K230)</f>
        <v>38</v>
      </c>
      <c r="L231" s="17">
        <f>SUM(L220:L230)</f>
        <v>21</v>
      </c>
      <c r="M231" s="20">
        <f t="shared" si="170"/>
        <v>84</v>
      </c>
      <c r="N231" s="140">
        <f t="shared" si="171"/>
        <v>245</v>
      </c>
      <c r="O231" s="1"/>
      <c r="P231" s="16" t="s">
        <v>4</v>
      </c>
      <c r="Q231" s="17">
        <f>SUM(Q220:Q230)</f>
        <v>553</v>
      </c>
      <c r="R231" s="17">
        <f>SUM(R220:R230)</f>
        <v>551</v>
      </c>
      <c r="S231" s="17">
        <f>SUM(S220:S230)</f>
        <v>270</v>
      </c>
      <c r="T231" s="18">
        <f t="shared" si="172"/>
        <v>1374</v>
      </c>
      <c r="U231" s="17">
        <f>SUM(U220:U230)</f>
        <v>567</v>
      </c>
      <c r="V231" s="17">
        <f>SUM(V220:V230)</f>
        <v>573</v>
      </c>
      <c r="W231" s="17">
        <f>SUM(W220:W230)</f>
        <v>287</v>
      </c>
      <c r="X231" s="18">
        <f t="shared" si="173"/>
        <v>1427</v>
      </c>
      <c r="Y231" s="17">
        <f>SUM(Y220:Y230)</f>
        <v>548</v>
      </c>
      <c r="Z231" s="17">
        <f>SUM(Z220:Z230)</f>
        <v>562</v>
      </c>
      <c r="AA231" s="17">
        <f>SUM(AA220:AA230)</f>
        <v>270</v>
      </c>
      <c r="AB231" s="18">
        <f t="shared" si="174"/>
        <v>1380</v>
      </c>
      <c r="AC231" s="88">
        <f t="shared" si="175"/>
        <v>4181</v>
      </c>
    </row>
    <row r="232" spans="1:32" x14ac:dyDescent="0.15">
      <c r="A232" s="33" t="s">
        <v>239</v>
      </c>
      <c r="B232" s="9">
        <v>1</v>
      </c>
      <c r="C232" s="10"/>
      <c r="D232" s="31"/>
      <c r="E232" s="5">
        <f t="shared" si="168"/>
        <v>1</v>
      </c>
      <c r="F232" s="9">
        <v>1</v>
      </c>
      <c r="G232" s="10"/>
      <c r="H232" s="31"/>
      <c r="I232" s="5">
        <f t="shared" si="169"/>
        <v>1</v>
      </c>
      <c r="J232" s="9">
        <v>1</v>
      </c>
      <c r="K232" s="10"/>
      <c r="L232" s="31"/>
      <c r="M232" s="38">
        <f t="shared" si="170"/>
        <v>1</v>
      </c>
      <c r="N232" s="141">
        <f t="shared" si="171"/>
        <v>3</v>
      </c>
      <c r="O232" s="21">
        <v>45455</v>
      </c>
      <c r="P232" s="11" t="s">
        <v>235</v>
      </c>
      <c r="Q232" s="9">
        <v>17</v>
      </c>
      <c r="R232" s="10">
        <v>23</v>
      </c>
      <c r="S232" s="31">
        <v>22</v>
      </c>
      <c r="T232" s="5">
        <f t="shared" si="172"/>
        <v>62</v>
      </c>
      <c r="U232" s="9">
        <v>17</v>
      </c>
      <c r="V232" s="10">
        <v>23</v>
      </c>
      <c r="W232" s="31">
        <v>22</v>
      </c>
      <c r="X232" s="5">
        <f t="shared" si="173"/>
        <v>62</v>
      </c>
      <c r="Y232" s="9">
        <v>17</v>
      </c>
      <c r="Z232" s="10">
        <v>23</v>
      </c>
      <c r="AA232" s="31">
        <v>22</v>
      </c>
      <c r="AB232" s="5">
        <f t="shared" si="174"/>
        <v>62</v>
      </c>
      <c r="AC232" s="91">
        <f t="shared" si="175"/>
        <v>186</v>
      </c>
      <c r="AD232" s="109">
        <v>45449</v>
      </c>
    </row>
    <row r="233" spans="1:32" x14ac:dyDescent="0.15">
      <c r="A233" s="33" t="s">
        <v>240</v>
      </c>
      <c r="B233" s="9"/>
      <c r="C233" s="10">
        <v>2</v>
      </c>
      <c r="D233" s="10"/>
      <c r="E233" s="5">
        <f t="shared" si="168"/>
        <v>2</v>
      </c>
      <c r="F233" s="9"/>
      <c r="G233" s="10">
        <v>2</v>
      </c>
      <c r="H233" s="10"/>
      <c r="I233" s="5">
        <f t="shared" si="169"/>
        <v>2</v>
      </c>
      <c r="J233" s="9"/>
      <c r="K233" s="10">
        <v>2</v>
      </c>
      <c r="L233" s="10"/>
      <c r="M233" s="38">
        <f t="shared" si="170"/>
        <v>2</v>
      </c>
      <c r="N233" s="138">
        <f t="shared" si="171"/>
        <v>6</v>
      </c>
      <c r="O233" s="21">
        <v>45456</v>
      </c>
      <c r="P233" s="11" t="s">
        <v>27</v>
      </c>
      <c r="Q233" s="9">
        <v>10</v>
      </c>
      <c r="R233" s="10">
        <v>10</v>
      </c>
      <c r="S233" s="10">
        <v>10</v>
      </c>
      <c r="T233" s="8">
        <f t="shared" ref="T233" si="176">SUM(Q233:S233)</f>
        <v>30</v>
      </c>
      <c r="U233" s="9">
        <v>10</v>
      </c>
      <c r="V233" s="10">
        <v>10</v>
      </c>
      <c r="W233" s="10">
        <v>10</v>
      </c>
      <c r="X233" s="8">
        <f t="shared" si="173"/>
        <v>30</v>
      </c>
      <c r="Y233" s="9"/>
      <c r="Z233" s="10">
        <v>10</v>
      </c>
      <c r="AA233" s="10">
        <v>10</v>
      </c>
      <c r="AB233" s="8">
        <f t="shared" si="174"/>
        <v>20</v>
      </c>
      <c r="AC233" s="86">
        <f t="shared" si="175"/>
        <v>80</v>
      </c>
      <c r="AD233" s="109">
        <v>45448</v>
      </c>
      <c r="AE233" s="58"/>
    </row>
    <row r="234" spans="1:32" x14ac:dyDescent="0.15">
      <c r="A234" s="33" t="s">
        <v>247</v>
      </c>
      <c r="B234" s="9">
        <v>1</v>
      </c>
      <c r="C234" s="10"/>
      <c r="D234" s="10"/>
      <c r="E234" s="5">
        <f t="shared" si="168"/>
        <v>1</v>
      </c>
      <c r="F234" s="9">
        <v>1</v>
      </c>
      <c r="G234" s="10"/>
      <c r="H234" s="10"/>
      <c r="I234" s="5">
        <f t="shared" si="169"/>
        <v>1</v>
      </c>
      <c r="J234" s="9">
        <v>1</v>
      </c>
      <c r="K234" s="10"/>
      <c r="L234" s="10"/>
      <c r="M234" s="38">
        <f t="shared" si="170"/>
        <v>1</v>
      </c>
      <c r="N234" s="138">
        <f t="shared" si="171"/>
        <v>3</v>
      </c>
      <c r="O234" s="21">
        <v>45455</v>
      </c>
      <c r="P234" s="4" t="s">
        <v>238</v>
      </c>
      <c r="Q234" s="9">
        <v>4</v>
      </c>
      <c r="R234" s="10">
        <v>3</v>
      </c>
      <c r="S234" s="10">
        <v>14</v>
      </c>
      <c r="T234" s="8">
        <f t="shared" ref="T234" si="177">SUM(Q234:S234)</f>
        <v>21</v>
      </c>
      <c r="U234" s="9">
        <v>4</v>
      </c>
      <c r="V234" s="10">
        <v>3</v>
      </c>
      <c r="W234" s="10">
        <v>14</v>
      </c>
      <c r="X234" s="8">
        <f t="shared" si="173"/>
        <v>21</v>
      </c>
      <c r="Y234" s="9">
        <v>4</v>
      </c>
      <c r="Z234" s="10">
        <v>3</v>
      </c>
      <c r="AA234" s="10">
        <v>14</v>
      </c>
      <c r="AB234" s="39">
        <f t="shared" si="174"/>
        <v>21</v>
      </c>
      <c r="AC234" s="86">
        <f t="shared" si="175"/>
        <v>63</v>
      </c>
      <c r="AD234" s="119">
        <v>45450</v>
      </c>
      <c r="AE234" s="58"/>
      <c r="AF234" s="58"/>
    </row>
    <row r="235" spans="1:32" x14ac:dyDescent="0.15">
      <c r="A235" s="33" t="s">
        <v>248</v>
      </c>
      <c r="B235" s="9"/>
      <c r="C235" s="10">
        <v>2</v>
      </c>
      <c r="D235" s="10">
        <v>2</v>
      </c>
      <c r="E235" s="5">
        <f t="shared" ref="E235:E239" si="178">SUM(B235:D235)</f>
        <v>4</v>
      </c>
      <c r="F235" s="9"/>
      <c r="G235" s="10">
        <v>2</v>
      </c>
      <c r="H235" s="10">
        <v>2</v>
      </c>
      <c r="I235" s="5">
        <f t="shared" ref="I235:I239" si="179">SUM(F235:H235)</f>
        <v>4</v>
      </c>
      <c r="J235" s="9"/>
      <c r="K235" s="10">
        <v>2</v>
      </c>
      <c r="L235" s="10">
        <v>2</v>
      </c>
      <c r="M235" s="38">
        <f t="shared" ref="M235:M239" si="180">SUM(J235:L235)</f>
        <v>4</v>
      </c>
      <c r="N235" s="138">
        <f t="shared" ref="N235:N239" si="181">E235+I235+M235</f>
        <v>12</v>
      </c>
      <c r="O235" s="21">
        <v>45457</v>
      </c>
      <c r="P235" s="11" t="s">
        <v>241</v>
      </c>
      <c r="Q235" s="9">
        <v>4</v>
      </c>
      <c r="R235" s="10">
        <v>7</v>
      </c>
      <c r="S235" s="10">
        <v>8</v>
      </c>
      <c r="T235" s="5">
        <f t="shared" si="172"/>
        <v>19</v>
      </c>
      <c r="U235" s="9">
        <v>4</v>
      </c>
      <c r="V235" s="10">
        <v>7</v>
      </c>
      <c r="W235" s="10">
        <v>8</v>
      </c>
      <c r="X235" s="5">
        <f t="shared" si="173"/>
        <v>19</v>
      </c>
      <c r="Y235" s="9">
        <v>4</v>
      </c>
      <c r="Z235" s="10">
        <v>7</v>
      </c>
      <c r="AA235" s="10">
        <v>8</v>
      </c>
      <c r="AB235" s="5">
        <f t="shared" si="174"/>
        <v>19</v>
      </c>
      <c r="AC235" s="86">
        <f t="shared" si="175"/>
        <v>57</v>
      </c>
      <c r="AD235" s="109">
        <v>45460</v>
      </c>
      <c r="AE235" s="58"/>
      <c r="AF235" s="58"/>
    </row>
    <row r="236" spans="1:32" x14ac:dyDescent="0.15">
      <c r="A236" s="33" t="s">
        <v>250</v>
      </c>
      <c r="B236" s="9"/>
      <c r="C236" s="10">
        <v>1</v>
      </c>
      <c r="D236" s="10"/>
      <c r="E236" s="8">
        <f t="shared" si="178"/>
        <v>1</v>
      </c>
      <c r="F236" s="9"/>
      <c r="G236" s="10">
        <v>1</v>
      </c>
      <c r="H236" s="10"/>
      <c r="I236" s="8">
        <f t="shared" si="179"/>
        <v>1</v>
      </c>
      <c r="J236" s="9"/>
      <c r="K236" s="10">
        <v>1</v>
      </c>
      <c r="L236" s="10"/>
      <c r="M236" s="39">
        <f t="shared" si="180"/>
        <v>1</v>
      </c>
      <c r="N236" s="138">
        <f t="shared" si="181"/>
        <v>3</v>
      </c>
      <c r="O236" s="21">
        <v>45460</v>
      </c>
      <c r="P236" s="4" t="s">
        <v>246</v>
      </c>
      <c r="Q236" s="9"/>
      <c r="R236" s="10">
        <v>6</v>
      </c>
      <c r="S236" s="10"/>
      <c r="T236" s="5">
        <f t="shared" si="172"/>
        <v>6</v>
      </c>
      <c r="U236" s="9"/>
      <c r="V236" s="10">
        <v>6</v>
      </c>
      <c r="W236" s="10"/>
      <c r="X236" s="5">
        <f t="shared" si="173"/>
        <v>6</v>
      </c>
      <c r="Y236" s="9"/>
      <c r="Z236" s="10">
        <v>6</v>
      </c>
      <c r="AA236" s="10"/>
      <c r="AB236" s="5">
        <f t="shared" si="174"/>
        <v>6</v>
      </c>
      <c r="AC236" s="86">
        <f t="shared" si="175"/>
        <v>18</v>
      </c>
      <c r="AD236" s="109">
        <v>45457</v>
      </c>
    </row>
    <row r="237" spans="1:32" x14ac:dyDescent="0.15">
      <c r="A237" s="33" t="s">
        <v>36</v>
      </c>
      <c r="B237" s="9"/>
      <c r="C237" s="10"/>
      <c r="D237" s="10">
        <v>1</v>
      </c>
      <c r="E237" s="8">
        <f t="shared" si="178"/>
        <v>1</v>
      </c>
      <c r="F237" s="9"/>
      <c r="G237" s="10"/>
      <c r="H237" s="10">
        <v>1</v>
      </c>
      <c r="I237" s="8">
        <f t="shared" si="179"/>
        <v>1</v>
      </c>
      <c r="J237" s="9"/>
      <c r="K237" s="10"/>
      <c r="L237" s="10">
        <v>1</v>
      </c>
      <c r="M237" s="39">
        <f t="shared" si="180"/>
        <v>1</v>
      </c>
      <c r="N237" s="138">
        <f t="shared" si="181"/>
        <v>3</v>
      </c>
      <c r="O237" s="21">
        <v>45457</v>
      </c>
      <c r="P237" s="4" t="s">
        <v>254</v>
      </c>
      <c r="Q237" s="9">
        <v>2</v>
      </c>
      <c r="R237" s="10"/>
      <c r="S237" s="10"/>
      <c r="T237" s="8">
        <f t="shared" ref="T237" si="182">SUM(Q237:S237)</f>
        <v>2</v>
      </c>
      <c r="U237" s="9">
        <v>2</v>
      </c>
      <c r="V237" s="10"/>
      <c r="W237" s="10"/>
      <c r="X237" s="8">
        <f t="shared" si="173"/>
        <v>2</v>
      </c>
      <c r="Y237" s="9">
        <v>2</v>
      </c>
      <c r="Z237" s="10"/>
      <c r="AA237" s="10"/>
      <c r="AB237" s="8">
        <f t="shared" si="174"/>
        <v>2</v>
      </c>
      <c r="AC237" s="86">
        <f t="shared" si="175"/>
        <v>6</v>
      </c>
      <c r="AD237" s="109">
        <v>45458</v>
      </c>
    </row>
    <row r="238" spans="1:32" x14ac:dyDescent="0.15">
      <c r="A238" s="33" t="s">
        <v>36</v>
      </c>
      <c r="B238" s="9"/>
      <c r="C238" s="10"/>
      <c r="D238" s="10">
        <v>1</v>
      </c>
      <c r="E238" s="8">
        <f t="shared" si="178"/>
        <v>1</v>
      </c>
      <c r="F238" s="9"/>
      <c r="G238" s="10"/>
      <c r="H238" s="10">
        <v>1</v>
      </c>
      <c r="I238" s="8">
        <f t="shared" si="179"/>
        <v>1</v>
      </c>
      <c r="J238" s="9"/>
      <c r="K238" s="10"/>
      <c r="L238" s="10">
        <v>1</v>
      </c>
      <c r="M238" s="39">
        <f t="shared" si="180"/>
        <v>1</v>
      </c>
      <c r="N238" s="138">
        <f t="shared" si="181"/>
        <v>3</v>
      </c>
      <c r="O238" s="21">
        <v>45458</v>
      </c>
      <c r="P238" s="4" t="s">
        <v>258</v>
      </c>
      <c r="Q238" s="9">
        <v>7</v>
      </c>
      <c r="R238" s="10">
        <v>2</v>
      </c>
      <c r="S238" s="10">
        <v>3</v>
      </c>
      <c r="T238" s="8">
        <f t="shared" si="172"/>
        <v>12</v>
      </c>
      <c r="U238" s="9">
        <v>7</v>
      </c>
      <c r="V238" s="10">
        <v>2</v>
      </c>
      <c r="W238" s="10">
        <v>3</v>
      </c>
      <c r="X238" s="8">
        <f t="shared" si="173"/>
        <v>12</v>
      </c>
      <c r="Y238" s="9">
        <v>7</v>
      </c>
      <c r="Z238" s="10">
        <v>2</v>
      </c>
      <c r="AA238" s="10">
        <v>3</v>
      </c>
      <c r="AB238" s="8">
        <f t="shared" si="174"/>
        <v>12</v>
      </c>
      <c r="AC238" s="86">
        <f t="shared" si="175"/>
        <v>36</v>
      </c>
      <c r="AD238" s="109">
        <v>45463</v>
      </c>
    </row>
    <row r="239" spans="1:32" x14ac:dyDescent="0.15">
      <c r="A239" s="33" t="s">
        <v>257</v>
      </c>
      <c r="B239" s="9">
        <v>3</v>
      </c>
      <c r="C239" s="10">
        <v>1</v>
      </c>
      <c r="D239" s="10"/>
      <c r="E239" s="8">
        <f t="shared" si="178"/>
        <v>4</v>
      </c>
      <c r="F239" s="9">
        <v>3</v>
      </c>
      <c r="G239" s="10">
        <v>1</v>
      </c>
      <c r="H239" s="10"/>
      <c r="I239" s="8">
        <f t="shared" si="179"/>
        <v>4</v>
      </c>
      <c r="J239" s="9">
        <v>3</v>
      </c>
      <c r="K239" s="10">
        <v>1</v>
      </c>
      <c r="L239" s="10"/>
      <c r="M239" s="39">
        <f t="shared" si="180"/>
        <v>4</v>
      </c>
      <c r="N239" s="138">
        <f t="shared" si="181"/>
        <v>12</v>
      </c>
      <c r="O239" s="21">
        <v>45462</v>
      </c>
      <c r="P239" s="11" t="s">
        <v>259</v>
      </c>
      <c r="Q239" s="9">
        <v>1</v>
      </c>
      <c r="R239" s="10"/>
      <c r="S239" s="10"/>
      <c r="T239" s="8">
        <f t="shared" si="172"/>
        <v>1</v>
      </c>
      <c r="U239" s="9">
        <v>1</v>
      </c>
      <c r="V239" s="10"/>
      <c r="W239" s="10"/>
      <c r="X239" s="8">
        <f t="shared" si="173"/>
        <v>1</v>
      </c>
      <c r="Y239" s="9">
        <v>1</v>
      </c>
      <c r="Z239" s="10"/>
      <c r="AA239" s="10"/>
      <c r="AB239" s="8">
        <f t="shared" si="174"/>
        <v>1</v>
      </c>
      <c r="AC239" s="86">
        <f t="shared" si="175"/>
        <v>3</v>
      </c>
      <c r="AD239" s="109">
        <v>45463</v>
      </c>
      <c r="AE239" s="58"/>
    </row>
    <row r="240" spans="1:32" x14ac:dyDescent="0.15">
      <c r="A240" s="33" t="s">
        <v>36</v>
      </c>
      <c r="B240" s="9"/>
      <c r="C240" s="10"/>
      <c r="D240" s="10"/>
      <c r="E240" s="8">
        <f t="shared" si="168"/>
        <v>0</v>
      </c>
      <c r="F240" s="9"/>
      <c r="G240" s="10"/>
      <c r="H240" s="10"/>
      <c r="I240" s="8">
        <f t="shared" si="169"/>
        <v>0</v>
      </c>
      <c r="J240" s="9"/>
      <c r="K240" s="10">
        <v>1</v>
      </c>
      <c r="L240" s="10"/>
      <c r="M240" s="39">
        <f t="shared" si="170"/>
        <v>1</v>
      </c>
      <c r="N240" s="138">
        <f t="shared" si="171"/>
        <v>1</v>
      </c>
      <c r="O240" s="21">
        <v>45460</v>
      </c>
      <c r="P240" s="11" t="s">
        <v>27</v>
      </c>
      <c r="Q240" s="9"/>
      <c r="R240" s="10"/>
      <c r="S240" s="10"/>
      <c r="T240" s="8">
        <f t="shared" ref="T240" si="183">SUM(Q240:S240)</f>
        <v>0</v>
      </c>
      <c r="U240" s="9"/>
      <c r="V240" s="10"/>
      <c r="W240" s="10"/>
      <c r="X240" s="8">
        <f t="shared" si="173"/>
        <v>0</v>
      </c>
      <c r="Y240" s="9">
        <v>10</v>
      </c>
      <c r="Z240" s="10">
        <v>10</v>
      </c>
      <c r="AA240" s="10">
        <v>10</v>
      </c>
      <c r="AB240" s="8">
        <f t="shared" si="174"/>
        <v>30</v>
      </c>
      <c r="AC240" s="86">
        <f t="shared" si="175"/>
        <v>30</v>
      </c>
      <c r="AD240" s="109">
        <v>45462</v>
      </c>
    </row>
    <row r="241" spans="1:32" x14ac:dyDescent="0.15">
      <c r="A241" s="33" t="s">
        <v>247</v>
      </c>
      <c r="B241" s="9"/>
      <c r="C241" s="10">
        <v>1</v>
      </c>
      <c r="D241" s="10"/>
      <c r="E241" s="5">
        <f t="shared" ref="E241" si="184">SUM(B241:D241)</f>
        <v>1</v>
      </c>
      <c r="F241" s="9"/>
      <c r="G241" s="10">
        <v>1</v>
      </c>
      <c r="H241" s="10"/>
      <c r="I241" s="5">
        <f t="shared" ref="I241" si="185">SUM(F241:H241)</f>
        <v>1</v>
      </c>
      <c r="J241" s="9"/>
      <c r="K241" s="10">
        <v>1</v>
      </c>
      <c r="L241" s="10"/>
      <c r="M241" s="38">
        <f t="shared" ref="M241" si="186">SUM(J241:L241)</f>
        <v>1</v>
      </c>
      <c r="N241" s="138">
        <f t="shared" ref="N241" si="187">E241+I241+M241</f>
        <v>3</v>
      </c>
      <c r="O241" s="21">
        <v>45460</v>
      </c>
      <c r="P241" s="4" t="s">
        <v>260</v>
      </c>
      <c r="Q241" s="9">
        <v>1</v>
      </c>
      <c r="R241" s="10"/>
      <c r="S241" s="10">
        <v>4</v>
      </c>
      <c r="T241" s="8">
        <f t="shared" si="172"/>
        <v>5</v>
      </c>
      <c r="U241" s="9">
        <v>1</v>
      </c>
      <c r="V241" s="10"/>
      <c r="W241" s="10">
        <v>4</v>
      </c>
      <c r="X241" s="8">
        <f t="shared" si="173"/>
        <v>5</v>
      </c>
      <c r="Y241" s="9">
        <v>1</v>
      </c>
      <c r="Z241" s="10"/>
      <c r="AA241" s="10">
        <v>4</v>
      </c>
      <c r="AB241" s="8">
        <f t="shared" si="174"/>
        <v>5</v>
      </c>
      <c r="AC241" s="86">
        <f t="shared" si="175"/>
        <v>15</v>
      </c>
      <c r="AD241" s="109">
        <v>45464</v>
      </c>
    </row>
    <row r="242" spans="1:32" x14ac:dyDescent="0.15">
      <c r="A242" s="33" t="s">
        <v>36</v>
      </c>
      <c r="B242" s="9"/>
      <c r="C242" s="10"/>
      <c r="D242" s="10">
        <v>1</v>
      </c>
      <c r="E242" s="8">
        <f t="shared" si="168"/>
        <v>1</v>
      </c>
      <c r="F242" s="9"/>
      <c r="G242" s="10"/>
      <c r="H242" s="10">
        <v>1</v>
      </c>
      <c r="I242" s="8">
        <f t="shared" si="169"/>
        <v>1</v>
      </c>
      <c r="J242" s="9"/>
      <c r="K242" s="10"/>
      <c r="L242" s="10">
        <v>1</v>
      </c>
      <c r="M242" s="39">
        <f t="shared" si="170"/>
        <v>1</v>
      </c>
      <c r="N242" s="138">
        <f t="shared" si="171"/>
        <v>3</v>
      </c>
      <c r="O242" s="21">
        <v>45462</v>
      </c>
      <c r="P242" s="4" t="s">
        <v>268</v>
      </c>
      <c r="Q242" s="9">
        <v>2</v>
      </c>
      <c r="R242" s="10"/>
      <c r="S242" s="10"/>
      <c r="T242" s="8">
        <f t="shared" ref="T242" si="188">SUM(Q242:S242)</f>
        <v>2</v>
      </c>
      <c r="U242" s="9">
        <v>2</v>
      </c>
      <c r="V242" s="10"/>
      <c r="W242" s="10"/>
      <c r="X242" s="8">
        <f t="shared" si="173"/>
        <v>2</v>
      </c>
      <c r="Y242" s="9">
        <v>2</v>
      </c>
      <c r="Z242" s="10"/>
      <c r="AA242" s="10"/>
      <c r="AB242" s="39">
        <f t="shared" si="174"/>
        <v>2</v>
      </c>
      <c r="AC242" s="86">
        <f t="shared" si="175"/>
        <v>6</v>
      </c>
      <c r="AD242" s="119">
        <v>45469</v>
      </c>
    </row>
    <row r="243" spans="1:32" x14ac:dyDescent="0.15">
      <c r="A243" s="33" t="s">
        <v>261</v>
      </c>
      <c r="B243" s="9"/>
      <c r="C243" s="10"/>
      <c r="D243" s="10">
        <v>2</v>
      </c>
      <c r="E243" s="8">
        <f t="shared" si="168"/>
        <v>2</v>
      </c>
      <c r="F243" s="9"/>
      <c r="G243" s="10"/>
      <c r="H243" s="10">
        <v>2</v>
      </c>
      <c r="I243" s="8">
        <f t="shared" si="169"/>
        <v>2</v>
      </c>
      <c r="J243" s="9"/>
      <c r="K243" s="10"/>
      <c r="L243" s="10">
        <v>2</v>
      </c>
      <c r="M243" s="39">
        <f t="shared" si="170"/>
        <v>2</v>
      </c>
      <c r="N243" s="138">
        <f t="shared" si="171"/>
        <v>6</v>
      </c>
      <c r="O243" s="21">
        <v>45464</v>
      </c>
      <c r="P243" s="11" t="s">
        <v>272</v>
      </c>
      <c r="Q243" s="9">
        <v>20</v>
      </c>
      <c r="R243" s="10">
        <v>60</v>
      </c>
      <c r="S243" s="10">
        <v>25</v>
      </c>
      <c r="T243" s="8">
        <f t="shared" si="172"/>
        <v>105</v>
      </c>
      <c r="U243" s="9">
        <v>20</v>
      </c>
      <c r="V243" s="10">
        <v>60</v>
      </c>
      <c r="W243" s="10">
        <v>25</v>
      </c>
      <c r="X243" s="8">
        <f t="shared" si="173"/>
        <v>105</v>
      </c>
      <c r="Y243" s="9">
        <v>20</v>
      </c>
      <c r="Z243" s="10">
        <v>60</v>
      </c>
      <c r="AA243" s="10">
        <v>25</v>
      </c>
      <c r="AB243" s="8">
        <f t="shared" si="174"/>
        <v>105</v>
      </c>
      <c r="AC243" s="86">
        <f t="shared" si="175"/>
        <v>315</v>
      </c>
      <c r="AD243" s="109">
        <v>45469</v>
      </c>
      <c r="AE243" s="58"/>
      <c r="AF243" s="58"/>
    </row>
    <row r="244" spans="1:32" x14ac:dyDescent="0.15">
      <c r="A244" s="33" t="s">
        <v>36</v>
      </c>
      <c r="B244" s="9">
        <v>2</v>
      </c>
      <c r="C244" s="10"/>
      <c r="D244" s="10"/>
      <c r="E244" s="8">
        <f t="shared" si="168"/>
        <v>2</v>
      </c>
      <c r="F244" s="9">
        <v>2</v>
      </c>
      <c r="G244" s="10"/>
      <c r="H244" s="10"/>
      <c r="I244" s="8">
        <f t="shared" si="169"/>
        <v>2</v>
      </c>
      <c r="J244" s="9">
        <v>2</v>
      </c>
      <c r="K244" s="10"/>
      <c r="L244" s="10"/>
      <c r="M244" s="39">
        <f t="shared" si="170"/>
        <v>2</v>
      </c>
      <c r="N244" s="138">
        <f t="shared" si="171"/>
        <v>6</v>
      </c>
      <c r="O244" s="21">
        <v>45463</v>
      </c>
      <c r="P244" s="11" t="s">
        <v>276</v>
      </c>
      <c r="Q244" s="9">
        <v>10</v>
      </c>
      <c r="R244" s="10">
        <v>40</v>
      </c>
      <c r="S244" s="10">
        <v>20</v>
      </c>
      <c r="T244" s="8">
        <f t="shared" si="172"/>
        <v>70</v>
      </c>
      <c r="U244" s="9">
        <v>10</v>
      </c>
      <c r="V244" s="10">
        <v>40</v>
      </c>
      <c r="W244" s="10">
        <v>20</v>
      </c>
      <c r="X244" s="8">
        <f t="shared" si="173"/>
        <v>70</v>
      </c>
      <c r="Y244" s="9">
        <v>10</v>
      </c>
      <c r="Z244" s="10">
        <v>40</v>
      </c>
      <c r="AA244" s="10">
        <v>20</v>
      </c>
      <c r="AB244" s="8">
        <f t="shared" si="174"/>
        <v>70</v>
      </c>
      <c r="AC244" s="86">
        <f t="shared" si="175"/>
        <v>210</v>
      </c>
      <c r="AD244" s="109">
        <v>45470</v>
      </c>
      <c r="AE244" s="58"/>
    </row>
    <row r="245" spans="1:32" x14ac:dyDescent="0.15">
      <c r="A245" s="33" t="s">
        <v>266</v>
      </c>
      <c r="B245" s="9">
        <v>2</v>
      </c>
      <c r="C245" s="10"/>
      <c r="D245" s="10">
        <v>1</v>
      </c>
      <c r="E245" s="8">
        <f t="shared" si="168"/>
        <v>3</v>
      </c>
      <c r="F245" s="9">
        <v>2</v>
      </c>
      <c r="G245" s="10"/>
      <c r="H245" s="10">
        <v>1</v>
      </c>
      <c r="I245" s="8">
        <f t="shared" si="169"/>
        <v>3</v>
      </c>
      <c r="J245" s="9">
        <v>2</v>
      </c>
      <c r="K245" s="10"/>
      <c r="L245" s="10">
        <v>1</v>
      </c>
      <c r="M245" s="39">
        <f t="shared" si="170"/>
        <v>3</v>
      </c>
      <c r="N245" s="138">
        <f t="shared" si="171"/>
        <v>9</v>
      </c>
      <c r="O245" s="21">
        <v>45467</v>
      </c>
      <c r="P245" s="11" t="s">
        <v>278</v>
      </c>
      <c r="Q245" s="9">
        <v>10</v>
      </c>
      <c r="R245" s="10">
        <v>50</v>
      </c>
      <c r="S245" s="10">
        <v>30</v>
      </c>
      <c r="T245" s="8">
        <f t="shared" si="172"/>
        <v>90</v>
      </c>
      <c r="U245" s="9">
        <v>10</v>
      </c>
      <c r="V245" s="10">
        <v>50</v>
      </c>
      <c r="W245" s="10">
        <v>30</v>
      </c>
      <c r="X245" s="8">
        <f t="shared" si="173"/>
        <v>90</v>
      </c>
      <c r="Y245" s="9">
        <v>10</v>
      </c>
      <c r="Z245" s="10">
        <v>50</v>
      </c>
      <c r="AA245" s="10">
        <v>30</v>
      </c>
      <c r="AB245" s="8">
        <f t="shared" si="174"/>
        <v>90</v>
      </c>
      <c r="AC245" s="86">
        <f t="shared" si="175"/>
        <v>270</v>
      </c>
      <c r="AD245" s="109">
        <v>45471</v>
      </c>
      <c r="AE245" s="58"/>
    </row>
    <row r="246" spans="1:32" x14ac:dyDescent="0.15">
      <c r="A246" s="33" t="s">
        <v>267</v>
      </c>
      <c r="B246" s="9"/>
      <c r="C246" s="10">
        <v>2</v>
      </c>
      <c r="D246" s="10"/>
      <c r="E246" s="8">
        <f t="shared" si="168"/>
        <v>2</v>
      </c>
      <c r="F246" s="9"/>
      <c r="G246" s="10">
        <v>2</v>
      </c>
      <c r="H246" s="10"/>
      <c r="I246" s="8">
        <f t="shared" si="169"/>
        <v>2</v>
      </c>
      <c r="J246" s="9"/>
      <c r="K246" s="10">
        <v>2</v>
      </c>
      <c r="L246" s="10"/>
      <c r="M246" s="39">
        <f t="shared" si="170"/>
        <v>2</v>
      </c>
      <c r="N246" s="138">
        <f t="shared" si="171"/>
        <v>6</v>
      </c>
      <c r="O246" s="21">
        <v>45469</v>
      </c>
      <c r="P246" s="4" t="s">
        <v>265</v>
      </c>
      <c r="Q246" s="9">
        <v>24</v>
      </c>
      <c r="R246" s="78">
        <v>30</v>
      </c>
      <c r="S246" s="78">
        <v>20</v>
      </c>
      <c r="T246" s="5">
        <f t="shared" si="172"/>
        <v>74</v>
      </c>
      <c r="U246" s="77">
        <v>24</v>
      </c>
      <c r="V246" s="78">
        <v>30</v>
      </c>
      <c r="W246" s="78">
        <v>20</v>
      </c>
      <c r="X246" s="5">
        <f t="shared" si="173"/>
        <v>74</v>
      </c>
      <c r="Y246" s="77">
        <v>24</v>
      </c>
      <c r="Z246" s="78">
        <v>30</v>
      </c>
      <c r="AA246" s="78">
        <v>20</v>
      </c>
      <c r="AB246" s="5">
        <f t="shared" si="174"/>
        <v>74</v>
      </c>
      <c r="AC246" s="91">
        <f t="shared" si="175"/>
        <v>222</v>
      </c>
      <c r="AD246" s="109">
        <v>45475</v>
      </c>
      <c r="AE246" s="58"/>
    </row>
    <row r="247" spans="1:32" x14ac:dyDescent="0.15">
      <c r="A247" s="33" t="s">
        <v>36</v>
      </c>
      <c r="B247" s="9"/>
      <c r="C247" s="10">
        <v>1</v>
      </c>
      <c r="D247" s="10"/>
      <c r="E247" s="8">
        <f t="shared" ref="E247" si="189">SUM(B247:D247)</f>
        <v>1</v>
      </c>
      <c r="F247" s="9"/>
      <c r="G247" s="10">
        <v>1</v>
      </c>
      <c r="H247" s="10"/>
      <c r="I247" s="8">
        <f t="shared" ref="I247" si="190">SUM(F247:H247)</f>
        <v>1</v>
      </c>
      <c r="J247" s="9"/>
      <c r="K247" s="10">
        <v>1</v>
      </c>
      <c r="L247" s="10"/>
      <c r="M247" s="39">
        <f t="shared" ref="M247" si="191">SUM(J247:L247)</f>
        <v>1</v>
      </c>
      <c r="N247" s="138">
        <f t="shared" ref="N247" si="192">E247+I247+M247</f>
        <v>3</v>
      </c>
      <c r="O247" s="21">
        <v>45467</v>
      </c>
      <c r="P247" s="11" t="s">
        <v>279</v>
      </c>
      <c r="Q247" s="9">
        <v>17</v>
      </c>
      <c r="R247" s="10">
        <v>14</v>
      </c>
      <c r="S247" s="10">
        <v>8</v>
      </c>
      <c r="T247" s="5">
        <f t="shared" si="172"/>
        <v>39</v>
      </c>
      <c r="U247" s="9">
        <v>17</v>
      </c>
      <c r="V247" s="10">
        <v>14</v>
      </c>
      <c r="W247" s="10">
        <v>8</v>
      </c>
      <c r="X247" s="5">
        <f t="shared" si="173"/>
        <v>39</v>
      </c>
      <c r="Y247" s="9">
        <v>17</v>
      </c>
      <c r="Z247" s="10">
        <v>14</v>
      </c>
      <c r="AA247" s="10">
        <v>8</v>
      </c>
      <c r="AB247" s="5">
        <f t="shared" si="174"/>
        <v>39</v>
      </c>
      <c r="AC247" s="86">
        <f t="shared" si="175"/>
        <v>117</v>
      </c>
      <c r="AD247" s="109">
        <v>45474</v>
      </c>
    </row>
    <row r="248" spans="1:32" x14ac:dyDescent="0.15">
      <c r="A248" s="33" t="s">
        <v>271</v>
      </c>
      <c r="B248" s="9"/>
      <c r="C248" s="10"/>
      <c r="D248" s="10">
        <v>2</v>
      </c>
      <c r="E248" s="8">
        <f t="shared" si="168"/>
        <v>2</v>
      </c>
      <c r="F248" s="9"/>
      <c r="G248" s="10"/>
      <c r="H248" s="10">
        <v>2</v>
      </c>
      <c r="I248" s="8">
        <f t="shared" si="169"/>
        <v>2</v>
      </c>
      <c r="J248" s="9"/>
      <c r="K248" s="10"/>
      <c r="L248" s="10">
        <v>2</v>
      </c>
      <c r="M248" s="39">
        <f t="shared" si="170"/>
        <v>2</v>
      </c>
      <c r="N248" s="138">
        <f t="shared" si="171"/>
        <v>6</v>
      </c>
      <c r="O248" s="21">
        <v>45470</v>
      </c>
      <c r="P248" s="11"/>
      <c r="Q248" s="60"/>
      <c r="R248" s="61"/>
      <c r="S248" s="61"/>
      <c r="T248" s="8">
        <f t="shared" ref="T248:T249" si="193">SUM(Q248:S248)</f>
        <v>0</v>
      </c>
      <c r="U248" s="60"/>
      <c r="V248" s="61"/>
      <c r="W248" s="61"/>
      <c r="X248" s="8">
        <f t="shared" ref="X248:X249" si="194">SUM(U248:W248)</f>
        <v>0</v>
      </c>
      <c r="Y248" s="9"/>
      <c r="Z248" s="10"/>
      <c r="AA248" s="10"/>
      <c r="AB248" s="8">
        <f t="shared" ref="AB248:AB249" si="195">SUM(Y248:AA248)</f>
        <v>0</v>
      </c>
      <c r="AC248" s="86">
        <f t="shared" ref="AC248:AC249" si="196">T248+X248+AB248</f>
        <v>0</v>
      </c>
      <c r="AD248" s="109"/>
    </row>
    <row r="249" spans="1:32" x14ac:dyDescent="0.15">
      <c r="A249" s="33" t="s">
        <v>275</v>
      </c>
      <c r="B249" s="9"/>
      <c r="C249" s="10">
        <v>1</v>
      </c>
      <c r="D249" s="10"/>
      <c r="E249" s="8">
        <f t="shared" si="168"/>
        <v>1</v>
      </c>
      <c r="F249" s="9"/>
      <c r="G249" s="10">
        <v>1</v>
      </c>
      <c r="H249" s="10"/>
      <c r="I249" s="8">
        <f t="shared" si="169"/>
        <v>1</v>
      </c>
      <c r="J249" s="9"/>
      <c r="K249" s="10">
        <v>1</v>
      </c>
      <c r="L249" s="10"/>
      <c r="M249" s="39">
        <f t="shared" si="170"/>
        <v>1</v>
      </c>
      <c r="N249" s="138">
        <f t="shared" si="171"/>
        <v>3</v>
      </c>
      <c r="O249" s="21">
        <v>45471</v>
      </c>
      <c r="P249" s="11"/>
      <c r="Q249" s="9"/>
      <c r="R249" s="10"/>
      <c r="S249" s="10"/>
      <c r="T249" s="8">
        <f t="shared" si="193"/>
        <v>0</v>
      </c>
      <c r="U249" s="9"/>
      <c r="V249" s="10"/>
      <c r="W249" s="10"/>
      <c r="X249" s="8">
        <f t="shared" si="194"/>
        <v>0</v>
      </c>
      <c r="Y249" s="9"/>
      <c r="Z249" s="10"/>
      <c r="AA249" s="10"/>
      <c r="AB249" s="8">
        <f t="shared" si="195"/>
        <v>0</v>
      </c>
      <c r="AC249" s="86">
        <f t="shared" si="196"/>
        <v>0</v>
      </c>
      <c r="AD249" s="116"/>
    </row>
    <row r="250" spans="1:32" x14ac:dyDescent="0.15">
      <c r="A250" s="33" t="s">
        <v>277</v>
      </c>
      <c r="B250" s="9"/>
      <c r="C250" s="10">
        <v>2</v>
      </c>
      <c r="D250" s="10"/>
      <c r="E250" s="8">
        <f t="shared" si="168"/>
        <v>2</v>
      </c>
      <c r="F250" s="9"/>
      <c r="G250" s="10">
        <v>2</v>
      </c>
      <c r="H250" s="10"/>
      <c r="I250" s="8">
        <f t="shared" si="169"/>
        <v>2</v>
      </c>
      <c r="J250" s="9"/>
      <c r="K250" s="10">
        <v>2</v>
      </c>
      <c r="L250" s="10"/>
      <c r="M250" s="39">
        <f t="shared" si="170"/>
        <v>2</v>
      </c>
      <c r="N250" s="138">
        <f t="shared" si="171"/>
        <v>6</v>
      </c>
      <c r="O250" s="21">
        <v>45471</v>
      </c>
      <c r="P250" s="11" t="s">
        <v>163</v>
      </c>
      <c r="Q250" s="60"/>
      <c r="R250" s="61"/>
      <c r="S250" s="61"/>
      <c r="T250" s="8">
        <f t="shared" si="172"/>
        <v>0</v>
      </c>
      <c r="U250" s="60"/>
      <c r="V250" s="61"/>
      <c r="W250" s="61"/>
      <c r="X250" s="8">
        <f t="shared" si="173"/>
        <v>0</v>
      </c>
      <c r="Y250" s="9"/>
      <c r="Z250" s="10"/>
      <c r="AA250" s="10"/>
      <c r="AB250" s="8">
        <f t="shared" si="174"/>
        <v>0</v>
      </c>
      <c r="AC250" s="86">
        <f t="shared" si="175"/>
        <v>0</v>
      </c>
      <c r="AD250" s="109" t="s">
        <v>164</v>
      </c>
    </row>
    <row r="251" spans="1:32" x14ac:dyDescent="0.15">
      <c r="A251" s="33" t="s">
        <v>280</v>
      </c>
      <c r="B251" s="9"/>
      <c r="C251" s="10">
        <v>4</v>
      </c>
      <c r="D251" s="10"/>
      <c r="E251" s="8">
        <f t="shared" si="168"/>
        <v>4</v>
      </c>
      <c r="F251" s="9"/>
      <c r="G251" s="10">
        <v>4</v>
      </c>
      <c r="H251" s="10"/>
      <c r="I251" s="8">
        <f t="shared" si="169"/>
        <v>4</v>
      </c>
      <c r="J251" s="9"/>
      <c r="K251" s="10">
        <v>4</v>
      </c>
      <c r="L251" s="10"/>
      <c r="M251" s="39">
        <f t="shared" si="170"/>
        <v>4</v>
      </c>
      <c r="N251" s="138">
        <f t="shared" si="171"/>
        <v>12</v>
      </c>
      <c r="O251" s="21">
        <v>45474</v>
      </c>
      <c r="P251" s="11" t="s">
        <v>230</v>
      </c>
      <c r="Q251" s="9"/>
      <c r="R251" s="10"/>
      <c r="S251" s="10"/>
      <c r="T251" s="8">
        <f t="shared" si="172"/>
        <v>0</v>
      </c>
      <c r="U251" s="9"/>
      <c r="V251" s="10"/>
      <c r="W251" s="10"/>
      <c r="X251" s="8">
        <f t="shared" si="173"/>
        <v>0</v>
      </c>
      <c r="Y251" s="9"/>
      <c r="Z251" s="10"/>
      <c r="AA251" s="10"/>
      <c r="AB251" s="8">
        <f t="shared" si="174"/>
        <v>0</v>
      </c>
      <c r="AC251" s="86">
        <f t="shared" si="175"/>
        <v>0</v>
      </c>
      <c r="AD251" s="116" t="s">
        <v>93</v>
      </c>
    </row>
    <row r="252" spans="1:32" x14ac:dyDescent="0.15">
      <c r="A252" s="33" t="s">
        <v>283</v>
      </c>
      <c r="B252" s="9"/>
      <c r="C252" s="10">
        <v>3</v>
      </c>
      <c r="D252" s="10"/>
      <c r="E252" s="8">
        <f t="shared" si="168"/>
        <v>3</v>
      </c>
      <c r="F252" s="9"/>
      <c r="G252" s="10">
        <v>3</v>
      </c>
      <c r="H252" s="10"/>
      <c r="I252" s="8">
        <f t="shared" si="169"/>
        <v>3</v>
      </c>
      <c r="J252" s="9"/>
      <c r="K252" s="10">
        <v>3</v>
      </c>
      <c r="L252" s="10"/>
      <c r="M252" s="39">
        <f t="shared" si="170"/>
        <v>3</v>
      </c>
      <c r="N252" s="138">
        <f t="shared" si="171"/>
        <v>9</v>
      </c>
      <c r="O252" s="21">
        <v>45476</v>
      </c>
      <c r="P252" s="4" t="s">
        <v>120</v>
      </c>
      <c r="Q252" s="9"/>
      <c r="R252" s="10"/>
      <c r="S252" s="10"/>
      <c r="T252" s="8">
        <f t="shared" si="172"/>
        <v>0</v>
      </c>
      <c r="U252" s="9"/>
      <c r="V252" s="10"/>
      <c r="W252" s="10"/>
      <c r="X252" s="8">
        <f t="shared" si="173"/>
        <v>0</v>
      </c>
      <c r="Y252" s="9"/>
      <c r="Z252" s="10"/>
      <c r="AA252" s="10"/>
      <c r="AB252" s="8">
        <f t="shared" si="174"/>
        <v>0</v>
      </c>
      <c r="AC252" s="86">
        <f t="shared" si="175"/>
        <v>0</v>
      </c>
      <c r="AD252" s="116" t="s">
        <v>121</v>
      </c>
    </row>
    <row r="253" spans="1:32" x14ac:dyDescent="0.15">
      <c r="A253" s="33"/>
      <c r="B253" s="9"/>
      <c r="C253" s="10"/>
      <c r="D253" s="10"/>
      <c r="E253" s="8">
        <f t="shared" si="168"/>
        <v>0</v>
      </c>
      <c r="F253" s="9"/>
      <c r="G253" s="10"/>
      <c r="H253" s="10"/>
      <c r="I253" s="8">
        <f t="shared" si="169"/>
        <v>0</v>
      </c>
      <c r="J253" s="9"/>
      <c r="K253" s="10"/>
      <c r="L253" s="10"/>
      <c r="M253" s="39">
        <f t="shared" si="170"/>
        <v>0</v>
      </c>
      <c r="N253" s="138">
        <f t="shared" si="171"/>
        <v>0</v>
      </c>
      <c r="O253" s="21"/>
      <c r="P253" s="11" t="s">
        <v>103</v>
      </c>
      <c r="Q253" s="9"/>
      <c r="R253" s="10"/>
      <c r="S253" s="10"/>
      <c r="T253" s="8">
        <f t="shared" si="172"/>
        <v>0</v>
      </c>
      <c r="U253" s="9"/>
      <c r="V253" s="10"/>
      <c r="W253" s="10"/>
      <c r="X253" s="8">
        <f t="shared" si="173"/>
        <v>0</v>
      </c>
      <c r="Y253" s="9"/>
      <c r="Z253" s="10"/>
      <c r="AA253" s="10"/>
      <c r="AB253" s="8">
        <f t="shared" si="174"/>
        <v>0</v>
      </c>
      <c r="AC253" s="86">
        <f t="shared" si="175"/>
        <v>0</v>
      </c>
      <c r="AD253" s="116" t="s">
        <v>101</v>
      </c>
    </row>
    <row r="254" spans="1:32" x14ac:dyDescent="0.15">
      <c r="A254" s="33"/>
      <c r="B254" s="9"/>
      <c r="C254" s="10"/>
      <c r="D254" s="10"/>
      <c r="E254" s="8">
        <f t="shared" si="168"/>
        <v>0</v>
      </c>
      <c r="F254" s="9"/>
      <c r="G254" s="10"/>
      <c r="H254" s="10"/>
      <c r="I254" s="8">
        <f t="shared" si="169"/>
        <v>0</v>
      </c>
      <c r="J254" s="9"/>
      <c r="K254" s="10"/>
      <c r="L254" s="10"/>
      <c r="M254" s="39">
        <f t="shared" si="170"/>
        <v>0</v>
      </c>
      <c r="N254" s="138">
        <f t="shared" si="171"/>
        <v>0</v>
      </c>
      <c r="O254" s="21"/>
      <c r="P254" s="11" t="s">
        <v>191</v>
      </c>
      <c r="Q254" s="60"/>
      <c r="R254" s="61"/>
      <c r="S254" s="61"/>
      <c r="T254" s="8">
        <f t="shared" si="172"/>
        <v>0</v>
      </c>
      <c r="U254" s="60"/>
      <c r="V254" s="61"/>
      <c r="W254" s="61"/>
      <c r="X254" s="8">
        <f t="shared" si="173"/>
        <v>0</v>
      </c>
      <c r="Y254" s="9"/>
      <c r="Z254" s="10"/>
      <c r="AA254" s="10"/>
      <c r="AB254" s="8">
        <f t="shared" si="174"/>
        <v>0</v>
      </c>
      <c r="AC254" s="86">
        <f t="shared" si="175"/>
        <v>0</v>
      </c>
      <c r="AD254" s="109" t="s">
        <v>192</v>
      </c>
    </row>
    <row r="255" spans="1:32" ht="14.25" thickBot="1" x14ac:dyDescent="0.2">
      <c r="A255" s="63"/>
      <c r="B255" s="9"/>
      <c r="C255" s="10"/>
      <c r="D255" s="22"/>
      <c r="E255" s="8">
        <f t="shared" si="168"/>
        <v>0</v>
      </c>
      <c r="F255" s="9"/>
      <c r="G255" s="10"/>
      <c r="H255" s="22"/>
      <c r="I255" s="8">
        <f t="shared" si="169"/>
        <v>0</v>
      </c>
      <c r="J255" s="9"/>
      <c r="K255" s="10"/>
      <c r="L255" s="22"/>
      <c r="M255" s="39">
        <f t="shared" si="170"/>
        <v>0</v>
      </c>
      <c r="N255" s="139">
        <f t="shared" si="171"/>
        <v>0</v>
      </c>
      <c r="O255" s="21"/>
      <c r="P255" s="11" t="s">
        <v>155</v>
      </c>
      <c r="Q255" s="9"/>
      <c r="R255" s="10"/>
      <c r="S255" s="10"/>
      <c r="T255" s="8">
        <f t="shared" si="172"/>
        <v>0</v>
      </c>
      <c r="U255" s="9"/>
      <c r="V255" s="10"/>
      <c r="W255" s="10"/>
      <c r="X255" s="8">
        <f t="shared" si="173"/>
        <v>0</v>
      </c>
      <c r="Y255" s="9"/>
      <c r="Z255" s="10"/>
      <c r="AA255" s="10"/>
      <c r="AB255" s="8">
        <f t="shared" si="174"/>
        <v>0</v>
      </c>
      <c r="AC255" s="86">
        <f t="shared" si="175"/>
        <v>0</v>
      </c>
      <c r="AD255" s="116" t="s">
        <v>156</v>
      </c>
    </row>
    <row r="256" spans="1:32" ht="14.25" thickBot="1" x14ac:dyDescent="0.2">
      <c r="A256" s="104" t="s">
        <v>5</v>
      </c>
      <c r="B256" s="12">
        <f>SUM(B232:B255)</f>
        <v>9</v>
      </c>
      <c r="C256" s="12">
        <f>SUM(C232:C255)</f>
        <v>20</v>
      </c>
      <c r="D256" s="12">
        <f>SUM(D232:D255)</f>
        <v>10</v>
      </c>
      <c r="E256" s="13">
        <f t="shared" si="168"/>
        <v>39</v>
      </c>
      <c r="F256" s="12">
        <f>SUM(F232:F255)</f>
        <v>9</v>
      </c>
      <c r="G256" s="12">
        <f>SUM(G232:G255)</f>
        <v>20</v>
      </c>
      <c r="H256" s="12">
        <f>SUM(H232:H255)</f>
        <v>10</v>
      </c>
      <c r="I256" s="13">
        <f t="shared" si="169"/>
        <v>39</v>
      </c>
      <c r="J256" s="12">
        <f>SUM(J232:J255)</f>
        <v>9</v>
      </c>
      <c r="K256" s="12">
        <f>SUM(K232:K255)</f>
        <v>21</v>
      </c>
      <c r="L256" s="12">
        <f>SUM(L232:L255)</f>
        <v>10</v>
      </c>
      <c r="M256" s="12">
        <f t="shared" si="170"/>
        <v>40</v>
      </c>
      <c r="N256" s="142">
        <f t="shared" si="171"/>
        <v>118</v>
      </c>
      <c r="O256" s="1"/>
      <c r="P256" s="3" t="s">
        <v>5</v>
      </c>
      <c r="Q256" s="12">
        <f>SUM(Q232:Q255)</f>
        <v>129</v>
      </c>
      <c r="R256" s="12">
        <f>SUM(R232:R255)</f>
        <v>245</v>
      </c>
      <c r="S256" s="12">
        <f>SUM(S232:S255)</f>
        <v>164</v>
      </c>
      <c r="T256" s="13">
        <f t="shared" si="172"/>
        <v>538</v>
      </c>
      <c r="U256" s="12">
        <f>SUM(U232:U255)</f>
        <v>129</v>
      </c>
      <c r="V256" s="12">
        <f>SUM(V232:V255)</f>
        <v>245</v>
      </c>
      <c r="W256" s="12">
        <f>SUM(W232:W255)</f>
        <v>164</v>
      </c>
      <c r="X256" s="13">
        <f t="shared" si="173"/>
        <v>538</v>
      </c>
      <c r="Y256" s="12">
        <f>SUM(Y232:Y255)</f>
        <v>129</v>
      </c>
      <c r="Z256" s="12">
        <f>SUM(Z232:Z255)</f>
        <v>255</v>
      </c>
      <c r="AA256" s="12">
        <f>SUM(AA232:AA255)</f>
        <v>174</v>
      </c>
      <c r="AB256" s="13">
        <f t="shared" si="174"/>
        <v>558</v>
      </c>
      <c r="AC256" s="88">
        <f t="shared" si="175"/>
        <v>1634</v>
      </c>
    </row>
    <row r="257" spans="1:31" ht="14.25" thickBot="1" x14ac:dyDescent="0.2">
      <c r="A257" s="105" t="s">
        <v>6</v>
      </c>
      <c r="B257" s="20">
        <f>B231-B256</f>
        <v>13</v>
      </c>
      <c r="C257" s="20">
        <f t="shared" ref="C257:E257" si="197">C231-C256</f>
        <v>21</v>
      </c>
      <c r="D257" s="20">
        <f t="shared" si="197"/>
        <v>8</v>
      </c>
      <c r="E257" s="18">
        <f t="shared" si="197"/>
        <v>42</v>
      </c>
      <c r="F257" s="20">
        <f>F231-F256</f>
        <v>12</v>
      </c>
      <c r="G257" s="20">
        <f t="shared" ref="G257:I257" si="198">G231-G256</f>
        <v>18</v>
      </c>
      <c r="H257" s="20">
        <f t="shared" si="198"/>
        <v>11</v>
      </c>
      <c r="I257" s="18">
        <f t="shared" si="198"/>
        <v>41</v>
      </c>
      <c r="J257" s="20">
        <f>J231-J256</f>
        <v>16</v>
      </c>
      <c r="K257" s="20">
        <f t="shared" ref="K257:M257" si="199">K231-K256</f>
        <v>17</v>
      </c>
      <c r="L257" s="20">
        <f t="shared" si="199"/>
        <v>11</v>
      </c>
      <c r="M257" s="20">
        <f t="shared" si="199"/>
        <v>44</v>
      </c>
      <c r="N257" s="140">
        <f t="shared" si="171"/>
        <v>127</v>
      </c>
      <c r="O257" s="1"/>
      <c r="P257" s="19" t="s">
        <v>6</v>
      </c>
      <c r="Q257" s="20">
        <f>Q231-Q256</f>
        <v>424</v>
      </c>
      <c r="R257" s="20">
        <f t="shared" ref="R257:T257" si="200">R231-R256</f>
        <v>306</v>
      </c>
      <c r="S257" s="20">
        <f t="shared" si="200"/>
        <v>106</v>
      </c>
      <c r="T257" s="18">
        <f t="shared" si="200"/>
        <v>836</v>
      </c>
      <c r="U257" s="20">
        <f>U231-U256</f>
        <v>438</v>
      </c>
      <c r="V257" s="20">
        <f t="shared" ref="V257:X257" si="201">V231-V256</f>
        <v>328</v>
      </c>
      <c r="W257" s="20">
        <f t="shared" si="201"/>
        <v>123</v>
      </c>
      <c r="X257" s="18">
        <f t="shared" si="201"/>
        <v>889</v>
      </c>
      <c r="Y257" s="20">
        <f>Y231-Y256</f>
        <v>419</v>
      </c>
      <c r="Z257" s="20">
        <f t="shared" ref="Z257:AB257" si="202">Z231-Z256</f>
        <v>307</v>
      </c>
      <c r="AA257" s="20">
        <f t="shared" si="202"/>
        <v>96</v>
      </c>
      <c r="AB257" s="18">
        <f t="shared" si="202"/>
        <v>822</v>
      </c>
      <c r="AC257" s="88">
        <f t="shared" si="175"/>
        <v>2547</v>
      </c>
    </row>
    <row r="260" spans="1:31" ht="19.5" thickBot="1" x14ac:dyDescent="0.25">
      <c r="A260" s="108" t="s">
        <v>264</v>
      </c>
      <c r="B260" s="47"/>
      <c r="C260" s="47"/>
      <c r="D260" s="47"/>
      <c r="E260" s="47"/>
      <c r="F260" s="48"/>
      <c r="G260" s="48"/>
      <c r="H260" s="48"/>
      <c r="I260" s="48"/>
      <c r="J260" s="48"/>
      <c r="K260" s="48"/>
      <c r="L260" s="1"/>
      <c r="M260" s="1"/>
      <c r="N260" s="137"/>
      <c r="O260" s="1"/>
      <c r="P260" s="43" t="s">
        <v>263</v>
      </c>
      <c r="Q260" s="44"/>
      <c r="R260" s="44"/>
      <c r="S260" s="44"/>
      <c r="T260" s="44"/>
      <c r="U260" s="45"/>
      <c r="V260" s="45"/>
      <c r="W260" s="45"/>
      <c r="X260" s="45"/>
      <c r="Y260" s="46"/>
      <c r="Z260" s="53"/>
      <c r="AA260" s="1"/>
      <c r="AB260" s="1"/>
    </row>
    <row r="261" spans="1:31" ht="14.25" thickBot="1" x14ac:dyDescent="0.2">
      <c r="A261" s="100" t="s">
        <v>0</v>
      </c>
      <c r="B261" s="337" t="s">
        <v>11</v>
      </c>
      <c r="C261" s="337"/>
      <c r="D261" s="337"/>
      <c r="E261" s="338"/>
      <c r="F261" s="339" t="s">
        <v>9</v>
      </c>
      <c r="G261" s="340"/>
      <c r="H261" s="340"/>
      <c r="I261" s="341"/>
      <c r="J261" s="342" t="s">
        <v>12</v>
      </c>
      <c r="K261" s="343"/>
      <c r="L261" s="343"/>
      <c r="M261" s="343"/>
      <c r="N261" s="347" t="s">
        <v>13</v>
      </c>
      <c r="O261" s="1"/>
      <c r="P261" s="2" t="s">
        <v>0</v>
      </c>
      <c r="Q261" s="337" t="s">
        <v>11</v>
      </c>
      <c r="R261" s="337"/>
      <c r="S261" s="337"/>
      <c r="T261" s="338"/>
      <c r="U261" s="339" t="s">
        <v>9</v>
      </c>
      <c r="V261" s="340"/>
      <c r="W261" s="340"/>
      <c r="X261" s="341"/>
      <c r="Y261" s="342" t="s">
        <v>12</v>
      </c>
      <c r="Z261" s="343"/>
      <c r="AA261" s="343"/>
      <c r="AB261" s="343"/>
      <c r="AC261" s="345" t="s">
        <v>13</v>
      </c>
    </row>
    <row r="262" spans="1:31" ht="14.25" thickBot="1" x14ac:dyDescent="0.2">
      <c r="A262" s="100" t="s">
        <v>1</v>
      </c>
      <c r="B262" s="3" t="s">
        <v>7</v>
      </c>
      <c r="C262" s="2" t="s">
        <v>10</v>
      </c>
      <c r="D262" s="2" t="s">
        <v>8</v>
      </c>
      <c r="E262" s="2" t="s">
        <v>2</v>
      </c>
      <c r="F262" s="3" t="s">
        <v>7</v>
      </c>
      <c r="G262" s="2" t="s">
        <v>10</v>
      </c>
      <c r="H262" s="2" t="s">
        <v>8</v>
      </c>
      <c r="I262" s="2" t="s">
        <v>2</v>
      </c>
      <c r="J262" s="3" t="s">
        <v>7</v>
      </c>
      <c r="K262" s="2" t="s">
        <v>10</v>
      </c>
      <c r="L262" s="2" t="s">
        <v>8</v>
      </c>
      <c r="M262" s="3" t="s">
        <v>2</v>
      </c>
      <c r="N262" s="348"/>
      <c r="O262" s="1"/>
      <c r="P262" s="2" t="s">
        <v>1</v>
      </c>
      <c r="Q262" s="3" t="s">
        <v>7</v>
      </c>
      <c r="R262" s="2" t="s">
        <v>10</v>
      </c>
      <c r="S262" s="2" t="s">
        <v>8</v>
      </c>
      <c r="T262" s="2" t="s">
        <v>2</v>
      </c>
      <c r="U262" s="3" t="s">
        <v>7</v>
      </c>
      <c r="V262" s="2" t="s">
        <v>10</v>
      </c>
      <c r="W262" s="2" t="s">
        <v>8</v>
      </c>
      <c r="X262" s="2" t="s">
        <v>2</v>
      </c>
      <c r="Y262" s="3" t="s">
        <v>7</v>
      </c>
      <c r="Z262" s="2" t="s">
        <v>10</v>
      </c>
      <c r="AA262" s="2" t="s">
        <v>8</v>
      </c>
      <c r="AB262" s="2" t="s">
        <v>2</v>
      </c>
      <c r="AC262" s="346"/>
    </row>
    <row r="263" spans="1:31" x14ac:dyDescent="0.15">
      <c r="A263" s="106" t="s">
        <v>6</v>
      </c>
      <c r="B263" s="41">
        <f>B257</f>
        <v>13</v>
      </c>
      <c r="C263" s="41">
        <f t="shared" ref="C263:E263" si="203">C257</f>
        <v>21</v>
      </c>
      <c r="D263" s="41">
        <f t="shared" si="203"/>
        <v>8</v>
      </c>
      <c r="E263" s="42">
        <f t="shared" si="203"/>
        <v>42</v>
      </c>
      <c r="F263" s="41">
        <f>F257</f>
        <v>12</v>
      </c>
      <c r="G263" s="41">
        <f t="shared" ref="G263:I263" si="204">G257</f>
        <v>18</v>
      </c>
      <c r="H263" s="41">
        <f t="shared" si="204"/>
        <v>11</v>
      </c>
      <c r="I263" s="42">
        <f t="shared" si="204"/>
        <v>41</v>
      </c>
      <c r="J263" s="41">
        <f>J257</f>
        <v>16</v>
      </c>
      <c r="K263" s="41">
        <f t="shared" ref="K263:M263" si="205">K257</f>
        <v>17</v>
      </c>
      <c r="L263" s="41">
        <f t="shared" si="205"/>
        <v>11</v>
      </c>
      <c r="M263" s="42">
        <f t="shared" si="205"/>
        <v>44</v>
      </c>
      <c r="N263" s="143">
        <f>E263+I263+M263</f>
        <v>127</v>
      </c>
      <c r="O263" s="24"/>
      <c r="P263" s="36" t="s">
        <v>6</v>
      </c>
      <c r="Q263" s="41">
        <f>Q257</f>
        <v>424</v>
      </c>
      <c r="R263" s="41">
        <f t="shared" ref="R263:T263" si="206">R257</f>
        <v>306</v>
      </c>
      <c r="S263" s="41">
        <f t="shared" si="206"/>
        <v>106</v>
      </c>
      <c r="T263" s="42">
        <f t="shared" si="206"/>
        <v>836</v>
      </c>
      <c r="U263" s="41">
        <f>U257</f>
        <v>438</v>
      </c>
      <c r="V263" s="41">
        <f t="shared" ref="V263:X263" si="207">V257</f>
        <v>328</v>
      </c>
      <c r="W263" s="41">
        <f t="shared" si="207"/>
        <v>123</v>
      </c>
      <c r="X263" s="42">
        <f t="shared" si="207"/>
        <v>889</v>
      </c>
      <c r="Y263" s="41">
        <f>Y257</f>
        <v>419</v>
      </c>
      <c r="Z263" s="41">
        <f t="shared" ref="Z263:AB263" si="208">Z257</f>
        <v>307</v>
      </c>
      <c r="AA263" s="41">
        <f t="shared" si="208"/>
        <v>96</v>
      </c>
      <c r="AB263" s="42">
        <f t="shared" si="208"/>
        <v>822</v>
      </c>
      <c r="AC263" s="90">
        <f>T263+X263+AB263</f>
        <v>2547</v>
      </c>
    </row>
    <row r="264" spans="1:31" x14ac:dyDescent="0.15">
      <c r="A264" s="102" t="s">
        <v>3</v>
      </c>
      <c r="B264" s="25">
        <v>5</v>
      </c>
      <c r="C264" s="26">
        <v>5</v>
      </c>
      <c r="D264" s="26">
        <v>5</v>
      </c>
      <c r="E264" s="5">
        <f t="shared" ref="E264:E299" si="209">SUM(B264:D264)</f>
        <v>15</v>
      </c>
      <c r="F264" s="25">
        <v>5</v>
      </c>
      <c r="G264" s="26">
        <v>10</v>
      </c>
      <c r="H264" s="26">
        <v>5</v>
      </c>
      <c r="I264" s="5">
        <f t="shared" ref="I264:I299" si="210">SUM(F264:H264)</f>
        <v>20</v>
      </c>
      <c r="J264" s="25">
        <v>5</v>
      </c>
      <c r="K264" s="26">
        <v>10</v>
      </c>
      <c r="L264" s="26">
        <v>5</v>
      </c>
      <c r="M264" s="38">
        <f t="shared" ref="M264:M299" si="211">SUM(J264:L264)</f>
        <v>20</v>
      </c>
      <c r="N264" s="138">
        <f t="shared" ref="N264:N300" si="212">E264+I264+M264</f>
        <v>55</v>
      </c>
      <c r="O264" s="24">
        <v>45478</v>
      </c>
      <c r="P264" s="6" t="s">
        <v>3</v>
      </c>
      <c r="Q264" s="14"/>
      <c r="R264" s="11"/>
      <c r="S264" s="11"/>
      <c r="T264" s="5">
        <f t="shared" ref="T264:T299" si="213">SUM(Q264:S264)</f>
        <v>0</v>
      </c>
      <c r="U264" s="14"/>
      <c r="V264" s="11"/>
      <c r="W264" s="11"/>
      <c r="X264" s="5">
        <f t="shared" ref="X264:X299" si="214">SUM(U264:W264)</f>
        <v>0</v>
      </c>
      <c r="Y264" s="25"/>
      <c r="Z264" s="26"/>
      <c r="AA264" s="26"/>
      <c r="AB264" s="5">
        <f t="shared" ref="AB264:AB299" si="215">SUM(Y264:AA264)</f>
        <v>0</v>
      </c>
      <c r="AC264" s="86">
        <f t="shared" ref="AC264:AC300" si="216">T264+X264+AB264</f>
        <v>0</v>
      </c>
    </row>
    <row r="265" spans="1:31" x14ac:dyDescent="0.15">
      <c r="A265" s="102" t="s">
        <v>3</v>
      </c>
      <c r="B265" s="14"/>
      <c r="C265" s="11">
        <v>10</v>
      </c>
      <c r="D265" s="11"/>
      <c r="E265" s="5">
        <f t="shared" si="209"/>
        <v>10</v>
      </c>
      <c r="F265" s="34"/>
      <c r="G265" s="11"/>
      <c r="H265" s="11"/>
      <c r="I265" s="5">
        <f t="shared" si="210"/>
        <v>0</v>
      </c>
      <c r="J265" s="34"/>
      <c r="K265" s="11"/>
      <c r="L265" s="11"/>
      <c r="M265" s="38">
        <f t="shared" si="211"/>
        <v>0</v>
      </c>
      <c r="N265" s="138">
        <f t="shared" si="212"/>
        <v>10</v>
      </c>
      <c r="O265" s="21">
        <v>45489</v>
      </c>
      <c r="P265" s="6" t="s">
        <v>3</v>
      </c>
      <c r="Q265" s="25"/>
      <c r="R265" s="26"/>
      <c r="S265" s="26"/>
      <c r="T265" s="8">
        <f t="shared" si="213"/>
        <v>0</v>
      </c>
      <c r="U265" s="25"/>
      <c r="V265" s="26"/>
      <c r="W265" s="26"/>
      <c r="X265" s="8">
        <f t="shared" si="214"/>
        <v>0</v>
      </c>
      <c r="Y265" s="34"/>
      <c r="Z265" s="11"/>
      <c r="AA265" s="11"/>
      <c r="AB265" s="5">
        <f t="shared" si="215"/>
        <v>0</v>
      </c>
      <c r="AC265" s="86">
        <f t="shared" si="216"/>
        <v>0</v>
      </c>
    </row>
    <row r="266" spans="1:31" x14ac:dyDescent="0.15">
      <c r="A266" s="102" t="s">
        <v>3</v>
      </c>
      <c r="B266" s="14">
        <v>10</v>
      </c>
      <c r="C266" s="11"/>
      <c r="D266" s="11"/>
      <c r="E266" s="5">
        <f t="shared" si="209"/>
        <v>10</v>
      </c>
      <c r="F266" s="34">
        <v>10</v>
      </c>
      <c r="G266" s="11">
        <v>10</v>
      </c>
      <c r="H266" s="11"/>
      <c r="I266" s="5">
        <f t="shared" si="210"/>
        <v>20</v>
      </c>
      <c r="J266" s="34"/>
      <c r="K266" s="11">
        <v>10</v>
      </c>
      <c r="L266" s="11"/>
      <c r="M266" s="38">
        <f t="shared" si="211"/>
        <v>10</v>
      </c>
      <c r="N266" s="138">
        <f t="shared" si="212"/>
        <v>40</v>
      </c>
      <c r="O266" s="21">
        <v>45492</v>
      </c>
      <c r="P266" s="6" t="s">
        <v>229</v>
      </c>
      <c r="Q266" s="14">
        <v>180</v>
      </c>
      <c r="R266" s="11">
        <v>320</v>
      </c>
      <c r="S266" s="11">
        <v>380</v>
      </c>
      <c r="T266" s="5">
        <f t="shared" si="213"/>
        <v>880</v>
      </c>
      <c r="U266" s="14">
        <v>180</v>
      </c>
      <c r="V266" s="11">
        <v>320</v>
      </c>
      <c r="W266" s="11">
        <v>380</v>
      </c>
      <c r="X266" s="5">
        <f t="shared" si="214"/>
        <v>880</v>
      </c>
      <c r="Y266" s="34">
        <v>180</v>
      </c>
      <c r="Z266" s="11">
        <v>320</v>
      </c>
      <c r="AA266" s="11">
        <v>380</v>
      </c>
      <c r="AB266" s="5">
        <f t="shared" si="215"/>
        <v>880</v>
      </c>
      <c r="AC266" s="86">
        <f t="shared" si="216"/>
        <v>2640</v>
      </c>
      <c r="AD266" s="109" t="s">
        <v>287</v>
      </c>
      <c r="AE266" s="58"/>
    </row>
    <row r="267" spans="1:31" x14ac:dyDescent="0.15">
      <c r="A267" s="102" t="s">
        <v>319</v>
      </c>
      <c r="B267" s="14"/>
      <c r="C267" s="11">
        <v>1</v>
      </c>
      <c r="D267" s="11"/>
      <c r="E267" s="5">
        <f t="shared" si="209"/>
        <v>1</v>
      </c>
      <c r="F267" s="34"/>
      <c r="G267" s="11">
        <v>1</v>
      </c>
      <c r="H267" s="11"/>
      <c r="I267" s="5">
        <f t="shared" si="210"/>
        <v>1</v>
      </c>
      <c r="J267" s="34"/>
      <c r="K267" s="11">
        <v>1</v>
      </c>
      <c r="L267" s="11"/>
      <c r="M267" s="38">
        <f t="shared" si="211"/>
        <v>1</v>
      </c>
      <c r="N267" s="138">
        <f t="shared" si="212"/>
        <v>3</v>
      </c>
      <c r="O267" s="21">
        <v>45491</v>
      </c>
      <c r="P267" s="6" t="s">
        <v>3</v>
      </c>
      <c r="Q267" s="14"/>
      <c r="R267" s="11"/>
      <c r="S267" s="11"/>
      <c r="T267" s="5">
        <f t="shared" si="213"/>
        <v>0</v>
      </c>
      <c r="U267" s="14"/>
      <c r="V267" s="11"/>
      <c r="W267" s="11"/>
      <c r="X267" s="5">
        <f t="shared" si="214"/>
        <v>0</v>
      </c>
      <c r="Y267" s="34"/>
      <c r="Z267" s="11"/>
      <c r="AA267" s="11"/>
      <c r="AB267" s="5">
        <f t="shared" si="215"/>
        <v>0</v>
      </c>
      <c r="AC267" s="86">
        <f t="shared" si="216"/>
        <v>0</v>
      </c>
    </row>
    <row r="268" spans="1:31" x14ac:dyDescent="0.15">
      <c r="A268" s="102" t="s">
        <v>3</v>
      </c>
      <c r="B268" s="14"/>
      <c r="C268" s="11"/>
      <c r="D268" s="11">
        <v>10</v>
      </c>
      <c r="E268" s="5">
        <f t="shared" si="209"/>
        <v>10</v>
      </c>
      <c r="F268" s="34"/>
      <c r="G268" s="11"/>
      <c r="H268" s="11"/>
      <c r="I268" s="5">
        <f t="shared" si="210"/>
        <v>0</v>
      </c>
      <c r="J268" s="34">
        <v>10</v>
      </c>
      <c r="K268" s="11"/>
      <c r="L268" s="11"/>
      <c r="M268" s="38">
        <f t="shared" si="211"/>
        <v>10</v>
      </c>
      <c r="N268" s="138">
        <f t="shared" si="212"/>
        <v>20</v>
      </c>
      <c r="O268" s="21">
        <v>45497</v>
      </c>
      <c r="P268" s="6" t="s">
        <v>3</v>
      </c>
      <c r="Q268" s="14">
        <v>8</v>
      </c>
      <c r="R268" s="11">
        <v>7</v>
      </c>
      <c r="S268" s="11">
        <v>9</v>
      </c>
      <c r="T268" s="5">
        <f t="shared" si="213"/>
        <v>24</v>
      </c>
      <c r="U268" s="14">
        <v>2</v>
      </c>
      <c r="V268" s="11">
        <v>8</v>
      </c>
      <c r="W268" s="11">
        <v>8</v>
      </c>
      <c r="X268" s="5">
        <f t="shared" si="214"/>
        <v>18</v>
      </c>
      <c r="Y268" s="25">
        <v>5</v>
      </c>
      <c r="Z268" s="26">
        <v>6</v>
      </c>
      <c r="AA268" s="26">
        <v>4</v>
      </c>
      <c r="AB268" s="8">
        <f t="shared" si="215"/>
        <v>15</v>
      </c>
      <c r="AC268" s="86">
        <f t="shared" si="216"/>
        <v>57</v>
      </c>
      <c r="AD268" s="109" t="s">
        <v>324</v>
      </c>
    </row>
    <row r="269" spans="1:31" x14ac:dyDescent="0.15">
      <c r="A269" s="102" t="s">
        <v>3</v>
      </c>
      <c r="B269" s="25"/>
      <c r="C269" s="26"/>
      <c r="D269" s="26"/>
      <c r="E269" s="8">
        <f t="shared" si="209"/>
        <v>0</v>
      </c>
      <c r="F269" s="25"/>
      <c r="G269" s="26"/>
      <c r="H269" s="26"/>
      <c r="I269" s="8">
        <f t="shared" si="210"/>
        <v>0</v>
      </c>
      <c r="J269" s="25"/>
      <c r="K269" s="26"/>
      <c r="L269" s="26"/>
      <c r="M269" s="39">
        <f t="shared" si="211"/>
        <v>0</v>
      </c>
      <c r="N269" s="138">
        <f t="shared" si="212"/>
        <v>0</v>
      </c>
      <c r="O269" s="24"/>
      <c r="P269" s="6" t="s">
        <v>3</v>
      </c>
      <c r="Q269" s="27"/>
      <c r="R269" s="26"/>
      <c r="S269" s="26"/>
      <c r="T269" s="5">
        <f t="shared" ref="T269" si="217">SUM(Q269:S269)</f>
        <v>0</v>
      </c>
      <c r="U269" s="27"/>
      <c r="V269" s="26"/>
      <c r="W269" s="26"/>
      <c r="X269" s="5">
        <f t="shared" ref="X269" si="218">SUM(U269:W269)</f>
        <v>0</v>
      </c>
      <c r="Y269" s="25"/>
      <c r="Z269" s="26"/>
      <c r="AA269" s="26"/>
      <c r="AB269" s="5">
        <f t="shared" ref="AB269" si="219">SUM(Y269:AA269)</f>
        <v>0</v>
      </c>
      <c r="AC269" s="86">
        <f t="shared" ref="AC269" si="220">T269+X269+AB269</f>
        <v>0</v>
      </c>
    </row>
    <row r="270" spans="1:31" x14ac:dyDescent="0.15">
      <c r="A270" s="102" t="s">
        <v>3</v>
      </c>
      <c r="B270" s="27"/>
      <c r="C270" s="26"/>
      <c r="D270" s="26"/>
      <c r="E270" s="5">
        <f t="shared" si="209"/>
        <v>0</v>
      </c>
      <c r="F270" s="25"/>
      <c r="G270" s="26"/>
      <c r="H270" s="26"/>
      <c r="I270" s="5">
        <f t="shared" si="210"/>
        <v>0</v>
      </c>
      <c r="J270" s="25"/>
      <c r="K270" s="26"/>
      <c r="L270" s="26"/>
      <c r="M270" s="38">
        <f t="shared" si="211"/>
        <v>0</v>
      </c>
      <c r="N270" s="138">
        <f t="shared" si="212"/>
        <v>0</v>
      </c>
      <c r="O270" s="21"/>
      <c r="P270" s="6" t="s">
        <v>3</v>
      </c>
      <c r="Q270" s="27"/>
      <c r="R270" s="26"/>
      <c r="S270" s="26"/>
      <c r="T270" s="5">
        <f t="shared" si="213"/>
        <v>0</v>
      </c>
      <c r="U270" s="27"/>
      <c r="V270" s="26"/>
      <c r="W270" s="26"/>
      <c r="X270" s="5">
        <f t="shared" si="214"/>
        <v>0</v>
      </c>
      <c r="Y270" s="25"/>
      <c r="Z270" s="26"/>
      <c r="AA270" s="26"/>
      <c r="AB270" s="5">
        <f t="shared" si="215"/>
        <v>0</v>
      </c>
      <c r="AC270" s="86">
        <f t="shared" si="216"/>
        <v>0</v>
      </c>
    </row>
    <row r="271" spans="1:31" x14ac:dyDescent="0.15">
      <c r="A271" s="102" t="s">
        <v>3</v>
      </c>
      <c r="B271" s="27"/>
      <c r="C271" s="26"/>
      <c r="D271" s="26"/>
      <c r="E271" s="5">
        <f t="shared" si="209"/>
        <v>0</v>
      </c>
      <c r="F271" s="25"/>
      <c r="G271" s="26"/>
      <c r="H271" s="26"/>
      <c r="I271" s="5">
        <f t="shared" si="210"/>
        <v>0</v>
      </c>
      <c r="J271" s="25"/>
      <c r="K271" s="26"/>
      <c r="L271" s="26"/>
      <c r="M271" s="38">
        <f t="shared" si="211"/>
        <v>0</v>
      </c>
      <c r="N271" s="138">
        <f t="shared" si="212"/>
        <v>0</v>
      </c>
      <c r="O271" s="21"/>
      <c r="P271" s="6" t="s">
        <v>3</v>
      </c>
      <c r="Q271" s="14"/>
      <c r="R271" s="11"/>
      <c r="S271" s="11"/>
      <c r="T271" s="5">
        <f t="shared" si="213"/>
        <v>0</v>
      </c>
      <c r="U271" s="14"/>
      <c r="V271" s="11"/>
      <c r="W271" s="11"/>
      <c r="X271" s="5">
        <f t="shared" si="214"/>
        <v>0</v>
      </c>
      <c r="Y271" s="25"/>
      <c r="Z271" s="26"/>
      <c r="AA271" s="26"/>
      <c r="AB271" s="5">
        <f t="shared" si="215"/>
        <v>0</v>
      </c>
      <c r="AC271" s="86">
        <f t="shared" si="216"/>
        <v>0</v>
      </c>
    </row>
    <row r="272" spans="1:31" x14ac:dyDescent="0.15">
      <c r="A272" s="102" t="s">
        <v>3</v>
      </c>
      <c r="B272" s="27"/>
      <c r="C272" s="26"/>
      <c r="D272" s="26"/>
      <c r="E272" s="5">
        <f t="shared" si="209"/>
        <v>0</v>
      </c>
      <c r="F272" s="25"/>
      <c r="G272" s="26"/>
      <c r="H272" s="26"/>
      <c r="I272" s="5">
        <f t="shared" si="210"/>
        <v>0</v>
      </c>
      <c r="J272" s="25"/>
      <c r="K272" s="26"/>
      <c r="L272" s="26"/>
      <c r="M272" s="38">
        <f t="shared" si="211"/>
        <v>0</v>
      </c>
      <c r="N272" s="138">
        <f t="shared" si="212"/>
        <v>0</v>
      </c>
      <c r="O272" s="23"/>
      <c r="P272" s="6" t="s">
        <v>3</v>
      </c>
      <c r="Q272" s="27"/>
      <c r="R272" s="26"/>
      <c r="S272" s="26"/>
      <c r="T272" s="5">
        <f t="shared" si="213"/>
        <v>0</v>
      </c>
      <c r="U272" s="27"/>
      <c r="V272" s="26"/>
      <c r="W272" s="26"/>
      <c r="X272" s="5">
        <f t="shared" si="214"/>
        <v>0</v>
      </c>
      <c r="Y272" s="25"/>
      <c r="Z272" s="26"/>
      <c r="AA272" s="26"/>
      <c r="AB272" s="5">
        <f t="shared" si="215"/>
        <v>0</v>
      </c>
      <c r="AC272" s="86">
        <f t="shared" si="216"/>
        <v>0</v>
      </c>
    </row>
    <row r="273" spans="1:32" ht="14.25" thickBot="1" x14ac:dyDescent="0.2">
      <c r="A273" s="102" t="s">
        <v>3</v>
      </c>
      <c r="B273" s="28"/>
      <c r="C273" s="29"/>
      <c r="D273" s="32"/>
      <c r="E273" s="15">
        <f t="shared" si="209"/>
        <v>0</v>
      </c>
      <c r="F273" s="35"/>
      <c r="G273" s="29"/>
      <c r="H273" s="32"/>
      <c r="I273" s="15">
        <f t="shared" si="210"/>
        <v>0</v>
      </c>
      <c r="J273" s="35"/>
      <c r="K273" s="29"/>
      <c r="L273" s="32"/>
      <c r="M273" s="40">
        <f t="shared" si="211"/>
        <v>0</v>
      </c>
      <c r="N273" s="139">
        <f t="shared" si="212"/>
        <v>0</v>
      </c>
      <c r="O273" s="21"/>
      <c r="P273" s="7" t="s">
        <v>3</v>
      </c>
      <c r="Q273" s="28"/>
      <c r="R273" s="29"/>
      <c r="S273" s="29"/>
      <c r="T273" s="15">
        <f t="shared" si="213"/>
        <v>0</v>
      </c>
      <c r="U273" s="28"/>
      <c r="V273" s="29"/>
      <c r="W273" s="29"/>
      <c r="X273" s="15">
        <f t="shared" si="214"/>
        <v>0</v>
      </c>
      <c r="Y273" s="35"/>
      <c r="Z273" s="29"/>
      <c r="AA273" s="32"/>
      <c r="AB273" s="15">
        <f t="shared" si="215"/>
        <v>0</v>
      </c>
      <c r="AC273" s="87">
        <f t="shared" si="216"/>
        <v>0</v>
      </c>
    </row>
    <row r="274" spans="1:32" ht="14.25" thickBot="1" x14ac:dyDescent="0.2">
      <c r="A274" s="103" t="s">
        <v>4</v>
      </c>
      <c r="B274" s="17">
        <f>SUM(B263:B273)</f>
        <v>28</v>
      </c>
      <c r="C274" s="17">
        <f>SUM(C263:C273)</f>
        <v>37</v>
      </c>
      <c r="D274" s="17">
        <f>SUM(D263:D273)</f>
        <v>23</v>
      </c>
      <c r="E274" s="18">
        <f t="shared" si="209"/>
        <v>88</v>
      </c>
      <c r="F274" s="17">
        <f>SUM(F263:F273)</f>
        <v>27</v>
      </c>
      <c r="G274" s="17">
        <f>SUM(G263:G273)</f>
        <v>39</v>
      </c>
      <c r="H274" s="17">
        <f>SUM(H263:H273)</f>
        <v>16</v>
      </c>
      <c r="I274" s="18">
        <f t="shared" si="210"/>
        <v>82</v>
      </c>
      <c r="J274" s="17">
        <f>SUM(J263:J273)</f>
        <v>31</v>
      </c>
      <c r="K274" s="17">
        <f>SUM(K263:K273)</f>
        <v>38</v>
      </c>
      <c r="L274" s="17">
        <f>SUM(L263:L273)</f>
        <v>16</v>
      </c>
      <c r="M274" s="20">
        <f t="shared" si="211"/>
        <v>85</v>
      </c>
      <c r="N274" s="140">
        <f t="shared" si="212"/>
        <v>255</v>
      </c>
      <c r="O274" s="1"/>
      <c r="P274" s="16" t="s">
        <v>4</v>
      </c>
      <c r="Q274" s="17">
        <f>SUM(Q263:Q273)</f>
        <v>612</v>
      </c>
      <c r="R274" s="17">
        <f>SUM(R263:R273)</f>
        <v>633</v>
      </c>
      <c r="S274" s="17">
        <f>SUM(S263:S273)</f>
        <v>495</v>
      </c>
      <c r="T274" s="18">
        <f t="shared" si="213"/>
        <v>1740</v>
      </c>
      <c r="U274" s="17">
        <f>SUM(U263:U273)</f>
        <v>620</v>
      </c>
      <c r="V274" s="17">
        <f>SUM(V263:V273)</f>
        <v>656</v>
      </c>
      <c r="W274" s="17">
        <f>SUM(W263:W273)</f>
        <v>511</v>
      </c>
      <c r="X274" s="18">
        <f t="shared" si="214"/>
        <v>1787</v>
      </c>
      <c r="Y274" s="17">
        <f>SUM(Y263:Y273)</f>
        <v>604</v>
      </c>
      <c r="Z274" s="17">
        <f>SUM(Z263:Z273)</f>
        <v>633</v>
      </c>
      <c r="AA274" s="17">
        <f>SUM(AA263:AA273)</f>
        <v>480</v>
      </c>
      <c r="AB274" s="18">
        <f t="shared" si="215"/>
        <v>1717</v>
      </c>
      <c r="AC274" s="88">
        <f t="shared" si="216"/>
        <v>5244</v>
      </c>
    </row>
    <row r="275" spans="1:32" x14ac:dyDescent="0.15">
      <c r="A275" s="33" t="s">
        <v>286</v>
      </c>
      <c r="B275" s="9"/>
      <c r="C275" s="10">
        <v>2</v>
      </c>
      <c r="D275" s="31"/>
      <c r="E275" s="5">
        <f t="shared" si="209"/>
        <v>2</v>
      </c>
      <c r="F275" s="9"/>
      <c r="G275" s="10">
        <v>2</v>
      </c>
      <c r="H275" s="31"/>
      <c r="I275" s="5">
        <f t="shared" si="210"/>
        <v>2</v>
      </c>
      <c r="J275" s="9"/>
      <c r="K275" s="10">
        <v>2</v>
      </c>
      <c r="L275" s="31"/>
      <c r="M275" s="38">
        <f t="shared" si="211"/>
        <v>2</v>
      </c>
      <c r="N275" s="141">
        <f t="shared" si="212"/>
        <v>6</v>
      </c>
      <c r="O275" s="21">
        <v>45477</v>
      </c>
      <c r="P275" s="4" t="s">
        <v>27</v>
      </c>
      <c r="Q275" s="9"/>
      <c r="R275" s="10">
        <v>10</v>
      </c>
      <c r="S275" s="10"/>
      <c r="T275" s="5">
        <f t="shared" si="213"/>
        <v>10</v>
      </c>
      <c r="U275" s="9"/>
      <c r="V275" s="10">
        <v>10</v>
      </c>
      <c r="W275" s="10"/>
      <c r="X275" s="5">
        <f t="shared" ref="X275:X291" si="221">SUM(U275:W275)</f>
        <v>10</v>
      </c>
      <c r="Y275" s="9"/>
      <c r="Z275" s="10">
        <v>10</v>
      </c>
      <c r="AA275" s="10"/>
      <c r="AB275" s="5">
        <f t="shared" ref="AB275:AB291" si="222">SUM(Y275:AA275)</f>
        <v>10</v>
      </c>
      <c r="AC275" s="86">
        <f t="shared" ref="AC275:AC291" si="223">T275+X275+AB275</f>
        <v>30</v>
      </c>
      <c r="AD275" s="109">
        <v>45472</v>
      </c>
      <c r="AE275" s="58"/>
    </row>
    <row r="276" spans="1:32" x14ac:dyDescent="0.15">
      <c r="A276" s="33" t="s">
        <v>291</v>
      </c>
      <c r="B276" s="9"/>
      <c r="C276" s="10">
        <v>2</v>
      </c>
      <c r="D276" s="10"/>
      <c r="E276" s="5">
        <f t="shared" si="209"/>
        <v>2</v>
      </c>
      <c r="F276" s="9"/>
      <c r="G276" s="10">
        <v>2</v>
      </c>
      <c r="H276" s="10"/>
      <c r="I276" s="5">
        <f t="shared" si="210"/>
        <v>2</v>
      </c>
      <c r="J276" s="9"/>
      <c r="K276" s="10">
        <v>2</v>
      </c>
      <c r="L276" s="10"/>
      <c r="M276" s="38">
        <f t="shared" si="211"/>
        <v>2</v>
      </c>
      <c r="N276" s="138">
        <f t="shared" si="212"/>
        <v>6</v>
      </c>
      <c r="O276" s="21">
        <v>45478</v>
      </c>
      <c r="P276" s="4" t="s">
        <v>282</v>
      </c>
      <c r="Q276" s="9">
        <v>1</v>
      </c>
      <c r="R276" s="10">
        <v>4</v>
      </c>
      <c r="S276" s="10"/>
      <c r="T276" s="5">
        <f t="shared" ref="T276:T291" si="224">SUM(Q276:S276)</f>
        <v>5</v>
      </c>
      <c r="U276" s="9">
        <v>1</v>
      </c>
      <c r="V276" s="10">
        <v>4</v>
      </c>
      <c r="W276" s="10"/>
      <c r="X276" s="5">
        <f t="shared" si="221"/>
        <v>5</v>
      </c>
      <c r="Y276" s="9">
        <v>1</v>
      </c>
      <c r="Z276" s="10">
        <v>4</v>
      </c>
      <c r="AA276" s="10"/>
      <c r="AB276" s="5">
        <f t="shared" si="222"/>
        <v>5</v>
      </c>
      <c r="AC276" s="86">
        <f t="shared" si="223"/>
        <v>15</v>
      </c>
      <c r="AD276" s="109">
        <v>45476</v>
      </c>
      <c r="AE276" s="58"/>
    </row>
    <row r="277" spans="1:32" x14ac:dyDescent="0.15">
      <c r="A277" s="33" t="s">
        <v>292</v>
      </c>
      <c r="B277" s="9">
        <v>2</v>
      </c>
      <c r="C277" s="10"/>
      <c r="D277" s="10">
        <v>3</v>
      </c>
      <c r="E277" s="5">
        <f t="shared" si="209"/>
        <v>5</v>
      </c>
      <c r="F277" s="9">
        <v>2</v>
      </c>
      <c r="G277" s="10"/>
      <c r="H277" s="10">
        <v>3</v>
      </c>
      <c r="I277" s="5">
        <f t="shared" si="210"/>
        <v>5</v>
      </c>
      <c r="J277" s="9">
        <v>2</v>
      </c>
      <c r="K277" s="10"/>
      <c r="L277" s="10">
        <v>3</v>
      </c>
      <c r="M277" s="38">
        <f t="shared" si="211"/>
        <v>5</v>
      </c>
      <c r="N277" s="138">
        <f t="shared" si="212"/>
        <v>15</v>
      </c>
      <c r="O277" s="21">
        <v>45481</v>
      </c>
      <c r="P277" s="4" t="s">
        <v>27</v>
      </c>
      <c r="Q277" s="9">
        <v>5</v>
      </c>
      <c r="R277" s="10">
        <v>5</v>
      </c>
      <c r="S277" s="10">
        <v>5</v>
      </c>
      <c r="T277" s="5">
        <f t="shared" si="224"/>
        <v>15</v>
      </c>
      <c r="U277" s="9">
        <v>5</v>
      </c>
      <c r="V277" s="10">
        <v>10</v>
      </c>
      <c r="W277" s="10">
        <v>5</v>
      </c>
      <c r="X277" s="5">
        <f t="shared" si="221"/>
        <v>20</v>
      </c>
      <c r="Y277" s="9">
        <v>5</v>
      </c>
      <c r="Z277" s="10">
        <v>10</v>
      </c>
      <c r="AA277" s="10">
        <v>5</v>
      </c>
      <c r="AB277" s="5">
        <f t="shared" si="222"/>
        <v>20</v>
      </c>
      <c r="AC277" s="86">
        <f t="shared" si="223"/>
        <v>55</v>
      </c>
      <c r="AD277" s="109">
        <v>45478</v>
      </c>
    </row>
    <row r="278" spans="1:32" x14ac:dyDescent="0.15">
      <c r="A278" s="33" t="s">
        <v>293</v>
      </c>
      <c r="B278" s="9">
        <v>1</v>
      </c>
      <c r="C278" s="10">
        <v>2</v>
      </c>
      <c r="D278" s="10">
        <v>1</v>
      </c>
      <c r="E278" s="5">
        <f t="shared" si="209"/>
        <v>4</v>
      </c>
      <c r="F278" s="9">
        <v>1</v>
      </c>
      <c r="G278" s="10">
        <v>2</v>
      </c>
      <c r="H278" s="10">
        <v>1</v>
      </c>
      <c r="I278" s="5">
        <f t="shared" si="210"/>
        <v>4</v>
      </c>
      <c r="J278" s="9">
        <v>1</v>
      </c>
      <c r="K278" s="10">
        <v>2</v>
      </c>
      <c r="L278" s="10">
        <v>1</v>
      </c>
      <c r="M278" s="38">
        <f t="shared" si="211"/>
        <v>4</v>
      </c>
      <c r="N278" s="138">
        <f t="shared" si="212"/>
        <v>12</v>
      </c>
      <c r="O278" s="21">
        <v>45478</v>
      </c>
      <c r="P278" s="11" t="s">
        <v>297</v>
      </c>
      <c r="Q278" s="9">
        <v>3</v>
      </c>
      <c r="R278" s="10">
        <v>6</v>
      </c>
      <c r="S278" s="10">
        <v>2</v>
      </c>
      <c r="T278" s="8">
        <f t="shared" si="224"/>
        <v>11</v>
      </c>
      <c r="U278" s="9">
        <v>3</v>
      </c>
      <c r="V278" s="10">
        <v>6</v>
      </c>
      <c r="W278" s="10">
        <v>2</v>
      </c>
      <c r="X278" s="8">
        <f t="shared" si="221"/>
        <v>11</v>
      </c>
      <c r="Y278" s="9">
        <v>3</v>
      </c>
      <c r="Z278" s="10">
        <v>6</v>
      </c>
      <c r="AA278" s="10">
        <v>2</v>
      </c>
      <c r="AB278" s="8">
        <f t="shared" si="222"/>
        <v>11</v>
      </c>
      <c r="AC278" s="86">
        <f t="shared" si="223"/>
        <v>33</v>
      </c>
      <c r="AD278" s="109">
        <v>45484</v>
      </c>
    </row>
    <row r="279" spans="1:32" x14ac:dyDescent="0.15">
      <c r="A279" s="33" t="s">
        <v>294</v>
      </c>
      <c r="B279" s="9">
        <v>2</v>
      </c>
      <c r="C279" s="10">
        <v>5</v>
      </c>
      <c r="D279" s="10"/>
      <c r="E279" s="5">
        <f t="shared" si="209"/>
        <v>7</v>
      </c>
      <c r="F279" s="9">
        <v>2</v>
      </c>
      <c r="G279" s="10">
        <v>5</v>
      </c>
      <c r="H279" s="10"/>
      <c r="I279" s="5">
        <f t="shared" si="210"/>
        <v>7</v>
      </c>
      <c r="J279" s="9">
        <v>2</v>
      </c>
      <c r="K279" s="10">
        <v>5</v>
      </c>
      <c r="L279" s="10"/>
      <c r="M279" s="38">
        <f t="shared" si="211"/>
        <v>7</v>
      </c>
      <c r="N279" s="138">
        <f t="shared" si="212"/>
        <v>21</v>
      </c>
      <c r="O279" s="21">
        <v>45481</v>
      </c>
      <c r="P279" s="4" t="s">
        <v>312</v>
      </c>
      <c r="Q279" s="77">
        <v>15</v>
      </c>
      <c r="R279" s="78">
        <v>15</v>
      </c>
      <c r="S279" s="78">
        <v>10</v>
      </c>
      <c r="T279" s="5">
        <f t="shared" si="224"/>
        <v>40</v>
      </c>
      <c r="U279" s="77">
        <v>15</v>
      </c>
      <c r="V279" s="78">
        <v>15</v>
      </c>
      <c r="W279" s="78">
        <v>10</v>
      </c>
      <c r="X279" s="5">
        <f t="shared" si="221"/>
        <v>40</v>
      </c>
      <c r="Y279" s="77">
        <v>15</v>
      </c>
      <c r="Z279" s="78">
        <v>15</v>
      </c>
      <c r="AA279" s="78">
        <v>10</v>
      </c>
      <c r="AB279" s="5">
        <f t="shared" si="222"/>
        <v>40</v>
      </c>
      <c r="AC279" s="91">
        <f t="shared" si="223"/>
        <v>120</v>
      </c>
      <c r="AD279" s="109">
        <v>45486</v>
      </c>
      <c r="AE279" s="58"/>
    </row>
    <row r="280" spans="1:32" x14ac:dyDescent="0.15">
      <c r="A280" s="33" t="s">
        <v>296</v>
      </c>
      <c r="B280" s="9"/>
      <c r="C280" s="10">
        <v>1</v>
      </c>
      <c r="D280" s="10"/>
      <c r="E280" s="8">
        <f t="shared" si="209"/>
        <v>1</v>
      </c>
      <c r="F280" s="9"/>
      <c r="G280" s="10">
        <v>1</v>
      </c>
      <c r="H280" s="10"/>
      <c r="I280" s="8">
        <f t="shared" si="210"/>
        <v>1</v>
      </c>
      <c r="J280" s="9"/>
      <c r="K280" s="10">
        <v>1</v>
      </c>
      <c r="L280" s="10"/>
      <c r="M280" s="39">
        <f t="shared" si="211"/>
        <v>1</v>
      </c>
      <c r="N280" s="138">
        <f t="shared" si="212"/>
        <v>3</v>
      </c>
      <c r="O280" s="21">
        <v>45483</v>
      </c>
      <c r="P280" s="4" t="s">
        <v>305</v>
      </c>
      <c r="Q280" s="9">
        <v>10</v>
      </c>
      <c r="R280" s="10">
        <v>15</v>
      </c>
      <c r="S280" s="10">
        <v>5</v>
      </c>
      <c r="T280" s="8">
        <f t="shared" si="224"/>
        <v>30</v>
      </c>
      <c r="U280" s="9">
        <v>10</v>
      </c>
      <c r="V280" s="10">
        <v>15</v>
      </c>
      <c r="W280" s="10">
        <v>5</v>
      </c>
      <c r="X280" s="8">
        <f t="shared" si="221"/>
        <v>30</v>
      </c>
      <c r="Y280" s="9">
        <v>10</v>
      </c>
      <c r="Z280" s="10">
        <v>15</v>
      </c>
      <c r="AA280" s="10">
        <v>5</v>
      </c>
      <c r="AB280" s="8">
        <f t="shared" si="222"/>
        <v>30</v>
      </c>
      <c r="AC280" s="86">
        <f t="shared" si="223"/>
        <v>90</v>
      </c>
      <c r="AD280" s="109">
        <v>45489</v>
      </c>
      <c r="AE280" s="58"/>
    </row>
    <row r="281" spans="1:32" x14ac:dyDescent="0.15">
      <c r="A281" s="33" t="s">
        <v>298</v>
      </c>
      <c r="B281" s="9">
        <v>1</v>
      </c>
      <c r="C281" s="10"/>
      <c r="D281" s="10"/>
      <c r="E281" s="8">
        <f t="shared" si="209"/>
        <v>1</v>
      </c>
      <c r="F281" s="9">
        <v>1</v>
      </c>
      <c r="G281" s="10"/>
      <c r="H281" s="10"/>
      <c r="I281" s="8">
        <f t="shared" si="210"/>
        <v>1</v>
      </c>
      <c r="J281" s="9">
        <v>1</v>
      </c>
      <c r="K281" s="10"/>
      <c r="L281" s="10"/>
      <c r="M281" s="39">
        <f t="shared" si="211"/>
        <v>1</v>
      </c>
      <c r="N281" s="138">
        <f t="shared" si="212"/>
        <v>3</v>
      </c>
      <c r="O281" s="21">
        <v>45484</v>
      </c>
      <c r="P281" s="4" t="s">
        <v>311</v>
      </c>
      <c r="Q281" s="9">
        <v>34</v>
      </c>
      <c r="R281" s="10">
        <v>24</v>
      </c>
      <c r="S281" s="10"/>
      <c r="T281" s="8">
        <f t="shared" si="224"/>
        <v>58</v>
      </c>
      <c r="U281" s="9">
        <v>34</v>
      </c>
      <c r="V281" s="10">
        <v>24</v>
      </c>
      <c r="W281" s="10"/>
      <c r="X281" s="8">
        <f t="shared" si="221"/>
        <v>58</v>
      </c>
      <c r="Y281" s="9">
        <v>34</v>
      </c>
      <c r="Z281" s="10">
        <v>24</v>
      </c>
      <c r="AA281" s="10"/>
      <c r="AB281" s="8">
        <f t="shared" si="222"/>
        <v>58</v>
      </c>
      <c r="AC281" s="86">
        <f t="shared" si="223"/>
        <v>174</v>
      </c>
      <c r="AD281" s="109">
        <v>45490</v>
      </c>
      <c r="AE281" s="58"/>
    </row>
    <row r="282" spans="1:32" x14ac:dyDescent="0.15">
      <c r="A282" s="33" t="s">
        <v>299</v>
      </c>
      <c r="B282" s="9"/>
      <c r="C282" s="10">
        <v>1</v>
      </c>
      <c r="D282" s="10"/>
      <c r="E282" s="8">
        <f t="shared" si="209"/>
        <v>1</v>
      </c>
      <c r="F282" s="9"/>
      <c r="G282" s="10"/>
      <c r="H282" s="10"/>
      <c r="I282" s="8">
        <f t="shared" si="210"/>
        <v>0</v>
      </c>
      <c r="J282" s="9"/>
      <c r="K282" s="10"/>
      <c r="L282" s="10"/>
      <c r="M282" s="39">
        <f t="shared" si="211"/>
        <v>0</v>
      </c>
      <c r="N282" s="138">
        <f t="shared" si="212"/>
        <v>1</v>
      </c>
      <c r="O282" s="21">
        <v>45482</v>
      </c>
      <c r="P282" s="4" t="s">
        <v>27</v>
      </c>
      <c r="Q282" s="9"/>
      <c r="R282" s="10">
        <v>10</v>
      </c>
      <c r="S282" s="10"/>
      <c r="T282" s="8">
        <f t="shared" si="224"/>
        <v>10</v>
      </c>
      <c r="U282" s="9"/>
      <c r="V282" s="10"/>
      <c r="W282" s="10"/>
      <c r="X282" s="8">
        <f t="shared" si="221"/>
        <v>0</v>
      </c>
      <c r="Y282" s="9"/>
      <c r="Z282" s="10"/>
      <c r="AA282" s="10"/>
      <c r="AB282" s="8">
        <f t="shared" si="222"/>
        <v>0</v>
      </c>
      <c r="AC282" s="86">
        <f t="shared" si="223"/>
        <v>10</v>
      </c>
      <c r="AD282" s="109">
        <v>45489</v>
      </c>
      <c r="AE282" s="58"/>
      <c r="AF282" s="58"/>
    </row>
    <row r="283" spans="1:32" x14ac:dyDescent="0.15">
      <c r="A283" s="33" t="s">
        <v>300</v>
      </c>
      <c r="B283" s="9">
        <v>1</v>
      </c>
      <c r="C283" s="10">
        <v>1</v>
      </c>
      <c r="D283" s="10"/>
      <c r="E283" s="8">
        <f t="shared" si="209"/>
        <v>2</v>
      </c>
      <c r="F283" s="9">
        <v>1</v>
      </c>
      <c r="G283" s="10">
        <v>1</v>
      </c>
      <c r="H283" s="10"/>
      <c r="I283" s="8">
        <f t="shared" si="210"/>
        <v>2</v>
      </c>
      <c r="J283" s="9">
        <v>1</v>
      </c>
      <c r="K283" s="10">
        <v>1</v>
      </c>
      <c r="L283" s="10"/>
      <c r="M283" s="39">
        <f t="shared" si="211"/>
        <v>2</v>
      </c>
      <c r="N283" s="138">
        <f t="shared" si="212"/>
        <v>6</v>
      </c>
      <c r="O283" s="21">
        <v>45485</v>
      </c>
      <c r="P283" s="11" t="s">
        <v>314</v>
      </c>
      <c r="Q283" s="9">
        <v>1</v>
      </c>
      <c r="R283" s="10">
        <v>1</v>
      </c>
      <c r="S283" s="10"/>
      <c r="T283" s="8">
        <f t="shared" si="224"/>
        <v>2</v>
      </c>
      <c r="U283" s="9">
        <v>1</v>
      </c>
      <c r="V283" s="10">
        <v>1</v>
      </c>
      <c r="W283" s="10"/>
      <c r="X283" s="8">
        <f t="shared" si="221"/>
        <v>2</v>
      </c>
      <c r="Y283" s="9">
        <v>1</v>
      </c>
      <c r="Z283" s="10">
        <v>1</v>
      </c>
      <c r="AA283" s="10"/>
      <c r="AB283" s="8">
        <f t="shared" si="222"/>
        <v>2</v>
      </c>
      <c r="AC283" s="86">
        <f t="shared" si="223"/>
        <v>6</v>
      </c>
      <c r="AD283" s="109">
        <v>45492</v>
      </c>
      <c r="AE283" s="58"/>
    </row>
    <row r="284" spans="1:32" x14ac:dyDescent="0.15">
      <c r="A284" s="33" t="s">
        <v>36</v>
      </c>
      <c r="B284" s="9"/>
      <c r="C284" s="10">
        <v>1</v>
      </c>
      <c r="D284" s="10"/>
      <c r="E284" s="8">
        <f t="shared" si="209"/>
        <v>1</v>
      </c>
      <c r="F284" s="9"/>
      <c r="G284" s="10">
        <v>1</v>
      </c>
      <c r="H284" s="10"/>
      <c r="I284" s="8">
        <f t="shared" si="210"/>
        <v>1</v>
      </c>
      <c r="J284" s="9"/>
      <c r="K284" s="10">
        <v>1</v>
      </c>
      <c r="L284" s="10"/>
      <c r="M284" s="39">
        <f t="shared" si="211"/>
        <v>1</v>
      </c>
      <c r="N284" s="138">
        <f t="shared" si="212"/>
        <v>3</v>
      </c>
      <c r="O284" s="21">
        <v>45483</v>
      </c>
      <c r="P284" s="4" t="s">
        <v>317</v>
      </c>
      <c r="Q284" s="9">
        <v>10</v>
      </c>
      <c r="R284" s="10">
        <v>15</v>
      </c>
      <c r="S284" s="10">
        <v>10</v>
      </c>
      <c r="T284" s="8">
        <f t="shared" si="224"/>
        <v>35</v>
      </c>
      <c r="U284" s="9">
        <v>10</v>
      </c>
      <c r="V284" s="10">
        <v>15</v>
      </c>
      <c r="W284" s="10">
        <v>10</v>
      </c>
      <c r="X284" s="8">
        <f t="shared" si="221"/>
        <v>35</v>
      </c>
      <c r="Y284" s="9">
        <v>10</v>
      </c>
      <c r="Z284" s="10">
        <v>15</v>
      </c>
      <c r="AA284" s="10">
        <v>10</v>
      </c>
      <c r="AB284" s="8">
        <f t="shared" si="222"/>
        <v>35</v>
      </c>
      <c r="AC284" s="86">
        <f t="shared" si="223"/>
        <v>105</v>
      </c>
      <c r="AD284" s="109">
        <v>45495</v>
      </c>
      <c r="AE284" s="58"/>
    </row>
    <row r="285" spans="1:32" x14ac:dyDescent="0.15">
      <c r="A285" s="33" t="s">
        <v>306</v>
      </c>
      <c r="B285" s="9"/>
      <c r="C285" s="10">
        <v>1</v>
      </c>
      <c r="D285" s="10">
        <v>1</v>
      </c>
      <c r="E285" s="8">
        <f t="shared" si="209"/>
        <v>2</v>
      </c>
      <c r="F285" s="9"/>
      <c r="G285" s="10">
        <v>1</v>
      </c>
      <c r="H285" s="10">
        <v>1</v>
      </c>
      <c r="I285" s="8">
        <f t="shared" si="210"/>
        <v>2</v>
      </c>
      <c r="J285" s="9"/>
      <c r="K285" s="10">
        <v>1</v>
      </c>
      <c r="L285" s="10">
        <v>1</v>
      </c>
      <c r="M285" s="39">
        <f t="shared" si="211"/>
        <v>2</v>
      </c>
      <c r="N285" s="138">
        <f t="shared" si="212"/>
        <v>6</v>
      </c>
      <c r="O285" s="21">
        <v>45485</v>
      </c>
      <c r="P285" s="4" t="s">
        <v>318</v>
      </c>
      <c r="Q285" s="9">
        <v>20</v>
      </c>
      <c r="R285" s="10">
        <v>30</v>
      </c>
      <c r="S285" s="10">
        <v>10</v>
      </c>
      <c r="T285" s="8">
        <f t="shared" si="224"/>
        <v>60</v>
      </c>
      <c r="U285" s="9">
        <v>20</v>
      </c>
      <c r="V285" s="10">
        <v>30</v>
      </c>
      <c r="W285" s="10">
        <v>10</v>
      </c>
      <c r="X285" s="8">
        <f t="shared" si="221"/>
        <v>60</v>
      </c>
      <c r="Y285" s="9">
        <v>20</v>
      </c>
      <c r="Z285" s="10">
        <v>30</v>
      </c>
      <c r="AA285" s="10">
        <v>10</v>
      </c>
      <c r="AB285" s="8">
        <f t="shared" si="222"/>
        <v>60</v>
      </c>
      <c r="AC285" s="86">
        <f t="shared" si="223"/>
        <v>180</v>
      </c>
      <c r="AD285" s="109">
        <v>45496</v>
      </c>
    </row>
    <row r="286" spans="1:32" x14ac:dyDescent="0.15">
      <c r="A286" s="33" t="s">
        <v>313</v>
      </c>
      <c r="B286" s="9"/>
      <c r="C286" s="10">
        <v>1</v>
      </c>
      <c r="D286" s="10"/>
      <c r="E286" s="8">
        <f t="shared" si="209"/>
        <v>1</v>
      </c>
      <c r="F286" s="9"/>
      <c r="G286" s="10">
        <v>1</v>
      </c>
      <c r="H286" s="10"/>
      <c r="I286" s="8">
        <f t="shared" si="210"/>
        <v>1</v>
      </c>
      <c r="J286" s="9"/>
      <c r="K286" s="10">
        <v>1</v>
      </c>
      <c r="L286" s="10"/>
      <c r="M286" s="39">
        <f t="shared" si="211"/>
        <v>1</v>
      </c>
      <c r="N286" s="138">
        <f t="shared" si="212"/>
        <v>3</v>
      </c>
      <c r="O286" s="21">
        <v>45491</v>
      </c>
      <c r="P286" s="4" t="s">
        <v>27</v>
      </c>
      <c r="Q286" s="9">
        <v>10</v>
      </c>
      <c r="R286" s="10"/>
      <c r="S286" s="10"/>
      <c r="T286" s="8">
        <f t="shared" si="224"/>
        <v>10</v>
      </c>
      <c r="U286" s="9">
        <v>10</v>
      </c>
      <c r="V286" s="10">
        <v>10</v>
      </c>
      <c r="W286" s="10"/>
      <c r="X286" s="8">
        <f t="shared" si="221"/>
        <v>20</v>
      </c>
      <c r="Y286" s="9"/>
      <c r="Z286" s="10">
        <v>10</v>
      </c>
      <c r="AA286" s="10"/>
      <c r="AB286" s="8">
        <f t="shared" si="222"/>
        <v>10</v>
      </c>
      <c r="AC286" s="86">
        <f t="shared" si="223"/>
        <v>40</v>
      </c>
      <c r="AD286" s="109">
        <v>45492</v>
      </c>
    </row>
    <row r="287" spans="1:32" x14ac:dyDescent="0.15">
      <c r="A287" s="33" t="s">
        <v>36</v>
      </c>
      <c r="B287" s="9">
        <v>2</v>
      </c>
      <c r="C287" s="10"/>
      <c r="D287" s="10">
        <v>1</v>
      </c>
      <c r="E287" s="8">
        <f t="shared" si="209"/>
        <v>3</v>
      </c>
      <c r="F287" s="9">
        <v>2</v>
      </c>
      <c r="G287" s="10"/>
      <c r="H287" s="10">
        <v>1</v>
      </c>
      <c r="I287" s="8">
        <f t="shared" si="210"/>
        <v>3</v>
      </c>
      <c r="J287" s="9">
        <v>2</v>
      </c>
      <c r="K287" s="10"/>
      <c r="L287" s="10">
        <v>1</v>
      </c>
      <c r="M287" s="39">
        <f t="shared" si="211"/>
        <v>3</v>
      </c>
      <c r="N287" s="138">
        <f t="shared" si="212"/>
        <v>9</v>
      </c>
      <c r="O287" s="21">
        <v>45489</v>
      </c>
      <c r="P287" s="11" t="s">
        <v>322</v>
      </c>
      <c r="Q287" s="9">
        <v>4</v>
      </c>
      <c r="R287" s="10"/>
      <c r="S287" s="10">
        <v>3</v>
      </c>
      <c r="T287" s="8">
        <f t="shared" si="224"/>
        <v>7</v>
      </c>
      <c r="U287" s="9">
        <v>4</v>
      </c>
      <c r="V287" s="10"/>
      <c r="W287" s="10">
        <v>3</v>
      </c>
      <c r="X287" s="8">
        <f t="shared" si="221"/>
        <v>7</v>
      </c>
      <c r="Y287" s="9">
        <v>4</v>
      </c>
      <c r="Z287" s="10"/>
      <c r="AA287" s="10">
        <v>3</v>
      </c>
      <c r="AB287" s="8">
        <f t="shared" si="222"/>
        <v>7</v>
      </c>
      <c r="AC287" s="86">
        <f t="shared" si="223"/>
        <v>21</v>
      </c>
      <c r="AD287" s="109">
        <v>45497</v>
      </c>
      <c r="AE287" s="58"/>
    </row>
    <row r="288" spans="1:32" x14ac:dyDescent="0.15">
      <c r="A288" s="33" t="s">
        <v>315</v>
      </c>
      <c r="B288" s="9"/>
      <c r="C288" s="10">
        <v>3</v>
      </c>
      <c r="D288" s="10"/>
      <c r="E288" s="8">
        <f t="shared" si="209"/>
        <v>3</v>
      </c>
      <c r="F288" s="9"/>
      <c r="G288" s="10">
        <v>3</v>
      </c>
      <c r="H288" s="10"/>
      <c r="I288" s="8">
        <f t="shared" si="210"/>
        <v>3</v>
      </c>
      <c r="J288" s="9"/>
      <c r="K288" s="10">
        <v>3</v>
      </c>
      <c r="L288" s="10"/>
      <c r="M288" s="39">
        <f t="shared" si="211"/>
        <v>3</v>
      </c>
      <c r="N288" s="138">
        <f t="shared" si="212"/>
        <v>9</v>
      </c>
      <c r="O288" s="21">
        <v>45492</v>
      </c>
      <c r="P288" s="11" t="s">
        <v>325</v>
      </c>
      <c r="Q288" s="9">
        <v>7</v>
      </c>
      <c r="R288" s="10">
        <v>10</v>
      </c>
      <c r="S288" s="10">
        <v>20</v>
      </c>
      <c r="T288" s="8">
        <f t="shared" si="224"/>
        <v>37</v>
      </c>
      <c r="U288" s="9">
        <v>7</v>
      </c>
      <c r="V288" s="10">
        <v>10</v>
      </c>
      <c r="W288" s="10">
        <v>20</v>
      </c>
      <c r="X288" s="8">
        <f t="shared" si="221"/>
        <v>37</v>
      </c>
      <c r="Y288" s="9">
        <v>7</v>
      </c>
      <c r="Z288" s="10">
        <v>10</v>
      </c>
      <c r="AA288" s="10">
        <v>20</v>
      </c>
      <c r="AB288" s="8">
        <f t="shared" si="222"/>
        <v>37</v>
      </c>
      <c r="AC288" s="86">
        <f t="shared" si="223"/>
        <v>111</v>
      </c>
      <c r="AD288" s="109">
        <v>45497</v>
      </c>
    </row>
    <row r="289" spans="1:31" x14ac:dyDescent="0.15">
      <c r="A289" s="33" t="s">
        <v>36</v>
      </c>
      <c r="B289" s="9"/>
      <c r="C289" s="10">
        <v>1</v>
      </c>
      <c r="D289" s="10"/>
      <c r="E289" s="8">
        <f t="shared" si="209"/>
        <v>1</v>
      </c>
      <c r="F289" s="9"/>
      <c r="G289" s="10">
        <v>1</v>
      </c>
      <c r="H289" s="10"/>
      <c r="I289" s="8">
        <f t="shared" si="210"/>
        <v>1</v>
      </c>
      <c r="J289" s="9"/>
      <c r="K289" s="10">
        <v>1</v>
      </c>
      <c r="L289" s="10"/>
      <c r="M289" s="39">
        <f t="shared" si="211"/>
        <v>1</v>
      </c>
      <c r="N289" s="138">
        <f t="shared" si="212"/>
        <v>3</v>
      </c>
      <c r="O289" s="21">
        <v>45490</v>
      </c>
      <c r="P289" s="4" t="s">
        <v>27</v>
      </c>
      <c r="Q289" s="9"/>
      <c r="R289" s="10"/>
      <c r="S289" s="10">
        <v>10</v>
      </c>
      <c r="T289" s="8">
        <f t="shared" si="224"/>
        <v>10</v>
      </c>
      <c r="U289" s="9"/>
      <c r="V289" s="10"/>
      <c r="W289" s="10"/>
      <c r="X289" s="8">
        <f t="shared" si="221"/>
        <v>0</v>
      </c>
      <c r="Y289" s="9">
        <v>10</v>
      </c>
      <c r="Z289" s="10"/>
      <c r="AA289" s="10"/>
      <c r="AB289" s="8">
        <f t="shared" si="222"/>
        <v>10</v>
      </c>
      <c r="AC289" s="86">
        <f t="shared" si="223"/>
        <v>20</v>
      </c>
      <c r="AD289" s="109">
        <v>45497</v>
      </c>
    </row>
    <row r="290" spans="1:31" x14ac:dyDescent="0.15">
      <c r="A290" s="33" t="s">
        <v>316</v>
      </c>
      <c r="B290" s="9">
        <v>2</v>
      </c>
      <c r="C290" s="10"/>
      <c r="D290" s="10"/>
      <c r="E290" s="8">
        <f t="shared" si="209"/>
        <v>2</v>
      </c>
      <c r="F290" s="9">
        <v>2</v>
      </c>
      <c r="G290" s="10"/>
      <c r="H290" s="10"/>
      <c r="I290" s="8">
        <f t="shared" si="210"/>
        <v>2</v>
      </c>
      <c r="J290" s="9">
        <v>2</v>
      </c>
      <c r="K290" s="10"/>
      <c r="L290" s="10"/>
      <c r="M290" s="39">
        <f t="shared" si="211"/>
        <v>2</v>
      </c>
      <c r="N290" s="138">
        <f t="shared" si="212"/>
        <v>6</v>
      </c>
      <c r="O290" s="21">
        <v>45492</v>
      </c>
      <c r="P290" s="4" t="s">
        <v>326</v>
      </c>
      <c r="Q290" s="9">
        <v>3</v>
      </c>
      <c r="R290" s="10">
        <v>5</v>
      </c>
      <c r="S290" s="10">
        <v>5</v>
      </c>
      <c r="T290" s="5">
        <f t="shared" si="224"/>
        <v>13</v>
      </c>
      <c r="U290" s="9">
        <v>3</v>
      </c>
      <c r="V290" s="10">
        <v>5</v>
      </c>
      <c r="W290" s="10">
        <v>5</v>
      </c>
      <c r="X290" s="5">
        <f t="shared" si="221"/>
        <v>13</v>
      </c>
      <c r="Y290" s="9">
        <v>3</v>
      </c>
      <c r="Z290" s="10">
        <v>5</v>
      </c>
      <c r="AA290" s="10">
        <v>5</v>
      </c>
      <c r="AB290" s="5">
        <f t="shared" si="222"/>
        <v>13</v>
      </c>
      <c r="AC290" s="86">
        <f t="shared" si="223"/>
        <v>39</v>
      </c>
      <c r="AD290" s="109">
        <v>45499</v>
      </c>
      <c r="AE290" s="58"/>
    </row>
    <row r="291" spans="1:31" x14ac:dyDescent="0.15">
      <c r="A291" s="33" t="s">
        <v>320</v>
      </c>
      <c r="B291" s="9"/>
      <c r="C291" s="10">
        <v>1</v>
      </c>
      <c r="D291" s="10"/>
      <c r="E291" s="8">
        <f t="shared" si="209"/>
        <v>1</v>
      </c>
      <c r="F291" s="9"/>
      <c r="G291" s="10">
        <v>1</v>
      </c>
      <c r="H291" s="10"/>
      <c r="I291" s="8">
        <f t="shared" si="210"/>
        <v>1</v>
      </c>
      <c r="J291" s="9"/>
      <c r="K291" s="10">
        <v>1</v>
      </c>
      <c r="L291" s="10"/>
      <c r="M291" s="39">
        <f t="shared" si="211"/>
        <v>1</v>
      </c>
      <c r="N291" s="138">
        <f t="shared" si="212"/>
        <v>3</v>
      </c>
      <c r="O291" s="21">
        <v>45495</v>
      </c>
      <c r="P291" s="4" t="s">
        <v>327</v>
      </c>
      <c r="Q291" s="9">
        <v>3</v>
      </c>
      <c r="R291" s="10">
        <v>29</v>
      </c>
      <c r="S291" s="10">
        <v>16</v>
      </c>
      <c r="T291" s="5">
        <f t="shared" si="224"/>
        <v>48</v>
      </c>
      <c r="U291" s="9">
        <v>3</v>
      </c>
      <c r="V291" s="10">
        <v>29</v>
      </c>
      <c r="W291" s="10">
        <v>16</v>
      </c>
      <c r="X291" s="5">
        <f t="shared" si="221"/>
        <v>48</v>
      </c>
      <c r="Y291" s="9">
        <v>3</v>
      </c>
      <c r="Z291" s="10">
        <v>29</v>
      </c>
      <c r="AA291" s="10">
        <v>16</v>
      </c>
      <c r="AB291" s="5">
        <f t="shared" si="222"/>
        <v>48</v>
      </c>
      <c r="AC291" s="86">
        <f t="shared" si="223"/>
        <v>144</v>
      </c>
      <c r="AD291" s="109">
        <v>45506</v>
      </c>
    </row>
    <row r="292" spans="1:31" x14ac:dyDescent="0.15">
      <c r="A292" s="33" t="s">
        <v>36</v>
      </c>
      <c r="B292" s="9">
        <v>1</v>
      </c>
      <c r="C292" s="10"/>
      <c r="D292" s="10"/>
      <c r="E292" s="8">
        <f t="shared" si="209"/>
        <v>1</v>
      </c>
      <c r="F292" s="9">
        <v>1</v>
      </c>
      <c r="G292" s="10"/>
      <c r="H292" s="10"/>
      <c r="I292" s="8">
        <f t="shared" si="210"/>
        <v>1</v>
      </c>
      <c r="J292" s="9">
        <v>1</v>
      </c>
      <c r="K292" s="10"/>
      <c r="L292" s="10"/>
      <c r="M292" s="39">
        <f t="shared" si="211"/>
        <v>1</v>
      </c>
      <c r="N292" s="138">
        <f t="shared" si="212"/>
        <v>3</v>
      </c>
      <c r="O292" s="21">
        <v>45495</v>
      </c>
      <c r="P292" s="11"/>
      <c r="Q292" s="9"/>
      <c r="R292" s="10"/>
      <c r="S292" s="10"/>
      <c r="T292" s="8">
        <f t="shared" si="213"/>
        <v>0</v>
      </c>
      <c r="U292" s="9"/>
      <c r="V292" s="10"/>
      <c r="W292" s="10"/>
      <c r="X292" s="8">
        <f t="shared" si="214"/>
        <v>0</v>
      </c>
      <c r="Y292" s="9"/>
      <c r="Z292" s="10"/>
      <c r="AA292" s="10"/>
      <c r="AB292" s="8">
        <f t="shared" si="215"/>
        <v>0</v>
      </c>
      <c r="AC292" s="86">
        <f t="shared" si="216"/>
        <v>0</v>
      </c>
    </row>
    <row r="293" spans="1:31" x14ac:dyDescent="0.15">
      <c r="A293" s="33" t="s">
        <v>323</v>
      </c>
      <c r="B293" s="9"/>
      <c r="C293" s="10">
        <v>1</v>
      </c>
      <c r="D293" s="10">
        <v>2</v>
      </c>
      <c r="E293" s="8">
        <f t="shared" si="209"/>
        <v>3</v>
      </c>
      <c r="F293" s="9"/>
      <c r="G293" s="10">
        <v>1</v>
      </c>
      <c r="H293" s="10">
        <v>2</v>
      </c>
      <c r="I293" s="8">
        <f t="shared" si="210"/>
        <v>3</v>
      </c>
      <c r="J293" s="9"/>
      <c r="K293" s="10">
        <v>1</v>
      </c>
      <c r="L293" s="10">
        <v>2</v>
      </c>
      <c r="M293" s="39">
        <f t="shared" si="211"/>
        <v>3</v>
      </c>
      <c r="N293" s="138">
        <f t="shared" si="212"/>
        <v>9</v>
      </c>
      <c r="O293" s="21">
        <v>45497</v>
      </c>
      <c r="P293" s="81" t="s">
        <v>253</v>
      </c>
      <c r="Q293" s="71"/>
      <c r="R293" s="72"/>
      <c r="S293" s="72"/>
      <c r="T293" s="73">
        <f t="shared" ref="T293:T294" si="225">SUM(Q293:S293)</f>
        <v>0</v>
      </c>
      <c r="U293" s="71"/>
      <c r="V293" s="72"/>
      <c r="W293" s="72"/>
      <c r="X293" s="73">
        <f t="shared" ref="X293:X294" si="226">SUM(U293:W293)</f>
        <v>0</v>
      </c>
      <c r="Y293" s="71"/>
      <c r="Z293" s="72"/>
      <c r="AA293" s="72"/>
      <c r="AB293" s="73">
        <f t="shared" ref="AB293:AB294" si="227">SUM(Y293:AA293)</f>
        <v>0</v>
      </c>
      <c r="AC293" s="92">
        <f t="shared" ref="AC293:AC294" si="228">T293+X293+AB293</f>
        <v>0</v>
      </c>
      <c r="AD293" s="117"/>
    </row>
    <row r="294" spans="1:31" x14ac:dyDescent="0.15">
      <c r="A294" s="33" t="s">
        <v>36</v>
      </c>
      <c r="B294" s="9"/>
      <c r="C294" s="10">
        <v>1</v>
      </c>
      <c r="D294" s="10"/>
      <c r="E294" s="8">
        <f t="shared" si="209"/>
        <v>1</v>
      </c>
      <c r="F294" s="9"/>
      <c r="G294" s="10">
        <v>1</v>
      </c>
      <c r="H294" s="10"/>
      <c r="I294" s="8">
        <f t="shared" si="210"/>
        <v>1</v>
      </c>
      <c r="J294" s="9"/>
      <c r="K294" s="10">
        <v>1</v>
      </c>
      <c r="L294" s="10"/>
      <c r="M294" s="39">
        <f t="shared" si="211"/>
        <v>1</v>
      </c>
      <c r="N294" s="138">
        <f t="shared" si="212"/>
        <v>3</v>
      </c>
      <c r="O294" s="21">
        <v>45497</v>
      </c>
      <c r="P294" s="4" t="s">
        <v>116</v>
      </c>
      <c r="Q294" s="77"/>
      <c r="R294" s="78"/>
      <c r="S294" s="78"/>
      <c r="T294" s="5">
        <f t="shared" si="225"/>
        <v>0</v>
      </c>
      <c r="U294" s="77"/>
      <c r="V294" s="78"/>
      <c r="W294" s="78"/>
      <c r="X294" s="5">
        <f t="shared" si="226"/>
        <v>0</v>
      </c>
      <c r="Y294" s="77"/>
      <c r="Z294" s="78"/>
      <c r="AA294" s="78"/>
      <c r="AB294" s="5">
        <f t="shared" si="227"/>
        <v>0</v>
      </c>
      <c r="AC294" s="91">
        <f t="shared" si="228"/>
        <v>0</v>
      </c>
      <c r="AD294" s="116" t="s">
        <v>117</v>
      </c>
    </row>
    <row r="295" spans="1:31" x14ac:dyDescent="0.15">
      <c r="A295" s="33"/>
      <c r="B295" s="9"/>
      <c r="C295" s="10"/>
      <c r="D295" s="10"/>
      <c r="E295" s="8">
        <f t="shared" si="209"/>
        <v>0</v>
      </c>
      <c r="F295" s="9"/>
      <c r="G295" s="10"/>
      <c r="H295" s="10"/>
      <c r="I295" s="8">
        <f t="shared" si="210"/>
        <v>0</v>
      </c>
      <c r="J295" s="9"/>
      <c r="K295" s="10"/>
      <c r="L295" s="10"/>
      <c r="M295" s="39">
        <f t="shared" si="211"/>
        <v>0</v>
      </c>
      <c r="N295" s="138">
        <f t="shared" si="212"/>
        <v>0</v>
      </c>
      <c r="O295" s="21"/>
      <c r="P295" s="81" t="s">
        <v>304</v>
      </c>
      <c r="Q295" s="82"/>
      <c r="R295" s="83"/>
      <c r="S295" s="83"/>
      <c r="T295" s="84">
        <f t="shared" si="213"/>
        <v>0</v>
      </c>
      <c r="U295" s="82"/>
      <c r="V295" s="83"/>
      <c r="W295" s="83"/>
      <c r="X295" s="84">
        <f t="shared" si="214"/>
        <v>0</v>
      </c>
      <c r="Y295" s="82"/>
      <c r="Z295" s="83"/>
      <c r="AA295" s="83"/>
      <c r="AB295" s="84">
        <f t="shared" si="215"/>
        <v>0</v>
      </c>
      <c r="AC295" s="95">
        <f t="shared" si="216"/>
        <v>0</v>
      </c>
      <c r="AD295" s="117"/>
    </row>
    <row r="296" spans="1:31" x14ac:dyDescent="0.15">
      <c r="A296" s="33"/>
      <c r="B296" s="9"/>
      <c r="C296" s="10"/>
      <c r="D296" s="10"/>
      <c r="E296" s="8">
        <f t="shared" si="209"/>
        <v>0</v>
      </c>
      <c r="F296" s="9"/>
      <c r="G296" s="10"/>
      <c r="H296" s="10"/>
      <c r="I296" s="8">
        <f t="shared" si="210"/>
        <v>0</v>
      </c>
      <c r="J296" s="9"/>
      <c r="K296" s="10"/>
      <c r="L296" s="10"/>
      <c r="M296" s="39">
        <f t="shared" si="211"/>
        <v>0</v>
      </c>
      <c r="N296" s="138">
        <f t="shared" si="212"/>
        <v>0</v>
      </c>
      <c r="O296" s="21"/>
      <c r="P296" s="4" t="s">
        <v>244</v>
      </c>
      <c r="Q296" s="9"/>
      <c r="R296" s="10"/>
      <c r="S296" s="10"/>
      <c r="T296" s="8">
        <f t="shared" ref="T296" si="229">SUM(Q296:S296)</f>
        <v>0</v>
      </c>
      <c r="U296" s="9"/>
      <c r="V296" s="10"/>
      <c r="W296" s="10"/>
      <c r="X296" s="8">
        <f t="shared" ref="X296" si="230">SUM(U296:W296)</f>
        <v>0</v>
      </c>
      <c r="Y296" s="9"/>
      <c r="Z296" s="10"/>
      <c r="AA296" s="10"/>
      <c r="AB296" s="8">
        <f t="shared" ref="AB296" si="231">SUM(Y296:AA296)</f>
        <v>0</v>
      </c>
      <c r="AC296" s="86">
        <f t="shared" ref="AC296" si="232">T296+X296+AB296</f>
        <v>0</v>
      </c>
      <c r="AD296" s="116" t="s">
        <v>245</v>
      </c>
    </row>
    <row r="297" spans="1:31" x14ac:dyDescent="0.15">
      <c r="A297" s="33"/>
      <c r="B297" s="9"/>
      <c r="C297" s="10"/>
      <c r="D297" s="10"/>
      <c r="E297" s="8">
        <f t="shared" si="209"/>
        <v>0</v>
      </c>
      <c r="F297" s="9"/>
      <c r="G297" s="10"/>
      <c r="H297" s="10"/>
      <c r="I297" s="8">
        <f t="shared" si="210"/>
        <v>0</v>
      </c>
      <c r="J297" s="9"/>
      <c r="K297" s="10"/>
      <c r="L297" s="10"/>
      <c r="M297" s="39">
        <f t="shared" si="211"/>
        <v>0</v>
      </c>
      <c r="N297" s="138">
        <f t="shared" si="212"/>
        <v>0</v>
      </c>
      <c r="O297" s="21"/>
      <c r="P297" s="11" t="s">
        <v>148</v>
      </c>
      <c r="Q297" s="9"/>
      <c r="R297" s="10"/>
      <c r="S297" s="10"/>
      <c r="T297" s="8">
        <f t="shared" ref="T297:T298" si="233">SUM(Q297:S297)</f>
        <v>0</v>
      </c>
      <c r="U297" s="9"/>
      <c r="V297" s="10"/>
      <c r="W297" s="10"/>
      <c r="X297" s="8">
        <f t="shared" ref="X297:X298" si="234">SUM(U297:W297)</f>
        <v>0</v>
      </c>
      <c r="Y297" s="9"/>
      <c r="Z297" s="10"/>
      <c r="AA297" s="10"/>
      <c r="AB297" s="8">
        <f t="shared" ref="AB297:AB298" si="235">SUM(Y297:AA297)</f>
        <v>0</v>
      </c>
      <c r="AC297" s="93">
        <f t="shared" ref="AC297:AC298" si="236">T297+X297+AB297</f>
        <v>0</v>
      </c>
      <c r="AD297" s="116"/>
    </row>
    <row r="298" spans="1:31" ht="14.25" thickBot="1" x14ac:dyDescent="0.2">
      <c r="A298" s="63"/>
      <c r="B298" s="9"/>
      <c r="C298" s="10"/>
      <c r="D298" s="22"/>
      <c r="E298" s="8">
        <f t="shared" si="209"/>
        <v>0</v>
      </c>
      <c r="F298" s="9"/>
      <c r="G298" s="10"/>
      <c r="H298" s="22"/>
      <c r="I298" s="8">
        <f t="shared" si="210"/>
        <v>0</v>
      </c>
      <c r="J298" s="9"/>
      <c r="K298" s="10"/>
      <c r="L298" s="22"/>
      <c r="M298" s="39">
        <f t="shared" si="211"/>
        <v>0</v>
      </c>
      <c r="N298" s="139">
        <f t="shared" si="212"/>
        <v>0</v>
      </c>
      <c r="O298" s="21"/>
      <c r="P298" s="11" t="s">
        <v>288</v>
      </c>
      <c r="Q298" s="9"/>
      <c r="R298" s="10"/>
      <c r="S298" s="10"/>
      <c r="T298" s="8">
        <f t="shared" si="233"/>
        <v>0</v>
      </c>
      <c r="U298" s="9"/>
      <c r="V298" s="10"/>
      <c r="W298" s="10"/>
      <c r="X298" s="8">
        <f t="shared" si="234"/>
        <v>0</v>
      </c>
      <c r="Y298" s="9"/>
      <c r="Z298" s="10"/>
      <c r="AA298" s="10"/>
      <c r="AB298" s="8">
        <f t="shared" si="235"/>
        <v>0</v>
      </c>
      <c r="AC298" s="86">
        <f t="shared" si="236"/>
        <v>0</v>
      </c>
      <c r="AD298" s="116" t="s">
        <v>147</v>
      </c>
    </row>
    <row r="299" spans="1:31" ht="14.25" thickBot="1" x14ac:dyDescent="0.2">
      <c r="A299" s="104" t="s">
        <v>5</v>
      </c>
      <c r="B299" s="12">
        <f>SUM(B275:B298)</f>
        <v>12</v>
      </c>
      <c r="C299" s="12">
        <f>SUM(C275:C298)</f>
        <v>24</v>
      </c>
      <c r="D299" s="12">
        <f>SUM(D275:D298)</f>
        <v>8</v>
      </c>
      <c r="E299" s="13">
        <f t="shared" si="209"/>
        <v>44</v>
      </c>
      <c r="F299" s="12">
        <f>SUM(F275:F298)</f>
        <v>12</v>
      </c>
      <c r="G299" s="12">
        <f>SUM(G275:G298)</f>
        <v>23</v>
      </c>
      <c r="H299" s="12">
        <f>SUM(H275:H298)</f>
        <v>8</v>
      </c>
      <c r="I299" s="13">
        <f t="shared" si="210"/>
        <v>43</v>
      </c>
      <c r="J299" s="12">
        <f>SUM(J275:J298)</f>
        <v>12</v>
      </c>
      <c r="K299" s="12">
        <f>SUM(K275:K298)</f>
        <v>23</v>
      </c>
      <c r="L299" s="12">
        <f>SUM(L275:L298)</f>
        <v>8</v>
      </c>
      <c r="M299" s="12">
        <f t="shared" si="211"/>
        <v>43</v>
      </c>
      <c r="N299" s="142">
        <f t="shared" si="212"/>
        <v>130</v>
      </c>
      <c r="O299" s="1"/>
      <c r="P299" s="3" t="s">
        <v>5</v>
      </c>
      <c r="Q299" s="12">
        <f>SUM(Q275:Q298)</f>
        <v>126</v>
      </c>
      <c r="R299" s="12">
        <f>SUM(R275:R298)</f>
        <v>179</v>
      </c>
      <c r="S299" s="12">
        <f>SUM(S275:S298)</f>
        <v>96</v>
      </c>
      <c r="T299" s="13">
        <f t="shared" si="213"/>
        <v>401</v>
      </c>
      <c r="U299" s="12">
        <f>SUM(U275:U298)</f>
        <v>126</v>
      </c>
      <c r="V299" s="12">
        <f>SUM(V275:V298)</f>
        <v>184</v>
      </c>
      <c r="W299" s="12">
        <f>SUM(W275:W298)</f>
        <v>86</v>
      </c>
      <c r="X299" s="13">
        <f t="shared" si="214"/>
        <v>396</v>
      </c>
      <c r="Y299" s="12">
        <f>SUM(Y275:Y298)</f>
        <v>126</v>
      </c>
      <c r="Z299" s="12">
        <f>SUM(Z275:Z298)</f>
        <v>184</v>
      </c>
      <c r="AA299" s="12">
        <f>SUM(AA275:AA298)</f>
        <v>86</v>
      </c>
      <c r="AB299" s="13">
        <f t="shared" si="215"/>
        <v>396</v>
      </c>
      <c r="AC299" s="88">
        <f t="shared" si="216"/>
        <v>1193</v>
      </c>
    </row>
    <row r="300" spans="1:31" ht="14.25" thickBot="1" x14ac:dyDescent="0.2">
      <c r="A300" s="105" t="s">
        <v>6</v>
      </c>
      <c r="B300" s="20">
        <f>B274-B299</f>
        <v>16</v>
      </c>
      <c r="C300" s="20">
        <f t="shared" ref="C300:E300" si="237">C274-C299</f>
        <v>13</v>
      </c>
      <c r="D300" s="20">
        <f t="shared" si="237"/>
        <v>15</v>
      </c>
      <c r="E300" s="18">
        <f t="shared" si="237"/>
        <v>44</v>
      </c>
      <c r="F300" s="20">
        <f>F274-F299</f>
        <v>15</v>
      </c>
      <c r="G300" s="20">
        <f t="shared" ref="G300:I300" si="238">G274-G299</f>
        <v>16</v>
      </c>
      <c r="H300" s="20">
        <f t="shared" si="238"/>
        <v>8</v>
      </c>
      <c r="I300" s="18">
        <f t="shared" si="238"/>
        <v>39</v>
      </c>
      <c r="J300" s="20">
        <f>J274-J299</f>
        <v>19</v>
      </c>
      <c r="K300" s="20">
        <f t="shared" ref="K300:M300" si="239">K274-K299</f>
        <v>15</v>
      </c>
      <c r="L300" s="20">
        <f t="shared" si="239"/>
        <v>8</v>
      </c>
      <c r="M300" s="20">
        <f t="shared" si="239"/>
        <v>42</v>
      </c>
      <c r="N300" s="140">
        <f t="shared" si="212"/>
        <v>125</v>
      </c>
      <c r="O300" s="1"/>
      <c r="P300" s="19" t="s">
        <v>6</v>
      </c>
      <c r="Q300" s="20">
        <f>Q274-Q299</f>
        <v>486</v>
      </c>
      <c r="R300" s="20">
        <f t="shared" ref="R300:T300" si="240">R274-R299</f>
        <v>454</v>
      </c>
      <c r="S300" s="20">
        <f t="shared" si="240"/>
        <v>399</v>
      </c>
      <c r="T300" s="18">
        <f t="shared" si="240"/>
        <v>1339</v>
      </c>
      <c r="U300" s="20">
        <f>U274-U299</f>
        <v>494</v>
      </c>
      <c r="V300" s="20">
        <f t="shared" ref="V300:X300" si="241">V274-V299</f>
        <v>472</v>
      </c>
      <c r="W300" s="20">
        <f t="shared" si="241"/>
        <v>425</v>
      </c>
      <c r="X300" s="18">
        <f t="shared" si="241"/>
        <v>1391</v>
      </c>
      <c r="Y300" s="20">
        <f>Y274-Y299</f>
        <v>478</v>
      </c>
      <c r="Z300" s="20">
        <f t="shared" ref="Z300:AB300" si="242">Z274-Z299</f>
        <v>449</v>
      </c>
      <c r="AA300" s="20">
        <f t="shared" si="242"/>
        <v>394</v>
      </c>
      <c r="AB300" s="18">
        <f t="shared" si="242"/>
        <v>1321</v>
      </c>
      <c r="AC300" s="88">
        <f t="shared" si="216"/>
        <v>4051</v>
      </c>
    </row>
    <row r="303" spans="1:31" ht="19.5" thickBot="1" x14ac:dyDescent="0.25">
      <c r="A303" s="108" t="s">
        <v>264</v>
      </c>
      <c r="B303" s="47"/>
      <c r="C303" s="47"/>
      <c r="D303" s="47"/>
      <c r="E303" s="47"/>
      <c r="F303" s="48"/>
      <c r="G303" s="48"/>
      <c r="H303" s="48"/>
      <c r="I303" s="48"/>
      <c r="J303" s="48"/>
      <c r="K303" s="48"/>
      <c r="L303" s="1"/>
      <c r="M303" s="1"/>
      <c r="N303" s="137"/>
      <c r="O303" s="1"/>
      <c r="P303" s="43" t="s">
        <v>263</v>
      </c>
      <c r="Q303" s="44"/>
      <c r="R303" s="44"/>
      <c r="S303" s="44"/>
      <c r="T303" s="44"/>
      <c r="U303" s="45"/>
      <c r="V303" s="45"/>
      <c r="W303" s="45"/>
      <c r="X303" s="45"/>
      <c r="Y303" s="46"/>
      <c r="Z303" s="53"/>
      <c r="AA303" s="1"/>
      <c r="AB303" s="1"/>
    </row>
    <row r="304" spans="1:31" ht="14.25" thickBot="1" x14ac:dyDescent="0.2">
      <c r="A304" s="100" t="s">
        <v>0</v>
      </c>
      <c r="B304" s="337" t="s">
        <v>11</v>
      </c>
      <c r="C304" s="337"/>
      <c r="D304" s="337"/>
      <c r="E304" s="338"/>
      <c r="F304" s="339" t="s">
        <v>9</v>
      </c>
      <c r="G304" s="340"/>
      <c r="H304" s="340"/>
      <c r="I304" s="341"/>
      <c r="J304" s="342" t="s">
        <v>12</v>
      </c>
      <c r="K304" s="343"/>
      <c r="L304" s="343"/>
      <c r="M304" s="343"/>
      <c r="N304" s="347" t="s">
        <v>13</v>
      </c>
      <c r="O304" s="1"/>
      <c r="P304" s="2" t="s">
        <v>0</v>
      </c>
      <c r="Q304" s="337" t="s">
        <v>11</v>
      </c>
      <c r="R304" s="337"/>
      <c r="S304" s="337"/>
      <c r="T304" s="338"/>
      <c r="U304" s="339" t="s">
        <v>9</v>
      </c>
      <c r="V304" s="340"/>
      <c r="W304" s="340"/>
      <c r="X304" s="341"/>
      <c r="Y304" s="342" t="s">
        <v>12</v>
      </c>
      <c r="Z304" s="343"/>
      <c r="AA304" s="343"/>
      <c r="AB304" s="343"/>
      <c r="AC304" s="345" t="s">
        <v>13</v>
      </c>
    </row>
    <row r="305" spans="1:32" ht="14.25" thickBot="1" x14ac:dyDescent="0.2">
      <c r="A305" s="100" t="s">
        <v>1</v>
      </c>
      <c r="B305" s="3" t="s">
        <v>7</v>
      </c>
      <c r="C305" s="2" t="s">
        <v>10</v>
      </c>
      <c r="D305" s="2" t="s">
        <v>8</v>
      </c>
      <c r="E305" s="2" t="s">
        <v>2</v>
      </c>
      <c r="F305" s="3" t="s">
        <v>7</v>
      </c>
      <c r="G305" s="2" t="s">
        <v>10</v>
      </c>
      <c r="H305" s="2" t="s">
        <v>8</v>
      </c>
      <c r="I305" s="2" t="s">
        <v>2</v>
      </c>
      <c r="J305" s="3" t="s">
        <v>7</v>
      </c>
      <c r="K305" s="2" t="s">
        <v>10</v>
      </c>
      <c r="L305" s="2" t="s">
        <v>8</v>
      </c>
      <c r="M305" s="3" t="s">
        <v>2</v>
      </c>
      <c r="N305" s="348"/>
      <c r="O305" s="1"/>
      <c r="P305" s="2" t="s">
        <v>1</v>
      </c>
      <c r="Q305" s="3" t="s">
        <v>7</v>
      </c>
      <c r="R305" s="2" t="s">
        <v>10</v>
      </c>
      <c r="S305" s="2" t="s">
        <v>8</v>
      </c>
      <c r="T305" s="2" t="s">
        <v>2</v>
      </c>
      <c r="U305" s="3" t="s">
        <v>7</v>
      </c>
      <c r="V305" s="2" t="s">
        <v>10</v>
      </c>
      <c r="W305" s="2" t="s">
        <v>8</v>
      </c>
      <c r="X305" s="2" t="s">
        <v>2</v>
      </c>
      <c r="Y305" s="3" t="s">
        <v>7</v>
      </c>
      <c r="Z305" s="2" t="s">
        <v>10</v>
      </c>
      <c r="AA305" s="2" t="s">
        <v>8</v>
      </c>
      <c r="AB305" s="2" t="s">
        <v>2</v>
      </c>
      <c r="AC305" s="346"/>
    </row>
    <row r="306" spans="1:32" x14ac:dyDescent="0.15">
      <c r="A306" s="106" t="s">
        <v>6</v>
      </c>
      <c r="B306" s="41">
        <f>B300</f>
        <v>16</v>
      </c>
      <c r="C306" s="41">
        <f t="shared" ref="C306:E306" si="243">C300</f>
        <v>13</v>
      </c>
      <c r="D306" s="41">
        <f t="shared" si="243"/>
        <v>15</v>
      </c>
      <c r="E306" s="42">
        <f t="shared" si="243"/>
        <v>44</v>
      </c>
      <c r="F306" s="41">
        <f>F300</f>
        <v>15</v>
      </c>
      <c r="G306" s="41">
        <f t="shared" ref="G306:I306" si="244">G300</f>
        <v>16</v>
      </c>
      <c r="H306" s="41">
        <f t="shared" si="244"/>
        <v>8</v>
      </c>
      <c r="I306" s="42">
        <f t="shared" si="244"/>
        <v>39</v>
      </c>
      <c r="J306" s="41">
        <f>J300</f>
        <v>19</v>
      </c>
      <c r="K306" s="41">
        <f t="shared" ref="K306:M306" si="245">K300</f>
        <v>15</v>
      </c>
      <c r="L306" s="41">
        <f t="shared" si="245"/>
        <v>8</v>
      </c>
      <c r="M306" s="42">
        <f t="shared" si="245"/>
        <v>42</v>
      </c>
      <c r="N306" s="143">
        <f>E306+I306+M306</f>
        <v>125</v>
      </c>
      <c r="O306" s="24"/>
      <c r="P306" s="36" t="s">
        <v>6</v>
      </c>
      <c r="Q306" s="41">
        <f>Q300</f>
        <v>486</v>
      </c>
      <c r="R306" s="41">
        <f t="shared" ref="R306:T306" si="246">R300</f>
        <v>454</v>
      </c>
      <c r="S306" s="41">
        <f t="shared" si="246"/>
        <v>399</v>
      </c>
      <c r="T306" s="42">
        <f t="shared" si="246"/>
        <v>1339</v>
      </c>
      <c r="U306" s="41">
        <f>U300</f>
        <v>494</v>
      </c>
      <c r="V306" s="41">
        <f t="shared" ref="V306:X306" si="247">V300</f>
        <v>472</v>
      </c>
      <c r="W306" s="41">
        <f t="shared" si="247"/>
        <v>425</v>
      </c>
      <c r="X306" s="42">
        <f t="shared" si="247"/>
        <v>1391</v>
      </c>
      <c r="Y306" s="41">
        <f>Y300</f>
        <v>478</v>
      </c>
      <c r="Z306" s="41">
        <f t="shared" ref="Z306:AB306" si="248">Z300</f>
        <v>449</v>
      </c>
      <c r="AA306" s="41">
        <f t="shared" si="248"/>
        <v>394</v>
      </c>
      <c r="AB306" s="42">
        <f t="shared" si="248"/>
        <v>1321</v>
      </c>
      <c r="AC306" s="90">
        <f>T306+X306+AB306</f>
        <v>4051</v>
      </c>
    </row>
    <row r="307" spans="1:32" x14ac:dyDescent="0.15">
      <c r="A307" s="102" t="s">
        <v>57</v>
      </c>
      <c r="B307" s="25"/>
      <c r="C307" s="26">
        <v>2</v>
      </c>
      <c r="D307" s="26"/>
      <c r="E307" s="5">
        <f t="shared" ref="E307:E342" si="249">SUM(B307:D307)</f>
        <v>2</v>
      </c>
      <c r="F307" s="25"/>
      <c r="G307" s="26">
        <v>2</v>
      </c>
      <c r="H307" s="26"/>
      <c r="I307" s="5">
        <f t="shared" ref="I307:I342" si="250">SUM(F307:H307)</f>
        <v>2</v>
      </c>
      <c r="J307" s="25"/>
      <c r="K307" s="26">
        <v>2</v>
      </c>
      <c r="L307" s="26"/>
      <c r="M307" s="38">
        <f t="shared" ref="M307:M342" si="251">SUM(J307:L307)</f>
        <v>2</v>
      </c>
      <c r="N307" s="138">
        <f t="shared" ref="N307:N343" si="252">E307+I307+M307</f>
        <v>6</v>
      </c>
      <c r="O307" s="24">
        <v>45498</v>
      </c>
      <c r="P307" s="6" t="s">
        <v>3</v>
      </c>
      <c r="Q307" s="14"/>
      <c r="R307" s="11"/>
      <c r="S307" s="11"/>
      <c r="T307" s="5">
        <f t="shared" ref="T307:T342" si="253">SUM(Q307:S307)</f>
        <v>0</v>
      </c>
      <c r="U307" s="14"/>
      <c r="V307" s="11"/>
      <c r="W307" s="11"/>
      <c r="X307" s="5">
        <f t="shared" ref="X307:X342" si="254">SUM(U307:W307)</f>
        <v>0</v>
      </c>
      <c r="Y307" s="25"/>
      <c r="Z307" s="26"/>
      <c r="AA307" s="26"/>
      <c r="AB307" s="5">
        <f t="shared" ref="AB307:AB342" si="255">SUM(Y307:AA307)</f>
        <v>0</v>
      </c>
      <c r="AC307" s="86">
        <f t="shared" ref="AC307:AC342" si="256">T307+X307+AB307</f>
        <v>0</v>
      </c>
    </row>
    <row r="308" spans="1:32" x14ac:dyDescent="0.15">
      <c r="A308" s="102" t="s">
        <v>57</v>
      </c>
      <c r="B308" s="14"/>
      <c r="C308" s="11">
        <v>1</v>
      </c>
      <c r="D308" s="11"/>
      <c r="E308" s="5">
        <f t="shared" si="249"/>
        <v>1</v>
      </c>
      <c r="F308" s="34"/>
      <c r="G308" s="11">
        <v>1</v>
      </c>
      <c r="H308" s="11"/>
      <c r="I308" s="5">
        <f t="shared" si="250"/>
        <v>1</v>
      </c>
      <c r="J308" s="34"/>
      <c r="K308" s="11">
        <v>1</v>
      </c>
      <c r="L308" s="11"/>
      <c r="M308" s="38">
        <f t="shared" si="251"/>
        <v>1</v>
      </c>
      <c r="N308" s="138">
        <f t="shared" si="252"/>
        <v>3</v>
      </c>
      <c r="O308" s="21">
        <v>45512</v>
      </c>
      <c r="P308" s="6" t="s">
        <v>3</v>
      </c>
      <c r="Q308" s="25"/>
      <c r="R308" s="26"/>
      <c r="S308" s="26"/>
      <c r="T308" s="8">
        <f t="shared" si="253"/>
        <v>0</v>
      </c>
      <c r="U308" s="25"/>
      <c r="V308" s="26"/>
      <c r="W308" s="26"/>
      <c r="X308" s="8">
        <f t="shared" si="254"/>
        <v>0</v>
      </c>
      <c r="Y308" s="34"/>
      <c r="Z308" s="11"/>
      <c r="AA308" s="11"/>
      <c r="AB308" s="5">
        <f t="shared" si="255"/>
        <v>0</v>
      </c>
      <c r="AC308" s="86">
        <f t="shared" si="256"/>
        <v>0</v>
      </c>
    </row>
    <row r="309" spans="1:32" x14ac:dyDescent="0.15">
      <c r="A309" s="102" t="s">
        <v>3</v>
      </c>
      <c r="B309" s="14"/>
      <c r="C309" s="11"/>
      <c r="D309" s="11"/>
      <c r="E309" s="5">
        <f t="shared" si="249"/>
        <v>0</v>
      </c>
      <c r="F309" s="34"/>
      <c r="G309" s="11"/>
      <c r="H309" s="11"/>
      <c r="I309" s="5">
        <f t="shared" si="250"/>
        <v>0</v>
      </c>
      <c r="J309" s="34"/>
      <c r="K309" s="11"/>
      <c r="L309" s="11"/>
      <c r="M309" s="38">
        <f t="shared" si="251"/>
        <v>0</v>
      </c>
      <c r="N309" s="138">
        <f t="shared" si="252"/>
        <v>0</v>
      </c>
      <c r="O309" s="21"/>
      <c r="P309" s="6" t="s">
        <v>3</v>
      </c>
      <c r="Q309" s="14"/>
      <c r="R309" s="11"/>
      <c r="S309" s="11"/>
      <c r="T309" s="5">
        <f t="shared" ref="T309" si="257">SUM(Q309:S309)</f>
        <v>0</v>
      </c>
      <c r="U309" s="14"/>
      <c r="V309" s="11"/>
      <c r="W309" s="11"/>
      <c r="X309" s="5">
        <f t="shared" ref="X309" si="258">SUM(U309:W309)</f>
        <v>0</v>
      </c>
      <c r="Y309" s="34"/>
      <c r="Z309" s="11"/>
      <c r="AA309" s="11"/>
      <c r="AB309" s="5">
        <f t="shared" ref="AB309" si="259">SUM(Y309:AA309)</f>
        <v>0</v>
      </c>
      <c r="AC309" s="86">
        <f t="shared" ref="AC309" si="260">T309+X309+AB309</f>
        <v>0</v>
      </c>
    </row>
    <row r="310" spans="1:32" x14ac:dyDescent="0.15">
      <c r="A310" s="102" t="s">
        <v>3</v>
      </c>
      <c r="B310" s="14"/>
      <c r="C310" s="11"/>
      <c r="D310" s="11"/>
      <c r="E310" s="5">
        <f t="shared" si="249"/>
        <v>0</v>
      </c>
      <c r="F310" s="34"/>
      <c r="G310" s="11"/>
      <c r="H310" s="11"/>
      <c r="I310" s="5">
        <f t="shared" si="250"/>
        <v>0</v>
      </c>
      <c r="J310" s="34"/>
      <c r="K310" s="11"/>
      <c r="L310" s="11"/>
      <c r="M310" s="38">
        <f t="shared" si="251"/>
        <v>0</v>
      </c>
      <c r="N310" s="138">
        <f t="shared" si="252"/>
        <v>0</v>
      </c>
      <c r="O310" s="21"/>
      <c r="P310" s="6" t="s">
        <v>3</v>
      </c>
      <c r="Q310" s="14"/>
      <c r="R310" s="11"/>
      <c r="S310" s="11"/>
      <c r="T310" s="5">
        <f t="shared" si="253"/>
        <v>0</v>
      </c>
      <c r="U310" s="14"/>
      <c r="V310" s="11"/>
      <c r="W310" s="11"/>
      <c r="X310" s="5">
        <f t="shared" si="254"/>
        <v>0</v>
      </c>
      <c r="Y310" s="34"/>
      <c r="Z310" s="11"/>
      <c r="AA310" s="11"/>
      <c r="AB310" s="5">
        <f t="shared" si="255"/>
        <v>0</v>
      </c>
      <c r="AC310" s="86">
        <f t="shared" si="256"/>
        <v>0</v>
      </c>
    </row>
    <row r="311" spans="1:32" x14ac:dyDescent="0.15">
      <c r="A311" s="102" t="s">
        <v>3</v>
      </c>
      <c r="B311" s="14"/>
      <c r="C311" s="11"/>
      <c r="D311" s="11"/>
      <c r="E311" s="5">
        <f t="shared" si="249"/>
        <v>0</v>
      </c>
      <c r="F311" s="34"/>
      <c r="G311" s="11"/>
      <c r="H311" s="11"/>
      <c r="I311" s="5">
        <f t="shared" si="250"/>
        <v>0</v>
      </c>
      <c r="J311" s="34"/>
      <c r="K311" s="11"/>
      <c r="L311" s="11"/>
      <c r="M311" s="38">
        <f t="shared" si="251"/>
        <v>0</v>
      </c>
      <c r="N311" s="138">
        <f t="shared" si="252"/>
        <v>0</v>
      </c>
      <c r="O311" s="21"/>
      <c r="P311" s="6" t="s">
        <v>3</v>
      </c>
      <c r="Q311" s="14"/>
      <c r="R311" s="11"/>
      <c r="S311" s="11"/>
      <c r="T311" s="5">
        <f t="shared" si="253"/>
        <v>0</v>
      </c>
      <c r="U311" s="14"/>
      <c r="V311" s="11"/>
      <c r="W311" s="11"/>
      <c r="X311" s="5">
        <f t="shared" si="254"/>
        <v>0</v>
      </c>
      <c r="Y311" s="34"/>
      <c r="Z311" s="11"/>
      <c r="AA311" s="11"/>
      <c r="AB311" s="5">
        <f t="shared" si="255"/>
        <v>0</v>
      </c>
      <c r="AC311" s="86">
        <f t="shared" si="256"/>
        <v>0</v>
      </c>
    </row>
    <row r="312" spans="1:32" x14ac:dyDescent="0.15">
      <c r="A312" s="102" t="s">
        <v>3</v>
      </c>
      <c r="B312" s="25"/>
      <c r="C312" s="26"/>
      <c r="D312" s="26"/>
      <c r="E312" s="8">
        <f t="shared" si="249"/>
        <v>0</v>
      </c>
      <c r="F312" s="25"/>
      <c r="G312" s="26"/>
      <c r="H312" s="26"/>
      <c r="I312" s="8">
        <f t="shared" si="250"/>
        <v>0</v>
      </c>
      <c r="J312" s="25"/>
      <c r="K312" s="26"/>
      <c r="L312" s="26"/>
      <c r="M312" s="39">
        <f t="shared" si="251"/>
        <v>0</v>
      </c>
      <c r="N312" s="138">
        <f t="shared" si="252"/>
        <v>0</v>
      </c>
      <c r="O312" s="24"/>
      <c r="P312" s="6" t="s">
        <v>3</v>
      </c>
      <c r="Q312" s="14"/>
      <c r="R312" s="11"/>
      <c r="S312" s="11"/>
      <c r="T312" s="5">
        <f t="shared" si="253"/>
        <v>0</v>
      </c>
      <c r="U312" s="14"/>
      <c r="V312" s="11"/>
      <c r="W312" s="11"/>
      <c r="X312" s="5">
        <f t="shared" si="254"/>
        <v>0</v>
      </c>
      <c r="Y312" s="25"/>
      <c r="Z312" s="26"/>
      <c r="AA312" s="26"/>
      <c r="AB312" s="8">
        <f t="shared" si="255"/>
        <v>0</v>
      </c>
      <c r="AC312" s="86">
        <f t="shared" si="256"/>
        <v>0</v>
      </c>
    </row>
    <row r="313" spans="1:32" x14ac:dyDescent="0.15">
      <c r="A313" s="102" t="s">
        <v>3</v>
      </c>
      <c r="B313" s="27"/>
      <c r="C313" s="26"/>
      <c r="D313" s="26"/>
      <c r="E313" s="5">
        <f t="shared" si="249"/>
        <v>0</v>
      </c>
      <c r="F313" s="25"/>
      <c r="G313" s="26"/>
      <c r="H313" s="26"/>
      <c r="I313" s="5">
        <f t="shared" si="250"/>
        <v>0</v>
      </c>
      <c r="J313" s="25"/>
      <c r="K313" s="26"/>
      <c r="L313" s="26"/>
      <c r="M313" s="38">
        <f t="shared" si="251"/>
        <v>0</v>
      </c>
      <c r="N313" s="138">
        <f t="shared" si="252"/>
        <v>0</v>
      </c>
      <c r="O313" s="21"/>
      <c r="P313" s="6" t="s">
        <v>3</v>
      </c>
      <c r="Q313" s="27"/>
      <c r="R313" s="26"/>
      <c r="S313" s="26"/>
      <c r="T313" s="5">
        <f t="shared" si="253"/>
        <v>0</v>
      </c>
      <c r="U313" s="27"/>
      <c r="V313" s="26"/>
      <c r="W313" s="26"/>
      <c r="X313" s="5">
        <f t="shared" si="254"/>
        <v>0</v>
      </c>
      <c r="Y313" s="25"/>
      <c r="Z313" s="26"/>
      <c r="AA313" s="26"/>
      <c r="AB313" s="5">
        <f t="shared" si="255"/>
        <v>0</v>
      </c>
      <c r="AC313" s="86">
        <f t="shared" si="256"/>
        <v>0</v>
      </c>
    </row>
    <row r="314" spans="1:32" x14ac:dyDescent="0.15">
      <c r="A314" s="102" t="s">
        <v>3</v>
      </c>
      <c r="B314" s="27"/>
      <c r="C314" s="26"/>
      <c r="D314" s="26"/>
      <c r="E314" s="5">
        <f t="shared" si="249"/>
        <v>0</v>
      </c>
      <c r="F314" s="25"/>
      <c r="G314" s="26"/>
      <c r="H314" s="26"/>
      <c r="I314" s="5">
        <f t="shared" si="250"/>
        <v>0</v>
      </c>
      <c r="J314" s="25"/>
      <c r="K314" s="26"/>
      <c r="L314" s="26"/>
      <c r="M314" s="38">
        <f t="shared" si="251"/>
        <v>0</v>
      </c>
      <c r="N314" s="138">
        <f t="shared" si="252"/>
        <v>0</v>
      </c>
      <c r="O314" s="21"/>
      <c r="P314" s="6" t="s">
        <v>3</v>
      </c>
      <c r="Q314" s="14"/>
      <c r="R314" s="11"/>
      <c r="S314" s="11"/>
      <c r="T314" s="5">
        <f t="shared" si="253"/>
        <v>0</v>
      </c>
      <c r="U314" s="14"/>
      <c r="V314" s="11"/>
      <c r="W314" s="11"/>
      <c r="X314" s="5">
        <f t="shared" si="254"/>
        <v>0</v>
      </c>
      <c r="Y314" s="25"/>
      <c r="Z314" s="26"/>
      <c r="AA314" s="26"/>
      <c r="AB314" s="5">
        <f t="shared" si="255"/>
        <v>0</v>
      </c>
      <c r="AC314" s="86">
        <f t="shared" si="256"/>
        <v>0</v>
      </c>
    </row>
    <row r="315" spans="1:32" x14ac:dyDescent="0.15">
      <c r="A315" s="102" t="s">
        <v>3</v>
      </c>
      <c r="B315" s="27"/>
      <c r="C315" s="26"/>
      <c r="D315" s="26"/>
      <c r="E315" s="5">
        <f t="shared" si="249"/>
        <v>0</v>
      </c>
      <c r="F315" s="25"/>
      <c r="G315" s="26"/>
      <c r="H315" s="26"/>
      <c r="I315" s="5">
        <f t="shared" si="250"/>
        <v>0</v>
      </c>
      <c r="J315" s="25"/>
      <c r="K315" s="26"/>
      <c r="L315" s="26"/>
      <c r="M315" s="38">
        <f t="shared" si="251"/>
        <v>0</v>
      </c>
      <c r="N315" s="138">
        <f t="shared" si="252"/>
        <v>0</v>
      </c>
      <c r="O315" s="23"/>
      <c r="P315" s="6" t="s">
        <v>3</v>
      </c>
      <c r="Q315" s="27"/>
      <c r="R315" s="26"/>
      <c r="S315" s="26"/>
      <c r="T315" s="5">
        <f t="shared" si="253"/>
        <v>0</v>
      </c>
      <c r="U315" s="27"/>
      <c r="V315" s="26"/>
      <c r="W315" s="26"/>
      <c r="X315" s="5">
        <f t="shared" si="254"/>
        <v>0</v>
      </c>
      <c r="Y315" s="25"/>
      <c r="Z315" s="26"/>
      <c r="AA315" s="26"/>
      <c r="AB315" s="5">
        <f t="shared" si="255"/>
        <v>0</v>
      </c>
      <c r="AC315" s="86">
        <f t="shared" si="256"/>
        <v>0</v>
      </c>
    </row>
    <row r="316" spans="1:32" ht="14.25" thickBot="1" x14ac:dyDescent="0.2">
      <c r="A316" s="102" t="s">
        <v>3</v>
      </c>
      <c r="B316" s="28"/>
      <c r="C316" s="29"/>
      <c r="D316" s="32"/>
      <c r="E316" s="15">
        <f t="shared" si="249"/>
        <v>0</v>
      </c>
      <c r="F316" s="35"/>
      <c r="G316" s="29"/>
      <c r="H316" s="32"/>
      <c r="I316" s="15">
        <f t="shared" si="250"/>
        <v>0</v>
      </c>
      <c r="J316" s="35"/>
      <c r="K316" s="29"/>
      <c r="L316" s="32"/>
      <c r="M316" s="40">
        <f t="shared" si="251"/>
        <v>0</v>
      </c>
      <c r="N316" s="139">
        <f t="shared" si="252"/>
        <v>0</v>
      </c>
      <c r="O316" s="21"/>
      <c r="P316" s="7" t="s">
        <v>3</v>
      </c>
      <c r="Q316" s="28"/>
      <c r="R316" s="29"/>
      <c r="S316" s="29"/>
      <c r="T316" s="15">
        <f t="shared" si="253"/>
        <v>0</v>
      </c>
      <c r="U316" s="28"/>
      <c r="V316" s="29"/>
      <c r="W316" s="29"/>
      <c r="X316" s="15">
        <f t="shared" si="254"/>
        <v>0</v>
      </c>
      <c r="Y316" s="35"/>
      <c r="Z316" s="29"/>
      <c r="AA316" s="32"/>
      <c r="AB316" s="15">
        <f t="shared" si="255"/>
        <v>0</v>
      </c>
      <c r="AC316" s="87">
        <f t="shared" si="256"/>
        <v>0</v>
      </c>
    </row>
    <row r="317" spans="1:32" ht="14.25" thickBot="1" x14ac:dyDescent="0.2">
      <c r="A317" s="103" t="s">
        <v>4</v>
      </c>
      <c r="B317" s="17">
        <f>SUM(B306:B316)</f>
        <v>16</v>
      </c>
      <c r="C317" s="17">
        <f>SUM(C306:C316)</f>
        <v>16</v>
      </c>
      <c r="D317" s="17">
        <f>SUM(D306:D316)</f>
        <v>15</v>
      </c>
      <c r="E317" s="18">
        <f t="shared" si="249"/>
        <v>47</v>
      </c>
      <c r="F317" s="17">
        <f>SUM(F306:F316)</f>
        <v>15</v>
      </c>
      <c r="G317" s="17">
        <f>SUM(G306:G316)</f>
        <v>19</v>
      </c>
      <c r="H317" s="17">
        <f>SUM(H306:H316)</f>
        <v>8</v>
      </c>
      <c r="I317" s="18">
        <f t="shared" si="250"/>
        <v>42</v>
      </c>
      <c r="J317" s="17">
        <f>SUM(J306:J316)</f>
        <v>19</v>
      </c>
      <c r="K317" s="17">
        <f>SUM(K306:K316)</f>
        <v>18</v>
      </c>
      <c r="L317" s="17">
        <f>SUM(L306:L316)</f>
        <v>8</v>
      </c>
      <c r="M317" s="20">
        <f t="shared" si="251"/>
        <v>45</v>
      </c>
      <c r="N317" s="140">
        <f t="shared" si="252"/>
        <v>134</v>
      </c>
      <c r="O317" s="1"/>
      <c r="P317" s="16" t="s">
        <v>4</v>
      </c>
      <c r="Q317" s="17">
        <f>SUM(Q306:Q316)</f>
        <v>486</v>
      </c>
      <c r="R317" s="17">
        <f>SUM(R306:R316)</f>
        <v>454</v>
      </c>
      <c r="S317" s="17">
        <f>SUM(S306:S316)</f>
        <v>399</v>
      </c>
      <c r="T317" s="18">
        <f t="shared" si="253"/>
        <v>1339</v>
      </c>
      <c r="U317" s="17">
        <f>SUM(U306:U316)</f>
        <v>494</v>
      </c>
      <c r="V317" s="17">
        <f>SUM(V306:V316)</f>
        <v>472</v>
      </c>
      <c r="W317" s="17">
        <f>SUM(W306:W316)</f>
        <v>425</v>
      </c>
      <c r="X317" s="18">
        <f t="shared" si="254"/>
        <v>1391</v>
      </c>
      <c r="Y317" s="17">
        <f>SUM(Y306:Y316)</f>
        <v>478</v>
      </c>
      <c r="Z317" s="17">
        <f>SUM(Z306:Z316)</f>
        <v>449</v>
      </c>
      <c r="AA317" s="17">
        <f>SUM(AA306:AA316)</f>
        <v>394</v>
      </c>
      <c r="AB317" s="18">
        <f t="shared" si="255"/>
        <v>1321</v>
      </c>
      <c r="AC317" s="88">
        <f t="shared" si="256"/>
        <v>4051</v>
      </c>
    </row>
    <row r="318" spans="1:32" x14ac:dyDescent="0.15">
      <c r="A318" s="33" t="s">
        <v>36</v>
      </c>
      <c r="B318" s="9">
        <v>1</v>
      </c>
      <c r="C318" s="10"/>
      <c r="D318" s="31"/>
      <c r="E318" s="5">
        <f t="shared" si="249"/>
        <v>1</v>
      </c>
      <c r="F318" s="9">
        <v>1</v>
      </c>
      <c r="G318" s="10"/>
      <c r="H318" s="31"/>
      <c r="I318" s="5">
        <f t="shared" si="250"/>
        <v>1</v>
      </c>
      <c r="J318" s="9">
        <v>1</v>
      </c>
      <c r="K318" s="10"/>
      <c r="L318" s="31"/>
      <c r="M318" s="38">
        <f t="shared" si="251"/>
        <v>1</v>
      </c>
      <c r="N318" s="141">
        <f t="shared" si="252"/>
        <v>3</v>
      </c>
      <c r="O318" s="21">
        <v>45498</v>
      </c>
      <c r="P318" s="11" t="s">
        <v>328</v>
      </c>
      <c r="Q318" s="9">
        <v>2</v>
      </c>
      <c r="R318" s="10">
        <v>2</v>
      </c>
      <c r="S318" s="10">
        <v>3</v>
      </c>
      <c r="T318" s="5">
        <f t="shared" ref="T318:T332" si="261">SUM(Q318:S318)</f>
        <v>7</v>
      </c>
      <c r="U318" s="9">
        <v>2</v>
      </c>
      <c r="V318" s="10">
        <v>2</v>
      </c>
      <c r="W318" s="10">
        <v>3</v>
      </c>
      <c r="X318" s="5">
        <f t="shared" ref="X318:X332" si="262">SUM(U318:W318)</f>
        <v>7</v>
      </c>
      <c r="Y318" s="9">
        <v>2</v>
      </c>
      <c r="Z318" s="10">
        <v>2</v>
      </c>
      <c r="AA318" s="10">
        <v>3</v>
      </c>
      <c r="AB318" s="5">
        <f t="shared" ref="AB318:AB332" si="263">SUM(Y318:AA318)</f>
        <v>7</v>
      </c>
      <c r="AC318" s="86">
        <f t="shared" ref="AC318:AC332" si="264">T318+X318+AB318</f>
        <v>21</v>
      </c>
      <c r="AD318" s="109">
        <v>45503</v>
      </c>
      <c r="AE318" s="58"/>
      <c r="AF318" s="58"/>
    </row>
    <row r="319" spans="1:32" x14ac:dyDescent="0.15">
      <c r="A319" s="33" t="s">
        <v>36</v>
      </c>
      <c r="B319" s="9"/>
      <c r="C319" s="10">
        <v>1</v>
      </c>
      <c r="D319" s="10"/>
      <c r="E319" s="5">
        <f t="shared" si="249"/>
        <v>1</v>
      </c>
      <c r="F319" s="9"/>
      <c r="G319" s="10">
        <v>1</v>
      </c>
      <c r="H319" s="10"/>
      <c r="I319" s="5">
        <f t="shared" si="250"/>
        <v>1</v>
      </c>
      <c r="J319" s="9"/>
      <c r="K319" s="10">
        <v>1</v>
      </c>
      <c r="L319" s="10"/>
      <c r="M319" s="38">
        <f t="shared" si="251"/>
        <v>1</v>
      </c>
      <c r="N319" s="138">
        <f t="shared" si="252"/>
        <v>3</v>
      </c>
      <c r="O319" s="21">
        <v>45499</v>
      </c>
      <c r="P319" s="11" t="s">
        <v>330</v>
      </c>
      <c r="Q319" s="9">
        <v>20</v>
      </c>
      <c r="R319" s="10">
        <v>25</v>
      </c>
      <c r="S319" s="10">
        <v>15</v>
      </c>
      <c r="T319" s="5">
        <f t="shared" si="261"/>
        <v>60</v>
      </c>
      <c r="U319" s="9">
        <v>20</v>
      </c>
      <c r="V319" s="10">
        <v>25</v>
      </c>
      <c r="W319" s="10">
        <v>15</v>
      </c>
      <c r="X319" s="5">
        <f t="shared" si="262"/>
        <v>60</v>
      </c>
      <c r="Y319" s="9">
        <v>20</v>
      </c>
      <c r="Z319" s="10">
        <v>25</v>
      </c>
      <c r="AA319" s="10">
        <v>15</v>
      </c>
      <c r="AB319" s="5">
        <f t="shared" si="263"/>
        <v>60</v>
      </c>
      <c r="AC319" s="86">
        <f t="shared" si="264"/>
        <v>180</v>
      </c>
      <c r="AD319" s="109">
        <v>45502</v>
      </c>
    </row>
    <row r="320" spans="1:32" x14ac:dyDescent="0.15">
      <c r="A320" s="33" t="s">
        <v>36</v>
      </c>
      <c r="B320" s="9"/>
      <c r="C320" s="10">
        <v>1</v>
      </c>
      <c r="D320" s="10"/>
      <c r="E320" s="5">
        <f t="shared" si="249"/>
        <v>1</v>
      </c>
      <c r="F320" s="9"/>
      <c r="G320" s="10">
        <v>1</v>
      </c>
      <c r="H320" s="10"/>
      <c r="I320" s="5">
        <f t="shared" si="250"/>
        <v>1</v>
      </c>
      <c r="J320" s="9"/>
      <c r="K320" s="10">
        <v>1</v>
      </c>
      <c r="L320" s="10"/>
      <c r="M320" s="38">
        <f t="shared" si="251"/>
        <v>1</v>
      </c>
      <c r="N320" s="138">
        <f t="shared" si="252"/>
        <v>3</v>
      </c>
      <c r="O320" s="21">
        <v>45503</v>
      </c>
      <c r="P320" s="4" t="s">
        <v>331</v>
      </c>
      <c r="Q320" s="9">
        <v>2</v>
      </c>
      <c r="R320" s="10">
        <v>4</v>
      </c>
      <c r="S320" s="10"/>
      <c r="T320" s="5">
        <f t="shared" si="261"/>
        <v>6</v>
      </c>
      <c r="U320" s="9">
        <v>2</v>
      </c>
      <c r="V320" s="10">
        <v>4</v>
      </c>
      <c r="W320" s="10"/>
      <c r="X320" s="5">
        <f t="shared" si="262"/>
        <v>6</v>
      </c>
      <c r="Y320" s="9">
        <v>2</v>
      </c>
      <c r="Z320" s="10">
        <v>4</v>
      </c>
      <c r="AA320" s="10"/>
      <c r="AB320" s="5">
        <f t="shared" si="263"/>
        <v>6</v>
      </c>
      <c r="AC320" s="86">
        <f t="shared" si="264"/>
        <v>18</v>
      </c>
      <c r="AD320" s="109">
        <v>45503</v>
      </c>
      <c r="AE320" s="58"/>
      <c r="AF320" s="58"/>
    </row>
    <row r="321" spans="1:32" x14ac:dyDescent="0.15">
      <c r="A321" s="33" t="s">
        <v>36</v>
      </c>
      <c r="B321" s="9"/>
      <c r="C321" s="10"/>
      <c r="D321" s="10"/>
      <c r="E321" s="5">
        <f t="shared" si="249"/>
        <v>0</v>
      </c>
      <c r="F321" s="9"/>
      <c r="G321" s="10"/>
      <c r="H321" s="10"/>
      <c r="I321" s="5">
        <f t="shared" si="250"/>
        <v>0</v>
      </c>
      <c r="J321" s="9">
        <v>1</v>
      </c>
      <c r="K321" s="10"/>
      <c r="L321" s="10"/>
      <c r="M321" s="38">
        <f t="shared" si="251"/>
        <v>1</v>
      </c>
      <c r="N321" s="138">
        <f t="shared" si="252"/>
        <v>1</v>
      </c>
      <c r="O321" s="21">
        <v>45505</v>
      </c>
      <c r="P321" s="4" t="s">
        <v>340</v>
      </c>
      <c r="Q321" s="9"/>
      <c r="R321" s="10">
        <v>12</v>
      </c>
      <c r="S321" s="10"/>
      <c r="T321" s="8">
        <f t="shared" si="261"/>
        <v>12</v>
      </c>
      <c r="U321" s="9"/>
      <c r="V321" s="10">
        <v>12</v>
      </c>
      <c r="W321" s="10"/>
      <c r="X321" s="8">
        <f t="shared" si="262"/>
        <v>12</v>
      </c>
      <c r="Y321" s="9"/>
      <c r="Z321" s="10">
        <v>12</v>
      </c>
      <c r="AA321" s="10"/>
      <c r="AB321" s="8">
        <f t="shared" si="263"/>
        <v>12</v>
      </c>
      <c r="AC321" s="86">
        <f t="shared" si="264"/>
        <v>36</v>
      </c>
      <c r="AD321" s="109">
        <v>45506</v>
      </c>
    </row>
    <row r="322" spans="1:32" x14ac:dyDescent="0.15">
      <c r="A322" s="33" t="s">
        <v>36</v>
      </c>
      <c r="B322" s="9"/>
      <c r="C322" s="10">
        <v>1</v>
      </c>
      <c r="D322" s="10">
        <v>1</v>
      </c>
      <c r="E322" s="5">
        <f t="shared" si="249"/>
        <v>2</v>
      </c>
      <c r="F322" s="9"/>
      <c r="G322" s="10">
        <v>1</v>
      </c>
      <c r="H322" s="10"/>
      <c r="I322" s="5">
        <f t="shared" si="250"/>
        <v>1</v>
      </c>
      <c r="J322" s="9"/>
      <c r="K322" s="10">
        <v>1</v>
      </c>
      <c r="L322" s="10"/>
      <c r="M322" s="38">
        <f t="shared" si="251"/>
        <v>1</v>
      </c>
      <c r="N322" s="138">
        <f t="shared" si="252"/>
        <v>4</v>
      </c>
      <c r="O322" s="21">
        <v>45509</v>
      </c>
      <c r="P322" s="4" t="s">
        <v>341</v>
      </c>
      <c r="Q322" s="9">
        <v>11</v>
      </c>
      <c r="R322" s="10">
        <v>25</v>
      </c>
      <c r="S322" s="10">
        <v>19</v>
      </c>
      <c r="T322" s="8">
        <f t="shared" si="261"/>
        <v>55</v>
      </c>
      <c r="U322" s="9">
        <v>11</v>
      </c>
      <c r="V322" s="10">
        <v>25</v>
      </c>
      <c r="W322" s="10">
        <v>19</v>
      </c>
      <c r="X322" s="8">
        <f t="shared" si="262"/>
        <v>55</v>
      </c>
      <c r="Y322" s="9">
        <v>11</v>
      </c>
      <c r="Z322" s="10">
        <v>25</v>
      </c>
      <c r="AA322" s="10">
        <v>19</v>
      </c>
      <c r="AB322" s="8">
        <f t="shared" si="263"/>
        <v>55</v>
      </c>
      <c r="AC322" s="86">
        <f t="shared" si="264"/>
        <v>165</v>
      </c>
      <c r="AD322" s="109">
        <v>45511</v>
      </c>
    </row>
    <row r="323" spans="1:32" x14ac:dyDescent="0.15">
      <c r="A323" s="33" t="s">
        <v>351</v>
      </c>
      <c r="B323" s="9"/>
      <c r="C323" s="10">
        <v>2</v>
      </c>
      <c r="D323" s="10"/>
      <c r="E323" s="8">
        <f t="shared" si="249"/>
        <v>2</v>
      </c>
      <c r="F323" s="9"/>
      <c r="G323" s="10">
        <v>2</v>
      </c>
      <c r="H323" s="10"/>
      <c r="I323" s="8">
        <f t="shared" si="250"/>
        <v>2</v>
      </c>
      <c r="J323" s="9"/>
      <c r="K323" s="10">
        <v>2</v>
      </c>
      <c r="L323" s="10"/>
      <c r="M323" s="39">
        <f t="shared" si="251"/>
        <v>2</v>
      </c>
      <c r="N323" s="138">
        <f t="shared" si="252"/>
        <v>6</v>
      </c>
      <c r="O323" s="21">
        <v>45513</v>
      </c>
      <c r="P323" s="4" t="s">
        <v>342</v>
      </c>
      <c r="Q323" s="9"/>
      <c r="R323" s="10">
        <v>5</v>
      </c>
      <c r="S323" s="10">
        <v>1</v>
      </c>
      <c r="T323" s="8">
        <f t="shared" si="261"/>
        <v>6</v>
      </c>
      <c r="U323" s="9"/>
      <c r="V323" s="10">
        <v>5</v>
      </c>
      <c r="W323" s="10">
        <v>1</v>
      </c>
      <c r="X323" s="8">
        <f t="shared" si="262"/>
        <v>6</v>
      </c>
      <c r="Y323" s="9"/>
      <c r="Z323" s="10">
        <v>5</v>
      </c>
      <c r="AA323" s="10">
        <v>1</v>
      </c>
      <c r="AB323" s="8">
        <f t="shared" si="263"/>
        <v>6</v>
      </c>
      <c r="AC323" s="86">
        <f t="shared" si="264"/>
        <v>18</v>
      </c>
      <c r="AD323" s="109">
        <v>45509</v>
      </c>
    </row>
    <row r="324" spans="1:32" x14ac:dyDescent="0.15">
      <c r="A324" s="33" t="s">
        <v>36</v>
      </c>
      <c r="B324" s="9"/>
      <c r="C324" s="10">
        <v>1</v>
      </c>
      <c r="D324" s="10"/>
      <c r="E324" s="8">
        <f t="shared" si="249"/>
        <v>1</v>
      </c>
      <c r="F324" s="9"/>
      <c r="G324" s="10">
        <v>1</v>
      </c>
      <c r="H324" s="10"/>
      <c r="I324" s="8">
        <f t="shared" si="250"/>
        <v>1</v>
      </c>
      <c r="J324" s="9"/>
      <c r="K324" s="10">
        <v>1</v>
      </c>
      <c r="L324" s="10"/>
      <c r="M324" s="39">
        <f t="shared" si="251"/>
        <v>1</v>
      </c>
      <c r="N324" s="138">
        <f t="shared" si="252"/>
        <v>3</v>
      </c>
      <c r="O324" s="21">
        <v>45511</v>
      </c>
      <c r="P324" s="33" t="s">
        <v>343</v>
      </c>
      <c r="Q324" s="9">
        <v>30</v>
      </c>
      <c r="R324" s="10">
        <v>60</v>
      </c>
      <c r="S324" s="10">
        <v>40</v>
      </c>
      <c r="T324" s="8">
        <f t="shared" si="261"/>
        <v>130</v>
      </c>
      <c r="U324" s="9">
        <v>30</v>
      </c>
      <c r="V324" s="10">
        <v>60</v>
      </c>
      <c r="W324" s="10">
        <v>40</v>
      </c>
      <c r="X324" s="8">
        <f t="shared" si="262"/>
        <v>130</v>
      </c>
      <c r="Y324" s="9">
        <v>30</v>
      </c>
      <c r="Z324" s="10">
        <v>60</v>
      </c>
      <c r="AA324" s="10">
        <v>40</v>
      </c>
      <c r="AB324" s="8">
        <f t="shared" si="263"/>
        <v>130</v>
      </c>
      <c r="AC324" s="86">
        <f t="shared" si="264"/>
        <v>390</v>
      </c>
      <c r="AD324" s="109">
        <v>45511</v>
      </c>
    </row>
    <row r="325" spans="1:32" x14ac:dyDescent="0.15">
      <c r="A325" s="33" t="s">
        <v>352</v>
      </c>
      <c r="B325" s="9"/>
      <c r="C325" s="10"/>
      <c r="D325" s="10">
        <v>1</v>
      </c>
      <c r="E325" s="8">
        <f t="shared" si="249"/>
        <v>1</v>
      </c>
      <c r="F325" s="9"/>
      <c r="G325" s="10"/>
      <c r="H325" s="10">
        <v>1</v>
      </c>
      <c r="I325" s="8">
        <f t="shared" si="250"/>
        <v>1</v>
      </c>
      <c r="J325" s="9"/>
      <c r="K325" s="10"/>
      <c r="L325" s="10">
        <v>1</v>
      </c>
      <c r="M325" s="39">
        <f t="shared" si="251"/>
        <v>1</v>
      </c>
      <c r="N325" s="138">
        <f t="shared" si="252"/>
        <v>3</v>
      </c>
      <c r="O325" s="21">
        <v>45513</v>
      </c>
      <c r="P325" s="4" t="s">
        <v>346</v>
      </c>
      <c r="Q325" s="9">
        <v>4</v>
      </c>
      <c r="R325" s="10">
        <v>5</v>
      </c>
      <c r="S325" s="10">
        <v>4</v>
      </c>
      <c r="T325" s="8">
        <f t="shared" si="261"/>
        <v>13</v>
      </c>
      <c r="U325" s="9">
        <v>4</v>
      </c>
      <c r="V325" s="10">
        <v>5</v>
      </c>
      <c r="W325" s="10">
        <v>4</v>
      </c>
      <c r="X325" s="8">
        <f t="shared" si="262"/>
        <v>13</v>
      </c>
      <c r="Y325" s="9">
        <v>4</v>
      </c>
      <c r="Z325" s="10">
        <v>5</v>
      </c>
      <c r="AA325" s="10">
        <v>4</v>
      </c>
      <c r="AB325" s="8">
        <f t="shared" si="263"/>
        <v>13</v>
      </c>
      <c r="AC325" s="86">
        <f t="shared" si="264"/>
        <v>39</v>
      </c>
      <c r="AD325" s="109">
        <v>45511</v>
      </c>
      <c r="AE325" s="58"/>
      <c r="AF325" s="58"/>
    </row>
    <row r="326" spans="1:32" x14ac:dyDescent="0.15">
      <c r="A326" s="33" t="s">
        <v>36</v>
      </c>
      <c r="B326" s="9"/>
      <c r="C326" s="10">
        <v>1</v>
      </c>
      <c r="D326" s="10"/>
      <c r="E326" s="8">
        <f t="shared" si="249"/>
        <v>1</v>
      </c>
      <c r="F326" s="9"/>
      <c r="G326" s="10"/>
      <c r="H326" s="10"/>
      <c r="I326" s="8">
        <f t="shared" si="250"/>
        <v>0</v>
      </c>
      <c r="J326" s="9"/>
      <c r="K326" s="10"/>
      <c r="L326" s="10"/>
      <c r="M326" s="39">
        <f t="shared" si="251"/>
        <v>0</v>
      </c>
      <c r="N326" s="138">
        <f t="shared" si="252"/>
        <v>1</v>
      </c>
      <c r="O326" s="21">
        <v>45515</v>
      </c>
      <c r="P326" s="11" t="s">
        <v>347</v>
      </c>
      <c r="Q326" s="9"/>
      <c r="R326" s="10">
        <v>5</v>
      </c>
      <c r="S326" s="10">
        <v>1</v>
      </c>
      <c r="T326" s="8">
        <f t="shared" si="261"/>
        <v>6</v>
      </c>
      <c r="U326" s="9"/>
      <c r="V326" s="10">
        <v>5</v>
      </c>
      <c r="W326" s="10">
        <v>1</v>
      </c>
      <c r="X326" s="8">
        <f t="shared" si="262"/>
        <v>6</v>
      </c>
      <c r="Y326" s="9"/>
      <c r="Z326" s="10">
        <v>5</v>
      </c>
      <c r="AA326" s="10">
        <v>1</v>
      </c>
      <c r="AB326" s="8">
        <f t="shared" si="263"/>
        <v>6</v>
      </c>
      <c r="AC326" s="86">
        <f t="shared" si="264"/>
        <v>18</v>
      </c>
      <c r="AD326" s="109">
        <v>45513</v>
      </c>
      <c r="AE326" s="58"/>
    </row>
    <row r="327" spans="1:32" x14ac:dyDescent="0.15">
      <c r="A327" s="33" t="s">
        <v>358</v>
      </c>
      <c r="B327" s="9"/>
      <c r="C327" s="10">
        <v>1</v>
      </c>
      <c r="D327" s="10"/>
      <c r="E327" s="8">
        <f t="shared" si="249"/>
        <v>1</v>
      </c>
      <c r="F327" s="9"/>
      <c r="G327" s="10">
        <v>1</v>
      </c>
      <c r="H327" s="10"/>
      <c r="I327" s="8">
        <f t="shared" si="250"/>
        <v>1</v>
      </c>
      <c r="J327" s="9"/>
      <c r="K327" s="10">
        <v>1</v>
      </c>
      <c r="L327" s="10"/>
      <c r="M327" s="39">
        <f t="shared" si="251"/>
        <v>1</v>
      </c>
      <c r="N327" s="138">
        <f t="shared" si="252"/>
        <v>3</v>
      </c>
      <c r="O327" s="21">
        <v>45520</v>
      </c>
      <c r="P327" s="4" t="s">
        <v>350</v>
      </c>
      <c r="Q327" s="9">
        <v>5</v>
      </c>
      <c r="R327" s="10">
        <v>5</v>
      </c>
      <c r="S327" s="10">
        <v>3</v>
      </c>
      <c r="T327" s="8">
        <f t="shared" si="261"/>
        <v>13</v>
      </c>
      <c r="U327" s="9">
        <v>5</v>
      </c>
      <c r="V327" s="10">
        <v>5</v>
      </c>
      <c r="W327" s="10">
        <v>3</v>
      </c>
      <c r="X327" s="8">
        <f t="shared" si="262"/>
        <v>13</v>
      </c>
      <c r="Y327" s="9">
        <v>5</v>
      </c>
      <c r="Z327" s="10">
        <v>5</v>
      </c>
      <c r="AA327" s="10">
        <v>3</v>
      </c>
      <c r="AB327" s="8">
        <f t="shared" si="263"/>
        <v>13</v>
      </c>
      <c r="AC327" s="86">
        <f t="shared" si="264"/>
        <v>39</v>
      </c>
      <c r="AD327" s="109">
        <v>45512</v>
      </c>
      <c r="AE327" s="58"/>
    </row>
    <row r="328" spans="1:32" x14ac:dyDescent="0.15">
      <c r="A328" s="33" t="s">
        <v>359</v>
      </c>
      <c r="B328" s="9"/>
      <c r="C328" s="10">
        <v>1</v>
      </c>
      <c r="D328" s="10"/>
      <c r="E328" s="8">
        <f t="shared" si="249"/>
        <v>1</v>
      </c>
      <c r="F328" s="9"/>
      <c r="G328" s="10"/>
      <c r="H328" s="10"/>
      <c r="I328" s="8">
        <f t="shared" si="250"/>
        <v>0</v>
      </c>
      <c r="J328" s="9"/>
      <c r="K328" s="10">
        <v>1</v>
      </c>
      <c r="L328" s="10"/>
      <c r="M328" s="39">
        <f t="shared" si="251"/>
        <v>1</v>
      </c>
      <c r="N328" s="138">
        <f t="shared" si="252"/>
        <v>2</v>
      </c>
      <c r="O328" s="21">
        <v>45521</v>
      </c>
      <c r="P328" s="4" t="s">
        <v>353</v>
      </c>
      <c r="Q328" s="9"/>
      <c r="R328" s="10">
        <v>4</v>
      </c>
      <c r="S328" s="10"/>
      <c r="T328" s="8">
        <f t="shared" si="261"/>
        <v>4</v>
      </c>
      <c r="U328" s="9"/>
      <c r="V328" s="10">
        <v>4</v>
      </c>
      <c r="W328" s="10"/>
      <c r="X328" s="8">
        <f t="shared" si="262"/>
        <v>4</v>
      </c>
      <c r="Y328" s="9"/>
      <c r="Z328" s="10">
        <v>4</v>
      </c>
      <c r="AA328" s="10"/>
      <c r="AB328" s="8">
        <f t="shared" si="263"/>
        <v>4</v>
      </c>
      <c r="AC328" s="86">
        <f t="shared" si="264"/>
        <v>12</v>
      </c>
      <c r="AD328" s="109">
        <v>45520</v>
      </c>
    </row>
    <row r="329" spans="1:32" x14ac:dyDescent="0.15">
      <c r="A329" s="33" t="s">
        <v>36</v>
      </c>
      <c r="B329" s="9">
        <v>2</v>
      </c>
      <c r="C329" s="10"/>
      <c r="D329" s="10">
        <v>1</v>
      </c>
      <c r="E329" s="8">
        <f t="shared" si="249"/>
        <v>3</v>
      </c>
      <c r="F329" s="9"/>
      <c r="G329" s="10"/>
      <c r="H329" s="10">
        <v>1</v>
      </c>
      <c r="I329" s="8">
        <f t="shared" si="250"/>
        <v>1</v>
      </c>
      <c r="J329" s="9"/>
      <c r="K329" s="10"/>
      <c r="L329" s="10">
        <v>1</v>
      </c>
      <c r="M329" s="39">
        <f t="shared" si="251"/>
        <v>1</v>
      </c>
      <c r="N329" s="138">
        <f t="shared" si="252"/>
        <v>5</v>
      </c>
      <c r="O329" s="21">
        <v>45520</v>
      </c>
      <c r="P329" s="4" t="s">
        <v>354</v>
      </c>
      <c r="Q329" s="9">
        <v>13</v>
      </c>
      <c r="R329" s="10">
        <v>26</v>
      </c>
      <c r="S329" s="10">
        <v>37</v>
      </c>
      <c r="T329" s="8">
        <f t="shared" si="261"/>
        <v>76</v>
      </c>
      <c r="U329" s="9">
        <v>13</v>
      </c>
      <c r="V329" s="10">
        <v>26</v>
      </c>
      <c r="W329" s="10">
        <v>37</v>
      </c>
      <c r="X329" s="8">
        <f t="shared" si="262"/>
        <v>76</v>
      </c>
      <c r="Y329" s="9">
        <v>13</v>
      </c>
      <c r="Z329" s="10">
        <v>26</v>
      </c>
      <c r="AA329" s="10">
        <v>37</v>
      </c>
      <c r="AB329" s="8">
        <f t="shared" si="263"/>
        <v>76</v>
      </c>
      <c r="AC329" s="86">
        <f t="shared" si="264"/>
        <v>228</v>
      </c>
      <c r="AD329" s="109">
        <v>45524</v>
      </c>
    </row>
    <row r="330" spans="1:32" x14ac:dyDescent="0.15">
      <c r="A330" s="33" t="s">
        <v>36</v>
      </c>
      <c r="B330" s="9"/>
      <c r="C330" s="10">
        <f>1+2</f>
        <v>3</v>
      </c>
      <c r="D330" s="10"/>
      <c r="E330" s="8">
        <f t="shared" si="249"/>
        <v>3</v>
      </c>
      <c r="F330" s="9"/>
      <c r="G330" s="10">
        <f>1+2</f>
        <v>3</v>
      </c>
      <c r="H330" s="10"/>
      <c r="I330" s="8">
        <f t="shared" si="250"/>
        <v>3</v>
      </c>
      <c r="J330" s="9">
        <v>1</v>
      </c>
      <c r="K330" s="10">
        <f>1+2</f>
        <v>3</v>
      </c>
      <c r="L330" s="10"/>
      <c r="M330" s="39">
        <f t="shared" si="251"/>
        <v>4</v>
      </c>
      <c r="N330" s="138">
        <f t="shared" si="252"/>
        <v>10</v>
      </c>
      <c r="O330" s="21">
        <v>45523</v>
      </c>
      <c r="P330" s="4" t="s">
        <v>356</v>
      </c>
      <c r="Q330" s="9"/>
      <c r="R330" s="10">
        <v>5</v>
      </c>
      <c r="S330" s="10"/>
      <c r="T330" s="8">
        <f t="shared" si="261"/>
        <v>5</v>
      </c>
      <c r="U330" s="9"/>
      <c r="V330" s="10">
        <v>5</v>
      </c>
      <c r="W330" s="10"/>
      <c r="X330" s="8">
        <f t="shared" si="262"/>
        <v>5</v>
      </c>
      <c r="Y330" s="9"/>
      <c r="Z330" s="10">
        <v>5</v>
      </c>
      <c r="AA330" s="10"/>
      <c r="AB330" s="8">
        <f t="shared" si="263"/>
        <v>5</v>
      </c>
      <c r="AC330" s="86">
        <f t="shared" si="264"/>
        <v>15</v>
      </c>
      <c r="AD330" s="109">
        <v>45523</v>
      </c>
      <c r="AE330" s="58"/>
    </row>
    <row r="331" spans="1:32" x14ac:dyDescent="0.15">
      <c r="A331" s="33"/>
      <c r="B331" s="9"/>
      <c r="C331" s="10"/>
      <c r="D331" s="10"/>
      <c r="E331" s="8">
        <f t="shared" si="249"/>
        <v>0</v>
      </c>
      <c r="F331" s="9"/>
      <c r="G331" s="10"/>
      <c r="H331" s="10"/>
      <c r="I331" s="8">
        <f t="shared" si="250"/>
        <v>0</v>
      </c>
      <c r="J331" s="9"/>
      <c r="K331" s="10"/>
      <c r="L331" s="10"/>
      <c r="M331" s="39">
        <f t="shared" si="251"/>
        <v>0</v>
      </c>
      <c r="N331" s="138">
        <f t="shared" si="252"/>
        <v>0</v>
      </c>
      <c r="O331" s="21"/>
      <c r="P331" s="11" t="s">
        <v>360</v>
      </c>
      <c r="Q331" s="9">
        <v>12</v>
      </c>
      <c r="R331" s="10">
        <v>23</v>
      </c>
      <c r="S331" s="78">
        <v>13</v>
      </c>
      <c r="T331" s="5">
        <f t="shared" si="261"/>
        <v>48</v>
      </c>
      <c r="U331" s="77">
        <v>12</v>
      </c>
      <c r="V331" s="78">
        <v>23</v>
      </c>
      <c r="W331" s="78">
        <v>13</v>
      </c>
      <c r="X331" s="5">
        <f t="shared" si="262"/>
        <v>48</v>
      </c>
      <c r="Y331" s="77">
        <v>12</v>
      </c>
      <c r="Z331" s="78">
        <v>23</v>
      </c>
      <c r="AA331" s="78">
        <v>13</v>
      </c>
      <c r="AB331" s="5">
        <f t="shared" si="263"/>
        <v>48</v>
      </c>
      <c r="AC331" s="91">
        <f t="shared" si="264"/>
        <v>144</v>
      </c>
      <c r="AD331" s="109">
        <v>45521</v>
      </c>
      <c r="AE331" s="58"/>
    </row>
    <row r="332" spans="1:32" x14ac:dyDescent="0.15">
      <c r="A332" s="33"/>
      <c r="B332" s="9"/>
      <c r="C332" s="10"/>
      <c r="D332" s="10"/>
      <c r="E332" s="8">
        <f t="shared" si="249"/>
        <v>0</v>
      </c>
      <c r="F332" s="9"/>
      <c r="G332" s="10"/>
      <c r="H332" s="10"/>
      <c r="I332" s="8">
        <f t="shared" si="250"/>
        <v>0</v>
      </c>
      <c r="J332" s="9"/>
      <c r="K332" s="10"/>
      <c r="L332" s="10"/>
      <c r="M332" s="39">
        <f t="shared" si="251"/>
        <v>0</v>
      </c>
      <c r="N332" s="138">
        <f t="shared" si="252"/>
        <v>0</v>
      </c>
      <c r="O332" s="21"/>
      <c r="P332" s="33" t="s">
        <v>357</v>
      </c>
      <c r="Q332" s="9"/>
      <c r="R332" s="10"/>
      <c r="S332" s="10">
        <v>5</v>
      </c>
      <c r="T332" s="5">
        <f t="shared" si="261"/>
        <v>5</v>
      </c>
      <c r="U332" s="9"/>
      <c r="V332" s="10"/>
      <c r="W332" s="10">
        <v>5</v>
      </c>
      <c r="X332" s="5">
        <f t="shared" si="262"/>
        <v>5</v>
      </c>
      <c r="Y332" s="9"/>
      <c r="Z332" s="10"/>
      <c r="AA332" s="10">
        <v>5</v>
      </c>
      <c r="AB332" s="5">
        <f t="shared" si="263"/>
        <v>5</v>
      </c>
      <c r="AC332" s="86">
        <f t="shared" si="264"/>
        <v>15</v>
      </c>
      <c r="AD332" s="109">
        <v>45521</v>
      </c>
    </row>
    <row r="333" spans="1:32" x14ac:dyDescent="0.15">
      <c r="A333" s="63"/>
      <c r="B333" s="9"/>
      <c r="C333" s="10"/>
      <c r="D333" s="10"/>
      <c r="E333" s="8">
        <f t="shared" si="249"/>
        <v>0</v>
      </c>
      <c r="F333" s="9"/>
      <c r="G333" s="10"/>
      <c r="H333" s="10"/>
      <c r="I333" s="8">
        <f t="shared" si="250"/>
        <v>0</v>
      </c>
      <c r="J333" s="9"/>
      <c r="K333" s="10"/>
      <c r="L333" s="10"/>
      <c r="M333" s="39">
        <f t="shared" si="251"/>
        <v>0</v>
      </c>
      <c r="N333" s="138">
        <f t="shared" si="252"/>
        <v>0</v>
      </c>
      <c r="O333" s="21"/>
      <c r="P333" s="11"/>
      <c r="Q333" s="9"/>
      <c r="R333" s="10"/>
      <c r="S333" s="10"/>
      <c r="T333" s="8">
        <f t="shared" si="253"/>
        <v>0</v>
      </c>
      <c r="U333" s="9"/>
      <c r="V333" s="10"/>
      <c r="W333" s="10"/>
      <c r="X333" s="5">
        <f t="shared" si="254"/>
        <v>0</v>
      </c>
      <c r="Y333" s="77"/>
      <c r="Z333" s="78"/>
      <c r="AA333" s="78"/>
      <c r="AB333" s="5">
        <f t="shared" si="255"/>
        <v>0</v>
      </c>
      <c r="AC333" s="91">
        <f t="shared" si="256"/>
        <v>0</v>
      </c>
      <c r="AD333" s="109"/>
    </row>
    <row r="334" spans="1:32" x14ac:dyDescent="0.15">
      <c r="A334" s="33"/>
      <c r="B334" s="9"/>
      <c r="C334" s="10"/>
      <c r="D334" s="10"/>
      <c r="E334" s="8">
        <f t="shared" si="249"/>
        <v>0</v>
      </c>
      <c r="F334" s="9"/>
      <c r="G334" s="10"/>
      <c r="H334" s="10"/>
      <c r="I334" s="8">
        <f t="shared" si="250"/>
        <v>0</v>
      </c>
      <c r="J334" s="9"/>
      <c r="K334" s="10"/>
      <c r="L334" s="10"/>
      <c r="M334" s="39">
        <f t="shared" si="251"/>
        <v>0</v>
      </c>
      <c r="N334" s="138">
        <f t="shared" si="252"/>
        <v>0</v>
      </c>
      <c r="O334" s="21"/>
      <c r="P334" s="11" t="s">
        <v>226</v>
      </c>
      <c r="Q334" s="9"/>
      <c r="R334" s="10"/>
      <c r="S334" s="10"/>
      <c r="T334" s="8">
        <f t="shared" ref="T334" si="265">SUM(Q334:S334)</f>
        <v>0</v>
      </c>
      <c r="U334" s="9"/>
      <c r="V334" s="10"/>
      <c r="W334" s="10"/>
      <c r="X334" s="5">
        <f t="shared" ref="X334" si="266">SUM(U334:W334)</f>
        <v>0</v>
      </c>
      <c r="Y334" s="77"/>
      <c r="Z334" s="78"/>
      <c r="AA334" s="78"/>
      <c r="AB334" s="5">
        <f t="shared" ref="AB334" si="267">SUM(Y334:AA334)</f>
        <v>0</v>
      </c>
      <c r="AC334" s="91">
        <f t="shared" ref="AC334" si="268">T334+X334+AB334</f>
        <v>0</v>
      </c>
      <c r="AD334" s="109" t="s">
        <v>227</v>
      </c>
    </row>
    <row r="335" spans="1:32" x14ac:dyDescent="0.15">
      <c r="A335" s="33"/>
      <c r="B335" s="9"/>
      <c r="C335" s="10"/>
      <c r="D335" s="10"/>
      <c r="E335" s="8">
        <f t="shared" si="249"/>
        <v>0</v>
      </c>
      <c r="F335" s="9"/>
      <c r="G335" s="10"/>
      <c r="H335" s="10"/>
      <c r="I335" s="8">
        <f t="shared" si="250"/>
        <v>0</v>
      </c>
      <c r="J335" s="9"/>
      <c r="K335" s="10"/>
      <c r="L335" s="10"/>
      <c r="M335" s="39">
        <f t="shared" si="251"/>
        <v>0</v>
      </c>
      <c r="N335" s="138">
        <f t="shared" si="252"/>
        <v>0</v>
      </c>
      <c r="O335" s="21"/>
      <c r="P335" s="11" t="s">
        <v>222</v>
      </c>
      <c r="Q335" s="9"/>
      <c r="R335" s="10"/>
      <c r="S335" s="10"/>
      <c r="T335" s="8">
        <f t="shared" ref="T335:T339" si="269">SUM(Q335:S335)</f>
        <v>0</v>
      </c>
      <c r="U335" s="9"/>
      <c r="V335" s="10"/>
      <c r="W335" s="10"/>
      <c r="X335" s="8">
        <f t="shared" ref="X335:X339" si="270">SUM(U335:W335)</f>
        <v>0</v>
      </c>
      <c r="Y335" s="9"/>
      <c r="Z335" s="10"/>
      <c r="AA335" s="10"/>
      <c r="AB335" s="8">
        <f t="shared" ref="AB335:AB339" si="271">SUM(Y335:AA335)</f>
        <v>0</v>
      </c>
      <c r="AC335" s="86">
        <f t="shared" ref="AC335:AC339" si="272">T335+X335+AB335</f>
        <v>0</v>
      </c>
      <c r="AD335" s="116" t="s">
        <v>223</v>
      </c>
    </row>
    <row r="336" spans="1:32" x14ac:dyDescent="0.15">
      <c r="A336" s="33"/>
      <c r="B336" s="9"/>
      <c r="C336" s="10"/>
      <c r="D336" s="10"/>
      <c r="E336" s="8">
        <f t="shared" si="249"/>
        <v>0</v>
      </c>
      <c r="F336" s="9"/>
      <c r="G336" s="10"/>
      <c r="H336" s="10"/>
      <c r="I336" s="8">
        <f t="shared" si="250"/>
        <v>0</v>
      </c>
      <c r="J336" s="9"/>
      <c r="K336" s="10"/>
      <c r="L336" s="10"/>
      <c r="M336" s="39">
        <f t="shared" si="251"/>
        <v>0</v>
      </c>
      <c r="N336" s="138">
        <f t="shared" si="252"/>
        <v>0</v>
      </c>
      <c r="O336" s="21"/>
      <c r="P336" s="11" t="s">
        <v>329</v>
      </c>
      <c r="Q336" s="9"/>
      <c r="R336" s="10"/>
      <c r="S336" s="10"/>
      <c r="T336" s="8">
        <f t="shared" si="269"/>
        <v>0</v>
      </c>
      <c r="U336" s="9"/>
      <c r="V336" s="10"/>
      <c r="W336" s="10"/>
      <c r="X336" s="8">
        <f t="shared" si="270"/>
        <v>0</v>
      </c>
      <c r="Y336" s="9"/>
      <c r="Z336" s="10"/>
      <c r="AA336" s="10"/>
      <c r="AB336" s="8">
        <f t="shared" si="271"/>
        <v>0</v>
      </c>
      <c r="AC336" s="86">
        <f t="shared" si="272"/>
        <v>0</v>
      </c>
      <c r="AD336" s="116" t="s">
        <v>237</v>
      </c>
      <c r="AE336" s="58"/>
    </row>
    <row r="337" spans="1:31" x14ac:dyDescent="0.15">
      <c r="A337" s="33"/>
      <c r="B337" s="9"/>
      <c r="C337" s="10"/>
      <c r="D337" s="10"/>
      <c r="E337" s="8">
        <f t="shared" si="249"/>
        <v>0</v>
      </c>
      <c r="F337" s="9"/>
      <c r="G337" s="10"/>
      <c r="H337" s="10"/>
      <c r="I337" s="8">
        <f t="shared" si="250"/>
        <v>0</v>
      </c>
      <c r="J337" s="9"/>
      <c r="K337" s="10"/>
      <c r="L337" s="10"/>
      <c r="M337" s="39">
        <f t="shared" si="251"/>
        <v>0</v>
      </c>
      <c r="N337" s="138">
        <f t="shared" si="252"/>
        <v>0</v>
      </c>
      <c r="O337" s="21"/>
      <c r="P337" s="4" t="s">
        <v>211</v>
      </c>
      <c r="Q337" s="9"/>
      <c r="R337" s="10"/>
      <c r="S337" s="10"/>
      <c r="T337" s="8">
        <f t="shared" si="269"/>
        <v>0</v>
      </c>
      <c r="U337" s="9"/>
      <c r="V337" s="10"/>
      <c r="W337" s="10"/>
      <c r="X337" s="8"/>
      <c r="Y337" s="9"/>
      <c r="Z337" s="10"/>
      <c r="AA337" s="10"/>
      <c r="AB337" s="8">
        <f t="shared" si="271"/>
        <v>0</v>
      </c>
      <c r="AC337" s="86">
        <f t="shared" si="272"/>
        <v>0</v>
      </c>
      <c r="AD337" s="116" t="s">
        <v>210</v>
      </c>
      <c r="AE337" s="58"/>
    </row>
    <row r="338" spans="1:31" x14ac:dyDescent="0.15">
      <c r="A338" s="33"/>
      <c r="B338" s="9"/>
      <c r="C338" s="10"/>
      <c r="D338" s="10"/>
      <c r="E338" s="8">
        <f t="shared" si="249"/>
        <v>0</v>
      </c>
      <c r="F338" s="9"/>
      <c r="G338" s="10"/>
      <c r="H338" s="10"/>
      <c r="I338" s="8">
        <f t="shared" si="250"/>
        <v>0</v>
      </c>
      <c r="J338" s="9"/>
      <c r="K338" s="10"/>
      <c r="L338" s="10"/>
      <c r="M338" s="39">
        <f t="shared" si="251"/>
        <v>0</v>
      </c>
      <c r="N338" s="138">
        <f t="shared" si="252"/>
        <v>0</v>
      </c>
      <c r="O338" s="21"/>
      <c r="P338" s="81" t="s">
        <v>302</v>
      </c>
      <c r="Q338" s="71"/>
      <c r="R338" s="72"/>
      <c r="S338" s="72"/>
      <c r="T338" s="73">
        <f t="shared" si="269"/>
        <v>0</v>
      </c>
      <c r="U338" s="71"/>
      <c r="V338" s="72"/>
      <c r="W338" s="72"/>
      <c r="X338" s="73">
        <f t="shared" si="270"/>
        <v>0</v>
      </c>
      <c r="Y338" s="71"/>
      <c r="Z338" s="72"/>
      <c r="AA338" s="72"/>
      <c r="AB338" s="73">
        <f t="shared" si="271"/>
        <v>0</v>
      </c>
      <c r="AC338" s="92">
        <f t="shared" si="272"/>
        <v>0</v>
      </c>
      <c r="AD338" s="117"/>
    </row>
    <row r="339" spans="1:31" x14ac:dyDescent="0.15">
      <c r="A339" s="33"/>
      <c r="B339" s="9"/>
      <c r="C339" s="10"/>
      <c r="D339" s="10"/>
      <c r="E339" s="8">
        <f t="shared" si="249"/>
        <v>0</v>
      </c>
      <c r="F339" s="9"/>
      <c r="G339" s="10"/>
      <c r="H339" s="10"/>
      <c r="I339" s="8">
        <f t="shared" si="250"/>
        <v>0</v>
      </c>
      <c r="J339" s="9"/>
      <c r="K339" s="10"/>
      <c r="L339" s="10"/>
      <c r="M339" s="39">
        <f t="shared" si="251"/>
        <v>0</v>
      </c>
      <c r="N339" s="138">
        <f t="shared" si="252"/>
        <v>0</v>
      </c>
      <c r="O339" s="21"/>
      <c r="P339" s="4" t="s">
        <v>295</v>
      </c>
      <c r="Q339" s="9"/>
      <c r="R339" s="10"/>
      <c r="S339" s="10"/>
      <c r="T339" s="8">
        <f t="shared" si="269"/>
        <v>0</v>
      </c>
      <c r="U339" s="9"/>
      <c r="V339" s="10"/>
      <c r="W339" s="10"/>
      <c r="X339" s="8">
        <f t="shared" si="270"/>
        <v>0</v>
      </c>
      <c r="Y339" s="9"/>
      <c r="Z339" s="10"/>
      <c r="AA339" s="10"/>
      <c r="AB339" s="8">
        <f t="shared" si="271"/>
        <v>0</v>
      </c>
      <c r="AC339" s="86">
        <f t="shared" si="272"/>
        <v>0</v>
      </c>
      <c r="AD339" s="116" t="s">
        <v>210</v>
      </c>
    </row>
    <row r="340" spans="1:31" x14ac:dyDescent="0.15">
      <c r="A340" s="33"/>
      <c r="B340" s="9"/>
      <c r="C340" s="10"/>
      <c r="D340" s="10"/>
      <c r="E340" s="8">
        <f t="shared" si="249"/>
        <v>0</v>
      </c>
      <c r="F340" s="9"/>
      <c r="G340" s="10"/>
      <c r="H340" s="10"/>
      <c r="I340" s="8">
        <f t="shared" si="250"/>
        <v>0</v>
      </c>
      <c r="J340" s="9"/>
      <c r="K340" s="10"/>
      <c r="L340" s="10"/>
      <c r="M340" s="39">
        <f t="shared" si="251"/>
        <v>0</v>
      </c>
      <c r="N340" s="138">
        <f t="shared" si="252"/>
        <v>0</v>
      </c>
      <c r="O340" s="21"/>
      <c r="P340" s="11" t="s">
        <v>255</v>
      </c>
      <c r="Q340" s="96"/>
      <c r="R340" s="97"/>
      <c r="S340" s="97"/>
      <c r="T340" s="5">
        <f t="shared" si="253"/>
        <v>0</v>
      </c>
      <c r="U340" s="96"/>
      <c r="V340" s="97"/>
      <c r="W340" s="97"/>
      <c r="X340" s="5">
        <f t="shared" si="254"/>
        <v>0</v>
      </c>
      <c r="Y340" s="77"/>
      <c r="Z340" s="78"/>
      <c r="AA340" s="78"/>
      <c r="AB340" s="5">
        <f t="shared" si="255"/>
        <v>0</v>
      </c>
      <c r="AC340" s="91">
        <f t="shared" si="256"/>
        <v>0</v>
      </c>
      <c r="AD340" s="109" t="s">
        <v>256</v>
      </c>
    </row>
    <row r="341" spans="1:31" ht="14.25" thickBot="1" x14ac:dyDescent="0.2">
      <c r="A341" s="63"/>
      <c r="B341" s="9"/>
      <c r="C341" s="10"/>
      <c r="D341" s="22"/>
      <c r="E341" s="8">
        <f t="shared" si="249"/>
        <v>0</v>
      </c>
      <c r="F341" s="9"/>
      <c r="G341" s="10"/>
      <c r="H341" s="22"/>
      <c r="I341" s="8">
        <f t="shared" si="250"/>
        <v>0</v>
      </c>
      <c r="J341" s="9"/>
      <c r="K341" s="10"/>
      <c r="L341" s="22"/>
      <c r="M341" s="39">
        <f t="shared" si="251"/>
        <v>0</v>
      </c>
      <c r="N341" s="139">
        <f t="shared" si="252"/>
        <v>0</v>
      </c>
      <c r="O341" s="21"/>
      <c r="P341" s="11" t="s">
        <v>251</v>
      </c>
      <c r="Q341" s="9"/>
      <c r="R341" s="10"/>
      <c r="S341" s="10"/>
      <c r="T341" s="8">
        <f t="shared" ref="T341" si="273">SUM(Q341:S341)</f>
        <v>0</v>
      </c>
      <c r="U341" s="9"/>
      <c r="V341" s="10"/>
      <c r="W341" s="10"/>
      <c r="X341" s="8">
        <f t="shared" ref="X341" si="274">SUM(U341:W341)</f>
        <v>0</v>
      </c>
      <c r="Y341" s="9"/>
      <c r="Z341" s="10"/>
      <c r="AA341" s="10"/>
      <c r="AB341" s="8">
        <f t="shared" ref="AB341" si="275">SUM(Y341:AA341)</f>
        <v>0</v>
      </c>
      <c r="AC341" s="86">
        <f t="shared" ref="AC341" si="276">T341+X341+AB341</f>
        <v>0</v>
      </c>
      <c r="AD341" s="116" t="s">
        <v>252</v>
      </c>
    </row>
    <row r="342" spans="1:31" ht="14.25" thickBot="1" x14ac:dyDescent="0.2">
      <c r="A342" s="104" t="s">
        <v>5</v>
      </c>
      <c r="B342" s="12">
        <f>SUM(B318:B341)</f>
        <v>3</v>
      </c>
      <c r="C342" s="12">
        <f>SUM(C318:C341)</f>
        <v>12</v>
      </c>
      <c r="D342" s="12">
        <f>SUM(D318:D341)</f>
        <v>3</v>
      </c>
      <c r="E342" s="13">
        <f t="shared" si="249"/>
        <v>18</v>
      </c>
      <c r="F342" s="12">
        <f>SUM(F318:F341)</f>
        <v>1</v>
      </c>
      <c r="G342" s="12">
        <f>SUM(G318:G341)</f>
        <v>10</v>
      </c>
      <c r="H342" s="12">
        <f>SUM(H318:H341)</f>
        <v>2</v>
      </c>
      <c r="I342" s="13">
        <f t="shared" si="250"/>
        <v>13</v>
      </c>
      <c r="J342" s="12">
        <f>SUM(J318:J341)</f>
        <v>3</v>
      </c>
      <c r="K342" s="12">
        <f>SUM(K318:K341)</f>
        <v>11</v>
      </c>
      <c r="L342" s="12">
        <f>SUM(L318:L341)</f>
        <v>2</v>
      </c>
      <c r="M342" s="12">
        <f t="shared" si="251"/>
        <v>16</v>
      </c>
      <c r="N342" s="142">
        <f t="shared" si="252"/>
        <v>47</v>
      </c>
      <c r="O342" s="1"/>
      <c r="P342" s="3" t="s">
        <v>5</v>
      </c>
      <c r="Q342" s="12">
        <f>SUM(Q318:Q341)</f>
        <v>99</v>
      </c>
      <c r="R342" s="12">
        <f>SUM(R318:R341)</f>
        <v>206</v>
      </c>
      <c r="S342" s="12">
        <f>SUM(S318:S341)</f>
        <v>141</v>
      </c>
      <c r="T342" s="13">
        <f t="shared" si="253"/>
        <v>446</v>
      </c>
      <c r="U342" s="12">
        <f>SUM(U318:U341)</f>
        <v>99</v>
      </c>
      <c r="V342" s="12">
        <f>SUM(V318:V341)</f>
        <v>206</v>
      </c>
      <c r="W342" s="12">
        <f>SUM(W318:W341)</f>
        <v>141</v>
      </c>
      <c r="X342" s="13">
        <f t="shared" si="254"/>
        <v>446</v>
      </c>
      <c r="Y342" s="12">
        <f>SUM(Y318:Y341)</f>
        <v>99</v>
      </c>
      <c r="Z342" s="12">
        <f>SUM(Z318:Z341)</f>
        <v>206</v>
      </c>
      <c r="AA342" s="12">
        <f>SUM(AA318:AA341)</f>
        <v>141</v>
      </c>
      <c r="AB342" s="13">
        <f t="shared" si="255"/>
        <v>446</v>
      </c>
      <c r="AC342" s="88">
        <f t="shared" si="256"/>
        <v>1338</v>
      </c>
    </row>
    <row r="343" spans="1:31" ht="14.25" thickBot="1" x14ac:dyDescent="0.2">
      <c r="A343" s="105" t="s">
        <v>6</v>
      </c>
      <c r="B343" s="20">
        <f>B317-B342</f>
        <v>13</v>
      </c>
      <c r="C343" s="20">
        <f t="shared" ref="C343:E343" si="277">C317-C342</f>
        <v>4</v>
      </c>
      <c r="D343" s="20">
        <f t="shared" si="277"/>
        <v>12</v>
      </c>
      <c r="E343" s="18">
        <f t="shared" si="277"/>
        <v>29</v>
      </c>
      <c r="F343" s="20">
        <f>F317-F342</f>
        <v>14</v>
      </c>
      <c r="G343" s="20">
        <f t="shared" ref="G343:I343" si="278">G317-G342</f>
        <v>9</v>
      </c>
      <c r="H343" s="20">
        <f t="shared" si="278"/>
        <v>6</v>
      </c>
      <c r="I343" s="18">
        <f t="shared" si="278"/>
        <v>29</v>
      </c>
      <c r="J343" s="20">
        <f>J317-J342</f>
        <v>16</v>
      </c>
      <c r="K343" s="20">
        <f t="shared" ref="K343:M343" si="279">K317-K342</f>
        <v>7</v>
      </c>
      <c r="L343" s="20">
        <f t="shared" si="279"/>
        <v>6</v>
      </c>
      <c r="M343" s="20">
        <f t="shared" si="279"/>
        <v>29</v>
      </c>
      <c r="N343" s="140">
        <f t="shared" si="252"/>
        <v>87</v>
      </c>
      <c r="O343" s="1"/>
      <c r="P343" s="19" t="s">
        <v>6</v>
      </c>
      <c r="Q343" s="20">
        <f>Q317-Q342</f>
        <v>387</v>
      </c>
      <c r="R343" s="20">
        <f t="shared" ref="R343" si="280">R317-R342</f>
        <v>248</v>
      </c>
      <c r="S343" s="20">
        <f t="shared" ref="S343" si="281">S317-S342</f>
        <v>258</v>
      </c>
      <c r="T343" s="18">
        <f t="shared" ref="T343" si="282">T317-T342</f>
        <v>893</v>
      </c>
      <c r="U343" s="20">
        <f t="shared" ref="U343" si="283">U317-U342</f>
        <v>395</v>
      </c>
      <c r="V343" s="20">
        <f t="shared" ref="V343" si="284">V317-V342</f>
        <v>266</v>
      </c>
      <c r="W343" s="20">
        <f t="shared" ref="W343" si="285">W317-W342</f>
        <v>284</v>
      </c>
      <c r="X343" s="18">
        <f t="shared" ref="X343" si="286">X317-X342</f>
        <v>945</v>
      </c>
      <c r="Y343" s="20">
        <f t="shared" ref="Y343" si="287">Y317-Y342</f>
        <v>379</v>
      </c>
      <c r="Z343" s="20">
        <f t="shared" ref="Z343" si="288">Z317-Z342</f>
        <v>243</v>
      </c>
      <c r="AA343" s="20">
        <f t="shared" ref="AA343" si="289">AA317-AA342</f>
        <v>253</v>
      </c>
      <c r="AB343" s="18">
        <f t="shared" ref="AB343" si="290">AB317-AB342</f>
        <v>875</v>
      </c>
      <c r="AC343" s="88">
        <f t="shared" ref="AC343" si="291">AC317-AC342</f>
        <v>2713</v>
      </c>
    </row>
    <row r="346" spans="1:31" ht="19.5" thickBot="1" x14ac:dyDescent="0.25">
      <c r="A346" s="108" t="s">
        <v>264</v>
      </c>
      <c r="B346" s="47"/>
      <c r="C346" s="47"/>
      <c r="D346" s="47"/>
      <c r="E346" s="47"/>
      <c r="F346" s="48"/>
      <c r="G346" s="48"/>
      <c r="H346" s="48"/>
      <c r="I346" s="48"/>
      <c r="J346" s="48"/>
      <c r="K346" s="48"/>
      <c r="L346" s="1"/>
      <c r="M346" s="1"/>
      <c r="N346" s="137"/>
      <c r="P346" s="43" t="s">
        <v>263</v>
      </c>
      <c r="Q346" s="44"/>
      <c r="R346" s="44"/>
      <c r="S346" s="44"/>
      <c r="T346" s="44"/>
      <c r="U346" s="45"/>
      <c r="V346" s="45"/>
      <c r="W346" s="45"/>
      <c r="X346" s="45"/>
      <c r="Y346" s="46"/>
      <c r="Z346" s="53"/>
      <c r="AA346" s="1"/>
      <c r="AB346" s="1"/>
    </row>
    <row r="347" spans="1:31" ht="14.25" thickBot="1" x14ac:dyDescent="0.2">
      <c r="A347" s="100" t="s">
        <v>0</v>
      </c>
      <c r="B347" s="337" t="s">
        <v>11</v>
      </c>
      <c r="C347" s="337"/>
      <c r="D347" s="337"/>
      <c r="E347" s="338"/>
      <c r="F347" s="339" t="s">
        <v>9</v>
      </c>
      <c r="G347" s="340"/>
      <c r="H347" s="340"/>
      <c r="I347" s="341"/>
      <c r="J347" s="342" t="s">
        <v>12</v>
      </c>
      <c r="K347" s="343"/>
      <c r="L347" s="343"/>
      <c r="M347" s="343"/>
      <c r="N347" s="347" t="s">
        <v>13</v>
      </c>
      <c r="P347" s="2" t="s">
        <v>0</v>
      </c>
      <c r="Q347" s="337" t="s">
        <v>11</v>
      </c>
      <c r="R347" s="337"/>
      <c r="S347" s="337"/>
      <c r="T347" s="338"/>
      <c r="U347" s="339" t="s">
        <v>9</v>
      </c>
      <c r="V347" s="340"/>
      <c r="W347" s="340"/>
      <c r="X347" s="341"/>
      <c r="Y347" s="342" t="s">
        <v>12</v>
      </c>
      <c r="Z347" s="343"/>
      <c r="AA347" s="343"/>
      <c r="AB347" s="343"/>
      <c r="AC347" s="345" t="s">
        <v>13</v>
      </c>
    </row>
    <row r="348" spans="1:31" ht="14.25" thickBot="1" x14ac:dyDescent="0.2">
      <c r="A348" s="100" t="s">
        <v>1</v>
      </c>
      <c r="B348" s="3" t="s">
        <v>7</v>
      </c>
      <c r="C348" s="2" t="s">
        <v>10</v>
      </c>
      <c r="D348" s="2" t="s">
        <v>8</v>
      </c>
      <c r="E348" s="2" t="s">
        <v>2</v>
      </c>
      <c r="F348" s="3" t="s">
        <v>7</v>
      </c>
      <c r="G348" s="2" t="s">
        <v>10</v>
      </c>
      <c r="H348" s="2" t="s">
        <v>8</v>
      </c>
      <c r="I348" s="2" t="s">
        <v>2</v>
      </c>
      <c r="J348" s="3" t="s">
        <v>7</v>
      </c>
      <c r="K348" s="2" t="s">
        <v>10</v>
      </c>
      <c r="L348" s="2" t="s">
        <v>8</v>
      </c>
      <c r="M348" s="3" t="s">
        <v>2</v>
      </c>
      <c r="N348" s="348"/>
      <c r="P348" s="2" t="s">
        <v>1</v>
      </c>
      <c r="Q348" s="3" t="s">
        <v>7</v>
      </c>
      <c r="R348" s="2" t="s">
        <v>10</v>
      </c>
      <c r="S348" s="2" t="s">
        <v>8</v>
      </c>
      <c r="T348" s="2" t="s">
        <v>2</v>
      </c>
      <c r="U348" s="3" t="s">
        <v>7</v>
      </c>
      <c r="V348" s="2" t="s">
        <v>10</v>
      </c>
      <c r="W348" s="2" t="s">
        <v>8</v>
      </c>
      <c r="X348" s="2" t="s">
        <v>2</v>
      </c>
      <c r="Y348" s="3" t="s">
        <v>7</v>
      </c>
      <c r="Z348" s="2" t="s">
        <v>10</v>
      </c>
      <c r="AA348" s="2" t="s">
        <v>8</v>
      </c>
      <c r="AB348" s="2" t="s">
        <v>2</v>
      </c>
      <c r="AC348" s="346"/>
    </row>
    <row r="349" spans="1:31" x14ac:dyDescent="0.15">
      <c r="A349" s="106" t="s">
        <v>6</v>
      </c>
      <c r="B349" s="41">
        <f>B343</f>
        <v>13</v>
      </c>
      <c r="C349" s="41">
        <f t="shared" ref="C349:E349" si="292">C343</f>
        <v>4</v>
      </c>
      <c r="D349" s="41">
        <f t="shared" si="292"/>
        <v>12</v>
      </c>
      <c r="E349" s="42">
        <f t="shared" si="292"/>
        <v>29</v>
      </c>
      <c r="F349" s="41">
        <f>F343</f>
        <v>14</v>
      </c>
      <c r="G349" s="41">
        <f t="shared" ref="G349:I349" si="293">G343</f>
        <v>9</v>
      </c>
      <c r="H349" s="41">
        <f t="shared" si="293"/>
        <v>6</v>
      </c>
      <c r="I349" s="42">
        <f t="shared" si="293"/>
        <v>29</v>
      </c>
      <c r="J349" s="41">
        <f>J343</f>
        <v>16</v>
      </c>
      <c r="K349" s="41">
        <f t="shared" ref="K349:M349" si="294">K343</f>
        <v>7</v>
      </c>
      <c r="L349" s="41">
        <f t="shared" si="294"/>
        <v>6</v>
      </c>
      <c r="M349" s="42">
        <f t="shared" si="294"/>
        <v>29</v>
      </c>
      <c r="N349" s="143">
        <f>E349+I349+M349</f>
        <v>87</v>
      </c>
      <c r="P349" s="36" t="s">
        <v>6</v>
      </c>
      <c r="Q349" s="41">
        <f>Q343</f>
        <v>387</v>
      </c>
      <c r="R349" s="41">
        <f t="shared" ref="R349:AC349" si="295">R343</f>
        <v>248</v>
      </c>
      <c r="S349" s="41">
        <f t="shared" si="295"/>
        <v>258</v>
      </c>
      <c r="T349" s="42">
        <f t="shared" si="295"/>
        <v>893</v>
      </c>
      <c r="U349" s="41">
        <f t="shared" si="295"/>
        <v>395</v>
      </c>
      <c r="V349" s="41">
        <f t="shared" si="295"/>
        <v>266</v>
      </c>
      <c r="W349" s="41">
        <f t="shared" si="295"/>
        <v>284</v>
      </c>
      <c r="X349" s="42">
        <f t="shared" si="295"/>
        <v>945</v>
      </c>
      <c r="Y349" s="41">
        <f t="shared" si="295"/>
        <v>379</v>
      </c>
      <c r="Z349" s="41">
        <f t="shared" si="295"/>
        <v>243</v>
      </c>
      <c r="AA349" s="41">
        <f t="shared" si="295"/>
        <v>253</v>
      </c>
      <c r="AB349" s="42">
        <f t="shared" si="295"/>
        <v>875</v>
      </c>
      <c r="AC349" s="90">
        <f t="shared" si="295"/>
        <v>2713</v>
      </c>
    </row>
    <row r="350" spans="1:31" x14ac:dyDescent="0.15">
      <c r="A350" s="102" t="s">
        <v>3</v>
      </c>
      <c r="B350" s="25"/>
      <c r="C350" s="26">
        <v>10</v>
      </c>
      <c r="D350" s="26"/>
      <c r="E350" s="5">
        <f t="shared" ref="E350:E385" si="296">SUM(B350:D350)</f>
        <v>10</v>
      </c>
      <c r="F350" s="25"/>
      <c r="G350" s="26">
        <v>10</v>
      </c>
      <c r="H350" s="26">
        <v>10</v>
      </c>
      <c r="I350" s="5">
        <f t="shared" ref="I350:I385" si="297">SUM(F350:H350)</f>
        <v>20</v>
      </c>
      <c r="J350" s="25"/>
      <c r="K350" s="26">
        <v>10</v>
      </c>
      <c r="L350" s="26">
        <v>10</v>
      </c>
      <c r="M350" s="38">
        <f t="shared" ref="M350:M385" si="298">SUM(J350:L350)</f>
        <v>20</v>
      </c>
      <c r="N350" s="138">
        <f t="shared" ref="N350:N386" si="299">E350+I350+M350</f>
        <v>50</v>
      </c>
      <c r="O350" s="24">
        <v>45525</v>
      </c>
      <c r="P350" s="6" t="s">
        <v>3</v>
      </c>
      <c r="Q350" s="14"/>
      <c r="R350" s="11"/>
      <c r="S350" s="11"/>
      <c r="T350" s="5">
        <f t="shared" ref="T350:T360" si="300">SUM(Q350:S350)</f>
        <v>0</v>
      </c>
      <c r="U350" s="14"/>
      <c r="V350" s="11"/>
      <c r="W350" s="11"/>
      <c r="X350" s="5">
        <f t="shared" ref="X350:X360" si="301">SUM(U350:W350)</f>
        <v>0</v>
      </c>
      <c r="Y350" s="25"/>
      <c r="Z350" s="26"/>
      <c r="AA350" s="26"/>
      <c r="AB350" s="5">
        <f t="shared" ref="AB350:AB360" si="302">SUM(Y350:AA350)</f>
        <v>0</v>
      </c>
      <c r="AC350" s="86">
        <f t="shared" ref="AC350:AC360" si="303">T350+X350+AB350</f>
        <v>0</v>
      </c>
    </row>
    <row r="351" spans="1:31" x14ac:dyDescent="0.15">
      <c r="A351" s="102" t="s">
        <v>372</v>
      </c>
      <c r="B351" s="14">
        <v>0</v>
      </c>
      <c r="C351" s="11">
        <v>0</v>
      </c>
      <c r="D351" s="11">
        <v>0</v>
      </c>
      <c r="E351" s="5">
        <f t="shared" ref="E351:E352" si="304">SUM(B351:D351)</f>
        <v>0</v>
      </c>
      <c r="F351" s="34">
        <v>0</v>
      </c>
      <c r="G351" s="11">
        <v>0</v>
      </c>
      <c r="H351" s="11">
        <v>0</v>
      </c>
      <c r="I351" s="5">
        <f t="shared" ref="I351:I352" si="305">SUM(F351:H351)</f>
        <v>0</v>
      </c>
      <c r="J351" s="34">
        <v>0</v>
      </c>
      <c r="K351" s="11">
        <v>0</v>
      </c>
      <c r="L351" s="11">
        <v>0</v>
      </c>
      <c r="M351" s="38">
        <f t="shared" ref="M351:M352" si="306">SUM(J351:L351)</f>
        <v>0</v>
      </c>
      <c r="N351" s="138">
        <f t="shared" ref="N351:N352" si="307">E351+I351+M351</f>
        <v>0</v>
      </c>
      <c r="O351" s="70">
        <v>45526</v>
      </c>
      <c r="P351" s="6" t="s">
        <v>3</v>
      </c>
      <c r="Q351" s="25"/>
      <c r="R351" s="26"/>
      <c r="S351" s="26"/>
      <c r="T351" s="8">
        <f t="shared" si="300"/>
        <v>0</v>
      </c>
      <c r="U351" s="25"/>
      <c r="V351" s="26"/>
      <c r="W351" s="26"/>
      <c r="X351" s="8">
        <f t="shared" si="301"/>
        <v>0</v>
      </c>
      <c r="Y351" s="34"/>
      <c r="Z351" s="11"/>
      <c r="AA351" s="11"/>
      <c r="AB351" s="5">
        <f t="shared" si="302"/>
        <v>0</v>
      </c>
      <c r="AC351" s="86">
        <f t="shared" si="303"/>
        <v>0</v>
      </c>
    </row>
    <row r="352" spans="1:31" x14ac:dyDescent="0.15">
      <c r="A352" s="102" t="s">
        <v>57</v>
      </c>
      <c r="B352" s="14">
        <v>1</v>
      </c>
      <c r="C352" s="11"/>
      <c r="D352" s="11"/>
      <c r="E352" s="5">
        <f t="shared" si="304"/>
        <v>1</v>
      </c>
      <c r="F352" s="34">
        <v>1</v>
      </c>
      <c r="G352" s="11"/>
      <c r="H352" s="11"/>
      <c r="I352" s="5">
        <f t="shared" si="305"/>
        <v>1</v>
      </c>
      <c r="J352" s="34">
        <v>1</v>
      </c>
      <c r="K352" s="11"/>
      <c r="L352" s="11"/>
      <c r="M352" s="38">
        <f t="shared" si="306"/>
        <v>1</v>
      </c>
      <c r="N352" s="138">
        <f t="shared" si="307"/>
        <v>3</v>
      </c>
      <c r="O352" s="70">
        <v>45533</v>
      </c>
      <c r="P352" s="6" t="s">
        <v>3</v>
      </c>
      <c r="Q352" s="25"/>
      <c r="R352" s="26"/>
      <c r="S352" s="26"/>
      <c r="T352" s="8">
        <f t="shared" si="300"/>
        <v>0</v>
      </c>
      <c r="U352" s="25"/>
      <c r="V352" s="26"/>
      <c r="W352" s="26"/>
      <c r="X352" s="8">
        <f t="shared" si="301"/>
        <v>0</v>
      </c>
      <c r="Y352" s="34"/>
      <c r="Z352" s="11"/>
      <c r="AA352" s="11"/>
      <c r="AB352" s="5">
        <f t="shared" si="302"/>
        <v>0</v>
      </c>
      <c r="AC352" s="86">
        <f t="shared" si="303"/>
        <v>0</v>
      </c>
    </row>
    <row r="353" spans="1:31" x14ac:dyDescent="0.15">
      <c r="A353" s="102" t="s">
        <v>3</v>
      </c>
      <c r="B353" s="14"/>
      <c r="C353" s="11"/>
      <c r="D353" s="11"/>
      <c r="E353" s="5">
        <f t="shared" si="296"/>
        <v>0</v>
      </c>
      <c r="F353" s="34"/>
      <c r="G353" s="11"/>
      <c r="H353" s="11"/>
      <c r="I353" s="5">
        <f t="shared" si="297"/>
        <v>0</v>
      </c>
      <c r="J353" s="34"/>
      <c r="K353" s="11"/>
      <c r="L353" s="11"/>
      <c r="M353" s="38">
        <f t="shared" si="298"/>
        <v>0</v>
      </c>
      <c r="N353" s="138">
        <f t="shared" si="299"/>
        <v>0</v>
      </c>
      <c r="P353" s="6" t="s">
        <v>3</v>
      </c>
      <c r="Q353" s="14"/>
      <c r="R353" s="11">
        <v>70</v>
      </c>
      <c r="S353" s="11">
        <v>0</v>
      </c>
      <c r="T353" s="5">
        <f t="shared" si="300"/>
        <v>70</v>
      </c>
      <c r="U353" s="14"/>
      <c r="V353" s="11">
        <v>50</v>
      </c>
      <c r="W353" s="11">
        <v>0</v>
      </c>
      <c r="X353" s="5">
        <f t="shared" si="301"/>
        <v>50</v>
      </c>
      <c r="Y353" s="34"/>
      <c r="Z353" s="11">
        <v>60</v>
      </c>
      <c r="AA353" s="11">
        <v>0</v>
      </c>
      <c r="AB353" s="5">
        <f t="shared" si="302"/>
        <v>60</v>
      </c>
      <c r="AC353" s="86">
        <f t="shared" si="303"/>
        <v>180</v>
      </c>
      <c r="AD353" s="109" t="s">
        <v>376</v>
      </c>
    </row>
    <row r="354" spans="1:31" x14ac:dyDescent="0.15">
      <c r="A354" s="102" t="s">
        <v>3</v>
      </c>
      <c r="B354" s="14"/>
      <c r="C354" s="11"/>
      <c r="D354" s="11"/>
      <c r="E354" s="5">
        <f t="shared" si="296"/>
        <v>0</v>
      </c>
      <c r="F354" s="34"/>
      <c r="G354" s="11"/>
      <c r="H354" s="11"/>
      <c r="I354" s="5">
        <f t="shared" si="297"/>
        <v>0</v>
      </c>
      <c r="J354" s="34"/>
      <c r="K354" s="11"/>
      <c r="L354" s="11"/>
      <c r="M354" s="38">
        <f t="shared" si="298"/>
        <v>0</v>
      </c>
      <c r="N354" s="138">
        <f t="shared" si="299"/>
        <v>0</v>
      </c>
      <c r="P354" s="6" t="s">
        <v>3</v>
      </c>
      <c r="Q354" s="14"/>
      <c r="R354" s="11"/>
      <c r="S354" s="11">
        <v>10</v>
      </c>
      <c r="T354" s="5">
        <f t="shared" ref="T354:T355" si="308">SUM(Q354:S354)</f>
        <v>10</v>
      </c>
      <c r="U354" s="14"/>
      <c r="V354" s="11">
        <v>30</v>
      </c>
      <c r="W354" s="11">
        <v>40</v>
      </c>
      <c r="X354" s="5">
        <f t="shared" ref="X354:X355" si="309">SUM(U354:W354)</f>
        <v>70</v>
      </c>
      <c r="Y354" s="25"/>
      <c r="Z354" s="26">
        <v>20</v>
      </c>
      <c r="AA354" s="26">
        <v>40</v>
      </c>
      <c r="AB354" s="8">
        <f t="shared" ref="AB354:AB355" si="310">SUM(Y354:AA354)</f>
        <v>60</v>
      </c>
      <c r="AC354" s="86">
        <f t="shared" ref="AC354:AC355" si="311">T354+X354+AB354</f>
        <v>140</v>
      </c>
      <c r="AD354" s="109" t="s">
        <v>376</v>
      </c>
    </row>
    <row r="355" spans="1:31" x14ac:dyDescent="0.15">
      <c r="A355" s="102" t="s">
        <v>3</v>
      </c>
      <c r="B355" s="25"/>
      <c r="C355" s="26"/>
      <c r="D355" s="26"/>
      <c r="E355" s="8">
        <f t="shared" si="296"/>
        <v>0</v>
      </c>
      <c r="F355" s="25"/>
      <c r="G355" s="26"/>
      <c r="H355" s="26"/>
      <c r="I355" s="8">
        <f t="shared" si="297"/>
        <v>0</v>
      </c>
      <c r="J355" s="25"/>
      <c r="K355" s="26"/>
      <c r="L355" s="26"/>
      <c r="M355" s="39">
        <f t="shared" si="298"/>
        <v>0</v>
      </c>
      <c r="N355" s="138">
        <f t="shared" si="299"/>
        <v>0</v>
      </c>
      <c r="P355" s="6" t="s">
        <v>3</v>
      </c>
      <c r="Q355" s="27"/>
      <c r="R355" s="26"/>
      <c r="S355" s="26"/>
      <c r="T355" s="5">
        <f t="shared" si="308"/>
        <v>0</v>
      </c>
      <c r="U355" s="27"/>
      <c r="V355" s="26"/>
      <c r="W355" s="26"/>
      <c r="X355" s="5">
        <f t="shared" si="309"/>
        <v>0</v>
      </c>
      <c r="Y355" s="25"/>
      <c r="Z355" s="26"/>
      <c r="AA355" s="26"/>
      <c r="AB355" s="5">
        <f t="shared" si="310"/>
        <v>0</v>
      </c>
      <c r="AC355" s="86">
        <f t="shared" si="311"/>
        <v>0</v>
      </c>
    </row>
    <row r="356" spans="1:31" x14ac:dyDescent="0.15">
      <c r="A356" s="102" t="s">
        <v>3</v>
      </c>
      <c r="B356" s="27"/>
      <c r="C356" s="26"/>
      <c r="D356" s="26"/>
      <c r="E356" s="5">
        <f t="shared" si="296"/>
        <v>0</v>
      </c>
      <c r="F356" s="25"/>
      <c r="G356" s="26"/>
      <c r="H356" s="26"/>
      <c r="I356" s="5">
        <f t="shared" si="297"/>
        <v>0</v>
      </c>
      <c r="J356" s="25"/>
      <c r="K356" s="26"/>
      <c r="L356" s="26"/>
      <c r="M356" s="38">
        <f t="shared" si="298"/>
        <v>0</v>
      </c>
      <c r="N356" s="138">
        <f t="shared" si="299"/>
        <v>0</v>
      </c>
      <c r="P356" s="6" t="s">
        <v>3</v>
      </c>
      <c r="Q356" s="27"/>
      <c r="R356" s="26"/>
      <c r="S356" s="26"/>
      <c r="T356" s="5">
        <f t="shared" si="300"/>
        <v>0</v>
      </c>
      <c r="U356" s="27"/>
      <c r="V356" s="26"/>
      <c r="W356" s="26"/>
      <c r="X356" s="5">
        <f t="shared" si="301"/>
        <v>0</v>
      </c>
      <c r="Y356" s="25"/>
      <c r="Z356" s="26"/>
      <c r="AA356" s="26"/>
      <c r="AB356" s="5">
        <f t="shared" si="302"/>
        <v>0</v>
      </c>
      <c r="AC356" s="86">
        <f t="shared" si="303"/>
        <v>0</v>
      </c>
    </row>
    <row r="357" spans="1:31" x14ac:dyDescent="0.15">
      <c r="A357" s="102" t="s">
        <v>3</v>
      </c>
      <c r="B357" s="27"/>
      <c r="C357" s="26"/>
      <c r="D357" s="26"/>
      <c r="E357" s="5">
        <f t="shared" si="296"/>
        <v>0</v>
      </c>
      <c r="F357" s="25"/>
      <c r="G357" s="26"/>
      <c r="H357" s="26"/>
      <c r="I357" s="5">
        <f t="shared" si="297"/>
        <v>0</v>
      </c>
      <c r="J357" s="25"/>
      <c r="K357" s="26"/>
      <c r="L357" s="26"/>
      <c r="M357" s="38">
        <f t="shared" si="298"/>
        <v>0</v>
      </c>
      <c r="N357" s="138">
        <f t="shared" si="299"/>
        <v>0</v>
      </c>
      <c r="P357" s="6" t="s">
        <v>3</v>
      </c>
      <c r="Q357" s="14"/>
      <c r="R357" s="11"/>
      <c r="S357" s="11"/>
      <c r="T357" s="5">
        <f t="shared" si="300"/>
        <v>0</v>
      </c>
      <c r="U357" s="14"/>
      <c r="V357" s="11"/>
      <c r="W357" s="11"/>
      <c r="X357" s="5">
        <f t="shared" si="301"/>
        <v>0</v>
      </c>
      <c r="Y357" s="25"/>
      <c r="Z357" s="26"/>
      <c r="AA357" s="26"/>
      <c r="AB357" s="5">
        <f t="shared" si="302"/>
        <v>0</v>
      </c>
      <c r="AC357" s="86">
        <f t="shared" si="303"/>
        <v>0</v>
      </c>
    </row>
    <row r="358" spans="1:31" x14ac:dyDescent="0.15">
      <c r="A358" s="102" t="s">
        <v>3</v>
      </c>
      <c r="B358" s="27"/>
      <c r="C358" s="26"/>
      <c r="D358" s="26"/>
      <c r="E358" s="5">
        <f t="shared" si="296"/>
        <v>0</v>
      </c>
      <c r="F358" s="25"/>
      <c r="G358" s="26"/>
      <c r="H358" s="26"/>
      <c r="I358" s="5">
        <f t="shared" si="297"/>
        <v>0</v>
      </c>
      <c r="J358" s="25"/>
      <c r="K358" s="26"/>
      <c r="L358" s="26"/>
      <c r="M358" s="38">
        <f t="shared" si="298"/>
        <v>0</v>
      </c>
      <c r="N358" s="138">
        <f t="shared" si="299"/>
        <v>0</v>
      </c>
      <c r="P358" s="6" t="s">
        <v>3</v>
      </c>
      <c r="Q358" s="14"/>
      <c r="R358" s="11"/>
      <c r="S358" s="11"/>
      <c r="T358" s="5">
        <f t="shared" ref="T358" si="312">SUM(Q358:S358)</f>
        <v>0</v>
      </c>
      <c r="U358" s="14"/>
      <c r="V358" s="11"/>
      <c r="W358" s="11"/>
      <c r="X358" s="5">
        <f t="shared" ref="X358" si="313">SUM(U358:W358)</f>
        <v>0</v>
      </c>
      <c r="Y358" s="25"/>
      <c r="Z358" s="26"/>
      <c r="AA358" s="26"/>
      <c r="AB358" s="5">
        <f t="shared" ref="AB358" si="314">SUM(Y358:AA358)</f>
        <v>0</v>
      </c>
      <c r="AC358" s="86">
        <f t="shared" ref="AC358" si="315">T358+X358+AB358</f>
        <v>0</v>
      </c>
    </row>
    <row r="359" spans="1:31" ht="14.25" thickBot="1" x14ac:dyDescent="0.2">
      <c r="A359" s="102" t="s">
        <v>3</v>
      </c>
      <c r="B359" s="28"/>
      <c r="C359" s="29"/>
      <c r="D359" s="32"/>
      <c r="E359" s="15">
        <f t="shared" si="296"/>
        <v>0</v>
      </c>
      <c r="F359" s="35"/>
      <c r="G359" s="29"/>
      <c r="H359" s="32"/>
      <c r="I359" s="15">
        <f t="shared" si="297"/>
        <v>0</v>
      </c>
      <c r="J359" s="35"/>
      <c r="K359" s="29"/>
      <c r="L359" s="32"/>
      <c r="M359" s="40">
        <f t="shared" si="298"/>
        <v>0</v>
      </c>
      <c r="N359" s="139">
        <f t="shared" si="299"/>
        <v>0</v>
      </c>
      <c r="P359" s="6" t="s">
        <v>3</v>
      </c>
      <c r="Q359" s="14"/>
      <c r="R359" s="11"/>
      <c r="S359" s="11"/>
      <c r="T359" s="5">
        <f t="shared" ref="T359" si="316">SUM(Q359:S359)</f>
        <v>0</v>
      </c>
      <c r="U359" s="14"/>
      <c r="V359" s="11"/>
      <c r="W359" s="11"/>
      <c r="X359" s="5">
        <f t="shared" ref="X359" si="317">SUM(U359:W359)</f>
        <v>0</v>
      </c>
      <c r="Y359" s="25"/>
      <c r="Z359" s="26"/>
      <c r="AA359" s="26"/>
      <c r="AB359" s="5">
        <f t="shared" ref="AB359" si="318">SUM(Y359:AA359)</f>
        <v>0</v>
      </c>
      <c r="AC359" s="86">
        <f t="shared" ref="AC359" si="319">T359+X359+AB359</f>
        <v>0</v>
      </c>
    </row>
    <row r="360" spans="1:31" ht="14.25" thickBot="1" x14ac:dyDescent="0.2">
      <c r="A360" s="103" t="s">
        <v>4</v>
      </c>
      <c r="B360" s="17">
        <f>SUM(B349:B359)</f>
        <v>14</v>
      </c>
      <c r="C360" s="17">
        <f>SUM(C349:C359)</f>
        <v>14</v>
      </c>
      <c r="D360" s="17">
        <f>SUM(D349:D359)</f>
        <v>12</v>
      </c>
      <c r="E360" s="18">
        <f t="shared" si="296"/>
        <v>40</v>
      </c>
      <c r="F360" s="17">
        <f>SUM(F349:F359)</f>
        <v>15</v>
      </c>
      <c r="G360" s="17">
        <f>SUM(G349:G359)</f>
        <v>19</v>
      </c>
      <c r="H360" s="17">
        <f>SUM(H349:H359)</f>
        <v>16</v>
      </c>
      <c r="I360" s="18">
        <f t="shared" si="297"/>
        <v>50</v>
      </c>
      <c r="J360" s="17">
        <f>SUM(J349:J359)</f>
        <v>17</v>
      </c>
      <c r="K360" s="17">
        <f>SUM(K349:K359)</f>
        <v>17</v>
      </c>
      <c r="L360" s="17">
        <f>SUM(L349:L359)</f>
        <v>16</v>
      </c>
      <c r="M360" s="20">
        <f t="shared" si="298"/>
        <v>50</v>
      </c>
      <c r="N360" s="140">
        <f t="shared" si="299"/>
        <v>140</v>
      </c>
      <c r="P360" s="16" t="s">
        <v>4</v>
      </c>
      <c r="Q360" s="17">
        <f>SUM(Q349:Q359)</f>
        <v>387</v>
      </c>
      <c r="R360" s="17">
        <f>SUM(R349:R359)</f>
        <v>318</v>
      </c>
      <c r="S360" s="17">
        <f>SUM(S349:S359)</f>
        <v>268</v>
      </c>
      <c r="T360" s="18">
        <f t="shared" si="300"/>
        <v>973</v>
      </c>
      <c r="U360" s="17">
        <f>SUM(U349:U359)</f>
        <v>395</v>
      </c>
      <c r="V360" s="17">
        <f>SUM(V349:V359)</f>
        <v>346</v>
      </c>
      <c r="W360" s="17">
        <f>SUM(W349:W359)</f>
        <v>324</v>
      </c>
      <c r="X360" s="18">
        <f t="shared" si="301"/>
        <v>1065</v>
      </c>
      <c r="Y360" s="17">
        <f>SUM(Y349:Y359)</f>
        <v>379</v>
      </c>
      <c r="Z360" s="17">
        <f>SUM(Z349:Z359)</f>
        <v>323</v>
      </c>
      <c r="AA360" s="17">
        <f>SUM(AA349:AA359)</f>
        <v>293</v>
      </c>
      <c r="AB360" s="18">
        <f t="shared" si="302"/>
        <v>995</v>
      </c>
      <c r="AC360" s="88">
        <f t="shared" si="303"/>
        <v>3033</v>
      </c>
    </row>
    <row r="361" spans="1:31" x14ac:dyDescent="0.15">
      <c r="A361" s="33" t="s">
        <v>362</v>
      </c>
      <c r="B361" s="9">
        <v>1</v>
      </c>
      <c r="C361" s="10"/>
      <c r="D361" s="31"/>
      <c r="E361" s="5">
        <f t="shared" si="296"/>
        <v>1</v>
      </c>
      <c r="F361" s="9">
        <v>1</v>
      </c>
      <c r="G361" s="10"/>
      <c r="H361" s="31"/>
      <c r="I361" s="5">
        <f t="shared" si="297"/>
        <v>1</v>
      </c>
      <c r="J361" s="9">
        <v>1</v>
      </c>
      <c r="K361" s="10"/>
      <c r="L361" s="31"/>
      <c r="M361" s="38">
        <f t="shared" si="298"/>
        <v>1</v>
      </c>
      <c r="N361" s="141">
        <f t="shared" si="299"/>
        <v>3</v>
      </c>
      <c r="O361" s="24">
        <v>45526</v>
      </c>
      <c r="P361" s="4" t="s">
        <v>361</v>
      </c>
      <c r="Q361" s="9">
        <v>2</v>
      </c>
      <c r="R361" s="10">
        <v>11</v>
      </c>
      <c r="S361" s="10">
        <v>6</v>
      </c>
      <c r="T361" s="5">
        <f t="shared" ref="T361:T375" si="320">SUM(Q361:S361)</f>
        <v>19</v>
      </c>
      <c r="U361" s="9">
        <v>2</v>
      </c>
      <c r="V361" s="10">
        <v>11</v>
      </c>
      <c r="W361" s="10">
        <v>6</v>
      </c>
      <c r="X361" s="5">
        <f t="shared" ref="X361:X375" si="321">SUM(U361:W361)</f>
        <v>19</v>
      </c>
      <c r="Y361" s="9">
        <v>2</v>
      </c>
      <c r="Z361" s="10">
        <v>11</v>
      </c>
      <c r="AA361" s="10">
        <v>6</v>
      </c>
      <c r="AB361" s="5">
        <f t="shared" ref="AB361:AB375" si="322">SUM(Y361:AA361)</f>
        <v>19</v>
      </c>
      <c r="AC361" s="86">
        <f t="shared" ref="AC361:AC375" si="323">T361+X361+AB361</f>
        <v>57</v>
      </c>
      <c r="AD361" s="109">
        <v>45525</v>
      </c>
    </row>
    <row r="362" spans="1:31" x14ac:dyDescent="0.15">
      <c r="A362" s="33" t="s">
        <v>363</v>
      </c>
      <c r="B362" s="9">
        <v>2</v>
      </c>
      <c r="C362" s="10"/>
      <c r="D362" s="10">
        <v>3</v>
      </c>
      <c r="E362" s="5">
        <f t="shared" si="296"/>
        <v>5</v>
      </c>
      <c r="F362" s="9">
        <v>2</v>
      </c>
      <c r="G362" s="10"/>
      <c r="H362" s="10">
        <v>3</v>
      </c>
      <c r="I362" s="5">
        <f t="shared" si="297"/>
        <v>5</v>
      </c>
      <c r="J362" s="9">
        <v>2</v>
      </c>
      <c r="K362" s="10"/>
      <c r="L362" s="10">
        <v>3</v>
      </c>
      <c r="M362" s="38">
        <f t="shared" si="298"/>
        <v>5</v>
      </c>
      <c r="N362" s="138">
        <f t="shared" si="299"/>
        <v>15</v>
      </c>
      <c r="O362" s="24">
        <v>45527</v>
      </c>
      <c r="P362" s="4" t="s">
        <v>27</v>
      </c>
      <c r="Q362" s="9"/>
      <c r="R362" s="10">
        <v>10</v>
      </c>
      <c r="S362" s="10"/>
      <c r="T362" s="5">
        <f t="shared" si="320"/>
        <v>10</v>
      </c>
      <c r="U362" s="9"/>
      <c r="V362" s="10">
        <v>10</v>
      </c>
      <c r="W362" s="10">
        <v>10</v>
      </c>
      <c r="X362" s="5">
        <f t="shared" si="321"/>
        <v>20</v>
      </c>
      <c r="Y362" s="9"/>
      <c r="Z362" s="10">
        <v>10</v>
      </c>
      <c r="AA362" s="10">
        <v>10</v>
      </c>
      <c r="AB362" s="5">
        <f t="shared" si="322"/>
        <v>20</v>
      </c>
      <c r="AC362" s="86">
        <f t="shared" si="323"/>
        <v>50</v>
      </c>
      <c r="AD362" s="109">
        <v>45525</v>
      </c>
      <c r="AE362" s="58"/>
    </row>
    <row r="363" spans="1:31" x14ac:dyDescent="0.15">
      <c r="A363" s="63" t="s">
        <v>367</v>
      </c>
      <c r="B363" s="9"/>
      <c r="C363" s="10"/>
      <c r="D363" s="10">
        <v>1</v>
      </c>
      <c r="E363" s="5">
        <f t="shared" si="296"/>
        <v>1</v>
      </c>
      <c r="F363" s="9"/>
      <c r="G363" s="10"/>
      <c r="H363" s="10">
        <v>1</v>
      </c>
      <c r="I363" s="5">
        <f t="shared" si="297"/>
        <v>1</v>
      </c>
      <c r="J363" s="9"/>
      <c r="K363" s="10"/>
      <c r="L363" s="10">
        <v>1</v>
      </c>
      <c r="M363" s="38">
        <f t="shared" si="298"/>
        <v>1</v>
      </c>
      <c r="N363" s="138">
        <f t="shared" si="299"/>
        <v>3</v>
      </c>
      <c r="O363" s="24">
        <v>45526</v>
      </c>
      <c r="P363" s="4" t="s">
        <v>364</v>
      </c>
      <c r="Q363" s="9">
        <v>20</v>
      </c>
      <c r="R363" s="10">
        <v>30</v>
      </c>
      <c r="S363" s="10">
        <v>20</v>
      </c>
      <c r="T363" s="5">
        <f t="shared" si="320"/>
        <v>70</v>
      </c>
      <c r="U363" s="9">
        <v>20</v>
      </c>
      <c r="V363" s="10">
        <v>30</v>
      </c>
      <c r="W363" s="10">
        <v>20</v>
      </c>
      <c r="X363" s="5">
        <f t="shared" si="321"/>
        <v>70</v>
      </c>
      <c r="Y363" s="9">
        <v>20</v>
      </c>
      <c r="Z363" s="10">
        <v>30</v>
      </c>
      <c r="AA363" s="10">
        <v>20</v>
      </c>
      <c r="AB363" s="5">
        <f t="shared" si="322"/>
        <v>70</v>
      </c>
      <c r="AC363" s="86">
        <f t="shared" si="323"/>
        <v>210</v>
      </c>
      <c r="AD363" s="109">
        <v>45530</v>
      </c>
      <c r="AE363" s="58"/>
    </row>
    <row r="364" spans="1:31" x14ac:dyDescent="0.15">
      <c r="A364" s="33" t="s">
        <v>371</v>
      </c>
      <c r="B364" s="9"/>
      <c r="C364" s="10">
        <v>2</v>
      </c>
      <c r="D364" s="10"/>
      <c r="E364" s="5">
        <f t="shared" si="296"/>
        <v>2</v>
      </c>
      <c r="F364" s="9"/>
      <c r="G364" s="10"/>
      <c r="H364" s="10"/>
      <c r="I364" s="5">
        <f t="shared" si="297"/>
        <v>0</v>
      </c>
      <c r="J364" s="9"/>
      <c r="K364" s="10"/>
      <c r="L364" s="10"/>
      <c r="M364" s="38">
        <f t="shared" si="298"/>
        <v>0</v>
      </c>
      <c r="N364" s="138">
        <f t="shared" si="299"/>
        <v>2</v>
      </c>
      <c r="O364" s="70">
        <v>45526</v>
      </c>
      <c r="P364" s="11" t="s">
        <v>366</v>
      </c>
      <c r="Q364" s="9">
        <v>15</v>
      </c>
      <c r="R364" s="10">
        <v>5</v>
      </c>
      <c r="S364" s="10">
        <v>3</v>
      </c>
      <c r="T364" s="8">
        <f t="shared" si="320"/>
        <v>23</v>
      </c>
      <c r="U364" s="9">
        <v>15</v>
      </c>
      <c r="V364" s="10">
        <v>5</v>
      </c>
      <c r="W364" s="10">
        <v>3</v>
      </c>
      <c r="X364" s="8">
        <f t="shared" si="321"/>
        <v>23</v>
      </c>
      <c r="Y364" s="9">
        <v>15</v>
      </c>
      <c r="Z364" s="10">
        <v>5</v>
      </c>
      <c r="AA364" s="10">
        <v>3</v>
      </c>
      <c r="AB364" s="8">
        <f t="shared" si="322"/>
        <v>23</v>
      </c>
      <c r="AC364" s="86">
        <f t="shared" si="323"/>
        <v>69</v>
      </c>
      <c r="AD364" s="109">
        <v>45526</v>
      </c>
      <c r="AE364" s="58"/>
    </row>
    <row r="365" spans="1:31" x14ac:dyDescent="0.15">
      <c r="A365" s="33" t="s">
        <v>373</v>
      </c>
      <c r="B365" s="9"/>
      <c r="C365" s="10">
        <v>1</v>
      </c>
      <c r="D365" s="10">
        <v>2</v>
      </c>
      <c r="E365" s="5">
        <f t="shared" si="296"/>
        <v>3</v>
      </c>
      <c r="F365" s="9"/>
      <c r="G365" s="10">
        <v>1</v>
      </c>
      <c r="H365" s="10">
        <v>2</v>
      </c>
      <c r="I365" s="5">
        <f t="shared" si="297"/>
        <v>3</v>
      </c>
      <c r="J365" s="9"/>
      <c r="K365" s="10">
        <v>1</v>
      </c>
      <c r="L365" s="10">
        <v>2</v>
      </c>
      <c r="M365" s="38">
        <f t="shared" si="298"/>
        <v>3</v>
      </c>
      <c r="N365" s="138">
        <f t="shared" si="299"/>
        <v>9</v>
      </c>
      <c r="O365" s="24">
        <v>45530</v>
      </c>
      <c r="P365" s="11" t="s">
        <v>368</v>
      </c>
      <c r="Q365" s="9">
        <v>10</v>
      </c>
      <c r="R365" s="10">
        <v>10</v>
      </c>
      <c r="S365" s="10">
        <v>15</v>
      </c>
      <c r="T365" s="8">
        <f t="shared" si="320"/>
        <v>35</v>
      </c>
      <c r="U365" s="9">
        <v>10</v>
      </c>
      <c r="V365" s="10">
        <v>10</v>
      </c>
      <c r="W365" s="10">
        <v>15</v>
      </c>
      <c r="X365" s="8">
        <f t="shared" si="321"/>
        <v>35</v>
      </c>
      <c r="Y365" s="9">
        <v>10</v>
      </c>
      <c r="Z365" s="10">
        <v>10</v>
      </c>
      <c r="AA365" s="10">
        <v>15</v>
      </c>
      <c r="AB365" s="8">
        <f t="shared" si="322"/>
        <v>35</v>
      </c>
      <c r="AC365" s="86">
        <f t="shared" si="323"/>
        <v>105</v>
      </c>
      <c r="AD365" s="109">
        <v>45527</v>
      </c>
      <c r="AE365" s="58"/>
    </row>
    <row r="366" spans="1:31" x14ac:dyDescent="0.15">
      <c r="A366" s="33" t="s">
        <v>382</v>
      </c>
      <c r="B366" s="9">
        <v>1</v>
      </c>
      <c r="C366" s="10"/>
      <c r="D366" s="10"/>
      <c r="E366" s="8">
        <f t="shared" si="296"/>
        <v>1</v>
      </c>
      <c r="F366" s="9">
        <v>1</v>
      </c>
      <c r="G366" s="10"/>
      <c r="H366" s="10"/>
      <c r="I366" s="8">
        <f t="shared" si="297"/>
        <v>1</v>
      </c>
      <c r="J366" s="9">
        <v>1</v>
      </c>
      <c r="K366" s="10"/>
      <c r="L366" s="10"/>
      <c r="M366" s="39">
        <f t="shared" si="298"/>
        <v>1</v>
      </c>
      <c r="N366" s="138">
        <f t="shared" si="299"/>
        <v>3</v>
      </c>
      <c r="O366" s="24">
        <v>45533</v>
      </c>
      <c r="P366" s="4" t="s">
        <v>369</v>
      </c>
      <c r="Q366" s="9"/>
      <c r="R366" s="10">
        <v>16</v>
      </c>
      <c r="S366" s="10">
        <v>11</v>
      </c>
      <c r="T366" s="8">
        <f t="shared" si="320"/>
        <v>27</v>
      </c>
      <c r="U366" s="9"/>
      <c r="V366" s="10">
        <v>16</v>
      </c>
      <c r="W366" s="10">
        <v>11</v>
      </c>
      <c r="X366" s="8">
        <f t="shared" si="321"/>
        <v>27</v>
      </c>
      <c r="Y366" s="9"/>
      <c r="Z366" s="10">
        <v>16</v>
      </c>
      <c r="AA366" s="10">
        <v>11</v>
      </c>
      <c r="AB366" s="8">
        <f t="shared" si="322"/>
        <v>27</v>
      </c>
      <c r="AC366" s="86">
        <f t="shared" si="323"/>
        <v>81</v>
      </c>
      <c r="AD366" s="109">
        <v>45531</v>
      </c>
      <c r="AE366" s="58"/>
    </row>
    <row r="367" spans="1:31" x14ac:dyDescent="0.15">
      <c r="A367" s="33" t="s">
        <v>388</v>
      </c>
      <c r="B367" s="9"/>
      <c r="C367" s="10"/>
      <c r="D367" s="10">
        <v>1</v>
      </c>
      <c r="E367" s="8">
        <f t="shared" si="296"/>
        <v>1</v>
      </c>
      <c r="F367" s="9"/>
      <c r="G367" s="10"/>
      <c r="H367" s="10">
        <v>1</v>
      </c>
      <c r="I367" s="8">
        <f t="shared" si="297"/>
        <v>1</v>
      </c>
      <c r="J367" s="9"/>
      <c r="K367" s="10"/>
      <c r="L367" s="10">
        <v>1</v>
      </c>
      <c r="M367" s="39">
        <f t="shared" si="298"/>
        <v>1</v>
      </c>
      <c r="N367" s="138">
        <f t="shared" si="299"/>
        <v>3</v>
      </c>
      <c r="O367" s="24">
        <v>45534</v>
      </c>
      <c r="P367" s="11" t="s">
        <v>370</v>
      </c>
      <c r="Q367" s="9">
        <v>1</v>
      </c>
      <c r="R367" s="10">
        <v>5</v>
      </c>
      <c r="S367" s="10"/>
      <c r="T367" s="8">
        <f t="shared" si="320"/>
        <v>6</v>
      </c>
      <c r="U367" s="9">
        <v>1</v>
      </c>
      <c r="V367" s="10">
        <v>5</v>
      </c>
      <c r="W367" s="10"/>
      <c r="X367" s="8">
        <f t="shared" si="321"/>
        <v>6</v>
      </c>
      <c r="Y367" s="9">
        <v>1</v>
      </c>
      <c r="Z367" s="10">
        <v>5</v>
      </c>
      <c r="AA367" s="10"/>
      <c r="AB367" s="8">
        <f t="shared" si="322"/>
        <v>6</v>
      </c>
      <c r="AC367" s="86">
        <f t="shared" si="323"/>
        <v>18</v>
      </c>
      <c r="AD367" s="109">
        <v>45530</v>
      </c>
    </row>
    <row r="368" spans="1:31" x14ac:dyDescent="0.15">
      <c r="A368" s="33" t="s">
        <v>391</v>
      </c>
      <c r="B368" s="9"/>
      <c r="C368" s="10">
        <v>1</v>
      </c>
      <c r="D368" s="10"/>
      <c r="E368" s="8">
        <f t="shared" si="296"/>
        <v>1</v>
      </c>
      <c r="F368" s="9"/>
      <c r="G368" s="10">
        <v>1</v>
      </c>
      <c r="H368" s="10"/>
      <c r="I368" s="8">
        <f t="shared" si="297"/>
        <v>1</v>
      </c>
      <c r="J368" s="9"/>
      <c r="K368" s="10">
        <v>1</v>
      </c>
      <c r="L368" s="10"/>
      <c r="M368" s="39">
        <f t="shared" si="298"/>
        <v>1</v>
      </c>
      <c r="N368" s="138">
        <f t="shared" si="299"/>
        <v>3</v>
      </c>
      <c r="O368" s="24">
        <v>45539</v>
      </c>
      <c r="P368" s="11" t="s">
        <v>374</v>
      </c>
      <c r="Q368" s="9"/>
      <c r="R368" s="72">
        <v>10</v>
      </c>
      <c r="S368" s="10">
        <v>5</v>
      </c>
      <c r="T368" s="8">
        <f t="shared" si="320"/>
        <v>15</v>
      </c>
      <c r="U368" s="9"/>
      <c r="V368" s="72">
        <v>10</v>
      </c>
      <c r="W368" s="10">
        <v>5</v>
      </c>
      <c r="X368" s="8">
        <f t="shared" si="321"/>
        <v>15</v>
      </c>
      <c r="Y368" s="9"/>
      <c r="Z368" s="72">
        <v>10</v>
      </c>
      <c r="AA368" s="10">
        <v>5</v>
      </c>
      <c r="AB368" s="8">
        <f t="shared" si="322"/>
        <v>15</v>
      </c>
      <c r="AC368" s="86">
        <f t="shared" si="323"/>
        <v>45</v>
      </c>
      <c r="AD368" s="109">
        <v>45528</v>
      </c>
    </row>
    <row r="369" spans="1:32" x14ac:dyDescent="0.15">
      <c r="A369" s="33" t="s">
        <v>397</v>
      </c>
      <c r="B369" s="9"/>
      <c r="C369" s="10">
        <v>1</v>
      </c>
      <c r="D369" s="10"/>
      <c r="E369" s="8">
        <f t="shared" si="296"/>
        <v>1</v>
      </c>
      <c r="F369" s="9"/>
      <c r="G369" s="10">
        <v>1</v>
      </c>
      <c r="H369" s="10"/>
      <c r="I369" s="8">
        <f t="shared" si="297"/>
        <v>1</v>
      </c>
      <c r="J369" s="9"/>
      <c r="K369" s="10">
        <v>1</v>
      </c>
      <c r="L369" s="10"/>
      <c r="M369" s="39">
        <f t="shared" si="298"/>
        <v>1</v>
      </c>
      <c r="N369" s="138">
        <f t="shared" si="299"/>
        <v>3</v>
      </c>
      <c r="O369" s="24">
        <v>45540</v>
      </c>
      <c r="P369" s="33" t="s">
        <v>379</v>
      </c>
      <c r="Q369" s="9">
        <v>2</v>
      </c>
      <c r="R369" s="10">
        <v>2</v>
      </c>
      <c r="S369" s="10">
        <v>1</v>
      </c>
      <c r="T369" s="8">
        <f t="shared" si="320"/>
        <v>5</v>
      </c>
      <c r="U369" s="9">
        <v>2</v>
      </c>
      <c r="V369" s="10">
        <v>2</v>
      </c>
      <c r="W369" s="10">
        <v>1</v>
      </c>
      <c r="X369" s="8">
        <f t="shared" si="321"/>
        <v>5</v>
      </c>
      <c r="Y369" s="9">
        <v>2</v>
      </c>
      <c r="Z369" s="10">
        <v>2</v>
      </c>
      <c r="AA369" s="10">
        <v>1</v>
      </c>
      <c r="AB369" s="8">
        <f t="shared" si="322"/>
        <v>5</v>
      </c>
      <c r="AC369" s="86">
        <f t="shared" si="323"/>
        <v>15</v>
      </c>
      <c r="AD369" s="109">
        <v>45532</v>
      </c>
      <c r="AE369" s="58"/>
    </row>
    <row r="370" spans="1:32" x14ac:dyDescent="0.15">
      <c r="A370" s="33" t="s">
        <v>398</v>
      </c>
      <c r="B370" s="9"/>
      <c r="C370" s="10">
        <v>2</v>
      </c>
      <c r="D370" s="10"/>
      <c r="E370" s="8">
        <f t="shared" si="296"/>
        <v>2</v>
      </c>
      <c r="F370" s="9"/>
      <c r="G370" s="10">
        <v>2</v>
      </c>
      <c r="H370" s="10"/>
      <c r="I370" s="8">
        <f t="shared" si="297"/>
        <v>2</v>
      </c>
      <c r="J370" s="9"/>
      <c r="K370" s="10">
        <v>2</v>
      </c>
      <c r="L370" s="10"/>
      <c r="M370" s="39">
        <f t="shared" si="298"/>
        <v>2</v>
      </c>
      <c r="N370" s="138">
        <f t="shared" si="299"/>
        <v>6</v>
      </c>
      <c r="O370" s="24">
        <v>45538</v>
      </c>
      <c r="P370" s="11" t="s">
        <v>383</v>
      </c>
      <c r="Q370" s="9">
        <v>20</v>
      </c>
      <c r="R370" s="10">
        <v>80</v>
      </c>
      <c r="S370" s="10">
        <v>50</v>
      </c>
      <c r="T370" s="8">
        <f t="shared" si="320"/>
        <v>150</v>
      </c>
      <c r="U370" s="9">
        <v>20</v>
      </c>
      <c r="V370" s="10">
        <v>80</v>
      </c>
      <c r="W370" s="10">
        <v>50</v>
      </c>
      <c r="X370" s="8">
        <f t="shared" si="321"/>
        <v>150</v>
      </c>
      <c r="Y370" s="9">
        <v>20</v>
      </c>
      <c r="Z370" s="10">
        <v>80</v>
      </c>
      <c r="AA370" s="10">
        <v>50</v>
      </c>
      <c r="AB370" s="8">
        <f t="shared" si="322"/>
        <v>150</v>
      </c>
      <c r="AC370" s="86">
        <f t="shared" si="323"/>
        <v>450</v>
      </c>
      <c r="AD370" s="109">
        <v>45532</v>
      </c>
    </row>
    <row r="371" spans="1:32" x14ac:dyDescent="0.15">
      <c r="A371" s="33" t="s">
        <v>399</v>
      </c>
      <c r="B371" s="9">
        <v>1</v>
      </c>
      <c r="C371" s="10"/>
      <c r="D371" s="10"/>
      <c r="E371" s="8">
        <f t="shared" si="296"/>
        <v>1</v>
      </c>
      <c r="F371" s="9">
        <v>1</v>
      </c>
      <c r="G371" s="10"/>
      <c r="H371" s="10"/>
      <c r="I371" s="8">
        <f t="shared" si="297"/>
        <v>1</v>
      </c>
      <c r="J371" s="9">
        <v>1</v>
      </c>
      <c r="K371" s="10"/>
      <c r="L371" s="10"/>
      <c r="M371" s="39">
        <f t="shared" si="298"/>
        <v>1</v>
      </c>
      <c r="N371" s="138">
        <f t="shared" si="299"/>
        <v>3</v>
      </c>
      <c r="O371" s="24">
        <v>45541</v>
      </c>
      <c r="P371" s="33" t="s">
        <v>386</v>
      </c>
      <c r="Q371" s="9">
        <v>1</v>
      </c>
      <c r="R371" s="10">
        <v>1</v>
      </c>
      <c r="S371" s="10"/>
      <c r="T371" s="8">
        <f t="shared" si="320"/>
        <v>2</v>
      </c>
      <c r="U371" s="9">
        <v>1</v>
      </c>
      <c r="V371" s="10">
        <v>1</v>
      </c>
      <c r="W371" s="10"/>
      <c r="X371" s="8">
        <f t="shared" si="321"/>
        <v>2</v>
      </c>
      <c r="Y371" s="9">
        <v>1</v>
      </c>
      <c r="Z371" s="10">
        <v>1</v>
      </c>
      <c r="AA371" s="10"/>
      <c r="AB371" s="8">
        <f t="shared" si="322"/>
        <v>2</v>
      </c>
      <c r="AC371" s="86">
        <f t="shared" si="323"/>
        <v>6</v>
      </c>
      <c r="AD371" s="109">
        <v>45534</v>
      </c>
    </row>
    <row r="372" spans="1:32" x14ac:dyDescent="0.15">
      <c r="A372" s="33" t="s">
        <v>36</v>
      </c>
      <c r="B372" s="9">
        <v>1</v>
      </c>
      <c r="C372" s="10"/>
      <c r="D372" s="10"/>
      <c r="E372" s="8">
        <f t="shared" si="296"/>
        <v>1</v>
      </c>
      <c r="F372" s="9">
        <v>1</v>
      </c>
      <c r="G372" s="10"/>
      <c r="H372" s="10">
        <v>1</v>
      </c>
      <c r="I372" s="8">
        <f t="shared" si="297"/>
        <v>2</v>
      </c>
      <c r="J372" s="9">
        <v>1</v>
      </c>
      <c r="K372" s="10"/>
      <c r="L372" s="10"/>
      <c r="M372" s="39">
        <f t="shared" si="298"/>
        <v>1</v>
      </c>
      <c r="N372" s="138">
        <f t="shared" si="299"/>
        <v>4</v>
      </c>
      <c r="O372" s="24">
        <v>45540</v>
      </c>
      <c r="P372" s="11" t="s">
        <v>387</v>
      </c>
      <c r="Q372" s="9">
        <v>40</v>
      </c>
      <c r="R372" s="10"/>
      <c r="S372" s="10">
        <v>20</v>
      </c>
      <c r="T372" s="8">
        <f t="shared" si="320"/>
        <v>60</v>
      </c>
      <c r="U372" s="9">
        <v>40</v>
      </c>
      <c r="V372" s="10"/>
      <c r="W372" s="10">
        <v>20</v>
      </c>
      <c r="X372" s="8">
        <f t="shared" si="321"/>
        <v>60</v>
      </c>
      <c r="Y372" s="9">
        <v>40</v>
      </c>
      <c r="Z372" s="10"/>
      <c r="AA372" s="10">
        <v>20</v>
      </c>
      <c r="AB372" s="8">
        <f t="shared" si="322"/>
        <v>60</v>
      </c>
      <c r="AC372" s="86">
        <f t="shared" si="323"/>
        <v>180</v>
      </c>
      <c r="AD372" s="109">
        <v>45533</v>
      </c>
      <c r="AE372" s="58"/>
    </row>
    <row r="373" spans="1:32" x14ac:dyDescent="0.15">
      <c r="A373" s="33"/>
      <c r="B373" s="9"/>
      <c r="C373" s="10"/>
      <c r="D373" s="10"/>
      <c r="E373" s="8">
        <f t="shared" si="296"/>
        <v>0</v>
      </c>
      <c r="F373" s="9"/>
      <c r="G373" s="10"/>
      <c r="H373" s="10"/>
      <c r="I373" s="8">
        <f t="shared" si="297"/>
        <v>0</v>
      </c>
      <c r="J373" s="9"/>
      <c r="K373" s="10"/>
      <c r="L373" s="10"/>
      <c r="M373" s="39">
        <f t="shared" si="298"/>
        <v>0</v>
      </c>
      <c r="N373" s="138">
        <f t="shared" si="299"/>
        <v>0</v>
      </c>
      <c r="O373" s="58"/>
      <c r="P373" s="11" t="s">
        <v>389</v>
      </c>
      <c r="Q373" s="9">
        <v>20</v>
      </c>
      <c r="R373" s="10"/>
      <c r="S373" s="10"/>
      <c r="T373" s="8">
        <f t="shared" si="320"/>
        <v>20</v>
      </c>
      <c r="U373" s="9">
        <v>20</v>
      </c>
      <c r="V373" s="10"/>
      <c r="W373" s="10"/>
      <c r="X373" s="8">
        <f t="shared" si="321"/>
        <v>20</v>
      </c>
      <c r="Y373" s="9">
        <v>20</v>
      </c>
      <c r="Z373" s="10"/>
      <c r="AA373" s="10"/>
      <c r="AB373" s="8">
        <f t="shared" si="322"/>
        <v>20</v>
      </c>
      <c r="AC373" s="86">
        <f t="shared" si="323"/>
        <v>60</v>
      </c>
      <c r="AD373" s="109">
        <v>45534</v>
      </c>
      <c r="AE373" s="58"/>
    </row>
    <row r="374" spans="1:32" x14ac:dyDescent="0.15">
      <c r="A374" s="33"/>
      <c r="B374" s="9"/>
      <c r="C374" s="10"/>
      <c r="D374" s="10"/>
      <c r="E374" s="8">
        <f t="shared" si="296"/>
        <v>0</v>
      </c>
      <c r="F374" s="9"/>
      <c r="G374" s="10"/>
      <c r="H374" s="10"/>
      <c r="I374" s="8">
        <f t="shared" si="297"/>
        <v>0</v>
      </c>
      <c r="J374" s="9"/>
      <c r="K374" s="10"/>
      <c r="L374" s="10"/>
      <c r="M374" s="39">
        <f t="shared" si="298"/>
        <v>0</v>
      </c>
      <c r="N374" s="138">
        <f t="shared" si="299"/>
        <v>0</v>
      </c>
      <c r="P374" s="4" t="s">
        <v>384</v>
      </c>
      <c r="Q374" s="77">
        <v>4</v>
      </c>
      <c r="R374" s="78">
        <v>2</v>
      </c>
      <c r="S374" s="78">
        <v>6</v>
      </c>
      <c r="T374" s="5">
        <f t="shared" si="320"/>
        <v>12</v>
      </c>
      <c r="U374" s="77">
        <v>4</v>
      </c>
      <c r="V374" s="78">
        <v>2</v>
      </c>
      <c r="W374" s="78">
        <v>6</v>
      </c>
      <c r="X374" s="5">
        <f t="shared" si="321"/>
        <v>12</v>
      </c>
      <c r="Y374" s="77">
        <v>4</v>
      </c>
      <c r="Z374" s="78">
        <v>2</v>
      </c>
      <c r="AA374" s="78">
        <v>6</v>
      </c>
      <c r="AB374" s="5">
        <f t="shared" si="322"/>
        <v>12</v>
      </c>
      <c r="AC374" s="91">
        <f t="shared" si="323"/>
        <v>36</v>
      </c>
      <c r="AD374" s="109">
        <v>45537</v>
      </c>
      <c r="AE374" s="58"/>
      <c r="AF374" s="58"/>
    </row>
    <row r="375" spans="1:32" x14ac:dyDescent="0.15">
      <c r="A375" s="33"/>
      <c r="B375" s="9"/>
      <c r="C375" s="10"/>
      <c r="D375" s="10"/>
      <c r="E375" s="8">
        <f t="shared" si="296"/>
        <v>0</v>
      </c>
      <c r="F375" s="9"/>
      <c r="G375" s="10"/>
      <c r="H375" s="10"/>
      <c r="I375" s="8">
        <f t="shared" si="297"/>
        <v>0</v>
      </c>
      <c r="J375" s="9"/>
      <c r="K375" s="10"/>
      <c r="L375" s="10"/>
      <c r="M375" s="39">
        <f t="shared" si="298"/>
        <v>0</v>
      </c>
      <c r="N375" s="138">
        <f t="shared" si="299"/>
        <v>0</v>
      </c>
      <c r="P375" s="33" t="s">
        <v>391</v>
      </c>
      <c r="Q375" s="9">
        <v>1</v>
      </c>
      <c r="R375" s="10">
        <v>1</v>
      </c>
      <c r="S375" s="10"/>
      <c r="T375" s="8">
        <f t="shared" si="320"/>
        <v>2</v>
      </c>
      <c r="U375" s="9">
        <v>1</v>
      </c>
      <c r="V375" s="10">
        <v>1</v>
      </c>
      <c r="W375" s="10"/>
      <c r="X375" s="8">
        <f t="shared" si="321"/>
        <v>2</v>
      </c>
      <c r="Y375" s="9">
        <v>1</v>
      </c>
      <c r="Z375" s="10">
        <v>1</v>
      </c>
      <c r="AA375" s="10"/>
      <c r="AB375" s="8">
        <f t="shared" si="322"/>
        <v>2</v>
      </c>
      <c r="AC375" s="86">
        <f t="shared" si="323"/>
        <v>6</v>
      </c>
      <c r="AD375" s="109">
        <v>45537</v>
      </c>
      <c r="AE375" s="58"/>
      <c r="AF375" s="58"/>
    </row>
    <row r="376" spans="1:32" x14ac:dyDescent="0.15">
      <c r="A376" s="63"/>
      <c r="B376" s="9"/>
      <c r="C376" s="10"/>
      <c r="D376" s="10"/>
      <c r="E376" s="8">
        <f t="shared" si="296"/>
        <v>0</v>
      </c>
      <c r="F376" s="9"/>
      <c r="G376" s="10"/>
      <c r="H376" s="10"/>
      <c r="I376" s="8">
        <f t="shared" si="297"/>
        <v>0</v>
      </c>
      <c r="J376" s="9"/>
      <c r="K376" s="10"/>
      <c r="L376" s="10"/>
      <c r="M376" s="39">
        <f t="shared" si="298"/>
        <v>0</v>
      </c>
      <c r="N376" s="138">
        <f t="shared" si="299"/>
        <v>0</v>
      </c>
      <c r="P376" s="4"/>
      <c r="Q376" s="9"/>
      <c r="R376" s="10"/>
      <c r="S376" s="10"/>
      <c r="T376" s="8">
        <f t="shared" ref="T376:T384" si="324">SUM(Q376:S376)</f>
        <v>0</v>
      </c>
      <c r="U376" s="9"/>
      <c r="V376" s="10"/>
      <c r="W376" s="10"/>
      <c r="X376" s="8">
        <f t="shared" ref="X376:X384" si="325">SUM(U376:W376)</f>
        <v>0</v>
      </c>
      <c r="Y376" s="9"/>
      <c r="Z376" s="10"/>
      <c r="AA376" s="10"/>
      <c r="AB376" s="8">
        <f t="shared" ref="AB376:AB384" si="326">SUM(Y376:AA376)</f>
        <v>0</v>
      </c>
      <c r="AC376" s="86">
        <f t="shared" ref="AC376:AC384" si="327">T376+X376+AB376</f>
        <v>0</v>
      </c>
      <c r="AD376" s="109"/>
      <c r="AE376" s="58"/>
      <c r="AF376" s="58"/>
    </row>
    <row r="377" spans="1:32" x14ac:dyDescent="0.15">
      <c r="A377" s="33"/>
      <c r="B377" s="9"/>
      <c r="C377" s="10"/>
      <c r="D377" s="10"/>
      <c r="E377" s="8">
        <f t="shared" si="296"/>
        <v>0</v>
      </c>
      <c r="F377" s="9"/>
      <c r="G377" s="10"/>
      <c r="H377" s="10"/>
      <c r="I377" s="8">
        <f t="shared" si="297"/>
        <v>0</v>
      </c>
      <c r="J377" s="9"/>
      <c r="K377" s="10"/>
      <c r="L377" s="10"/>
      <c r="M377" s="39">
        <f t="shared" si="298"/>
        <v>0</v>
      </c>
      <c r="N377" s="138">
        <f t="shared" si="299"/>
        <v>0</v>
      </c>
      <c r="P377" s="4" t="s">
        <v>284</v>
      </c>
      <c r="Q377" s="96"/>
      <c r="R377" s="97"/>
      <c r="S377" s="97"/>
      <c r="T377" s="5">
        <f t="shared" si="324"/>
        <v>0</v>
      </c>
      <c r="U377" s="96"/>
      <c r="V377" s="97"/>
      <c r="W377" s="97"/>
      <c r="X377" s="5">
        <f t="shared" si="325"/>
        <v>0</v>
      </c>
      <c r="Y377" s="77"/>
      <c r="Z377" s="78"/>
      <c r="AA377" s="78"/>
      <c r="AB377" s="5">
        <f t="shared" si="326"/>
        <v>0</v>
      </c>
      <c r="AC377" s="91">
        <f t="shared" si="327"/>
        <v>0</v>
      </c>
      <c r="AD377" s="109" t="s">
        <v>285</v>
      </c>
    </row>
    <row r="378" spans="1:32" x14ac:dyDescent="0.15">
      <c r="A378" s="33"/>
      <c r="B378" s="9"/>
      <c r="C378" s="10"/>
      <c r="D378" s="10"/>
      <c r="E378" s="8">
        <f t="shared" si="296"/>
        <v>0</v>
      </c>
      <c r="F378" s="9"/>
      <c r="G378" s="10"/>
      <c r="H378" s="10"/>
      <c r="I378" s="8">
        <f t="shared" si="297"/>
        <v>0</v>
      </c>
      <c r="J378" s="9"/>
      <c r="K378" s="10"/>
      <c r="L378" s="10"/>
      <c r="M378" s="39">
        <f t="shared" si="298"/>
        <v>0</v>
      </c>
      <c r="N378" s="138">
        <f t="shared" si="299"/>
        <v>0</v>
      </c>
      <c r="P378" s="11" t="s">
        <v>289</v>
      </c>
      <c r="Q378" s="9"/>
      <c r="R378" s="10"/>
      <c r="S378" s="10"/>
      <c r="T378" s="8">
        <f t="shared" si="324"/>
        <v>0</v>
      </c>
      <c r="U378" s="9"/>
      <c r="V378" s="10"/>
      <c r="W378" s="10"/>
      <c r="X378" s="8">
        <f t="shared" si="325"/>
        <v>0</v>
      </c>
      <c r="Y378" s="9"/>
      <c r="Z378" s="10"/>
      <c r="AA378" s="10"/>
      <c r="AB378" s="8">
        <f t="shared" si="326"/>
        <v>0</v>
      </c>
      <c r="AC378" s="86">
        <f t="shared" si="327"/>
        <v>0</v>
      </c>
      <c r="AD378" s="116" t="s">
        <v>290</v>
      </c>
    </row>
    <row r="379" spans="1:32" x14ac:dyDescent="0.15">
      <c r="A379" s="33"/>
      <c r="B379" s="9"/>
      <c r="C379" s="10"/>
      <c r="D379" s="10"/>
      <c r="E379" s="8">
        <f t="shared" si="296"/>
        <v>0</v>
      </c>
      <c r="F379" s="9"/>
      <c r="G379" s="10"/>
      <c r="H379" s="10"/>
      <c r="I379" s="8">
        <f t="shared" si="297"/>
        <v>0</v>
      </c>
      <c r="J379" s="9"/>
      <c r="K379" s="10"/>
      <c r="L379" s="10"/>
      <c r="M379" s="39">
        <f t="shared" si="298"/>
        <v>0</v>
      </c>
      <c r="N379" s="138">
        <f t="shared" si="299"/>
        <v>0</v>
      </c>
      <c r="P379" s="6" t="s">
        <v>303</v>
      </c>
      <c r="Q379" s="71"/>
      <c r="R379" s="72"/>
      <c r="S379" s="72"/>
      <c r="T379" s="73">
        <f t="shared" si="324"/>
        <v>0</v>
      </c>
      <c r="U379" s="71"/>
      <c r="V379" s="72"/>
      <c r="W379" s="72"/>
      <c r="X379" s="73">
        <f t="shared" si="325"/>
        <v>0</v>
      </c>
      <c r="Y379" s="71"/>
      <c r="Z379" s="72"/>
      <c r="AA379" s="72"/>
      <c r="AB379" s="73">
        <f t="shared" si="326"/>
        <v>0</v>
      </c>
      <c r="AC379" s="98">
        <f t="shared" si="327"/>
        <v>0</v>
      </c>
      <c r="AD379" s="109"/>
    </row>
    <row r="380" spans="1:32" x14ac:dyDescent="0.15">
      <c r="A380" s="33"/>
      <c r="B380" s="9"/>
      <c r="C380" s="10"/>
      <c r="D380" s="10"/>
      <c r="E380" s="8">
        <f t="shared" si="296"/>
        <v>0</v>
      </c>
      <c r="F380" s="9"/>
      <c r="G380" s="10"/>
      <c r="H380" s="10"/>
      <c r="I380" s="8">
        <f t="shared" si="297"/>
        <v>0</v>
      </c>
      <c r="J380" s="9"/>
      <c r="K380" s="10"/>
      <c r="L380" s="10"/>
      <c r="M380" s="39">
        <f t="shared" si="298"/>
        <v>0</v>
      </c>
      <c r="N380" s="138">
        <f t="shared" si="299"/>
        <v>0</v>
      </c>
      <c r="P380" s="11" t="s">
        <v>365</v>
      </c>
      <c r="Q380" s="71"/>
      <c r="R380" s="72"/>
      <c r="S380" s="72"/>
      <c r="T380" s="73">
        <f t="shared" si="324"/>
        <v>0</v>
      </c>
      <c r="U380" s="71"/>
      <c r="V380" s="72"/>
      <c r="W380" s="72"/>
      <c r="X380" s="73">
        <f t="shared" si="325"/>
        <v>0</v>
      </c>
      <c r="Y380" s="71"/>
      <c r="Z380" s="72"/>
      <c r="AA380" s="72"/>
      <c r="AB380" s="73">
        <f t="shared" si="326"/>
        <v>0</v>
      </c>
      <c r="AC380" s="98">
        <f t="shared" si="327"/>
        <v>0</v>
      </c>
      <c r="AD380" s="120">
        <v>45520</v>
      </c>
    </row>
    <row r="381" spans="1:32" x14ac:dyDescent="0.15">
      <c r="A381" s="33"/>
      <c r="B381" s="9"/>
      <c r="C381" s="10"/>
      <c r="D381" s="10"/>
      <c r="E381" s="8">
        <f t="shared" si="296"/>
        <v>0</v>
      </c>
      <c r="F381" s="9"/>
      <c r="G381" s="10"/>
      <c r="H381" s="10"/>
      <c r="I381" s="8">
        <f t="shared" si="297"/>
        <v>0</v>
      </c>
      <c r="J381" s="9"/>
      <c r="K381" s="10"/>
      <c r="L381" s="10"/>
      <c r="M381" s="39">
        <f t="shared" si="298"/>
        <v>0</v>
      </c>
      <c r="N381" s="138">
        <f t="shared" si="299"/>
        <v>0</v>
      </c>
      <c r="P381" s="81" t="s">
        <v>301</v>
      </c>
      <c r="Q381" s="71"/>
      <c r="R381" s="72"/>
      <c r="S381" s="72"/>
      <c r="T381" s="73">
        <f t="shared" si="324"/>
        <v>0</v>
      </c>
      <c r="U381" s="71"/>
      <c r="V381" s="72"/>
      <c r="W381" s="72"/>
      <c r="X381" s="73">
        <f t="shared" si="325"/>
        <v>0</v>
      </c>
      <c r="Y381" s="71"/>
      <c r="Z381" s="72"/>
      <c r="AA381" s="72"/>
      <c r="AB381" s="73">
        <f t="shared" si="326"/>
        <v>0</v>
      </c>
      <c r="AC381" s="92">
        <f t="shared" si="327"/>
        <v>0</v>
      </c>
      <c r="AD381" s="120"/>
      <c r="AE381" s="58"/>
    </row>
    <row r="382" spans="1:32" x14ac:dyDescent="0.15">
      <c r="A382" s="33"/>
      <c r="B382" s="9"/>
      <c r="C382" s="10"/>
      <c r="D382" s="10"/>
      <c r="E382" s="8">
        <f t="shared" si="296"/>
        <v>0</v>
      </c>
      <c r="F382" s="9"/>
      <c r="G382" s="10"/>
      <c r="H382" s="10"/>
      <c r="I382" s="8">
        <f t="shared" si="297"/>
        <v>0</v>
      </c>
      <c r="J382" s="9"/>
      <c r="K382" s="10"/>
      <c r="L382" s="10"/>
      <c r="M382" s="39">
        <f t="shared" si="298"/>
        <v>0</v>
      </c>
      <c r="N382" s="138">
        <f t="shared" si="299"/>
        <v>0</v>
      </c>
      <c r="P382" s="4" t="s">
        <v>274</v>
      </c>
      <c r="Q382" s="9"/>
      <c r="R382" s="10"/>
      <c r="S382" s="10"/>
      <c r="T382" s="8">
        <f t="shared" si="324"/>
        <v>0</v>
      </c>
      <c r="U382" s="9"/>
      <c r="V382" s="10"/>
      <c r="W382" s="10"/>
      <c r="X382" s="8">
        <f t="shared" si="325"/>
        <v>0</v>
      </c>
      <c r="Y382" s="9"/>
      <c r="Z382" s="10"/>
      <c r="AA382" s="10"/>
      <c r="AB382" s="8">
        <f t="shared" si="326"/>
        <v>0</v>
      </c>
      <c r="AC382" s="86">
        <f t="shared" si="327"/>
        <v>0</v>
      </c>
      <c r="AD382" s="116" t="s">
        <v>273</v>
      </c>
      <c r="AE382" s="58"/>
    </row>
    <row r="383" spans="1:32" x14ac:dyDescent="0.15">
      <c r="A383" s="33"/>
      <c r="B383" s="9"/>
      <c r="C383" s="10"/>
      <c r="D383" s="10"/>
      <c r="E383" s="8">
        <f t="shared" si="296"/>
        <v>0</v>
      </c>
      <c r="F383" s="9"/>
      <c r="G383" s="10"/>
      <c r="H383" s="10"/>
      <c r="I383" s="8">
        <f t="shared" si="297"/>
        <v>0</v>
      </c>
      <c r="J383" s="9"/>
      <c r="K383" s="10"/>
      <c r="L383" s="10"/>
      <c r="M383" s="39">
        <f t="shared" si="298"/>
        <v>0</v>
      </c>
      <c r="N383" s="138">
        <f t="shared" si="299"/>
        <v>0</v>
      </c>
      <c r="P383" s="6" t="s">
        <v>375</v>
      </c>
      <c r="Q383" s="74"/>
      <c r="R383" s="75"/>
      <c r="S383" s="75"/>
      <c r="T383" s="73">
        <f t="shared" si="324"/>
        <v>0</v>
      </c>
      <c r="U383" s="74"/>
      <c r="V383" s="75"/>
      <c r="W383" s="75"/>
      <c r="X383" s="73">
        <f t="shared" si="325"/>
        <v>0</v>
      </c>
      <c r="Y383" s="74"/>
      <c r="Z383" s="75"/>
      <c r="AA383" s="75"/>
      <c r="AB383" s="73">
        <f t="shared" si="326"/>
        <v>0</v>
      </c>
      <c r="AC383" s="110">
        <f t="shared" si="327"/>
        <v>0</v>
      </c>
      <c r="AD383" s="109"/>
      <c r="AE383" s="58"/>
    </row>
    <row r="384" spans="1:32" ht="14.25" thickBot="1" x14ac:dyDescent="0.2">
      <c r="A384" s="33"/>
      <c r="B384" s="9"/>
      <c r="C384" s="10"/>
      <c r="D384" s="10"/>
      <c r="E384" s="8">
        <f t="shared" ref="E384" si="328">SUM(B384:D384)</f>
        <v>0</v>
      </c>
      <c r="F384" s="9"/>
      <c r="G384" s="10"/>
      <c r="H384" s="10"/>
      <c r="I384" s="8">
        <f t="shared" ref="I384" si="329">SUM(F384:H384)</f>
        <v>0</v>
      </c>
      <c r="J384" s="9"/>
      <c r="K384" s="10"/>
      <c r="L384" s="10"/>
      <c r="M384" s="39">
        <f t="shared" ref="M384" si="330">SUM(J384:L384)</f>
        <v>0</v>
      </c>
      <c r="N384" s="138">
        <f t="shared" ref="N384" si="331">E384+I384+M384</f>
        <v>0</v>
      </c>
      <c r="P384" s="11" t="s">
        <v>232</v>
      </c>
      <c r="Q384" s="9"/>
      <c r="R384" s="10"/>
      <c r="S384" s="10"/>
      <c r="T384" s="8">
        <f t="shared" si="324"/>
        <v>0</v>
      </c>
      <c r="U384" s="9"/>
      <c r="V384" s="10"/>
      <c r="W384" s="10"/>
      <c r="X384" s="8">
        <f t="shared" si="325"/>
        <v>0</v>
      </c>
      <c r="Y384" s="9"/>
      <c r="Z384" s="10"/>
      <c r="AA384" s="10"/>
      <c r="AB384" s="8">
        <f t="shared" si="326"/>
        <v>0</v>
      </c>
      <c r="AC384" s="86">
        <f t="shared" si="327"/>
        <v>0</v>
      </c>
      <c r="AD384" s="116" t="s">
        <v>231</v>
      </c>
      <c r="AE384" s="58"/>
    </row>
    <row r="385" spans="1:30" ht="14.25" thickBot="1" x14ac:dyDescent="0.2">
      <c r="A385" s="104" t="s">
        <v>5</v>
      </c>
      <c r="B385" s="12">
        <f>SUM(B361:B384)</f>
        <v>6</v>
      </c>
      <c r="C385" s="12">
        <f>SUM(C361:C384)</f>
        <v>7</v>
      </c>
      <c r="D385" s="12">
        <f>SUM(D361:D384)</f>
        <v>7</v>
      </c>
      <c r="E385" s="13">
        <f t="shared" si="296"/>
        <v>20</v>
      </c>
      <c r="F385" s="12">
        <f>SUM(F361:F384)</f>
        <v>6</v>
      </c>
      <c r="G385" s="12">
        <f>SUM(G361:G384)</f>
        <v>5</v>
      </c>
      <c r="H385" s="12">
        <f>SUM(H361:H384)</f>
        <v>8</v>
      </c>
      <c r="I385" s="13">
        <f t="shared" si="297"/>
        <v>19</v>
      </c>
      <c r="J385" s="12">
        <f>SUM(J361:J384)</f>
        <v>6</v>
      </c>
      <c r="K385" s="12">
        <f>SUM(K361:K384)</f>
        <v>5</v>
      </c>
      <c r="L385" s="12">
        <f>SUM(L361:L384)</f>
        <v>7</v>
      </c>
      <c r="M385" s="12">
        <f t="shared" si="298"/>
        <v>18</v>
      </c>
      <c r="N385" s="142">
        <f t="shared" si="299"/>
        <v>57</v>
      </c>
      <c r="P385" s="3" t="s">
        <v>5</v>
      </c>
      <c r="Q385" s="12">
        <f>SUM(Q361:Q384)</f>
        <v>136</v>
      </c>
      <c r="R385" s="12">
        <f t="shared" ref="R385" si="332">SUM(R361:R384)</f>
        <v>183</v>
      </c>
      <c r="S385" s="12">
        <f t="shared" ref="S385" si="333">SUM(S361:S384)</f>
        <v>137</v>
      </c>
      <c r="T385" s="13">
        <f t="shared" ref="T385" si="334">SUM(T361:T384)</f>
        <v>456</v>
      </c>
      <c r="U385" s="12">
        <f t="shared" ref="U385" si="335">SUM(U361:U384)</f>
        <v>136</v>
      </c>
      <c r="V385" s="12">
        <f t="shared" ref="V385" si="336">SUM(V361:V384)</f>
        <v>183</v>
      </c>
      <c r="W385" s="12">
        <f t="shared" ref="W385" si="337">SUM(W361:W384)</f>
        <v>147</v>
      </c>
      <c r="X385" s="13">
        <f t="shared" ref="X385" si="338">SUM(X361:X384)</f>
        <v>466</v>
      </c>
      <c r="Y385" s="12">
        <f t="shared" ref="Y385" si="339">SUM(Y361:Y384)</f>
        <v>136</v>
      </c>
      <c r="Z385" s="12">
        <f t="shared" ref="Z385" si="340">SUM(Z361:Z384)</f>
        <v>183</v>
      </c>
      <c r="AA385" s="12">
        <f t="shared" ref="AA385" si="341">SUM(AA361:AA384)</f>
        <v>147</v>
      </c>
      <c r="AB385" s="13">
        <f t="shared" ref="AB385" si="342">SUM(AB361:AB384)</f>
        <v>466</v>
      </c>
      <c r="AC385" s="155">
        <f t="shared" ref="AC385" si="343">SUM(AC361:AC384)</f>
        <v>1388</v>
      </c>
    </row>
    <row r="386" spans="1:30" ht="14.25" thickBot="1" x14ac:dyDescent="0.2">
      <c r="A386" s="105" t="s">
        <v>6</v>
      </c>
      <c r="B386" s="20">
        <f>B360-B385</f>
        <v>8</v>
      </c>
      <c r="C386" s="20">
        <f t="shared" ref="C386:E386" si="344">C360-C385</f>
        <v>7</v>
      </c>
      <c r="D386" s="20">
        <f t="shared" si="344"/>
        <v>5</v>
      </c>
      <c r="E386" s="18">
        <f t="shared" si="344"/>
        <v>20</v>
      </c>
      <c r="F386" s="20">
        <f>F360-F385</f>
        <v>9</v>
      </c>
      <c r="G386" s="20">
        <f t="shared" ref="G386:I386" si="345">G360-G385</f>
        <v>14</v>
      </c>
      <c r="H386" s="20">
        <f t="shared" si="345"/>
        <v>8</v>
      </c>
      <c r="I386" s="18">
        <f t="shared" si="345"/>
        <v>31</v>
      </c>
      <c r="J386" s="20">
        <f>J360-J385</f>
        <v>11</v>
      </c>
      <c r="K386" s="20">
        <f t="shared" ref="K386:M386" si="346">K360-K385</f>
        <v>12</v>
      </c>
      <c r="L386" s="20">
        <f t="shared" si="346"/>
        <v>9</v>
      </c>
      <c r="M386" s="20">
        <f t="shared" si="346"/>
        <v>32</v>
      </c>
      <c r="N386" s="140">
        <f t="shared" si="299"/>
        <v>83</v>
      </c>
      <c r="P386" s="19" t="s">
        <v>6</v>
      </c>
      <c r="Q386" s="20">
        <f>Q360-Q385</f>
        <v>251</v>
      </c>
      <c r="R386" s="20">
        <f t="shared" ref="R386" si="347">R360-R385</f>
        <v>135</v>
      </c>
      <c r="S386" s="20">
        <f t="shared" ref="S386" si="348">S360-S385</f>
        <v>131</v>
      </c>
      <c r="T386" s="18">
        <f t="shared" ref="T386" si="349">T360-T385</f>
        <v>517</v>
      </c>
      <c r="U386" s="20">
        <f t="shared" ref="U386" si="350">U360-U385</f>
        <v>259</v>
      </c>
      <c r="V386" s="20">
        <f t="shared" ref="V386" si="351">V360-V385</f>
        <v>163</v>
      </c>
      <c r="W386" s="20">
        <f t="shared" ref="W386" si="352">W360-W385</f>
        <v>177</v>
      </c>
      <c r="X386" s="18">
        <f t="shared" ref="X386" si="353">X360-X385</f>
        <v>599</v>
      </c>
      <c r="Y386" s="20">
        <f t="shared" ref="Y386" si="354">Y360-Y385</f>
        <v>243</v>
      </c>
      <c r="Z386" s="20">
        <f t="shared" ref="Z386" si="355">Z360-Z385</f>
        <v>140</v>
      </c>
      <c r="AA386" s="20">
        <f t="shared" ref="AA386" si="356">AA360-AA385</f>
        <v>146</v>
      </c>
      <c r="AB386" s="18">
        <f t="shared" ref="AB386" si="357">AB360-AB385</f>
        <v>529</v>
      </c>
      <c r="AC386" s="88">
        <f t="shared" ref="AC386" si="358">AC360-AC385</f>
        <v>1645</v>
      </c>
    </row>
    <row r="389" spans="1:30" ht="19.5" thickBot="1" x14ac:dyDescent="0.25">
      <c r="A389" s="108" t="s">
        <v>264</v>
      </c>
      <c r="B389" s="47"/>
      <c r="C389" s="47"/>
      <c r="D389" s="47"/>
      <c r="E389" s="47"/>
      <c r="F389" s="48"/>
      <c r="G389" s="48"/>
      <c r="H389" s="48"/>
      <c r="I389" s="48"/>
      <c r="J389" s="48"/>
      <c r="K389" s="48"/>
      <c r="L389" s="1"/>
      <c r="M389" s="1"/>
      <c r="N389" s="137"/>
      <c r="P389" s="43" t="s">
        <v>263</v>
      </c>
      <c r="Q389" s="44"/>
      <c r="R389" s="44"/>
      <c r="S389" s="44"/>
      <c r="T389" s="44"/>
      <c r="U389" s="45"/>
      <c r="V389" s="45"/>
      <c r="W389" s="45"/>
      <c r="X389" s="45"/>
      <c r="Y389" s="46"/>
      <c r="Z389" s="53"/>
      <c r="AA389" s="1"/>
      <c r="AB389" s="1"/>
    </row>
    <row r="390" spans="1:30" ht="14.25" thickBot="1" x14ac:dyDescent="0.2">
      <c r="A390" s="100" t="s">
        <v>0</v>
      </c>
      <c r="B390" s="337" t="s">
        <v>11</v>
      </c>
      <c r="C390" s="337"/>
      <c r="D390" s="337"/>
      <c r="E390" s="338"/>
      <c r="F390" s="339" t="s">
        <v>9</v>
      </c>
      <c r="G390" s="340"/>
      <c r="H390" s="340"/>
      <c r="I390" s="341"/>
      <c r="J390" s="342" t="s">
        <v>12</v>
      </c>
      <c r="K390" s="343"/>
      <c r="L390" s="343"/>
      <c r="M390" s="343"/>
      <c r="N390" s="347" t="s">
        <v>13</v>
      </c>
      <c r="P390" s="2" t="s">
        <v>0</v>
      </c>
      <c r="Q390" s="337" t="s">
        <v>11</v>
      </c>
      <c r="R390" s="337"/>
      <c r="S390" s="337"/>
      <c r="T390" s="338"/>
      <c r="U390" s="339" t="s">
        <v>9</v>
      </c>
      <c r="V390" s="340"/>
      <c r="W390" s="340"/>
      <c r="X390" s="341"/>
      <c r="Y390" s="342" t="s">
        <v>12</v>
      </c>
      <c r="Z390" s="343"/>
      <c r="AA390" s="343"/>
      <c r="AB390" s="343"/>
      <c r="AC390" s="345" t="s">
        <v>13</v>
      </c>
    </row>
    <row r="391" spans="1:30" ht="14.25" thickBot="1" x14ac:dyDescent="0.2">
      <c r="A391" s="100" t="s">
        <v>1</v>
      </c>
      <c r="B391" s="3" t="s">
        <v>7</v>
      </c>
      <c r="C391" s="2" t="s">
        <v>10</v>
      </c>
      <c r="D391" s="2" t="s">
        <v>8</v>
      </c>
      <c r="E391" s="2" t="s">
        <v>2</v>
      </c>
      <c r="F391" s="3" t="s">
        <v>7</v>
      </c>
      <c r="G391" s="2" t="s">
        <v>10</v>
      </c>
      <c r="H391" s="2" t="s">
        <v>8</v>
      </c>
      <c r="I391" s="2" t="s">
        <v>2</v>
      </c>
      <c r="J391" s="3" t="s">
        <v>7</v>
      </c>
      <c r="K391" s="2" t="s">
        <v>10</v>
      </c>
      <c r="L391" s="2" t="s">
        <v>8</v>
      </c>
      <c r="M391" s="3" t="s">
        <v>2</v>
      </c>
      <c r="N391" s="348"/>
      <c r="P391" s="2" t="s">
        <v>1</v>
      </c>
      <c r="Q391" s="3" t="s">
        <v>7</v>
      </c>
      <c r="R391" s="2" t="s">
        <v>10</v>
      </c>
      <c r="S391" s="2" t="s">
        <v>8</v>
      </c>
      <c r="T391" s="2" t="s">
        <v>2</v>
      </c>
      <c r="U391" s="3" t="s">
        <v>7</v>
      </c>
      <c r="V391" s="2" t="s">
        <v>10</v>
      </c>
      <c r="W391" s="2" t="s">
        <v>8</v>
      </c>
      <c r="X391" s="2" t="s">
        <v>2</v>
      </c>
      <c r="Y391" s="3" t="s">
        <v>7</v>
      </c>
      <c r="Z391" s="2" t="s">
        <v>10</v>
      </c>
      <c r="AA391" s="2" t="s">
        <v>8</v>
      </c>
      <c r="AB391" s="2" t="s">
        <v>2</v>
      </c>
      <c r="AC391" s="346"/>
    </row>
    <row r="392" spans="1:30" x14ac:dyDescent="0.15">
      <c r="A392" s="106" t="s">
        <v>6</v>
      </c>
      <c r="B392" s="41">
        <f>B386</f>
        <v>8</v>
      </c>
      <c r="C392" s="41">
        <f t="shared" ref="C392:E392" si="359">C386</f>
        <v>7</v>
      </c>
      <c r="D392" s="41">
        <f t="shared" si="359"/>
        <v>5</v>
      </c>
      <c r="E392" s="42">
        <f t="shared" si="359"/>
        <v>20</v>
      </c>
      <c r="F392" s="41">
        <f>F386</f>
        <v>9</v>
      </c>
      <c r="G392" s="41">
        <f t="shared" ref="G392:I392" si="360">G386</f>
        <v>14</v>
      </c>
      <c r="H392" s="41">
        <f t="shared" si="360"/>
        <v>8</v>
      </c>
      <c r="I392" s="42">
        <f t="shared" si="360"/>
        <v>31</v>
      </c>
      <c r="J392" s="41">
        <f>J386</f>
        <v>11</v>
      </c>
      <c r="K392" s="41">
        <f t="shared" ref="K392:M392" si="361">K386</f>
        <v>12</v>
      </c>
      <c r="L392" s="41">
        <f t="shared" si="361"/>
        <v>9</v>
      </c>
      <c r="M392" s="42">
        <f t="shared" si="361"/>
        <v>32</v>
      </c>
      <c r="N392" s="143">
        <f>E392+I392+M392</f>
        <v>83</v>
      </c>
      <c r="P392" s="36" t="s">
        <v>6</v>
      </c>
      <c r="Q392" s="41">
        <f>Q386</f>
        <v>251</v>
      </c>
      <c r="R392" s="41">
        <f t="shared" ref="R392:AC392" si="362">R386</f>
        <v>135</v>
      </c>
      <c r="S392" s="41">
        <f t="shared" si="362"/>
        <v>131</v>
      </c>
      <c r="T392" s="42">
        <f t="shared" si="362"/>
        <v>517</v>
      </c>
      <c r="U392" s="41">
        <f t="shared" si="362"/>
        <v>259</v>
      </c>
      <c r="V392" s="41">
        <f t="shared" si="362"/>
        <v>163</v>
      </c>
      <c r="W392" s="41">
        <f t="shared" si="362"/>
        <v>177</v>
      </c>
      <c r="X392" s="42">
        <f t="shared" si="362"/>
        <v>599</v>
      </c>
      <c r="Y392" s="41">
        <f t="shared" si="362"/>
        <v>243</v>
      </c>
      <c r="Z392" s="41">
        <f t="shared" si="362"/>
        <v>140</v>
      </c>
      <c r="AA392" s="41">
        <f t="shared" si="362"/>
        <v>146</v>
      </c>
      <c r="AB392" s="42">
        <f t="shared" si="362"/>
        <v>529</v>
      </c>
      <c r="AC392" s="90">
        <f t="shared" si="362"/>
        <v>1645</v>
      </c>
    </row>
    <row r="393" spans="1:30" x14ac:dyDescent="0.15">
      <c r="A393" s="102" t="s">
        <v>3</v>
      </c>
      <c r="B393" s="25"/>
      <c r="C393" s="26">
        <v>10</v>
      </c>
      <c r="D393" s="26">
        <v>10</v>
      </c>
      <c r="E393" s="5">
        <f t="shared" ref="E393:E428" si="363">SUM(B393:D393)</f>
        <v>20</v>
      </c>
      <c r="F393" s="25"/>
      <c r="G393" s="26"/>
      <c r="H393" s="26"/>
      <c r="I393" s="5">
        <f t="shared" ref="I393:I428" si="364">SUM(F393:H393)</f>
        <v>0</v>
      </c>
      <c r="J393" s="25"/>
      <c r="K393" s="26"/>
      <c r="L393" s="26"/>
      <c r="M393" s="38">
        <f t="shared" ref="M393:M428" si="365">SUM(J393:L393)</f>
        <v>0</v>
      </c>
      <c r="N393" s="138">
        <f t="shared" ref="N393:N429" si="366">E393+I393+M393</f>
        <v>20</v>
      </c>
      <c r="O393" s="70">
        <v>45542</v>
      </c>
      <c r="P393" s="6" t="s">
        <v>319</v>
      </c>
      <c r="Q393" s="14">
        <v>19</v>
      </c>
      <c r="R393" s="11">
        <v>26</v>
      </c>
      <c r="S393" s="11">
        <v>20</v>
      </c>
      <c r="T393" s="5">
        <f t="shared" ref="T393:T415" si="367">SUM(Q393:S393)</f>
        <v>65</v>
      </c>
      <c r="U393" s="14">
        <v>19</v>
      </c>
      <c r="V393" s="11">
        <v>26</v>
      </c>
      <c r="W393" s="11">
        <v>20</v>
      </c>
      <c r="X393" s="5">
        <f t="shared" ref="X393:X415" si="368">SUM(U393:W393)</f>
        <v>65</v>
      </c>
      <c r="Y393" s="25">
        <v>19</v>
      </c>
      <c r="Z393" s="26">
        <v>26</v>
      </c>
      <c r="AA393" s="26">
        <v>20</v>
      </c>
      <c r="AB393" s="5">
        <f t="shared" ref="AB393:AB415" si="369">SUM(Y393:AA393)</f>
        <v>65</v>
      </c>
      <c r="AC393" s="86">
        <f t="shared" ref="AC393:AC422" si="370">T393+X393+AB393</f>
        <v>195</v>
      </c>
      <c r="AD393" s="121">
        <v>45538</v>
      </c>
    </row>
    <row r="394" spans="1:30" x14ac:dyDescent="0.15">
      <c r="A394" s="102" t="s">
        <v>57</v>
      </c>
      <c r="B394" s="14"/>
      <c r="C394" s="11"/>
      <c r="D394" s="11">
        <v>1</v>
      </c>
      <c r="E394" s="5">
        <f t="shared" si="363"/>
        <v>1</v>
      </c>
      <c r="F394" s="34"/>
      <c r="G394" s="11"/>
      <c r="H394" s="11">
        <v>1</v>
      </c>
      <c r="I394" s="5">
        <f t="shared" si="364"/>
        <v>1</v>
      </c>
      <c r="J394" s="34"/>
      <c r="K394" s="11"/>
      <c r="L394" s="11">
        <v>1</v>
      </c>
      <c r="M394" s="38">
        <f t="shared" si="365"/>
        <v>1</v>
      </c>
      <c r="N394" s="138">
        <f t="shared" si="366"/>
        <v>3</v>
      </c>
      <c r="O394" s="70">
        <v>45547</v>
      </c>
      <c r="P394" s="6" t="s">
        <v>3</v>
      </c>
      <c r="Q394" s="14"/>
      <c r="R394" s="11"/>
      <c r="S394" s="11"/>
      <c r="T394" s="5">
        <f t="shared" ref="T394" si="371">SUM(Q394:S394)</f>
        <v>0</v>
      </c>
      <c r="U394" s="14"/>
      <c r="V394" s="11"/>
      <c r="W394" s="11"/>
      <c r="X394" s="5">
        <f t="shared" ref="X394" si="372">SUM(U394:W394)</f>
        <v>0</v>
      </c>
      <c r="Y394" s="25"/>
      <c r="Z394" s="26"/>
      <c r="AA394" s="26"/>
      <c r="AB394" s="5">
        <f t="shared" ref="AB394" si="373">SUM(Y394:AA394)</f>
        <v>0</v>
      </c>
      <c r="AC394" s="86">
        <f t="shared" ref="AC394" si="374">T394+X394+AB394</f>
        <v>0</v>
      </c>
    </row>
    <row r="395" spans="1:30" x14ac:dyDescent="0.15">
      <c r="A395" s="102" t="s">
        <v>3</v>
      </c>
      <c r="B395" s="14">
        <v>10</v>
      </c>
      <c r="C395" s="11"/>
      <c r="D395" s="11"/>
      <c r="E395" s="5">
        <f t="shared" si="363"/>
        <v>10</v>
      </c>
      <c r="F395" s="34">
        <v>10</v>
      </c>
      <c r="G395" s="11"/>
      <c r="H395" s="11">
        <v>10</v>
      </c>
      <c r="I395" s="5">
        <f t="shared" si="364"/>
        <v>20</v>
      </c>
      <c r="J395" s="34">
        <v>10</v>
      </c>
      <c r="K395" s="11">
        <v>10</v>
      </c>
      <c r="L395" s="11">
        <v>10</v>
      </c>
      <c r="M395" s="38">
        <f t="shared" si="365"/>
        <v>30</v>
      </c>
      <c r="N395" s="138">
        <f t="shared" si="366"/>
        <v>60</v>
      </c>
      <c r="O395" s="24">
        <v>45548</v>
      </c>
      <c r="P395" s="6" t="s">
        <v>3</v>
      </c>
      <c r="Q395" s="14"/>
      <c r="R395" s="11"/>
      <c r="S395" s="11"/>
      <c r="T395" s="5">
        <f t="shared" ref="T395:T398" si="375">SUM(Q395:S395)</f>
        <v>0</v>
      </c>
      <c r="U395" s="14"/>
      <c r="V395" s="11"/>
      <c r="W395" s="11"/>
      <c r="X395" s="5">
        <f t="shared" ref="X395:X398" si="376">SUM(U395:W395)</f>
        <v>0</v>
      </c>
      <c r="Y395" s="25"/>
      <c r="Z395" s="26"/>
      <c r="AA395" s="26"/>
      <c r="AB395" s="5">
        <f t="shared" ref="AB395:AB398" si="377">SUM(Y395:AA395)</f>
        <v>0</v>
      </c>
      <c r="AC395" s="86">
        <f t="shared" ref="AC395:AC398" si="378">T395+X395+AB395</f>
        <v>0</v>
      </c>
    </row>
    <row r="396" spans="1:30" x14ac:dyDescent="0.15">
      <c r="A396" s="102" t="s">
        <v>319</v>
      </c>
      <c r="B396" s="14"/>
      <c r="C396" s="11"/>
      <c r="D396" s="11">
        <v>1</v>
      </c>
      <c r="E396" s="5">
        <f t="shared" si="363"/>
        <v>1</v>
      </c>
      <c r="F396" s="34"/>
      <c r="G396" s="11"/>
      <c r="H396" s="11">
        <v>1</v>
      </c>
      <c r="I396" s="5">
        <f t="shared" si="364"/>
        <v>1</v>
      </c>
      <c r="J396" s="34"/>
      <c r="K396" s="11"/>
      <c r="L396" s="11">
        <v>1</v>
      </c>
      <c r="M396" s="38">
        <f t="shared" si="365"/>
        <v>1</v>
      </c>
      <c r="N396" s="138">
        <f t="shared" si="366"/>
        <v>3</v>
      </c>
      <c r="O396" s="24">
        <v>45554</v>
      </c>
      <c r="P396" s="6" t="s">
        <v>377</v>
      </c>
      <c r="Q396" s="14">
        <v>200</v>
      </c>
      <c r="R396" s="11">
        <v>413</v>
      </c>
      <c r="S396" s="11">
        <v>321</v>
      </c>
      <c r="T396" s="5">
        <f t="shared" si="375"/>
        <v>934</v>
      </c>
      <c r="U396" s="14">
        <v>100</v>
      </c>
      <c r="V396" s="11">
        <v>313</v>
      </c>
      <c r="W396" s="11">
        <v>321</v>
      </c>
      <c r="X396" s="5">
        <f t="shared" si="376"/>
        <v>734</v>
      </c>
      <c r="Y396" s="34">
        <v>100</v>
      </c>
      <c r="Z396" s="11">
        <v>413</v>
      </c>
      <c r="AA396" s="11">
        <v>310</v>
      </c>
      <c r="AB396" s="5">
        <f t="shared" si="377"/>
        <v>823</v>
      </c>
      <c r="AC396" s="86">
        <f t="shared" si="378"/>
        <v>2491</v>
      </c>
      <c r="AD396" s="109" t="s">
        <v>416</v>
      </c>
    </row>
    <row r="397" spans="1:30" x14ac:dyDescent="0.15">
      <c r="A397" s="102" t="s">
        <v>512</v>
      </c>
      <c r="B397" s="14">
        <v>1</v>
      </c>
      <c r="C397" s="11">
        <v>1</v>
      </c>
      <c r="D397" s="11">
        <v>1</v>
      </c>
      <c r="E397" s="5">
        <f t="shared" si="363"/>
        <v>3</v>
      </c>
      <c r="F397" s="34">
        <v>1</v>
      </c>
      <c r="G397" s="11">
        <v>1</v>
      </c>
      <c r="H397" s="11">
        <v>1</v>
      </c>
      <c r="I397" s="5">
        <f t="shared" si="364"/>
        <v>3</v>
      </c>
      <c r="J397" s="34">
        <v>1</v>
      </c>
      <c r="K397" s="11">
        <v>1</v>
      </c>
      <c r="L397" s="11">
        <v>1</v>
      </c>
      <c r="M397" s="38">
        <f t="shared" si="365"/>
        <v>3</v>
      </c>
      <c r="N397" s="138">
        <f t="shared" si="366"/>
        <v>9</v>
      </c>
      <c r="O397" s="70">
        <v>45560</v>
      </c>
      <c r="P397" s="6" t="s">
        <v>415</v>
      </c>
      <c r="Q397" s="14">
        <v>18</v>
      </c>
      <c r="R397" s="11">
        <v>-4</v>
      </c>
      <c r="S397" s="11">
        <v>12</v>
      </c>
      <c r="T397" s="5">
        <f t="shared" si="375"/>
        <v>26</v>
      </c>
      <c r="U397" s="14">
        <v>10</v>
      </c>
      <c r="V397" s="11">
        <v>23</v>
      </c>
      <c r="W397" s="11">
        <v>-109</v>
      </c>
      <c r="X397" s="5">
        <f t="shared" si="376"/>
        <v>-76</v>
      </c>
      <c r="Y397" s="25">
        <v>8</v>
      </c>
      <c r="Z397" s="26">
        <v>-78</v>
      </c>
      <c r="AA397" s="26">
        <v>9</v>
      </c>
      <c r="AB397" s="5">
        <f t="shared" si="377"/>
        <v>-61</v>
      </c>
      <c r="AC397" s="94">
        <f t="shared" si="378"/>
        <v>-111</v>
      </c>
      <c r="AD397" s="116" t="s">
        <v>380</v>
      </c>
    </row>
    <row r="398" spans="1:30" x14ac:dyDescent="0.15">
      <c r="A398" s="102" t="s">
        <v>3</v>
      </c>
      <c r="B398" s="25"/>
      <c r="C398" s="26">
        <v>10</v>
      </c>
      <c r="D398" s="26"/>
      <c r="E398" s="8">
        <f t="shared" si="363"/>
        <v>10</v>
      </c>
      <c r="F398" s="25"/>
      <c r="G398" s="26">
        <v>10</v>
      </c>
      <c r="H398" s="26"/>
      <c r="I398" s="8">
        <f t="shared" si="364"/>
        <v>10</v>
      </c>
      <c r="J398" s="25"/>
      <c r="K398" s="26"/>
      <c r="L398" s="26"/>
      <c r="M398" s="39">
        <f t="shared" si="365"/>
        <v>0</v>
      </c>
      <c r="N398" s="138">
        <f t="shared" si="366"/>
        <v>20</v>
      </c>
      <c r="O398" s="24">
        <v>45565</v>
      </c>
      <c r="P398" s="6" t="s">
        <v>3</v>
      </c>
      <c r="Q398" s="14"/>
      <c r="R398" s="11"/>
      <c r="S398" s="11"/>
      <c r="T398" s="5">
        <f t="shared" si="375"/>
        <v>0</v>
      </c>
      <c r="U398" s="14"/>
      <c r="V398" s="11"/>
      <c r="W398" s="11"/>
      <c r="X398" s="5">
        <f t="shared" si="376"/>
        <v>0</v>
      </c>
      <c r="Y398" s="25"/>
      <c r="Z398" s="26"/>
      <c r="AA398" s="26"/>
      <c r="AB398" s="5">
        <f t="shared" si="377"/>
        <v>0</v>
      </c>
      <c r="AC398" s="86">
        <f t="shared" si="378"/>
        <v>0</v>
      </c>
    </row>
    <row r="399" spans="1:30" x14ac:dyDescent="0.15">
      <c r="A399" s="102" t="s">
        <v>3</v>
      </c>
      <c r="B399" s="27"/>
      <c r="C399" s="26"/>
      <c r="D399" s="26"/>
      <c r="E399" s="5">
        <f t="shared" si="363"/>
        <v>0</v>
      </c>
      <c r="F399" s="25"/>
      <c r="G399" s="26"/>
      <c r="H399" s="26"/>
      <c r="I399" s="5">
        <f t="shared" si="364"/>
        <v>0</v>
      </c>
      <c r="J399" s="25"/>
      <c r="K399" s="26"/>
      <c r="L399" s="26"/>
      <c r="M399" s="38">
        <f t="shared" si="365"/>
        <v>0</v>
      </c>
      <c r="N399" s="138">
        <f t="shared" si="366"/>
        <v>0</v>
      </c>
      <c r="O399" s="58"/>
      <c r="P399" s="6" t="s">
        <v>3</v>
      </c>
      <c r="Q399" s="27"/>
      <c r="R399" s="26"/>
      <c r="S399" s="26"/>
      <c r="T399" s="5">
        <f t="shared" si="367"/>
        <v>0</v>
      </c>
      <c r="U399" s="27"/>
      <c r="V399" s="26"/>
      <c r="W399" s="26"/>
      <c r="X399" s="5">
        <f t="shared" si="368"/>
        <v>0</v>
      </c>
      <c r="Y399" s="25"/>
      <c r="Z399" s="26"/>
      <c r="AA399" s="26"/>
      <c r="AB399" s="5">
        <f t="shared" si="369"/>
        <v>0</v>
      </c>
      <c r="AC399" s="86">
        <f t="shared" si="370"/>
        <v>0</v>
      </c>
    </row>
    <row r="400" spans="1:30" x14ac:dyDescent="0.15">
      <c r="A400" s="102" t="s">
        <v>3</v>
      </c>
      <c r="B400" s="27"/>
      <c r="C400" s="26"/>
      <c r="D400" s="26"/>
      <c r="E400" s="5">
        <f t="shared" si="363"/>
        <v>0</v>
      </c>
      <c r="F400" s="25"/>
      <c r="G400" s="26"/>
      <c r="H400" s="26"/>
      <c r="I400" s="5">
        <f t="shared" si="364"/>
        <v>0</v>
      </c>
      <c r="J400" s="25"/>
      <c r="K400" s="26"/>
      <c r="L400" s="26"/>
      <c r="M400" s="38">
        <f t="shared" si="365"/>
        <v>0</v>
      </c>
      <c r="N400" s="138">
        <f t="shared" si="366"/>
        <v>0</v>
      </c>
      <c r="O400" s="58"/>
      <c r="P400" s="6" t="s">
        <v>3</v>
      </c>
      <c r="Q400" s="14"/>
      <c r="R400" s="11"/>
      <c r="S400" s="11"/>
      <c r="T400" s="5">
        <f t="shared" si="367"/>
        <v>0</v>
      </c>
      <c r="U400" s="14"/>
      <c r="V400" s="11"/>
      <c r="W400" s="11"/>
      <c r="X400" s="5">
        <f t="shared" si="368"/>
        <v>0</v>
      </c>
      <c r="Y400" s="25"/>
      <c r="Z400" s="26"/>
      <c r="AA400" s="26"/>
      <c r="AB400" s="5">
        <f t="shared" si="369"/>
        <v>0</v>
      </c>
      <c r="AC400" s="86">
        <f t="shared" si="370"/>
        <v>0</v>
      </c>
    </row>
    <row r="401" spans="1:34" x14ac:dyDescent="0.15">
      <c r="A401" s="102" t="s">
        <v>3</v>
      </c>
      <c r="B401" s="27"/>
      <c r="C401" s="26"/>
      <c r="D401" s="26"/>
      <c r="E401" s="5">
        <f t="shared" si="363"/>
        <v>0</v>
      </c>
      <c r="F401" s="25"/>
      <c r="G401" s="26"/>
      <c r="H401" s="26"/>
      <c r="I401" s="5">
        <f t="shared" si="364"/>
        <v>0</v>
      </c>
      <c r="J401" s="25"/>
      <c r="K401" s="26"/>
      <c r="L401" s="26"/>
      <c r="M401" s="38">
        <f t="shared" si="365"/>
        <v>0</v>
      </c>
      <c r="N401" s="138">
        <f t="shared" si="366"/>
        <v>0</v>
      </c>
      <c r="P401" s="6" t="s">
        <v>3</v>
      </c>
      <c r="Q401" s="14"/>
      <c r="R401" s="11"/>
      <c r="S401" s="11"/>
      <c r="T401" s="5">
        <f t="shared" ref="T401" si="379">SUM(Q401:S401)</f>
        <v>0</v>
      </c>
      <c r="U401" s="14"/>
      <c r="V401" s="11"/>
      <c r="W401" s="11"/>
      <c r="X401" s="5">
        <f t="shared" ref="X401" si="380">SUM(U401:W401)</f>
        <v>0</v>
      </c>
      <c r="Y401" s="25"/>
      <c r="Z401" s="26"/>
      <c r="AA401" s="26"/>
      <c r="AB401" s="5">
        <f t="shared" ref="AB401" si="381">SUM(Y401:AA401)</f>
        <v>0</v>
      </c>
      <c r="AC401" s="86">
        <f t="shared" ref="AC401" si="382">T401+X401+AB401</f>
        <v>0</v>
      </c>
    </row>
    <row r="402" spans="1:34" ht="14.25" thickBot="1" x14ac:dyDescent="0.2">
      <c r="A402" s="102" t="s">
        <v>3</v>
      </c>
      <c r="B402" s="28"/>
      <c r="C402" s="29"/>
      <c r="D402" s="32"/>
      <c r="E402" s="15">
        <f t="shared" si="363"/>
        <v>0</v>
      </c>
      <c r="F402" s="35"/>
      <c r="G402" s="29"/>
      <c r="H402" s="32"/>
      <c r="I402" s="15">
        <f t="shared" si="364"/>
        <v>0</v>
      </c>
      <c r="J402" s="35"/>
      <c r="K402" s="29"/>
      <c r="L402" s="32"/>
      <c r="M402" s="40">
        <f t="shared" si="365"/>
        <v>0</v>
      </c>
      <c r="N402" s="139">
        <f t="shared" si="366"/>
        <v>0</v>
      </c>
      <c r="P402" s="6" t="s">
        <v>3</v>
      </c>
      <c r="Q402" s="14"/>
      <c r="R402" s="11"/>
      <c r="S402" s="11"/>
      <c r="T402" s="5">
        <f t="shared" ref="T402" si="383">SUM(Q402:S402)</f>
        <v>0</v>
      </c>
      <c r="U402" s="14"/>
      <c r="V402" s="11"/>
      <c r="W402" s="11"/>
      <c r="X402" s="5">
        <f t="shared" ref="X402" si="384">SUM(U402:W402)</f>
        <v>0</v>
      </c>
      <c r="Y402" s="25"/>
      <c r="Z402" s="26"/>
      <c r="AA402" s="26"/>
      <c r="AB402" s="5">
        <f t="shared" ref="AB402" si="385">SUM(Y402:AA402)</f>
        <v>0</v>
      </c>
      <c r="AC402" s="86">
        <f t="shared" ref="AC402" si="386">T402+X402+AB402</f>
        <v>0</v>
      </c>
    </row>
    <row r="403" spans="1:34" ht="14.25" thickBot="1" x14ac:dyDescent="0.2">
      <c r="A403" s="103" t="s">
        <v>4</v>
      </c>
      <c r="B403" s="17">
        <f>SUM(B392:B402)</f>
        <v>19</v>
      </c>
      <c r="C403" s="17">
        <f>SUM(C392:C402)</f>
        <v>28</v>
      </c>
      <c r="D403" s="17">
        <f>SUM(D392:D402)</f>
        <v>18</v>
      </c>
      <c r="E403" s="18">
        <f t="shared" si="363"/>
        <v>65</v>
      </c>
      <c r="F403" s="17">
        <f>SUM(F392:F402)</f>
        <v>20</v>
      </c>
      <c r="G403" s="17">
        <f>SUM(G392:G402)</f>
        <v>25</v>
      </c>
      <c r="H403" s="17">
        <f>SUM(H392:H402)</f>
        <v>21</v>
      </c>
      <c r="I403" s="18">
        <f t="shared" si="364"/>
        <v>66</v>
      </c>
      <c r="J403" s="17">
        <f>SUM(J392:J402)</f>
        <v>22</v>
      </c>
      <c r="K403" s="17">
        <f>SUM(K392:K402)</f>
        <v>23</v>
      </c>
      <c r="L403" s="17">
        <f>SUM(L392:L402)</f>
        <v>22</v>
      </c>
      <c r="M403" s="20">
        <f t="shared" si="365"/>
        <v>67</v>
      </c>
      <c r="N403" s="140">
        <f t="shared" si="366"/>
        <v>198</v>
      </c>
      <c r="P403" s="16" t="s">
        <v>4</v>
      </c>
      <c r="Q403" s="17">
        <f>SUM(Q392:Q402)</f>
        <v>488</v>
      </c>
      <c r="R403" s="17">
        <f t="shared" ref="R403" si="387">SUM(R392:R402)</f>
        <v>570</v>
      </c>
      <c r="S403" s="17">
        <f t="shared" ref="S403" si="388">SUM(S392:S402)</f>
        <v>484</v>
      </c>
      <c r="T403" s="18">
        <f t="shared" ref="T403" si="389">SUM(T392:T402)</f>
        <v>1542</v>
      </c>
      <c r="U403" s="17">
        <f t="shared" ref="U403" si="390">SUM(U392:U402)</f>
        <v>388</v>
      </c>
      <c r="V403" s="17">
        <f t="shared" ref="V403" si="391">SUM(V392:V402)</f>
        <v>525</v>
      </c>
      <c r="W403" s="17">
        <f t="shared" ref="W403" si="392">SUM(W392:W402)</f>
        <v>409</v>
      </c>
      <c r="X403" s="18">
        <f t="shared" ref="X403" si="393">SUM(X392:X402)</f>
        <v>1322</v>
      </c>
      <c r="Y403" s="17">
        <f t="shared" ref="Y403" si="394">SUM(Y392:Y402)</f>
        <v>370</v>
      </c>
      <c r="Z403" s="17">
        <f t="shared" ref="Z403" si="395">SUM(Z392:Z402)</f>
        <v>501</v>
      </c>
      <c r="AA403" s="17">
        <f t="shared" ref="AA403" si="396">SUM(AA392:AA402)</f>
        <v>485</v>
      </c>
      <c r="AB403" s="18">
        <f t="shared" ref="AB403" si="397">SUM(AB392:AB402)</f>
        <v>1356</v>
      </c>
      <c r="AC403" s="88">
        <f t="shared" ref="AC403" si="398">SUM(AC392:AC402)</f>
        <v>4220</v>
      </c>
    </row>
    <row r="404" spans="1:34" x14ac:dyDescent="0.15">
      <c r="A404" s="33" t="s">
        <v>385</v>
      </c>
      <c r="B404" s="9"/>
      <c r="C404" s="10">
        <v>3</v>
      </c>
      <c r="D404" s="31"/>
      <c r="E404" s="5">
        <f t="shared" si="363"/>
        <v>3</v>
      </c>
      <c r="F404" s="9"/>
      <c r="G404" s="10"/>
      <c r="H404" s="31"/>
      <c r="I404" s="5">
        <f t="shared" si="364"/>
        <v>0</v>
      </c>
      <c r="J404" s="9"/>
      <c r="K404" s="10"/>
      <c r="L404" s="31"/>
      <c r="M404" s="38">
        <f t="shared" si="365"/>
        <v>0</v>
      </c>
      <c r="N404" s="141">
        <f t="shared" si="366"/>
        <v>3</v>
      </c>
      <c r="O404" s="24">
        <v>45517</v>
      </c>
      <c r="P404" s="11" t="s">
        <v>390</v>
      </c>
      <c r="Q404" s="9">
        <v>1</v>
      </c>
      <c r="R404" s="10">
        <v>1</v>
      </c>
      <c r="S404" s="10"/>
      <c r="T404" s="5">
        <f t="shared" ref="T404:T405" si="399">SUM(Q404:S404)</f>
        <v>2</v>
      </c>
      <c r="U404" s="9">
        <v>1</v>
      </c>
      <c r="V404" s="10">
        <v>1</v>
      </c>
      <c r="W404" s="10"/>
      <c r="X404" s="5">
        <f t="shared" ref="X404:X405" si="400">SUM(U404:W404)</f>
        <v>2</v>
      </c>
      <c r="Y404" s="9">
        <v>1</v>
      </c>
      <c r="Z404" s="10">
        <v>1</v>
      </c>
      <c r="AA404" s="10"/>
      <c r="AB404" s="5">
        <f t="shared" ref="AB404:AB405" si="401">SUM(Y404:AA404)</f>
        <v>2</v>
      </c>
      <c r="AC404" s="86">
        <f t="shared" ref="AC404:AC405" si="402">T404+X404+AB404</f>
        <v>6</v>
      </c>
      <c r="AD404" s="109">
        <v>45539</v>
      </c>
    </row>
    <row r="405" spans="1:34" x14ac:dyDescent="0.15">
      <c r="A405" s="33" t="s">
        <v>36</v>
      </c>
      <c r="B405" s="9"/>
      <c r="C405" s="10">
        <v>1</v>
      </c>
      <c r="D405" s="10"/>
      <c r="E405" s="5">
        <f t="shared" si="363"/>
        <v>1</v>
      </c>
      <c r="F405" s="9"/>
      <c r="G405" s="10">
        <v>1</v>
      </c>
      <c r="H405" s="10"/>
      <c r="I405" s="5">
        <f t="shared" si="364"/>
        <v>1</v>
      </c>
      <c r="J405" s="9"/>
      <c r="K405" s="10">
        <v>1</v>
      </c>
      <c r="L405" s="10"/>
      <c r="M405" s="38">
        <f t="shared" si="365"/>
        <v>1</v>
      </c>
      <c r="N405" s="138">
        <f t="shared" si="366"/>
        <v>3</v>
      </c>
      <c r="O405" s="24">
        <v>45542</v>
      </c>
      <c r="P405" s="11" t="s">
        <v>396</v>
      </c>
      <c r="Q405" s="9"/>
      <c r="R405" s="10">
        <v>10</v>
      </c>
      <c r="S405" s="10"/>
      <c r="T405" s="5">
        <f t="shared" si="399"/>
        <v>10</v>
      </c>
      <c r="U405" s="9"/>
      <c r="V405" s="10">
        <v>10</v>
      </c>
      <c r="W405" s="10"/>
      <c r="X405" s="5">
        <f t="shared" si="400"/>
        <v>10</v>
      </c>
      <c r="Y405" s="9"/>
      <c r="Z405" s="10">
        <v>10</v>
      </c>
      <c r="AA405" s="10"/>
      <c r="AB405" s="5">
        <f t="shared" si="401"/>
        <v>10</v>
      </c>
      <c r="AC405" s="86">
        <f t="shared" si="402"/>
        <v>30</v>
      </c>
      <c r="AD405" s="109">
        <v>45538</v>
      </c>
    </row>
    <row r="406" spans="1:34" x14ac:dyDescent="0.15">
      <c r="A406" s="33" t="s">
        <v>36</v>
      </c>
      <c r="B406" s="9"/>
      <c r="C406" s="10"/>
      <c r="D406" s="10"/>
      <c r="E406" s="5">
        <f t="shared" si="363"/>
        <v>0</v>
      </c>
      <c r="F406" s="9">
        <v>1</v>
      </c>
      <c r="G406" s="10"/>
      <c r="H406" s="10"/>
      <c r="I406" s="5">
        <f t="shared" si="364"/>
        <v>1</v>
      </c>
      <c r="J406" s="9"/>
      <c r="K406" s="10"/>
      <c r="L406" s="10">
        <v>1</v>
      </c>
      <c r="M406" s="38">
        <f t="shared" si="365"/>
        <v>1</v>
      </c>
      <c r="N406" s="138">
        <f t="shared" si="366"/>
        <v>2</v>
      </c>
      <c r="O406" s="70">
        <v>45544</v>
      </c>
      <c r="P406" s="11" t="s">
        <v>400</v>
      </c>
      <c r="Q406" s="9">
        <v>10</v>
      </c>
      <c r="R406" s="10">
        <v>5</v>
      </c>
      <c r="S406" s="10">
        <v>10</v>
      </c>
      <c r="T406" s="5">
        <f t="shared" si="367"/>
        <v>25</v>
      </c>
      <c r="U406" s="9">
        <v>10</v>
      </c>
      <c r="V406" s="10">
        <v>5</v>
      </c>
      <c r="W406" s="10">
        <v>10</v>
      </c>
      <c r="X406" s="5">
        <f t="shared" si="368"/>
        <v>25</v>
      </c>
      <c r="Y406" s="9">
        <v>10</v>
      </c>
      <c r="Z406" s="10">
        <v>5</v>
      </c>
      <c r="AA406" s="10">
        <v>10</v>
      </c>
      <c r="AB406" s="5">
        <f t="shared" si="369"/>
        <v>25</v>
      </c>
      <c r="AC406" s="86">
        <f t="shared" si="370"/>
        <v>75</v>
      </c>
      <c r="AD406" s="109">
        <v>45545</v>
      </c>
      <c r="AE406" s="58"/>
    </row>
    <row r="407" spans="1:34" x14ac:dyDescent="0.15">
      <c r="A407" s="33" t="s">
        <v>410</v>
      </c>
      <c r="B407" s="9">
        <v>1</v>
      </c>
      <c r="C407" s="10"/>
      <c r="D407" s="10">
        <v>1</v>
      </c>
      <c r="E407" s="5">
        <f t="shared" si="363"/>
        <v>2</v>
      </c>
      <c r="F407" s="9">
        <v>1</v>
      </c>
      <c r="G407" s="10"/>
      <c r="H407" s="10">
        <v>1</v>
      </c>
      <c r="I407" s="5">
        <f t="shared" si="364"/>
        <v>2</v>
      </c>
      <c r="J407" s="9">
        <v>1</v>
      </c>
      <c r="K407" s="10"/>
      <c r="L407" s="10">
        <v>1</v>
      </c>
      <c r="M407" s="38">
        <f t="shared" si="365"/>
        <v>2</v>
      </c>
      <c r="N407" s="138">
        <f t="shared" si="366"/>
        <v>6</v>
      </c>
      <c r="O407" s="24">
        <v>45547</v>
      </c>
      <c r="P407" s="4" t="s">
        <v>403</v>
      </c>
      <c r="Q407" s="9">
        <v>10</v>
      </c>
      <c r="R407" s="10">
        <v>17</v>
      </c>
      <c r="S407" s="10">
        <v>13</v>
      </c>
      <c r="T407" s="5">
        <f t="shared" si="367"/>
        <v>40</v>
      </c>
      <c r="U407" s="9">
        <v>10</v>
      </c>
      <c r="V407" s="10">
        <v>17</v>
      </c>
      <c r="W407" s="10">
        <v>13</v>
      </c>
      <c r="X407" s="5">
        <f t="shared" si="368"/>
        <v>40</v>
      </c>
      <c r="Y407" s="9">
        <v>10</v>
      </c>
      <c r="Z407" s="10">
        <v>17</v>
      </c>
      <c r="AA407" s="10">
        <v>13</v>
      </c>
      <c r="AB407" s="5">
        <f t="shared" si="369"/>
        <v>40</v>
      </c>
      <c r="AC407" s="86">
        <f t="shared" si="370"/>
        <v>120</v>
      </c>
      <c r="AD407" s="109">
        <v>45546</v>
      </c>
      <c r="AE407" s="58"/>
      <c r="AF407" s="58"/>
    </row>
    <row r="408" spans="1:34" x14ac:dyDescent="0.15">
      <c r="A408" s="33" t="s">
        <v>36</v>
      </c>
      <c r="B408" s="9"/>
      <c r="C408" s="10">
        <v>1</v>
      </c>
      <c r="D408" s="10"/>
      <c r="E408" s="5">
        <f t="shared" si="363"/>
        <v>1</v>
      </c>
      <c r="F408" s="9"/>
      <c r="G408" s="10">
        <v>1</v>
      </c>
      <c r="H408" s="10"/>
      <c r="I408" s="5">
        <f t="shared" si="364"/>
        <v>1</v>
      </c>
      <c r="J408" s="9"/>
      <c r="K408" s="10">
        <v>1</v>
      </c>
      <c r="L408" s="10"/>
      <c r="M408" s="38">
        <f t="shared" si="365"/>
        <v>1</v>
      </c>
      <c r="N408" s="138">
        <f t="shared" si="366"/>
        <v>3</v>
      </c>
      <c r="O408" s="24">
        <v>45545</v>
      </c>
      <c r="P408" s="4" t="s">
        <v>27</v>
      </c>
      <c r="Q408" s="9"/>
      <c r="R408" s="10">
        <v>10</v>
      </c>
      <c r="S408" s="10">
        <v>10</v>
      </c>
      <c r="T408" s="5">
        <f t="shared" ref="T408" si="403">SUM(Q408:S408)</f>
        <v>20</v>
      </c>
      <c r="U408" s="9"/>
      <c r="V408" s="10"/>
      <c r="W408" s="10"/>
      <c r="X408" s="5">
        <f t="shared" ref="X408" si="404">SUM(U408:W408)</f>
        <v>0</v>
      </c>
      <c r="Y408" s="9"/>
      <c r="Z408" s="10"/>
      <c r="AA408" s="10"/>
      <c r="AB408" s="5">
        <f t="shared" ref="AB408" si="405">SUM(Y408:AA408)</f>
        <v>0</v>
      </c>
      <c r="AC408" s="86">
        <f t="shared" si="370"/>
        <v>20</v>
      </c>
      <c r="AD408" s="109">
        <v>45542</v>
      </c>
      <c r="AE408" s="58"/>
      <c r="AF408" s="58"/>
    </row>
    <row r="409" spans="1:34" x14ac:dyDescent="0.15">
      <c r="A409" s="33" t="s">
        <v>412</v>
      </c>
      <c r="B409" s="9">
        <v>1</v>
      </c>
      <c r="C409" s="10">
        <v>1</v>
      </c>
      <c r="D409" s="10"/>
      <c r="E409" s="8">
        <f t="shared" si="363"/>
        <v>2</v>
      </c>
      <c r="F409" s="9">
        <v>1</v>
      </c>
      <c r="G409" s="10">
        <v>1</v>
      </c>
      <c r="H409" s="10"/>
      <c r="I409" s="8">
        <f t="shared" si="364"/>
        <v>2</v>
      </c>
      <c r="J409" s="9">
        <v>1</v>
      </c>
      <c r="K409" s="10">
        <v>1</v>
      </c>
      <c r="L409" s="10"/>
      <c r="M409" s="39">
        <f t="shared" si="365"/>
        <v>2</v>
      </c>
      <c r="N409" s="138">
        <f t="shared" si="366"/>
        <v>6</v>
      </c>
      <c r="O409" s="24">
        <v>45548</v>
      </c>
      <c r="P409" s="11" t="s">
        <v>404</v>
      </c>
      <c r="Q409" s="9"/>
      <c r="R409" s="10">
        <v>4</v>
      </c>
      <c r="S409" s="10"/>
      <c r="T409" s="8">
        <f t="shared" si="367"/>
        <v>4</v>
      </c>
      <c r="U409" s="9"/>
      <c r="V409" s="10">
        <v>4</v>
      </c>
      <c r="W409" s="10"/>
      <c r="X409" s="8">
        <f t="shared" si="368"/>
        <v>4</v>
      </c>
      <c r="Y409" s="9"/>
      <c r="Z409" s="10">
        <v>4</v>
      </c>
      <c r="AA409" s="10"/>
      <c r="AB409" s="8">
        <f t="shared" si="369"/>
        <v>4</v>
      </c>
      <c r="AC409" s="86">
        <f t="shared" si="370"/>
        <v>12</v>
      </c>
      <c r="AD409" s="109">
        <v>45546</v>
      </c>
      <c r="AE409" s="58"/>
      <c r="AF409" s="58"/>
    </row>
    <row r="410" spans="1:34" x14ac:dyDescent="0.15">
      <c r="A410" s="11" t="s">
        <v>413</v>
      </c>
      <c r="B410" s="9"/>
      <c r="C410" s="10">
        <v>1</v>
      </c>
      <c r="D410" s="10"/>
      <c r="E410" s="8">
        <f t="shared" si="363"/>
        <v>1</v>
      </c>
      <c r="F410" s="9"/>
      <c r="G410" s="10">
        <v>1</v>
      </c>
      <c r="H410" s="10"/>
      <c r="I410" s="8">
        <f t="shared" si="364"/>
        <v>1</v>
      </c>
      <c r="J410" s="9"/>
      <c r="K410" s="10">
        <v>1</v>
      </c>
      <c r="L410" s="10"/>
      <c r="M410" s="39">
        <f t="shared" si="365"/>
        <v>1</v>
      </c>
      <c r="N410" s="138">
        <f t="shared" si="366"/>
        <v>3</v>
      </c>
      <c r="O410" s="24">
        <v>45549</v>
      </c>
      <c r="P410" s="4" t="s">
        <v>411</v>
      </c>
      <c r="Q410" s="9">
        <v>30</v>
      </c>
      <c r="R410" s="10">
        <v>30</v>
      </c>
      <c r="S410" s="10">
        <v>30</v>
      </c>
      <c r="T410" s="8">
        <f t="shared" si="367"/>
        <v>90</v>
      </c>
      <c r="U410" s="9">
        <v>30</v>
      </c>
      <c r="V410" s="10">
        <v>30</v>
      </c>
      <c r="W410" s="10">
        <v>30</v>
      </c>
      <c r="X410" s="8">
        <f t="shared" si="368"/>
        <v>90</v>
      </c>
      <c r="Y410" s="9">
        <v>30</v>
      </c>
      <c r="Z410" s="10">
        <v>30</v>
      </c>
      <c r="AA410" s="10">
        <v>30</v>
      </c>
      <c r="AB410" s="8">
        <f t="shared" si="369"/>
        <v>90</v>
      </c>
      <c r="AC410" s="86">
        <f t="shared" si="370"/>
        <v>270</v>
      </c>
      <c r="AD410" s="109">
        <v>45548</v>
      </c>
      <c r="AE410" s="58"/>
      <c r="AF410" s="58"/>
    </row>
    <row r="411" spans="1:34" x14ac:dyDescent="0.15">
      <c r="A411" s="33" t="s">
        <v>419</v>
      </c>
      <c r="B411" s="9"/>
      <c r="C411" s="10"/>
      <c r="D411" s="10">
        <v>4</v>
      </c>
      <c r="E411" s="8">
        <f t="shared" si="363"/>
        <v>4</v>
      </c>
      <c r="F411" s="9"/>
      <c r="G411" s="10"/>
      <c r="H411" s="10">
        <v>4</v>
      </c>
      <c r="I411" s="8">
        <f t="shared" si="364"/>
        <v>4</v>
      </c>
      <c r="J411" s="9"/>
      <c r="K411" s="10"/>
      <c r="L411" s="10">
        <v>4</v>
      </c>
      <c r="M411" s="39">
        <f t="shared" si="365"/>
        <v>4</v>
      </c>
      <c r="N411" s="138">
        <f t="shared" si="366"/>
        <v>12</v>
      </c>
      <c r="O411" s="24">
        <v>45552</v>
      </c>
      <c r="P411" s="4" t="s">
        <v>27</v>
      </c>
      <c r="Q411" s="9">
        <v>10</v>
      </c>
      <c r="R411" s="10"/>
      <c r="S411" s="10"/>
      <c r="T411" s="8">
        <f t="shared" ref="T411" si="406">SUM(Q411:S411)</f>
        <v>10</v>
      </c>
      <c r="U411" s="9">
        <v>10</v>
      </c>
      <c r="V411" s="10"/>
      <c r="W411" s="10">
        <v>10</v>
      </c>
      <c r="X411" s="8">
        <f t="shared" ref="X411" si="407">SUM(U411:W411)</f>
        <v>20</v>
      </c>
      <c r="Y411" s="9">
        <v>10</v>
      </c>
      <c r="Z411" s="10">
        <v>10</v>
      </c>
      <c r="AA411" s="10">
        <v>10</v>
      </c>
      <c r="AB411" s="8">
        <f t="shared" ref="AB411" si="408">SUM(Y411:AA411)</f>
        <v>30</v>
      </c>
      <c r="AC411" s="86">
        <f t="shared" si="370"/>
        <v>60</v>
      </c>
      <c r="AD411" s="109">
        <v>45548</v>
      </c>
      <c r="AE411" s="58"/>
      <c r="AF411" s="58"/>
    </row>
    <row r="412" spans="1:34" x14ac:dyDescent="0.15">
      <c r="A412" s="33" t="s">
        <v>36</v>
      </c>
      <c r="B412" s="9"/>
      <c r="C412" s="10"/>
      <c r="D412" s="10"/>
      <c r="E412" s="8">
        <f t="shared" si="363"/>
        <v>0</v>
      </c>
      <c r="F412" s="9"/>
      <c r="G412" s="10"/>
      <c r="H412" s="10"/>
      <c r="I412" s="8">
        <f t="shared" si="364"/>
        <v>0</v>
      </c>
      <c r="J412" s="9">
        <v>1</v>
      </c>
      <c r="K412" s="10"/>
      <c r="L412" s="10"/>
      <c r="M412" s="39">
        <f t="shared" si="365"/>
        <v>1</v>
      </c>
      <c r="N412" s="138">
        <f t="shared" si="366"/>
        <v>1</v>
      </c>
      <c r="O412" s="24">
        <v>45552</v>
      </c>
      <c r="P412" s="33" t="s">
        <v>420</v>
      </c>
      <c r="Q412" s="9">
        <v>6</v>
      </c>
      <c r="R412" s="10">
        <v>10</v>
      </c>
      <c r="S412" s="10">
        <v>5</v>
      </c>
      <c r="T412" s="8">
        <f t="shared" si="367"/>
        <v>21</v>
      </c>
      <c r="U412" s="9">
        <v>6</v>
      </c>
      <c r="V412" s="10">
        <v>10</v>
      </c>
      <c r="W412" s="10">
        <v>5</v>
      </c>
      <c r="X412" s="8">
        <f t="shared" si="368"/>
        <v>21</v>
      </c>
      <c r="Y412" s="9">
        <v>6</v>
      </c>
      <c r="Z412" s="10">
        <v>10</v>
      </c>
      <c r="AA412" s="10">
        <v>5</v>
      </c>
      <c r="AB412" s="8">
        <f t="shared" si="369"/>
        <v>21</v>
      </c>
      <c r="AC412" s="86">
        <f t="shared" si="370"/>
        <v>63</v>
      </c>
      <c r="AD412" s="109">
        <v>45554</v>
      </c>
      <c r="AE412" s="58"/>
    </row>
    <row r="413" spans="1:34" x14ac:dyDescent="0.15">
      <c r="A413" s="4" t="s">
        <v>425</v>
      </c>
      <c r="B413" s="9"/>
      <c r="C413" s="10">
        <v>1</v>
      </c>
      <c r="D413" s="10">
        <v>1</v>
      </c>
      <c r="E413" s="8">
        <f t="shared" si="363"/>
        <v>2</v>
      </c>
      <c r="F413" s="9"/>
      <c r="G413" s="10">
        <v>1</v>
      </c>
      <c r="H413" s="10">
        <v>1</v>
      </c>
      <c r="I413" s="8">
        <f t="shared" si="364"/>
        <v>2</v>
      </c>
      <c r="J413" s="9"/>
      <c r="K413" s="10">
        <v>1</v>
      </c>
      <c r="L413" s="10">
        <v>1</v>
      </c>
      <c r="M413" s="39">
        <f t="shared" si="365"/>
        <v>2</v>
      </c>
      <c r="N413" s="138">
        <f t="shared" si="366"/>
        <v>6</v>
      </c>
      <c r="O413" s="24">
        <v>45560</v>
      </c>
      <c r="P413" s="4" t="s">
        <v>421</v>
      </c>
      <c r="Q413" s="9">
        <v>3</v>
      </c>
      <c r="R413" s="10">
        <v>7</v>
      </c>
      <c r="S413" s="10">
        <v>1</v>
      </c>
      <c r="T413" s="8">
        <f t="shared" si="367"/>
        <v>11</v>
      </c>
      <c r="U413" s="9">
        <v>3</v>
      </c>
      <c r="V413" s="10">
        <v>7</v>
      </c>
      <c r="W413" s="10">
        <v>1</v>
      </c>
      <c r="X413" s="8">
        <f t="shared" si="368"/>
        <v>11</v>
      </c>
      <c r="Y413" s="9">
        <v>3</v>
      </c>
      <c r="Z413" s="10">
        <v>7</v>
      </c>
      <c r="AA413" s="10">
        <v>1</v>
      </c>
      <c r="AB413" s="8">
        <f t="shared" si="369"/>
        <v>11</v>
      </c>
      <c r="AC413" s="86">
        <f t="shared" si="370"/>
        <v>33</v>
      </c>
      <c r="AD413" s="109">
        <v>45553</v>
      </c>
      <c r="AE413" s="58"/>
      <c r="AF413" s="58"/>
      <c r="AG413" s="58"/>
      <c r="AH413" s="58"/>
    </row>
    <row r="414" spans="1:34" x14ac:dyDescent="0.15">
      <c r="A414" s="33" t="s">
        <v>36</v>
      </c>
      <c r="B414" s="9">
        <v>1</v>
      </c>
      <c r="C414" s="10"/>
      <c r="D414" s="10">
        <v>2</v>
      </c>
      <c r="E414" s="8">
        <f t="shared" si="363"/>
        <v>3</v>
      </c>
      <c r="F414" s="9"/>
      <c r="G414" s="10"/>
      <c r="H414" s="10">
        <v>1</v>
      </c>
      <c r="I414" s="8">
        <f t="shared" si="364"/>
        <v>1</v>
      </c>
      <c r="J414" s="9">
        <v>2</v>
      </c>
      <c r="K414" s="10"/>
      <c r="L414" s="10">
        <v>1</v>
      </c>
      <c r="M414" s="39">
        <f t="shared" si="365"/>
        <v>3</v>
      </c>
      <c r="N414" s="138">
        <f t="shared" si="366"/>
        <v>7</v>
      </c>
      <c r="O414" s="24">
        <v>45559</v>
      </c>
      <c r="P414" s="11" t="s">
        <v>422</v>
      </c>
      <c r="Q414" s="9">
        <v>1</v>
      </c>
      <c r="R414" s="10"/>
      <c r="S414" s="10"/>
      <c r="T414" s="8">
        <f t="shared" si="367"/>
        <v>1</v>
      </c>
      <c r="U414" s="9">
        <v>1</v>
      </c>
      <c r="V414" s="10"/>
      <c r="W414" s="10"/>
      <c r="X414" s="8">
        <f t="shared" si="368"/>
        <v>1</v>
      </c>
      <c r="Y414" s="9">
        <v>1</v>
      </c>
      <c r="Z414" s="10"/>
      <c r="AA414" s="10"/>
      <c r="AB414" s="8">
        <f t="shared" si="369"/>
        <v>1</v>
      </c>
      <c r="AC414" s="86">
        <f t="shared" si="370"/>
        <v>3</v>
      </c>
      <c r="AD414" s="109">
        <v>45555</v>
      </c>
    </row>
    <row r="415" spans="1:34" x14ac:dyDescent="0.15">
      <c r="A415" s="33" t="s">
        <v>426</v>
      </c>
      <c r="B415" s="9"/>
      <c r="C415" s="10">
        <v>2</v>
      </c>
      <c r="D415" s="10"/>
      <c r="E415" s="8">
        <f t="shared" si="363"/>
        <v>2</v>
      </c>
      <c r="F415" s="9"/>
      <c r="G415" s="10">
        <v>2</v>
      </c>
      <c r="H415" s="10"/>
      <c r="I415" s="8">
        <f t="shared" si="364"/>
        <v>2</v>
      </c>
      <c r="J415" s="9"/>
      <c r="K415" s="10">
        <v>2</v>
      </c>
      <c r="L415" s="10"/>
      <c r="M415" s="39">
        <f t="shared" si="365"/>
        <v>2</v>
      </c>
      <c r="N415" s="138">
        <f t="shared" si="366"/>
        <v>6</v>
      </c>
      <c r="O415" s="24">
        <v>45562</v>
      </c>
      <c r="P415" s="4" t="s">
        <v>27</v>
      </c>
      <c r="Q415" s="9">
        <v>1</v>
      </c>
      <c r="R415" s="10">
        <v>1</v>
      </c>
      <c r="S415" s="10">
        <v>1</v>
      </c>
      <c r="T415" s="8">
        <f t="shared" si="367"/>
        <v>3</v>
      </c>
      <c r="U415" s="9">
        <v>1</v>
      </c>
      <c r="V415" s="10">
        <v>1</v>
      </c>
      <c r="W415" s="10">
        <v>1</v>
      </c>
      <c r="X415" s="8">
        <f t="shared" si="368"/>
        <v>3</v>
      </c>
      <c r="Y415" s="9">
        <v>1</v>
      </c>
      <c r="Z415" s="10">
        <v>1</v>
      </c>
      <c r="AA415" s="10">
        <v>1</v>
      </c>
      <c r="AB415" s="8">
        <f t="shared" si="369"/>
        <v>3</v>
      </c>
      <c r="AC415" s="86">
        <f t="shared" si="370"/>
        <v>9</v>
      </c>
      <c r="AD415" s="109">
        <v>45560</v>
      </c>
    </row>
    <row r="416" spans="1:34" x14ac:dyDescent="0.15">
      <c r="A416" s="33" t="s">
        <v>36</v>
      </c>
      <c r="B416" s="9">
        <v>1</v>
      </c>
      <c r="C416" s="10"/>
      <c r="D416" s="10"/>
      <c r="E416" s="8">
        <f t="shared" si="363"/>
        <v>1</v>
      </c>
      <c r="F416" s="9">
        <v>1</v>
      </c>
      <c r="G416" s="10"/>
      <c r="H416" s="10"/>
      <c r="I416" s="8">
        <f t="shared" si="364"/>
        <v>1</v>
      </c>
      <c r="J416" s="9">
        <v>1</v>
      </c>
      <c r="K416" s="10"/>
      <c r="L416" s="10"/>
      <c r="M416" s="39">
        <f t="shared" si="365"/>
        <v>1</v>
      </c>
      <c r="N416" s="138">
        <f t="shared" si="366"/>
        <v>3</v>
      </c>
      <c r="O416" s="24">
        <v>45560</v>
      </c>
      <c r="P416" s="4" t="s">
        <v>27</v>
      </c>
      <c r="Q416" s="9"/>
      <c r="R416" s="10">
        <v>10</v>
      </c>
      <c r="S416" s="10"/>
      <c r="T416" s="8">
        <f t="shared" ref="T416:T422" si="409">SUM(Q416:S416)</f>
        <v>10</v>
      </c>
      <c r="U416" s="9"/>
      <c r="V416" s="10">
        <v>10</v>
      </c>
      <c r="W416" s="10"/>
      <c r="X416" s="8">
        <f t="shared" ref="X416:X417" si="410">SUM(U416:W416)</f>
        <v>10</v>
      </c>
      <c r="Y416" s="9"/>
      <c r="Z416" s="10"/>
      <c r="AA416" s="10"/>
      <c r="AB416" s="8">
        <f t="shared" ref="AB416:AB417" si="411">SUM(Y416:AA416)</f>
        <v>0</v>
      </c>
      <c r="AC416" s="86">
        <f t="shared" si="370"/>
        <v>20</v>
      </c>
      <c r="AD416" s="109">
        <v>45565</v>
      </c>
    </row>
    <row r="417" spans="1:30" x14ac:dyDescent="0.15">
      <c r="A417" s="33" t="s">
        <v>427</v>
      </c>
      <c r="B417" s="9"/>
      <c r="C417" s="10">
        <v>1</v>
      </c>
      <c r="D417" s="10"/>
      <c r="E417" s="8">
        <f t="shared" si="363"/>
        <v>1</v>
      </c>
      <c r="F417" s="9"/>
      <c r="G417" s="10">
        <v>1</v>
      </c>
      <c r="H417" s="10"/>
      <c r="I417" s="8">
        <f t="shared" si="364"/>
        <v>1</v>
      </c>
      <c r="J417" s="9"/>
      <c r="K417" s="10">
        <v>1</v>
      </c>
      <c r="L417" s="10"/>
      <c r="M417" s="39">
        <f t="shared" si="365"/>
        <v>1</v>
      </c>
      <c r="N417" s="138">
        <f t="shared" si="366"/>
        <v>3</v>
      </c>
      <c r="O417" s="24">
        <v>45562</v>
      </c>
      <c r="P417" s="4"/>
      <c r="Q417" s="9"/>
      <c r="R417" s="10"/>
      <c r="S417" s="10"/>
      <c r="T417" s="8">
        <f t="shared" si="409"/>
        <v>0</v>
      </c>
      <c r="U417" s="9"/>
      <c r="V417" s="10"/>
      <c r="W417" s="10"/>
      <c r="X417" s="8">
        <f t="shared" si="410"/>
        <v>0</v>
      </c>
      <c r="Y417" s="9"/>
      <c r="Z417" s="10"/>
      <c r="AA417" s="10"/>
      <c r="AB417" s="8">
        <f t="shared" si="411"/>
        <v>0</v>
      </c>
      <c r="AC417" s="86">
        <f t="shared" si="370"/>
        <v>0</v>
      </c>
      <c r="AD417" s="116"/>
    </row>
    <row r="418" spans="1:30" x14ac:dyDescent="0.15">
      <c r="A418" s="33" t="s">
        <v>428</v>
      </c>
      <c r="B418" s="9"/>
      <c r="C418" s="10">
        <v>1</v>
      </c>
      <c r="D418" s="10">
        <v>3</v>
      </c>
      <c r="E418" s="8">
        <f t="shared" si="363"/>
        <v>4</v>
      </c>
      <c r="F418" s="9"/>
      <c r="G418" s="10">
        <v>1</v>
      </c>
      <c r="H418" s="10">
        <v>3</v>
      </c>
      <c r="I418" s="8">
        <f t="shared" si="364"/>
        <v>4</v>
      </c>
      <c r="J418" s="9"/>
      <c r="K418" s="10">
        <v>1</v>
      </c>
      <c r="L418" s="10">
        <v>3</v>
      </c>
      <c r="M418" s="39">
        <f t="shared" si="365"/>
        <v>4</v>
      </c>
      <c r="N418" s="138">
        <f t="shared" si="366"/>
        <v>12</v>
      </c>
      <c r="O418" s="24">
        <v>45565</v>
      </c>
      <c r="P418" s="4"/>
      <c r="Q418" s="9"/>
      <c r="R418" s="10"/>
      <c r="S418" s="10"/>
      <c r="T418" s="8">
        <f t="shared" ref="T418:T420" si="412">SUM(Q418:S418)</f>
        <v>0</v>
      </c>
      <c r="U418" s="9"/>
      <c r="V418" s="10"/>
      <c r="W418" s="10"/>
      <c r="X418" s="8">
        <f t="shared" ref="X418:X420" si="413">SUM(U418:W418)</f>
        <v>0</v>
      </c>
      <c r="Y418" s="9"/>
      <c r="Z418" s="10"/>
      <c r="AA418" s="10"/>
      <c r="AB418" s="8">
        <f t="shared" ref="AB418:AB420" si="414">SUM(Y418:AA418)</f>
        <v>0</v>
      </c>
      <c r="AC418" s="86">
        <f t="shared" ref="AC418:AC420" si="415">T418+X418+AB418</f>
        <v>0</v>
      </c>
      <c r="AD418" s="116"/>
    </row>
    <row r="419" spans="1:30" x14ac:dyDescent="0.15">
      <c r="A419" s="33" t="s">
        <v>432</v>
      </c>
      <c r="B419" s="9">
        <v>2</v>
      </c>
      <c r="C419" s="10"/>
      <c r="D419" s="10"/>
      <c r="E419" s="8">
        <f t="shared" si="363"/>
        <v>2</v>
      </c>
      <c r="F419" s="9">
        <v>2</v>
      </c>
      <c r="G419" s="10"/>
      <c r="H419" s="10"/>
      <c r="I419" s="8">
        <f t="shared" si="364"/>
        <v>2</v>
      </c>
      <c r="J419" s="9">
        <v>2</v>
      </c>
      <c r="K419" s="10"/>
      <c r="L419" s="10"/>
      <c r="M419" s="39">
        <f t="shared" si="365"/>
        <v>2</v>
      </c>
      <c r="N419" s="138">
        <f t="shared" si="366"/>
        <v>6</v>
      </c>
      <c r="O419" s="24">
        <v>45568</v>
      </c>
      <c r="P419" s="4"/>
      <c r="Q419" s="9"/>
      <c r="R419" s="10"/>
      <c r="S419" s="10"/>
      <c r="T419" s="8">
        <f t="shared" si="412"/>
        <v>0</v>
      </c>
      <c r="U419" s="9"/>
      <c r="V419" s="10"/>
      <c r="W419" s="10"/>
      <c r="X419" s="8">
        <f t="shared" si="413"/>
        <v>0</v>
      </c>
      <c r="Y419" s="9"/>
      <c r="Z419" s="10"/>
      <c r="AA419" s="10"/>
      <c r="AB419" s="8">
        <f t="shared" si="414"/>
        <v>0</v>
      </c>
      <c r="AC419" s="86">
        <f t="shared" si="415"/>
        <v>0</v>
      </c>
      <c r="AD419" s="116"/>
    </row>
    <row r="420" spans="1:30" x14ac:dyDescent="0.15">
      <c r="A420" s="33" t="s">
        <v>36</v>
      </c>
      <c r="B420" s="9"/>
      <c r="C420" s="10"/>
      <c r="D420" s="10">
        <v>1</v>
      </c>
      <c r="E420" s="8">
        <f t="shared" si="363"/>
        <v>1</v>
      </c>
      <c r="F420" s="9"/>
      <c r="G420" s="10"/>
      <c r="H420" s="10">
        <v>1</v>
      </c>
      <c r="I420" s="8">
        <f t="shared" si="364"/>
        <v>1</v>
      </c>
      <c r="J420" s="9"/>
      <c r="K420" s="10"/>
      <c r="L420" s="10">
        <v>1</v>
      </c>
      <c r="M420" s="39">
        <f t="shared" si="365"/>
        <v>1</v>
      </c>
      <c r="N420" s="138">
        <f t="shared" si="366"/>
        <v>3</v>
      </c>
      <c r="O420" s="24">
        <v>45566</v>
      </c>
      <c r="P420" s="11" t="s">
        <v>332</v>
      </c>
      <c r="Q420" s="9"/>
      <c r="R420" s="10"/>
      <c r="S420" s="10"/>
      <c r="T420" s="8">
        <f t="shared" si="412"/>
        <v>0</v>
      </c>
      <c r="U420" s="9"/>
      <c r="V420" s="10"/>
      <c r="W420" s="10"/>
      <c r="X420" s="8">
        <f t="shared" si="413"/>
        <v>0</v>
      </c>
      <c r="Y420" s="9"/>
      <c r="Z420" s="10"/>
      <c r="AA420" s="10"/>
      <c r="AB420" s="8">
        <f t="shared" si="414"/>
        <v>0</v>
      </c>
      <c r="AC420" s="86">
        <f t="shared" si="415"/>
        <v>0</v>
      </c>
      <c r="AD420" s="116" t="s">
        <v>333</v>
      </c>
    </row>
    <row r="421" spans="1:30" x14ac:dyDescent="0.15">
      <c r="A421" s="33" t="s">
        <v>434</v>
      </c>
      <c r="B421" s="9"/>
      <c r="C421" s="10">
        <v>2</v>
      </c>
      <c r="D421" s="10"/>
      <c r="E421" s="8">
        <f t="shared" si="363"/>
        <v>2</v>
      </c>
      <c r="F421" s="9"/>
      <c r="G421" s="10">
        <v>2</v>
      </c>
      <c r="H421" s="10"/>
      <c r="I421" s="8">
        <f t="shared" si="364"/>
        <v>2</v>
      </c>
      <c r="J421" s="9"/>
      <c r="K421" s="10">
        <v>2</v>
      </c>
      <c r="L421" s="10"/>
      <c r="M421" s="39">
        <f t="shared" si="365"/>
        <v>2</v>
      </c>
      <c r="N421" s="138">
        <f t="shared" si="366"/>
        <v>6</v>
      </c>
      <c r="O421" s="24">
        <v>45567</v>
      </c>
      <c r="P421" s="11" t="s">
        <v>348</v>
      </c>
      <c r="Q421" s="9"/>
      <c r="R421" s="10"/>
      <c r="S421" s="10"/>
      <c r="T421" s="8">
        <f t="shared" si="409"/>
        <v>0</v>
      </c>
      <c r="U421" s="9"/>
      <c r="V421" s="10"/>
      <c r="W421" s="10"/>
      <c r="X421" s="8">
        <f t="shared" ref="X421:X422" si="416">SUM(U421:W421)</f>
        <v>0</v>
      </c>
      <c r="Y421" s="9"/>
      <c r="Z421" s="10"/>
      <c r="AA421" s="10"/>
      <c r="AB421" s="8">
        <f t="shared" ref="AB421:AB422" si="417">SUM(Y421:AA421)</f>
        <v>0</v>
      </c>
      <c r="AC421" s="86">
        <f t="shared" si="370"/>
        <v>0</v>
      </c>
      <c r="AD421" s="109" t="s">
        <v>349</v>
      </c>
    </row>
    <row r="422" spans="1:30" x14ac:dyDescent="0.15">
      <c r="A422" s="33" t="s">
        <v>443</v>
      </c>
      <c r="B422" s="9">
        <v>1</v>
      </c>
      <c r="C422" s="10"/>
      <c r="D422" s="10">
        <v>2</v>
      </c>
      <c r="E422" s="8">
        <f t="shared" si="363"/>
        <v>3</v>
      </c>
      <c r="F422" s="9">
        <v>1</v>
      </c>
      <c r="G422" s="10"/>
      <c r="H422" s="10">
        <v>2</v>
      </c>
      <c r="I422" s="8">
        <f t="shared" si="364"/>
        <v>3</v>
      </c>
      <c r="J422" s="9">
        <v>1</v>
      </c>
      <c r="K422" s="10"/>
      <c r="L422" s="10">
        <v>2</v>
      </c>
      <c r="M422" s="39">
        <f t="shared" si="365"/>
        <v>3</v>
      </c>
      <c r="N422" s="138">
        <f t="shared" si="366"/>
        <v>9</v>
      </c>
      <c r="O422" s="24">
        <v>45569</v>
      </c>
      <c r="P422" s="4" t="s">
        <v>321</v>
      </c>
      <c r="Q422" s="9"/>
      <c r="R422" s="10"/>
      <c r="S422" s="10"/>
      <c r="T422" s="8">
        <f t="shared" si="409"/>
        <v>0</v>
      </c>
      <c r="U422" s="9"/>
      <c r="V422" s="10"/>
      <c r="W422" s="10"/>
      <c r="X422" s="8">
        <f t="shared" si="416"/>
        <v>0</v>
      </c>
      <c r="Y422" s="9"/>
      <c r="Z422" s="10"/>
      <c r="AA422" s="10"/>
      <c r="AB422" s="8">
        <f t="shared" si="417"/>
        <v>0</v>
      </c>
      <c r="AC422" s="86">
        <f t="shared" si="370"/>
        <v>0</v>
      </c>
      <c r="AD422" s="109">
        <v>45553</v>
      </c>
    </row>
    <row r="423" spans="1:30" x14ac:dyDescent="0.15">
      <c r="A423" s="33" t="s">
        <v>444</v>
      </c>
      <c r="B423" s="9"/>
      <c r="C423" s="10"/>
      <c r="D423" s="10">
        <v>1</v>
      </c>
      <c r="E423" s="8">
        <f t="shared" si="363"/>
        <v>1</v>
      </c>
      <c r="F423" s="9"/>
      <c r="G423" s="10">
        <v>1</v>
      </c>
      <c r="H423" s="10"/>
      <c r="I423" s="8">
        <f t="shared" si="364"/>
        <v>1</v>
      </c>
      <c r="J423" s="9">
        <v>1</v>
      </c>
      <c r="K423" s="10"/>
      <c r="L423" s="10"/>
      <c r="M423" s="39">
        <f t="shared" si="365"/>
        <v>1</v>
      </c>
      <c r="N423" s="138">
        <f t="shared" si="366"/>
        <v>3</v>
      </c>
      <c r="O423" s="24">
        <v>45567</v>
      </c>
      <c r="P423" s="11" t="s">
        <v>269</v>
      </c>
      <c r="Q423" s="9"/>
      <c r="R423" s="10"/>
      <c r="S423" s="10"/>
      <c r="T423" s="8">
        <f t="shared" ref="T423:T424" si="418">SUM(Q423:S423)</f>
        <v>0</v>
      </c>
      <c r="U423" s="9"/>
      <c r="V423" s="10"/>
      <c r="W423" s="10"/>
      <c r="X423" s="8">
        <f t="shared" ref="X423:X424" si="419">SUM(U423:W423)</f>
        <v>0</v>
      </c>
      <c r="Y423" s="9"/>
      <c r="Z423" s="10"/>
      <c r="AA423" s="10"/>
      <c r="AB423" s="8">
        <f t="shared" ref="AB423:AB424" si="420">SUM(Y423:AA423)</f>
        <v>0</v>
      </c>
      <c r="AC423" s="86">
        <f t="shared" ref="AC423:AC424" si="421">T423+X423+AB423</f>
        <v>0</v>
      </c>
      <c r="AD423" s="116" t="s">
        <v>270</v>
      </c>
    </row>
    <row r="424" spans="1:30" x14ac:dyDescent="0.15">
      <c r="A424" s="33" t="s">
        <v>36</v>
      </c>
      <c r="B424" s="9">
        <v>1</v>
      </c>
      <c r="C424" s="10"/>
      <c r="D424" s="10"/>
      <c r="E424" s="8">
        <f t="shared" si="363"/>
        <v>1</v>
      </c>
      <c r="F424" s="9">
        <v>1</v>
      </c>
      <c r="G424" s="10"/>
      <c r="H424" s="10"/>
      <c r="I424" s="8">
        <f t="shared" si="364"/>
        <v>1</v>
      </c>
      <c r="J424" s="9">
        <v>1</v>
      </c>
      <c r="K424" s="10"/>
      <c r="L424" s="10"/>
      <c r="M424" s="39">
        <f t="shared" si="365"/>
        <v>1</v>
      </c>
      <c r="N424" s="138">
        <f t="shared" si="366"/>
        <v>3</v>
      </c>
      <c r="O424" s="24">
        <v>45575</v>
      </c>
      <c r="P424" s="4" t="s">
        <v>242</v>
      </c>
      <c r="Q424" s="9"/>
      <c r="R424" s="10"/>
      <c r="S424" s="10"/>
      <c r="T424" s="8">
        <f t="shared" si="418"/>
        <v>0</v>
      </c>
      <c r="U424" s="9"/>
      <c r="V424" s="10"/>
      <c r="W424" s="10"/>
      <c r="X424" s="8">
        <f t="shared" si="419"/>
        <v>0</v>
      </c>
      <c r="Y424" s="9"/>
      <c r="Z424" s="10"/>
      <c r="AA424" s="10"/>
      <c r="AB424" s="8">
        <f t="shared" si="420"/>
        <v>0</v>
      </c>
      <c r="AC424" s="86">
        <f t="shared" si="421"/>
        <v>0</v>
      </c>
      <c r="AD424" s="116" t="s">
        <v>243</v>
      </c>
    </row>
    <row r="425" spans="1:30" x14ac:dyDescent="0.15">
      <c r="A425" s="33"/>
      <c r="B425" s="9"/>
      <c r="C425" s="10"/>
      <c r="D425" s="10"/>
      <c r="E425" s="8">
        <f t="shared" si="363"/>
        <v>0</v>
      </c>
      <c r="F425" s="9"/>
      <c r="G425" s="10"/>
      <c r="H425" s="10"/>
      <c r="I425" s="8">
        <f t="shared" si="364"/>
        <v>0</v>
      </c>
      <c r="J425" s="9"/>
      <c r="K425" s="10"/>
      <c r="L425" s="10"/>
      <c r="M425" s="39">
        <f t="shared" si="365"/>
        <v>0</v>
      </c>
      <c r="N425" s="138">
        <f t="shared" si="366"/>
        <v>0</v>
      </c>
      <c r="P425" s="6" t="s">
        <v>310</v>
      </c>
      <c r="Q425" s="71"/>
      <c r="R425" s="72"/>
      <c r="S425" s="72"/>
      <c r="T425" s="73">
        <f t="shared" ref="T425:T426" si="422">SUM(Q425:S425)</f>
        <v>0</v>
      </c>
      <c r="U425" s="71"/>
      <c r="V425" s="72"/>
      <c r="W425" s="72"/>
      <c r="X425" s="73">
        <f t="shared" ref="X425:X426" si="423">SUM(U425:W425)</f>
        <v>0</v>
      </c>
      <c r="Y425" s="71"/>
      <c r="Z425" s="72"/>
      <c r="AA425" s="72"/>
      <c r="AB425" s="73">
        <f t="shared" ref="AB425:AB426" si="424">SUM(Y425:AA425)</f>
        <v>0</v>
      </c>
      <c r="AC425" s="92">
        <f t="shared" ref="AC425:AC426" si="425">T425+X425+AB425</f>
        <v>0</v>
      </c>
      <c r="AD425" s="117"/>
    </row>
    <row r="426" spans="1:30" x14ac:dyDescent="0.15">
      <c r="A426" s="33"/>
      <c r="B426" s="9"/>
      <c r="C426" s="10"/>
      <c r="D426" s="10"/>
      <c r="E426" s="8">
        <f t="shared" si="363"/>
        <v>0</v>
      </c>
      <c r="F426" s="9"/>
      <c r="G426" s="10"/>
      <c r="H426" s="10"/>
      <c r="I426" s="8">
        <f t="shared" si="364"/>
        <v>0</v>
      </c>
      <c r="J426" s="9"/>
      <c r="K426" s="10"/>
      <c r="L426" s="10"/>
      <c r="M426" s="39">
        <f t="shared" si="365"/>
        <v>0</v>
      </c>
      <c r="N426" s="138">
        <f t="shared" si="366"/>
        <v>0</v>
      </c>
      <c r="P426" s="11" t="s">
        <v>307</v>
      </c>
      <c r="Q426" s="9"/>
      <c r="R426" s="10"/>
      <c r="S426" s="10"/>
      <c r="T426" s="8">
        <f t="shared" si="422"/>
        <v>0</v>
      </c>
      <c r="U426" s="9"/>
      <c r="V426" s="10"/>
      <c r="W426" s="10"/>
      <c r="X426" s="8">
        <f t="shared" si="423"/>
        <v>0</v>
      </c>
      <c r="Y426" s="9"/>
      <c r="Z426" s="10"/>
      <c r="AA426" s="10"/>
      <c r="AB426" s="8">
        <f t="shared" si="424"/>
        <v>0</v>
      </c>
      <c r="AC426" s="86">
        <f t="shared" si="425"/>
        <v>0</v>
      </c>
      <c r="AD426" s="109">
        <v>45537</v>
      </c>
    </row>
    <row r="427" spans="1:30" ht="14.25" thickBot="1" x14ac:dyDescent="0.2">
      <c r="A427" s="33"/>
      <c r="B427" s="9"/>
      <c r="C427" s="10"/>
      <c r="D427" s="10"/>
      <c r="E427" s="8">
        <f t="shared" ref="E427" si="426">SUM(B427:D427)</f>
        <v>0</v>
      </c>
      <c r="F427" s="9"/>
      <c r="G427" s="10"/>
      <c r="H427" s="10"/>
      <c r="I427" s="8">
        <f t="shared" ref="I427" si="427">SUM(F427:H427)</f>
        <v>0</v>
      </c>
      <c r="J427" s="9"/>
      <c r="K427" s="10"/>
      <c r="L427" s="10"/>
      <c r="M427" s="39">
        <f t="shared" ref="M427" si="428">SUM(J427:L427)</f>
        <v>0</v>
      </c>
      <c r="N427" s="138">
        <f t="shared" ref="N427" si="429">E427+I427+M427</f>
        <v>0</v>
      </c>
      <c r="P427" s="11" t="s">
        <v>338</v>
      </c>
      <c r="Q427" s="9"/>
      <c r="R427" s="10"/>
      <c r="S427" s="10"/>
      <c r="T427" s="8">
        <f t="shared" ref="T427" si="430">SUM(Q427:S427)</f>
        <v>0</v>
      </c>
      <c r="U427" s="9"/>
      <c r="V427" s="10"/>
      <c r="W427" s="10"/>
      <c r="X427" s="8">
        <f t="shared" ref="X427" si="431">SUM(U427:W427)</f>
        <v>0</v>
      </c>
      <c r="Y427" s="9"/>
      <c r="Z427" s="10"/>
      <c r="AA427" s="10"/>
      <c r="AB427" s="8">
        <f t="shared" ref="AB427" si="432">SUM(Y427:AA427)</f>
        <v>0</v>
      </c>
      <c r="AC427" s="86">
        <f t="shared" ref="AC427" si="433">T427+X427+AB427</f>
        <v>0</v>
      </c>
      <c r="AD427" s="109" t="s">
        <v>339</v>
      </c>
    </row>
    <row r="428" spans="1:30" ht="14.25" thickBot="1" x14ac:dyDescent="0.2">
      <c r="A428" s="104" t="s">
        <v>5</v>
      </c>
      <c r="B428" s="12">
        <f>SUM(B404:B427)</f>
        <v>8</v>
      </c>
      <c r="C428" s="12">
        <f>SUM(C404:C427)</f>
        <v>14</v>
      </c>
      <c r="D428" s="12">
        <f>SUM(D404:D427)</f>
        <v>15</v>
      </c>
      <c r="E428" s="13">
        <f t="shared" si="363"/>
        <v>37</v>
      </c>
      <c r="F428" s="12">
        <f>SUM(F404:F427)</f>
        <v>8</v>
      </c>
      <c r="G428" s="12">
        <f>SUM(G404:G427)</f>
        <v>12</v>
      </c>
      <c r="H428" s="12">
        <f>SUM(H404:H427)</f>
        <v>13</v>
      </c>
      <c r="I428" s="13">
        <f t="shared" si="364"/>
        <v>33</v>
      </c>
      <c r="J428" s="12">
        <f>SUM(J404:J427)</f>
        <v>11</v>
      </c>
      <c r="K428" s="12">
        <f>SUM(K404:K427)</f>
        <v>11</v>
      </c>
      <c r="L428" s="12">
        <f>SUM(L404:L427)</f>
        <v>14</v>
      </c>
      <c r="M428" s="12">
        <f t="shared" si="365"/>
        <v>36</v>
      </c>
      <c r="N428" s="142">
        <f t="shared" si="366"/>
        <v>106</v>
      </c>
      <c r="P428" s="3" t="s">
        <v>5</v>
      </c>
      <c r="Q428" s="12">
        <f>SUM(Q404:Q427)</f>
        <v>72</v>
      </c>
      <c r="R428" s="12">
        <f t="shared" ref="R428" si="434">SUM(R404:R427)</f>
        <v>105</v>
      </c>
      <c r="S428" s="12">
        <f t="shared" ref="S428" si="435">SUM(S404:S427)</f>
        <v>70</v>
      </c>
      <c r="T428" s="13">
        <f t="shared" ref="T428" si="436">SUM(T404:T427)</f>
        <v>247</v>
      </c>
      <c r="U428" s="12">
        <f t="shared" ref="U428" si="437">SUM(U404:U427)</f>
        <v>72</v>
      </c>
      <c r="V428" s="12">
        <f t="shared" ref="V428" si="438">SUM(V404:V427)</f>
        <v>95</v>
      </c>
      <c r="W428" s="12">
        <f t="shared" ref="W428" si="439">SUM(W404:W427)</f>
        <v>70</v>
      </c>
      <c r="X428" s="13">
        <f t="shared" ref="X428" si="440">SUM(X404:X427)</f>
        <v>237</v>
      </c>
      <c r="Y428" s="12">
        <f t="shared" ref="Y428" si="441">SUM(Y404:Y427)</f>
        <v>72</v>
      </c>
      <c r="Z428" s="12">
        <f t="shared" ref="Z428" si="442">SUM(Z404:Z427)</f>
        <v>95</v>
      </c>
      <c r="AA428" s="12">
        <f t="shared" ref="AA428" si="443">SUM(AA404:AA427)</f>
        <v>70</v>
      </c>
      <c r="AB428" s="13">
        <f t="shared" ref="AB428" si="444">SUM(AB404:AB427)</f>
        <v>237</v>
      </c>
      <c r="AC428" s="155">
        <f t="shared" ref="AC428" si="445">SUM(AC404:AC427)</f>
        <v>721</v>
      </c>
    </row>
    <row r="429" spans="1:30" ht="14.25" thickBot="1" x14ac:dyDescent="0.2">
      <c r="A429" s="105" t="s">
        <v>6</v>
      </c>
      <c r="B429" s="20">
        <f>B403-B428</f>
        <v>11</v>
      </c>
      <c r="C429" s="20">
        <f t="shared" ref="C429:E429" si="446">C403-C428</f>
        <v>14</v>
      </c>
      <c r="D429" s="20">
        <f t="shared" si="446"/>
        <v>3</v>
      </c>
      <c r="E429" s="18">
        <f t="shared" si="446"/>
        <v>28</v>
      </c>
      <c r="F429" s="20">
        <f>F403-F428</f>
        <v>12</v>
      </c>
      <c r="G429" s="20">
        <f t="shared" ref="G429:I429" si="447">G403-G428</f>
        <v>13</v>
      </c>
      <c r="H429" s="20">
        <f t="shared" si="447"/>
        <v>8</v>
      </c>
      <c r="I429" s="18">
        <f t="shared" si="447"/>
        <v>33</v>
      </c>
      <c r="J429" s="20">
        <f>J403-J428</f>
        <v>11</v>
      </c>
      <c r="K429" s="20">
        <f t="shared" ref="K429:M429" si="448">K403-K428</f>
        <v>12</v>
      </c>
      <c r="L429" s="20">
        <f t="shared" si="448"/>
        <v>8</v>
      </c>
      <c r="M429" s="20">
        <f t="shared" si="448"/>
        <v>31</v>
      </c>
      <c r="N429" s="140">
        <f t="shared" si="366"/>
        <v>92</v>
      </c>
      <c r="P429" s="19" t="s">
        <v>6</v>
      </c>
      <c r="Q429" s="20">
        <f>Q403-Q428</f>
        <v>416</v>
      </c>
      <c r="R429" s="20">
        <f t="shared" ref="R429" si="449">R403-R428</f>
        <v>465</v>
      </c>
      <c r="S429" s="20">
        <f t="shared" ref="S429" si="450">S403-S428</f>
        <v>414</v>
      </c>
      <c r="T429" s="18">
        <f t="shared" ref="T429" si="451">T403-T428</f>
        <v>1295</v>
      </c>
      <c r="U429" s="20">
        <f t="shared" ref="U429" si="452">U403-U428</f>
        <v>316</v>
      </c>
      <c r="V429" s="20">
        <f t="shared" ref="V429" si="453">V403-V428</f>
        <v>430</v>
      </c>
      <c r="W429" s="20">
        <f t="shared" ref="W429" si="454">W403-W428</f>
        <v>339</v>
      </c>
      <c r="X429" s="18">
        <f t="shared" ref="X429" si="455">X403-X428</f>
        <v>1085</v>
      </c>
      <c r="Y429" s="20">
        <f t="shared" ref="Y429" si="456">Y403-Y428</f>
        <v>298</v>
      </c>
      <c r="Z429" s="20">
        <f t="shared" ref="Z429" si="457">Z403-Z428</f>
        <v>406</v>
      </c>
      <c r="AA429" s="20">
        <f t="shared" ref="AA429" si="458">AA403-AA428</f>
        <v>415</v>
      </c>
      <c r="AB429" s="18">
        <f t="shared" ref="AB429" si="459">AB403-AB428</f>
        <v>1119</v>
      </c>
      <c r="AC429" s="88">
        <f t="shared" ref="AC429" si="460">AC403-AC428</f>
        <v>3499</v>
      </c>
    </row>
    <row r="430" spans="1:30" x14ac:dyDescent="0.15">
      <c r="Q430" s="79">
        <f>Q429/$T$429*100</f>
        <v>32.123552123552123</v>
      </c>
      <c r="R430" s="79">
        <f t="shared" ref="R430:T430" si="461">R429/$T$429*100</f>
        <v>35.907335907335906</v>
      </c>
      <c r="S430" s="79">
        <f t="shared" si="461"/>
        <v>31.969111969111967</v>
      </c>
      <c r="T430" s="79">
        <f t="shared" si="461"/>
        <v>100</v>
      </c>
    </row>
    <row r="431" spans="1:30" x14ac:dyDescent="0.15">
      <c r="Q431" s="80">
        <v>27.2</v>
      </c>
      <c r="R431" s="80">
        <v>41.1</v>
      </c>
      <c r="S431" s="80">
        <v>31.7</v>
      </c>
      <c r="T431" s="80">
        <f>SUM(Q431:S431)</f>
        <v>100</v>
      </c>
    </row>
    <row r="432" spans="1:30" ht="19.5" thickBot="1" x14ac:dyDescent="0.25">
      <c r="A432" s="108" t="s">
        <v>264</v>
      </c>
      <c r="B432" s="47"/>
      <c r="C432" s="47"/>
      <c r="D432" s="47"/>
      <c r="E432" s="47"/>
      <c r="F432" s="48"/>
      <c r="G432" s="48"/>
      <c r="H432" s="48"/>
      <c r="I432" s="48"/>
      <c r="J432" s="48"/>
      <c r="K432" s="48"/>
      <c r="L432" s="1"/>
      <c r="M432" s="1"/>
      <c r="N432" s="137"/>
      <c r="P432" s="43" t="s">
        <v>263</v>
      </c>
      <c r="Q432" s="44"/>
      <c r="R432" s="44"/>
      <c r="S432" s="44"/>
      <c r="T432" s="44"/>
      <c r="U432" s="45"/>
      <c r="V432" s="45"/>
      <c r="W432" s="45"/>
      <c r="X432" s="45"/>
      <c r="Y432" s="46"/>
      <c r="Z432" s="53"/>
      <c r="AA432" s="1"/>
      <c r="AB432" s="1"/>
    </row>
    <row r="433" spans="1:31" ht="14.25" thickBot="1" x14ac:dyDescent="0.2">
      <c r="A433" s="100" t="s">
        <v>0</v>
      </c>
      <c r="B433" s="337" t="s">
        <v>11</v>
      </c>
      <c r="C433" s="337"/>
      <c r="D433" s="337"/>
      <c r="E433" s="338"/>
      <c r="F433" s="339" t="s">
        <v>9</v>
      </c>
      <c r="G433" s="340"/>
      <c r="H433" s="340"/>
      <c r="I433" s="341"/>
      <c r="J433" s="342" t="s">
        <v>12</v>
      </c>
      <c r="K433" s="343"/>
      <c r="L433" s="343"/>
      <c r="M433" s="343"/>
      <c r="N433" s="347" t="s">
        <v>13</v>
      </c>
      <c r="P433" s="2" t="s">
        <v>0</v>
      </c>
      <c r="Q433" s="337" t="s">
        <v>11</v>
      </c>
      <c r="R433" s="337"/>
      <c r="S433" s="337"/>
      <c r="T433" s="338"/>
      <c r="U433" s="339" t="s">
        <v>9</v>
      </c>
      <c r="V433" s="340"/>
      <c r="W433" s="340"/>
      <c r="X433" s="341"/>
      <c r="Y433" s="342" t="s">
        <v>12</v>
      </c>
      <c r="Z433" s="343"/>
      <c r="AA433" s="343"/>
      <c r="AB433" s="343"/>
      <c r="AC433" s="345" t="s">
        <v>13</v>
      </c>
    </row>
    <row r="434" spans="1:31" ht="14.25" thickBot="1" x14ac:dyDescent="0.2">
      <c r="A434" s="100" t="s">
        <v>1</v>
      </c>
      <c r="B434" s="3" t="s">
        <v>7</v>
      </c>
      <c r="C434" s="2" t="s">
        <v>10</v>
      </c>
      <c r="D434" s="2" t="s">
        <v>8</v>
      </c>
      <c r="E434" s="2" t="s">
        <v>2</v>
      </c>
      <c r="F434" s="3" t="s">
        <v>7</v>
      </c>
      <c r="G434" s="2" t="s">
        <v>10</v>
      </c>
      <c r="H434" s="2" t="s">
        <v>8</v>
      </c>
      <c r="I434" s="2" t="s">
        <v>2</v>
      </c>
      <c r="J434" s="3" t="s">
        <v>7</v>
      </c>
      <c r="K434" s="2" t="s">
        <v>10</v>
      </c>
      <c r="L434" s="2" t="s">
        <v>8</v>
      </c>
      <c r="M434" s="3" t="s">
        <v>2</v>
      </c>
      <c r="N434" s="348"/>
      <c r="P434" s="2" t="s">
        <v>1</v>
      </c>
      <c r="Q434" s="3" t="s">
        <v>7</v>
      </c>
      <c r="R434" s="2" t="s">
        <v>10</v>
      </c>
      <c r="S434" s="2" t="s">
        <v>8</v>
      </c>
      <c r="T434" s="2" t="s">
        <v>2</v>
      </c>
      <c r="U434" s="3" t="s">
        <v>7</v>
      </c>
      <c r="V434" s="2" t="s">
        <v>10</v>
      </c>
      <c r="W434" s="2" t="s">
        <v>8</v>
      </c>
      <c r="X434" s="2" t="s">
        <v>2</v>
      </c>
      <c r="Y434" s="3" t="s">
        <v>7</v>
      </c>
      <c r="Z434" s="2" t="s">
        <v>10</v>
      </c>
      <c r="AA434" s="2" t="s">
        <v>8</v>
      </c>
      <c r="AB434" s="2" t="s">
        <v>2</v>
      </c>
      <c r="AC434" s="346"/>
    </row>
    <row r="435" spans="1:31" x14ac:dyDescent="0.15">
      <c r="A435" s="106" t="s">
        <v>6</v>
      </c>
      <c r="B435" s="41">
        <f>B429</f>
        <v>11</v>
      </c>
      <c r="C435" s="41">
        <f t="shared" ref="C435:E435" si="462">C429</f>
        <v>14</v>
      </c>
      <c r="D435" s="41">
        <f t="shared" si="462"/>
        <v>3</v>
      </c>
      <c r="E435" s="42">
        <f t="shared" si="462"/>
        <v>28</v>
      </c>
      <c r="F435" s="41">
        <f>F429</f>
        <v>12</v>
      </c>
      <c r="G435" s="41">
        <f t="shared" ref="G435:I435" si="463">G429</f>
        <v>13</v>
      </c>
      <c r="H435" s="41">
        <f t="shared" si="463"/>
        <v>8</v>
      </c>
      <c r="I435" s="42">
        <f t="shared" si="463"/>
        <v>33</v>
      </c>
      <c r="J435" s="41">
        <f>J429</f>
        <v>11</v>
      </c>
      <c r="K435" s="41">
        <f t="shared" ref="K435:M435" si="464">K429</f>
        <v>12</v>
      </c>
      <c r="L435" s="41">
        <f t="shared" si="464"/>
        <v>8</v>
      </c>
      <c r="M435" s="42">
        <f t="shared" si="464"/>
        <v>31</v>
      </c>
      <c r="N435" s="143">
        <f>E435+I435+M435</f>
        <v>92</v>
      </c>
      <c r="P435" s="36" t="s">
        <v>6</v>
      </c>
      <c r="Q435" s="41">
        <f>Q429</f>
        <v>416</v>
      </c>
      <c r="R435" s="41">
        <f t="shared" ref="R435:AC435" si="465">R429</f>
        <v>465</v>
      </c>
      <c r="S435" s="41">
        <f t="shared" si="465"/>
        <v>414</v>
      </c>
      <c r="T435" s="42">
        <f t="shared" si="465"/>
        <v>1295</v>
      </c>
      <c r="U435" s="41">
        <f t="shared" si="465"/>
        <v>316</v>
      </c>
      <c r="V435" s="41">
        <f t="shared" si="465"/>
        <v>430</v>
      </c>
      <c r="W435" s="41">
        <f t="shared" si="465"/>
        <v>339</v>
      </c>
      <c r="X435" s="42">
        <f t="shared" si="465"/>
        <v>1085</v>
      </c>
      <c r="Y435" s="41">
        <f t="shared" si="465"/>
        <v>298</v>
      </c>
      <c r="Z435" s="41">
        <f t="shared" si="465"/>
        <v>406</v>
      </c>
      <c r="AA435" s="41">
        <f t="shared" si="465"/>
        <v>415</v>
      </c>
      <c r="AB435" s="42">
        <f t="shared" si="465"/>
        <v>1119</v>
      </c>
      <c r="AC435" s="90">
        <f t="shared" si="465"/>
        <v>3499</v>
      </c>
    </row>
    <row r="436" spans="1:31" x14ac:dyDescent="0.15">
      <c r="A436" s="102" t="s">
        <v>3</v>
      </c>
      <c r="B436" s="25"/>
      <c r="C436" s="26"/>
      <c r="D436" s="26">
        <v>10</v>
      </c>
      <c r="E436" s="5">
        <f t="shared" ref="E436:E471" si="466">SUM(B436:D436)</f>
        <v>10</v>
      </c>
      <c r="F436" s="25"/>
      <c r="G436" s="26"/>
      <c r="H436" s="26">
        <v>10</v>
      </c>
      <c r="I436" s="5">
        <f t="shared" ref="I436:I471" si="467">SUM(F436:H436)</f>
        <v>10</v>
      </c>
      <c r="J436" s="25"/>
      <c r="K436" s="26"/>
      <c r="L436" s="26">
        <v>10</v>
      </c>
      <c r="M436" s="38">
        <f t="shared" ref="M436:M471" si="468">SUM(J436:L436)</f>
        <v>10</v>
      </c>
      <c r="N436" s="138">
        <f t="shared" ref="N436:N472" si="469">E436+I436+M436</f>
        <v>30</v>
      </c>
      <c r="O436" s="24">
        <v>45570</v>
      </c>
      <c r="P436" s="6" t="s">
        <v>3</v>
      </c>
      <c r="Q436" s="14"/>
      <c r="R436" s="11"/>
      <c r="S436" s="11"/>
      <c r="T436" s="5">
        <f t="shared" ref="T436:T460" si="470">SUM(Q436:S436)</f>
        <v>0</v>
      </c>
      <c r="U436" s="14"/>
      <c r="V436" s="11"/>
      <c r="W436" s="11"/>
      <c r="X436" s="5">
        <f t="shared" ref="X436:X460" si="471">SUM(U436:W436)</f>
        <v>0</v>
      </c>
      <c r="Y436" s="25"/>
      <c r="Z436" s="26"/>
      <c r="AA436" s="26"/>
      <c r="AB436" s="5">
        <f t="shared" ref="AB436:AB460" si="472">SUM(Y436:AA436)</f>
        <v>0</v>
      </c>
      <c r="AC436" s="86">
        <f t="shared" ref="AC436:AC460" si="473">T436+X436+AB436</f>
        <v>0</v>
      </c>
    </row>
    <row r="437" spans="1:31" x14ac:dyDescent="0.15">
      <c r="A437" s="102" t="s">
        <v>319</v>
      </c>
      <c r="B437" s="14">
        <v>1</v>
      </c>
      <c r="C437" s="11"/>
      <c r="D437" s="11">
        <v>2</v>
      </c>
      <c r="E437" s="5">
        <f t="shared" si="466"/>
        <v>3</v>
      </c>
      <c r="F437" s="34">
        <v>1</v>
      </c>
      <c r="G437" s="11"/>
      <c r="H437" s="11">
        <v>2</v>
      </c>
      <c r="I437" s="5">
        <f t="shared" si="467"/>
        <v>3</v>
      </c>
      <c r="J437" s="34">
        <v>1</v>
      </c>
      <c r="K437" s="11"/>
      <c r="L437" s="11">
        <v>2</v>
      </c>
      <c r="M437" s="38">
        <f t="shared" si="468"/>
        <v>3</v>
      </c>
      <c r="N437" s="138">
        <f t="shared" si="469"/>
        <v>9</v>
      </c>
      <c r="O437" s="70">
        <v>45582</v>
      </c>
      <c r="P437" s="6" t="s">
        <v>3</v>
      </c>
      <c r="Q437" s="14"/>
      <c r="R437" s="11"/>
      <c r="S437" s="11"/>
      <c r="T437" s="5">
        <f t="shared" si="470"/>
        <v>0</v>
      </c>
      <c r="U437" s="14"/>
      <c r="V437" s="11"/>
      <c r="W437" s="11"/>
      <c r="X437" s="5">
        <f t="shared" si="471"/>
        <v>0</v>
      </c>
      <c r="Y437" s="25"/>
      <c r="Z437" s="26"/>
      <c r="AA437" s="26"/>
      <c r="AB437" s="5">
        <f t="shared" si="472"/>
        <v>0</v>
      </c>
      <c r="AC437" s="86">
        <f t="shared" si="473"/>
        <v>0</v>
      </c>
    </row>
    <row r="438" spans="1:31" x14ac:dyDescent="0.15">
      <c r="A438" s="102" t="s">
        <v>3</v>
      </c>
      <c r="B438" s="14">
        <v>10</v>
      </c>
      <c r="C438" s="11">
        <v>10</v>
      </c>
      <c r="D438" s="11">
        <v>10</v>
      </c>
      <c r="E438" s="5">
        <f t="shared" si="466"/>
        <v>30</v>
      </c>
      <c r="F438" s="34">
        <v>10</v>
      </c>
      <c r="G438" s="11">
        <v>10</v>
      </c>
      <c r="H438" s="11"/>
      <c r="I438" s="5">
        <f t="shared" si="467"/>
        <v>20</v>
      </c>
      <c r="J438" s="34">
        <v>10</v>
      </c>
      <c r="K438" s="11">
        <v>10</v>
      </c>
      <c r="L438" s="11"/>
      <c r="M438" s="38">
        <f t="shared" si="468"/>
        <v>20</v>
      </c>
      <c r="N438" s="138">
        <f t="shared" si="469"/>
        <v>70</v>
      </c>
      <c r="O438" s="24">
        <v>45584</v>
      </c>
      <c r="P438" s="6" t="s">
        <v>3</v>
      </c>
      <c r="Q438" s="14"/>
      <c r="R438" s="11"/>
      <c r="S438" s="11"/>
      <c r="T438" s="5">
        <f t="shared" si="470"/>
        <v>0</v>
      </c>
      <c r="U438" s="14"/>
      <c r="V438" s="11"/>
      <c r="W438" s="11"/>
      <c r="X438" s="5">
        <f t="shared" si="471"/>
        <v>0</v>
      </c>
      <c r="Y438" s="25"/>
      <c r="Z438" s="26"/>
      <c r="AA438" s="26"/>
      <c r="AB438" s="5">
        <f t="shared" si="472"/>
        <v>0</v>
      </c>
      <c r="AC438" s="86">
        <f t="shared" si="473"/>
        <v>0</v>
      </c>
    </row>
    <row r="439" spans="1:31" x14ac:dyDescent="0.15">
      <c r="A439" s="102" t="s">
        <v>511</v>
      </c>
      <c r="B439" s="25">
        <v>1</v>
      </c>
      <c r="C439" s="26"/>
      <c r="D439" s="26"/>
      <c r="E439" s="5">
        <f t="shared" ref="E439" si="474">SUM(B439:D439)</f>
        <v>1</v>
      </c>
      <c r="F439" s="25">
        <v>1</v>
      </c>
      <c r="G439" s="26"/>
      <c r="H439" s="26"/>
      <c r="I439" s="5">
        <f t="shared" si="467"/>
        <v>1</v>
      </c>
      <c r="J439" s="25">
        <v>1</v>
      </c>
      <c r="K439" s="26"/>
      <c r="L439" s="26"/>
      <c r="M439" s="38">
        <f t="shared" si="468"/>
        <v>1</v>
      </c>
      <c r="N439" s="138">
        <f t="shared" si="469"/>
        <v>3</v>
      </c>
      <c r="O439" s="70">
        <v>45584</v>
      </c>
      <c r="P439" s="6" t="s">
        <v>3</v>
      </c>
      <c r="Q439" s="14"/>
      <c r="R439" s="11"/>
      <c r="S439" s="11"/>
      <c r="T439" s="5">
        <f t="shared" si="470"/>
        <v>0</v>
      </c>
      <c r="U439" s="14"/>
      <c r="V439" s="11"/>
      <c r="W439" s="11"/>
      <c r="X439" s="5">
        <f t="shared" si="471"/>
        <v>0</v>
      </c>
      <c r="Y439" s="25"/>
      <c r="Z439" s="26"/>
      <c r="AA439" s="26"/>
      <c r="AB439" s="5">
        <f t="shared" si="472"/>
        <v>0</v>
      </c>
      <c r="AC439" s="86">
        <f t="shared" si="473"/>
        <v>0</v>
      </c>
    </row>
    <row r="440" spans="1:31" x14ac:dyDescent="0.15">
      <c r="A440" s="102" t="s">
        <v>3</v>
      </c>
      <c r="B440" s="14"/>
      <c r="C440" s="11"/>
      <c r="D440" s="11"/>
      <c r="E440" s="5">
        <f t="shared" ref="E440" si="475">SUM(B440:D440)</f>
        <v>0</v>
      </c>
      <c r="F440" s="34"/>
      <c r="G440" s="11"/>
      <c r="H440" s="11">
        <v>10</v>
      </c>
      <c r="I440" s="5">
        <f t="shared" ref="I440" si="476">SUM(F440:H440)</f>
        <v>10</v>
      </c>
      <c r="J440" s="34"/>
      <c r="K440" s="11"/>
      <c r="L440" s="11">
        <v>10</v>
      </c>
      <c r="M440" s="38">
        <f t="shared" ref="M440" si="477">SUM(J440:L440)</f>
        <v>10</v>
      </c>
      <c r="N440" s="138">
        <f t="shared" ref="N440" si="478">E440+I440+M440</f>
        <v>20</v>
      </c>
      <c r="O440" s="24">
        <v>45588</v>
      </c>
      <c r="P440" s="6" t="s">
        <v>3</v>
      </c>
      <c r="Q440" s="14"/>
      <c r="R440" s="11"/>
      <c r="S440" s="11"/>
      <c r="T440" s="5">
        <f t="shared" ref="T440" si="479">SUM(Q440:S440)</f>
        <v>0</v>
      </c>
      <c r="U440" s="14"/>
      <c r="V440" s="11"/>
      <c r="W440" s="11"/>
      <c r="X440" s="5">
        <f t="shared" ref="X440" si="480">SUM(U440:W440)</f>
        <v>0</v>
      </c>
      <c r="Y440" s="25"/>
      <c r="Z440" s="26"/>
      <c r="AA440" s="26"/>
      <c r="AB440" s="5">
        <f t="shared" ref="AB440" si="481">SUM(Y440:AA440)</f>
        <v>0</v>
      </c>
      <c r="AC440" s="86">
        <f t="shared" ref="AC440" si="482">T440+X440+AB440</f>
        <v>0</v>
      </c>
    </row>
    <row r="441" spans="1:31" x14ac:dyDescent="0.15">
      <c r="A441" s="102" t="s">
        <v>57</v>
      </c>
      <c r="B441" s="25"/>
      <c r="C441" s="26"/>
      <c r="D441" s="26">
        <v>1</v>
      </c>
      <c r="E441" s="8">
        <f t="shared" si="466"/>
        <v>1</v>
      </c>
      <c r="F441" s="25"/>
      <c r="G441" s="26"/>
      <c r="H441" s="26">
        <v>1</v>
      </c>
      <c r="I441" s="8">
        <f t="shared" si="467"/>
        <v>1</v>
      </c>
      <c r="J441" s="25"/>
      <c r="K441" s="26"/>
      <c r="L441" s="26">
        <v>1</v>
      </c>
      <c r="M441" s="39">
        <f t="shared" si="468"/>
        <v>1</v>
      </c>
      <c r="N441" s="138">
        <f t="shared" si="469"/>
        <v>3</v>
      </c>
      <c r="O441" s="70">
        <v>45590</v>
      </c>
      <c r="P441" s="6" t="s">
        <v>3</v>
      </c>
      <c r="Q441" s="14"/>
      <c r="R441" s="11"/>
      <c r="S441" s="11"/>
      <c r="T441" s="5">
        <f t="shared" si="470"/>
        <v>0</v>
      </c>
      <c r="U441" s="14"/>
      <c r="V441" s="11"/>
      <c r="W441" s="11"/>
      <c r="X441" s="5">
        <f t="shared" si="471"/>
        <v>0</v>
      </c>
      <c r="Y441" s="25"/>
      <c r="Z441" s="26"/>
      <c r="AA441" s="26"/>
      <c r="AB441" s="8">
        <f t="shared" si="472"/>
        <v>0</v>
      </c>
      <c r="AC441" s="86">
        <f t="shared" si="473"/>
        <v>0</v>
      </c>
    </row>
    <row r="442" spans="1:31" x14ac:dyDescent="0.15">
      <c r="A442" s="102" t="s">
        <v>492</v>
      </c>
      <c r="B442" s="27">
        <v>1</v>
      </c>
      <c r="C442" s="26">
        <v>1</v>
      </c>
      <c r="D442" s="26">
        <v>2</v>
      </c>
      <c r="E442" s="5">
        <f t="shared" si="466"/>
        <v>4</v>
      </c>
      <c r="F442" s="25">
        <v>1</v>
      </c>
      <c r="G442" s="26">
        <v>1</v>
      </c>
      <c r="H442" s="26">
        <v>2</v>
      </c>
      <c r="I442" s="5">
        <f t="shared" si="467"/>
        <v>4</v>
      </c>
      <c r="J442" s="25">
        <v>1</v>
      </c>
      <c r="K442" s="26">
        <v>1</v>
      </c>
      <c r="L442" s="26">
        <v>2</v>
      </c>
      <c r="M442" s="38">
        <f t="shared" si="468"/>
        <v>4</v>
      </c>
      <c r="N442" s="138">
        <f t="shared" si="469"/>
        <v>12</v>
      </c>
      <c r="O442" s="70">
        <v>45595</v>
      </c>
      <c r="P442" s="6" t="s">
        <v>3</v>
      </c>
      <c r="Q442" s="27"/>
      <c r="R442" s="26"/>
      <c r="S442" s="26"/>
      <c r="T442" s="5">
        <f t="shared" si="470"/>
        <v>0</v>
      </c>
      <c r="U442" s="27"/>
      <c r="V442" s="26"/>
      <c r="W442" s="26"/>
      <c r="X442" s="5">
        <f t="shared" si="471"/>
        <v>0</v>
      </c>
      <c r="Y442" s="25"/>
      <c r="Z442" s="26"/>
      <c r="AA442" s="26"/>
      <c r="AB442" s="5">
        <f t="shared" si="472"/>
        <v>0</v>
      </c>
      <c r="AC442" s="86">
        <f t="shared" si="473"/>
        <v>0</v>
      </c>
    </row>
    <row r="443" spans="1:31" x14ac:dyDescent="0.15">
      <c r="A443" s="102" t="s">
        <v>3</v>
      </c>
      <c r="B443" s="27"/>
      <c r="C443" s="26"/>
      <c r="D443" s="26"/>
      <c r="E443" s="5">
        <f t="shared" si="466"/>
        <v>0</v>
      </c>
      <c r="F443" s="25"/>
      <c r="G443" s="26"/>
      <c r="H443" s="26"/>
      <c r="I443" s="5">
        <f t="shared" si="467"/>
        <v>0</v>
      </c>
      <c r="J443" s="25"/>
      <c r="K443" s="26"/>
      <c r="L443" s="26"/>
      <c r="M443" s="38">
        <f t="shared" si="468"/>
        <v>0</v>
      </c>
      <c r="N443" s="138">
        <f t="shared" si="469"/>
        <v>0</v>
      </c>
      <c r="P443" s="6" t="s">
        <v>3</v>
      </c>
      <c r="Q443" s="14"/>
      <c r="R443" s="11"/>
      <c r="S443" s="11"/>
      <c r="T443" s="5">
        <f t="shared" si="470"/>
        <v>0</v>
      </c>
      <c r="U443" s="14"/>
      <c r="V443" s="11"/>
      <c r="W443" s="11"/>
      <c r="X443" s="5">
        <f t="shared" si="471"/>
        <v>0</v>
      </c>
      <c r="Y443" s="25"/>
      <c r="Z443" s="26"/>
      <c r="AA443" s="26"/>
      <c r="AB443" s="5">
        <f t="shared" si="472"/>
        <v>0</v>
      </c>
      <c r="AC443" s="86">
        <f t="shared" si="473"/>
        <v>0</v>
      </c>
    </row>
    <row r="444" spans="1:31" x14ac:dyDescent="0.15">
      <c r="A444" s="102" t="s">
        <v>3</v>
      </c>
      <c r="B444" s="27"/>
      <c r="C444" s="26"/>
      <c r="D444" s="26"/>
      <c r="E444" s="5">
        <f t="shared" si="466"/>
        <v>0</v>
      </c>
      <c r="F444" s="25"/>
      <c r="G444" s="26"/>
      <c r="H444" s="26"/>
      <c r="I444" s="5">
        <f t="shared" si="467"/>
        <v>0</v>
      </c>
      <c r="J444" s="25"/>
      <c r="K444" s="26"/>
      <c r="L444" s="26"/>
      <c r="M444" s="38">
        <f t="shared" si="468"/>
        <v>0</v>
      </c>
      <c r="N444" s="138">
        <f t="shared" si="469"/>
        <v>0</v>
      </c>
      <c r="P444" s="6" t="s">
        <v>3</v>
      </c>
      <c r="Q444" s="27"/>
      <c r="R444" s="26"/>
      <c r="S444" s="26"/>
      <c r="T444" s="5">
        <f t="shared" si="470"/>
        <v>0</v>
      </c>
      <c r="U444" s="27"/>
      <c r="V444" s="26"/>
      <c r="W444" s="26"/>
      <c r="X444" s="5">
        <f t="shared" si="471"/>
        <v>0</v>
      </c>
      <c r="Y444" s="25"/>
      <c r="Z444" s="26"/>
      <c r="AA444" s="26"/>
      <c r="AB444" s="5">
        <f t="shared" si="472"/>
        <v>0</v>
      </c>
      <c r="AC444" s="86">
        <f t="shared" si="473"/>
        <v>0</v>
      </c>
    </row>
    <row r="445" spans="1:31" ht="14.25" thickBot="1" x14ac:dyDescent="0.2">
      <c r="A445" s="102" t="s">
        <v>3</v>
      </c>
      <c r="B445" s="28"/>
      <c r="C445" s="29"/>
      <c r="D445" s="32"/>
      <c r="E445" s="15">
        <f t="shared" si="466"/>
        <v>0</v>
      </c>
      <c r="F445" s="35"/>
      <c r="G445" s="29"/>
      <c r="H445" s="32"/>
      <c r="I445" s="15">
        <f t="shared" si="467"/>
        <v>0</v>
      </c>
      <c r="J445" s="35"/>
      <c r="K445" s="29"/>
      <c r="L445" s="32"/>
      <c r="M445" s="40">
        <f t="shared" si="468"/>
        <v>0</v>
      </c>
      <c r="N445" s="139">
        <f t="shared" si="469"/>
        <v>0</v>
      </c>
      <c r="P445" s="7" t="s">
        <v>3</v>
      </c>
      <c r="Q445" s="28"/>
      <c r="R445" s="29"/>
      <c r="S445" s="29"/>
      <c r="T445" s="15">
        <f t="shared" si="470"/>
        <v>0</v>
      </c>
      <c r="U445" s="28"/>
      <c r="V445" s="29"/>
      <c r="W445" s="29"/>
      <c r="X445" s="15">
        <f t="shared" si="471"/>
        <v>0</v>
      </c>
      <c r="Y445" s="35"/>
      <c r="Z445" s="29"/>
      <c r="AA445" s="32"/>
      <c r="AB445" s="15">
        <f t="shared" si="472"/>
        <v>0</v>
      </c>
      <c r="AC445" s="87">
        <f t="shared" si="473"/>
        <v>0</v>
      </c>
    </row>
    <row r="446" spans="1:31" ht="14.25" thickBot="1" x14ac:dyDescent="0.2">
      <c r="A446" s="103" t="s">
        <v>4</v>
      </c>
      <c r="B446" s="17">
        <f>SUM(B435:B445)</f>
        <v>24</v>
      </c>
      <c r="C446" s="17">
        <f>SUM(C435:C445)</f>
        <v>25</v>
      </c>
      <c r="D446" s="17">
        <f>SUM(D435:D445)</f>
        <v>28</v>
      </c>
      <c r="E446" s="18">
        <f t="shared" si="466"/>
        <v>77</v>
      </c>
      <c r="F446" s="17">
        <f>SUM(F435:F445)</f>
        <v>25</v>
      </c>
      <c r="G446" s="17">
        <f>SUM(G435:G445)</f>
        <v>24</v>
      </c>
      <c r="H446" s="17">
        <f>SUM(H435:H445)</f>
        <v>33</v>
      </c>
      <c r="I446" s="18">
        <f t="shared" si="467"/>
        <v>82</v>
      </c>
      <c r="J446" s="17">
        <f>SUM(J435:J445)</f>
        <v>24</v>
      </c>
      <c r="K446" s="17">
        <f>SUM(K435:K445)</f>
        <v>23</v>
      </c>
      <c r="L446" s="17">
        <f>SUM(L435:L445)</f>
        <v>33</v>
      </c>
      <c r="M446" s="20">
        <f t="shared" si="468"/>
        <v>80</v>
      </c>
      <c r="N446" s="140">
        <f t="shared" si="469"/>
        <v>239</v>
      </c>
      <c r="P446" s="16" t="s">
        <v>4</v>
      </c>
      <c r="Q446" s="17">
        <f>SUM(Q435:Q445)</f>
        <v>416</v>
      </c>
      <c r="R446" s="17">
        <f t="shared" ref="R446" si="483">SUM(R435:R445)</f>
        <v>465</v>
      </c>
      <c r="S446" s="17">
        <f t="shared" ref="S446" si="484">SUM(S435:S445)</f>
        <v>414</v>
      </c>
      <c r="T446" s="18">
        <f t="shared" ref="T446" si="485">SUM(T435:T445)</f>
        <v>1295</v>
      </c>
      <c r="U446" s="17">
        <f t="shared" ref="U446" si="486">SUM(U435:U445)</f>
        <v>316</v>
      </c>
      <c r="V446" s="17">
        <f t="shared" ref="V446" si="487">SUM(V435:V445)</f>
        <v>430</v>
      </c>
      <c r="W446" s="17">
        <f t="shared" ref="W446" si="488">SUM(W435:W445)</f>
        <v>339</v>
      </c>
      <c r="X446" s="18">
        <f t="shared" ref="X446" si="489">SUM(X435:X445)</f>
        <v>1085</v>
      </c>
      <c r="Y446" s="17">
        <f t="shared" ref="Y446" si="490">SUM(Y435:Y445)</f>
        <v>298</v>
      </c>
      <c r="Z446" s="17">
        <f t="shared" ref="Z446" si="491">SUM(Z435:Z445)</f>
        <v>406</v>
      </c>
      <c r="AA446" s="17">
        <f t="shared" ref="AA446" si="492">SUM(AA435:AA445)</f>
        <v>415</v>
      </c>
      <c r="AB446" s="18">
        <f t="shared" ref="AB446" si="493">SUM(AB435:AB445)</f>
        <v>1119</v>
      </c>
      <c r="AC446" s="88">
        <f t="shared" ref="AC446" si="494">SUM(AC435:AC445)</f>
        <v>3499</v>
      </c>
    </row>
    <row r="447" spans="1:31" x14ac:dyDescent="0.15">
      <c r="A447" s="33" t="s">
        <v>432</v>
      </c>
      <c r="B447" s="9"/>
      <c r="C447" s="10">
        <v>1</v>
      </c>
      <c r="D447" s="31"/>
      <c r="E447" s="5">
        <f t="shared" si="466"/>
        <v>1</v>
      </c>
      <c r="F447" s="9"/>
      <c r="G447" s="10">
        <v>1</v>
      </c>
      <c r="H447" s="31"/>
      <c r="I447" s="5">
        <f t="shared" si="467"/>
        <v>1</v>
      </c>
      <c r="J447" s="9"/>
      <c r="K447" s="10">
        <v>1</v>
      </c>
      <c r="L447" s="31"/>
      <c r="M447" s="38">
        <f t="shared" si="468"/>
        <v>1</v>
      </c>
      <c r="N447" s="141">
        <f t="shared" si="469"/>
        <v>3</v>
      </c>
      <c r="O447" s="24">
        <v>45572</v>
      </c>
      <c r="P447" s="33" t="s">
        <v>429</v>
      </c>
      <c r="Q447" s="9">
        <v>3</v>
      </c>
      <c r="R447" s="10">
        <v>2</v>
      </c>
      <c r="S447" s="10"/>
      <c r="T447" s="8">
        <f t="shared" si="470"/>
        <v>5</v>
      </c>
      <c r="U447" s="9">
        <v>3</v>
      </c>
      <c r="V447" s="10">
        <v>2</v>
      </c>
      <c r="W447" s="10"/>
      <c r="X447" s="8">
        <f t="shared" si="471"/>
        <v>5</v>
      </c>
      <c r="Y447" s="9">
        <v>3</v>
      </c>
      <c r="Z447" s="10">
        <v>2</v>
      </c>
      <c r="AA447" s="10"/>
      <c r="AB447" s="8">
        <f t="shared" si="472"/>
        <v>5</v>
      </c>
      <c r="AC447" s="86">
        <f t="shared" si="473"/>
        <v>15</v>
      </c>
      <c r="AD447" s="109">
        <v>45567</v>
      </c>
    </row>
    <row r="448" spans="1:31" x14ac:dyDescent="0.15">
      <c r="A448" s="33" t="s">
        <v>451</v>
      </c>
      <c r="B448" s="9"/>
      <c r="C448" s="10">
        <v>1</v>
      </c>
      <c r="D448" s="10"/>
      <c r="E448" s="5">
        <f t="shared" si="466"/>
        <v>1</v>
      </c>
      <c r="F448" s="9"/>
      <c r="G448" s="10">
        <v>1</v>
      </c>
      <c r="H448" s="10"/>
      <c r="I448" s="5">
        <f t="shared" si="467"/>
        <v>1</v>
      </c>
      <c r="J448" s="9"/>
      <c r="K448" s="10">
        <v>1</v>
      </c>
      <c r="L448" s="10"/>
      <c r="M448" s="38">
        <f t="shared" si="468"/>
        <v>1</v>
      </c>
      <c r="N448" s="138">
        <f t="shared" si="469"/>
        <v>3</v>
      </c>
      <c r="O448" s="24">
        <v>45574</v>
      </c>
      <c r="P448" s="4" t="s">
        <v>442</v>
      </c>
      <c r="Q448" s="9">
        <v>10</v>
      </c>
      <c r="R448" s="10"/>
      <c r="S448" s="10">
        <v>10</v>
      </c>
      <c r="T448" s="8">
        <f t="shared" si="470"/>
        <v>20</v>
      </c>
      <c r="U448" s="9">
        <v>10</v>
      </c>
      <c r="V448" s="10"/>
      <c r="W448" s="10">
        <v>10</v>
      </c>
      <c r="X448" s="8">
        <f t="shared" si="471"/>
        <v>20</v>
      </c>
      <c r="Y448" s="9">
        <v>10</v>
      </c>
      <c r="Z448" s="10"/>
      <c r="AA448" s="10">
        <v>10</v>
      </c>
      <c r="AB448" s="8">
        <f t="shared" si="472"/>
        <v>20</v>
      </c>
      <c r="AC448" s="86">
        <f t="shared" si="473"/>
        <v>60</v>
      </c>
      <c r="AD448" s="109">
        <v>45572</v>
      </c>
      <c r="AE448" s="58"/>
    </row>
    <row r="449" spans="1:30" x14ac:dyDescent="0.15">
      <c r="A449" s="33" t="s">
        <v>36</v>
      </c>
      <c r="B449" s="9">
        <v>1</v>
      </c>
      <c r="C449" s="10"/>
      <c r="D449" s="10"/>
      <c r="E449" s="5">
        <f t="shared" si="466"/>
        <v>1</v>
      </c>
      <c r="F449" s="9">
        <v>1</v>
      </c>
      <c r="G449" s="10"/>
      <c r="H449" s="10"/>
      <c r="I449" s="5">
        <f t="shared" si="467"/>
        <v>1</v>
      </c>
      <c r="J449" s="9">
        <v>1</v>
      </c>
      <c r="K449" s="10"/>
      <c r="L449" s="10"/>
      <c r="M449" s="38">
        <f t="shared" si="468"/>
        <v>1</v>
      </c>
      <c r="N449" s="138">
        <f t="shared" si="469"/>
        <v>3</v>
      </c>
      <c r="O449" s="24">
        <v>45572</v>
      </c>
      <c r="P449" s="4" t="s">
        <v>445</v>
      </c>
      <c r="Q449" s="9">
        <v>25</v>
      </c>
      <c r="R449" s="10">
        <v>40</v>
      </c>
      <c r="S449" s="10">
        <v>25</v>
      </c>
      <c r="T449" s="8">
        <f t="shared" si="470"/>
        <v>90</v>
      </c>
      <c r="U449" s="9">
        <v>25</v>
      </c>
      <c r="V449" s="10">
        <v>40</v>
      </c>
      <c r="W449" s="10">
        <v>25</v>
      </c>
      <c r="X449" s="8">
        <f t="shared" si="471"/>
        <v>90</v>
      </c>
      <c r="Y449" s="9">
        <v>25</v>
      </c>
      <c r="Z449" s="10">
        <v>40</v>
      </c>
      <c r="AA449" s="10">
        <v>25</v>
      </c>
      <c r="AB449" s="8">
        <f t="shared" si="472"/>
        <v>90</v>
      </c>
      <c r="AC449" s="86">
        <f t="shared" si="473"/>
        <v>270</v>
      </c>
      <c r="AD449" s="109">
        <v>45572</v>
      </c>
    </row>
    <row r="450" spans="1:30" x14ac:dyDescent="0.15">
      <c r="A450" s="33" t="s">
        <v>453</v>
      </c>
      <c r="B450" s="9"/>
      <c r="C450" s="10"/>
      <c r="D450" s="10">
        <v>3</v>
      </c>
      <c r="E450" s="5">
        <f t="shared" si="466"/>
        <v>3</v>
      </c>
      <c r="F450" s="9"/>
      <c r="G450" s="10"/>
      <c r="H450" s="10">
        <v>3</v>
      </c>
      <c r="I450" s="5">
        <f t="shared" si="467"/>
        <v>3</v>
      </c>
      <c r="J450" s="9"/>
      <c r="K450" s="10"/>
      <c r="L450" s="10">
        <v>3</v>
      </c>
      <c r="M450" s="38">
        <f t="shared" si="468"/>
        <v>3</v>
      </c>
      <c r="N450" s="138">
        <f t="shared" si="469"/>
        <v>9</v>
      </c>
      <c r="O450" s="24">
        <v>45575</v>
      </c>
      <c r="P450" s="4" t="s">
        <v>27</v>
      </c>
      <c r="Q450" s="9"/>
      <c r="R450" s="10"/>
      <c r="S450" s="10">
        <v>10</v>
      </c>
      <c r="T450" s="5">
        <f t="shared" ref="T450" si="495">SUM(Q450:S450)</f>
        <v>10</v>
      </c>
      <c r="U450" s="9"/>
      <c r="V450" s="10"/>
      <c r="W450" s="10">
        <v>10</v>
      </c>
      <c r="X450" s="5">
        <f t="shared" ref="X450" si="496">SUM(U450:W450)</f>
        <v>10</v>
      </c>
      <c r="Y450" s="9"/>
      <c r="Z450" s="10"/>
      <c r="AA450" s="10">
        <v>10</v>
      </c>
      <c r="AB450" s="5">
        <f t="shared" ref="AB450" si="497">SUM(Y450:AA450)</f>
        <v>10</v>
      </c>
      <c r="AC450" s="86">
        <f t="shared" si="473"/>
        <v>30</v>
      </c>
      <c r="AD450" s="109">
        <v>45570</v>
      </c>
    </row>
    <row r="451" spans="1:30" x14ac:dyDescent="0.15">
      <c r="A451" s="33" t="s">
        <v>36</v>
      </c>
      <c r="B451" s="9">
        <v>2</v>
      </c>
      <c r="C451" s="10">
        <v>1</v>
      </c>
      <c r="D451" s="10"/>
      <c r="E451" s="5">
        <f t="shared" si="466"/>
        <v>3</v>
      </c>
      <c r="F451" s="9">
        <v>2</v>
      </c>
      <c r="G451" s="10"/>
      <c r="H451" s="10"/>
      <c r="I451" s="5">
        <f t="shared" si="467"/>
        <v>2</v>
      </c>
      <c r="J451" s="9">
        <v>2</v>
      </c>
      <c r="K451" s="10"/>
      <c r="L451" s="10">
        <v>1</v>
      </c>
      <c r="M451" s="38">
        <f t="shared" si="468"/>
        <v>3</v>
      </c>
      <c r="N451" s="138">
        <f t="shared" si="469"/>
        <v>8</v>
      </c>
      <c r="O451" s="24">
        <v>45574</v>
      </c>
      <c r="P451" s="4" t="s">
        <v>450</v>
      </c>
      <c r="Q451" s="9">
        <v>20</v>
      </c>
      <c r="R451" s="10">
        <v>40</v>
      </c>
      <c r="S451" s="10">
        <v>23</v>
      </c>
      <c r="T451" s="5">
        <f t="shared" si="470"/>
        <v>83</v>
      </c>
      <c r="U451" s="9">
        <v>20</v>
      </c>
      <c r="V451" s="10">
        <v>40</v>
      </c>
      <c r="W451" s="10">
        <v>23</v>
      </c>
      <c r="X451" s="5">
        <f t="shared" si="471"/>
        <v>83</v>
      </c>
      <c r="Y451" s="9">
        <v>20</v>
      </c>
      <c r="Z451" s="10">
        <v>40</v>
      </c>
      <c r="AA451" s="10">
        <v>23</v>
      </c>
      <c r="AB451" s="5">
        <f t="shared" si="472"/>
        <v>83</v>
      </c>
      <c r="AC451" s="86">
        <f t="shared" si="473"/>
        <v>249</v>
      </c>
      <c r="AD451" s="109">
        <v>45581</v>
      </c>
    </row>
    <row r="452" spans="1:30" x14ac:dyDescent="0.15">
      <c r="A452" s="33" t="s">
        <v>465</v>
      </c>
      <c r="B452" s="9"/>
      <c r="C452" s="10">
        <v>1</v>
      </c>
      <c r="D452" s="10"/>
      <c r="E452" s="8">
        <f t="shared" si="466"/>
        <v>1</v>
      </c>
      <c r="F452" s="9"/>
      <c r="G452" s="10">
        <v>1</v>
      </c>
      <c r="H452" s="10"/>
      <c r="I452" s="8">
        <f t="shared" si="467"/>
        <v>1</v>
      </c>
      <c r="J452" s="9"/>
      <c r="K452" s="10">
        <v>1</v>
      </c>
      <c r="L452" s="10"/>
      <c r="M452" s="39">
        <f t="shared" si="468"/>
        <v>1</v>
      </c>
      <c r="N452" s="138">
        <f t="shared" si="469"/>
        <v>3</v>
      </c>
      <c r="O452" s="24">
        <v>45582</v>
      </c>
      <c r="P452" s="4" t="s">
        <v>452</v>
      </c>
      <c r="Q452" s="9">
        <v>15</v>
      </c>
      <c r="R452" s="10">
        <v>18</v>
      </c>
      <c r="S452" s="10">
        <v>13</v>
      </c>
      <c r="T452" s="8">
        <f t="shared" si="470"/>
        <v>46</v>
      </c>
      <c r="U452" s="9">
        <v>15</v>
      </c>
      <c r="V452" s="10">
        <v>18</v>
      </c>
      <c r="W452" s="10">
        <v>13</v>
      </c>
      <c r="X452" s="8">
        <f t="shared" si="471"/>
        <v>46</v>
      </c>
      <c r="Y452" s="9">
        <v>15</v>
      </c>
      <c r="Z452" s="10">
        <v>18</v>
      </c>
      <c r="AA452" s="10">
        <v>13</v>
      </c>
      <c r="AB452" s="8">
        <f t="shared" si="472"/>
        <v>46</v>
      </c>
      <c r="AC452" s="86">
        <f t="shared" si="473"/>
        <v>138</v>
      </c>
      <c r="AD452" s="109">
        <v>45573</v>
      </c>
    </row>
    <row r="453" spans="1:30" x14ac:dyDescent="0.15">
      <c r="A453" s="33" t="s">
        <v>36</v>
      </c>
      <c r="B453" s="9"/>
      <c r="C453" s="10">
        <v>1</v>
      </c>
      <c r="D453" s="10"/>
      <c r="E453" s="8">
        <f t="shared" si="466"/>
        <v>1</v>
      </c>
      <c r="F453" s="9"/>
      <c r="G453" s="10">
        <v>1</v>
      </c>
      <c r="H453" s="10"/>
      <c r="I453" s="8">
        <f t="shared" si="467"/>
        <v>1</v>
      </c>
      <c r="J453" s="9"/>
      <c r="K453" s="10">
        <v>1</v>
      </c>
      <c r="L453" s="10"/>
      <c r="M453" s="39">
        <f t="shared" si="468"/>
        <v>1</v>
      </c>
      <c r="N453" s="138">
        <f t="shared" si="469"/>
        <v>3</v>
      </c>
      <c r="O453" s="24">
        <v>45580</v>
      </c>
      <c r="P453" s="33" t="s">
        <v>456</v>
      </c>
      <c r="Q453" s="9">
        <v>6</v>
      </c>
      <c r="R453" s="10">
        <v>9</v>
      </c>
      <c r="S453" s="10">
        <v>6</v>
      </c>
      <c r="T453" s="8">
        <f t="shared" si="470"/>
        <v>21</v>
      </c>
      <c r="U453" s="9">
        <v>6</v>
      </c>
      <c r="V453" s="10">
        <v>9</v>
      </c>
      <c r="W453" s="10">
        <v>6</v>
      </c>
      <c r="X453" s="8">
        <f t="shared" si="471"/>
        <v>21</v>
      </c>
      <c r="Y453" s="9">
        <v>6</v>
      </c>
      <c r="Z453" s="10">
        <v>9</v>
      </c>
      <c r="AA453" s="10">
        <v>6</v>
      </c>
      <c r="AB453" s="8">
        <f t="shared" si="472"/>
        <v>21</v>
      </c>
      <c r="AC453" s="86">
        <f t="shared" si="473"/>
        <v>63</v>
      </c>
      <c r="AD453" s="109">
        <v>45576</v>
      </c>
    </row>
    <row r="454" spans="1:30" x14ac:dyDescent="0.15">
      <c r="A454" s="33" t="s">
        <v>466</v>
      </c>
      <c r="B454" s="9"/>
      <c r="C454" s="10">
        <v>1</v>
      </c>
      <c r="D454" s="10"/>
      <c r="E454" s="8">
        <f t="shared" si="466"/>
        <v>1</v>
      </c>
      <c r="F454" s="9">
        <v>1</v>
      </c>
      <c r="G454" s="10"/>
      <c r="H454" s="10"/>
      <c r="I454" s="8">
        <f t="shared" si="467"/>
        <v>1</v>
      </c>
      <c r="J454" s="9"/>
      <c r="K454" s="10"/>
      <c r="L454" s="10">
        <v>1</v>
      </c>
      <c r="M454" s="39">
        <f t="shared" si="468"/>
        <v>1</v>
      </c>
      <c r="N454" s="138">
        <f t="shared" si="469"/>
        <v>3</v>
      </c>
      <c r="O454" s="24">
        <v>45580</v>
      </c>
      <c r="P454" s="4" t="s">
        <v>470</v>
      </c>
      <c r="Q454" s="9">
        <v>25</v>
      </c>
      <c r="R454" s="10">
        <v>30</v>
      </c>
      <c r="S454" s="10">
        <v>20</v>
      </c>
      <c r="T454" s="8">
        <f t="shared" si="470"/>
        <v>75</v>
      </c>
      <c r="U454" s="9">
        <v>25</v>
      </c>
      <c r="V454" s="10">
        <v>30</v>
      </c>
      <c r="W454" s="10">
        <v>20</v>
      </c>
      <c r="X454" s="8">
        <f t="shared" si="471"/>
        <v>75</v>
      </c>
      <c r="Y454" s="9">
        <v>25</v>
      </c>
      <c r="Z454" s="10">
        <v>30</v>
      </c>
      <c r="AA454" s="10">
        <v>20</v>
      </c>
      <c r="AB454" s="8">
        <f t="shared" si="472"/>
        <v>75</v>
      </c>
      <c r="AC454" s="86">
        <f t="shared" si="473"/>
        <v>225</v>
      </c>
      <c r="AD454" s="109">
        <v>45586</v>
      </c>
    </row>
    <row r="455" spans="1:30" x14ac:dyDescent="0.15">
      <c r="A455" s="33" t="s">
        <v>467</v>
      </c>
      <c r="B455" s="9"/>
      <c r="C455" s="10"/>
      <c r="D455" s="10">
        <v>2</v>
      </c>
      <c r="E455" s="8">
        <f t="shared" si="466"/>
        <v>2</v>
      </c>
      <c r="F455" s="9"/>
      <c r="G455" s="10"/>
      <c r="H455" s="10">
        <v>2</v>
      </c>
      <c r="I455" s="8">
        <f t="shared" si="467"/>
        <v>2</v>
      </c>
      <c r="J455" s="9"/>
      <c r="K455" s="10"/>
      <c r="L455" s="10">
        <v>2</v>
      </c>
      <c r="M455" s="39">
        <f t="shared" si="468"/>
        <v>2</v>
      </c>
      <c r="N455" s="138">
        <f t="shared" si="469"/>
        <v>6</v>
      </c>
      <c r="O455" s="24">
        <v>45583</v>
      </c>
      <c r="P455" s="11" t="s">
        <v>27</v>
      </c>
      <c r="Q455" s="9">
        <v>10</v>
      </c>
      <c r="R455" s="10">
        <v>10</v>
      </c>
      <c r="S455" s="10">
        <v>10</v>
      </c>
      <c r="T455" s="8">
        <f t="shared" ref="T455:T456" si="498">SUM(Q455:S455)</f>
        <v>30</v>
      </c>
      <c r="U455" s="9">
        <v>10</v>
      </c>
      <c r="V455" s="10">
        <v>10</v>
      </c>
      <c r="W455" s="10"/>
      <c r="X455" s="8">
        <f t="shared" ref="X455:X456" si="499">SUM(U455:W455)</f>
        <v>20</v>
      </c>
      <c r="Y455" s="9">
        <v>10</v>
      </c>
      <c r="Z455" s="10">
        <v>10</v>
      </c>
      <c r="AA455" s="10"/>
      <c r="AB455" s="8">
        <f t="shared" ref="AB455:AB456" si="500">SUM(Y455:AA455)</f>
        <v>20</v>
      </c>
      <c r="AC455" s="86">
        <f t="shared" si="473"/>
        <v>70</v>
      </c>
      <c r="AD455" s="109">
        <v>45584</v>
      </c>
    </row>
    <row r="456" spans="1:30" x14ac:dyDescent="0.15">
      <c r="A456" s="33" t="s">
        <v>36</v>
      </c>
      <c r="B456" s="9"/>
      <c r="C456" s="10">
        <v>1</v>
      </c>
      <c r="D456" s="10"/>
      <c r="E456" s="8">
        <f t="shared" si="466"/>
        <v>1</v>
      </c>
      <c r="F456" s="9"/>
      <c r="G456" s="10">
        <v>1</v>
      </c>
      <c r="H456" s="10"/>
      <c r="I456" s="8">
        <f t="shared" si="467"/>
        <v>1</v>
      </c>
      <c r="J456" s="9"/>
      <c r="K456" s="10">
        <v>1</v>
      </c>
      <c r="L456" s="10"/>
      <c r="M456" s="39">
        <f t="shared" si="468"/>
        <v>1</v>
      </c>
      <c r="N456" s="138">
        <f t="shared" si="469"/>
        <v>3</v>
      </c>
      <c r="O456" s="24">
        <v>45581</v>
      </c>
      <c r="P456" s="4" t="s">
        <v>27</v>
      </c>
      <c r="Q456" s="77">
        <v>1</v>
      </c>
      <c r="R456" s="78"/>
      <c r="S456" s="78"/>
      <c r="T456" s="5">
        <f t="shared" si="498"/>
        <v>1</v>
      </c>
      <c r="U456" s="77">
        <v>1</v>
      </c>
      <c r="V456" s="78"/>
      <c r="W456" s="78"/>
      <c r="X456" s="5">
        <f t="shared" si="499"/>
        <v>1</v>
      </c>
      <c r="Y456" s="77">
        <v>1</v>
      </c>
      <c r="Z456" s="78"/>
      <c r="AA456" s="78"/>
      <c r="AB456" s="5">
        <f t="shared" si="500"/>
        <v>1</v>
      </c>
      <c r="AC456" s="91">
        <f t="shared" si="473"/>
        <v>3</v>
      </c>
      <c r="AD456" s="109">
        <v>45584</v>
      </c>
    </row>
    <row r="457" spans="1:30" x14ac:dyDescent="0.15">
      <c r="A457" s="33" t="s">
        <v>469</v>
      </c>
      <c r="B457" s="9"/>
      <c r="C457" s="10"/>
      <c r="D457" s="10">
        <v>1</v>
      </c>
      <c r="E457" s="8">
        <f t="shared" si="466"/>
        <v>1</v>
      </c>
      <c r="F457" s="9"/>
      <c r="G457" s="10"/>
      <c r="H457" s="10">
        <v>1</v>
      </c>
      <c r="I457" s="8">
        <f t="shared" si="467"/>
        <v>1</v>
      </c>
      <c r="J457" s="9"/>
      <c r="K457" s="10"/>
      <c r="L457" s="10">
        <v>1</v>
      </c>
      <c r="M457" s="39">
        <f t="shared" si="468"/>
        <v>1</v>
      </c>
      <c r="N457" s="138">
        <f t="shared" si="469"/>
        <v>3</v>
      </c>
      <c r="O457" s="24">
        <v>45583</v>
      </c>
      <c r="P457" s="4" t="s">
        <v>27</v>
      </c>
      <c r="Q457" s="9"/>
      <c r="R457" s="10"/>
      <c r="S457" s="10"/>
      <c r="T457" s="8">
        <f t="shared" ref="T457" si="501">SUM(Q457:S457)</f>
        <v>0</v>
      </c>
      <c r="U457" s="9"/>
      <c r="V457" s="10"/>
      <c r="W457" s="10">
        <v>10</v>
      </c>
      <c r="X457" s="8">
        <f t="shared" ref="X457" si="502">SUM(U457:W457)</f>
        <v>10</v>
      </c>
      <c r="Y457" s="9"/>
      <c r="Z457" s="10"/>
      <c r="AA457" s="10">
        <v>10</v>
      </c>
      <c r="AB457" s="8">
        <f t="shared" ref="AB457" si="503">SUM(Y457:AA457)</f>
        <v>10</v>
      </c>
      <c r="AC457" s="86">
        <f t="shared" ref="AC457" si="504">T457+X457+AB457</f>
        <v>20</v>
      </c>
      <c r="AD457" s="109">
        <v>45588</v>
      </c>
    </row>
    <row r="458" spans="1:30" x14ac:dyDescent="0.15">
      <c r="A458" s="33" t="s">
        <v>36</v>
      </c>
      <c r="B458" s="9"/>
      <c r="C458" s="10">
        <v>1</v>
      </c>
      <c r="D458" s="10"/>
      <c r="E458" s="8">
        <f t="shared" si="466"/>
        <v>1</v>
      </c>
      <c r="F458" s="9"/>
      <c r="G458" s="10"/>
      <c r="H458" s="10"/>
      <c r="I458" s="8">
        <f t="shared" si="467"/>
        <v>0</v>
      </c>
      <c r="J458" s="9"/>
      <c r="K458" s="10"/>
      <c r="L458" s="10"/>
      <c r="M458" s="39">
        <f t="shared" si="468"/>
        <v>0</v>
      </c>
      <c r="N458" s="138">
        <f t="shared" si="469"/>
        <v>1</v>
      </c>
      <c r="O458" s="24">
        <v>45582</v>
      </c>
      <c r="P458" s="33" t="s">
        <v>483</v>
      </c>
      <c r="Q458" s="9"/>
      <c r="R458" s="10">
        <v>6</v>
      </c>
      <c r="S458" s="10">
        <v>1</v>
      </c>
      <c r="T458" s="8">
        <f t="shared" si="470"/>
        <v>7</v>
      </c>
      <c r="U458" s="9"/>
      <c r="V458" s="10">
        <v>6</v>
      </c>
      <c r="W458" s="10">
        <v>1</v>
      </c>
      <c r="X458" s="8">
        <f t="shared" si="471"/>
        <v>7</v>
      </c>
      <c r="Y458" s="9"/>
      <c r="Z458" s="10">
        <v>6</v>
      </c>
      <c r="AA458" s="10">
        <v>1</v>
      </c>
      <c r="AB458" s="8">
        <f t="shared" si="472"/>
        <v>7</v>
      </c>
      <c r="AC458" s="86">
        <f t="shared" si="473"/>
        <v>21</v>
      </c>
      <c r="AD458" s="109">
        <v>45590</v>
      </c>
    </row>
    <row r="459" spans="1:30" x14ac:dyDescent="0.15">
      <c r="A459" s="33" t="s">
        <v>471</v>
      </c>
      <c r="B459" s="9"/>
      <c r="C459" s="10"/>
      <c r="D459" s="10">
        <v>1</v>
      </c>
      <c r="E459" s="8">
        <f t="shared" si="466"/>
        <v>1</v>
      </c>
      <c r="F459" s="9"/>
      <c r="G459" s="10"/>
      <c r="H459" s="10">
        <v>1</v>
      </c>
      <c r="I459" s="8">
        <f t="shared" si="467"/>
        <v>1</v>
      </c>
      <c r="J459" s="9"/>
      <c r="K459" s="10"/>
      <c r="L459" s="10">
        <v>1</v>
      </c>
      <c r="M459" s="39">
        <f t="shared" si="468"/>
        <v>1</v>
      </c>
      <c r="N459" s="138">
        <f t="shared" si="469"/>
        <v>3</v>
      </c>
      <c r="O459" s="24">
        <v>45586</v>
      </c>
      <c r="P459" s="33" t="s">
        <v>487</v>
      </c>
      <c r="Q459" s="9"/>
      <c r="R459" s="10">
        <v>2</v>
      </c>
      <c r="S459" s="10">
        <v>1</v>
      </c>
      <c r="T459" s="8">
        <f t="shared" si="470"/>
        <v>3</v>
      </c>
      <c r="U459" s="9"/>
      <c r="V459" s="10">
        <v>2</v>
      </c>
      <c r="W459" s="10">
        <v>1</v>
      </c>
      <c r="X459" s="8">
        <f t="shared" si="471"/>
        <v>3</v>
      </c>
      <c r="Y459" s="9"/>
      <c r="Z459" s="10">
        <v>2</v>
      </c>
      <c r="AA459" s="10">
        <v>1</v>
      </c>
      <c r="AB459" s="8">
        <f t="shared" si="472"/>
        <v>3</v>
      </c>
      <c r="AC459" s="86">
        <f t="shared" si="473"/>
        <v>9</v>
      </c>
      <c r="AD459" s="109">
        <v>45595</v>
      </c>
    </row>
    <row r="460" spans="1:30" x14ac:dyDescent="0.15">
      <c r="A460" s="33" t="s">
        <v>472</v>
      </c>
      <c r="B460" s="9"/>
      <c r="C460" s="10"/>
      <c r="D460" s="10">
        <v>2</v>
      </c>
      <c r="E460" s="8">
        <f t="shared" si="466"/>
        <v>2</v>
      </c>
      <c r="F460" s="9"/>
      <c r="G460" s="10"/>
      <c r="H460" s="10">
        <v>2</v>
      </c>
      <c r="I460" s="8">
        <f t="shared" si="467"/>
        <v>2</v>
      </c>
      <c r="J460" s="9"/>
      <c r="K460" s="10"/>
      <c r="L460" s="10">
        <v>2</v>
      </c>
      <c r="M460" s="39">
        <f t="shared" si="468"/>
        <v>2</v>
      </c>
      <c r="N460" s="138">
        <f t="shared" si="469"/>
        <v>6</v>
      </c>
      <c r="O460" s="24">
        <v>45588</v>
      </c>
      <c r="P460" s="33" t="s">
        <v>488</v>
      </c>
      <c r="Q460" s="9">
        <v>2</v>
      </c>
      <c r="R460" s="10">
        <v>4</v>
      </c>
      <c r="S460" s="10">
        <v>3</v>
      </c>
      <c r="T460" s="8">
        <f t="shared" si="470"/>
        <v>9</v>
      </c>
      <c r="U460" s="9">
        <v>2</v>
      </c>
      <c r="V460" s="10">
        <v>4</v>
      </c>
      <c r="W460" s="10">
        <v>3</v>
      </c>
      <c r="X460" s="8">
        <f t="shared" si="471"/>
        <v>9</v>
      </c>
      <c r="Y460" s="9">
        <v>2</v>
      </c>
      <c r="Z460" s="10">
        <v>4</v>
      </c>
      <c r="AA460" s="10">
        <v>3</v>
      </c>
      <c r="AB460" s="8">
        <f t="shared" si="472"/>
        <v>9</v>
      </c>
      <c r="AC460" s="86">
        <f t="shared" si="473"/>
        <v>27</v>
      </c>
      <c r="AD460" s="109">
        <v>45596</v>
      </c>
    </row>
    <row r="461" spans="1:30" x14ac:dyDescent="0.15">
      <c r="A461" s="33" t="s">
        <v>36</v>
      </c>
      <c r="B461" s="9"/>
      <c r="C461" s="10"/>
      <c r="D461" s="10"/>
      <c r="E461" s="8">
        <f t="shared" si="466"/>
        <v>0</v>
      </c>
      <c r="F461" s="9"/>
      <c r="G461" s="10"/>
      <c r="H461" s="10"/>
      <c r="I461" s="8">
        <f t="shared" si="467"/>
        <v>0</v>
      </c>
      <c r="J461" s="9">
        <v>1</v>
      </c>
      <c r="K461" s="10"/>
      <c r="L461" s="10"/>
      <c r="M461" s="39">
        <f t="shared" si="468"/>
        <v>1</v>
      </c>
      <c r="N461" s="138">
        <f t="shared" si="469"/>
        <v>1</v>
      </c>
      <c r="O461" s="24">
        <v>45586</v>
      </c>
      <c r="P461" s="11" t="s">
        <v>489</v>
      </c>
      <c r="Q461" s="9">
        <v>50</v>
      </c>
      <c r="R461" s="10">
        <v>80</v>
      </c>
      <c r="S461" s="10">
        <v>70</v>
      </c>
      <c r="T461" s="8">
        <f t="shared" ref="T461" si="505">SUM(Q461:S461)</f>
        <v>200</v>
      </c>
      <c r="U461" s="9">
        <v>50</v>
      </c>
      <c r="V461" s="10">
        <v>80</v>
      </c>
      <c r="W461" s="10">
        <v>70</v>
      </c>
      <c r="X461" s="8">
        <f t="shared" ref="X461" si="506">SUM(U461:W461)</f>
        <v>200</v>
      </c>
      <c r="Y461" s="9">
        <v>50</v>
      </c>
      <c r="Z461" s="10">
        <v>80</v>
      </c>
      <c r="AA461" s="10">
        <v>70</v>
      </c>
      <c r="AB461" s="8">
        <f t="shared" ref="AB461" si="507">SUM(Y461:AA461)</f>
        <v>200</v>
      </c>
      <c r="AC461" s="86">
        <f t="shared" ref="AC461" si="508">T461+X461+AB461</f>
        <v>600</v>
      </c>
      <c r="AD461" s="109">
        <v>45595</v>
      </c>
    </row>
    <row r="462" spans="1:30" x14ac:dyDescent="0.15">
      <c r="A462" s="33" t="s">
        <v>474</v>
      </c>
      <c r="B462" s="9"/>
      <c r="C462" s="10"/>
      <c r="D462" s="10">
        <v>5</v>
      </c>
      <c r="E462" s="8">
        <f t="shared" si="466"/>
        <v>5</v>
      </c>
      <c r="F462" s="9"/>
      <c r="G462" s="10"/>
      <c r="H462" s="10">
        <v>5</v>
      </c>
      <c r="I462" s="8">
        <f t="shared" si="467"/>
        <v>5</v>
      </c>
      <c r="J462" s="9"/>
      <c r="K462" s="10"/>
      <c r="L462" s="10">
        <v>5</v>
      </c>
      <c r="M462" s="39">
        <f t="shared" si="468"/>
        <v>5</v>
      </c>
      <c r="N462" s="138">
        <f t="shared" si="469"/>
        <v>15</v>
      </c>
      <c r="O462" s="24">
        <v>45589</v>
      </c>
      <c r="P462" s="11"/>
      <c r="Q462" s="9"/>
      <c r="R462" s="10"/>
      <c r="S462" s="10"/>
      <c r="T462" s="8">
        <f t="shared" ref="T462:T463" si="509">SUM(Q462:S462)</f>
        <v>0</v>
      </c>
      <c r="U462" s="9"/>
      <c r="V462" s="10"/>
      <c r="W462" s="10"/>
      <c r="X462" s="8">
        <f t="shared" ref="X462:X463" si="510">SUM(U462:W462)</f>
        <v>0</v>
      </c>
      <c r="Y462" s="9"/>
      <c r="Z462" s="10"/>
      <c r="AA462" s="10"/>
      <c r="AB462" s="8">
        <f t="shared" ref="AB462:AB463" si="511">SUM(Y462:AA462)</f>
        <v>0</v>
      </c>
      <c r="AC462" s="86">
        <f t="shared" ref="AC462:AC463" si="512">T462+X462+AB462</f>
        <v>0</v>
      </c>
      <c r="AD462" s="116"/>
    </row>
    <row r="463" spans="1:30" x14ac:dyDescent="0.15">
      <c r="A463" s="33" t="s">
        <v>475</v>
      </c>
      <c r="B463" s="9"/>
      <c r="C463" s="10">
        <v>1</v>
      </c>
      <c r="D463" s="10"/>
      <c r="E463" s="8">
        <f t="shared" si="466"/>
        <v>1</v>
      </c>
      <c r="F463" s="9"/>
      <c r="G463" s="10">
        <v>1</v>
      </c>
      <c r="H463" s="10"/>
      <c r="I463" s="8">
        <f t="shared" si="467"/>
        <v>1</v>
      </c>
      <c r="J463" s="9"/>
      <c r="K463" s="10">
        <v>1</v>
      </c>
      <c r="L463" s="10"/>
      <c r="M463" s="39">
        <f t="shared" si="468"/>
        <v>1</v>
      </c>
      <c r="N463" s="138">
        <f t="shared" si="469"/>
        <v>3</v>
      </c>
      <c r="O463" s="24">
        <v>45590</v>
      </c>
      <c r="P463" s="11"/>
      <c r="Q463" s="9"/>
      <c r="R463" s="10"/>
      <c r="S463" s="10"/>
      <c r="T463" s="8">
        <f t="shared" si="509"/>
        <v>0</v>
      </c>
      <c r="U463" s="9"/>
      <c r="V463" s="10"/>
      <c r="W463" s="10"/>
      <c r="X463" s="8">
        <f t="shared" si="510"/>
        <v>0</v>
      </c>
      <c r="Y463" s="9"/>
      <c r="Z463" s="10"/>
      <c r="AA463" s="10"/>
      <c r="AB463" s="8">
        <f t="shared" si="511"/>
        <v>0</v>
      </c>
      <c r="AC463" s="86">
        <f t="shared" si="512"/>
        <v>0</v>
      </c>
    </row>
    <row r="464" spans="1:30" x14ac:dyDescent="0.15">
      <c r="A464" s="33" t="s">
        <v>36</v>
      </c>
      <c r="B464" s="9"/>
      <c r="C464" s="10"/>
      <c r="D464" s="10"/>
      <c r="E464" s="8">
        <f t="shared" si="466"/>
        <v>0</v>
      </c>
      <c r="F464" s="9"/>
      <c r="G464" s="10">
        <v>1</v>
      </c>
      <c r="H464" s="10"/>
      <c r="I464" s="8">
        <f t="shared" si="467"/>
        <v>1</v>
      </c>
      <c r="J464" s="9"/>
      <c r="K464" s="10"/>
      <c r="L464" s="10"/>
      <c r="M464" s="39">
        <f t="shared" si="468"/>
        <v>0</v>
      </c>
      <c r="N464" s="138">
        <f t="shared" si="469"/>
        <v>1</v>
      </c>
      <c r="O464" s="70">
        <v>45588</v>
      </c>
      <c r="P464" s="11"/>
      <c r="Q464" s="9"/>
      <c r="R464" s="10"/>
      <c r="S464" s="10"/>
      <c r="T464" s="8">
        <f t="shared" ref="T464" si="513">SUM(Q464:S464)</f>
        <v>0</v>
      </c>
      <c r="U464" s="9"/>
      <c r="V464" s="10"/>
      <c r="W464" s="10"/>
      <c r="X464" s="8">
        <f t="shared" ref="X464" si="514">SUM(U464:W464)</f>
        <v>0</v>
      </c>
      <c r="Y464" s="9"/>
      <c r="Z464" s="10"/>
      <c r="AA464" s="10"/>
      <c r="AB464" s="8">
        <f t="shared" ref="AB464" si="515">SUM(Y464:AA464)</f>
        <v>0</v>
      </c>
      <c r="AC464" s="86">
        <f t="shared" ref="AC464" si="516">T464+X464+AB464</f>
        <v>0</v>
      </c>
    </row>
    <row r="465" spans="1:31" x14ac:dyDescent="0.15">
      <c r="A465" s="33" t="s">
        <v>476</v>
      </c>
      <c r="B465" s="9">
        <v>1</v>
      </c>
      <c r="C465" s="10"/>
      <c r="D465" s="10"/>
      <c r="E465" s="8">
        <f t="shared" si="466"/>
        <v>1</v>
      </c>
      <c r="F465" s="9"/>
      <c r="G465" s="10"/>
      <c r="H465" s="10"/>
      <c r="I465" s="8">
        <f t="shared" si="467"/>
        <v>0</v>
      </c>
      <c r="J465" s="9"/>
      <c r="K465" s="10"/>
      <c r="L465" s="10"/>
      <c r="M465" s="39">
        <f t="shared" si="468"/>
        <v>0</v>
      </c>
      <c r="N465" s="138">
        <f t="shared" si="469"/>
        <v>1</v>
      </c>
      <c r="O465" s="70">
        <v>45588</v>
      </c>
      <c r="P465" s="11" t="s">
        <v>344</v>
      </c>
      <c r="Q465" s="9"/>
      <c r="R465" s="10"/>
      <c r="S465" s="10"/>
      <c r="T465" s="8">
        <f t="shared" ref="T465" si="517">SUM(Q465:S465)</f>
        <v>0</v>
      </c>
      <c r="U465" s="9"/>
      <c r="V465" s="10"/>
      <c r="W465" s="10"/>
      <c r="X465" s="8">
        <f t="shared" ref="X465" si="518">SUM(U465:W465)</f>
        <v>0</v>
      </c>
      <c r="Y465" s="9"/>
      <c r="Z465" s="10"/>
      <c r="AA465" s="10"/>
      <c r="AB465" s="8">
        <f t="shared" ref="AB465" si="519">SUM(Y465:AA465)</f>
        <v>0</v>
      </c>
      <c r="AC465" s="86">
        <f t="shared" ref="AC465" si="520">T465+X465+AB465</f>
        <v>0</v>
      </c>
      <c r="AD465" s="116" t="s">
        <v>345</v>
      </c>
    </row>
    <row r="466" spans="1:31" x14ac:dyDescent="0.15">
      <c r="A466" s="33" t="s">
        <v>484</v>
      </c>
      <c r="B466" s="9"/>
      <c r="C466" s="10"/>
      <c r="D466" s="10">
        <v>1</v>
      </c>
      <c r="E466" s="8">
        <f t="shared" si="466"/>
        <v>1</v>
      </c>
      <c r="F466" s="9"/>
      <c r="G466" s="10"/>
      <c r="H466" s="10">
        <v>1</v>
      </c>
      <c r="I466" s="8">
        <f t="shared" si="467"/>
        <v>1</v>
      </c>
      <c r="J466" s="9"/>
      <c r="K466" s="10"/>
      <c r="L466" s="10">
        <v>1</v>
      </c>
      <c r="M466" s="39">
        <f t="shared" si="468"/>
        <v>1</v>
      </c>
      <c r="N466" s="138">
        <f t="shared" si="469"/>
        <v>3</v>
      </c>
      <c r="O466" s="24">
        <v>45593</v>
      </c>
      <c r="P466" s="11" t="s">
        <v>394</v>
      </c>
      <c r="Q466" s="9"/>
      <c r="R466" s="10"/>
      <c r="S466" s="10"/>
      <c r="T466" s="8">
        <f t="shared" ref="T466:T467" si="521">SUM(Q466:S466)</f>
        <v>0</v>
      </c>
      <c r="U466" s="9"/>
      <c r="V466" s="10"/>
      <c r="W466" s="10"/>
      <c r="X466" s="8">
        <f t="shared" ref="X466:X467" si="522">SUM(U466:W466)</f>
        <v>0</v>
      </c>
      <c r="Y466" s="9"/>
      <c r="Z466" s="10"/>
      <c r="AA466" s="10"/>
      <c r="AB466" s="8">
        <f t="shared" ref="AB466:AB467" si="523">SUM(Y466:AA466)</f>
        <v>0</v>
      </c>
      <c r="AC466" s="86">
        <f t="shared" ref="AC466:AC467" si="524">T466+X466+AB466</f>
        <v>0</v>
      </c>
      <c r="AD466" s="109" t="s">
        <v>395</v>
      </c>
    </row>
    <row r="467" spans="1:31" x14ac:dyDescent="0.15">
      <c r="A467" s="33" t="s">
        <v>485</v>
      </c>
      <c r="B467" s="9">
        <v>1</v>
      </c>
      <c r="C467" s="10"/>
      <c r="D467" s="10"/>
      <c r="E467" s="8">
        <f t="shared" si="466"/>
        <v>1</v>
      </c>
      <c r="F467" s="9">
        <v>1</v>
      </c>
      <c r="G467" s="10"/>
      <c r="H467" s="10"/>
      <c r="I467" s="8">
        <f t="shared" si="467"/>
        <v>1</v>
      </c>
      <c r="J467" s="9">
        <v>1</v>
      </c>
      <c r="K467" s="10"/>
      <c r="L467" s="10"/>
      <c r="M467" s="39">
        <f t="shared" si="468"/>
        <v>1</v>
      </c>
      <c r="N467" s="138">
        <f t="shared" si="469"/>
        <v>3</v>
      </c>
      <c r="O467" s="24">
        <v>45591</v>
      </c>
      <c r="P467" s="4" t="s">
        <v>337</v>
      </c>
      <c r="Q467" s="9"/>
      <c r="R467" s="10"/>
      <c r="S467" s="10"/>
      <c r="T467" s="8">
        <f t="shared" si="521"/>
        <v>0</v>
      </c>
      <c r="U467" s="9"/>
      <c r="V467" s="10"/>
      <c r="W467" s="10"/>
      <c r="X467" s="8">
        <f t="shared" si="522"/>
        <v>0</v>
      </c>
      <c r="Y467" s="9"/>
      <c r="Z467" s="10"/>
      <c r="AA467" s="10"/>
      <c r="AB467" s="8">
        <f t="shared" si="523"/>
        <v>0</v>
      </c>
      <c r="AC467" s="86">
        <f t="shared" si="524"/>
        <v>0</v>
      </c>
      <c r="AD467" s="109">
        <v>45572</v>
      </c>
      <c r="AE467" s="58"/>
    </row>
    <row r="468" spans="1:31" x14ac:dyDescent="0.15">
      <c r="A468" s="33" t="s">
        <v>36</v>
      </c>
      <c r="B468" s="9"/>
      <c r="C468" s="10"/>
      <c r="D468" s="10"/>
      <c r="E468" s="8">
        <f t="shared" si="466"/>
        <v>0</v>
      </c>
      <c r="F468" s="9">
        <v>3</v>
      </c>
      <c r="G468" s="10"/>
      <c r="H468" s="10"/>
      <c r="I468" s="8">
        <f t="shared" si="467"/>
        <v>3</v>
      </c>
      <c r="J468" s="9"/>
      <c r="K468" s="10"/>
      <c r="L468" s="10"/>
      <c r="M468" s="39">
        <f t="shared" si="468"/>
        <v>0</v>
      </c>
      <c r="N468" s="138">
        <f t="shared" si="469"/>
        <v>3</v>
      </c>
      <c r="O468" s="24">
        <v>45590</v>
      </c>
      <c r="P468" s="81" t="s">
        <v>309</v>
      </c>
      <c r="Q468" s="71"/>
      <c r="R468" s="72"/>
      <c r="S468" s="72"/>
      <c r="T468" s="73">
        <f t="shared" ref="T468:T469" si="525">SUM(Q468:S468)</f>
        <v>0</v>
      </c>
      <c r="U468" s="71"/>
      <c r="V468" s="72"/>
      <c r="W468" s="72"/>
      <c r="X468" s="73">
        <f t="shared" ref="X468" si="526">SUM(U468:W468)</f>
        <v>0</v>
      </c>
      <c r="Y468" s="71"/>
      <c r="Z468" s="72"/>
      <c r="AA468" s="72"/>
      <c r="AB468" s="73">
        <f t="shared" ref="AB468" si="527">SUM(Y468:AA468)</f>
        <v>0</v>
      </c>
      <c r="AC468" s="92">
        <f t="shared" ref="AC468:AC469" si="528">T468+X468+AB468</f>
        <v>0</v>
      </c>
      <c r="AD468" s="117"/>
      <c r="AE468" s="58"/>
    </row>
    <row r="469" spans="1:31" x14ac:dyDescent="0.15">
      <c r="A469" s="33" t="s">
        <v>36</v>
      </c>
      <c r="B469" s="9">
        <v>2</v>
      </c>
      <c r="C469" s="10"/>
      <c r="D469" s="10"/>
      <c r="E469" s="8">
        <f t="shared" si="466"/>
        <v>2</v>
      </c>
      <c r="F469" s="9">
        <v>1</v>
      </c>
      <c r="G469" s="10">
        <v>1</v>
      </c>
      <c r="H469" s="10"/>
      <c r="I469" s="8">
        <f t="shared" si="467"/>
        <v>2</v>
      </c>
      <c r="J469" s="9">
        <v>1</v>
      </c>
      <c r="K469" s="10"/>
      <c r="L469" s="10"/>
      <c r="M469" s="39">
        <f t="shared" si="468"/>
        <v>1</v>
      </c>
      <c r="N469" s="138">
        <f t="shared" si="469"/>
        <v>5</v>
      </c>
      <c r="O469" s="70">
        <v>45593</v>
      </c>
      <c r="P469" s="4" t="s">
        <v>207</v>
      </c>
      <c r="Q469" s="9"/>
      <c r="R469" s="10"/>
      <c r="S469" s="10"/>
      <c r="T469" s="8">
        <f t="shared" si="525"/>
        <v>0</v>
      </c>
      <c r="U469" s="9"/>
      <c r="V469" s="10"/>
      <c r="W469" s="10"/>
      <c r="X469" s="8">
        <f t="shared" ref="X469" si="529">SUM(U469:W469)</f>
        <v>0</v>
      </c>
      <c r="Y469" s="9"/>
      <c r="Z469" s="10"/>
      <c r="AA469" s="10"/>
      <c r="AB469" s="8">
        <f t="shared" ref="AB469" si="530">SUM(Y469:AA469)</f>
        <v>0</v>
      </c>
      <c r="AC469" s="86">
        <f t="shared" si="528"/>
        <v>0</v>
      </c>
      <c r="AD469" s="116" t="s">
        <v>215</v>
      </c>
    </row>
    <row r="470" spans="1:31" ht="14.25" thickBot="1" x14ac:dyDescent="0.2">
      <c r="A470" s="33" t="s">
        <v>36</v>
      </c>
      <c r="B470" s="9">
        <v>1</v>
      </c>
      <c r="C470" s="10"/>
      <c r="D470" s="22"/>
      <c r="E470" s="8">
        <f t="shared" si="466"/>
        <v>1</v>
      </c>
      <c r="F470" s="9">
        <v>1</v>
      </c>
      <c r="G470" s="10"/>
      <c r="H470" s="22"/>
      <c r="I470" s="8">
        <f t="shared" si="467"/>
        <v>1</v>
      </c>
      <c r="J470" s="9">
        <v>1</v>
      </c>
      <c r="K470" s="10"/>
      <c r="L470" s="22"/>
      <c r="M470" s="39">
        <f t="shared" si="468"/>
        <v>1</v>
      </c>
      <c r="N470" s="139">
        <f t="shared" si="469"/>
        <v>3</v>
      </c>
      <c r="O470" s="70">
        <v>45594</v>
      </c>
      <c r="P470" s="4" t="s">
        <v>436</v>
      </c>
      <c r="Q470" s="9"/>
      <c r="R470" s="10"/>
      <c r="S470" s="10"/>
      <c r="T470" s="8">
        <f t="shared" ref="T470" si="531">SUM(Q470:S470)</f>
        <v>0</v>
      </c>
      <c r="U470" s="9"/>
      <c r="V470" s="10"/>
      <c r="W470" s="10"/>
      <c r="X470" s="8">
        <f t="shared" ref="X470" si="532">SUM(U470:W470)</f>
        <v>0</v>
      </c>
      <c r="Y470" s="9"/>
      <c r="Z470" s="10"/>
      <c r="AA470" s="10"/>
      <c r="AB470" s="8">
        <f t="shared" ref="AB470" si="533">SUM(Y470:AA470)</f>
        <v>0</v>
      </c>
      <c r="AC470" s="86">
        <f t="shared" ref="AC470" si="534">T470+X470+AB470</f>
        <v>0</v>
      </c>
      <c r="AD470" s="116" t="s">
        <v>355</v>
      </c>
    </row>
    <row r="471" spans="1:31" ht="14.25" thickBot="1" x14ac:dyDescent="0.2">
      <c r="A471" s="104" t="s">
        <v>5</v>
      </c>
      <c r="B471" s="12">
        <f>SUM(B447:B470)</f>
        <v>8</v>
      </c>
      <c r="C471" s="12">
        <f>SUM(C447:C470)</f>
        <v>9</v>
      </c>
      <c r="D471" s="12">
        <f>SUM(D447:D470)</f>
        <v>15</v>
      </c>
      <c r="E471" s="13">
        <f t="shared" si="466"/>
        <v>32</v>
      </c>
      <c r="F471" s="12">
        <f>SUM(F447:F470)</f>
        <v>10</v>
      </c>
      <c r="G471" s="12">
        <f>SUM(G447:G470)</f>
        <v>8</v>
      </c>
      <c r="H471" s="12">
        <f>SUM(H447:H470)</f>
        <v>15</v>
      </c>
      <c r="I471" s="13">
        <f t="shared" si="467"/>
        <v>33</v>
      </c>
      <c r="J471" s="12">
        <f>SUM(J447:J470)</f>
        <v>7</v>
      </c>
      <c r="K471" s="12">
        <f>SUM(K447:K470)</f>
        <v>6</v>
      </c>
      <c r="L471" s="12">
        <f>SUM(L447:L470)</f>
        <v>17</v>
      </c>
      <c r="M471" s="12">
        <f t="shared" si="468"/>
        <v>30</v>
      </c>
      <c r="N471" s="142">
        <f t="shared" si="469"/>
        <v>95</v>
      </c>
      <c r="P471" s="3" t="s">
        <v>5</v>
      </c>
      <c r="Q471" s="12">
        <f>SUM(Q447:Q470)</f>
        <v>167</v>
      </c>
      <c r="R471" s="12">
        <f t="shared" ref="R471" si="535">SUM(R447:R470)</f>
        <v>241</v>
      </c>
      <c r="S471" s="12">
        <f t="shared" ref="S471" si="536">SUM(S447:S470)</f>
        <v>192</v>
      </c>
      <c r="T471" s="13">
        <f t="shared" ref="T471" si="537">SUM(T447:T470)</f>
        <v>600</v>
      </c>
      <c r="U471" s="12">
        <f t="shared" ref="U471" si="538">SUM(U447:U470)</f>
        <v>167</v>
      </c>
      <c r="V471" s="12">
        <f t="shared" ref="V471" si="539">SUM(V447:V470)</f>
        <v>241</v>
      </c>
      <c r="W471" s="12">
        <f t="shared" ref="W471" si="540">SUM(W447:W470)</f>
        <v>192</v>
      </c>
      <c r="X471" s="13">
        <f t="shared" ref="X471" si="541">SUM(X447:X470)</f>
        <v>600</v>
      </c>
      <c r="Y471" s="12">
        <f t="shared" ref="Y471" si="542">SUM(Y447:Y470)</f>
        <v>167</v>
      </c>
      <c r="Z471" s="12">
        <f t="shared" ref="Z471" si="543">SUM(Z447:Z470)</f>
        <v>241</v>
      </c>
      <c r="AA471" s="12">
        <f t="shared" ref="AA471" si="544">SUM(AA447:AA470)</f>
        <v>192</v>
      </c>
      <c r="AB471" s="13">
        <f t="shared" ref="AB471" si="545">SUM(AB447:AB470)</f>
        <v>600</v>
      </c>
      <c r="AC471" s="155">
        <f t="shared" ref="AC471" si="546">SUM(AC447:AC470)</f>
        <v>1800</v>
      </c>
    </row>
    <row r="472" spans="1:31" ht="14.25" thickBot="1" x14ac:dyDescent="0.2">
      <c r="A472" s="105" t="s">
        <v>6</v>
      </c>
      <c r="B472" s="20">
        <f>B446-B471</f>
        <v>16</v>
      </c>
      <c r="C472" s="20">
        <f t="shared" ref="C472:E472" si="547">C446-C471</f>
        <v>16</v>
      </c>
      <c r="D472" s="20">
        <f t="shared" si="547"/>
        <v>13</v>
      </c>
      <c r="E472" s="18">
        <f t="shared" si="547"/>
        <v>45</v>
      </c>
      <c r="F472" s="20">
        <f>F446-F471</f>
        <v>15</v>
      </c>
      <c r="G472" s="20">
        <f t="shared" ref="G472:I472" si="548">G446-G471</f>
        <v>16</v>
      </c>
      <c r="H472" s="20">
        <f t="shared" si="548"/>
        <v>18</v>
      </c>
      <c r="I472" s="18">
        <f t="shared" si="548"/>
        <v>49</v>
      </c>
      <c r="J472" s="20">
        <f>J446-J471</f>
        <v>17</v>
      </c>
      <c r="K472" s="20">
        <f t="shared" ref="K472:M472" si="549">K446-K471</f>
        <v>17</v>
      </c>
      <c r="L472" s="20">
        <f t="shared" si="549"/>
        <v>16</v>
      </c>
      <c r="M472" s="20">
        <f t="shared" si="549"/>
        <v>50</v>
      </c>
      <c r="N472" s="140">
        <f t="shared" si="469"/>
        <v>144</v>
      </c>
      <c r="P472" s="19" t="s">
        <v>6</v>
      </c>
      <c r="Q472" s="20">
        <f>Q446-Q471</f>
        <v>249</v>
      </c>
      <c r="R472" s="20">
        <f t="shared" ref="R472" si="550">R446-R471</f>
        <v>224</v>
      </c>
      <c r="S472" s="20">
        <f t="shared" ref="S472" si="551">S446-S471</f>
        <v>222</v>
      </c>
      <c r="T472" s="18">
        <f t="shared" ref="T472" si="552">T446-T471</f>
        <v>695</v>
      </c>
      <c r="U472" s="20">
        <f t="shared" ref="U472" si="553">U446-U471</f>
        <v>149</v>
      </c>
      <c r="V472" s="20">
        <f t="shared" ref="V472" si="554">V446-V471</f>
        <v>189</v>
      </c>
      <c r="W472" s="20">
        <f t="shared" ref="W472" si="555">W446-W471</f>
        <v>147</v>
      </c>
      <c r="X472" s="18">
        <f t="shared" ref="X472" si="556">X446-X471</f>
        <v>485</v>
      </c>
      <c r="Y472" s="20">
        <f t="shared" ref="Y472" si="557">Y446-Y471</f>
        <v>131</v>
      </c>
      <c r="Z472" s="20">
        <f t="shared" ref="Z472" si="558">Z446-Z471</f>
        <v>165</v>
      </c>
      <c r="AA472" s="20">
        <f t="shared" ref="AA472" si="559">AA446-AA471</f>
        <v>223</v>
      </c>
      <c r="AB472" s="18">
        <f t="shared" ref="AB472" si="560">AB446-AB471</f>
        <v>519</v>
      </c>
      <c r="AC472" s="88">
        <f t="shared" ref="AC472" si="561">AC446-AC471</f>
        <v>1699</v>
      </c>
    </row>
    <row r="475" spans="1:31" ht="19.5" thickBot="1" x14ac:dyDescent="0.25">
      <c r="A475" s="108" t="s">
        <v>264</v>
      </c>
      <c r="B475" s="47"/>
      <c r="C475" s="47"/>
      <c r="D475" s="47"/>
      <c r="E475" s="47"/>
      <c r="F475" s="48"/>
      <c r="G475" s="48"/>
      <c r="H475" s="48"/>
      <c r="I475" s="48"/>
      <c r="J475" s="48"/>
      <c r="K475" s="48"/>
      <c r="L475" s="1"/>
      <c r="M475" s="1"/>
      <c r="N475" s="137"/>
      <c r="P475" s="43" t="s">
        <v>263</v>
      </c>
      <c r="Q475" s="44"/>
      <c r="R475" s="44"/>
      <c r="S475" s="44"/>
      <c r="T475" s="44"/>
      <c r="U475" s="45"/>
      <c r="V475" s="45"/>
      <c r="W475" s="45"/>
      <c r="X475" s="45"/>
      <c r="Y475" s="46"/>
      <c r="Z475" s="53"/>
      <c r="AA475" s="1"/>
      <c r="AB475" s="1"/>
    </row>
    <row r="476" spans="1:31" ht="14.25" thickBot="1" x14ac:dyDescent="0.2">
      <c r="A476" s="100" t="s">
        <v>0</v>
      </c>
      <c r="B476" s="337" t="s">
        <v>11</v>
      </c>
      <c r="C476" s="337"/>
      <c r="D476" s="337"/>
      <c r="E476" s="338"/>
      <c r="F476" s="339" t="s">
        <v>9</v>
      </c>
      <c r="G476" s="340"/>
      <c r="H476" s="340"/>
      <c r="I476" s="341"/>
      <c r="J476" s="342" t="s">
        <v>12</v>
      </c>
      <c r="K476" s="343"/>
      <c r="L476" s="343"/>
      <c r="M476" s="343"/>
      <c r="N476" s="347" t="s">
        <v>13</v>
      </c>
      <c r="P476" s="2" t="s">
        <v>0</v>
      </c>
      <c r="Q476" s="337" t="s">
        <v>11</v>
      </c>
      <c r="R476" s="337"/>
      <c r="S476" s="337"/>
      <c r="T476" s="338"/>
      <c r="U476" s="339" t="s">
        <v>9</v>
      </c>
      <c r="V476" s="340"/>
      <c r="W476" s="340"/>
      <c r="X476" s="341"/>
      <c r="Y476" s="342" t="s">
        <v>12</v>
      </c>
      <c r="Z476" s="343"/>
      <c r="AA476" s="343"/>
      <c r="AB476" s="343"/>
      <c r="AC476" s="345" t="s">
        <v>13</v>
      </c>
    </row>
    <row r="477" spans="1:31" ht="14.25" thickBot="1" x14ac:dyDescent="0.2">
      <c r="A477" s="100" t="s">
        <v>1</v>
      </c>
      <c r="B477" s="3" t="s">
        <v>7</v>
      </c>
      <c r="C477" s="2" t="s">
        <v>10</v>
      </c>
      <c r="D477" s="2" t="s">
        <v>8</v>
      </c>
      <c r="E477" s="2" t="s">
        <v>2</v>
      </c>
      <c r="F477" s="3" t="s">
        <v>7</v>
      </c>
      <c r="G477" s="2" t="s">
        <v>10</v>
      </c>
      <c r="H477" s="2" t="s">
        <v>8</v>
      </c>
      <c r="I477" s="2" t="s">
        <v>2</v>
      </c>
      <c r="J477" s="3" t="s">
        <v>7</v>
      </c>
      <c r="K477" s="2" t="s">
        <v>10</v>
      </c>
      <c r="L477" s="2" t="s">
        <v>8</v>
      </c>
      <c r="M477" s="3" t="s">
        <v>2</v>
      </c>
      <c r="N477" s="348"/>
      <c r="P477" s="2" t="s">
        <v>1</v>
      </c>
      <c r="Q477" s="3" t="s">
        <v>7</v>
      </c>
      <c r="R477" s="2" t="s">
        <v>10</v>
      </c>
      <c r="S477" s="2" t="s">
        <v>8</v>
      </c>
      <c r="T477" s="2" t="s">
        <v>2</v>
      </c>
      <c r="U477" s="3" t="s">
        <v>7</v>
      </c>
      <c r="V477" s="2" t="s">
        <v>10</v>
      </c>
      <c r="W477" s="2" t="s">
        <v>8</v>
      </c>
      <c r="X477" s="2" t="s">
        <v>2</v>
      </c>
      <c r="Y477" s="3" t="s">
        <v>7</v>
      </c>
      <c r="Z477" s="2" t="s">
        <v>10</v>
      </c>
      <c r="AA477" s="2" t="s">
        <v>8</v>
      </c>
      <c r="AB477" s="2" t="s">
        <v>2</v>
      </c>
      <c r="AC477" s="346"/>
    </row>
    <row r="478" spans="1:31" x14ac:dyDescent="0.15">
      <c r="A478" s="106" t="s">
        <v>6</v>
      </c>
      <c r="B478" s="41">
        <f>B472</f>
        <v>16</v>
      </c>
      <c r="C478" s="41">
        <f t="shared" ref="C478:E478" si="562">C472</f>
        <v>16</v>
      </c>
      <c r="D478" s="41">
        <f t="shared" si="562"/>
        <v>13</v>
      </c>
      <c r="E478" s="42">
        <f t="shared" si="562"/>
        <v>45</v>
      </c>
      <c r="F478" s="41">
        <f>F472</f>
        <v>15</v>
      </c>
      <c r="G478" s="41">
        <f t="shared" ref="G478:I478" si="563">G472</f>
        <v>16</v>
      </c>
      <c r="H478" s="41">
        <f t="shared" si="563"/>
        <v>18</v>
      </c>
      <c r="I478" s="42">
        <f t="shared" si="563"/>
        <v>49</v>
      </c>
      <c r="J478" s="41">
        <f>J472</f>
        <v>17</v>
      </c>
      <c r="K478" s="41">
        <f t="shared" ref="K478:M478" si="564">K472</f>
        <v>17</v>
      </c>
      <c r="L478" s="41">
        <f t="shared" si="564"/>
        <v>16</v>
      </c>
      <c r="M478" s="42">
        <f t="shared" si="564"/>
        <v>50</v>
      </c>
      <c r="N478" s="143">
        <f>E478+I478+M478</f>
        <v>144</v>
      </c>
      <c r="P478" s="36" t="s">
        <v>6</v>
      </c>
      <c r="Q478" s="41">
        <f>Q472</f>
        <v>249</v>
      </c>
      <c r="R478" s="41">
        <f t="shared" ref="R478:AC478" si="565">R472</f>
        <v>224</v>
      </c>
      <c r="S478" s="41">
        <f t="shared" si="565"/>
        <v>222</v>
      </c>
      <c r="T478" s="42">
        <f t="shared" si="565"/>
        <v>695</v>
      </c>
      <c r="U478" s="41">
        <f t="shared" si="565"/>
        <v>149</v>
      </c>
      <c r="V478" s="41">
        <f t="shared" si="565"/>
        <v>189</v>
      </c>
      <c r="W478" s="41">
        <f t="shared" si="565"/>
        <v>147</v>
      </c>
      <c r="X478" s="42">
        <f t="shared" si="565"/>
        <v>485</v>
      </c>
      <c r="Y478" s="41">
        <f t="shared" si="565"/>
        <v>131</v>
      </c>
      <c r="Z478" s="41">
        <f t="shared" si="565"/>
        <v>165</v>
      </c>
      <c r="AA478" s="41">
        <f t="shared" si="565"/>
        <v>223</v>
      </c>
      <c r="AB478" s="42">
        <f t="shared" si="565"/>
        <v>519</v>
      </c>
      <c r="AC478" s="90">
        <f t="shared" si="565"/>
        <v>1699</v>
      </c>
    </row>
    <row r="479" spans="1:31" x14ac:dyDescent="0.15">
      <c r="A479" s="102" t="s">
        <v>3</v>
      </c>
      <c r="B479" s="14"/>
      <c r="C479" s="11"/>
      <c r="D479" s="11">
        <v>10</v>
      </c>
      <c r="E479" s="5">
        <f t="shared" ref="E479" si="566">SUM(B479:D479)</f>
        <v>10</v>
      </c>
      <c r="F479" s="34"/>
      <c r="G479" s="11"/>
      <c r="H479" s="11">
        <v>10</v>
      </c>
      <c r="I479" s="5">
        <f t="shared" ref="I479" si="567">SUM(F479:H479)</f>
        <v>10</v>
      </c>
      <c r="J479" s="34"/>
      <c r="K479" s="11"/>
      <c r="L479" s="11"/>
      <c r="M479" s="38">
        <f t="shared" ref="M479" si="568">SUM(J479:L479)</f>
        <v>0</v>
      </c>
      <c r="N479" s="138">
        <f t="shared" ref="N479" si="569">E479+I479+M479</f>
        <v>20</v>
      </c>
      <c r="O479" s="24">
        <v>45607</v>
      </c>
      <c r="P479" s="6" t="s">
        <v>3</v>
      </c>
      <c r="Q479" s="14"/>
      <c r="R479" s="11"/>
      <c r="S479" s="11"/>
      <c r="T479" s="5">
        <f t="shared" ref="T479:T506" si="570">SUM(Q479:S479)</f>
        <v>0</v>
      </c>
      <c r="U479" s="14"/>
      <c r="V479" s="11"/>
      <c r="W479" s="11"/>
      <c r="X479" s="5">
        <f t="shared" ref="X479:X506" si="571">SUM(U479:W479)</f>
        <v>0</v>
      </c>
      <c r="Y479" s="25"/>
      <c r="Z479" s="26"/>
      <c r="AA479" s="26"/>
      <c r="AB479" s="5">
        <f t="shared" ref="AB479:AB506" si="572">SUM(Y479:AA479)</f>
        <v>0</v>
      </c>
      <c r="AC479" s="86">
        <f t="shared" ref="AC479:AC506" si="573">T479+X479+AB479</f>
        <v>0</v>
      </c>
    </row>
    <row r="480" spans="1:31" x14ac:dyDescent="0.15">
      <c r="A480" s="102" t="s">
        <v>511</v>
      </c>
      <c r="B480" s="14">
        <v>5</v>
      </c>
      <c r="C480" s="11">
        <v>5</v>
      </c>
      <c r="D480" s="11">
        <v>5</v>
      </c>
      <c r="E480" s="5">
        <f t="shared" ref="E480:E514" si="574">SUM(B480:D480)</f>
        <v>15</v>
      </c>
      <c r="F480" s="34">
        <v>5</v>
      </c>
      <c r="G480" s="11">
        <v>5</v>
      </c>
      <c r="H480" s="11">
        <v>5</v>
      </c>
      <c r="I480" s="5">
        <f t="shared" ref="I480:I514" si="575">SUM(F480:H480)</f>
        <v>15</v>
      </c>
      <c r="J480" s="34">
        <v>5</v>
      </c>
      <c r="K480" s="11">
        <v>5</v>
      </c>
      <c r="L480" s="11">
        <v>5</v>
      </c>
      <c r="M480" s="38">
        <f t="shared" ref="M480:M514" si="576">SUM(J480:L480)</f>
        <v>15</v>
      </c>
      <c r="N480" s="138">
        <f t="shared" ref="N480:N515" si="577">E480+I480+M480</f>
        <v>45</v>
      </c>
      <c r="O480" s="24">
        <v>45607</v>
      </c>
      <c r="P480" s="6" t="s">
        <v>378</v>
      </c>
      <c r="Q480" s="14">
        <v>250</v>
      </c>
      <c r="R480" s="11">
        <v>437</v>
      </c>
      <c r="S480" s="11">
        <v>379</v>
      </c>
      <c r="T480" s="5">
        <f t="shared" si="570"/>
        <v>1066</v>
      </c>
      <c r="U480" s="14">
        <v>350</v>
      </c>
      <c r="V480" s="11">
        <v>537</v>
      </c>
      <c r="W480" s="11">
        <v>379</v>
      </c>
      <c r="X480" s="5">
        <f t="shared" si="571"/>
        <v>1266</v>
      </c>
      <c r="Y480" s="34">
        <v>350</v>
      </c>
      <c r="Z480" s="11">
        <v>437</v>
      </c>
      <c r="AA480" s="11">
        <v>390</v>
      </c>
      <c r="AB480" s="5">
        <f t="shared" si="572"/>
        <v>1177</v>
      </c>
      <c r="AC480" s="86">
        <f t="shared" si="573"/>
        <v>3509</v>
      </c>
      <c r="AD480" s="109" t="s">
        <v>473</v>
      </c>
    </row>
    <row r="481" spans="1:31" x14ac:dyDescent="0.15">
      <c r="A481" s="102" t="s">
        <v>3</v>
      </c>
      <c r="B481" s="14">
        <v>10</v>
      </c>
      <c r="C481" s="11">
        <v>5</v>
      </c>
      <c r="D481" s="11"/>
      <c r="E481" s="5">
        <f t="shared" si="574"/>
        <v>15</v>
      </c>
      <c r="F481" s="34">
        <v>10</v>
      </c>
      <c r="G481" s="11">
        <v>5</v>
      </c>
      <c r="H481" s="11"/>
      <c r="I481" s="5">
        <f t="shared" si="575"/>
        <v>15</v>
      </c>
      <c r="J481" s="34">
        <v>10</v>
      </c>
      <c r="K481" s="11">
        <v>5</v>
      </c>
      <c r="L481" s="11">
        <v>5</v>
      </c>
      <c r="M481" s="38">
        <f t="shared" si="576"/>
        <v>20</v>
      </c>
      <c r="N481" s="138">
        <f t="shared" si="577"/>
        <v>50</v>
      </c>
      <c r="O481" s="24">
        <v>45609</v>
      </c>
      <c r="P481" s="6" t="s">
        <v>415</v>
      </c>
      <c r="Q481" s="14">
        <v>-18</v>
      </c>
      <c r="R481" s="11">
        <v>4</v>
      </c>
      <c r="S481" s="11">
        <v>-12</v>
      </c>
      <c r="T481" s="5">
        <f t="shared" si="570"/>
        <v>-26</v>
      </c>
      <c r="U481" s="14">
        <v>-10</v>
      </c>
      <c r="V481" s="11">
        <v>-23</v>
      </c>
      <c r="W481" s="11">
        <v>109</v>
      </c>
      <c r="X481" s="5">
        <f t="shared" si="571"/>
        <v>76</v>
      </c>
      <c r="Y481" s="25">
        <v>-8</v>
      </c>
      <c r="Z481" s="26">
        <v>78</v>
      </c>
      <c r="AA481" s="26">
        <v>-9</v>
      </c>
      <c r="AB481" s="5">
        <f t="shared" si="572"/>
        <v>61</v>
      </c>
      <c r="AC481" s="86">
        <f t="shared" si="573"/>
        <v>111</v>
      </c>
      <c r="AD481" s="116" t="s">
        <v>381</v>
      </c>
    </row>
    <row r="482" spans="1:31" x14ac:dyDescent="0.15">
      <c r="A482" s="102" t="s">
        <v>3</v>
      </c>
      <c r="B482" s="14"/>
      <c r="C482" s="11"/>
      <c r="D482" s="11">
        <v>5</v>
      </c>
      <c r="E482" s="5">
        <f t="shared" si="574"/>
        <v>5</v>
      </c>
      <c r="F482" s="34"/>
      <c r="G482" s="11"/>
      <c r="H482" s="11"/>
      <c r="I482" s="5">
        <f t="shared" si="575"/>
        <v>0</v>
      </c>
      <c r="J482" s="34"/>
      <c r="K482" s="11"/>
      <c r="L482" s="11">
        <v>5</v>
      </c>
      <c r="M482" s="38">
        <f t="shared" si="576"/>
        <v>5</v>
      </c>
      <c r="N482" s="138">
        <f t="shared" si="577"/>
        <v>10</v>
      </c>
      <c r="O482" s="24">
        <v>45610</v>
      </c>
      <c r="P482" s="6" t="s">
        <v>3</v>
      </c>
      <c r="Q482" s="14"/>
      <c r="R482" s="11"/>
      <c r="S482" s="11"/>
      <c r="T482" s="5">
        <f t="shared" si="570"/>
        <v>0</v>
      </c>
      <c r="U482" s="14"/>
      <c r="V482" s="11"/>
      <c r="W482" s="11"/>
      <c r="X482" s="5">
        <f t="shared" si="571"/>
        <v>0</v>
      </c>
      <c r="Y482" s="25"/>
      <c r="Z482" s="26"/>
      <c r="AA482" s="26"/>
      <c r="AB482" s="5">
        <f t="shared" si="572"/>
        <v>0</v>
      </c>
      <c r="AC482" s="86">
        <f t="shared" si="573"/>
        <v>0</v>
      </c>
      <c r="AD482" s="116"/>
    </row>
    <row r="483" spans="1:31" x14ac:dyDescent="0.15">
      <c r="A483" s="102" t="s">
        <v>57</v>
      </c>
      <c r="B483" s="14"/>
      <c r="C483" s="11"/>
      <c r="D483" s="11">
        <v>1</v>
      </c>
      <c r="E483" s="5">
        <f t="shared" si="574"/>
        <v>1</v>
      </c>
      <c r="F483" s="34"/>
      <c r="G483" s="11"/>
      <c r="H483" s="11">
        <v>1</v>
      </c>
      <c r="I483" s="5">
        <f t="shared" si="575"/>
        <v>1</v>
      </c>
      <c r="J483" s="34"/>
      <c r="K483" s="11"/>
      <c r="L483" s="11">
        <v>1</v>
      </c>
      <c r="M483" s="38">
        <f t="shared" si="576"/>
        <v>1</v>
      </c>
      <c r="N483" s="138">
        <f t="shared" si="577"/>
        <v>3</v>
      </c>
      <c r="O483" s="24">
        <v>45610</v>
      </c>
      <c r="P483" s="6" t="s">
        <v>3</v>
      </c>
      <c r="Q483" s="14"/>
      <c r="R483" s="11"/>
      <c r="S483" s="11"/>
      <c r="T483" s="5">
        <f t="shared" si="570"/>
        <v>0</v>
      </c>
      <c r="U483" s="14"/>
      <c r="V483" s="11"/>
      <c r="W483" s="11"/>
      <c r="X483" s="5">
        <f t="shared" si="571"/>
        <v>0</v>
      </c>
      <c r="Y483" s="25"/>
      <c r="Z483" s="26"/>
      <c r="AA483" s="26"/>
      <c r="AB483" s="5">
        <f t="shared" si="572"/>
        <v>0</v>
      </c>
      <c r="AC483" s="86">
        <f t="shared" si="573"/>
        <v>0</v>
      </c>
    </row>
    <row r="484" spans="1:31" x14ac:dyDescent="0.15">
      <c r="A484" s="102" t="s">
        <v>3</v>
      </c>
      <c r="B484" s="25">
        <v>10</v>
      </c>
      <c r="C484" s="26">
        <v>10</v>
      </c>
      <c r="D484" s="26">
        <v>10</v>
      </c>
      <c r="E484" s="8">
        <f t="shared" si="574"/>
        <v>30</v>
      </c>
      <c r="F484" s="25">
        <v>10</v>
      </c>
      <c r="G484" s="26">
        <v>10</v>
      </c>
      <c r="H484" s="26">
        <v>10</v>
      </c>
      <c r="I484" s="8">
        <f t="shared" si="575"/>
        <v>30</v>
      </c>
      <c r="J484" s="25">
        <v>10</v>
      </c>
      <c r="K484" s="26">
        <v>10</v>
      </c>
      <c r="L484" s="26">
        <v>10</v>
      </c>
      <c r="M484" s="39">
        <f t="shared" si="576"/>
        <v>30</v>
      </c>
      <c r="N484" s="138">
        <f t="shared" si="577"/>
        <v>90</v>
      </c>
      <c r="O484" s="24">
        <v>45615</v>
      </c>
      <c r="P484" s="6" t="s">
        <v>3</v>
      </c>
      <c r="Q484" s="14"/>
      <c r="R484" s="11"/>
      <c r="S484" s="11"/>
      <c r="T484" s="5">
        <f t="shared" si="570"/>
        <v>0</v>
      </c>
      <c r="U484" s="14"/>
      <c r="V484" s="11"/>
      <c r="W484" s="11"/>
      <c r="X484" s="5">
        <f t="shared" si="571"/>
        <v>0</v>
      </c>
      <c r="Y484" s="25"/>
      <c r="Z484" s="26"/>
      <c r="AA484" s="26"/>
      <c r="AB484" s="8">
        <f t="shared" si="572"/>
        <v>0</v>
      </c>
      <c r="AC484" s="86">
        <f t="shared" si="573"/>
        <v>0</v>
      </c>
    </row>
    <row r="485" spans="1:31" x14ac:dyDescent="0.15">
      <c r="A485" s="102" t="s">
        <v>3</v>
      </c>
      <c r="B485" s="27"/>
      <c r="C485" s="26"/>
      <c r="D485" s="26"/>
      <c r="E485" s="5">
        <f t="shared" si="574"/>
        <v>0</v>
      </c>
      <c r="F485" s="25"/>
      <c r="G485" s="26"/>
      <c r="H485" s="26"/>
      <c r="I485" s="5">
        <f t="shared" si="575"/>
        <v>0</v>
      </c>
      <c r="J485" s="25"/>
      <c r="K485" s="26"/>
      <c r="L485" s="26"/>
      <c r="M485" s="38">
        <f t="shared" si="576"/>
        <v>0</v>
      </c>
      <c r="N485" s="138">
        <f t="shared" si="577"/>
        <v>0</v>
      </c>
      <c r="O485" s="58"/>
      <c r="P485" s="6" t="s">
        <v>3</v>
      </c>
      <c r="Q485" s="27"/>
      <c r="R485" s="26"/>
      <c r="S485" s="26"/>
      <c r="T485" s="5">
        <f t="shared" si="570"/>
        <v>0</v>
      </c>
      <c r="U485" s="27"/>
      <c r="V485" s="26"/>
      <c r="W485" s="26"/>
      <c r="X485" s="5">
        <f t="shared" si="571"/>
        <v>0</v>
      </c>
      <c r="Y485" s="25"/>
      <c r="Z485" s="26"/>
      <c r="AA485" s="26"/>
      <c r="AB485" s="5">
        <f t="shared" si="572"/>
        <v>0</v>
      </c>
      <c r="AC485" s="86">
        <f t="shared" si="573"/>
        <v>0</v>
      </c>
    </row>
    <row r="486" spans="1:31" x14ac:dyDescent="0.15">
      <c r="A486" s="102" t="s">
        <v>3</v>
      </c>
      <c r="B486" s="27"/>
      <c r="C486" s="26"/>
      <c r="D486" s="26"/>
      <c r="E486" s="5">
        <f t="shared" si="574"/>
        <v>0</v>
      </c>
      <c r="F486" s="25"/>
      <c r="G486" s="26"/>
      <c r="H486" s="26"/>
      <c r="I486" s="5">
        <f t="shared" si="575"/>
        <v>0</v>
      </c>
      <c r="J486" s="25"/>
      <c r="K486" s="26"/>
      <c r="L486" s="26"/>
      <c r="M486" s="38">
        <f t="shared" si="576"/>
        <v>0</v>
      </c>
      <c r="N486" s="138">
        <f t="shared" si="577"/>
        <v>0</v>
      </c>
      <c r="P486" s="6" t="s">
        <v>3</v>
      </c>
      <c r="Q486" s="14"/>
      <c r="R486" s="11"/>
      <c r="S486" s="11"/>
      <c r="T486" s="5">
        <f t="shared" si="570"/>
        <v>0</v>
      </c>
      <c r="U486" s="14"/>
      <c r="V486" s="11"/>
      <c r="W486" s="11"/>
      <c r="X486" s="5">
        <f t="shared" si="571"/>
        <v>0</v>
      </c>
      <c r="Y486" s="25"/>
      <c r="Z486" s="26"/>
      <c r="AA486" s="26"/>
      <c r="AB486" s="5">
        <f t="shared" si="572"/>
        <v>0</v>
      </c>
      <c r="AC486" s="86">
        <f t="shared" si="573"/>
        <v>0</v>
      </c>
    </row>
    <row r="487" spans="1:31" x14ac:dyDescent="0.15">
      <c r="A487" s="102" t="s">
        <v>3</v>
      </c>
      <c r="B487" s="27"/>
      <c r="C487" s="26"/>
      <c r="D487" s="26"/>
      <c r="E487" s="5">
        <f t="shared" si="574"/>
        <v>0</v>
      </c>
      <c r="F487" s="25"/>
      <c r="G487" s="26"/>
      <c r="H487" s="26"/>
      <c r="I487" s="5">
        <f t="shared" si="575"/>
        <v>0</v>
      </c>
      <c r="J487" s="25"/>
      <c r="K487" s="26"/>
      <c r="L487" s="26"/>
      <c r="M487" s="38">
        <f t="shared" si="576"/>
        <v>0</v>
      </c>
      <c r="N487" s="138">
        <f t="shared" si="577"/>
        <v>0</v>
      </c>
      <c r="P487" s="6" t="s">
        <v>3</v>
      </c>
      <c r="Q487" s="27"/>
      <c r="R487" s="26"/>
      <c r="S487" s="26"/>
      <c r="T487" s="5">
        <f t="shared" si="570"/>
        <v>0</v>
      </c>
      <c r="U487" s="27"/>
      <c r="V487" s="26"/>
      <c r="W487" s="26"/>
      <c r="X487" s="5">
        <f t="shared" si="571"/>
        <v>0</v>
      </c>
      <c r="Y487" s="25"/>
      <c r="Z487" s="26"/>
      <c r="AA487" s="26"/>
      <c r="AB487" s="5">
        <f t="shared" si="572"/>
        <v>0</v>
      </c>
      <c r="AC487" s="86">
        <f t="shared" si="573"/>
        <v>0</v>
      </c>
    </row>
    <row r="488" spans="1:31" ht="14.25" thickBot="1" x14ac:dyDescent="0.2">
      <c r="A488" s="102" t="s">
        <v>3</v>
      </c>
      <c r="B488" s="28"/>
      <c r="C488" s="29"/>
      <c r="D488" s="32"/>
      <c r="E488" s="15">
        <f t="shared" si="574"/>
        <v>0</v>
      </c>
      <c r="F488" s="35"/>
      <c r="G488" s="29"/>
      <c r="H488" s="32"/>
      <c r="I488" s="15">
        <f t="shared" si="575"/>
        <v>0</v>
      </c>
      <c r="J488" s="35"/>
      <c r="K488" s="29"/>
      <c r="L488" s="32"/>
      <c r="M488" s="40">
        <f t="shared" si="576"/>
        <v>0</v>
      </c>
      <c r="N488" s="139">
        <f t="shared" si="577"/>
        <v>0</v>
      </c>
      <c r="P488" s="7" t="s">
        <v>3</v>
      </c>
      <c r="Q488" s="28"/>
      <c r="R488" s="29"/>
      <c r="S488" s="29"/>
      <c r="T488" s="15">
        <f t="shared" si="570"/>
        <v>0</v>
      </c>
      <c r="U488" s="28"/>
      <c r="V488" s="29"/>
      <c r="W488" s="29"/>
      <c r="X488" s="15">
        <f t="shared" si="571"/>
        <v>0</v>
      </c>
      <c r="Y488" s="35"/>
      <c r="Z488" s="29"/>
      <c r="AA488" s="32"/>
      <c r="AB488" s="15">
        <f t="shared" si="572"/>
        <v>0</v>
      </c>
      <c r="AC488" s="87">
        <f t="shared" si="573"/>
        <v>0</v>
      </c>
    </row>
    <row r="489" spans="1:31" ht="14.25" thickBot="1" x14ac:dyDescent="0.2">
      <c r="A489" s="103" t="s">
        <v>4</v>
      </c>
      <c r="B489" s="17">
        <f>SUM(B478:B488)</f>
        <v>41</v>
      </c>
      <c r="C489" s="17">
        <f>SUM(C478:C488)</f>
        <v>36</v>
      </c>
      <c r="D489" s="17">
        <f>SUM(D478:D488)</f>
        <v>44</v>
      </c>
      <c r="E489" s="18">
        <f t="shared" si="574"/>
        <v>121</v>
      </c>
      <c r="F489" s="17">
        <f>SUM(F478:F488)</f>
        <v>40</v>
      </c>
      <c r="G489" s="17">
        <f>SUM(G478:G488)</f>
        <v>36</v>
      </c>
      <c r="H489" s="17">
        <f>SUM(H478:H488)</f>
        <v>44</v>
      </c>
      <c r="I489" s="18">
        <f t="shared" si="575"/>
        <v>120</v>
      </c>
      <c r="J489" s="17">
        <f>SUM(J478:J488)</f>
        <v>42</v>
      </c>
      <c r="K489" s="17">
        <f>SUM(K478:K488)</f>
        <v>37</v>
      </c>
      <c r="L489" s="17">
        <f>SUM(L478:L488)</f>
        <v>42</v>
      </c>
      <c r="M489" s="20">
        <f t="shared" si="576"/>
        <v>121</v>
      </c>
      <c r="N489" s="140">
        <f t="shared" si="577"/>
        <v>362</v>
      </c>
      <c r="P489" s="16" t="s">
        <v>4</v>
      </c>
      <c r="Q489" s="17">
        <f>SUM(Q478:Q488)</f>
        <v>481</v>
      </c>
      <c r="R489" s="17">
        <f t="shared" ref="R489" si="578">SUM(R478:R488)</f>
        <v>665</v>
      </c>
      <c r="S489" s="17">
        <f t="shared" ref="S489" si="579">SUM(S478:S488)</f>
        <v>589</v>
      </c>
      <c r="T489" s="18">
        <f t="shared" ref="T489" si="580">SUM(T478:T488)</f>
        <v>1735</v>
      </c>
      <c r="U489" s="17">
        <f t="shared" ref="U489" si="581">SUM(U478:U488)</f>
        <v>489</v>
      </c>
      <c r="V489" s="17">
        <f t="shared" ref="V489" si="582">SUM(V478:V488)</f>
        <v>703</v>
      </c>
      <c r="W489" s="17">
        <f t="shared" ref="W489" si="583">SUM(W478:W488)</f>
        <v>635</v>
      </c>
      <c r="X489" s="18">
        <f t="shared" ref="X489" si="584">SUM(X478:X488)</f>
        <v>1827</v>
      </c>
      <c r="Y489" s="17">
        <f t="shared" ref="Y489" si="585">SUM(Y478:Y488)</f>
        <v>473</v>
      </c>
      <c r="Z489" s="17">
        <f t="shared" ref="Z489" si="586">SUM(Z478:Z488)</f>
        <v>680</v>
      </c>
      <c r="AA489" s="17">
        <f t="shared" ref="AA489" si="587">SUM(AA478:AA488)</f>
        <v>604</v>
      </c>
      <c r="AB489" s="18">
        <f t="shared" ref="AB489" si="588">SUM(AB478:AB488)</f>
        <v>1757</v>
      </c>
      <c r="AC489" s="88">
        <f t="shared" ref="AC489" si="589">SUM(AC478:AC488)</f>
        <v>5319</v>
      </c>
    </row>
    <row r="490" spans="1:31" x14ac:dyDescent="0.15">
      <c r="A490" s="33" t="s">
        <v>36</v>
      </c>
      <c r="B490" s="9"/>
      <c r="C490" s="10"/>
      <c r="D490" s="31"/>
      <c r="E490" s="5">
        <f t="shared" si="574"/>
        <v>0</v>
      </c>
      <c r="F490" s="9"/>
      <c r="G490" s="10"/>
      <c r="H490" s="31"/>
      <c r="I490" s="5">
        <f t="shared" si="575"/>
        <v>0</v>
      </c>
      <c r="J490" s="9"/>
      <c r="K490" s="10">
        <v>1</v>
      </c>
      <c r="L490" s="31"/>
      <c r="M490" s="38">
        <f t="shared" si="576"/>
        <v>1</v>
      </c>
      <c r="N490" s="141">
        <f t="shared" si="577"/>
        <v>1</v>
      </c>
      <c r="O490" s="70">
        <v>45595</v>
      </c>
      <c r="P490" s="4" t="s">
        <v>494</v>
      </c>
      <c r="Q490" s="9">
        <v>8</v>
      </c>
      <c r="R490" s="10">
        <v>10</v>
      </c>
      <c r="S490" s="10">
        <v>15</v>
      </c>
      <c r="T490" s="5">
        <f t="shared" ref="T490" si="590">SUM(Q490:S490)</f>
        <v>33</v>
      </c>
      <c r="U490" s="9">
        <v>8</v>
      </c>
      <c r="V490" s="10">
        <v>10</v>
      </c>
      <c r="W490" s="10">
        <v>15</v>
      </c>
      <c r="X490" s="5">
        <f t="shared" ref="X490" si="591">SUM(U490:W490)</f>
        <v>33</v>
      </c>
      <c r="Y490" s="9">
        <v>8</v>
      </c>
      <c r="Z490" s="10">
        <v>10</v>
      </c>
      <c r="AA490" s="10">
        <v>15</v>
      </c>
      <c r="AB490" s="5">
        <f t="shared" ref="AB490" si="592">SUM(Y490:AA490)</f>
        <v>33</v>
      </c>
      <c r="AC490" s="86">
        <f t="shared" ref="AC490" si="593">T490+X490+AB490</f>
        <v>99</v>
      </c>
      <c r="AD490" s="109">
        <v>45601</v>
      </c>
    </row>
    <row r="491" spans="1:31" x14ac:dyDescent="0.15">
      <c r="A491" s="33" t="s">
        <v>36</v>
      </c>
      <c r="B491" s="9">
        <v>1</v>
      </c>
      <c r="C491" s="10"/>
      <c r="D491" s="10"/>
      <c r="E491" s="5">
        <f t="shared" si="574"/>
        <v>1</v>
      </c>
      <c r="F491" s="9"/>
      <c r="G491" s="10"/>
      <c r="H491" s="10"/>
      <c r="I491" s="5">
        <f t="shared" si="575"/>
        <v>0</v>
      </c>
      <c r="J491" s="9"/>
      <c r="K491" s="10"/>
      <c r="L491" s="10"/>
      <c r="M491" s="38">
        <f t="shared" si="576"/>
        <v>0</v>
      </c>
      <c r="N491" s="138">
        <f t="shared" si="577"/>
        <v>1</v>
      </c>
      <c r="O491" s="70">
        <v>45596</v>
      </c>
      <c r="P491" s="11" t="s">
        <v>495</v>
      </c>
      <c r="Q491" s="9">
        <v>30</v>
      </c>
      <c r="R491" s="10">
        <v>60</v>
      </c>
      <c r="S491" s="10">
        <v>15</v>
      </c>
      <c r="T491" s="5">
        <f t="shared" si="570"/>
        <v>105</v>
      </c>
      <c r="U491" s="9">
        <v>30</v>
      </c>
      <c r="V491" s="10">
        <v>60</v>
      </c>
      <c r="W491" s="10">
        <v>15</v>
      </c>
      <c r="X491" s="5">
        <f t="shared" si="571"/>
        <v>105</v>
      </c>
      <c r="Y491" s="9">
        <v>30</v>
      </c>
      <c r="Z491" s="10">
        <v>60</v>
      </c>
      <c r="AA491" s="10">
        <v>15</v>
      </c>
      <c r="AB491" s="5">
        <f t="shared" si="572"/>
        <v>105</v>
      </c>
      <c r="AC491" s="86">
        <f t="shared" si="573"/>
        <v>315</v>
      </c>
      <c r="AD491" s="109">
        <v>45597</v>
      </c>
    </row>
    <row r="492" spans="1:31" x14ac:dyDescent="0.15">
      <c r="A492" s="33" t="s">
        <v>503</v>
      </c>
      <c r="B492" s="9"/>
      <c r="C492" s="10"/>
      <c r="D492" s="10">
        <v>2</v>
      </c>
      <c r="E492" s="5">
        <f t="shared" si="574"/>
        <v>2</v>
      </c>
      <c r="F492" s="9"/>
      <c r="G492" s="10"/>
      <c r="H492" s="10">
        <v>2</v>
      </c>
      <c r="I492" s="5">
        <f t="shared" si="575"/>
        <v>2</v>
      </c>
      <c r="J492" s="9"/>
      <c r="K492" s="10"/>
      <c r="L492" s="10">
        <v>2</v>
      </c>
      <c r="M492" s="38">
        <f t="shared" si="576"/>
        <v>2</v>
      </c>
      <c r="N492" s="138">
        <f t="shared" si="577"/>
        <v>6</v>
      </c>
      <c r="O492" s="24">
        <v>45603</v>
      </c>
      <c r="P492" s="4" t="s">
        <v>505</v>
      </c>
      <c r="Q492" s="9">
        <v>20</v>
      </c>
      <c r="R492" s="10">
        <v>55</v>
      </c>
      <c r="S492" s="10">
        <v>30</v>
      </c>
      <c r="T492" s="5">
        <f t="shared" si="570"/>
        <v>105</v>
      </c>
      <c r="U492" s="9">
        <v>20</v>
      </c>
      <c r="V492" s="10">
        <v>55</v>
      </c>
      <c r="W492" s="10">
        <v>30</v>
      </c>
      <c r="X492" s="5">
        <f t="shared" si="571"/>
        <v>105</v>
      </c>
      <c r="Y492" s="9">
        <v>20</v>
      </c>
      <c r="Z492" s="10">
        <v>55</v>
      </c>
      <c r="AA492" s="10">
        <v>30</v>
      </c>
      <c r="AB492" s="5">
        <f t="shared" si="572"/>
        <v>105</v>
      </c>
      <c r="AC492" s="86">
        <f t="shared" si="573"/>
        <v>315</v>
      </c>
      <c r="AD492" s="109">
        <v>45603</v>
      </c>
    </row>
    <row r="493" spans="1:31" x14ac:dyDescent="0.15">
      <c r="A493" s="33" t="s">
        <v>36</v>
      </c>
      <c r="B493" s="9"/>
      <c r="C493" s="10">
        <v>1</v>
      </c>
      <c r="D493" s="10">
        <v>2</v>
      </c>
      <c r="E493" s="5">
        <f t="shared" si="574"/>
        <v>3</v>
      </c>
      <c r="F493" s="9"/>
      <c r="G493" s="10">
        <v>1</v>
      </c>
      <c r="H493" s="10">
        <f>2+2</f>
        <v>4</v>
      </c>
      <c r="I493" s="5">
        <f t="shared" si="575"/>
        <v>5</v>
      </c>
      <c r="J493" s="9"/>
      <c r="K493" s="10">
        <f>2+1</f>
        <v>3</v>
      </c>
      <c r="L493" s="10">
        <v>2</v>
      </c>
      <c r="M493" s="38">
        <f t="shared" si="576"/>
        <v>5</v>
      </c>
      <c r="N493" s="138">
        <f t="shared" si="577"/>
        <v>13</v>
      </c>
      <c r="O493" s="24">
        <v>45601</v>
      </c>
      <c r="P493" s="11" t="s">
        <v>506</v>
      </c>
      <c r="Q493" s="9"/>
      <c r="R493" s="10">
        <v>15</v>
      </c>
      <c r="S493" s="10"/>
      <c r="T493" s="5">
        <f t="shared" si="570"/>
        <v>15</v>
      </c>
      <c r="U493" s="9"/>
      <c r="V493" s="10">
        <v>15</v>
      </c>
      <c r="W493" s="10"/>
      <c r="X493" s="5">
        <f t="shared" si="571"/>
        <v>15</v>
      </c>
      <c r="Y493" s="9"/>
      <c r="Z493" s="10">
        <v>15</v>
      </c>
      <c r="AA493" s="10"/>
      <c r="AB493" s="5">
        <f t="shared" si="572"/>
        <v>15</v>
      </c>
      <c r="AC493" s="86">
        <f t="shared" si="573"/>
        <v>45</v>
      </c>
      <c r="AD493" s="109">
        <v>45607</v>
      </c>
    </row>
    <row r="494" spans="1:31" x14ac:dyDescent="0.15">
      <c r="A494" s="33" t="s">
        <v>504</v>
      </c>
      <c r="B494" s="9">
        <v>1</v>
      </c>
      <c r="C494" s="10">
        <v>4</v>
      </c>
      <c r="D494" s="10">
        <v>3</v>
      </c>
      <c r="E494" s="5">
        <f t="shared" si="574"/>
        <v>8</v>
      </c>
      <c r="F494" s="9">
        <v>1</v>
      </c>
      <c r="G494" s="10">
        <v>4</v>
      </c>
      <c r="H494" s="10">
        <v>3</v>
      </c>
      <c r="I494" s="5">
        <f t="shared" si="575"/>
        <v>8</v>
      </c>
      <c r="J494" s="9">
        <v>1</v>
      </c>
      <c r="K494" s="10">
        <v>4</v>
      </c>
      <c r="L494" s="10">
        <v>3</v>
      </c>
      <c r="M494" s="38">
        <f t="shared" si="576"/>
        <v>8</v>
      </c>
      <c r="N494" s="138">
        <f t="shared" si="577"/>
        <v>24</v>
      </c>
      <c r="O494" s="24">
        <v>45604</v>
      </c>
      <c r="P494" s="33" t="s">
        <v>507</v>
      </c>
      <c r="Q494" s="9">
        <v>4</v>
      </c>
      <c r="R494" s="10">
        <v>8</v>
      </c>
      <c r="S494" s="10">
        <v>6</v>
      </c>
      <c r="T494" s="5">
        <f t="shared" si="570"/>
        <v>18</v>
      </c>
      <c r="U494" s="9">
        <v>4</v>
      </c>
      <c r="V494" s="10">
        <v>8</v>
      </c>
      <c r="W494" s="10">
        <v>6</v>
      </c>
      <c r="X494" s="5">
        <f t="shared" si="571"/>
        <v>18</v>
      </c>
      <c r="Y494" s="9">
        <v>4</v>
      </c>
      <c r="Z494" s="10">
        <v>8</v>
      </c>
      <c r="AA494" s="10">
        <v>6</v>
      </c>
      <c r="AB494" s="5">
        <f t="shared" si="572"/>
        <v>18</v>
      </c>
      <c r="AC494" s="86">
        <f t="shared" si="573"/>
        <v>54</v>
      </c>
      <c r="AD494" s="109">
        <v>45604</v>
      </c>
      <c r="AE494" s="58"/>
    </row>
    <row r="495" spans="1:31" x14ac:dyDescent="0.15">
      <c r="A495" s="33" t="s">
        <v>36</v>
      </c>
      <c r="B495" s="9">
        <v>1</v>
      </c>
      <c r="C495" s="10"/>
      <c r="D495" s="10">
        <v>2</v>
      </c>
      <c r="E495" s="8">
        <f t="shared" si="574"/>
        <v>3</v>
      </c>
      <c r="F495" s="9"/>
      <c r="G495" s="10"/>
      <c r="H495" s="10">
        <v>2</v>
      </c>
      <c r="I495" s="8">
        <f t="shared" si="575"/>
        <v>2</v>
      </c>
      <c r="J495" s="9"/>
      <c r="K495" s="10">
        <v>1</v>
      </c>
      <c r="L495" s="10"/>
      <c r="M495" s="39">
        <f t="shared" si="576"/>
        <v>1</v>
      </c>
      <c r="N495" s="138">
        <f t="shared" si="577"/>
        <v>6</v>
      </c>
      <c r="O495" s="24">
        <v>45603</v>
      </c>
      <c r="P495" s="4" t="s">
        <v>508</v>
      </c>
      <c r="Q495" s="9">
        <v>5</v>
      </c>
      <c r="R495" s="10"/>
      <c r="S495" s="10">
        <v>5</v>
      </c>
      <c r="T495" s="8">
        <f t="shared" si="570"/>
        <v>10</v>
      </c>
      <c r="U495" s="9">
        <v>5</v>
      </c>
      <c r="V495" s="10"/>
      <c r="W495" s="10">
        <v>5</v>
      </c>
      <c r="X495" s="8">
        <f t="shared" si="571"/>
        <v>10</v>
      </c>
      <c r="Y495" s="9">
        <v>5</v>
      </c>
      <c r="Z495" s="10"/>
      <c r="AA495" s="10">
        <v>5</v>
      </c>
      <c r="AB495" s="8">
        <f t="shared" si="572"/>
        <v>10</v>
      </c>
      <c r="AC495" s="86">
        <f t="shared" si="573"/>
        <v>30</v>
      </c>
      <c r="AD495" s="109">
        <v>45604</v>
      </c>
      <c r="AE495" s="58"/>
    </row>
    <row r="496" spans="1:31" x14ac:dyDescent="0.15">
      <c r="A496" s="33" t="s">
        <v>510</v>
      </c>
      <c r="B496" s="9">
        <v>5</v>
      </c>
      <c r="C496" s="10"/>
      <c r="D496" s="10"/>
      <c r="E496" s="8">
        <f t="shared" si="574"/>
        <v>5</v>
      </c>
      <c r="F496" s="9">
        <v>5</v>
      </c>
      <c r="G496" s="10"/>
      <c r="H496" s="10"/>
      <c r="I496" s="8">
        <f t="shared" si="575"/>
        <v>5</v>
      </c>
      <c r="J496" s="9">
        <v>5</v>
      </c>
      <c r="K496" s="10"/>
      <c r="L496" s="10"/>
      <c r="M496" s="39">
        <f t="shared" si="576"/>
        <v>5</v>
      </c>
      <c r="N496" s="138">
        <f t="shared" si="577"/>
        <v>15</v>
      </c>
      <c r="O496" s="24">
        <v>45605</v>
      </c>
      <c r="P496" s="4" t="s">
        <v>509</v>
      </c>
      <c r="Q496" s="9">
        <v>10</v>
      </c>
      <c r="R496" s="10">
        <v>3</v>
      </c>
      <c r="S496" s="10">
        <v>17</v>
      </c>
      <c r="T496" s="8">
        <f t="shared" si="570"/>
        <v>30</v>
      </c>
      <c r="U496" s="9">
        <v>10</v>
      </c>
      <c r="V496" s="10">
        <v>3</v>
      </c>
      <c r="W496" s="10">
        <v>17</v>
      </c>
      <c r="X496" s="8">
        <f t="shared" si="571"/>
        <v>30</v>
      </c>
      <c r="Y496" s="9">
        <v>10</v>
      </c>
      <c r="Z496" s="10">
        <v>3</v>
      </c>
      <c r="AA496" s="10">
        <v>17</v>
      </c>
      <c r="AB496" s="8">
        <f t="shared" si="572"/>
        <v>30</v>
      </c>
      <c r="AC496" s="86">
        <f t="shared" si="573"/>
        <v>90</v>
      </c>
      <c r="AD496" s="109">
        <v>45607</v>
      </c>
      <c r="AE496" s="58"/>
    </row>
    <row r="497" spans="1:31" x14ac:dyDescent="0.15">
      <c r="A497" s="33" t="s">
        <v>514</v>
      </c>
      <c r="B497" s="9">
        <v>1</v>
      </c>
      <c r="C497" s="10"/>
      <c r="D497" s="10"/>
      <c r="E497" s="8">
        <f t="shared" si="574"/>
        <v>1</v>
      </c>
      <c r="F497" s="9">
        <v>1</v>
      </c>
      <c r="G497" s="10"/>
      <c r="H497" s="10"/>
      <c r="I497" s="8">
        <f t="shared" si="575"/>
        <v>1</v>
      </c>
      <c r="J497" s="9">
        <v>1</v>
      </c>
      <c r="K497" s="10"/>
      <c r="L497" s="10"/>
      <c r="M497" s="39">
        <f t="shared" si="576"/>
        <v>1</v>
      </c>
      <c r="N497" s="138">
        <f t="shared" si="577"/>
        <v>3</v>
      </c>
      <c r="O497" s="24">
        <v>45609</v>
      </c>
      <c r="P497" s="11" t="s">
        <v>27</v>
      </c>
      <c r="Q497" s="9"/>
      <c r="R497" s="10"/>
      <c r="S497" s="10">
        <v>10</v>
      </c>
      <c r="T497" s="8">
        <f t="shared" ref="T497" si="594">SUM(Q497:S497)</f>
        <v>10</v>
      </c>
      <c r="U497" s="9"/>
      <c r="V497" s="10"/>
      <c r="W497" s="10">
        <v>10</v>
      </c>
      <c r="X497" s="8">
        <f t="shared" ref="X497" si="595">SUM(U497:W497)</f>
        <v>10</v>
      </c>
      <c r="Y497" s="9"/>
      <c r="Z497" s="10"/>
      <c r="AA497" s="10"/>
      <c r="AB497" s="8">
        <f t="shared" ref="AB497" si="596">SUM(Y497:AA497)</f>
        <v>0</v>
      </c>
      <c r="AC497" s="86">
        <f t="shared" si="573"/>
        <v>20</v>
      </c>
      <c r="AD497" s="109">
        <v>45607</v>
      </c>
      <c r="AE497" s="58"/>
    </row>
    <row r="498" spans="1:31" x14ac:dyDescent="0.15">
      <c r="A498" s="33" t="s">
        <v>36</v>
      </c>
      <c r="B498" s="9">
        <v>1</v>
      </c>
      <c r="C498" s="10"/>
      <c r="D498" s="10"/>
      <c r="E498" s="8">
        <f t="shared" si="574"/>
        <v>1</v>
      </c>
      <c r="F498" s="9">
        <v>3</v>
      </c>
      <c r="G498" s="10"/>
      <c r="H498" s="10"/>
      <c r="I498" s="8">
        <f t="shared" si="575"/>
        <v>3</v>
      </c>
      <c r="J498" s="9"/>
      <c r="K498" s="10"/>
      <c r="L498" s="10"/>
      <c r="M498" s="39">
        <f t="shared" si="576"/>
        <v>0</v>
      </c>
      <c r="N498" s="138">
        <f t="shared" si="577"/>
        <v>4</v>
      </c>
      <c r="O498" s="24">
        <v>45607</v>
      </c>
      <c r="P498" s="11" t="s">
        <v>27</v>
      </c>
      <c r="Q498" s="9">
        <v>5</v>
      </c>
      <c r="R498" s="10">
        <v>5</v>
      </c>
      <c r="S498" s="10">
        <v>5</v>
      </c>
      <c r="T498" s="8">
        <f t="shared" si="570"/>
        <v>15</v>
      </c>
      <c r="U498" s="9">
        <v>5</v>
      </c>
      <c r="V498" s="10">
        <v>5</v>
      </c>
      <c r="W498" s="10">
        <v>5</v>
      </c>
      <c r="X498" s="8">
        <f t="shared" si="571"/>
        <v>15</v>
      </c>
      <c r="Y498" s="9">
        <v>5</v>
      </c>
      <c r="Z498" s="10">
        <v>5</v>
      </c>
      <c r="AA498" s="10">
        <v>5</v>
      </c>
      <c r="AB498" s="8">
        <f t="shared" si="572"/>
        <v>15</v>
      </c>
      <c r="AC498" s="86">
        <f t="shared" si="573"/>
        <v>45</v>
      </c>
      <c r="AD498" s="109">
        <v>45607</v>
      </c>
      <c r="AE498" s="58"/>
    </row>
    <row r="499" spans="1:31" x14ac:dyDescent="0.15">
      <c r="A499" s="33" t="s">
        <v>515</v>
      </c>
      <c r="B499" s="9">
        <v>1</v>
      </c>
      <c r="C499" s="10"/>
      <c r="D499" s="10"/>
      <c r="E499" s="8">
        <f t="shared" si="574"/>
        <v>1</v>
      </c>
      <c r="F499" s="9">
        <v>1</v>
      </c>
      <c r="G499" s="10"/>
      <c r="H499" s="10"/>
      <c r="I499" s="8">
        <f t="shared" si="575"/>
        <v>1</v>
      </c>
      <c r="J499" s="9">
        <v>1</v>
      </c>
      <c r="K499" s="10"/>
      <c r="L499" s="10"/>
      <c r="M499" s="39">
        <f t="shared" si="576"/>
        <v>1</v>
      </c>
      <c r="N499" s="138">
        <f t="shared" si="577"/>
        <v>3</v>
      </c>
      <c r="O499" s="24">
        <v>45610</v>
      </c>
      <c r="P499" s="11" t="s">
        <v>27</v>
      </c>
      <c r="Q499" s="9">
        <v>10</v>
      </c>
      <c r="R499" s="10">
        <v>5</v>
      </c>
      <c r="S499" s="10"/>
      <c r="T499" s="8">
        <f t="shared" si="570"/>
        <v>15</v>
      </c>
      <c r="U499" s="9">
        <v>10</v>
      </c>
      <c r="V499" s="10">
        <v>5</v>
      </c>
      <c r="W499" s="10"/>
      <c r="X499" s="8">
        <f t="shared" si="571"/>
        <v>15</v>
      </c>
      <c r="Y499" s="9">
        <v>10</v>
      </c>
      <c r="Z499" s="10">
        <v>5</v>
      </c>
      <c r="AA499" s="10">
        <v>5</v>
      </c>
      <c r="AB499" s="8">
        <f t="shared" si="572"/>
        <v>20</v>
      </c>
      <c r="AC499" s="86">
        <f t="shared" si="573"/>
        <v>50</v>
      </c>
      <c r="AD499" s="109">
        <v>45609</v>
      </c>
      <c r="AE499" s="58"/>
    </row>
    <row r="500" spans="1:31" x14ac:dyDescent="0.15">
      <c r="A500" s="11" t="s">
        <v>516</v>
      </c>
      <c r="B500" s="9">
        <v>6</v>
      </c>
      <c r="C500" s="10">
        <v>5</v>
      </c>
      <c r="D500" s="10">
        <v>5</v>
      </c>
      <c r="E500" s="8">
        <f t="shared" si="574"/>
        <v>16</v>
      </c>
      <c r="F500" s="9">
        <v>6</v>
      </c>
      <c r="G500" s="10">
        <v>5</v>
      </c>
      <c r="H500" s="10">
        <v>5</v>
      </c>
      <c r="I500" s="8">
        <f t="shared" si="575"/>
        <v>16</v>
      </c>
      <c r="J500" s="9">
        <v>6</v>
      </c>
      <c r="K500" s="10">
        <v>5</v>
      </c>
      <c r="L500" s="10">
        <v>5</v>
      </c>
      <c r="M500" s="39">
        <f t="shared" si="576"/>
        <v>16</v>
      </c>
      <c r="N500" s="138">
        <f t="shared" si="577"/>
        <v>48</v>
      </c>
      <c r="O500" s="24">
        <v>45610</v>
      </c>
      <c r="P500" s="11" t="s">
        <v>27</v>
      </c>
      <c r="Q500" s="9"/>
      <c r="R500" s="10"/>
      <c r="S500" s="10">
        <v>5</v>
      </c>
      <c r="T500" s="8">
        <f t="shared" si="570"/>
        <v>5</v>
      </c>
      <c r="U500" s="9"/>
      <c r="V500" s="10"/>
      <c r="W500" s="10"/>
      <c r="X500" s="8">
        <f t="shared" si="571"/>
        <v>0</v>
      </c>
      <c r="Y500" s="9"/>
      <c r="Z500" s="10"/>
      <c r="AA500" s="10">
        <v>5</v>
      </c>
      <c r="AB500" s="8">
        <f t="shared" si="572"/>
        <v>5</v>
      </c>
      <c r="AC500" s="86">
        <f t="shared" si="573"/>
        <v>10</v>
      </c>
      <c r="AD500" s="109">
        <v>45610</v>
      </c>
      <c r="AE500" s="58"/>
    </row>
    <row r="501" spans="1:31" x14ac:dyDescent="0.15">
      <c r="A501" s="33" t="s">
        <v>517</v>
      </c>
      <c r="B501" s="9">
        <v>1</v>
      </c>
      <c r="C501" s="10">
        <v>2</v>
      </c>
      <c r="D501" s="10"/>
      <c r="E501" s="8">
        <f t="shared" si="574"/>
        <v>3</v>
      </c>
      <c r="F501" s="9">
        <v>1</v>
      </c>
      <c r="G501" s="10">
        <v>2</v>
      </c>
      <c r="H501" s="10"/>
      <c r="I501" s="8">
        <f t="shared" si="575"/>
        <v>3</v>
      </c>
      <c r="J501" s="9">
        <v>1</v>
      </c>
      <c r="K501" s="10">
        <v>2</v>
      </c>
      <c r="L501" s="10"/>
      <c r="M501" s="39">
        <f t="shared" si="576"/>
        <v>3</v>
      </c>
      <c r="N501" s="138">
        <f t="shared" si="577"/>
        <v>9</v>
      </c>
      <c r="O501" s="24">
        <v>45611</v>
      </c>
      <c r="P501" s="33" t="s">
        <v>519</v>
      </c>
      <c r="Q501" s="9">
        <v>10</v>
      </c>
      <c r="R501" s="10">
        <v>9</v>
      </c>
      <c r="S501" s="10">
        <v>9</v>
      </c>
      <c r="T501" s="8">
        <f t="shared" si="570"/>
        <v>28</v>
      </c>
      <c r="U501" s="9">
        <v>10</v>
      </c>
      <c r="V501" s="10">
        <v>9</v>
      </c>
      <c r="W501" s="10">
        <v>9</v>
      </c>
      <c r="X501" s="8">
        <f t="shared" si="571"/>
        <v>28</v>
      </c>
      <c r="Y501" s="9">
        <v>10</v>
      </c>
      <c r="Z501" s="10">
        <v>9</v>
      </c>
      <c r="AA501" s="10">
        <v>9</v>
      </c>
      <c r="AB501" s="8">
        <f t="shared" si="572"/>
        <v>28</v>
      </c>
      <c r="AC501" s="86">
        <f t="shared" si="573"/>
        <v>84</v>
      </c>
      <c r="AD501" s="109">
        <v>45611</v>
      </c>
      <c r="AE501" s="58"/>
    </row>
    <row r="502" spans="1:31" x14ac:dyDescent="0.15">
      <c r="A502" s="4" t="s">
        <v>518</v>
      </c>
      <c r="B502" s="9"/>
      <c r="C502" s="10"/>
      <c r="D502" s="10">
        <v>5</v>
      </c>
      <c r="E502" s="8">
        <f t="shared" si="574"/>
        <v>5</v>
      </c>
      <c r="F502" s="9"/>
      <c r="G502" s="10"/>
      <c r="H502" s="10">
        <v>5</v>
      </c>
      <c r="I502" s="8">
        <f t="shared" si="575"/>
        <v>5</v>
      </c>
      <c r="J502" s="9"/>
      <c r="K502" s="10"/>
      <c r="L502" s="10">
        <v>5</v>
      </c>
      <c r="M502" s="39">
        <f t="shared" si="576"/>
        <v>5</v>
      </c>
      <c r="N502" s="138">
        <f t="shared" si="577"/>
        <v>15</v>
      </c>
      <c r="O502" s="24">
        <v>45610</v>
      </c>
      <c r="P502" s="11" t="s">
        <v>27</v>
      </c>
      <c r="Q502" s="9">
        <v>10</v>
      </c>
      <c r="R502" s="10">
        <v>10</v>
      </c>
      <c r="S502" s="10">
        <v>10</v>
      </c>
      <c r="T502" s="8">
        <f t="shared" si="570"/>
        <v>30</v>
      </c>
      <c r="U502" s="9">
        <v>10</v>
      </c>
      <c r="V502" s="10">
        <v>10</v>
      </c>
      <c r="W502" s="10">
        <v>10</v>
      </c>
      <c r="X502" s="8">
        <f t="shared" si="571"/>
        <v>30</v>
      </c>
      <c r="Y502" s="9">
        <v>10</v>
      </c>
      <c r="Z502" s="10">
        <v>10</v>
      </c>
      <c r="AA502" s="10">
        <v>10</v>
      </c>
      <c r="AB502" s="8">
        <f t="shared" si="572"/>
        <v>30</v>
      </c>
      <c r="AC502" s="86">
        <f t="shared" si="573"/>
        <v>90</v>
      </c>
      <c r="AD502" s="109">
        <v>45615</v>
      </c>
      <c r="AE502" s="58"/>
    </row>
    <row r="503" spans="1:31" x14ac:dyDescent="0.15">
      <c r="A503" s="33" t="s">
        <v>520</v>
      </c>
      <c r="B503" s="9">
        <v>3</v>
      </c>
      <c r="C503" s="10">
        <v>2</v>
      </c>
      <c r="D503" s="10">
        <v>5</v>
      </c>
      <c r="E503" s="8">
        <f t="shared" si="574"/>
        <v>10</v>
      </c>
      <c r="F503" s="9">
        <v>3</v>
      </c>
      <c r="G503" s="10">
        <v>2</v>
      </c>
      <c r="H503" s="10">
        <v>5</v>
      </c>
      <c r="I503" s="8">
        <f t="shared" si="575"/>
        <v>10</v>
      </c>
      <c r="J503" s="9">
        <v>3</v>
      </c>
      <c r="K503" s="10">
        <v>2</v>
      </c>
      <c r="L503" s="10">
        <v>5</v>
      </c>
      <c r="M503" s="39">
        <f t="shared" si="576"/>
        <v>10</v>
      </c>
      <c r="N503" s="138">
        <f t="shared" si="577"/>
        <v>30</v>
      </c>
      <c r="O503" s="24">
        <v>45614</v>
      </c>
      <c r="P503" s="11"/>
      <c r="Q503" s="9"/>
      <c r="R503" s="10"/>
      <c r="S503" s="10"/>
      <c r="T503" s="8">
        <f t="shared" si="570"/>
        <v>0</v>
      </c>
      <c r="U503" s="9"/>
      <c r="V503" s="10"/>
      <c r="W503" s="10"/>
      <c r="X503" s="8">
        <f t="shared" si="571"/>
        <v>0</v>
      </c>
      <c r="Y503" s="9"/>
      <c r="Z503" s="10"/>
      <c r="AA503" s="10"/>
      <c r="AB503" s="8">
        <f t="shared" si="572"/>
        <v>0</v>
      </c>
      <c r="AC503" s="86">
        <f t="shared" si="573"/>
        <v>0</v>
      </c>
    </row>
    <row r="504" spans="1:31" x14ac:dyDescent="0.15">
      <c r="A504" s="33" t="s">
        <v>36</v>
      </c>
      <c r="B504" s="9"/>
      <c r="C504" s="10"/>
      <c r="D504" s="10"/>
      <c r="E504" s="8">
        <f t="shared" si="574"/>
        <v>0</v>
      </c>
      <c r="F504" s="9"/>
      <c r="G504" s="10"/>
      <c r="H504" s="10"/>
      <c r="I504" s="8">
        <f t="shared" si="575"/>
        <v>0</v>
      </c>
      <c r="J504" s="9">
        <v>1</v>
      </c>
      <c r="K504" s="10"/>
      <c r="L504" s="10">
        <v>2</v>
      </c>
      <c r="M504" s="39">
        <f t="shared" si="576"/>
        <v>3</v>
      </c>
      <c r="N504" s="138">
        <f t="shared" si="577"/>
        <v>3</v>
      </c>
      <c r="O504" s="24">
        <v>45612</v>
      </c>
      <c r="P504" s="81" t="s">
        <v>441</v>
      </c>
      <c r="Q504" s="71"/>
      <c r="R504" s="72"/>
      <c r="S504" s="72"/>
      <c r="T504" s="73">
        <f t="shared" si="570"/>
        <v>0</v>
      </c>
      <c r="U504" s="71"/>
      <c r="V504" s="72"/>
      <c r="W504" s="72"/>
      <c r="X504" s="73">
        <f t="shared" si="571"/>
        <v>0</v>
      </c>
      <c r="Y504" s="71"/>
      <c r="Z504" s="72"/>
      <c r="AA504" s="72"/>
      <c r="AB504" s="73">
        <f t="shared" si="572"/>
        <v>0</v>
      </c>
      <c r="AC504" s="92">
        <f t="shared" si="573"/>
        <v>0</v>
      </c>
      <c r="AD504" s="117"/>
    </row>
    <row r="505" spans="1:31" x14ac:dyDescent="0.15">
      <c r="A505" s="33" t="s">
        <v>523</v>
      </c>
      <c r="B505" s="9">
        <v>1</v>
      </c>
      <c r="C505" s="10"/>
      <c r="D505" s="10"/>
      <c r="E505" s="8">
        <f t="shared" si="574"/>
        <v>1</v>
      </c>
      <c r="F505" s="9">
        <v>1</v>
      </c>
      <c r="G505" s="10"/>
      <c r="H505" s="10"/>
      <c r="I505" s="8">
        <f t="shared" si="575"/>
        <v>1</v>
      </c>
      <c r="J505" s="9">
        <v>1</v>
      </c>
      <c r="K505" s="10"/>
      <c r="L505" s="10"/>
      <c r="M505" s="39">
        <f t="shared" si="576"/>
        <v>1</v>
      </c>
      <c r="N505" s="138">
        <f t="shared" si="577"/>
        <v>3</v>
      </c>
      <c r="O505" s="24">
        <v>45616</v>
      </c>
      <c r="P505" s="4" t="s">
        <v>439</v>
      </c>
      <c r="Q505" s="9"/>
      <c r="R505" s="10"/>
      <c r="S505" s="10"/>
      <c r="T505" s="8">
        <f t="shared" si="570"/>
        <v>0</v>
      </c>
      <c r="U505" s="9"/>
      <c r="V505" s="10"/>
      <c r="W505" s="10"/>
      <c r="X505" s="8">
        <f t="shared" si="571"/>
        <v>0</v>
      </c>
      <c r="Y505" s="9"/>
      <c r="Z505" s="10"/>
      <c r="AA505" s="10"/>
      <c r="AB505" s="8">
        <f t="shared" si="572"/>
        <v>0</v>
      </c>
      <c r="AC505" s="86">
        <f t="shared" si="573"/>
        <v>0</v>
      </c>
      <c r="AD505" s="116" t="s">
        <v>438</v>
      </c>
    </row>
    <row r="506" spans="1:31" x14ac:dyDescent="0.15">
      <c r="A506" s="33" t="s">
        <v>36</v>
      </c>
      <c r="B506" s="9"/>
      <c r="C506" s="10"/>
      <c r="D506" s="10">
        <v>1</v>
      </c>
      <c r="E506" s="8">
        <f t="shared" si="574"/>
        <v>1</v>
      </c>
      <c r="F506" s="9"/>
      <c r="G506" s="10"/>
      <c r="H506" s="10">
        <v>1</v>
      </c>
      <c r="I506" s="8">
        <f t="shared" si="575"/>
        <v>1</v>
      </c>
      <c r="J506" s="9"/>
      <c r="K506" s="10"/>
      <c r="L506" s="10">
        <f>1+2</f>
        <v>3</v>
      </c>
      <c r="M506" s="39">
        <f t="shared" si="576"/>
        <v>3</v>
      </c>
      <c r="N506" s="138">
        <f t="shared" si="577"/>
        <v>5</v>
      </c>
      <c r="O506" s="24">
        <v>45614</v>
      </c>
      <c r="P506" s="11" t="s">
        <v>448</v>
      </c>
      <c r="Q506" s="9"/>
      <c r="R506" s="10"/>
      <c r="S506" s="10"/>
      <c r="T506" s="8">
        <f t="shared" si="570"/>
        <v>0</v>
      </c>
      <c r="U506" s="9"/>
      <c r="V506" s="10"/>
      <c r="W506" s="10"/>
      <c r="X506" s="8">
        <f t="shared" si="571"/>
        <v>0</v>
      </c>
      <c r="Y506" s="9"/>
      <c r="Z506" s="10"/>
      <c r="AA506" s="10"/>
      <c r="AB506" s="8">
        <f t="shared" si="572"/>
        <v>0</v>
      </c>
      <c r="AC506" s="86">
        <f t="shared" si="573"/>
        <v>0</v>
      </c>
      <c r="AD506" s="109" t="s">
        <v>449</v>
      </c>
    </row>
    <row r="507" spans="1:31" x14ac:dyDescent="0.15">
      <c r="A507" s="33"/>
      <c r="B507" s="9"/>
      <c r="C507" s="10"/>
      <c r="D507" s="10"/>
      <c r="E507" s="8">
        <f t="shared" si="574"/>
        <v>0</v>
      </c>
      <c r="F507" s="9"/>
      <c r="G507" s="10"/>
      <c r="H507" s="10"/>
      <c r="I507" s="8">
        <f t="shared" si="575"/>
        <v>0</v>
      </c>
      <c r="J507" s="9"/>
      <c r="K507" s="10"/>
      <c r="L507" s="10"/>
      <c r="M507" s="39">
        <f t="shared" si="576"/>
        <v>0</v>
      </c>
      <c r="N507" s="138">
        <f t="shared" si="577"/>
        <v>0</v>
      </c>
      <c r="P507" s="11" t="s">
        <v>417</v>
      </c>
      <c r="Q507" s="9"/>
      <c r="R507" s="10"/>
      <c r="S507" s="10"/>
      <c r="T507" s="8">
        <f t="shared" ref="T507" si="597">SUM(Q507:S507)</f>
        <v>0</v>
      </c>
      <c r="U507" s="9"/>
      <c r="V507" s="10"/>
      <c r="W507" s="10"/>
      <c r="X507" s="8">
        <f t="shared" ref="X507" si="598">SUM(U507:W507)</f>
        <v>0</v>
      </c>
      <c r="Y507" s="9"/>
      <c r="Z507" s="10"/>
      <c r="AA507" s="10"/>
      <c r="AB507" s="8">
        <f t="shared" ref="AB507" si="599">SUM(Y507:AA507)</f>
        <v>0</v>
      </c>
      <c r="AC507" s="86">
        <f t="shared" ref="AC507" si="600">T507+X507+AB507</f>
        <v>0</v>
      </c>
      <c r="AD507" s="109" t="s">
        <v>418</v>
      </c>
    </row>
    <row r="508" spans="1:31" x14ac:dyDescent="0.15">
      <c r="A508" s="33"/>
      <c r="B508" s="9"/>
      <c r="C508" s="10"/>
      <c r="D508" s="10"/>
      <c r="E508" s="8">
        <f t="shared" si="574"/>
        <v>0</v>
      </c>
      <c r="F508" s="9"/>
      <c r="G508" s="10"/>
      <c r="H508" s="10"/>
      <c r="I508" s="8">
        <f t="shared" si="575"/>
        <v>0</v>
      </c>
      <c r="J508" s="9"/>
      <c r="K508" s="10"/>
      <c r="L508" s="10"/>
      <c r="M508" s="39">
        <f t="shared" si="576"/>
        <v>0</v>
      </c>
      <c r="N508" s="138">
        <f t="shared" si="577"/>
        <v>0</v>
      </c>
      <c r="P508" s="6" t="s">
        <v>496</v>
      </c>
      <c r="Q508" s="71"/>
      <c r="R508" s="72"/>
      <c r="S508" s="72"/>
      <c r="T508" s="73">
        <f t="shared" ref="T508:T511" si="601">SUM(Q508:S508)</f>
        <v>0</v>
      </c>
      <c r="U508" s="71"/>
      <c r="V508" s="72"/>
      <c r="W508" s="72"/>
      <c r="X508" s="73">
        <f t="shared" ref="X508:X511" si="602">SUM(U508:W508)</f>
        <v>0</v>
      </c>
      <c r="Y508" s="71"/>
      <c r="Z508" s="72"/>
      <c r="AA508" s="72"/>
      <c r="AB508" s="73">
        <f t="shared" ref="AB508:AB511" si="603">SUM(Y508:AA508)</f>
        <v>0</v>
      </c>
      <c r="AC508" s="92">
        <f t="shared" ref="AC508:AC511" si="604">T508+X508+AB508</f>
        <v>0</v>
      </c>
      <c r="AD508" s="116"/>
    </row>
    <row r="509" spans="1:31" x14ac:dyDescent="0.15">
      <c r="A509" s="33"/>
      <c r="B509" s="9"/>
      <c r="C509" s="10"/>
      <c r="D509" s="10"/>
      <c r="E509" s="8">
        <f t="shared" si="574"/>
        <v>0</v>
      </c>
      <c r="F509" s="9"/>
      <c r="G509" s="10"/>
      <c r="H509" s="10"/>
      <c r="I509" s="8">
        <f t="shared" si="575"/>
        <v>0</v>
      </c>
      <c r="J509" s="9"/>
      <c r="K509" s="10"/>
      <c r="L509" s="10"/>
      <c r="M509" s="39">
        <f t="shared" si="576"/>
        <v>0</v>
      </c>
      <c r="N509" s="138">
        <f t="shared" si="577"/>
        <v>0</v>
      </c>
      <c r="P509" s="11" t="s">
        <v>201</v>
      </c>
      <c r="Q509" s="9"/>
      <c r="R509" s="10"/>
      <c r="S509" s="10"/>
      <c r="T509" s="8">
        <f t="shared" si="601"/>
        <v>0</v>
      </c>
      <c r="U509" s="9"/>
      <c r="V509" s="10"/>
      <c r="W509" s="10"/>
      <c r="X509" s="8">
        <f t="shared" si="602"/>
        <v>0</v>
      </c>
      <c r="Y509" s="9"/>
      <c r="Z509" s="10"/>
      <c r="AA509" s="10"/>
      <c r="AB509" s="8">
        <f t="shared" si="603"/>
        <v>0</v>
      </c>
      <c r="AC509" s="86">
        <f t="shared" si="604"/>
        <v>0</v>
      </c>
      <c r="AD509" s="116" t="s">
        <v>200</v>
      </c>
    </row>
    <row r="510" spans="1:31" x14ac:dyDescent="0.15">
      <c r="A510" s="33"/>
      <c r="B510" s="9"/>
      <c r="C510" s="10"/>
      <c r="D510" s="10"/>
      <c r="E510" s="8">
        <f t="shared" si="574"/>
        <v>0</v>
      </c>
      <c r="F510" s="9"/>
      <c r="G510" s="10"/>
      <c r="H510" s="10"/>
      <c r="I510" s="8">
        <f t="shared" si="575"/>
        <v>0</v>
      </c>
      <c r="J510" s="9"/>
      <c r="K510" s="10"/>
      <c r="L510" s="10"/>
      <c r="M510" s="39">
        <f t="shared" si="576"/>
        <v>0</v>
      </c>
      <c r="N510" s="138">
        <f t="shared" si="577"/>
        <v>0</v>
      </c>
      <c r="P510" s="81" t="s">
        <v>308</v>
      </c>
      <c r="Q510" s="71"/>
      <c r="R510" s="72"/>
      <c r="S510" s="72"/>
      <c r="T510" s="73">
        <f t="shared" si="601"/>
        <v>0</v>
      </c>
      <c r="U510" s="71"/>
      <c r="V510" s="72"/>
      <c r="W510" s="72"/>
      <c r="X510" s="73">
        <f t="shared" si="602"/>
        <v>0</v>
      </c>
      <c r="Y510" s="71"/>
      <c r="Z510" s="72"/>
      <c r="AA510" s="72"/>
      <c r="AB510" s="73">
        <f t="shared" si="603"/>
        <v>0</v>
      </c>
      <c r="AC510" s="92">
        <f t="shared" si="604"/>
        <v>0</v>
      </c>
      <c r="AD510" s="117"/>
    </row>
    <row r="511" spans="1:31" x14ac:dyDescent="0.15">
      <c r="A511" s="33"/>
      <c r="B511" s="9"/>
      <c r="C511" s="10"/>
      <c r="D511" s="10"/>
      <c r="E511" s="8">
        <f t="shared" si="574"/>
        <v>0</v>
      </c>
      <c r="F511" s="9"/>
      <c r="G511" s="10"/>
      <c r="H511" s="10"/>
      <c r="I511" s="8">
        <f t="shared" si="575"/>
        <v>0</v>
      </c>
      <c r="J511" s="9"/>
      <c r="K511" s="10"/>
      <c r="L511" s="10"/>
      <c r="M511" s="39">
        <f t="shared" si="576"/>
        <v>0</v>
      </c>
      <c r="N511" s="138">
        <f t="shared" si="577"/>
        <v>0</v>
      </c>
      <c r="P511" s="4" t="s">
        <v>220</v>
      </c>
      <c r="Q511" s="9"/>
      <c r="R511" s="10"/>
      <c r="S511" s="10"/>
      <c r="T511" s="8">
        <f t="shared" si="601"/>
        <v>0</v>
      </c>
      <c r="U511" s="9"/>
      <c r="V511" s="10"/>
      <c r="W511" s="10"/>
      <c r="X511" s="8">
        <f t="shared" si="602"/>
        <v>0</v>
      </c>
      <c r="Y511" s="9"/>
      <c r="Z511" s="10"/>
      <c r="AA511" s="10"/>
      <c r="AB511" s="8">
        <f t="shared" si="603"/>
        <v>0</v>
      </c>
      <c r="AC511" s="86">
        <f t="shared" si="604"/>
        <v>0</v>
      </c>
      <c r="AD511" s="116" t="s">
        <v>221</v>
      </c>
    </row>
    <row r="512" spans="1:31" x14ac:dyDescent="0.15">
      <c r="A512" s="33"/>
      <c r="B512" s="9"/>
      <c r="C512" s="10"/>
      <c r="D512" s="10"/>
      <c r="E512" s="8">
        <f t="shared" si="574"/>
        <v>0</v>
      </c>
      <c r="F512" s="9"/>
      <c r="G512" s="10"/>
      <c r="H512" s="10"/>
      <c r="I512" s="8">
        <f t="shared" si="575"/>
        <v>0</v>
      </c>
      <c r="J512" s="9"/>
      <c r="K512" s="10"/>
      <c r="L512" s="10"/>
      <c r="M512" s="39">
        <f t="shared" si="576"/>
        <v>0</v>
      </c>
      <c r="N512" s="138">
        <f t="shared" si="577"/>
        <v>0</v>
      </c>
      <c r="P512" s="6" t="s">
        <v>334</v>
      </c>
      <c r="Q512" s="71"/>
      <c r="R512" s="72"/>
      <c r="S512" s="72"/>
      <c r="T512" s="73">
        <f t="shared" ref="T512:T513" si="605">SUM(Q512:S512)</f>
        <v>0</v>
      </c>
      <c r="U512" s="71"/>
      <c r="V512" s="72"/>
      <c r="W512" s="72"/>
      <c r="X512" s="73">
        <f t="shared" ref="X512:X513" si="606">SUM(U512:W512)</f>
        <v>0</v>
      </c>
      <c r="Y512" s="71"/>
      <c r="Z512" s="72"/>
      <c r="AA512" s="72"/>
      <c r="AB512" s="73">
        <f t="shared" ref="AB512:AB513" si="607">SUM(Y512:AA512)</f>
        <v>0</v>
      </c>
      <c r="AC512" s="92">
        <f t="shared" ref="AC512:AC513" si="608">T512+X512+AB512</f>
        <v>0</v>
      </c>
      <c r="AD512" s="117"/>
    </row>
    <row r="513" spans="1:30" ht="14.25" thickBot="1" x14ac:dyDescent="0.2">
      <c r="A513" s="63"/>
      <c r="B513" s="9"/>
      <c r="C513" s="10"/>
      <c r="D513" s="22"/>
      <c r="E513" s="8">
        <f t="shared" si="574"/>
        <v>0</v>
      </c>
      <c r="F513" s="9"/>
      <c r="G513" s="10"/>
      <c r="H513" s="22"/>
      <c r="I513" s="8">
        <f t="shared" si="575"/>
        <v>0</v>
      </c>
      <c r="J513" s="9"/>
      <c r="K513" s="10"/>
      <c r="L513" s="22"/>
      <c r="M513" s="39">
        <f t="shared" si="576"/>
        <v>0</v>
      </c>
      <c r="N513" s="139">
        <f t="shared" si="577"/>
        <v>0</v>
      </c>
      <c r="P513" s="11" t="s">
        <v>336</v>
      </c>
      <c r="Q513" s="9"/>
      <c r="R513" s="10"/>
      <c r="S513" s="10"/>
      <c r="T513" s="8">
        <f t="shared" si="605"/>
        <v>0</v>
      </c>
      <c r="U513" s="9"/>
      <c r="V513" s="10"/>
      <c r="W513" s="10"/>
      <c r="X513" s="8">
        <f t="shared" si="606"/>
        <v>0</v>
      </c>
      <c r="Y513" s="9"/>
      <c r="Z513" s="10"/>
      <c r="AA513" s="10"/>
      <c r="AB513" s="8">
        <f t="shared" si="607"/>
        <v>0</v>
      </c>
      <c r="AC513" s="86">
        <f t="shared" si="608"/>
        <v>0</v>
      </c>
      <c r="AD513" s="116" t="s">
        <v>335</v>
      </c>
    </row>
    <row r="514" spans="1:30" ht="14.25" thickBot="1" x14ac:dyDescent="0.2">
      <c r="A514" s="104" t="s">
        <v>5</v>
      </c>
      <c r="B514" s="12">
        <f>SUM(B490:B513)</f>
        <v>22</v>
      </c>
      <c r="C514" s="12">
        <f>SUM(C490:C513)</f>
        <v>14</v>
      </c>
      <c r="D514" s="12">
        <f>SUM(D490:D513)</f>
        <v>25</v>
      </c>
      <c r="E514" s="13">
        <f t="shared" si="574"/>
        <v>61</v>
      </c>
      <c r="F514" s="12">
        <f>SUM(F490:F513)</f>
        <v>22</v>
      </c>
      <c r="G514" s="12">
        <f>SUM(G490:G513)</f>
        <v>14</v>
      </c>
      <c r="H514" s="12">
        <f>SUM(H490:H513)</f>
        <v>27</v>
      </c>
      <c r="I514" s="13">
        <f t="shared" si="575"/>
        <v>63</v>
      </c>
      <c r="J514" s="12">
        <f>SUM(J490:J513)</f>
        <v>20</v>
      </c>
      <c r="K514" s="12">
        <f>SUM(K490:K513)</f>
        <v>18</v>
      </c>
      <c r="L514" s="12">
        <f>SUM(L490:L513)</f>
        <v>27</v>
      </c>
      <c r="M514" s="12">
        <f t="shared" si="576"/>
        <v>65</v>
      </c>
      <c r="N514" s="142">
        <f t="shared" si="577"/>
        <v>189</v>
      </c>
      <c r="P514" s="3" t="s">
        <v>5</v>
      </c>
      <c r="Q514" s="12">
        <f>SUM(Q490:Q513)</f>
        <v>112</v>
      </c>
      <c r="R514" s="12">
        <f t="shared" ref="R514" si="609">SUM(R490:R513)</f>
        <v>180</v>
      </c>
      <c r="S514" s="12">
        <f t="shared" ref="S514" si="610">SUM(S490:S513)</f>
        <v>127</v>
      </c>
      <c r="T514" s="13">
        <f t="shared" ref="T514" si="611">SUM(T490:T513)</f>
        <v>419</v>
      </c>
      <c r="U514" s="12">
        <f t="shared" ref="U514" si="612">SUM(U490:U513)</f>
        <v>112</v>
      </c>
      <c r="V514" s="12">
        <f t="shared" ref="V514" si="613">SUM(V490:V513)</f>
        <v>180</v>
      </c>
      <c r="W514" s="12">
        <f t="shared" ref="W514" si="614">SUM(W490:W513)</f>
        <v>122</v>
      </c>
      <c r="X514" s="13">
        <f t="shared" ref="X514" si="615">SUM(X490:X513)</f>
        <v>414</v>
      </c>
      <c r="Y514" s="12">
        <f t="shared" ref="Y514" si="616">SUM(Y490:Y513)</f>
        <v>112</v>
      </c>
      <c r="Z514" s="12">
        <f t="shared" ref="Z514" si="617">SUM(Z490:Z513)</f>
        <v>180</v>
      </c>
      <c r="AA514" s="12">
        <f t="shared" ref="AA514" si="618">SUM(AA490:AA513)</f>
        <v>122</v>
      </c>
      <c r="AB514" s="13">
        <f t="shared" ref="AB514" si="619">SUM(AB490:AB513)</f>
        <v>414</v>
      </c>
      <c r="AC514" s="155">
        <f t="shared" ref="AC514" si="620">SUM(AC490:AC513)</f>
        <v>1247</v>
      </c>
    </row>
    <row r="515" spans="1:30" ht="14.25" thickBot="1" x14ac:dyDescent="0.2">
      <c r="A515" s="105" t="s">
        <v>6</v>
      </c>
      <c r="B515" s="20">
        <f>B489-B514</f>
        <v>19</v>
      </c>
      <c r="C515" s="20">
        <f t="shared" ref="C515:E515" si="621">C489-C514</f>
        <v>22</v>
      </c>
      <c r="D515" s="20">
        <f t="shared" si="621"/>
        <v>19</v>
      </c>
      <c r="E515" s="18">
        <f t="shared" si="621"/>
        <v>60</v>
      </c>
      <c r="F515" s="20">
        <f>F489-F514</f>
        <v>18</v>
      </c>
      <c r="G515" s="20">
        <f t="shared" ref="G515:I515" si="622">G489-G514</f>
        <v>22</v>
      </c>
      <c r="H515" s="20">
        <f t="shared" si="622"/>
        <v>17</v>
      </c>
      <c r="I515" s="18">
        <f t="shared" si="622"/>
        <v>57</v>
      </c>
      <c r="J515" s="20">
        <f>J489-J514</f>
        <v>22</v>
      </c>
      <c r="K515" s="20">
        <f t="shared" ref="K515:M515" si="623">K489-K514</f>
        <v>19</v>
      </c>
      <c r="L515" s="20">
        <f t="shared" si="623"/>
        <v>15</v>
      </c>
      <c r="M515" s="20">
        <f t="shared" si="623"/>
        <v>56</v>
      </c>
      <c r="N515" s="140">
        <f t="shared" si="577"/>
        <v>173</v>
      </c>
      <c r="P515" s="19" t="s">
        <v>6</v>
      </c>
      <c r="Q515" s="20">
        <f>Q489-Q514</f>
        <v>369</v>
      </c>
      <c r="R515" s="20">
        <f t="shared" ref="R515" si="624">R489-R514</f>
        <v>485</v>
      </c>
      <c r="S515" s="20">
        <f t="shared" ref="S515" si="625">S489-S514</f>
        <v>462</v>
      </c>
      <c r="T515" s="18">
        <f t="shared" ref="T515" si="626">T489-T514</f>
        <v>1316</v>
      </c>
      <c r="U515" s="20">
        <f t="shared" ref="U515" si="627">U489-U514</f>
        <v>377</v>
      </c>
      <c r="V515" s="20">
        <f t="shared" ref="V515" si="628">V489-V514</f>
        <v>523</v>
      </c>
      <c r="W515" s="20">
        <f t="shared" ref="W515" si="629">W489-W514</f>
        <v>513</v>
      </c>
      <c r="X515" s="18">
        <f t="shared" ref="X515" si="630">X489-X514</f>
        <v>1413</v>
      </c>
      <c r="Y515" s="20">
        <f t="shared" ref="Y515" si="631">Y489-Y514</f>
        <v>361</v>
      </c>
      <c r="Z515" s="20">
        <f t="shared" ref="Z515" si="632">Z489-Z514</f>
        <v>500</v>
      </c>
      <c r="AA515" s="20">
        <f t="shared" ref="AA515" si="633">AA489-AA514</f>
        <v>482</v>
      </c>
      <c r="AB515" s="18">
        <f t="shared" ref="AB515" si="634">AB489-AB514</f>
        <v>1343</v>
      </c>
      <c r="AC515" s="88">
        <f t="shared" ref="AC515" si="635">AC489-AC514</f>
        <v>4072</v>
      </c>
    </row>
    <row r="516" spans="1:30" x14ac:dyDescent="0.15">
      <c r="A516" s="125" t="s">
        <v>524</v>
      </c>
      <c r="B516" s="115">
        <v>6</v>
      </c>
      <c r="C516" s="115">
        <v>5</v>
      </c>
      <c r="D516" s="115">
        <v>5</v>
      </c>
      <c r="E516" s="115"/>
      <c r="F516" s="115">
        <v>6</v>
      </c>
      <c r="G516" s="115">
        <v>5</v>
      </c>
      <c r="H516" s="115">
        <v>5</v>
      </c>
      <c r="I516" s="115"/>
      <c r="J516" s="115">
        <v>6</v>
      </c>
      <c r="K516" s="115">
        <v>5</v>
      </c>
      <c r="L516" s="115">
        <v>5</v>
      </c>
      <c r="M516" s="115"/>
      <c r="N516" s="144"/>
      <c r="P516" s="114" t="s">
        <v>468</v>
      </c>
      <c r="Q516" s="115">
        <v>10</v>
      </c>
      <c r="R516" s="115">
        <v>26</v>
      </c>
      <c r="S516" s="115">
        <v>0</v>
      </c>
      <c r="T516" s="115"/>
      <c r="U516" s="115">
        <v>10</v>
      </c>
      <c r="V516" s="115">
        <v>22</v>
      </c>
      <c r="W516" s="115">
        <v>64</v>
      </c>
      <c r="X516" s="115"/>
      <c r="Y516" s="115">
        <v>5</v>
      </c>
      <c r="Z516" s="115">
        <v>4</v>
      </c>
      <c r="AA516" s="115">
        <v>13</v>
      </c>
      <c r="AB516" s="115"/>
      <c r="AC516" s="114"/>
    </row>
    <row r="518" spans="1:30" ht="19.5" thickBot="1" x14ac:dyDescent="0.25">
      <c r="A518" s="108" t="s">
        <v>264</v>
      </c>
      <c r="B518" s="47"/>
      <c r="C518" s="47"/>
      <c r="D518" s="47"/>
      <c r="E518" s="47"/>
      <c r="F518" s="48"/>
      <c r="G518" s="48"/>
      <c r="H518" s="48"/>
      <c r="I518" s="48"/>
      <c r="J518" s="48"/>
      <c r="K518" s="48"/>
      <c r="L518" s="1"/>
      <c r="M518" s="1"/>
      <c r="N518" s="137"/>
      <c r="P518" s="43" t="s">
        <v>263</v>
      </c>
      <c r="Q518" s="44"/>
      <c r="R518" s="44"/>
      <c r="S518" s="44"/>
      <c r="T518" s="44"/>
      <c r="U518" s="45"/>
      <c r="V518" s="45"/>
      <c r="W518" s="45"/>
      <c r="X518" s="45"/>
      <c r="Y518" s="46"/>
      <c r="Z518" s="53"/>
      <c r="AA518" s="1"/>
      <c r="AB518" s="1"/>
    </row>
    <row r="519" spans="1:30" ht="14.25" thickBot="1" x14ac:dyDescent="0.2">
      <c r="A519" s="100" t="s">
        <v>0</v>
      </c>
      <c r="B519" s="337" t="s">
        <v>11</v>
      </c>
      <c r="C519" s="337"/>
      <c r="D519" s="337"/>
      <c r="E519" s="338"/>
      <c r="F519" s="339" t="s">
        <v>9</v>
      </c>
      <c r="G519" s="340"/>
      <c r="H519" s="340"/>
      <c r="I519" s="341"/>
      <c r="J519" s="342" t="s">
        <v>12</v>
      </c>
      <c r="K519" s="343"/>
      <c r="L519" s="343"/>
      <c r="M519" s="343"/>
      <c r="N519" s="347" t="s">
        <v>13</v>
      </c>
      <c r="P519" s="2" t="s">
        <v>0</v>
      </c>
      <c r="Q519" s="337" t="s">
        <v>11</v>
      </c>
      <c r="R519" s="337"/>
      <c r="S519" s="337"/>
      <c r="T519" s="338"/>
      <c r="U519" s="339" t="s">
        <v>9</v>
      </c>
      <c r="V519" s="340"/>
      <c r="W519" s="340"/>
      <c r="X519" s="341"/>
      <c r="Y519" s="342" t="s">
        <v>12</v>
      </c>
      <c r="Z519" s="343"/>
      <c r="AA519" s="343"/>
      <c r="AB519" s="343"/>
      <c r="AC519" s="345" t="s">
        <v>13</v>
      </c>
    </row>
    <row r="520" spans="1:30" ht="14.25" thickBot="1" x14ac:dyDescent="0.2">
      <c r="A520" s="100" t="s">
        <v>1</v>
      </c>
      <c r="B520" s="3" t="s">
        <v>7</v>
      </c>
      <c r="C520" s="2" t="s">
        <v>10</v>
      </c>
      <c r="D520" s="2" t="s">
        <v>8</v>
      </c>
      <c r="E520" s="2" t="s">
        <v>2</v>
      </c>
      <c r="F520" s="3" t="s">
        <v>7</v>
      </c>
      <c r="G520" s="2" t="s">
        <v>10</v>
      </c>
      <c r="H520" s="2" t="s">
        <v>8</v>
      </c>
      <c r="I520" s="2" t="s">
        <v>2</v>
      </c>
      <c r="J520" s="3" t="s">
        <v>7</v>
      </c>
      <c r="K520" s="2" t="s">
        <v>10</v>
      </c>
      <c r="L520" s="2" t="s">
        <v>8</v>
      </c>
      <c r="M520" s="3" t="s">
        <v>2</v>
      </c>
      <c r="N520" s="348"/>
      <c r="P520" s="2" t="s">
        <v>1</v>
      </c>
      <c r="Q520" s="3" t="s">
        <v>7</v>
      </c>
      <c r="R520" s="2" t="s">
        <v>10</v>
      </c>
      <c r="S520" s="2" t="s">
        <v>8</v>
      </c>
      <c r="T520" s="2" t="s">
        <v>2</v>
      </c>
      <c r="U520" s="3" t="s">
        <v>7</v>
      </c>
      <c r="V520" s="2" t="s">
        <v>10</v>
      </c>
      <c r="W520" s="2" t="s">
        <v>8</v>
      </c>
      <c r="X520" s="2" t="s">
        <v>2</v>
      </c>
      <c r="Y520" s="3" t="s">
        <v>7</v>
      </c>
      <c r="Z520" s="2" t="s">
        <v>10</v>
      </c>
      <c r="AA520" s="2" t="s">
        <v>8</v>
      </c>
      <c r="AB520" s="2" t="s">
        <v>2</v>
      </c>
      <c r="AC520" s="346"/>
    </row>
    <row r="521" spans="1:30" x14ac:dyDescent="0.15">
      <c r="A521" s="106" t="s">
        <v>6</v>
      </c>
      <c r="B521" s="41">
        <f>B515</f>
        <v>19</v>
      </c>
      <c r="C521" s="41">
        <f t="shared" ref="C521:E521" si="636">C515</f>
        <v>22</v>
      </c>
      <c r="D521" s="41">
        <f t="shared" si="636"/>
        <v>19</v>
      </c>
      <c r="E521" s="42">
        <f t="shared" si="636"/>
        <v>60</v>
      </c>
      <c r="F521" s="41">
        <f>F515</f>
        <v>18</v>
      </c>
      <c r="G521" s="41">
        <f t="shared" ref="G521:I521" si="637">G515</f>
        <v>22</v>
      </c>
      <c r="H521" s="41">
        <f t="shared" si="637"/>
        <v>17</v>
      </c>
      <c r="I521" s="42">
        <f t="shared" si="637"/>
        <v>57</v>
      </c>
      <c r="J521" s="41">
        <f>J515</f>
        <v>22</v>
      </c>
      <c r="K521" s="41">
        <f t="shared" ref="K521:M521" si="638">K515</f>
        <v>19</v>
      </c>
      <c r="L521" s="41">
        <f t="shared" si="638"/>
        <v>15</v>
      </c>
      <c r="M521" s="42">
        <f t="shared" si="638"/>
        <v>56</v>
      </c>
      <c r="N521" s="143">
        <f>E521+I521+M521</f>
        <v>173</v>
      </c>
      <c r="P521" s="36" t="s">
        <v>6</v>
      </c>
      <c r="Q521" s="41">
        <f>Q515</f>
        <v>369</v>
      </c>
      <c r="R521" s="41">
        <f t="shared" ref="R521:AC521" si="639">R515</f>
        <v>485</v>
      </c>
      <c r="S521" s="41">
        <f t="shared" si="639"/>
        <v>462</v>
      </c>
      <c r="T521" s="42">
        <f t="shared" si="639"/>
        <v>1316</v>
      </c>
      <c r="U521" s="41">
        <f t="shared" si="639"/>
        <v>377</v>
      </c>
      <c r="V521" s="41">
        <f t="shared" si="639"/>
        <v>523</v>
      </c>
      <c r="W521" s="41">
        <f t="shared" si="639"/>
        <v>513</v>
      </c>
      <c r="X521" s="42">
        <f t="shared" si="639"/>
        <v>1413</v>
      </c>
      <c r="Y521" s="41">
        <f t="shared" si="639"/>
        <v>361</v>
      </c>
      <c r="Z521" s="41">
        <f t="shared" si="639"/>
        <v>500</v>
      </c>
      <c r="AA521" s="41">
        <f t="shared" si="639"/>
        <v>482</v>
      </c>
      <c r="AB521" s="42">
        <f t="shared" si="639"/>
        <v>1343</v>
      </c>
      <c r="AC521" s="90">
        <f t="shared" si="639"/>
        <v>4072</v>
      </c>
    </row>
    <row r="522" spans="1:30" x14ac:dyDescent="0.15">
      <c r="A522" s="102" t="s">
        <v>3</v>
      </c>
      <c r="B522" s="25">
        <v>10</v>
      </c>
      <c r="C522" s="26">
        <v>5</v>
      </c>
      <c r="D522" s="26"/>
      <c r="E522" s="5">
        <f t="shared" ref="E522:E557" si="640">SUM(B522:D522)</f>
        <v>15</v>
      </c>
      <c r="F522" s="25">
        <v>10</v>
      </c>
      <c r="G522" s="26">
        <v>5</v>
      </c>
      <c r="H522" s="26"/>
      <c r="I522" s="5">
        <f t="shared" ref="I522:I557" si="641">SUM(F522:H522)</f>
        <v>15</v>
      </c>
      <c r="J522" s="25">
        <v>5</v>
      </c>
      <c r="K522" s="26">
        <v>5</v>
      </c>
      <c r="L522" s="26">
        <v>5</v>
      </c>
      <c r="M522" s="38">
        <f t="shared" ref="M522:M557" si="642">SUM(J522:L522)</f>
        <v>15</v>
      </c>
      <c r="N522" s="138">
        <f t="shared" ref="N522:N558" si="643">E522+I522+M522</f>
        <v>45</v>
      </c>
      <c r="O522" s="24">
        <v>45624</v>
      </c>
      <c r="P522" s="6" t="s">
        <v>3</v>
      </c>
      <c r="Q522" s="14"/>
      <c r="R522" s="11"/>
      <c r="S522" s="11"/>
      <c r="T522" s="5">
        <f t="shared" ref="T522:T556" si="644">SUM(Q522:S522)</f>
        <v>0</v>
      </c>
      <c r="U522" s="14"/>
      <c r="V522" s="11"/>
      <c r="W522" s="11"/>
      <c r="X522" s="5">
        <f t="shared" ref="X522:X556" si="645">SUM(U522:W522)</f>
        <v>0</v>
      </c>
      <c r="Y522" s="25"/>
      <c r="Z522" s="26"/>
      <c r="AA522" s="26"/>
      <c r="AB522" s="5">
        <f t="shared" ref="AB522:AB556" si="646">SUM(Y522:AA522)</f>
        <v>0</v>
      </c>
      <c r="AC522" s="86">
        <f t="shared" ref="AC522:AC556" si="647">T522+X522+AB522</f>
        <v>0</v>
      </c>
    </row>
    <row r="523" spans="1:30" x14ac:dyDescent="0.15">
      <c r="A523" s="102" t="s">
        <v>3</v>
      </c>
      <c r="B523" s="14"/>
      <c r="C523" s="11"/>
      <c r="D523" s="11"/>
      <c r="E523" s="5">
        <f t="shared" si="640"/>
        <v>0</v>
      </c>
      <c r="F523" s="34"/>
      <c r="G523" s="11"/>
      <c r="H523" s="11"/>
      <c r="I523" s="5">
        <f t="shared" si="641"/>
        <v>0</v>
      </c>
      <c r="J523" s="34"/>
      <c r="K523" s="11"/>
      <c r="L523" s="11"/>
      <c r="M523" s="38">
        <f t="shared" si="642"/>
        <v>0</v>
      </c>
      <c r="N523" s="138">
        <f t="shared" si="643"/>
        <v>0</v>
      </c>
      <c r="O523" s="58"/>
      <c r="P523" s="6" t="s">
        <v>3</v>
      </c>
      <c r="Q523" s="14"/>
      <c r="R523" s="11"/>
      <c r="S523" s="11"/>
      <c r="T523" s="5">
        <f t="shared" ref="T523" si="648">SUM(Q523:S523)</f>
        <v>0</v>
      </c>
      <c r="U523" s="14"/>
      <c r="V523" s="11"/>
      <c r="W523" s="11"/>
      <c r="X523" s="5">
        <f t="shared" ref="X523" si="649">SUM(U523:W523)</f>
        <v>0</v>
      </c>
      <c r="Y523" s="25"/>
      <c r="Z523" s="26"/>
      <c r="AA523" s="26"/>
      <c r="AB523" s="5">
        <f t="shared" ref="AB523" si="650">SUM(Y523:AA523)</f>
        <v>0</v>
      </c>
      <c r="AC523" s="86">
        <f t="shared" ref="AC523" si="651">T523+X523+AB523</f>
        <v>0</v>
      </c>
    </row>
    <row r="524" spans="1:30" x14ac:dyDescent="0.15">
      <c r="A524" s="102" t="s">
        <v>3</v>
      </c>
      <c r="B524" s="14"/>
      <c r="C524" s="11"/>
      <c r="D524" s="11"/>
      <c r="E524" s="5">
        <f t="shared" si="640"/>
        <v>0</v>
      </c>
      <c r="F524" s="34"/>
      <c r="G524" s="11"/>
      <c r="H524" s="11"/>
      <c r="I524" s="5">
        <f t="shared" si="641"/>
        <v>0</v>
      </c>
      <c r="J524" s="34"/>
      <c r="K524" s="11"/>
      <c r="L524" s="11"/>
      <c r="M524" s="38">
        <f t="shared" si="642"/>
        <v>0</v>
      </c>
      <c r="N524" s="138">
        <f t="shared" si="643"/>
        <v>0</v>
      </c>
      <c r="O524" s="58"/>
      <c r="P524" s="6" t="s">
        <v>3</v>
      </c>
      <c r="Q524" s="14"/>
      <c r="R524" s="11"/>
      <c r="S524" s="11"/>
      <c r="T524" s="5">
        <f t="shared" si="644"/>
        <v>0</v>
      </c>
      <c r="U524" s="14"/>
      <c r="V524" s="11"/>
      <c r="W524" s="11"/>
      <c r="X524" s="5">
        <f t="shared" si="645"/>
        <v>0</v>
      </c>
      <c r="Y524" s="25"/>
      <c r="Z524" s="26"/>
      <c r="AA524" s="26"/>
      <c r="AB524" s="5">
        <f t="shared" si="646"/>
        <v>0</v>
      </c>
      <c r="AC524" s="86">
        <f t="shared" si="647"/>
        <v>0</v>
      </c>
    </row>
    <row r="525" spans="1:30" x14ac:dyDescent="0.15">
      <c r="A525" s="102" t="s">
        <v>3</v>
      </c>
      <c r="B525" s="14"/>
      <c r="C525" s="11"/>
      <c r="D525" s="11"/>
      <c r="E525" s="5">
        <f t="shared" si="640"/>
        <v>0</v>
      </c>
      <c r="F525" s="34"/>
      <c r="G525" s="11"/>
      <c r="H525" s="11"/>
      <c r="I525" s="5">
        <f t="shared" si="641"/>
        <v>0</v>
      </c>
      <c r="J525" s="34"/>
      <c r="K525" s="11"/>
      <c r="L525" s="11"/>
      <c r="M525" s="38">
        <f t="shared" si="642"/>
        <v>0</v>
      </c>
      <c r="N525" s="138">
        <f t="shared" si="643"/>
        <v>0</v>
      </c>
      <c r="O525" s="58"/>
      <c r="P525" s="6" t="s">
        <v>3</v>
      </c>
      <c r="Q525" s="14"/>
      <c r="R525" s="11"/>
      <c r="S525" s="11"/>
      <c r="T525" s="5">
        <f t="shared" si="644"/>
        <v>0</v>
      </c>
      <c r="U525" s="14"/>
      <c r="V525" s="11"/>
      <c r="W525" s="11"/>
      <c r="X525" s="5">
        <f t="shared" si="645"/>
        <v>0</v>
      </c>
      <c r="Y525" s="25"/>
      <c r="Z525" s="26"/>
      <c r="AA525" s="26"/>
      <c r="AB525" s="5">
        <f t="shared" si="646"/>
        <v>0</v>
      </c>
      <c r="AC525" s="86">
        <f t="shared" si="647"/>
        <v>0</v>
      </c>
    </row>
    <row r="526" spans="1:30" x14ac:dyDescent="0.15">
      <c r="A526" s="102" t="s">
        <v>3</v>
      </c>
      <c r="B526" s="14"/>
      <c r="C526" s="11"/>
      <c r="D526" s="11"/>
      <c r="E526" s="5">
        <f t="shared" si="640"/>
        <v>0</v>
      </c>
      <c r="F526" s="34"/>
      <c r="G526" s="11"/>
      <c r="H526" s="11"/>
      <c r="I526" s="5">
        <f t="shared" si="641"/>
        <v>0</v>
      </c>
      <c r="J526" s="34"/>
      <c r="K526" s="11"/>
      <c r="L526" s="11"/>
      <c r="M526" s="38">
        <f t="shared" si="642"/>
        <v>0</v>
      </c>
      <c r="N526" s="138">
        <f t="shared" si="643"/>
        <v>0</v>
      </c>
      <c r="P526" s="6" t="s">
        <v>3</v>
      </c>
      <c r="Q526" s="14"/>
      <c r="R526" s="11"/>
      <c r="S526" s="11"/>
      <c r="T526" s="5">
        <f t="shared" si="644"/>
        <v>0</v>
      </c>
      <c r="U526" s="14"/>
      <c r="V526" s="11"/>
      <c r="W526" s="11"/>
      <c r="X526" s="5">
        <f t="shared" si="645"/>
        <v>0</v>
      </c>
      <c r="Y526" s="25"/>
      <c r="Z526" s="26"/>
      <c r="AA526" s="26"/>
      <c r="AB526" s="5">
        <f t="shared" si="646"/>
        <v>0</v>
      </c>
      <c r="AC526" s="86">
        <f t="shared" si="647"/>
        <v>0</v>
      </c>
    </row>
    <row r="527" spans="1:30" x14ac:dyDescent="0.15">
      <c r="A527" s="102" t="s">
        <v>3</v>
      </c>
      <c r="B527" s="25"/>
      <c r="C527" s="26"/>
      <c r="D527" s="26"/>
      <c r="E527" s="8">
        <f t="shared" si="640"/>
        <v>0</v>
      </c>
      <c r="F527" s="25"/>
      <c r="G527" s="26"/>
      <c r="H527" s="26"/>
      <c r="I527" s="8">
        <f t="shared" si="641"/>
        <v>0</v>
      </c>
      <c r="J527" s="25"/>
      <c r="K527" s="26"/>
      <c r="L527" s="26"/>
      <c r="M527" s="39">
        <f t="shared" si="642"/>
        <v>0</v>
      </c>
      <c r="N527" s="138">
        <f t="shared" si="643"/>
        <v>0</v>
      </c>
      <c r="P527" s="6" t="s">
        <v>3</v>
      </c>
      <c r="Q527" s="14"/>
      <c r="R527" s="11"/>
      <c r="S527" s="11"/>
      <c r="T527" s="5">
        <f t="shared" si="644"/>
        <v>0</v>
      </c>
      <c r="U527" s="14"/>
      <c r="V527" s="11"/>
      <c r="W527" s="11"/>
      <c r="X527" s="5">
        <f t="shared" si="645"/>
        <v>0</v>
      </c>
      <c r="Y527" s="25"/>
      <c r="Z527" s="26"/>
      <c r="AA527" s="26"/>
      <c r="AB527" s="8">
        <f t="shared" si="646"/>
        <v>0</v>
      </c>
      <c r="AC527" s="86">
        <f t="shared" si="647"/>
        <v>0</v>
      </c>
    </row>
    <row r="528" spans="1:30" x14ac:dyDescent="0.15">
      <c r="A528" s="102" t="s">
        <v>3</v>
      </c>
      <c r="B528" s="27"/>
      <c r="C528" s="26"/>
      <c r="D528" s="26"/>
      <c r="E528" s="5">
        <f t="shared" si="640"/>
        <v>0</v>
      </c>
      <c r="F528" s="25"/>
      <c r="G528" s="26"/>
      <c r="H528" s="26"/>
      <c r="I528" s="5">
        <f t="shared" si="641"/>
        <v>0</v>
      </c>
      <c r="J528" s="25"/>
      <c r="K528" s="26"/>
      <c r="L528" s="26"/>
      <c r="M528" s="38">
        <f t="shared" si="642"/>
        <v>0</v>
      </c>
      <c r="N528" s="138">
        <f t="shared" si="643"/>
        <v>0</v>
      </c>
      <c r="P528" s="6" t="s">
        <v>3</v>
      </c>
      <c r="Q528" s="27"/>
      <c r="R528" s="26"/>
      <c r="S528" s="26"/>
      <c r="T528" s="5">
        <f t="shared" si="644"/>
        <v>0</v>
      </c>
      <c r="U528" s="27"/>
      <c r="V528" s="26"/>
      <c r="W528" s="26"/>
      <c r="X528" s="5">
        <f t="shared" si="645"/>
        <v>0</v>
      </c>
      <c r="Y528" s="25"/>
      <c r="Z528" s="26"/>
      <c r="AA528" s="26"/>
      <c r="AB528" s="5">
        <f t="shared" si="646"/>
        <v>0</v>
      </c>
      <c r="AC528" s="86">
        <f t="shared" si="647"/>
        <v>0</v>
      </c>
    </row>
    <row r="529" spans="1:31" x14ac:dyDescent="0.15">
      <c r="A529" s="102" t="s">
        <v>3</v>
      </c>
      <c r="B529" s="27"/>
      <c r="C529" s="26"/>
      <c r="D529" s="26"/>
      <c r="E529" s="5">
        <f t="shared" si="640"/>
        <v>0</v>
      </c>
      <c r="F529" s="25"/>
      <c r="G529" s="26"/>
      <c r="H529" s="26"/>
      <c r="I529" s="5">
        <f t="shared" si="641"/>
        <v>0</v>
      </c>
      <c r="J529" s="25"/>
      <c r="K529" s="26"/>
      <c r="L529" s="26"/>
      <c r="M529" s="38">
        <f t="shared" si="642"/>
        <v>0</v>
      </c>
      <c r="N529" s="138">
        <f t="shared" si="643"/>
        <v>0</v>
      </c>
      <c r="P529" s="6" t="s">
        <v>3</v>
      </c>
      <c r="Q529" s="14"/>
      <c r="R529" s="11"/>
      <c r="S529" s="11"/>
      <c r="T529" s="5">
        <f t="shared" si="644"/>
        <v>0</v>
      </c>
      <c r="U529" s="14"/>
      <c r="V529" s="11"/>
      <c r="W529" s="11"/>
      <c r="X529" s="5">
        <f t="shared" si="645"/>
        <v>0</v>
      </c>
      <c r="Y529" s="25"/>
      <c r="Z529" s="26"/>
      <c r="AA529" s="26"/>
      <c r="AB529" s="5">
        <f t="shared" si="646"/>
        <v>0</v>
      </c>
      <c r="AC529" s="86">
        <f t="shared" si="647"/>
        <v>0</v>
      </c>
    </row>
    <row r="530" spans="1:31" x14ac:dyDescent="0.15">
      <c r="A530" s="102" t="s">
        <v>3</v>
      </c>
      <c r="B530" s="27"/>
      <c r="C530" s="26"/>
      <c r="D530" s="26"/>
      <c r="E530" s="5">
        <f t="shared" si="640"/>
        <v>0</v>
      </c>
      <c r="F530" s="25"/>
      <c r="G530" s="26"/>
      <c r="H530" s="26"/>
      <c r="I530" s="5">
        <f t="shared" si="641"/>
        <v>0</v>
      </c>
      <c r="J530" s="25"/>
      <c r="K530" s="26"/>
      <c r="L530" s="26"/>
      <c r="M530" s="38">
        <f t="shared" si="642"/>
        <v>0</v>
      </c>
      <c r="N530" s="138">
        <f t="shared" si="643"/>
        <v>0</v>
      </c>
      <c r="P530" s="6" t="s">
        <v>3</v>
      </c>
      <c r="Q530" s="27"/>
      <c r="R530" s="26"/>
      <c r="S530" s="26"/>
      <c r="T530" s="5">
        <f t="shared" si="644"/>
        <v>0</v>
      </c>
      <c r="U530" s="27"/>
      <c r="V530" s="26"/>
      <c r="W530" s="26"/>
      <c r="X530" s="5">
        <f t="shared" si="645"/>
        <v>0</v>
      </c>
      <c r="Y530" s="25"/>
      <c r="Z530" s="26"/>
      <c r="AA530" s="26"/>
      <c r="AB530" s="5">
        <f t="shared" si="646"/>
        <v>0</v>
      </c>
      <c r="AC530" s="86">
        <f t="shared" si="647"/>
        <v>0</v>
      </c>
    </row>
    <row r="531" spans="1:31" ht="14.25" thickBot="1" x14ac:dyDescent="0.2">
      <c r="A531" s="102" t="s">
        <v>3</v>
      </c>
      <c r="B531" s="28"/>
      <c r="C531" s="29"/>
      <c r="D531" s="32"/>
      <c r="E531" s="15">
        <f t="shared" si="640"/>
        <v>0</v>
      </c>
      <c r="F531" s="35"/>
      <c r="G531" s="29"/>
      <c r="H531" s="32"/>
      <c r="I531" s="15">
        <f t="shared" si="641"/>
        <v>0</v>
      </c>
      <c r="J531" s="35"/>
      <c r="K531" s="29"/>
      <c r="L531" s="32"/>
      <c r="M531" s="40">
        <f t="shared" si="642"/>
        <v>0</v>
      </c>
      <c r="N531" s="139">
        <f t="shared" si="643"/>
        <v>0</v>
      </c>
      <c r="P531" s="7" t="s">
        <v>3</v>
      </c>
      <c r="Q531" s="28"/>
      <c r="R531" s="29"/>
      <c r="S531" s="29"/>
      <c r="T531" s="15">
        <f t="shared" si="644"/>
        <v>0</v>
      </c>
      <c r="U531" s="28"/>
      <c r="V531" s="29"/>
      <c r="W531" s="29"/>
      <c r="X531" s="15">
        <f t="shared" si="645"/>
        <v>0</v>
      </c>
      <c r="Y531" s="35"/>
      <c r="Z531" s="29"/>
      <c r="AA531" s="32"/>
      <c r="AB531" s="15">
        <f t="shared" si="646"/>
        <v>0</v>
      </c>
      <c r="AC531" s="87">
        <f t="shared" si="647"/>
        <v>0</v>
      </c>
    </row>
    <row r="532" spans="1:31" ht="14.25" thickBot="1" x14ac:dyDescent="0.2">
      <c r="A532" s="103" t="s">
        <v>4</v>
      </c>
      <c r="B532" s="17">
        <f>SUM(B521:B531)</f>
        <v>29</v>
      </c>
      <c r="C532" s="17">
        <f>SUM(C521:C531)</f>
        <v>27</v>
      </c>
      <c r="D532" s="17">
        <f>SUM(D521:D531)</f>
        <v>19</v>
      </c>
      <c r="E532" s="18">
        <f t="shared" si="640"/>
        <v>75</v>
      </c>
      <c r="F532" s="17">
        <f>SUM(F521:F531)</f>
        <v>28</v>
      </c>
      <c r="G532" s="17">
        <f>SUM(G521:G531)</f>
        <v>27</v>
      </c>
      <c r="H532" s="17">
        <f>SUM(H521:H531)</f>
        <v>17</v>
      </c>
      <c r="I532" s="18">
        <f t="shared" si="641"/>
        <v>72</v>
      </c>
      <c r="J532" s="17">
        <f>SUM(J521:J531)</f>
        <v>27</v>
      </c>
      <c r="K532" s="17">
        <f>SUM(K521:K531)</f>
        <v>24</v>
      </c>
      <c r="L532" s="17">
        <f>SUM(L521:L531)</f>
        <v>20</v>
      </c>
      <c r="M532" s="20">
        <f t="shared" si="642"/>
        <v>71</v>
      </c>
      <c r="N532" s="140">
        <f t="shared" si="643"/>
        <v>218</v>
      </c>
      <c r="P532" s="16" t="s">
        <v>4</v>
      </c>
      <c r="Q532" s="17">
        <f>SUM(Q521:Q531)</f>
        <v>369</v>
      </c>
      <c r="R532" s="17">
        <f t="shared" ref="R532" si="652">SUM(R521:R531)</f>
        <v>485</v>
      </c>
      <c r="S532" s="17">
        <f t="shared" ref="S532" si="653">SUM(S521:S531)</f>
        <v>462</v>
      </c>
      <c r="T532" s="18">
        <f t="shared" ref="T532" si="654">SUM(T521:T531)</f>
        <v>1316</v>
      </c>
      <c r="U532" s="17">
        <f t="shared" ref="U532" si="655">SUM(U521:U531)</f>
        <v>377</v>
      </c>
      <c r="V532" s="17">
        <f t="shared" ref="V532" si="656">SUM(V521:V531)</f>
        <v>523</v>
      </c>
      <c r="W532" s="17">
        <f t="shared" ref="W532" si="657">SUM(W521:W531)</f>
        <v>513</v>
      </c>
      <c r="X532" s="18">
        <f t="shared" ref="X532" si="658">SUM(X521:X531)</f>
        <v>1413</v>
      </c>
      <c r="Y532" s="17">
        <f t="shared" ref="Y532" si="659">SUM(Y521:Y531)</f>
        <v>361</v>
      </c>
      <c r="Z532" s="17">
        <f t="shared" ref="Z532" si="660">SUM(Z521:Z531)</f>
        <v>500</v>
      </c>
      <c r="AA532" s="17">
        <f t="shared" ref="AA532" si="661">SUM(AA521:AA531)</f>
        <v>482</v>
      </c>
      <c r="AB532" s="18">
        <f t="shared" ref="AB532" si="662">SUM(AB521:AB531)</f>
        <v>1343</v>
      </c>
      <c r="AC532" s="88">
        <f t="shared" ref="AC532" si="663">SUM(AC521:AC531)</f>
        <v>4072</v>
      </c>
    </row>
    <row r="533" spans="1:31" x14ac:dyDescent="0.15">
      <c r="A533" s="33" t="s">
        <v>528</v>
      </c>
      <c r="B533" s="9">
        <v>1</v>
      </c>
      <c r="C533" s="10">
        <v>1</v>
      </c>
      <c r="D533" s="31">
        <v>2</v>
      </c>
      <c r="E533" s="5">
        <f t="shared" si="640"/>
        <v>4</v>
      </c>
      <c r="F533" s="9">
        <v>1</v>
      </c>
      <c r="G533" s="10">
        <v>1</v>
      </c>
      <c r="H533" s="31">
        <v>2</v>
      </c>
      <c r="I533" s="5">
        <f t="shared" si="641"/>
        <v>4</v>
      </c>
      <c r="J533" s="9">
        <v>1</v>
      </c>
      <c r="K533" s="10">
        <v>1</v>
      </c>
      <c r="L533" s="31">
        <v>2</v>
      </c>
      <c r="M533" s="38">
        <f t="shared" si="642"/>
        <v>4</v>
      </c>
      <c r="N533" s="141">
        <f t="shared" si="643"/>
        <v>12</v>
      </c>
      <c r="O533" s="24">
        <v>45618</v>
      </c>
      <c r="P533" s="4" t="s">
        <v>578</v>
      </c>
      <c r="Q533" s="9">
        <v>20</v>
      </c>
      <c r="R533" s="10">
        <v>40</v>
      </c>
      <c r="S533" s="31">
        <v>20</v>
      </c>
      <c r="T533" s="5">
        <f t="shared" si="644"/>
        <v>80</v>
      </c>
      <c r="U533" s="9">
        <v>20</v>
      </c>
      <c r="V533" s="10">
        <v>40</v>
      </c>
      <c r="W533" s="31">
        <v>20</v>
      </c>
      <c r="X533" s="5">
        <f t="shared" si="645"/>
        <v>80</v>
      </c>
      <c r="Y533" s="9">
        <v>20</v>
      </c>
      <c r="Z533" s="10">
        <v>40</v>
      </c>
      <c r="AA533" s="31">
        <v>20</v>
      </c>
      <c r="AB533" s="5">
        <f t="shared" si="646"/>
        <v>80</v>
      </c>
      <c r="AC533" s="91">
        <f t="shared" si="647"/>
        <v>240</v>
      </c>
      <c r="AD533" s="109">
        <v>45616</v>
      </c>
    </row>
    <row r="534" spans="1:31" x14ac:dyDescent="0.15">
      <c r="A534" s="4" t="s">
        <v>529</v>
      </c>
      <c r="B534" s="9">
        <v>1</v>
      </c>
      <c r="C534" s="10">
        <v>4</v>
      </c>
      <c r="D534" s="10"/>
      <c r="E534" s="5">
        <f t="shared" si="640"/>
        <v>5</v>
      </c>
      <c r="F534" s="9">
        <v>1</v>
      </c>
      <c r="G534" s="10">
        <v>4</v>
      </c>
      <c r="H534" s="10"/>
      <c r="I534" s="5">
        <f t="shared" si="641"/>
        <v>5</v>
      </c>
      <c r="J534" s="9">
        <v>1</v>
      </c>
      <c r="K534" s="10">
        <v>4</v>
      </c>
      <c r="L534" s="10"/>
      <c r="M534" s="38">
        <f t="shared" si="642"/>
        <v>5</v>
      </c>
      <c r="N534" s="138">
        <f t="shared" si="643"/>
        <v>15</v>
      </c>
      <c r="O534" s="24">
        <v>45621</v>
      </c>
      <c r="P534" s="33" t="s">
        <v>525</v>
      </c>
      <c r="Q534" s="9">
        <v>6</v>
      </c>
      <c r="R534" s="10">
        <v>8</v>
      </c>
      <c r="S534" s="10">
        <v>1</v>
      </c>
      <c r="T534" s="5">
        <f t="shared" si="644"/>
        <v>15</v>
      </c>
      <c r="U534" s="9">
        <v>6</v>
      </c>
      <c r="V534" s="10">
        <v>8</v>
      </c>
      <c r="W534" s="10">
        <v>1</v>
      </c>
      <c r="X534" s="5">
        <f t="shared" si="645"/>
        <v>15</v>
      </c>
      <c r="Y534" s="9">
        <v>6</v>
      </c>
      <c r="Z534" s="10">
        <v>8</v>
      </c>
      <c r="AA534" s="10">
        <v>1</v>
      </c>
      <c r="AB534" s="5">
        <f t="shared" si="646"/>
        <v>15</v>
      </c>
      <c r="AC534" s="86">
        <f t="shared" si="647"/>
        <v>45</v>
      </c>
      <c r="AD534" s="109">
        <v>45617</v>
      </c>
    </row>
    <row r="535" spans="1:31" x14ac:dyDescent="0.15">
      <c r="A535" s="33" t="s">
        <v>531</v>
      </c>
      <c r="B535" s="9">
        <v>3</v>
      </c>
      <c r="C535" s="10"/>
      <c r="D535" s="10"/>
      <c r="E535" s="5">
        <f t="shared" si="640"/>
        <v>3</v>
      </c>
      <c r="F535" s="9">
        <v>3</v>
      </c>
      <c r="G535" s="10"/>
      <c r="H535" s="10"/>
      <c r="I535" s="5">
        <f t="shared" si="641"/>
        <v>3</v>
      </c>
      <c r="J535" s="9">
        <v>3</v>
      </c>
      <c r="K535" s="10"/>
      <c r="L535" s="10"/>
      <c r="M535" s="38">
        <f t="shared" si="642"/>
        <v>3</v>
      </c>
      <c r="N535" s="138">
        <f t="shared" si="643"/>
        <v>9</v>
      </c>
      <c r="O535" s="24">
        <v>45621</v>
      </c>
      <c r="P535" s="11" t="s">
        <v>526</v>
      </c>
      <c r="Q535" s="9">
        <v>15</v>
      </c>
      <c r="R535" s="10">
        <v>15</v>
      </c>
      <c r="S535" s="10">
        <v>20</v>
      </c>
      <c r="T535" s="5">
        <f t="shared" si="644"/>
        <v>50</v>
      </c>
      <c r="U535" s="9">
        <v>15</v>
      </c>
      <c r="V535" s="10">
        <v>15</v>
      </c>
      <c r="W535" s="10">
        <v>20</v>
      </c>
      <c r="X535" s="5">
        <f t="shared" si="645"/>
        <v>50</v>
      </c>
      <c r="Y535" s="9">
        <v>15</v>
      </c>
      <c r="Z535" s="10">
        <v>15</v>
      </c>
      <c r="AA535" s="10">
        <v>20</v>
      </c>
      <c r="AB535" s="5">
        <f t="shared" si="646"/>
        <v>50</v>
      </c>
      <c r="AC535" s="86">
        <f t="shared" si="647"/>
        <v>150</v>
      </c>
      <c r="AD535" s="109">
        <v>45621</v>
      </c>
    </row>
    <row r="536" spans="1:31" x14ac:dyDescent="0.15">
      <c r="A536" s="33" t="s">
        <v>533</v>
      </c>
      <c r="B536" s="9">
        <v>3</v>
      </c>
      <c r="C536" s="10">
        <v>4</v>
      </c>
      <c r="D536" s="10">
        <v>1</v>
      </c>
      <c r="E536" s="5">
        <f t="shared" si="640"/>
        <v>8</v>
      </c>
      <c r="F536" s="9">
        <v>3</v>
      </c>
      <c r="G536" s="10">
        <v>4</v>
      </c>
      <c r="H536" s="10">
        <v>1</v>
      </c>
      <c r="I536" s="5">
        <f t="shared" si="641"/>
        <v>8</v>
      </c>
      <c r="J536" s="9">
        <v>3</v>
      </c>
      <c r="K536" s="10">
        <v>4</v>
      </c>
      <c r="L536" s="10">
        <v>1</v>
      </c>
      <c r="M536" s="38">
        <f t="shared" si="642"/>
        <v>8</v>
      </c>
      <c r="N536" s="138">
        <f t="shared" si="643"/>
        <v>24</v>
      </c>
      <c r="O536" s="24">
        <v>45623</v>
      </c>
      <c r="P536" s="33" t="s">
        <v>527</v>
      </c>
      <c r="Q536" s="9">
        <v>5</v>
      </c>
      <c r="R536" s="10">
        <v>4</v>
      </c>
      <c r="S536" s="10">
        <v>1</v>
      </c>
      <c r="T536" s="5">
        <f t="shared" si="644"/>
        <v>10</v>
      </c>
      <c r="U536" s="9">
        <v>5</v>
      </c>
      <c r="V536" s="10">
        <v>4</v>
      </c>
      <c r="W536" s="10">
        <v>1</v>
      </c>
      <c r="X536" s="5">
        <f t="shared" si="645"/>
        <v>10</v>
      </c>
      <c r="Y536" s="9">
        <v>5</v>
      </c>
      <c r="Z536" s="10">
        <v>4</v>
      </c>
      <c r="AA536" s="10">
        <v>1</v>
      </c>
      <c r="AB536" s="5">
        <f t="shared" si="646"/>
        <v>10</v>
      </c>
      <c r="AC536" s="86">
        <f t="shared" si="647"/>
        <v>30</v>
      </c>
      <c r="AD536" s="109">
        <v>45618</v>
      </c>
    </row>
    <row r="537" spans="1:31" x14ac:dyDescent="0.15">
      <c r="A537" s="33" t="s">
        <v>536</v>
      </c>
      <c r="B537" s="9"/>
      <c r="C537" s="10"/>
      <c r="D537" s="10"/>
      <c r="E537" s="5">
        <f t="shared" si="640"/>
        <v>0</v>
      </c>
      <c r="F537" s="9"/>
      <c r="G537" s="10"/>
      <c r="H537" s="10">
        <v>1</v>
      </c>
      <c r="I537" s="5">
        <f t="shared" si="641"/>
        <v>1</v>
      </c>
      <c r="J537" s="9"/>
      <c r="K537" s="10"/>
      <c r="L537" s="10"/>
      <c r="M537" s="38">
        <f t="shared" si="642"/>
        <v>0</v>
      </c>
      <c r="N537" s="138">
        <f t="shared" si="643"/>
        <v>1</v>
      </c>
      <c r="O537" s="24">
        <v>45623</v>
      </c>
      <c r="P537" s="11" t="s">
        <v>516</v>
      </c>
      <c r="Q537" s="9">
        <v>3</v>
      </c>
      <c r="R537" s="10">
        <v>4</v>
      </c>
      <c r="S537" s="10">
        <v>5</v>
      </c>
      <c r="T537" s="5">
        <f t="shared" si="644"/>
        <v>12</v>
      </c>
      <c r="U537" s="9">
        <v>3</v>
      </c>
      <c r="V537" s="10">
        <v>4</v>
      </c>
      <c r="W537" s="10">
        <v>5</v>
      </c>
      <c r="X537" s="5">
        <f t="shared" si="645"/>
        <v>12</v>
      </c>
      <c r="Y537" s="9">
        <v>3</v>
      </c>
      <c r="Z537" s="10">
        <v>4</v>
      </c>
      <c r="AA537" s="10">
        <v>5</v>
      </c>
      <c r="AB537" s="5">
        <f t="shared" si="646"/>
        <v>12</v>
      </c>
      <c r="AC537" s="86">
        <f t="shared" si="647"/>
        <v>36</v>
      </c>
      <c r="AD537" s="109">
        <v>45618</v>
      </c>
    </row>
    <row r="538" spans="1:31" x14ac:dyDescent="0.15">
      <c r="A538" s="4" t="s">
        <v>580</v>
      </c>
      <c r="B538" s="9">
        <v>3</v>
      </c>
      <c r="C538" s="10"/>
      <c r="D538" s="10"/>
      <c r="E538" s="8">
        <f t="shared" si="640"/>
        <v>3</v>
      </c>
      <c r="F538" s="9">
        <v>3</v>
      </c>
      <c r="G538" s="10"/>
      <c r="H538" s="10"/>
      <c r="I538" s="8">
        <f t="shared" si="641"/>
        <v>3</v>
      </c>
      <c r="J538" s="9">
        <v>3</v>
      </c>
      <c r="K538" s="10"/>
      <c r="L538" s="10"/>
      <c r="M538" s="39">
        <f t="shared" si="642"/>
        <v>3</v>
      </c>
      <c r="N538" s="138">
        <f t="shared" si="643"/>
        <v>9</v>
      </c>
      <c r="O538" s="24">
        <v>45624</v>
      </c>
      <c r="P538" s="11" t="s">
        <v>530</v>
      </c>
      <c r="Q538" s="9"/>
      <c r="R538" s="10">
        <v>5</v>
      </c>
      <c r="S538" s="10"/>
      <c r="T538" s="8">
        <f t="shared" si="644"/>
        <v>5</v>
      </c>
      <c r="U538" s="9"/>
      <c r="V538" s="10">
        <v>5</v>
      </c>
      <c r="W538" s="10"/>
      <c r="X538" s="8">
        <f t="shared" si="645"/>
        <v>5</v>
      </c>
      <c r="Y538" s="9"/>
      <c r="Z538" s="10">
        <v>5</v>
      </c>
      <c r="AA538" s="10"/>
      <c r="AB538" s="8">
        <f t="shared" si="646"/>
        <v>5</v>
      </c>
      <c r="AC538" s="86">
        <f t="shared" si="647"/>
        <v>15</v>
      </c>
      <c r="AD538" s="109">
        <v>45629</v>
      </c>
    </row>
    <row r="539" spans="1:31" x14ac:dyDescent="0.15">
      <c r="A539" s="33" t="s">
        <v>547</v>
      </c>
      <c r="B539" s="9">
        <v>1</v>
      </c>
      <c r="C539" s="10"/>
      <c r="D539" s="10"/>
      <c r="E539" s="8">
        <f t="shared" si="640"/>
        <v>1</v>
      </c>
      <c r="F539" s="9">
        <v>1</v>
      </c>
      <c r="G539" s="10"/>
      <c r="H539" s="10"/>
      <c r="I539" s="8">
        <f t="shared" si="641"/>
        <v>1</v>
      </c>
      <c r="J539" s="9">
        <v>1</v>
      </c>
      <c r="K539" s="10"/>
      <c r="L539" s="10"/>
      <c r="M539" s="39">
        <f t="shared" si="642"/>
        <v>1</v>
      </c>
      <c r="N539" s="138">
        <f t="shared" si="643"/>
        <v>3</v>
      </c>
      <c r="O539" s="24">
        <v>45624</v>
      </c>
      <c r="P539" s="4" t="s">
        <v>579</v>
      </c>
      <c r="Q539" s="9">
        <v>20</v>
      </c>
      <c r="R539" s="10">
        <v>40</v>
      </c>
      <c r="S539" s="10">
        <v>20</v>
      </c>
      <c r="T539" s="8">
        <f t="shared" si="644"/>
        <v>80</v>
      </c>
      <c r="U539" s="9">
        <v>20</v>
      </c>
      <c r="V539" s="10">
        <v>40</v>
      </c>
      <c r="W539" s="10">
        <v>20</v>
      </c>
      <c r="X539" s="8">
        <f t="shared" si="645"/>
        <v>80</v>
      </c>
      <c r="Y539" s="9">
        <v>20</v>
      </c>
      <c r="Z539" s="10">
        <v>40</v>
      </c>
      <c r="AA539" s="10">
        <v>20</v>
      </c>
      <c r="AB539" s="8">
        <f t="shared" si="646"/>
        <v>80</v>
      </c>
      <c r="AC539" s="86">
        <f t="shared" si="647"/>
        <v>240</v>
      </c>
      <c r="AD539" s="109">
        <v>45622</v>
      </c>
      <c r="AE539" s="58"/>
    </row>
    <row r="540" spans="1:31" x14ac:dyDescent="0.15">
      <c r="A540" s="33"/>
      <c r="B540" s="9"/>
      <c r="C540" s="10"/>
      <c r="D540" s="10"/>
      <c r="E540" s="8">
        <f t="shared" si="640"/>
        <v>0</v>
      </c>
      <c r="F540" s="9"/>
      <c r="G540" s="10"/>
      <c r="H540" s="10"/>
      <c r="I540" s="8">
        <f t="shared" si="641"/>
        <v>0</v>
      </c>
      <c r="J540" s="9"/>
      <c r="K540" s="10"/>
      <c r="L540" s="10"/>
      <c r="M540" s="39">
        <f t="shared" si="642"/>
        <v>0</v>
      </c>
      <c r="N540" s="138">
        <f t="shared" si="643"/>
        <v>0</v>
      </c>
      <c r="O540" s="58"/>
      <c r="P540" s="33" t="s">
        <v>535</v>
      </c>
      <c r="Q540" s="9">
        <v>3</v>
      </c>
      <c r="R540" s="10">
        <v>8</v>
      </c>
      <c r="S540" s="10">
        <v>4</v>
      </c>
      <c r="T540" s="8">
        <f t="shared" si="644"/>
        <v>15</v>
      </c>
      <c r="U540" s="9">
        <v>3</v>
      </c>
      <c r="V540" s="10">
        <v>8</v>
      </c>
      <c r="W540" s="10">
        <v>4</v>
      </c>
      <c r="X540" s="8">
        <f t="shared" si="645"/>
        <v>15</v>
      </c>
      <c r="Y540" s="9">
        <v>3</v>
      </c>
      <c r="Z540" s="10">
        <v>8</v>
      </c>
      <c r="AA540" s="10">
        <v>4</v>
      </c>
      <c r="AB540" s="8">
        <f t="shared" si="646"/>
        <v>15</v>
      </c>
      <c r="AC540" s="86">
        <f t="shared" si="647"/>
        <v>45</v>
      </c>
      <c r="AD540" s="109">
        <v>45624</v>
      </c>
      <c r="AE540" s="58"/>
    </row>
    <row r="541" spans="1:31" x14ac:dyDescent="0.15">
      <c r="A541" s="33"/>
      <c r="B541" s="9"/>
      <c r="C541" s="10"/>
      <c r="D541" s="10"/>
      <c r="E541" s="8">
        <f t="shared" si="640"/>
        <v>0</v>
      </c>
      <c r="F541" s="9"/>
      <c r="G541" s="10"/>
      <c r="H541" s="10"/>
      <c r="I541" s="8">
        <f t="shared" si="641"/>
        <v>0</v>
      </c>
      <c r="J541" s="9"/>
      <c r="K541" s="10"/>
      <c r="L541" s="10"/>
      <c r="M541" s="39">
        <f t="shared" si="642"/>
        <v>0</v>
      </c>
      <c r="N541" s="138">
        <f t="shared" si="643"/>
        <v>0</v>
      </c>
      <c r="P541" s="33" t="s">
        <v>543</v>
      </c>
      <c r="Q541" s="9">
        <v>7</v>
      </c>
      <c r="R541" s="10">
        <v>5</v>
      </c>
      <c r="S541" s="10"/>
      <c r="T541" s="8">
        <f t="shared" si="644"/>
        <v>12</v>
      </c>
      <c r="U541" s="9">
        <v>7</v>
      </c>
      <c r="V541" s="10">
        <v>5</v>
      </c>
      <c r="W541" s="10"/>
      <c r="X541" s="8">
        <f t="shared" si="645"/>
        <v>12</v>
      </c>
      <c r="Y541" s="9">
        <v>7</v>
      </c>
      <c r="Z541" s="10">
        <v>5</v>
      </c>
      <c r="AA541" s="10"/>
      <c r="AB541" s="8">
        <f t="shared" si="646"/>
        <v>12</v>
      </c>
      <c r="AC541" s="86">
        <f t="shared" si="647"/>
        <v>36</v>
      </c>
      <c r="AD541" s="109">
        <v>45625</v>
      </c>
      <c r="AE541" s="58"/>
    </row>
    <row r="542" spans="1:31" x14ac:dyDescent="0.15">
      <c r="A542" s="33"/>
      <c r="B542" s="9"/>
      <c r="C542" s="10"/>
      <c r="D542" s="10"/>
      <c r="E542" s="8">
        <f t="shared" si="640"/>
        <v>0</v>
      </c>
      <c r="F542" s="9"/>
      <c r="G542" s="10"/>
      <c r="H542" s="10"/>
      <c r="I542" s="8">
        <f t="shared" si="641"/>
        <v>0</v>
      </c>
      <c r="J542" s="9"/>
      <c r="K542" s="10"/>
      <c r="L542" s="10"/>
      <c r="M542" s="39">
        <f t="shared" si="642"/>
        <v>0</v>
      </c>
      <c r="N542" s="138">
        <f t="shared" si="643"/>
        <v>0</v>
      </c>
      <c r="P542" s="4" t="s">
        <v>545</v>
      </c>
      <c r="Q542" s="9">
        <v>10</v>
      </c>
      <c r="R542" s="10">
        <v>5</v>
      </c>
      <c r="S542" s="10"/>
      <c r="T542" s="8">
        <f t="shared" si="644"/>
        <v>15</v>
      </c>
      <c r="U542" s="9">
        <v>10</v>
      </c>
      <c r="V542" s="10">
        <v>5</v>
      </c>
      <c r="W542" s="10"/>
      <c r="X542" s="8">
        <f t="shared" si="645"/>
        <v>15</v>
      </c>
      <c r="Y542" s="9">
        <v>5</v>
      </c>
      <c r="Z542" s="10">
        <v>5</v>
      </c>
      <c r="AA542" s="10">
        <v>5</v>
      </c>
      <c r="AB542" s="8">
        <f t="shared" si="646"/>
        <v>15</v>
      </c>
      <c r="AC542" s="86">
        <f t="shared" si="647"/>
        <v>45</v>
      </c>
      <c r="AD542" s="109">
        <v>45624</v>
      </c>
    </row>
    <row r="543" spans="1:31" x14ac:dyDescent="0.15">
      <c r="A543" s="33"/>
      <c r="B543" s="9"/>
      <c r="C543" s="10"/>
      <c r="D543" s="10"/>
      <c r="E543" s="8">
        <f t="shared" si="640"/>
        <v>0</v>
      </c>
      <c r="F543" s="9"/>
      <c r="G543" s="10"/>
      <c r="H543" s="10"/>
      <c r="I543" s="8">
        <f t="shared" si="641"/>
        <v>0</v>
      </c>
      <c r="J543" s="9"/>
      <c r="K543" s="10"/>
      <c r="L543" s="10"/>
      <c r="M543" s="39">
        <f t="shared" si="642"/>
        <v>0</v>
      </c>
      <c r="N543" s="138">
        <f t="shared" si="643"/>
        <v>0</v>
      </c>
      <c r="P543" s="33" t="s">
        <v>546</v>
      </c>
      <c r="Q543" s="9">
        <v>2</v>
      </c>
      <c r="R543" s="10">
        <v>3</v>
      </c>
      <c r="S543" s="10">
        <v>1</v>
      </c>
      <c r="T543" s="8">
        <f t="shared" ref="T543:T547" si="664">SUM(Q543:S543)</f>
        <v>6</v>
      </c>
      <c r="U543" s="9">
        <v>2</v>
      </c>
      <c r="V543" s="10">
        <v>3</v>
      </c>
      <c r="W543" s="10">
        <v>1</v>
      </c>
      <c r="X543" s="8">
        <f t="shared" ref="X543:X547" si="665">SUM(U543:W543)</f>
        <v>6</v>
      </c>
      <c r="Y543" s="9">
        <v>2</v>
      </c>
      <c r="Z543" s="10">
        <v>3</v>
      </c>
      <c r="AA543" s="10">
        <v>1</v>
      </c>
      <c r="AB543" s="8">
        <f t="shared" ref="AB543:AB547" si="666">SUM(Y543:AA543)</f>
        <v>6</v>
      </c>
      <c r="AC543" s="86">
        <f t="shared" ref="AC543:AC547" si="667">T543+X543+AB543</f>
        <v>18</v>
      </c>
      <c r="AD543" s="109">
        <v>45625</v>
      </c>
    </row>
    <row r="544" spans="1:31" x14ac:dyDescent="0.15">
      <c r="A544" s="33"/>
      <c r="B544" s="9"/>
      <c r="C544" s="10"/>
      <c r="D544" s="10"/>
      <c r="E544" s="8">
        <f t="shared" si="640"/>
        <v>0</v>
      </c>
      <c r="F544" s="9"/>
      <c r="G544" s="10"/>
      <c r="H544" s="10"/>
      <c r="I544" s="8">
        <f t="shared" si="641"/>
        <v>0</v>
      </c>
      <c r="J544" s="9"/>
      <c r="K544" s="10"/>
      <c r="L544" s="10"/>
      <c r="M544" s="39">
        <f t="shared" si="642"/>
        <v>0</v>
      </c>
      <c r="N544" s="138">
        <f t="shared" si="643"/>
        <v>0</v>
      </c>
      <c r="P544" s="33" t="s">
        <v>548</v>
      </c>
      <c r="Q544" s="9">
        <v>1</v>
      </c>
      <c r="R544" s="10">
        <v>10</v>
      </c>
      <c r="S544" s="10"/>
      <c r="T544" s="8">
        <f t="shared" ref="T544:T546" si="668">SUM(Q544:S544)</f>
        <v>11</v>
      </c>
      <c r="U544" s="9">
        <v>1</v>
      </c>
      <c r="V544" s="10">
        <v>10</v>
      </c>
      <c r="W544" s="10"/>
      <c r="X544" s="8">
        <f t="shared" ref="X544:X546" si="669">SUM(U544:W544)</f>
        <v>11</v>
      </c>
      <c r="Y544" s="9">
        <v>1</v>
      </c>
      <c r="Z544" s="10">
        <v>10</v>
      </c>
      <c r="AA544" s="10"/>
      <c r="AB544" s="8">
        <f t="shared" ref="AB544:AB546" si="670">SUM(Y544:AA544)</f>
        <v>11</v>
      </c>
      <c r="AC544" s="86">
        <f t="shared" ref="AC544:AC546" si="671">T544+X544+AB544</f>
        <v>33</v>
      </c>
      <c r="AD544" s="109">
        <v>45628</v>
      </c>
    </row>
    <row r="545" spans="1:30" x14ac:dyDescent="0.15">
      <c r="A545" s="33"/>
      <c r="B545" s="9"/>
      <c r="C545" s="10"/>
      <c r="D545" s="10"/>
      <c r="E545" s="8">
        <f t="shared" si="640"/>
        <v>0</v>
      </c>
      <c r="F545" s="9"/>
      <c r="G545" s="10"/>
      <c r="H545" s="10"/>
      <c r="I545" s="8">
        <f t="shared" si="641"/>
        <v>0</v>
      </c>
      <c r="J545" s="9"/>
      <c r="K545" s="10"/>
      <c r="L545" s="10"/>
      <c r="M545" s="39">
        <f t="shared" si="642"/>
        <v>0</v>
      </c>
      <c r="N545" s="138">
        <f t="shared" si="643"/>
        <v>0</v>
      </c>
      <c r="P545" s="4"/>
      <c r="Q545" s="9"/>
      <c r="R545" s="10"/>
      <c r="S545" s="10"/>
      <c r="T545" s="8">
        <f t="shared" si="668"/>
        <v>0</v>
      </c>
      <c r="U545" s="9"/>
      <c r="V545" s="10"/>
      <c r="W545" s="10"/>
      <c r="X545" s="8">
        <f t="shared" si="669"/>
        <v>0</v>
      </c>
      <c r="Y545" s="9"/>
      <c r="Z545" s="10"/>
      <c r="AA545" s="10"/>
      <c r="AB545" s="8">
        <f t="shared" si="670"/>
        <v>0</v>
      </c>
      <c r="AC545" s="86">
        <f t="shared" si="671"/>
        <v>0</v>
      </c>
    </row>
    <row r="546" spans="1:30" x14ac:dyDescent="0.15">
      <c r="A546" s="33"/>
      <c r="B546" s="9"/>
      <c r="C546" s="10"/>
      <c r="D546" s="10"/>
      <c r="E546" s="8">
        <f t="shared" si="640"/>
        <v>0</v>
      </c>
      <c r="F546" s="9"/>
      <c r="G546" s="10"/>
      <c r="H546" s="10"/>
      <c r="I546" s="8">
        <f t="shared" si="641"/>
        <v>0</v>
      </c>
      <c r="J546" s="9"/>
      <c r="K546" s="10"/>
      <c r="L546" s="10"/>
      <c r="M546" s="39">
        <f t="shared" si="642"/>
        <v>0</v>
      </c>
      <c r="N546" s="138">
        <f t="shared" si="643"/>
        <v>0</v>
      </c>
      <c r="P546" s="4"/>
      <c r="Q546" s="9"/>
      <c r="R546" s="10"/>
      <c r="S546" s="10"/>
      <c r="T546" s="8">
        <f t="shared" si="668"/>
        <v>0</v>
      </c>
      <c r="U546" s="9"/>
      <c r="V546" s="10"/>
      <c r="W546" s="10"/>
      <c r="X546" s="8">
        <f t="shared" si="669"/>
        <v>0</v>
      </c>
      <c r="Y546" s="9"/>
      <c r="Z546" s="10"/>
      <c r="AA546" s="10"/>
      <c r="AB546" s="8">
        <f t="shared" si="670"/>
        <v>0</v>
      </c>
      <c r="AC546" s="86">
        <f t="shared" si="671"/>
        <v>0</v>
      </c>
    </row>
    <row r="547" spans="1:30" x14ac:dyDescent="0.15">
      <c r="A547" s="33"/>
      <c r="B547" s="9"/>
      <c r="C547" s="10"/>
      <c r="D547" s="10"/>
      <c r="E547" s="8">
        <f t="shared" si="640"/>
        <v>0</v>
      </c>
      <c r="F547" s="9"/>
      <c r="G547" s="10"/>
      <c r="H547" s="10"/>
      <c r="I547" s="8">
        <f t="shared" si="641"/>
        <v>0</v>
      </c>
      <c r="J547" s="9"/>
      <c r="K547" s="10"/>
      <c r="L547" s="10"/>
      <c r="M547" s="39">
        <f t="shared" si="642"/>
        <v>0</v>
      </c>
      <c r="N547" s="138">
        <f t="shared" si="643"/>
        <v>0</v>
      </c>
      <c r="P547" s="4"/>
      <c r="Q547" s="9"/>
      <c r="R547" s="10"/>
      <c r="S547" s="10"/>
      <c r="T547" s="8">
        <f t="shared" si="664"/>
        <v>0</v>
      </c>
      <c r="U547" s="9"/>
      <c r="V547" s="10"/>
      <c r="W547" s="10"/>
      <c r="X547" s="8">
        <f t="shared" si="665"/>
        <v>0</v>
      </c>
      <c r="Y547" s="9"/>
      <c r="Z547" s="10"/>
      <c r="AA547" s="10"/>
      <c r="AB547" s="8">
        <f t="shared" si="666"/>
        <v>0</v>
      </c>
      <c r="AC547" s="86">
        <f t="shared" si="667"/>
        <v>0</v>
      </c>
    </row>
    <row r="548" spans="1:30" x14ac:dyDescent="0.15">
      <c r="A548" s="63"/>
      <c r="B548" s="9"/>
      <c r="C548" s="10"/>
      <c r="D548" s="10"/>
      <c r="E548" s="8">
        <f t="shared" si="640"/>
        <v>0</v>
      </c>
      <c r="F548" s="9"/>
      <c r="G548" s="10"/>
      <c r="H548" s="10"/>
      <c r="I548" s="8">
        <f t="shared" si="641"/>
        <v>0</v>
      </c>
      <c r="J548" s="9"/>
      <c r="K548" s="10"/>
      <c r="L548" s="10"/>
      <c r="M548" s="39">
        <f t="shared" si="642"/>
        <v>0</v>
      </c>
      <c r="N548" s="138">
        <f t="shared" si="643"/>
        <v>0</v>
      </c>
      <c r="P548" s="11" t="s">
        <v>430</v>
      </c>
      <c r="Q548" s="9"/>
      <c r="R548" s="10"/>
      <c r="S548" s="10"/>
      <c r="T548" s="8">
        <f t="shared" ref="T548:T553" si="672">SUM(Q548:S548)</f>
        <v>0</v>
      </c>
      <c r="U548" s="9"/>
      <c r="V548" s="10"/>
      <c r="W548" s="10"/>
      <c r="X548" s="8">
        <f t="shared" ref="X548:X553" si="673">SUM(U548:W548)</f>
        <v>0</v>
      </c>
      <c r="Y548" s="9"/>
      <c r="Z548" s="10"/>
      <c r="AA548" s="10"/>
      <c r="AB548" s="8">
        <f t="shared" ref="AB548:AB553" si="674">SUM(Y548:AA548)</f>
        <v>0</v>
      </c>
      <c r="AC548" s="86">
        <f t="shared" ref="AC548:AC553" si="675">T548+X548+AB548</f>
        <v>0</v>
      </c>
      <c r="AD548" s="109" t="s">
        <v>431</v>
      </c>
    </row>
    <row r="549" spans="1:30" x14ac:dyDescent="0.15">
      <c r="A549" s="33"/>
      <c r="B549" s="9"/>
      <c r="C549" s="10"/>
      <c r="D549" s="10"/>
      <c r="E549" s="8">
        <f t="shared" si="640"/>
        <v>0</v>
      </c>
      <c r="F549" s="9"/>
      <c r="G549" s="10"/>
      <c r="H549" s="10"/>
      <c r="I549" s="8">
        <f t="shared" si="641"/>
        <v>0</v>
      </c>
      <c r="J549" s="9"/>
      <c r="K549" s="10"/>
      <c r="L549" s="10"/>
      <c r="M549" s="39">
        <f t="shared" si="642"/>
        <v>0</v>
      </c>
      <c r="N549" s="138">
        <f t="shared" si="643"/>
        <v>0</v>
      </c>
      <c r="P549" s="81" t="s">
        <v>440</v>
      </c>
      <c r="Q549" s="71"/>
      <c r="R549" s="72"/>
      <c r="S549" s="72"/>
      <c r="T549" s="73">
        <f t="shared" si="672"/>
        <v>0</v>
      </c>
      <c r="U549" s="71"/>
      <c r="V549" s="72"/>
      <c r="W549" s="72"/>
      <c r="X549" s="73">
        <f t="shared" si="673"/>
        <v>0</v>
      </c>
      <c r="Y549" s="71"/>
      <c r="Z549" s="72"/>
      <c r="AA549" s="72"/>
      <c r="AB549" s="73">
        <f t="shared" si="674"/>
        <v>0</v>
      </c>
      <c r="AC549" s="92">
        <f t="shared" si="675"/>
        <v>0</v>
      </c>
      <c r="AD549" s="117"/>
    </row>
    <row r="550" spans="1:30" x14ac:dyDescent="0.15">
      <c r="A550" s="33"/>
      <c r="B550" s="9"/>
      <c r="C550" s="10"/>
      <c r="D550" s="10"/>
      <c r="E550" s="8">
        <f t="shared" si="640"/>
        <v>0</v>
      </c>
      <c r="F550" s="9"/>
      <c r="G550" s="10"/>
      <c r="H550" s="10"/>
      <c r="I550" s="8">
        <f t="shared" si="641"/>
        <v>0</v>
      </c>
      <c r="J550" s="9"/>
      <c r="K550" s="10"/>
      <c r="L550" s="10"/>
      <c r="M550" s="39">
        <f t="shared" si="642"/>
        <v>0</v>
      </c>
      <c r="N550" s="138">
        <f t="shared" si="643"/>
        <v>0</v>
      </c>
      <c r="P550" s="4" t="s">
        <v>437</v>
      </c>
      <c r="Q550" s="9"/>
      <c r="R550" s="10"/>
      <c r="S550" s="10"/>
      <c r="T550" s="8">
        <f t="shared" si="672"/>
        <v>0</v>
      </c>
      <c r="U550" s="9"/>
      <c r="V550" s="10"/>
      <c r="W550" s="10"/>
      <c r="X550" s="8">
        <f t="shared" si="673"/>
        <v>0</v>
      </c>
      <c r="Y550" s="9"/>
      <c r="Z550" s="10"/>
      <c r="AA550" s="10"/>
      <c r="AB550" s="8">
        <f t="shared" si="674"/>
        <v>0</v>
      </c>
      <c r="AC550" s="86">
        <f t="shared" si="675"/>
        <v>0</v>
      </c>
      <c r="AD550" s="116" t="s">
        <v>435</v>
      </c>
    </row>
    <row r="551" spans="1:30" x14ac:dyDescent="0.15">
      <c r="A551" s="33"/>
      <c r="B551" s="9"/>
      <c r="C551" s="10"/>
      <c r="D551" s="10"/>
      <c r="E551" s="8">
        <f t="shared" si="640"/>
        <v>0</v>
      </c>
      <c r="F551" s="9"/>
      <c r="G551" s="10"/>
      <c r="H551" s="10"/>
      <c r="I551" s="8">
        <f t="shared" si="641"/>
        <v>0</v>
      </c>
      <c r="J551" s="9"/>
      <c r="K551" s="10"/>
      <c r="L551" s="10"/>
      <c r="M551" s="39">
        <f t="shared" si="642"/>
        <v>0</v>
      </c>
      <c r="N551" s="138">
        <f t="shared" si="643"/>
        <v>0</v>
      </c>
      <c r="P551" s="81" t="s">
        <v>497</v>
      </c>
      <c r="Q551" s="71"/>
      <c r="R551" s="72"/>
      <c r="S551" s="72"/>
      <c r="T551" s="73">
        <f t="shared" si="672"/>
        <v>0</v>
      </c>
      <c r="U551" s="71"/>
      <c r="V551" s="72"/>
      <c r="W551" s="72"/>
      <c r="X551" s="73">
        <f t="shared" si="673"/>
        <v>0</v>
      </c>
      <c r="Y551" s="71"/>
      <c r="Z551" s="72"/>
      <c r="AA551" s="72"/>
      <c r="AB551" s="73">
        <f t="shared" si="674"/>
        <v>0</v>
      </c>
      <c r="AC551" s="92">
        <f t="shared" si="675"/>
        <v>0</v>
      </c>
      <c r="AD551" s="116"/>
    </row>
    <row r="552" spans="1:30" x14ac:dyDescent="0.15">
      <c r="A552" s="33"/>
      <c r="B552" s="9"/>
      <c r="C552" s="10"/>
      <c r="D552" s="10"/>
      <c r="E552" s="8">
        <f t="shared" si="640"/>
        <v>0</v>
      </c>
      <c r="F552" s="9"/>
      <c r="G552" s="10"/>
      <c r="H552" s="10"/>
      <c r="I552" s="8">
        <f t="shared" si="641"/>
        <v>0</v>
      </c>
      <c r="J552" s="9"/>
      <c r="K552" s="10"/>
      <c r="L552" s="10"/>
      <c r="M552" s="39">
        <f t="shared" si="642"/>
        <v>0</v>
      </c>
      <c r="N552" s="138">
        <f t="shared" si="643"/>
        <v>0</v>
      </c>
      <c r="P552" s="4" t="s">
        <v>423</v>
      </c>
      <c r="Q552" s="9"/>
      <c r="R552" s="10"/>
      <c r="S552" s="10"/>
      <c r="T552" s="8">
        <f t="shared" si="672"/>
        <v>0</v>
      </c>
      <c r="U552" s="9"/>
      <c r="V552" s="10"/>
      <c r="W552" s="10"/>
      <c r="X552" s="8">
        <f t="shared" si="673"/>
        <v>0</v>
      </c>
      <c r="Y552" s="9"/>
      <c r="Z552" s="10"/>
      <c r="AA552" s="10"/>
      <c r="AB552" s="8">
        <f t="shared" si="674"/>
        <v>0</v>
      </c>
      <c r="AC552" s="86">
        <f t="shared" si="675"/>
        <v>0</v>
      </c>
      <c r="AD552" s="116" t="s">
        <v>424</v>
      </c>
    </row>
    <row r="553" spans="1:30" x14ac:dyDescent="0.15">
      <c r="A553" s="33"/>
      <c r="B553" s="9"/>
      <c r="C553" s="10"/>
      <c r="D553" s="10"/>
      <c r="E553" s="8">
        <f t="shared" si="640"/>
        <v>0</v>
      </c>
      <c r="F553" s="9"/>
      <c r="G553" s="10"/>
      <c r="H553" s="10"/>
      <c r="I553" s="8">
        <f t="shared" si="641"/>
        <v>0</v>
      </c>
      <c r="J553" s="9"/>
      <c r="K553" s="10"/>
      <c r="L553" s="10"/>
      <c r="M553" s="39">
        <f t="shared" si="642"/>
        <v>0</v>
      </c>
      <c r="N553" s="138">
        <f t="shared" si="643"/>
        <v>0</v>
      </c>
      <c r="P553" s="11" t="s">
        <v>392</v>
      </c>
      <c r="Q553" s="9"/>
      <c r="R553" s="10"/>
      <c r="S553" s="10"/>
      <c r="T553" s="8">
        <f t="shared" si="672"/>
        <v>0</v>
      </c>
      <c r="U553" s="9"/>
      <c r="V553" s="10"/>
      <c r="W553" s="10"/>
      <c r="X553" s="8">
        <f t="shared" si="673"/>
        <v>0</v>
      </c>
      <c r="Y553" s="9"/>
      <c r="Z553" s="10"/>
      <c r="AA553" s="10"/>
      <c r="AB553" s="8">
        <f t="shared" si="674"/>
        <v>0</v>
      </c>
      <c r="AC553" s="86">
        <f t="shared" si="675"/>
        <v>0</v>
      </c>
      <c r="AD553" s="116" t="s">
        <v>393</v>
      </c>
    </row>
    <row r="554" spans="1:30" x14ac:dyDescent="0.15">
      <c r="A554" s="33"/>
      <c r="B554" s="9"/>
      <c r="C554" s="10"/>
      <c r="D554" s="10"/>
      <c r="E554" s="8">
        <f t="shared" si="640"/>
        <v>0</v>
      </c>
      <c r="F554" s="9"/>
      <c r="G554" s="10"/>
      <c r="H554" s="10"/>
      <c r="I554" s="8">
        <f t="shared" si="641"/>
        <v>0</v>
      </c>
      <c r="J554" s="9"/>
      <c r="K554" s="10"/>
      <c r="L554" s="10"/>
      <c r="M554" s="39">
        <f t="shared" si="642"/>
        <v>0</v>
      </c>
      <c r="N554" s="138">
        <f t="shared" si="643"/>
        <v>0</v>
      </c>
      <c r="P554" s="11" t="s">
        <v>458</v>
      </c>
      <c r="Q554" s="9"/>
      <c r="R554" s="10"/>
      <c r="S554" s="10"/>
      <c r="T554" s="8">
        <f t="shared" si="644"/>
        <v>0</v>
      </c>
      <c r="U554" s="9"/>
      <c r="V554" s="10"/>
      <c r="W554" s="10"/>
      <c r="X554" s="8">
        <f t="shared" si="645"/>
        <v>0</v>
      </c>
      <c r="Y554" s="9"/>
      <c r="Z554" s="10"/>
      <c r="AA554" s="10"/>
      <c r="AB554" s="8">
        <f t="shared" si="646"/>
        <v>0</v>
      </c>
      <c r="AC554" s="86">
        <f t="shared" si="647"/>
        <v>0</v>
      </c>
      <c r="AD554" s="116" t="s">
        <v>459</v>
      </c>
    </row>
    <row r="555" spans="1:30" x14ac:dyDescent="0.15">
      <c r="A555" s="33"/>
      <c r="B555" s="9"/>
      <c r="C555" s="10"/>
      <c r="D555" s="10"/>
      <c r="E555" s="8">
        <f t="shared" si="640"/>
        <v>0</v>
      </c>
      <c r="F555" s="9"/>
      <c r="G555" s="10"/>
      <c r="H555" s="10"/>
      <c r="I555" s="8">
        <f t="shared" si="641"/>
        <v>0</v>
      </c>
      <c r="J555" s="9"/>
      <c r="K555" s="10"/>
      <c r="L555" s="10"/>
      <c r="M555" s="39">
        <f t="shared" si="642"/>
        <v>0</v>
      </c>
      <c r="N555" s="138">
        <f t="shared" si="643"/>
        <v>0</v>
      </c>
      <c r="P555" s="11" t="s">
        <v>457</v>
      </c>
      <c r="Q555" s="9"/>
      <c r="R555" s="10"/>
      <c r="S555" s="10"/>
      <c r="T555" s="8">
        <f t="shared" si="644"/>
        <v>0</v>
      </c>
      <c r="U555" s="9"/>
      <c r="V555" s="10"/>
      <c r="W555" s="10"/>
      <c r="X555" s="8">
        <f t="shared" si="645"/>
        <v>0</v>
      </c>
      <c r="Y555" s="9"/>
      <c r="Z555" s="10"/>
      <c r="AA555" s="10"/>
      <c r="AB555" s="8">
        <f t="shared" si="646"/>
        <v>0</v>
      </c>
      <c r="AC555" s="86">
        <f t="shared" si="647"/>
        <v>0</v>
      </c>
      <c r="AD555" s="116" t="s">
        <v>406</v>
      </c>
    </row>
    <row r="556" spans="1:30" ht="14.25" thickBot="1" x14ac:dyDescent="0.2">
      <c r="A556" s="63"/>
      <c r="B556" s="9"/>
      <c r="C556" s="10"/>
      <c r="D556" s="22"/>
      <c r="E556" s="8">
        <f t="shared" si="640"/>
        <v>0</v>
      </c>
      <c r="F556" s="9"/>
      <c r="G556" s="10"/>
      <c r="H556" s="22"/>
      <c r="I556" s="8">
        <f t="shared" si="641"/>
        <v>0</v>
      </c>
      <c r="J556" s="9"/>
      <c r="K556" s="10"/>
      <c r="L556" s="22"/>
      <c r="M556" s="39">
        <f t="shared" si="642"/>
        <v>0</v>
      </c>
      <c r="N556" s="139">
        <f t="shared" si="643"/>
        <v>0</v>
      </c>
      <c r="P556" s="11" t="s">
        <v>461</v>
      </c>
      <c r="Q556" s="9"/>
      <c r="R556" s="10"/>
      <c r="S556" s="10"/>
      <c r="T556" s="8">
        <f t="shared" si="644"/>
        <v>0</v>
      </c>
      <c r="U556" s="9"/>
      <c r="V556" s="10"/>
      <c r="W556" s="10"/>
      <c r="X556" s="8">
        <f t="shared" si="645"/>
        <v>0</v>
      </c>
      <c r="Y556" s="9"/>
      <c r="Z556" s="10"/>
      <c r="AA556" s="10"/>
      <c r="AB556" s="8">
        <f t="shared" si="646"/>
        <v>0</v>
      </c>
      <c r="AC556" s="86">
        <f t="shared" si="647"/>
        <v>0</v>
      </c>
      <c r="AD556" s="109" t="s">
        <v>462</v>
      </c>
    </row>
    <row r="557" spans="1:30" ht="14.25" thickBot="1" x14ac:dyDescent="0.2">
      <c r="A557" s="104" t="s">
        <v>5</v>
      </c>
      <c r="B557" s="12">
        <f>SUM(B533:B556)</f>
        <v>12</v>
      </c>
      <c r="C557" s="12">
        <f>SUM(C533:C556)</f>
        <v>9</v>
      </c>
      <c r="D557" s="12">
        <f>SUM(D533:D556)</f>
        <v>3</v>
      </c>
      <c r="E557" s="13">
        <f t="shared" si="640"/>
        <v>24</v>
      </c>
      <c r="F557" s="12">
        <f>SUM(F533:F556)</f>
        <v>12</v>
      </c>
      <c r="G557" s="12">
        <f>SUM(G533:G556)</f>
        <v>9</v>
      </c>
      <c r="H557" s="12">
        <f>SUM(H533:H556)</f>
        <v>4</v>
      </c>
      <c r="I557" s="13">
        <f t="shared" si="641"/>
        <v>25</v>
      </c>
      <c r="J557" s="12">
        <f>SUM(J533:J556)</f>
        <v>12</v>
      </c>
      <c r="K557" s="12">
        <f>SUM(K533:K556)</f>
        <v>9</v>
      </c>
      <c r="L557" s="12">
        <f>SUM(L533:L556)</f>
        <v>3</v>
      </c>
      <c r="M557" s="12">
        <f t="shared" si="642"/>
        <v>24</v>
      </c>
      <c r="N557" s="142">
        <f t="shared" si="643"/>
        <v>73</v>
      </c>
      <c r="P557" s="3" t="s">
        <v>5</v>
      </c>
      <c r="Q557" s="12">
        <f>SUM(Q533:Q556)</f>
        <v>92</v>
      </c>
      <c r="R557" s="12">
        <f t="shared" ref="R557" si="676">SUM(R533:R556)</f>
        <v>147</v>
      </c>
      <c r="S557" s="12">
        <f t="shared" ref="S557" si="677">SUM(S533:S556)</f>
        <v>72</v>
      </c>
      <c r="T557" s="13">
        <f t="shared" ref="T557" si="678">SUM(T533:T556)</f>
        <v>311</v>
      </c>
      <c r="U557" s="12">
        <f t="shared" ref="U557" si="679">SUM(U533:U556)</f>
        <v>92</v>
      </c>
      <c r="V557" s="12">
        <f t="shared" ref="V557" si="680">SUM(V533:V556)</f>
        <v>147</v>
      </c>
      <c r="W557" s="12">
        <f t="shared" ref="W557" si="681">SUM(W533:W556)</f>
        <v>72</v>
      </c>
      <c r="X557" s="13">
        <f t="shared" ref="X557" si="682">SUM(X533:X556)</f>
        <v>311</v>
      </c>
      <c r="Y557" s="12">
        <f t="shared" ref="Y557" si="683">SUM(Y533:Y556)</f>
        <v>87</v>
      </c>
      <c r="Z557" s="12">
        <f t="shared" ref="Z557" si="684">SUM(Z533:Z556)</f>
        <v>147</v>
      </c>
      <c r="AA557" s="12">
        <f t="shared" ref="AA557" si="685">SUM(AA533:AA556)</f>
        <v>77</v>
      </c>
      <c r="AB557" s="13">
        <f t="shared" ref="AB557" si="686">SUM(AB533:AB556)</f>
        <v>311</v>
      </c>
      <c r="AC557" s="155">
        <f t="shared" ref="AC557" si="687">SUM(AC533:AC556)</f>
        <v>933</v>
      </c>
    </row>
    <row r="558" spans="1:30" ht="14.25" thickBot="1" x14ac:dyDescent="0.2">
      <c r="A558" s="105" t="s">
        <v>6</v>
      </c>
      <c r="B558" s="20">
        <f>B532-B557</f>
        <v>17</v>
      </c>
      <c r="C558" s="20">
        <f t="shared" ref="C558:E558" si="688">C532-C557</f>
        <v>18</v>
      </c>
      <c r="D558" s="20">
        <f t="shared" si="688"/>
        <v>16</v>
      </c>
      <c r="E558" s="18">
        <f t="shared" si="688"/>
        <v>51</v>
      </c>
      <c r="F558" s="20">
        <f>F532-F557</f>
        <v>16</v>
      </c>
      <c r="G558" s="20">
        <f t="shared" ref="G558:I558" si="689">G532-G557</f>
        <v>18</v>
      </c>
      <c r="H558" s="20">
        <f t="shared" si="689"/>
        <v>13</v>
      </c>
      <c r="I558" s="18">
        <f t="shared" si="689"/>
        <v>47</v>
      </c>
      <c r="J558" s="20">
        <f>J532-J557</f>
        <v>15</v>
      </c>
      <c r="K558" s="20">
        <f t="shared" ref="K558:M558" si="690">K532-K557</f>
        <v>15</v>
      </c>
      <c r="L558" s="20">
        <f t="shared" si="690"/>
        <v>17</v>
      </c>
      <c r="M558" s="20">
        <f t="shared" si="690"/>
        <v>47</v>
      </c>
      <c r="N558" s="140">
        <f t="shared" si="643"/>
        <v>145</v>
      </c>
      <c r="P558" s="19" t="s">
        <v>6</v>
      </c>
      <c r="Q558" s="20">
        <f>Q532-Q557</f>
        <v>277</v>
      </c>
      <c r="R558" s="20">
        <f t="shared" ref="R558" si="691">R532-R557</f>
        <v>338</v>
      </c>
      <c r="S558" s="20">
        <f t="shared" ref="S558" si="692">S532-S557</f>
        <v>390</v>
      </c>
      <c r="T558" s="18">
        <f t="shared" ref="T558" si="693">T532-T557</f>
        <v>1005</v>
      </c>
      <c r="U558" s="20">
        <f t="shared" ref="U558" si="694">U532-U557</f>
        <v>285</v>
      </c>
      <c r="V558" s="20">
        <f t="shared" ref="V558" si="695">V532-V557</f>
        <v>376</v>
      </c>
      <c r="W558" s="20">
        <f t="shared" ref="W558" si="696">W532-W557</f>
        <v>441</v>
      </c>
      <c r="X558" s="18">
        <f t="shared" ref="X558" si="697">X532-X557</f>
        <v>1102</v>
      </c>
      <c r="Y558" s="20">
        <f t="shared" ref="Y558" si="698">Y532-Y557</f>
        <v>274</v>
      </c>
      <c r="Z558" s="20">
        <f t="shared" ref="Z558" si="699">Z532-Z557</f>
        <v>353</v>
      </c>
      <c r="AA558" s="20">
        <f t="shared" ref="AA558" si="700">AA532-AA557</f>
        <v>405</v>
      </c>
      <c r="AB558" s="18">
        <f t="shared" ref="AB558" si="701">AB532-AB557</f>
        <v>1032</v>
      </c>
      <c r="AC558" s="88">
        <f t="shared" ref="AC558" si="702">AC532-AC557</f>
        <v>3139</v>
      </c>
    </row>
    <row r="561" spans="1:30" ht="19.5" thickBot="1" x14ac:dyDescent="0.25">
      <c r="A561" s="108" t="s">
        <v>264</v>
      </c>
      <c r="B561" s="47"/>
      <c r="C561" s="47"/>
      <c r="D561" s="47"/>
      <c r="E561" s="47"/>
      <c r="F561" s="48"/>
      <c r="G561" s="48"/>
      <c r="H561" s="48"/>
      <c r="I561" s="48"/>
      <c r="J561" s="48"/>
      <c r="K561" s="48"/>
      <c r="L561" s="1"/>
      <c r="M561" s="1"/>
      <c r="N561" s="137"/>
      <c r="P561" s="43" t="s">
        <v>263</v>
      </c>
      <c r="Q561" s="44"/>
      <c r="R561" s="44"/>
      <c r="S561" s="44"/>
      <c r="T561" s="44"/>
      <c r="U561" s="45"/>
      <c r="V561" s="45"/>
      <c r="W561" s="45"/>
      <c r="X561" s="45"/>
      <c r="Y561" s="46"/>
      <c r="Z561" s="53"/>
      <c r="AA561" s="1"/>
      <c r="AB561" s="1"/>
    </row>
    <row r="562" spans="1:30" ht="14.25" thickBot="1" x14ac:dyDescent="0.2">
      <c r="A562" s="100" t="s">
        <v>0</v>
      </c>
      <c r="B562" s="337" t="s">
        <v>11</v>
      </c>
      <c r="C562" s="337"/>
      <c r="D562" s="337"/>
      <c r="E562" s="338"/>
      <c r="F562" s="339" t="s">
        <v>9</v>
      </c>
      <c r="G562" s="340"/>
      <c r="H562" s="340"/>
      <c r="I562" s="341"/>
      <c r="J562" s="342" t="s">
        <v>12</v>
      </c>
      <c r="K562" s="343"/>
      <c r="L562" s="343"/>
      <c r="M562" s="343"/>
      <c r="N562" s="347" t="s">
        <v>13</v>
      </c>
      <c r="P562" s="2" t="s">
        <v>0</v>
      </c>
      <c r="Q562" s="337" t="s">
        <v>11</v>
      </c>
      <c r="R562" s="337"/>
      <c r="S562" s="337"/>
      <c r="T562" s="338"/>
      <c r="U562" s="339" t="s">
        <v>9</v>
      </c>
      <c r="V562" s="340"/>
      <c r="W562" s="340"/>
      <c r="X562" s="341"/>
      <c r="Y562" s="342" t="s">
        <v>12</v>
      </c>
      <c r="Z562" s="343"/>
      <c r="AA562" s="343"/>
      <c r="AB562" s="343"/>
      <c r="AC562" s="345" t="s">
        <v>13</v>
      </c>
    </row>
    <row r="563" spans="1:30" ht="14.25" thickBot="1" x14ac:dyDescent="0.2">
      <c r="A563" s="100" t="s">
        <v>1</v>
      </c>
      <c r="B563" s="3" t="s">
        <v>7</v>
      </c>
      <c r="C563" s="2" t="s">
        <v>10</v>
      </c>
      <c r="D563" s="2" t="s">
        <v>8</v>
      </c>
      <c r="E563" s="2" t="s">
        <v>2</v>
      </c>
      <c r="F563" s="3" t="s">
        <v>7</v>
      </c>
      <c r="G563" s="2" t="s">
        <v>10</v>
      </c>
      <c r="H563" s="2" t="s">
        <v>8</v>
      </c>
      <c r="I563" s="2" t="s">
        <v>2</v>
      </c>
      <c r="J563" s="3" t="s">
        <v>7</v>
      </c>
      <c r="K563" s="2" t="s">
        <v>10</v>
      </c>
      <c r="L563" s="2" t="s">
        <v>8</v>
      </c>
      <c r="M563" s="3" t="s">
        <v>2</v>
      </c>
      <c r="N563" s="348"/>
      <c r="P563" s="2" t="s">
        <v>1</v>
      </c>
      <c r="Q563" s="3" t="s">
        <v>7</v>
      </c>
      <c r="R563" s="2" t="s">
        <v>10</v>
      </c>
      <c r="S563" s="2" t="s">
        <v>8</v>
      </c>
      <c r="T563" s="2" t="s">
        <v>2</v>
      </c>
      <c r="U563" s="3" t="s">
        <v>7</v>
      </c>
      <c r="V563" s="2" t="s">
        <v>10</v>
      </c>
      <c r="W563" s="2" t="s">
        <v>8</v>
      </c>
      <c r="X563" s="2" t="s">
        <v>2</v>
      </c>
      <c r="Y563" s="3" t="s">
        <v>7</v>
      </c>
      <c r="Z563" s="2" t="s">
        <v>10</v>
      </c>
      <c r="AA563" s="2" t="s">
        <v>8</v>
      </c>
      <c r="AB563" s="2" t="s">
        <v>2</v>
      </c>
      <c r="AC563" s="346"/>
    </row>
    <row r="564" spans="1:30" x14ac:dyDescent="0.15">
      <c r="A564" s="106" t="s">
        <v>6</v>
      </c>
      <c r="B564" s="41">
        <f>B558</f>
        <v>17</v>
      </c>
      <c r="C564" s="41">
        <f t="shared" ref="C564:E564" si="703">C558</f>
        <v>18</v>
      </c>
      <c r="D564" s="41">
        <f t="shared" si="703"/>
        <v>16</v>
      </c>
      <c r="E564" s="42">
        <f t="shared" si="703"/>
        <v>51</v>
      </c>
      <c r="F564" s="41">
        <f>F558</f>
        <v>16</v>
      </c>
      <c r="G564" s="41">
        <f t="shared" ref="G564:I564" si="704">G558</f>
        <v>18</v>
      </c>
      <c r="H564" s="41">
        <f t="shared" si="704"/>
        <v>13</v>
      </c>
      <c r="I564" s="42">
        <f t="shared" si="704"/>
        <v>47</v>
      </c>
      <c r="J564" s="41">
        <f>J558</f>
        <v>15</v>
      </c>
      <c r="K564" s="41">
        <f t="shared" ref="K564:M564" si="705">K558</f>
        <v>15</v>
      </c>
      <c r="L564" s="41">
        <f t="shared" si="705"/>
        <v>17</v>
      </c>
      <c r="M564" s="42">
        <f t="shared" si="705"/>
        <v>47</v>
      </c>
      <c r="N564" s="143">
        <f>E564+I564+M564</f>
        <v>145</v>
      </c>
      <c r="P564" s="36" t="s">
        <v>6</v>
      </c>
      <c r="Q564" s="41">
        <f>Q558</f>
        <v>277</v>
      </c>
      <c r="R564" s="41">
        <f t="shared" ref="R564:AC564" si="706">R558</f>
        <v>338</v>
      </c>
      <c r="S564" s="41">
        <f t="shared" si="706"/>
        <v>390</v>
      </c>
      <c r="T564" s="42">
        <f t="shared" si="706"/>
        <v>1005</v>
      </c>
      <c r="U564" s="41">
        <f t="shared" si="706"/>
        <v>285</v>
      </c>
      <c r="V564" s="41">
        <f t="shared" si="706"/>
        <v>376</v>
      </c>
      <c r="W564" s="41">
        <f t="shared" si="706"/>
        <v>441</v>
      </c>
      <c r="X564" s="42">
        <f t="shared" si="706"/>
        <v>1102</v>
      </c>
      <c r="Y564" s="41">
        <f t="shared" si="706"/>
        <v>274</v>
      </c>
      <c r="Z564" s="41">
        <f t="shared" si="706"/>
        <v>353</v>
      </c>
      <c r="AA564" s="41">
        <f t="shared" si="706"/>
        <v>405</v>
      </c>
      <c r="AB564" s="42">
        <f t="shared" si="706"/>
        <v>1032</v>
      </c>
      <c r="AC564" s="90">
        <f t="shared" si="706"/>
        <v>3139</v>
      </c>
    </row>
    <row r="565" spans="1:30" x14ac:dyDescent="0.15">
      <c r="A565" s="102" t="s">
        <v>3</v>
      </c>
      <c r="B565" s="25">
        <v>5</v>
      </c>
      <c r="C565" s="26"/>
      <c r="D565" s="26"/>
      <c r="E565" s="5">
        <f t="shared" ref="E565:E600" si="707">SUM(B565:D565)</f>
        <v>5</v>
      </c>
      <c r="F565" s="25">
        <v>5</v>
      </c>
      <c r="G565" s="26"/>
      <c r="H565" s="26"/>
      <c r="I565" s="5">
        <f t="shared" ref="I565:I600" si="708">SUM(F565:H565)</f>
        <v>5</v>
      </c>
      <c r="J565" s="25">
        <v>5</v>
      </c>
      <c r="K565" s="26"/>
      <c r="L565" s="26"/>
      <c r="M565" s="38">
        <f t="shared" ref="M565:M600" si="709">SUM(J565:L565)</f>
        <v>5</v>
      </c>
      <c r="N565" s="138">
        <f t="shared" ref="N565:N601" si="710">E565+I565+M565</f>
        <v>15</v>
      </c>
      <c r="O565" s="24">
        <v>45631</v>
      </c>
      <c r="P565" s="6" t="s">
        <v>3</v>
      </c>
      <c r="Q565" s="14"/>
      <c r="R565" s="11"/>
      <c r="S565" s="11"/>
      <c r="T565" s="5">
        <f t="shared" ref="T565:T588" si="711">SUM(Q565:S565)</f>
        <v>0</v>
      </c>
      <c r="U565" s="14"/>
      <c r="V565" s="11"/>
      <c r="W565" s="11"/>
      <c r="X565" s="5">
        <f t="shared" ref="X565:X588" si="712">SUM(U565:W565)</f>
        <v>0</v>
      </c>
      <c r="Y565" s="25"/>
      <c r="Z565" s="26"/>
      <c r="AA565" s="26"/>
      <c r="AB565" s="5">
        <f t="shared" ref="AB565:AB588" si="713">SUM(Y565:AA565)</f>
        <v>0</v>
      </c>
      <c r="AC565" s="86">
        <f t="shared" ref="AC565:AC592" si="714">T565+X565+AB565</f>
        <v>0</v>
      </c>
    </row>
    <row r="566" spans="1:30" x14ac:dyDescent="0.15">
      <c r="A566" s="102" t="s">
        <v>57</v>
      </c>
      <c r="B566" s="14"/>
      <c r="C566" s="11">
        <v>1</v>
      </c>
      <c r="D566" s="11">
        <v>1</v>
      </c>
      <c r="E566" s="5">
        <f t="shared" si="707"/>
        <v>2</v>
      </c>
      <c r="F566" s="34"/>
      <c r="G566" s="11">
        <v>1</v>
      </c>
      <c r="H566" s="11"/>
      <c r="I566" s="5">
        <f t="shared" si="708"/>
        <v>1</v>
      </c>
      <c r="J566" s="34"/>
      <c r="K566" s="11">
        <v>1</v>
      </c>
      <c r="L566" s="11">
        <v>1</v>
      </c>
      <c r="M566" s="38">
        <f t="shared" si="709"/>
        <v>2</v>
      </c>
      <c r="N566" s="138">
        <f t="shared" si="710"/>
        <v>5</v>
      </c>
      <c r="O566" s="24">
        <v>45637</v>
      </c>
      <c r="P566" s="6" t="s">
        <v>3</v>
      </c>
      <c r="Q566" s="14"/>
      <c r="R566" s="11"/>
      <c r="S566" s="11"/>
      <c r="T566" s="5">
        <f t="shared" si="711"/>
        <v>0</v>
      </c>
      <c r="U566" s="14"/>
      <c r="V566" s="11"/>
      <c r="W566" s="11"/>
      <c r="X566" s="5">
        <f t="shared" si="712"/>
        <v>0</v>
      </c>
      <c r="Y566" s="25"/>
      <c r="Z566" s="26"/>
      <c r="AA566" s="26"/>
      <c r="AB566" s="5">
        <f t="shared" si="713"/>
        <v>0</v>
      </c>
      <c r="AC566" s="86">
        <f t="shared" si="714"/>
        <v>0</v>
      </c>
    </row>
    <row r="567" spans="1:30" x14ac:dyDescent="0.15">
      <c r="A567" s="102" t="s">
        <v>3</v>
      </c>
      <c r="B567" s="14"/>
      <c r="C567" s="11">
        <v>10</v>
      </c>
      <c r="D567" s="11"/>
      <c r="E567" s="5">
        <f t="shared" si="707"/>
        <v>10</v>
      </c>
      <c r="F567" s="34"/>
      <c r="G567" s="11">
        <v>10</v>
      </c>
      <c r="H567" s="11"/>
      <c r="I567" s="5">
        <f t="shared" si="708"/>
        <v>10</v>
      </c>
      <c r="J567" s="34"/>
      <c r="K567" s="11">
        <v>10</v>
      </c>
      <c r="L567" s="11"/>
      <c r="M567" s="38">
        <f t="shared" si="709"/>
        <v>10</v>
      </c>
      <c r="N567" s="138">
        <f t="shared" si="710"/>
        <v>30</v>
      </c>
      <c r="O567" s="24">
        <v>45638</v>
      </c>
      <c r="P567" s="6" t="s">
        <v>3</v>
      </c>
      <c r="Q567" s="14"/>
      <c r="R567" s="11"/>
      <c r="S567" s="11"/>
      <c r="T567" s="5">
        <f t="shared" si="711"/>
        <v>0</v>
      </c>
      <c r="U567" s="14"/>
      <c r="V567" s="11"/>
      <c r="W567" s="11"/>
      <c r="X567" s="5">
        <f t="shared" si="712"/>
        <v>0</v>
      </c>
      <c r="Y567" s="25"/>
      <c r="Z567" s="26"/>
      <c r="AA567" s="26"/>
      <c r="AB567" s="5">
        <f t="shared" si="713"/>
        <v>0</v>
      </c>
      <c r="AC567" s="86">
        <f t="shared" si="714"/>
        <v>0</v>
      </c>
    </row>
    <row r="568" spans="1:30" x14ac:dyDescent="0.15">
      <c r="A568" s="102" t="s">
        <v>3</v>
      </c>
      <c r="B568" s="14">
        <v>10</v>
      </c>
      <c r="C568" s="11"/>
      <c r="D568" s="11"/>
      <c r="E568" s="5">
        <f t="shared" si="707"/>
        <v>10</v>
      </c>
      <c r="F568" s="34">
        <v>10</v>
      </c>
      <c r="G568" s="11"/>
      <c r="H568" s="11"/>
      <c r="I568" s="5">
        <f t="shared" si="708"/>
        <v>10</v>
      </c>
      <c r="J568" s="34">
        <v>10</v>
      </c>
      <c r="K568" s="11"/>
      <c r="L568" s="11"/>
      <c r="M568" s="38">
        <f t="shared" si="709"/>
        <v>10</v>
      </c>
      <c r="N568" s="138">
        <f t="shared" si="710"/>
        <v>30</v>
      </c>
      <c r="O568" s="24">
        <v>45639</v>
      </c>
      <c r="P568" s="6" t="s">
        <v>3</v>
      </c>
      <c r="Q568" s="14"/>
      <c r="R568" s="11"/>
      <c r="S568" s="11"/>
      <c r="T568" s="5">
        <f t="shared" si="711"/>
        <v>0</v>
      </c>
      <c r="U568" s="14"/>
      <c r="V568" s="11"/>
      <c r="W568" s="11"/>
      <c r="X568" s="5">
        <f t="shared" si="712"/>
        <v>0</v>
      </c>
      <c r="Y568" s="25"/>
      <c r="Z568" s="26"/>
      <c r="AA568" s="26"/>
      <c r="AB568" s="5">
        <f t="shared" si="713"/>
        <v>0</v>
      </c>
      <c r="AC568" s="86">
        <f t="shared" si="714"/>
        <v>0</v>
      </c>
    </row>
    <row r="569" spans="1:30" x14ac:dyDescent="0.15">
      <c r="A569" s="102" t="s">
        <v>372</v>
      </c>
      <c r="B569" s="14">
        <v>-1</v>
      </c>
      <c r="C569" s="11">
        <v>2</v>
      </c>
      <c r="D569" s="11">
        <v>-2</v>
      </c>
      <c r="E569" s="5">
        <f t="shared" si="707"/>
        <v>-1</v>
      </c>
      <c r="F569" s="34">
        <v>-2</v>
      </c>
      <c r="G569" s="11">
        <v>2</v>
      </c>
      <c r="H569" s="11">
        <v>-1</v>
      </c>
      <c r="I569" s="5">
        <f t="shared" si="708"/>
        <v>-1</v>
      </c>
      <c r="J569" s="34">
        <v>-1</v>
      </c>
      <c r="K569" s="11">
        <v>2</v>
      </c>
      <c r="L569" s="11">
        <v>-2</v>
      </c>
      <c r="M569" s="38">
        <f t="shared" si="709"/>
        <v>-1</v>
      </c>
      <c r="N569" s="138">
        <f t="shared" si="710"/>
        <v>-3</v>
      </c>
      <c r="O569" s="24">
        <v>46004</v>
      </c>
      <c r="P569" s="6" t="s">
        <v>3</v>
      </c>
      <c r="Q569" s="14"/>
      <c r="R569" s="11"/>
      <c r="S569" s="11"/>
      <c r="T569" s="5">
        <f t="shared" si="711"/>
        <v>0</v>
      </c>
      <c r="U569" s="14"/>
      <c r="V569" s="11"/>
      <c r="W569" s="11"/>
      <c r="X569" s="5">
        <f t="shared" si="712"/>
        <v>0</v>
      </c>
      <c r="Y569" s="25"/>
      <c r="Z569" s="26"/>
      <c r="AA569" s="26"/>
      <c r="AB569" s="5">
        <f t="shared" si="713"/>
        <v>0</v>
      </c>
      <c r="AC569" s="86">
        <f t="shared" si="714"/>
        <v>0</v>
      </c>
    </row>
    <row r="570" spans="1:30" x14ac:dyDescent="0.15">
      <c r="A570" s="102" t="s">
        <v>3</v>
      </c>
      <c r="B570" s="25"/>
      <c r="C570" s="26"/>
      <c r="D570" s="26"/>
      <c r="E570" s="8">
        <f t="shared" si="707"/>
        <v>0</v>
      </c>
      <c r="F570" s="25"/>
      <c r="G570" s="26"/>
      <c r="H570" s="26"/>
      <c r="I570" s="8">
        <f t="shared" si="708"/>
        <v>0</v>
      </c>
      <c r="J570" s="25"/>
      <c r="K570" s="26"/>
      <c r="L570" s="26"/>
      <c r="M570" s="39">
        <f t="shared" si="709"/>
        <v>0</v>
      </c>
      <c r="N570" s="138">
        <f t="shared" si="710"/>
        <v>0</v>
      </c>
      <c r="O570" s="58"/>
      <c r="P570" s="6" t="s">
        <v>3</v>
      </c>
      <c r="Q570" s="14"/>
      <c r="R570" s="11"/>
      <c r="S570" s="11"/>
      <c r="T570" s="5">
        <f t="shared" si="711"/>
        <v>0</v>
      </c>
      <c r="U570" s="14"/>
      <c r="V570" s="11"/>
      <c r="W570" s="11"/>
      <c r="X570" s="5">
        <f t="shared" si="712"/>
        <v>0</v>
      </c>
      <c r="Y570" s="25"/>
      <c r="Z570" s="26"/>
      <c r="AA570" s="26"/>
      <c r="AB570" s="8">
        <f t="shared" si="713"/>
        <v>0</v>
      </c>
      <c r="AC570" s="86">
        <f t="shared" si="714"/>
        <v>0</v>
      </c>
    </row>
    <row r="571" spans="1:30" x14ac:dyDescent="0.15">
      <c r="A571" s="102" t="s">
        <v>3</v>
      </c>
      <c r="B571" s="27"/>
      <c r="C571" s="26"/>
      <c r="D571" s="26"/>
      <c r="E571" s="5">
        <f t="shared" si="707"/>
        <v>0</v>
      </c>
      <c r="F571" s="25"/>
      <c r="G571" s="26"/>
      <c r="H571" s="26"/>
      <c r="I571" s="5">
        <f t="shared" si="708"/>
        <v>0</v>
      </c>
      <c r="J571" s="25"/>
      <c r="K571" s="26"/>
      <c r="L571" s="26"/>
      <c r="M571" s="38">
        <f t="shared" si="709"/>
        <v>0</v>
      </c>
      <c r="N571" s="138">
        <f t="shared" si="710"/>
        <v>0</v>
      </c>
      <c r="P571" s="6" t="s">
        <v>3</v>
      </c>
      <c r="Q571" s="27"/>
      <c r="R571" s="26"/>
      <c r="S571" s="26"/>
      <c r="T571" s="5">
        <f t="shared" si="711"/>
        <v>0</v>
      </c>
      <c r="U571" s="27"/>
      <c r="V571" s="26"/>
      <c r="W571" s="26"/>
      <c r="X571" s="5">
        <f t="shared" si="712"/>
        <v>0</v>
      </c>
      <c r="Y571" s="25"/>
      <c r="Z571" s="26"/>
      <c r="AA571" s="26"/>
      <c r="AB571" s="5">
        <f t="shared" si="713"/>
        <v>0</v>
      </c>
      <c r="AC571" s="86">
        <f t="shared" si="714"/>
        <v>0</v>
      </c>
    </row>
    <row r="572" spans="1:30" x14ac:dyDescent="0.15">
      <c r="A572" s="102" t="s">
        <v>3</v>
      </c>
      <c r="B572" s="27"/>
      <c r="C572" s="26"/>
      <c r="D572" s="26"/>
      <c r="E572" s="5">
        <f t="shared" si="707"/>
        <v>0</v>
      </c>
      <c r="F572" s="25"/>
      <c r="G572" s="26"/>
      <c r="H572" s="26"/>
      <c r="I572" s="5">
        <f t="shared" si="708"/>
        <v>0</v>
      </c>
      <c r="J572" s="25"/>
      <c r="K572" s="26"/>
      <c r="L572" s="26"/>
      <c r="M572" s="38">
        <f t="shared" si="709"/>
        <v>0</v>
      </c>
      <c r="N572" s="138">
        <f t="shared" si="710"/>
        <v>0</v>
      </c>
      <c r="P572" s="6" t="s">
        <v>3</v>
      </c>
      <c r="Q572" s="27"/>
      <c r="R572" s="26"/>
      <c r="S572" s="26"/>
      <c r="T572" s="5">
        <f t="shared" ref="T572" si="715">SUM(Q572:S572)</f>
        <v>0</v>
      </c>
      <c r="U572" s="27"/>
      <c r="V572" s="26"/>
      <c r="W572" s="26"/>
      <c r="X572" s="5">
        <f t="shared" ref="X572" si="716">SUM(U572:W572)</f>
        <v>0</v>
      </c>
      <c r="Y572" s="25"/>
      <c r="Z572" s="26"/>
      <c r="AA572" s="26"/>
      <c r="AB572" s="5">
        <f t="shared" ref="AB572" si="717">SUM(Y572:AA572)</f>
        <v>0</v>
      </c>
      <c r="AC572" s="86">
        <f t="shared" ref="AC572" si="718">T572+X572+AB572</f>
        <v>0</v>
      </c>
    </row>
    <row r="573" spans="1:30" x14ac:dyDescent="0.15">
      <c r="A573" s="102" t="s">
        <v>3</v>
      </c>
      <c r="B573" s="27"/>
      <c r="C573" s="26"/>
      <c r="D573" s="26"/>
      <c r="E573" s="5">
        <f t="shared" si="707"/>
        <v>0</v>
      </c>
      <c r="F573" s="25"/>
      <c r="G573" s="26"/>
      <c r="H573" s="26"/>
      <c r="I573" s="5">
        <f t="shared" si="708"/>
        <v>0</v>
      </c>
      <c r="J573" s="25"/>
      <c r="K573" s="26"/>
      <c r="L573" s="26"/>
      <c r="M573" s="38">
        <f t="shared" si="709"/>
        <v>0</v>
      </c>
      <c r="N573" s="138">
        <f t="shared" si="710"/>
        <v>0</v>
      </c>
      <c r="P573" s="6" t="s">
        <v>3</v>
      </c>
      <c r="Q573" s="27"/>
      <c r="R573" s="26"/>
      <c r="S573" s="26"/>
      <c r="T573" s="5">
        <f t="shared" si="711"/>
        <v>0</v>
      </c>
      <c r="U573" s="27"/>
      <c r="V573" s="26"/>
      <c r="W573" s="26"/>
      <c r="X573" s="5">
        <f t="shared" si="712"/>
        <v>0</v>
      </c>
      <c r="Y573" s="25"/>
      <c r="Z573" s="26"/>
      <c r="AA573" s="26"/>
      <c r="AB573" s="5">
        <f t="shared" si="713"/>
        <v>0</v>
      </c>
      <c r="AC573" s="86">
        <f t="shared" si="714"/>
        <v>0</v>
      </c>
    </row>
    <row r="574" spans="1:30" ht="14.25" thickBot="1" x14ac:dyDescent="0.2">
      <c r="A574" s="102" t="s">
        <v>372</v>
      </c>
      <c r="B574" s="28"/>
      <c r="C574" s="29"/>
      <c r="D574" s="32">
        <v>-3</v>
      </c>
      <c r="E574" s="15">
        <f t="shared" ref="E574" si="719">SUM(B574:D574)</f>
        <v>-3</v>
      </c>
      <c r="F574" s="35"/>
      <c r="G574" s="29"/>
      <c r="H574" s="32">
        <v>-3</v>
      </c>
      <c r="I574" s="15">
        <f t="shared" si="708"/>
        <v>-3</v>
      </c>
      <c r="J574" s="35"/>
      <c r="K574" s="29"/>
      <c r="L574" s="32">
        <v>-3</v>
      </c>
      <c r="M574" s="40">
        <f t="shared" si="709"/>
        <v>-3</v>
      </c>
      <c r="N574" s="139">
        <f t="shared" si="710"/>
        <v>-9</v>
      </c>
      <c r="P574" s="7" t="s">
        <v>3</v>
      </c>
      <c r="Q574" s="28"/>
      <c r="R574" s="29"/>
      <c r="S574" s="29"/>
      <c r="T574" s="15">
        <f t="shared" si="711"/>
        <v>0</v>
      </c>
      <c r="U574" s="28"/>
      <c r="V574" s="29"/>
      <c r="W574" s="29"/>
      <c r="X574" s="15">
        <f t="shared" si="712"/>
        <v>0</v>
      </c>
      <c r="Y574" s="35"/>
      <c r="Z574" s="29"/>
      <c r="AA574" s="32"/>
      <c r="AB574" s="15">
        <f t="shared" si="713"/>
        <v>0</v>
      </c>
      <c r="AC574" s="87">
        <f t="shared" si="714"/>
        <v>0</v>
      </c>
    </row>
    <row r="575" spans="1:30" ht="14.25" thickBot="1" x14ac:dyDescent="0.2">
      <c r="A575" s="103" t="s">
        <v>4</v>
      </c>
      <c r="B575" s="17">
        <f>SUM(B564:B574)</f>
        <v>31</v>
      </c>
      <c r="C575" s="17">
        <f>SUM(C564:C574)</f>
        <v>31</v>
      </c>
      <c r="D575" s="17">
        <f>SUM(D564:D574)</f>
        <v>12</v>
      </c>
      <c r="E575" s="18">
        <f t="shared" si="707"/>
        <v>74</v>
      </c>
      <c r="F575" s="17">
        <f>SUM(F564:F574)</f>
        <v>29</v>
      </c>
      <c r="G575" s="17">
        <f>SUM(G564:G574)</f>
        <v>31</v>
      </c>
      <c r="H575" s="17">
        <f>SUM(H564:H574)</f>
        <v>9</v>
      </c>
      <c r="I575" s="18">
        <f t="shared" si="708"/>
        <v>69</v>
      </c>
      <c r="J575" s="17">
        <f>SUM(J564:J574)</f>
        <v>29</v>
      </c>
      <c r="K575" s="17">
        <f>SUM(K564:K574)</f>
        <v>28</v>
      </c>
      <c r="L575" s="17">
        <f>SUM(L564:L574)</f>
        <v>13</v>
      </c>
      <c r="M575" s="20">
        <f t="shared" si="709"/>
        <v>70</v>
      </c>
      <c r="N575" s="140">
        <f t="shared" si="710"/>
        <v>213</v>
      </c>
      <c r="P575" s="16" t="s">
        <v>4</v>
      </c>
      <c r="Q575" s="17">
        <f>SUM(Q564:Q574)</f>
        <v>277</v>
      </c>
      <c r="R575" s="17">
        <f t="shared" ref="R575" si="720">SUM(R564:R574)</f>
        <v>338</v>
      </c>
      <c r="S575" s="17">
        <f t="shared" ref="S575" si="721">SUM(S564:S574)</f>
        <v>390</v>
      </c>
      <c r="T575" s="18">
        <f t="shared" ref="T575" si="722">SUM(T564:T574)</f>
        <v>1005</v>
      </c>
      <c r="U575" s="17">
        <f t="shared" ref="U575" si="723">SUM(U564:U574)</f>
        <v>285</v>
      </c>
      <c r="V575" s="17">
        <f t="shared" ref="V575" si="724">SUM(V564:V574)</f>
        <v>376</v>
      </c>
      <c r="W575" s="17">
        <f t="shared" ref="W575" si="725">SUM(W564:W574)</f>
        <v>441</v>
      </c>
      <c r="X575" s="18">
        <f t="shared" ref="X575" si="726">SUM(X564:X574)</f>
        <v>1102</v>
      </c>
      <c r="Y575" s="17">
        <f t="shared" ref="Y575" si="727">SUM(Y564:Y574)</f>
        <v>274</v>
      </c>
      <c r="Z575" s="17">
        <f t="shared" ref="Z575" si="728">SUM(Z564:Z574)</f>
        <v>353</v>
      </c>
      <c r="AA575" s="17">
        <f t="shared" ref="AA575" si="729">SUM(AA564:AA574)</f>
        <v>405</v>
      </c>
      <c r="AB575" s="18">
        <f t="shared" ref="AB575" si="730">SUM(AB564:AB574)</f>
        <v>1032</v>
      </c>
      <c r="AC575" s="88">
        <f t="shared" ref="AC575" si="731">SUM(AC564:AC574)</f>
        <v>3139</v>
      </c>
    </row>
    <row r="576" spans="1:30" x14ac:dyDescent="0.15">
      <c r="A576" s="33" t="s">
        <v>553</v>
      </c>
      <c r="B576" s="9">
        <v>4</v>
      </c>
      <c r="C576" s="10"/>
      <c r="D576" s="31"/>
      <c r="E576" s="5">
        <f t="shared" si="707"/>
        <v>4</v>
      </c>
      <c r="F576" s="9">
        <v>4</v>
      </c>
      <c r="G576" s="10"/>
      <c r="H576" s="31"/>
      <c r="I576" s="5">
        <f t="shared" si="708"/>
        <v>4</v>
      </c>
      <c r="J576" s="9">
        <v>4</v>
      </c>
      <c r="K576" s="10"/>
      <c r="L576" s="31"/>
      <c r="M576" s="38">
        <f t="shared" si="709"/>
        <v>4</v>
      </c>
      <c r="N576" s="141">
        <f t="shared" si="710"/>
        <v>12</v>
      </c>
      <c r="O576" s="24">
        <v>45631</v>
      </c>
      <c r="P576" s="11" t="s">
        <v>534</v>
      </c>
      <c r="Q576" s="9">
        <v>11</v>
      </c>
      <c r="R576" s="10">
        <v>12</v>
      </c>
      <c r="S576" s="31">
        <v>11</v>
      </c>
      <c r="T576" s="5">
        <f t="shared" si="711"/>
        <v>34</v>
      </c>
      <c r="U576" s="9">
        <v>11</v>
      </c>
      <c r="V576" s="10">
        <v>12</v>
      </c>
      <c r="W576" s="31">
        <v>11</v>
      </c>
      <c r="X576" s="5">
        <f t="shared" si="712"/>
        <v>34</v>
      </c>
      <c r="Y576" s="9">
        <v>11</v>
      </c>
      <c r="Z576" s="10">
        <v>12</v>
      </c>
      <c r="AA576" s="31">
        <v>11</v>
      </c>
      <c r="AB576" s="5">
        <f t="shared" si="713"/>
        <v>34</v>
      </c>
      <c r="AC576" s="91">
        <f t="shared" si="714"/>
        <v>102</v>
      </c>
      <c r="AD576" s="109">
        <v>45630</v>
      </c>
    </row>
    <row r="577" spans="1:31" x14ac:dyDescent="0.15">
      <c r="A577" s="33" t="s">
        <v>560</v>
      </c>
      <c r="B577" s="9"/>
      <c r="C577" s="10">
        <v>1</v>
      </c>
      <c r="D577" s="10"/>
      <c r="E577" s="5">
        <f t="shared" si="707"/>
        <v>1</v>
      </c>
      <c r="F577" s="9"/>
      <c r="G577" s="10">
        <v>1</v>
      </c>
      <c r="H577" s="10"/>
      <c r="I577" s="5">
        <f t="shared" si="708"/>
        <v>1</v>
      </c>
      <c r="J577" s="9"/>
      <c r="K577" s="10">
        <v>1</v>
      </c>
      <c r="L577" s="10"/>
      <c r="M577" s="38">
        <f t="shared" si="709"/>
        <v>1</v>
      </c>
      <c r="N577" s="138">
        <f t="shared" si="710"/>
        <v>3</v>
      </c>
      <c r="O577" s="24">
        <v>45632</v>
      </c>
      <c r="P577" s="4" t="s">
        <v>581</v>
      </c>
      <c r="Q577" s="9">
        <v>17</v>
      </c>
      <c r="R577" s="10">
        <v>15</v>
      </c>
      <c r="S577" s="10">
        <v>9</v>
      </c>
      <c r="T577" s="8">
        <f t="shared" si="711"/>
        <v>41</v>
      </c>
      <c r="U577" s="9">
        <v>17</v>
      </c>
      <c r="V577" s="10">
        <v>15</v>
      </c>
      <c r="W577" s="10">
        <v>9</v>
      </c>
      <c r="X577" s="8">
        <f t="shared" si="712"/>
        <v>41</v>
      </c>
      <c r="Y577" s="9">
        <v>17</v>
      </c>
      <c r="Z577" s="10">
        <v>15</v>
      </c>
      <c r="AA577" s="10">
        <v>9</v>
      </c>
      <c r="AB577" s="8">
        <f t="shared" si="713"/>
        <v>41</v>
      </c>
      <c r="AC577" s="86">
        <f t="shared" si="714"/>
        <v>123</v>
      </c>
      <c r="AD577" s="109">
        <v>45628</v>
      </c>
    </row>
    <row r="578" spans="1:31" x14ac:dyDescent="0.15">
      <c r="A578" s="33" t="s">
        <v>562</v>
      </c>
      <c r="B578" s="9"/>
      <c r="C578" s="10">
        <v>1</v>
      </c>
      <c r="D578" s="10"/>
      <c r="E578" s="5">
        <f t="shared" si="707"/>
        <v>1</v>
      </c>
      <c r="F578" s="9"/>
      <c r="G578" s="10">
        <v>1</v>
      </c>
      <c r="H578" s="10"/>
      <c r="I578" s="5">
        <f t="shared" si="708"/>
        <v>1</v>
      </c>
      <c r="J578" s="9"/>
      <c r="K578" s="10">
        <v>1</v>
      </c>
      <c r="L578" s="10"/>
      <c r="M578" s="38">
        <f t="shared" si="709"/>
        <v>1</v>
      </c>
      <c r="N578" s="138">
        <f t="shared" si="710"/>
        <v>3</v>
      </c>
      <c r="O578" s="24">
        <v>45635</v>
      </c>
      <c r="P578" s="33" t="s">
        <v>551</v>
      </c>
      <c r="Q578" s="9">
        <v>3</v>
      </c>
      <c r="R578" s="10"/>
      <c r="S578" s="10">
        <v>8</v>
      </c>
      <c r="T578" s="8">
        <f t="shared" si="711"/>
        <v>11</v>
      </c>
      <c r="U578" s="9">
        <v>3</v>
      </c>
      <c r="V578" s="10"/>
      <c r="W578" s="10">
        <v>8</v>
      </c>
      <c r="X578" s="8">
        <f t="shared" si="712"/>
        <v>11</v>
      </c>
      <c r="Y578" s="9">
        <v>3</v>
      </c>
      <c r="Z578" s="10"/>
      <c r="AA578" s="10">
        <v>8</v>
      </c>
      <c r="AB578" s="8">
        <f t="shared" si="713"/>
        <v>11</v>
      </c>
      <c r="AC578" s="86">
        <f t="shared" si="714"/>
        <v>33</v>
      </c>
      <c r="AD578" s="109">
        <v>45630</v>
      </c>
    </row>
    <row r="579" spans="1:31" x14ac:dyDescent="0.15">
      <c r="A579" s="33" t="s">
        <v>36</v>
      </c>
      <c r="B579" s="9"/>
      <c r="C579" s="10">
        <v>1</v>
      </c>
      <c r="D579" s="10"/>
      <c r="E579" s="5">
        <f t="shared" si="707"/>
        <v>1</v>
      </c>
      <c r="F579" s="9"/>
      <c r="G579" s="10">
        <v>1</v>
      </c>
      <c r="H579" s="10"/>
      <c r="I579" s="5">
        <f t="shared" si="708"/>
        <v>1</v>
      </c>
      <c r="J579" s="9"/>
      <c r="K579" s="10">
        <v>1</v>
      </c>
      <c r="L579" s="10"/>
      <c r="M579" s="38">
        <f t="shared" si="709"/>
        <v>1</v>
      </c>
      <c r="N579" s="138">
        <f t="shared" si="710"/>
        <v>3</v>
      </c>
      <c r="O579" s="24">
        <v>45632</v>
      </c>
      <c r="P579" s="11" t="s">
        <v>552</v>
      </c>
      <c r="Q579" s="9">
        <v>5</v>
      </c>
      <c r="R579" s="10">
        <v>5</v>
      </c>
      <c r="S579" s="10">
        <v>12</v>
      </c>
      <c r="T579" s="8">
        <f t="shared" si="711"/>
        <v>22</v>
      </c>
      <c r="U579" s="9">
        <v>5</v>
      </c>
      <c r="V579" s="10">
        <v>5</v>
      </c>
      <c r="W579" s="10">
        <v>12</v>
      </c>
      <c r="X579" s="8">
        <f t="shared" si="712"/>
        <v>22</v>
      </c>
      <c r="Y579" s="9">
        <v>5</v>
      </c>
      <c r="Z579" s="10">
        <v>5</v>
      </c>
      <c r="AA579" s="10">
        <v>12</v>
      </c>
      <c r="AB579" s="8">
        <f t="shared" si="713"/>
        <v>22</v>
      </c>
      <c r="AC579" s="86">
        <f t="shared" si="714"/>
        <v>66</v>
      </c>
      <c r="AD579" s="109">
        <v>45636</v>
      </c>
    </row>
    <row r="580" spans="1:31" x14ac:dyDescent="0.15">
      <c r="A580" s="4" t="s">
        <v>563</v>
      </c>
      <c r="B580" s="9">
        <v>1</v>
      </c>
      <c r="C580" s="10">
        <v>3</v>
      </c>
      <c r="D580" s="10">
        <v>1</v>
      </c>
      <c r="E580" s="5">
        <f t="shared" si="707"/>
        <v>5</v>
      </c>
      <c r="F580" s="9">
        <v>1</v>
      </c>
      <c r="G580" s="10">
        <v>3</v>
      </c>
      <c r="H580" s="10">
        <v>1</v>
      </c>
      <c r="I580" s="5">
        <f t="shared" si="708"/>
        <v>5</v>
      </c>
      <c r="J580" s="9">
        <v>1</v>
      </c>
      <c r="K580" s="10">
        <v>3</v>
      </c>
      <c r="L580" s="10">
        <v>1</v>
      </c>
      <c r="M580" s="38">
        <f t="shared" si="709"/>
        <v>5</v>
      </c>
      <c r="N580" s="138">
        <f t="shared" si="710"/>
        <v>15</v>
      </c>
      <c r="O580" s="24">
        <v>45636</v>
      </c>
      <c r="P580" s="4" t="s">
        <v>582</v>
      </c>
      <c r="Q580" s="9">
        <v>17</v>
      </c>
      <c r="R580" s="10">
        <v>30</v>
      </c>
      <c r="S580" s="10">
        <v>20</v>
      </c>
      <c r="T580" s="5">
        <f t="shared" si="711"/>
        <v>67</v>
      </c>
      <c r="U580" s="9">
        <v>17</v>
      </c>
      <c r="V580" s="10">
        <v>30</v>
      </c>
      <c r="W580" s="10">
        <v>20</v>
      </c>
      <c r="X580" s="5">
        <f t="shared" si="712"/>
        <v>67</v>
      </c>
      <c r="Y580" s="9">
        <v>17</v>
      </c>
      <c r="Z580" s="10">
        <v>30</v>
      </c>
      <c r="AA580" s="10">
        <v>20</v>
      </c>
      <c r="AB580" s="5">
        <f t="shared" si="713"/>
        <v>67</v>
      </c>
      <c r="AC580" s="86">
        <f t="shared" si="714"/>
        <v>201</v>
      </c>
      <c r="AD580" s="109">
        <v>45631</v>
      </c>
      <c r="AE580" s="58"/>
    </row>
    <row r="581" spans="1:31" x14ac:dyDescent="0.15">
      <c r="A581" s="33" t="s">
        <v>566</v>
      </c>
      <c r="B581" s="9"/>
      <c r="C581" s="10">
        <v>4</v>
      </c>
      <c r="D581" s="10">
        <v>1</v>
      </c>
      <c r="E581" s="8">
        <f t="shared" si="707"/>
        <v>5</v>
      </c>
      <c r="F581" s="9"/>
      <c r="G581" s="10">
        <v>4</v>
      </c>
      <c r="H581" s="10">
        <v>1</v>
      </c>
      <c r="I581" s="5">
        <f t="shared" si="708"/>
        <v>5</v>
      </c>
      <c r="J581" s="9"/>
      <c r="K581" s="10">
        <v>4</v>
      </c>
      <c r="L581" s="10">
        <v>1</v>
      </c>
      <c r="M581" s="38">
        <f t="shared" si="709"/>
        <v>5</v>
      </c>
      <c r="N581" s="138">
        <f t="shared" si="710"/>
        <v>15</v>
      </c>
      <c r="O581" s="24">
        <v>45637</v>
      </c>
      <c r="P581" s="33" t="s">
        <v>558</v>
      </c>
      <c r="Q581" s="9">
        <v>4</v>
      </c>
      <c r="R581" s="10"/>
      <c r="S581" s="10"/>
      <c r="T581" s="8">
        <f t="shared" si="711"/>
        <v>4</v>
      </c>
      <c r="U581" s="9">
        <v>4</v>
      </c>
      <c r="V581" s="10"/>
      <c r="W581" s="10"/>
      <c r="X581" s="8">
        <f t="shared" si="712"/>
        <v>4</v>
      </c>
      <c r="Y581" s="9">
        <v>4</v>
      </c>
      <c r="Z581" s="10"/>
      <c r="AA581" s="10"/>
      <c r="AB581" s="8">
        <f t="shared" si="713"/>
        <v>4</v>
      </c>
      <c r="AC581" s="86">
        <f t="shared" si="714"/>
        <v>12</v>
      </c>
      <c r="AD581" s="109">
        <v>45632</v>
      </c>
      <c r="AE581" s="58"/>
    </row>
    <row r="582" spans="1:31" x14ac:dyDescent="0.15">
      <c r="A582" s="33" t="s">
        <v>568</v>
      </c>
      <c r="B582" s="9">
        <v>1</v>
      </c>
      <c r="C582" s="10">
        <v>3</v>
      </c>
      <c r="D582" s="10"/>
      <c r="E582" s="8">
        <f t="shared" si="707"/>
        <v>4</v>
      </c>
      <c r="F582" s="9">
        <v>1</v>
      </c>
      <c r="G582" s="10">
        <v>3</v>
      </c>
      <c r="H582" s="10"/>
      <c r="I582" s="5">
        <f t="shared" si="708"/>
        <v>4</v>
      </c>
      <c r="J582" s="9">
        <v>1</v>
      </c>
      <c r="K582" s="10">
        <v>3</v>
      </c>
      <c r="L582" s="10"/>
      <c r="M582" s="38">
        <f t="shared" si="709"/>
        <v>4</v>
      </c>
      <c r="N582" s="138">
        <f t="shared" si="710"/>
        <v>12</v>
      </c>
      <c r="O582" s="24">
        <v>45638</v>
      </c>
      <c r="P582" s="11" t="s">
        <v>559</v>
      </c>
      <c r="Q582" s="9">
        <v>5</v>
      </c>
      <c r="R582" s="10"/>
      <c r="S582" s="10"/>
      <c r="T582" s="8">
        <f t="shared" si="711"/>
        <v>5</v>
      </c>
      <c r="U582" s="9">
        <v>5</v>
      </c>
      <c r="V582" s="10"/>
      <c r="W582" s="10"/>
      <c r="X582" s="8">
        <f t="shared" si="712"/>
        <v>5</v>
      </c>
      <c r="Y582" s="9">
        <v>5</v>
      </c>
      <c r="Z582" s="10"/>
      <c r="AA582" s="10"/>
      <c r="AB582" s="8">
        <f t="shared" si="713"/>
        <v>5</v>
      </c>
      <c r="AC582" s="86">
        <f t="shared" si="714"/>
        <v>15</v>
      </c>
      <c r="AD582" s="109">
        <v>45631</v>
      </c>
    </row>
    <row r="583" spans="1:31" x14ac:dyDescent="0.15">
      <c r="A583" s="33" t="s">
        <v>569</v>
      </c>
      <c r="B583" s="9">
        <v>1</v>
      </c>
      <c r="C583" s="10"/>
      <c r="D583" s="10"/>
      <c r="E583" s="8">
        <f t="shared" si="707"/>
        <v>1</v>
      </c>
      <c r="F583" s="9">
        <v>1</v>
      </c>
      <c r="G583" s="10"/>
      <c r="H583" s="10"/>
      <c r="I583" s="5">
        <f t="shared" si="708"/>
        <v>1</v>
      </c>
      <c r="J583" s="9">
        <v>1</v>
      </c>
      <c r="K583" s="10"/>
      <c r="L583" s="10"/>
      <c r="M583" s="38">
        <f t="shared" si="709"/>
        <v>1</v>
      </c>
      <c r="N583" s="138">
        <f t="shared" si="710"/>
        <v>3</v>
      </c>
      <c r="O583" s="24">
        <v>45636</v>
      </c>
      <c r="P583" s="11" t="s">
        <v>561</v>
      </c>
      <c r="Q583" s="9">
        <v>22</v>
      </c>
      <c r="R583" s="10">
        <v>33</v>
      </c>
      <c r="S583" s="10">
        <v>22</v>
      </c>
      <c r="T583" s="8">
        <f t="shared" si="711"/>
        <v>77</v>
      </c>
      <c r="U583" s="9">
        <v>22</v>
      </c>
      <c r="V583" s="10">
        <v>33</v>
      </c>
      <c r="W583" s="10">
        <v>22</v>
      </c>
      <c r="X583" s="8">
        <f t="shared" si="712"/>
        <v>77</v>
      </c>
      <c r="Y583" s="9">
        <v>22</v>
      </c>
      <c r="Z583" s="10">
        <v>33</v>
      </c>
      <c r="AA583" s="10">
        <v>22</v>
      </c>
      <c r="AB583" s="8">
        <f t="shared" si="713"/>
        <v>77</v>
      </c>
      <c r="AC583" s="86">
        <f t="shared" si="714"/>
        <v>231</v>
      </c>
      <c r="AD583" s="109">
        <v>45635</v>
      </c>
    </row>
    <row r="584" spans="1:31" x14ac:dyDescent="0.15">
      <c r="A584" s="33" t="s">
        <v>36</v>
      </c>
      <c r="B584" s="9"/>
      <c r="C584" s="10"/>
      <c r="D584" s="10">
        <v>1</v>
      </c>
      <c r="E584" s="8">
        <f t="shared" si="707"/>
        <v>1</v>
      </c>
      <c r="F584" s="9"/>
      <c r="G584" s="10"/>
      <c r="H584" s="10">
        <v>1</v>
      </c>
      <c r="I584" s="5">
        <f t="shared" si="708"/>
        <v>1</v>
      </c>
      <c r="J584" s="9">
        <v>1</v>
      </c>
      <c r="K584" s="10"/>
      <c r="L584" s="10">
        <v>1</v>
      </c>
      <c r="M584" s="38">
        <f t="shared" si="709"/>
        <v>2</v>
      </c>
      <c r="N584" s="138">
        <f t="shared" si="710"/>
        <v>4</v>
      </c>
      <c r="O584" s="24">
        <v>45637</v>
      </c>
      <c r="P584" s="4" t="s">
        <v>583</v>
      </c>
      <c r="Q584" s="9">
        <v>8</v>
      </c>
      <c r="R584" s="10">
        <v>22</v>
      </c>
      <c r="S584" s="10">
        <v>5</v>
      </c>
      <c r="T584" s="8">
        <f t="shared" si="711"/>
        <v>35</v>
      </c>
      <c r="U584" s="9">
        <v>8</v>
      </c>
      <c r="V584" s="10">
        <v>22</v>
      </c>
      <c r="W584" s="10">
        <v>5</v>
      </c>
      <c r="X584" s="8">
        <f t="shared" si="712"/>
        <v>35</v>
      </c>
      <c r="Y584" s="9">
        <v>8</v>
      </c>
      <c r="Z584" s="10">
        <v>22</v>
      </c>
      <c r="AA584" s="10">
        <v>5</v>
      </c>
      <c r="AB584" s="8">
        <f t="shared" si="713"/>
        <v>35</v>
      </c>
      <c r="AC584" s="86">
        <f t="shared" si="714"/>
        <v>105</v>
      </c>
      <c r="AD584" s="109">
        <v>45636</v>
      </c>
    </row>
    <row r="585" spans="1:31" x14ac:dyDescent="0.15">
      <c r="A585" s="33" t="s">
        <v>573</v>
      </c>
      <c r="B585" s="9">
        <v>8</v>
      </c>
      <c r="C585" s="10">
        <v>2</v>
      </c>
      <c r="D585" s="10">
        <v>2</v>
      </c>
      <c r="E585" s="8">
        <f t="shared" si="707"/>
        <v>12</v>
      </c>
      <c r="F585" s="9">
        <v>8</v>
      </c>
      <c r="G585" s="10">
        <v>2</v>
      </c>
      <c r="H585" s="10">
        <v>2</v>
      </c>
      <c r="I585" s="5">
        <f t="shared" si="708"/>
        <v>12</v>
      </c>
      <c r="J585" s="9">
        <v>8</v>
      </c>
      <c r="K585" s="10">
        <v>2</v>
      </c>
      <c r="L585" s="10">
        <v>2</v>
      </c>
      <c r="M585" s="38">
        <f t="shared" si="709"/>
        <v>12</v>
      </c>
      <c r="N585" s="138">
        <f t="shared" si="710"/>
        <v>36</v>
      </c>
      <c r="O585" s="24">
        <v>45642</v>
      </c>
      <c r="P585" s="4" t="s">
        <v>567</v>
      </c>
      <c r="Q585" s="9">
        <v>3</v>
      </c>
      <c r="R585" s="10">
        <v>5</v>
      </c>
      <c r="S585" s="10">
        <v>1</v>
      </c>
      <c r="T585" s="8">
        <f t="shared" si="711"/>
        <v>9</v>
      </c>
      <c r="U585" s="9">
        <v>3</v>
      </c>
      <c r="V585" s="10">
        <v>5</v>
      </c>
      <c r="W585" s="10">
        <v>1</v>
      </c>
      <c r="X585" s="8">
        <f t="shared" si="712"/>
        <v>9</v>
      </c>
      <c r="Y585" s="9">
        <v>3</v>
      </c>
      <c r="Z585" s="10">
        <v>5</v>
      </c>
      <c r="AA585" s="10">
        <v>1</v>
      </c>
      <c r="AB585" s="8">
        <f t="shared" si="713"/>
        <v>9</v>
      </c>
      <c r="AC585" s="86">
        <f t="shared" si="714"/>
        <v>27</v>
      </c>
      <c r="AD585" s="109">
        <v>45636</v>
      </c>
      <c r="AE585" s="58"/>
    </row>
    <row r="586" spans="1:31" x14ac:dyDescent="0.15">
      <c r="A586" s="33" t="s">
        <v>36</v>
      </c>
      <c r="B586" s="9"/>
      <c r="C586" s="10"/>
      <c r="D586" s="10"/>
      <c r="E586" s="8">
        <f t="shared" si="707"/>
        <v>0</v>
      </c>
      <c r="F586" s="9">
        <v>3</v>
      </c>
      <c r="G586" s="10"/>
      <c r="H586" s="10"/>
      <c r="I586" s="5">
        <f t="shared" si="708"/>
        <v>3</v>
      </c>
      <c r="J586" s="9"/>
      <c r="K586" s="10"/>
      <c r="L586" s="10"/>
      <c r="M586" s="38">
        <f t="shared" si="709"/>
        <v>0</v>
      </c>
      <c r="N586" s="138">
        <f t="shared" si="710"/>
        <v>3</v>
      </c>
      <c r="O586" s="24">
        <v>45638</v>
      </c>
      <c r="P586" s="11" t="s">
        <v>570</v>
      </c>
      <c r="Q586" s="9">
        <v>40</v>
      </c>
      <c r="R586" s="10">
        <v>60</v>
      </c>
      <c r="S586" s="10">
        <v>40</v>
      </c>
      <c r="T586" s="8">
        <f t="shared" si="711"/>
        <v>140</v>
      </c>
      <c r="U586" s="9">
        <v>40</v>
      </c>
      <c r="V586" s="10">
        <v>60</v>
      </c>
      <c r="W586" s="10">
        <v>40</v>
      </c>
      <c r="X586" s="8">
        <f t="shared" si="712"/>
        <v>140</v>
      </c>
      <c r="Y586" s="9">
        <v>40</v>
      </c>
      <c r="Z586" s="10">
        <v>60</v>
      </c>
      <c r="AA586" s="10">
        <v>40</v>
      </c>
      <c r="AB586" s="8">
        <f t="shared" si="713"/>
        <v>140</v>
      </c>
      <c r="AC586" s="86">
        <f t="shared" si="714"/>
        <v>420</v>
      </c>
      <c r="AD586" s="109">
        <v>45637</v>
      </c>
      <c r="AE586" s="58"/>
    </row>
    <row r="587" spans="1:31" x14ac:dyDescent="0.15">
      <c r="A587" s="33" t="s">
        <v>585</v>
      </c>
      <c r="B587" s="9"/>
      <c r="C587" s="10">
        <v>2</v>
      </c>
      <c r="D587" s="10"/>
      <c r="E587" s="8">
        <f t="shared" si="707"/>
        <v>2</v>
      </c>
      <c r="F587" s="9"/>
      <c r="G587" s="10">
        <v>2</v>
      </c>
      <c r="H587" s="10"/>
      <c r="I587" s="5">
        <f t="shared" si="708"/>
        <v>2</v>
      </c>
      <c r="J587" s="9"/>
      <c r="K587" s="10">
        <v>2</v>
      </c>
      <c r="L587" s="10"/>
      <c r="M587" s="38">
        <f t="shared" si="709"/>
        <v>2</v>
      </c>
      <c r="N587" s="138">
        <f t="shared" si="710"/>
        <v>6</v>
      </c>
      <c r="O587" s="24">
        <v>45644</v>
      </c>
      <c r="P587" s="4" t="s">
        <v>571</v>
      </c>
      <c r="Q587" s="9">
        <v>5</v>
      </c>
      <c r="R587" s="10">
        <v>4</v>
      </c>
      <c r="S587" s="10">
        <v>1</v>
      </c>
      <c r="T587" s="8">
        <f t="shared" si="711"/>
        <v>10</v>
      </c>
      <c r="U587" s="9">
        <v>5</v>
      </c>
      <c r="V587" s="10">
        <v>4</v>
      </c>
      <c r="W587" s="10">
        <v>1</v>
      </c>
      <c r="X587" s="8">
        <f t="shared" si="712"/>
        <v>10</v>
      </c>
      <c r="Y587" s="9">
        <v>5</v>
      </c>
      <c r="Z587" s="10">
        <v>4</v>
      </c>
      <c r="AA587" s="10">
        <v>1</v>
      </c>
      <c r="AB587" s="8">
        <f t="shared" si="713"/>
        <v>10</v>
      </c>
      <c r="AC587" s="86">
        <f t="shared" si="714"/>
        <v>30</v>
      </c>
      <c r="AD587" s="109">
        <v>45638</v>
      </c>
    </row>
    <row r="588" spans="1:31" x14ac:dyDescent="0.15">
      <c r="A588" s="33" t="s">
        <v>36</v>
      </c>
      <c r="B588" s="9">
        <v>1</v>
      </c>
      <c r="C588" s="10"/>
      <c r="D588" s="10"/>
      <c r="E588" s="8">
        <f t="shared" si="707"/>
        <v>1</v>
      </c>
      <c r="F588" s="9">
        <v>2</v>
      </c>
      <c r="G588" s="10"/>
      <c r="H588" s="10"/>
      <c r="I588" s="5">
        <f t="shared" si="708"/>
        <v>2</v>
      </c>
      <c r="J588" s="9">
        <f>1+1</f>
        <v>2</v>
      </c>
      <c r="K588" s="10"/>
      <c r="L588" s="10"/>
      <c r="M588" s="38">
        <f t="shared" si="709"/>
        <v>2</v>
      </c>
      <c r="N588" s="138">
        <f t="shared" si="710"/>
        <v>5</v>
      </c>
      <c r="O588" s="24">
        <v>45642</v>
      </c>
      <c r="Q588" s="9">
        <v>3</v>
      </c>
      <c r="R588" s="10">
        <v>2</v>
      </c>
      <c r="S588" s="10"/>
      <c r="T588" s="8">
        <f t="shared" si="711"/>
        <v>5</v>
      </c>
      <c r="U588" s="9">
        <v>3</v>
      </c>
      <c r="V588" s="10">
        <v>2</v>
      </c>
      <c r="W588" s="10"/>
      <c r="X588" s="8">
        <f t="shared" si="712"/>
        <v>5</v>
      </c>
      <c r="Y588" s="9">
        <v>3</v>
      </c>
      <c r="Z588" s="10">
        <v>2</v>
      </c>
      <c r="AA588" s="10"/>
      <c r="AB588" s="8">
        <f t="shared" si="713"/>
        <v>5</v>
      </c>
      <c r="AC588" s="86">
        <f t="shared" si="714"/>
        <v>15</v>
      </c>
      <c r="AD588" s="109">
        <v>45639</v>
      </c>
    </row>
    <row r="589" spans="1:31" x14ac:dyDescent="0.15">
      <c r="A589" s="33" t="s">
        <v>588</v>
      </c>
      <c r="B589" s="9"/>
      <c r="C589" s="10">
        <v>1</v>
      </c>
      <c r="D589" s="10"/>
      <c r="E589" s="8">
        <f t="shared" si="707"/>
        <v>1</v>
      </c>
      <c r="F589" s="9"/>
      <c r="G589" s="10">
        <v>1</v>
      </c>
      <c r="H589" s="10"/>
      <c r="I589" s="8">
        <f t="shared" si="708"/>
        <v>1</v>
      </c>
      <c r="J589" s="9"/>
      <c r="K589" s="10">
        <v>1</v>
      </c>
      <c r="L589" s="10"/>
      <c r="M589" s="39">
        <f t="shared" si="709"/>
        <v>1</v>
      </c>
      <c r="N589" s="138">
        <f t="shared" si="710"/>
        <v>3</v>
      </c>
      <c r="O589" s="24">
        <v>45645</v>
      </c>
      <c r="P589" s="11" t="s">
        <v>27</v>
      </c>
      <c r="Q589" s="9"/>
      <c r="R589" s="10">
        <v>10</v>
      </c>
      <c r="S589" s="10"/>
      <c r="T589" s="8">
        <f t="shared" ref="T589:T592" si="732">SUM(Q589:S589)</f>
        <v>10</v>
      </c>
      <c r="U589" s="9"/>
      <c r="V589" s="10">
        <v>10</v>
      </c>
      <c r="W589" s="10"/>
      <c r="X589" s="8">
        <f t="shared" ref="X589:X592" si="733">SUM(U589:W589)</f>
        <v>10</v>
      </c>
      <c r="Y589" s="9"/>
      <c r="Z589" s="10">
        <v>10</v>
      </c>
      <c r="AA589" s="10"/>
      <c r="AB589" s="8">
        <f t="shared" ref="AB589:AB592" si="734">SUM(Y589:AA589)</f>
        <v>10</v>
      </c>
      <c r="AC589" s="86">
        <f t="shared" si="714"/>
        <v>30</v>
      </c>
      <c r="AD589" s="109">
        <v>45638</v>
      </c>
    </row>
    <row r="590" spans="1:31" x14ac:dyDescent="0.15">
      <c r="A590" s="33" t="s">
        <v>36</v>
      </c>
      <c r="B590" s="9"/>
      <c r="C590" s="10"/>
      <c r="D590" s="10">
        <v>1</v>
      </c>
      <c r="E590" s="8">
        <f t="shared" si="707"/>
        <v>1</v>
      </c>
      <c r="F590" s="9">
        <v>1</v>
      </c>
      <c r="G590" s="10"/>
      <c r="H590" s="10">
        <v>1</v>
      </c>
      <c r="I590" s="8">
        <f t="shared" si="708"/>
        <v>2</v>
      </c>
      <c r="J590" s="9"/>
      <c r="K590" s="10"/>
      <c r="L590" s="10">
        <v>1</v>
      </c>
      <c r="M590" s="39">
        <f t="shared" si="709"/>
        <v>1</v>
      </c>
      <c r="N590" s="138">
        <f t="shared" si="710"/>
        <v>4</v>
      </c>
      <c r="O590" s="24">
        <v>45644</v>
      </c>
      <c r="P590" s="11" t="s">
        <v>572</v>
      </c>
      <c r="Q590" s="9">
        <v>40</v>
      </c>
      <c r="R590" s="10">
        <v>50</v>
      </c>
      <c r="S590" s="10">
        <v>20</v>
      </c>
      <c r="T590" s="8">
        <f t="shared" si="732"/>
        <v>110</v>
      </c>
      <c r="U590" s="9">
        <v>40</v>
      </c>
      <c r="V590" s="10">
        <v>50</v>
      </c>
      <c r="W590" s="10">
        <v>20</v>
      </c>
      <c r="X590" s="8">
        <f t="shared" si="733"/>
        <v>110</v>
      </c>
      <c r="Y590" s="9">
        <v>40</v>
      </c>
      <c r="Z590" s="10">
        <v>50</v>
      </c>
      <c r="AA590" s="10">
        <v>20</v>
      </c>
      <c r="AB590" s="8">
        <f t="shared" si="734"/>
        <v>110</v>
      </c>
      <c r="AC590" s="86">
        <f t="shared" si="714"/>
        <v>330</v>
      </c>
      <c r="AD590" s="109">
        <v>45639</v>
      </c>
    </row>
    <row r="591" spans="1:31" x14ac:dyDescent="0.15">
      <c r="A591" s="63"/>
      <c r="B591" s="9"/>
      <c r="C591" s="10"/>
      <c r="D591" s="10"/>
      <c r="E591" s="8">
        <f t="shared" si="707"/>
        <v>0</v>
      </c>
      <c r="F591" s="9"/>
      <c r="G591" s="10"/>
      <c r="H591" s="10"/>
      <c r="I591" s="8">
        <f t="shared" si="708"/>
        <v>0</v>
      </c>
      <c r="J591" s="9"/>
      <c r="K591" s="10"/>
      <c r="L591" s="10"/>
      <c r="M591" s="39">
        <f t="shared" si="709"/>
        <v>0</v>
      </c>
      <c r="N591" s="138">
        <f t="shared" si="710"/>
        <v>0</v>
      </c>
      <c r="P591" s="11" t="s">
        <v>27</v>
      </c>
      <c r="Q591" s="9">
        <v>10</v>
      </c>
      <c r="R591" s="10"/>
      <c r="S591" s="10"/>
      <c r="T591" s="8">
        <f t="shared" ref="T591" si="735">SUM(Q591:S591)</f>
        <v>10</v>
      </c>
      <c r="U591" s="9">
        <v>10</v>
      </c>
      <c r="V591" s="10"/>
      <c r="W591" s="10"/>
      <c r="X591" s="8">
        <f t="shared" ref="X591" si="736">SUM(U591:W591)</f>
        <v>10</v>
      </c>
      <c r="Y591" s="9">
        <v>10</v>
      </c>
      <c r="Z591" s="10"/>
      <c r="AA591" s="10"/>
      <c r="AB591" s="8">
        <f t="shared" ref="AB591" si="737">SUM(Y591:AA591)</f>
        <v>10</v>
      </c>
      <c r="AC591" s="86">
        <f t="shared" si="714"/>
        <v>30</v>
      </c>
      <c r="AD591" s="109">
        <v>45639</v>
      </c>
    </row>
    <row r="592" spans="1:31" x14ac:dyDescent="0.15">
      <c r="A592" s="33"/>
      <c r="B592" s="9"/>
      <c r="C592" s="10"/>
      <c r="D592" s="10"/>
      <c r="E592" s="8">
        <f t="shared" si="707"/>
        <v>0</v>
      </c>
      <c r="F592" s="9"/>
      <c r="G592" s="10"/>
      <c r="H592" s="10"/>
      <c r="I592" s="8">
        <f t="shared" si="708"/>
        <v>0</v>
      </c>
      <c r="J592" s="9"/>
      <c r="K592" s="10"/>
      <c r="L592" s="10"/>
      <c r="M592" s="39">
        <f t="shared" si="709"/>
        <v>0</v>
      </c>
      <c r="N592" s="138">
        <f t="shared" si="710"/>
        <v>0</v>
      </c>
      <c r="P592" s="11" t="s">
        <v>574</v>
      </c>
      <c r="Q592" s="9">
        <v>5</v>
      </c>
      <c r="R592" s="10"/>
      <c r="S592" s="10">
        <v>5</v>
      </c>
      <c r="T592" s="8">
        <f t="shared" si="732"/>
        <v>10</v>
      </c>
      <c r="U592" s="9">
        <v>5</v>
      </c>
      <c r="V592" s="10"/>
      <c r="W592" s="10">
        <v>5</v>
      </c>
      <c r="X592" s="8">
        <f t="shared" si="733"/>
        <v>10</v>
      </c>
      <c r="Y592" s="9">
        <v>5</v>
      </c>
      <c r="Z592" s="10"/>
      <c r="AA592" s="10">
        <v>5</v>
      </c>
      <c r="AB592" s="8">
        <f t="shared" si="734"/>
        <v>10</v>
      </c>
      <c r="AC592" s="86">
        <f t="shared" si="714"/>
        <v>30</v>
      </c>
      <c r="AD592" s="109">
        <v>45642</v>
      </c>
      <c r="AE592" s="58"/>
    </row>
    <row r="593" spans="1:31" x14ac:dyDescent="0.15">
      <c r="A593" s="33"/>
      <c r="B593" s="9"/>
      <c r="C593" s="10"/>
      <c r="D593" s="10"/>
      <c r="E593" s="8">
        <f t="shared" si="707"/>
        <v>0</v>
      </c>
      <c r="F593" s="9"/>
      <c r="G593" s="10"/>
      <c r="H593" s="10"/>
      <c r="I593" s="8">
        <f t="shared" si="708"/>
        <v>0</v>
      </c>
      <c r="J593" s="9"/>
      <c r="K593" s="10"/>
      <c r="L593" s="10"/>
      <c r="M593" s="39">
        <f t="shared" si="709"/>
        <v>0</v>
      </c>
      <c r="N593" s="138">
        <f t="shared" si="710"/>
        <v>0</v>
      </c>
      <c r="P593" s="33" t="s">
        <v>575</v>
      </c>
      <c r="Q593" s="9"/>
      <c r="R593" s="10">
        <v>1</v>
      </c>
      <c r="S593" s="10">
        <v>3</v>
      </c>
      <c r="T593" s="8">
        <f t="shared" ref="T593:T595" si="738">SUM(Q593:S593)</f>
        <v>4</v>
      </c>
      <c r="U593" s="9"/>
      <c r="V593" s="10">
        <v>1</v>
      </c>
      <c r="W593" s="10">
        <v>3</v>
      </c>
      <c r="X593" s="8">
        <f t="shared" ref="X593:X595" si="739">SUM(U593:W593)</f>
        <v>4</v>
      </c>
      <c r="Y593" s="9"/>
      <c r="Z593" s="10">
        <v>1</v>
      </c>
      <c r="AA593" s="10">
        <v>3</v>
      </c>
      <c r="AB593" s="8">
        <f t="shared" ref="AB593:AB595" si="740">SUM(Y593:AA593)</f>
        <v>4</v>
      </c>
      <c r="AC593" s="86">
        <f t="shared" ref="AC593:AC595" si="741">T593+X593+AB593</f>
        <v>12</v>
      </c>
      <c r="AD593" s="109">
        <v>45642</v>
      </c>
      <c r="AE593" s="58"/>
    </row>
    <row r="594" spans="1:31" x14ac:dyDescent="0.15">
      <c r="A594" s="33"/>
      <c r="B594" s="9"/>
      <c r="C594" s="10"/>
      <c r="D594" s="10"/>
      <c r="E594" s="8">
        <f t="shared" si="707"/>
        <v>0</v>
      </c>
      <c r="F594" s="9"/>
      <c r="G594" s="10"/>
      <c r="H594" s="10"/>
      <c r="I594" s="8">
        <f t="shared" si="708"/>
        <v>0</v>
      </c>
      <c r="J594" s="9"/>
      <c r="K594" s="10"/>
      <c r="L594" s="10"/>
      <c r="M594" s="39">
        <f t="shared" si="709"/>
        <v>0</v>
      </c>
      <c r="N594" s="138">
        <f t="shared" si="710"/>
        <v>0</v>
      </c>
      <c r="P594" s="4" t="s">
        <v>584</v>
      </c>
      <c r="Q594" s="9">
        <v>20</v>
      </c>
      <c r="R594" s="10">
        <v>30</v>
      </c>
      <c r="S594" s="10">
        <v>20</v>
      </c>
      <c r="T594" s="8">
        <f t="shared" si="738"/>
        <v>70</v>
      </c>
      <c r="U594" s="9">
        <v>20</v>
      </c>
      <c r="V594" s="10">
        <v>30</v>
      </c>
      <c r="W594" s="10">
        <v>20</v>
      </c>
      <c r="X594" s="8">
        <f t="shared" si="739"/>
        <v>70</v>
      </c>
      <c r="Y594" s="9">
        <v>20</v>
      </c>
      <c r="Z594" s="10">
        <v>30</v>
      </c>
      <c r="AA594" s="10">
        <v>20</v>
      </c>
      <c r="AB594" s="8">
        <f t="shared" si="740"/>
        <v>70</v>
      </c>
      <c r="AC594" s="86">
        <f t="shared" si="741"/>
        <v>210</v>
      </c>
      <c r="AD594" s="109">
        <v>45644</v>
      </c>
    </row>
    <row r="595" spans="1:31" x14ac:dyDescent="0.15">
      <c r="A595" s="33"/>
      <c r="B595" s="9"/>
      <c r="C595" s="10"/>
      <c r="D595" s="10"/>
      <c r="E595" s="8">
        <f t="shared" si="707"/>
        <v>0</v>
      </c>
      <c r="F595" s="9"/>
      <c r="G595" s="10"/>
      <c r="H595" s="10"/>
      <c r="I595" s="8">
        <f t="shared" si="708"/>
        <v>0</v>
      </c>
      <c r="J595" s="9"/>
      <c r="K595" s="10"/>
      <c r="L595" s="10"/>
      <c r="M595" s="39">
        <f t="shared" si="709"/>
        <v>0</v>
      </c>
      <c r="N595" s="138">
        <f t="shared" si="710"/>
        <v>0</v>
      </c>
      <c r="P595" s="4"/>
      <c r="Q595" s="9"/>
      <c r="R595" s="10"/>
      <c r="S595" s="10"/>
      <c r="T595" s="8">
        <f t="shared" si="738"/>
        <v>0</v>
      </c>
      <c r="U595" s="9"/>
      <c r="V595" s="10"/>
      <c r="W595" s="10"/>
      <c r="X595" s="8">
        <f t="shared" si="739"/>
        <v>0</v>
      </c>
      <c r="Y595" s="9"/>
      <c r="Z595" s="10"/>
      <c r="AA595" s="10"/>
      <c r="AB595" s="8">
        <f t="shared" si="740"/>
        <v>0</v>
      </c>
      <c r="AC595" s="86">
        <f t="shared" si="741"/>
        <v>0</v>
      </c>
    </row>
    <row r="596" spans="1:31" x14ac:dyDescent="0.15">
      <c r="A596" s="33"/>
      <c r="B596" s="9"/>
      <c r="C596" s="10"/>
      <c r="D596" s="10"/>
      <c r="E596" s="8">
        <f t="shared" si="707"/>
        <v>0</v>
      </c>
      <c r="F596" s="9"/>
      <c r="G596" s="10"/>
      <c r="H596" s="10"/>
      <c r="I596" s="8">
        <f t="shared" si="708"/>
        <v>0</v>
      </c>
      <c r="J596" s="9"/>
      <c r="K596" s="10"/>
      <c r="L596" s="10"/>
      <c r="M596" s="39">
        <f t="shared" si="709"/>
        <v>0</v>
      </c>
      <c r="N596" s="138">
        <f t="shared" si="710"/>
        <v>0</v>
      </c>
      <c r="P596" s="4" t="s">
        <v>455</v>
      </c>
      <c r="Q596" s="9"/>
      <c r="R596" s="10"/>
      <c r="S596" s="10"/>
      <c r="T596" s="8">
        <f t="shared" ref="T596" si="742">SUM(Q596:S596)</f>
        <v>0</v>
      </c>
      <c r="U596" s="9"/>
      <c r="V596" s="10"/>
      <c r="W596" s="10"/>
      <c r="X596" s="8">
        <f t="shared" ref="X596" si="743">SUM(U596:W596)</f>
        <v>0</v>
      </c>
      <c r="Y596" s="9"/>
      <c r="Z596" s="10"/>
      <c r="AA596" s="10"/>
      <c r="AB596" s="8">
        <f t="shared" ref="AB596" si="744">SUM(Y596:AA596)</f>
        <v>0</v>
      </c>
      <c r="AC596" s="86">
        <f t="shared" ref="AC596" si="745">T596+X596+AB596</f>
        <v>0</v>
      </c>
      <c r="AD596" s="109">
        <v>45635</v>
      </c>
    </row>
    <row r="597" spans="1:31" x14ac:dyDescent="0.15">
      <c r="A597" s="33"/>
      <c r="B597" s="9"/>
      <c r="C597" s="10"/>
      <c r="D597" s="10"/>
      <c r="E597" s="8">
        <f t="shared" si="707"/>
        <v>0</v>
      </c>
      <c r="F597" s="9"/>
      <c r="G597" s="10"/>
      <c r="H597" s="10"/>
      <c r="I597" s="8">
        <f t="shared" si="708"/>
        <v>0</v>
      </c>
      <c r="J597" s="9"/>
      <c r="K597" s="10"/>
      <c r="L597" s="10"/>
      <c r="M597" s="39">
        <f t="shared" si="709"/>
        <v>0</v>
      </c>
      <c r="N597" s="138">
        <f t="shared" si="710"/>
        <v>0</v>
      </c>
      <c r="P597" s="11" t="s">
        <v>21</v>
      </c>
      <c r="Q597" s="9"/>
      <c r="R597" s="10"/>
      <c r="S597" s="10"/>
      <c r="T597" s="8">
        <f t="shared" ref="T597:T599" si="746">SUM(Q597:S597)</f>
        <v>0</v>
      </c>
      <c r="U597" s="9"/>
      <c r="V597" s="10"/>
      <c r="W597" s="10"/>
      <c r="X597" s="8">
        <f t="shared" ref="X597:X599" si="747">SUM(U597:W597)</f>
        <v>0</v>
      </c>
      <c r="Y597" s="9"/>
      <c r="Z597" s="10"/>
      <c r="AA597" s="10"/>
      <c r="AB597" s="8">
        <f t="shared" ref="AB597:AB599" si="748">SUM(Y597:AA597)</f>
        <v>0</v>
      </c>
      <c r="AC597" s="86">
        <f t="shared" ref="AC597:AC599" si="749">T597+X597+AB597</f>
        <v>0</v>
      </c>
      <c r="AD597" s="116" t="s">
        <v>454</v>
      </c>
    </row>
    <row r="598" spans="1:31" x14ac:dyDescent="0.15">
      <c r="A598" s="33"/>
      <c r="B598" s="9"/>
      <c r="C598" s="10"/>
      <c r="D598" s="10"/>
      <c r="E598" s="8">
        <f t="shared" si="707"/>
        <v>0</v>
      </c>
      <c r="F598" s="9"/>
      <c r="G598" s="10"/>
      <c r="H598" s="10"/>
      <c r="I598" s="8">
        <f t="shared" si="708"/>
        <v>0</v>
      </c>
      <c r="J598" s="9"/>
      <c r="K598" s="10"/>
      <c r="L598" s="10"/>
      <c r="M598" s="39">
        <f t="shared" si="709"/>
        <v>0</v>
      </c>
      <c r="N598" s="138">
        <f t="shared" si="710"/>
        <v>0</v>
      </c>
      <c r="P598" s="11" t="s">
        <v>460</v>
      </c>
      <c r="Q598" s="9"/>
      <c r="R598" s="10"/>
      <c r="S598" s="10"/>
      <c r="T598" s="8">
        <f>SUM(Q598:S598)</f>
        <v>0</v>
      </c>
      <c r="U598" s="9"/>
      <c r="V598" s="10"/>
      <c r="W598" s="10"/>
      <c r="X598" s="8">
        <f>SUM(U598:W598)</f>
        <v>0</v>
      </c>
      <c r="Y598" s="9"/>
      <c r="Z598" s="10"/>
      <c r="AA598" s="10"/>
      <c r="AB598" s="8">
        <f>SUM(Y598:AA598)</f>
        <v>0</v>
      </c>
      <c r="AC598" s="86">
        <f>T598+X598+AB598</f>
        <v>0</v>
      </c>
      <c r="AD598" s="116" t="s">
        <v>433</v>
      </c>
    </row>
    <row r="599" spans="1:31" ht="14.25" thickBot="1" x14ac:dyDescent="0.2">
      <c r="A599" s="63"/>
      <c r="B599" s="9"/>
      <c r="C599" s="10"/>
      <c r="D599" s="22"/>
      <c r="E599" s="8">
        <f t="shared" si="707"/>
        <v>0</v>
      </c>
      <c r="F599" s="9"/>
      <c r="G599" s="10"/>
      <c r="H599" s="22"/>
      <c r="I599" s="8">
        <f t="shared" si="708"/>
        <v>0</v>
      </c>
      <c r="J599" s="9"/>
      <c r="K599" s="10"/>
      <c r="L599" s="22"/>
      <c r="M599" s="39">
        <f t="shared" si="709"/>
        <v>0</v>
      </c>
      <c r="N599" s="139">
        <f t="shared" si="710"/>
        <v>0</v>
      </c>
      <c r="P599" s="11" t="s">
        <v>405</v>
      </c>
      <c r="Q599" s="9"/>
      <c r="R599" s="10"/>
      <c r="S599" s="10"/>
      <c r="T599" s="8">
        <f t="shared" si="746"/>
        <v>0</v>
      </c>
      <c r="U599" s="9"/>
      <c r="V599" s="10"/>
      <c r="W599" s="10"/>
      <c r="X599" s="8">
        <f t="shared" si="747"/>
        <v>0</v>
      </c>
      <c r="Y599" s="9"/>
      <c r="Z599" s="10"/>
      <c r="AA599" s="10"/>
      <c r="AB599" s="8">
        <f t="shared" si="748"/>
        <v>0</v>
      </c>
      <c r="AC599" s="86">
        <f t="shared" si="749"/>
        <v>0</v>
      </c>
      <c r="AD599" s="116" t="s">
        <v>433</v>
      </c>
    </row>
    <row r="600" spans="1:31" ht="14.25" thickBot="1" x14ac:dyDescent="0.2">
      <c r="A600" s="104" t="s">
        <v>5</v>
      </c>
      <c r="B600" s="12">
        <f>SUM(B576:B599)</f>
        <v>16</v>
      </c>
      <c r="C600" s="12">
        <f>SUM(C576:C599)</f>
        <v>18</v>
      </c>
      <c r="D600" s="12">
        <f>SUM(D576:D599)</f>
        <v>6</v>
      </c>
      <c r="E600" s="13">
        <f t="shared" si="707"/>
        <v>40</v>
      </c>
      <c r="F600" s="12">
        <f>SUM(F576:F599)</f>
        <v>21</v>
      </c>
      <c r="G600" s="12">
        <f>SUM(G576:G599)</f>
        <v>18</v>
      </c>
      <c r="H600" s="12">
        <f>SUM(H576:H599)</f>
        <v>6</v>
      </c>
      <c r="I600" s="13">
        <f t="shared" si="708"/>
        <v>45</v>
      </c>
      <c r="J600" s="12">
        <f>SUM(J576:J599)</f>
        <v>18</v>
      </c>
      <c r="K600" s="12">
        <f>SUM(K576:K599)</f>
        <v>18</v>
      </c>
      <c r="L600" s="12">
        <f>SUM(L576:L599)</f>
        <v>6</v>
      </c>
      <c r="M600" s="12">
        <f t="shared" si="709"/>
        <v>42</v>
      </c>
      <c r="N600" s="142">
        <f t="shared" si="710"/>
        <v>127</v>
      </c>
      <c r="P600" s="3" t="s">
        <v>5</v>
      </c>
      <c r="Q600" s="12">
        <f>SUM(Q576:Q599)</f>
        <v>218</v>
      </c>
      <c r="R600" s="12">
        <f t="shared" ref="R600" si="750">SUM(R576:R599)</f>
        <v>279</v>
      </c>
      <c r="S600" s="12">
        <f t="shared" ref="S600" si="751">SUM(S576:S599)</f>
        <v>177</v>
      </c>
      <c r="T600" s="13">
        <f t="shared" ref="T600" si="752">SUM(T576:T599)</f>
        <v>674</v>
      </c>
      <c r="U600" s="12">
        <f t="shared" ref="U600" si="753">SUM(U576:U599)</f>
        <v>218</v>
      </c>
      <c r="V600" s="12">
        <f t="shared" ref="V600" si="754">SUM(V576:V599)</f>
        <v>279</v>
      </c>
      <c r="W600" s="12">
        <f t="shared" ref="W600" si="755">SUM(W576:W599)</f>
        <v>177</v>
      </c>
      <c r="X600" s="13">
        <f t="shared" ref="X600" si="756">SUM(X576:X599)</f>
        <v>674</v>
      </c>
      <c r="Y600" s="12">
        <f t="shared" ref="Y600" si="757">SUM(Y576:Y599)</f>
        <v>218</v>
      </c>
      <c r="Z600" s="12">
        <f t="shared" ref="Z600" si="758">SUM(Z576:Z599)</f>
        <v>279</v>
      </c>
      <c r="AA600" s="12">
        <f t="shared" ref="AA600" si="759">SUM(AA576:AA599)</f>
        <v>177</v>
      </c>
      <c r="AB600" s="13">
        <f t="shared" ref="AB600" si="760">SUM(AB576:AB599)</f>
        <v>674</v>
      </c>
      <c r="AC600" s="155">
        <f t="shared" ref="AC600" si="761">SUM(AC576:AC599)</f>
        <v>2022</v>
      </c>
    </row>
    <row r="601" spans="1:31" ht="14.25" thickBot="1" x14ac:dyDescent="0.2">
      <c r="A601" s="105" t="s">
        <v>6</v>
      </c>
      <c r="B601" s="20">
        <f>B575-B600</f>
        <v>15</v>
      </c>
      <c r="C601" s="20">
        <f t="shared" ref="C601:E601" si="762">C575-C600</f>
        <v>13</v>
      </c>
      <c r="D601" s="20">
        <f t="shared" si="762"/>
        <v>6</v>
      </c>
      <c r="E601" s="18">
        <f t="shared" si="762"/>
        <v>34</v>
      </c>
      <c r="F601" s="20">
        <f>F575-F600</f>
        <v>8</v>
      </c>
      <c r="G601" s="20">
        <f t="shared" ref="G601:I601" si="763">G575-G600</f>
        <v>13</v>
      </c>
      <c r="H601" s="20">
        <f t="shared" si="763"/>
        <v>3</v>
      </c>
      <c r="I601" s="18">
        <f t="shared" si="763"/>
        <v>24</v>
      </c>
      <c r="J601" s="20">
        <f>J575-J600</f>
        <v>11</v>
      </c>
      <c r="K601" s="20">
        <f t="shared" ref="K601:M601" si="764">K575-K600</f>
        <v>10</v>
      </c>
      <c r="L601" s="20">
        <f t="shared" si="764"/>
        <v>7</v>
      </c>
      <c r="M601" s="20">
        <f t="shared" si="764"/>
        <v>28</v>
      </c>
      <c r="N601" s="140">
        <f t="shared" si="710"/>
        <v>86</v>
      </c>
      <c r="P601" s="19" t="s">
        <v>6</v>
      </c>
      <c r="Q601" s="20">
        <f>Q575-Q600</f>
        <v>59</v>
      </c>
      <c r="R601" s="20">
        <f t="shared" ref="R601" si="765">R575-R600</f>
        <v>59</v>
      </c>
      <c r="S601" s="20">
        <f t="shared" ref="S601" si="766">S575-S600</f>
        <v>213</v>
      </c>
      <c r="T601" s="18">
        <f t="shared" ref="T601" si="767">T575-T600</f>
        <v>331</v>
      </c>
      <c r="U601" s="20">
        <f t="shared" ref="U601" si="768">U575-U600</f>
        <v>67</v>
      </c>
      <c r="V601" s="20">
        <f t="shared" ref="V601" si="769">V575-V600</f>
        <v>97</v>
      </c>
      <c r="W601" s="20">
        <f t="shared" ref="W601" si="770">W575-W600</f>
        <v>264</v>
      </c>
      <c r="X601" s="18">
        <f t="shared" ref="X601" si="771">X575-X600</f>
        <v>428</v>
      </c>
      <c r="Y601" s="20">
        <f t="shared" ref="Y601" si="772">Y575-Y600</f>
        <v>56</v>
      </c>
      <c r="Z601" s="20">
        <f t="shared" ref="Z601" si="773">Z575-Z600</f>
        <v>74</v>
      </c>
      <c r="AA601" s="20">
        <f t="shared" ref="AA601" si="774">AA575-AA600</f>
        <v>228</v>
      </c>
      <c r="AB601" s="18">
        <f t="shared" ref="AB601" si="775">AB575-AB600</f>
        <v>358</v>
      </c>
      <c r="AC601" s="88">
        <f t="shared" ref="AC601" si="776">AC575-AC600</f>
        <v>1117</v>
      </c>
    </row>
    <row r="602" spans="1:31" x14ac:dyDescent="0.15">
      <c r="Q602" s="80">
        <f>Q600+Q557+Q514+Q471+Q428+Q385+Q342+Q299+Q256+Q215</f>
        <v>1634</v>
      </c>
      <c r="R602" s="80">
        <f t="shared" ref="R602:AC602" si="777">R600+R557+R514+R471+R428+R385+R342+R299+R256+R215</f>
        <v>2495</v>
      </c>
      <c r="S602" s="80">
        <f t="shared" si="777"/>
        <v>1738</v>
      </c>
      <c r="T602" s="80">
        <f t="shared" si="777"/>
        <v>5867</v>
      </c>
      <c r="U602" s="80">
        <f t="shared" si="777"/>
        <v>1609</v>
      </c>
      <c r="V602" s="80">
        <f t="shared" si="777"/>
        <v>2475</v>
      </c>
      <c r="W602" s="80">
        <f t="shared" si="777"/>
        <v>1712</v>
      </c>
      <c r="X602" s="80">
        <f t="shared" si="777"/>
        <v>5796</v>
      </c>
      <c r="Y602" s="80">
        <f t="shared" si="777"/>
        <v>1624</v>
      </c>
      <c r="Z602" s="80">
        <f t="shared" si="777"/>
        <v>2500</v>
      </c>
      <c r="AA602" s="80">
        <f t="shared" si="777"/>
        <v>1746</v>
      </c>
      <c r="AB602" s="80">
        <f t="shared" si="777"/>
        <v>5870</v>
      </c>
      <c r="AC602" s="80">
        <f t="shared" si="777"/>
        <v>17533</v>
      </c>
    </row>
    <row r="603" spans="1:31" x14ac:dyDescent="0.15">
      <c r="Q603" s="65">
        <f>Q602/$T$602*100</f>
        <v>27.850690301687404</v>
      </c>
      <c r="R603" s="65">
        <f t="shared" ref="R603:T603" si="778">R602/$T$602*100</f>
        <v>42.525992841315833</v>
      </c>
      <c r="S603" s="65">
        <f t="shared" si="778"/>
        <v>29.623316856996762</v>
      </c>
      <c r="T603" s="65">
        <f t="shared" si="778"/>
        <v>100</v>
      </c>
      <c r="U603" s="65">
        <f>U602/$X$602*100</f>
        <v>27.760524499654938</v>
      </c>
      <c r="V603" s="65">
        <f t="shared" ref="V603:X603" si="779">V602/$X$602*100</f>
        <v>42.701863354037265</v>
      </c>
      <c r="W603" s="65">
        <f t="shared" si="779"/>
        <v>29.537612146307801</v>
      </c>
      <c r="X603" s="65">
        <f t="shared" si="779"/>
        <v>100</v>
      </c>
      <c r="Y603" s="65">
        <f>Y602/$AB$602*100</f>
        <v>27.666098807495743</v>
      </c>
      <c r="Z603" s="65">
        <f t="shared" ref="Z603:AB603" si="780">Z602/$AB$602*100</f>
        <v>42.58943781942078</v>
      </c>
      <c r="AA603" s="65">
        <f t="shared" si="780"/>
        <v>29.744463373083473</v>
      </c>
      <c r="AB603" s="65">
        <f t="shared" si="780"/>
        <v>100</v>
      </c>
    </row>
    <row r="604" spans="1:31" ht="19.5" thickBot="1" x14ac:dyDescent="0.25">
      <c r="A604" s="108" t="s">
        <v>264</v>
      </c>
      <c r="B604" s="47"/>
      <c r="C604" s="47"/>
      <c r="D604" s="47"/>
      <c r="E604" s="47"/>
      <c r="F604" s="48"/>
      <c r="G604" s="48"/>
      <c r="H604" s="48"/>
      <c r="I604" s="48"/>
      <c r="J604" s="48"/>
      <c r="K604" s="48"/>
      <c r="L604" s="1"/>
      <c r="M604" s="1"/>
      <c r="N604" s="137"/>
      <c r="P604" s="43" t="s">
        <v>263</v>
      </c>
      <c r="Q604" s="44"/>
      <c r="R604" s="44"/>
      <c r="S604" s="44"/>
      <c r="T604" s="150">
        <f>T602/AC602*100</f>
        <v>33.462613357668396</v>
      </c>
      <c r="U604" s="45"/>
      <c r="V604" s="45"/>
      <c r="W604" s="45"/>
      <c r="X604" s="151">
        <f>X602/AC602*100</f>
        <v>33.057662693207099</v>
      </c>
      <c r="Y604" s="46"/>
      <c r="Z604" s="53"/>
      <c r="AA604" s="1"/>
      <c r="AB604" s="152">
        <f>AB602/AC602*100</f>
        <v>33.479723949124505</v>
      </c>
    </row>
    <row r="605" spans="1:31" ht="14.25" thickBot="1" x14ac:dyDescent="0.2">
      <c r="A605" s="100" t="s">
        <v>0</v>
      </c>
      <c r="B605" s="337" t="s">
        <v>11</v>
      </c>
      <c r="C605" s="337"/>
      <c r="D605" s="337"/>
      <c r="E605" s="338"/>
      <c r="F605" s="339" t="s">
        <v>9</v>
      </c>
      <c r="G605" s="340"/>
      <c r="H605" s="340"/>
      <c r="I605" s="341"/>
      <c r="J605" s="342" t="s">
        <v>12</v>
      </c>
      <c r="K605" s="343"/>
      <c r="L605" s="343"/>
      <c r="M605" s="343"/>
      <c r="N605" s="347" t="s">
        <v>13</v>
      </c>
      <c r="P605" s="2" t="s">
        <v>0</v>
      </c>
      <c r="Q605" s="337" t="s">
        <v>11</v>
      </c>
      <c r="R605" s="337"/>
      <c r="S605" s="337"/>
      <c r="T605" s="338"/>
      <c r="U605" s="339" t="s">
        <v>9</v>
      </c>
      <c r="V605" s="340"/>
      <c r="W605" s="340"/>
      <c r="X605" s="341"/>
      <c r="Y605" s="342" t="s">
        <v>12</v>
      </c>
      <c r="Z605" s="343"/>
      <c r="AA605" s="343"/>
      <c r="AB605" s="343"/>
      <c r="AC605" s="345" t="s">
        <v>13</v>
      </c>
    </row>
    <row r="606" spans="1:31" ht="14.25" thickBot="1" x14ac:dyDescent="0.2">
      <c r="A606" s="100" t="s">
        <v>1</v>
      </c>
      <c r="B606" s="3" t="s">
        <v>7</v>
      </c>
      <c r="C606" s="2" t="s">
        <v>10</v>
      </c>
      <c r="D606" s="2" t="s">
        <v>8</v>
      </c>
      <c r="E606" s="2" t="s">
        <v>2</v>
      </c>
      <c r="F606" s="3" t="s">
        <v>7</v>
      </c>
      <c r="G606" s="2" t="s">
        <v>10</v>
      </c>
      <c r="H606" s="2" t="s">
        <v>8</v>
      </c>
      <c r="I606" s="2" t="s">
        <v>2</v>
      </c>
      <c r="J606" s="3" t="s">
        <v>7</v>
      </c>
      <c r="K606" s="2" t="s">
        <v>10</v>
      </c>
      <c r="L606" s="2" t="s">
        <v>8</v>
      </c>
      <c r="M606" s="3" t="s">
        <v>2</v>
      </c>
      <c r="N606" s="348"/>
      <c r="P606" s="2" t="s">
        <v>1</v>
      </c>
      <c r="Q606" s="3" t="s">
        <v>7</v>
      </c>
      <c r="R606" s="2" t="s">
        <v>10</v>
      </c>
      <c r="S606" s="2" t="s">
        <v>8</v>
      </c>
      <c r="T606" s="2" t="s">
        <v>2</v>
      </c>
      <c r="U606" s="3" t="s">
        <v>7</v>
      </c>
      <c r="V606" s="2" t="s">
        <v>10</v>
      </c>
      <c r="W606" s="2" t="s">
        <v>8</v>
      </c>
      <c r="X606" s="2" t="s">
        <v>2</v>
      </c>
      <c r="Y606" s="3" t="s">
        <v>7</v>
      </c>
      <c r="Z606" s="2" t="s">
        <v>10</v>
      </c>
      <c r="AA606" s="2" t="s">
        <v>8</v>
      </c>
      <c r="AB606" s="2" t="s">
        <v>2</v>
      </c>
      <c r="AC606" s="346"/>
    </row>
    <row r="607" spans="1:31" x14ac:dyDescent="0.15">
      <c r="A607" s="106" t="s">
        <v>6</v>
      </c>
      <c r="B607" s="41">
        <f>B601</f>
        <v>15</v>
      </c>
      <c r="C607" s="41">
        <f t="shared" ref="C607:E607" si="781">C601</f>
        <v>13</v>
      </c>
      <c r="D607" s="41">
        <f t="shared" si="781"/>
        <v>6</v>
      </c>
      <c r="E607" s="42">
        <f t="shared" si="781"/>
        <v>34</v>
      </c>
      <c r="F607" s="41">
        <f>F601</f>
        <v>8</v>
      </c>
      <c r="G607" s="41">
        <f t="shared" ref="G607:I607" si="782">G601</f>
        <v>13</v>
      </c>
      <c r="H607" s="41">
        <f t="shared" si="782"/>
        <v>3</v>
      </c>
      <c r="I607" s="42">
        <f t="shared" si="782"/>
        <v>24</v>
      </c>
      <c r="J607" s="41">
        <f>J601</f>
        <v>11</v>
      </c>
      <c r="K607" s="41">
        <f t="shared" ref="K607:M607" si="783">K601</f>
        <v>10</v>
      </c>
      <c r="L607" s="41">
        <f t="shared" si="783"/>
        <v>7</v>
      </c>
      <c r="M607" s="42">
        <f t="shared" si="783"/>
        <v>28</v>
      </c>
      <c r="N607" s="143">
        <f>E607+I607+M607</f>
        <v>86</v>
      </c>
      <c r="P607" s="36" t="s">
        <v>6</v>
      </c>
      <c r="Q607" s="41">
        <f>Q601</f>
        <v>59</v>
      </c>
      <c r="R607" s="41">
        <f t="shared" ref="R607:AC607" si="784">R601</f>
        <v>59</v>
      </c>
      <c r="S607" s="41">
        <f t="shared" si="784"/>
        <v>213</v>
      </c>
      <c r="T607" s="42">
        <f t="shared" si="784"/>
        <v>331</v>
      </c>
      <c r="U607" s="41">
        <f t="shared" si="784"/>
        <v>67</v>
      </c>
      <c r="V607" s="41">
        <f t="shared" si="784"/>
        <v>97</v>
      </c>
      <c r="W607" s="41">
        <f t="shared" si="784"/>
        <v>264</v>
      </c>
      <c r="X607" s="42">
        <f t="shared" si="784"/>
        <v>428</v>
      </c>
      <c r="Y607" s="41">
        <f t="shared" si="784"/>
        <v>56</v>
      </c>
      <c r="Z607" s="41">
        <f t="shared" si="784"/>
        <v>74</v>
      </c>
      <c r="AA607" s="41">
        <f t="shared" si="784"/>
        <v>228</v>
      </c>
      <c r="AB607" s="42">
        <f t="shared" si="784"/>
        <v>358</v>
      </c>
      <c r="AC607" s="90">
        <f t="shared" si="784"/>
        <v>1117</v>
      </c>
    </row>
    <row r="608" spans="1:31" x14ac:dyDescent="0.15">
      <c r="A608" s="102" t="s">
        <v>3</v>
      </c>
      <c r="B608" s="25"/>
      <c r="C608" s="26">
        <v>10</v>
      </c>
      <c r="D608" s="26">
        <v>10</v>
      </c>
      <c r="E608" s="5">
        <f t="shared" ref="E608:E643" si="785">SUM(B608:D608)</f>
        <v>20</v>
      </c>
      <c r="F608" s="25"/>
      <c r="G608" s="26">
        <v>10</v>
      </c>
      <c r="H608" s="26">
        <v>10</v>
      </c>
      <c r="I608" s="5">
        <f t="shared" ref="I608:I643" si="786">SUM(F608:H608)</f>
        <v>20</v>
      </c>
      <c r="J608" s="25"/>
      <c r="K608" s="26">
        <v>10</v>
      </c>
      <c r="L608" s="26">
        <v>10</v>
      </c>
      <c r="M608" s="38">
        <f t="shared" ref="M608:M643" si="787">SUM(J608:L608)</f>
        <v>20</v>
      </c>
      <c r="N608" s="138">
        <f t="shared" ref="N608:N644" si="788">E608+I608+M608</f>
        <v>60</v>
      </c>
      <c r="O608" s="24">
        <v>45645</v>
      </c>
      <c r="P608" s="6" t="s">
        <v>3</v>
      </c>
      <c r="Q608" s="14"/>
      <c r="R608" s="11"/>
      <c r="S608" s="11"/>
      <c r="T608" s="5">
        <f t="shared" ref="T608:T632" si="789">SUM(Q608:S608)</f>
        <v>0</v>
      </c>
      <c r="U608" s="14"/>
      <c r="V608" s="11"/>
      <c r="W608" s="11"/>
      <c r="X608" s="5">
        <f t="shared" ref="X608:X632" si="790">SUM(U608:W608)</f>
        <v>0</v>
      </c>
      <c r="Y608" s="25"/>
      <c r="Z608" s="26"/>
      <c r="AA608" s="26"/>
      <c r="AB608" s="5">
        <f t="shared" ref="AB608:AB632" si="791">SUM(Y608:AA608)</f>
        <v>0</v>
      </c>
      <c r="AC608" s="86">
        <f t="shared" ref="AC608:AC633" si="792">T608+X608+AB608</f>
        <v>0</v>
      </c>
    </row>
    <row r="609" spans="1:30" x14ac:dyDescent="0.15">
      <c r="A609" s="102" t="s">
        <v>3</v>
      </c>
      <c r="B609" s="14"/>
      <c r="C609" s="11"/>
      <c r="D609" s="11"/>
      <c r="E609" s="5">
        <f t="shared" si="785"/>
        <v>0</v>
      </c>
      <c r="F609" s="34">
        <v>10</v>
      </c>
      <c r="G609" s="11"/>
      <c r="H609" s="11"/>
      <c r="I609" s="5">
        <f t="shared" si="786"/>
        <v>10</v>
      </c>
      <c r="J609" s="34"/>
      <c r="K609" s="11">
        <v>10</v>
      </c>
      <c r="L609" s="11"/>
      <c r="M609" s="38">
        <f t="shared" si="787"/>
        <v>10</v>
      </c>
      <c r="N609" s="138">
        <f t="shared" si="788"/>
        <v>20</v>
      </c>
      <c r="O609" s="24">
        <v>45651</v>
      </c>
      <c r="P609" s="6" t="s">
        <v>538</v>
      </c>
      <c r="Q609" s="14">
        <v>250</v>
      </c>
      <c r="R609" s="11">
        <v>250</v>
      </c>
      <c r="S609" s="11">
        <v>100</v>
      </c>
      <c r="T609" s="5">
        <f t="shared" si="789"/>
        <v>600</v>
      </c>
      <c r="U609" s="14">
        <v>250</v>
      </c>
      <c r="V609" s="11">
        <v>250</v>
      </c>
      <c r="W609" s="11">
        <v>100</v>
      </c>
      <c r="X609" s="5">
        <f t="shared" si="790"/>
        <v>600</v>
      </c>
      <c r="Y609" s="25">
        <v>250</v>
      </c>
      <c r="Z609" s="26">
        <v>250</v>
      </c>
      <c r="AA609" s="26">
        <v>100</v>
      </c>
      <c r="AB609" s="5">
        <f t="shared" si="791"/>
        <v>600</v>
      </c>
      <c r="AC609" s="86">
        <f t="shared" si="792"/>
        <v>1800</v>
      </c>
      <c r="AD609" s="109" t="s">
        <v>587</v>
      </c>
    </row>
    <row r="610" spans="1:30" x14ac:dyDescent="0.15">
      <c r="A610" s="102" t="s">
        <v>3</v>
      </c>
      <c r="B610" s="14"/>
      <c r="C610" s="11">
        <v>10</v>
      </c>
      <c r="D610" s="11">
        <v>10</v>
      </c>
      <c r="E610" s="5">
        <f t="shared" si="785"/>
        <v>20</v>
      </c>
      <c r="F610" s="34"/>
      <c r="G610" s="11">
        <v>10</v>
      </c>
      <c r="H610" s="11">
        <v>10</v>
      </c>
      <c r="I610" s="5">
        <f t="shared" si="786"/>
        <v>20</v>
      </c>
      <c r="J610" s="34">
        <v>10</v>
      </c>
      <c r="K610" s="11"/>
      <c r="L610" s="11"/>
      <c r="M610" s="38">
        <f t="shared" si="787"/>
        <v>10</v>
      </c>
      <c r="N610" s="138">
        <f t="shared" si="788"/>
        <v>50</v>
      </c>
      <c r="O610" s="24">
        <v>45664</v>
      </c>
      <c r="P610" s="6" t="s">
        <v>3</v>
      </c>
      <c r="Q610" s="14"/>
      <c r="R610" s="11"/>
      <c r="S610" s="11"/>
      <c r="T610" s="5">
        <f t="shared" si="789"/>
        <v>0</v>
      </c>
      <c r="U610" s="14"/>
      <c r="V610" s="11"/>
      <c r="W610" s="11"/>
      <c r="X610" s="5">
        <f t="shared" si="790"/>
        <v>0</v>
      </c>
      <c r="Y610" s="25"/>
      <c r="Z610" s="26"/>
      <c r="AA610" s="26"/>
      <c r="AB610" s="5">
        <f t="shared" si="791"/>
        <v>0</v>
      </c>
      <c r="AC610" s="86">
        <f t="shared" si="792"/>
        <v>0</v>
      </c>
      <c r="AD610" s="122"/>
    </row>
    <row r="611" spans="1:30" x14ac:dyDescent="0.15">
      <c r="A611" s="102" t="s">
        <v>622</v>
      </c>
      <c r="B611" s="14">
        <v>1</v>
      </c>
      <c r="C611" s="11">
        <v>1</v>
      </c>
      <c r="D611" s="11"/>
      <c r="E611" s="5">
        <f t="shared" si="785"/>
        <v>2</v>
      </c>
      <c r="F611" s="34">
        <v>1</v>
      </c>
      <c r="G611" s="11">
        <v>1</v>
      </c>
      <c r="H611" s="11"/>
      <c r="I611" s="5">
        <f t="shared" si="786"/>
        <v>2</v>
      </c>
      <c r="J611" s="34">
        <v>1</v>
      </c>
      <c r="K611" s="11">
        <v>1</v>
      </c>
      <c r="L611" s="11"/>
      <c r="M611" s="38">
        <f t="shared" si="787"/>
        <v>2</v>
      </c>
      <c r="N611" s="138">
        <f t="shared" si="788"/>
        <v>6</v>
      </c>
      <c r="O611" s="24">
        <v>45665</v>
      </c>
      <c r="P611" s="6" t="s">
        <v>3</v>
      </c>
      <c r="Q611" s="14"/>
      <c r="R611" s="11"/>
      <c r="S611" s="11"/>
      <c r="T611" s="5">
        <f t="shared" si="789"/>
        <v>0</v>
      </c>
      <c r="U611" s="14"/>
      <c r="V611" s="11"/>
      <c r="W611" s="11"/>
      <c r="X611" s="5">
        <f t="shared" si="790"/>
        <v>0</v>
      </c>
      <c r="Y611" s="25"/>
      <c r="Z611" s="26"/>
      <c r="AA611" s="26"/>
      <c r="AB611" s="5">
        <f t="shared" si="791"/>
        <v>0</v>
      </c>
      <c r="AC611" s="86">
        <f t="shared" si="792"/>
        <v>0</v>
      </c>
    </row>
    <row r="612" spans="1:30" x14ac:dyDescent="0.15">
      <c r="A612" s="102" t="s">
        <v>3</v>
      </c>
      <c r="B612" s="14"/>
      <c r="C612" s="11"/>
      <c r="D612" s="11"/>
      <c r="E612" s="5">
        <f t="shared" si="785"/>
        <v>0</v>
      </c>
      <c r="F612" s="34"/>
      <c r="G612" s="11"/>
      <c r="H612" s="11"/>
      <c r="I612" s="5">
        <f t="shared" si="786"/>
        <v>0</v>
      </c>
      <c r="J612" s="34"/>
      <c r="K612" s="11"/>
      <c r="L612" s="11"/>
      <c r="M612" s="38">
        <f t="shared" si="787"/>
        <v>0</v>
      </c>
      <c r="N612" s="138">
        <f t="shared" si="788"/>
        <v>0</v>
      </c>
      <c r="P612" s="6" t="s">
        <v>3</v>
      </c>
      <c r="Q612" s="14"/>
      <c r="R612" s="11"/>
      <c r="S612" s="11"/>
      <c r="T612" s="5">
        <f t="shared" si="789"/>
        <v>0</v>
      </c>
      <c r="U612" s="14"/>
      <c r="V612" s="11"/>
      <c r="W612" s="11"/>
      <c r="X612" s="5">
        <f t="shared" si="790"/>
        <v>0</v>
      </c>
      <c r="Y612" s="25"/>
      <c r="Z612" s="26"/>
      <c r="AA612" s="26"/>
      <c r="AB612" s="5">
        <f t="shared" si="791"/>
        <v>0</v>
      </c>
      <c r="AC612" s="86">
        <f t="shared" si="792"/>
        <v>0</v>
      </c>
    </row>
    <row r="613" spans="1:30" x14ac:dyDescent="0.15">
      <c r="A613" s="102" t="s">
        <v>3</v>
      </c>
      <c r="B613" s="25"/>
      <c r="C613" s="26"/>
      <c r="D613" s="26"/>
      <c r="E613" s="8">
        <f t="shared" si="785"/>
        <v>0</v>
      </c>
      <c r="F613" s="25"/>
      <c r="G613" s="26"/>
      <c r="H613" s="26"/>
      <c r="I613" s="8">
        <f t="shared" si="786"/>
        <v>0</v>
      </c>
      <c r="J613" s="25"/>
      <c r="K613" s="26"/>
      <c r="L613" s="26"/>
      <c r="M613" s="39">
        <f t="shared" si="787"/>
        <v>0</v>
      </c>
      <c r="N613" s="138">
        <f t="shared" si="788"/>
        <v>0</v>
      </c>
      <c r="P613" s="6" t="s">
        <v>3</v>
      </c>
      <c r="Q613" s="14"/>
      <c r="R613" s="11"/>
      <c r="S613" s="11"/>
      <c r="T613" s="5">
        <f t="shared" si="789"/>
        <v>0</v>
      </c>
      <c r="U613" s="14"/>
      <c r="V613" s="11"/>
      <c r="W613" s="11"/>
      <c r="X613" s="5">
        <f t="shared" si="790"/>
        <v>0</v>
      </c>
      <c r="Y613" s="25"/>
      <c r="Z613" s="26"/>
      <c r="AA613" s="26"/>
      <c r="AB613" s="8">
        <f t="shared" si="791"/>
        <v>0</v>
      </c>
      <c r="AC613" s="86">
        <f t="shared" si="792"/>
        <v>0</v>
      </c>
    </row>
    <row r="614" spans="1:30" x14ac:dyDescent="0.15">
      <c r="A614" s="102" t="s">
        <v>3</v>
      </c>
      <c r="B614" s="27"/>
      <c r="C614" s="26"/>
      <c r="D614" s="26"/>
      <c r="E614" s="5">
        <f t="shared" si="785"/>
        <v>0</v>
      </c>
      <c r="F614" s="25"/>
      <c r="G614" s="26"/>
      <c r="H614" s="26"/>
      <c r="I614" s="5">
        <f t="shared" si="786"/>
        <v>0</v>
      </c>
      <c r="J614" s="25"/>
      <c r="K614" s="26"/>
      <c r="L614" s="26"/>
      <c r="M614" s="38">
        <f t="shared" si="787"/>
        <v>0</v>
      </c>
      <c r="N614" s="138">
        <f t="shared" si="788"/>
        <v>0</v>
      </c>
      <c r="P614" s="6" t="s">
        <v>3</v>
      </c>
      <c r="Q614" s="27"/>
      <c r="R614" s="26"/>
      <c r="S614" s="26"/>
      <c r="T614" s="5">
        <f t="shared" si="789"/>
        <v>0</v>
      </c>
      <c r="U614" s="27"/>
      <c r="V614" s="26"/>
      <c r="W614" s="26"/>
      <c r="X614" s="5">
        <f t="shared" si="790"/>
        <v>0</v>
      </c>
      <c r="Y614" s="25"/>
      <c r="Z614" s="26"/>
      <c r="AA614" s="26"/>
      <c r="AB614" s="5">
        <f t="shared" si="791"/>
        <v>0</v>
      </c>
      <c r="AC614" s="86">
        <f t="shared" si="792"/>
        <v>0</v>
      </c>
    </row>
    <row r="615" spans="1:30" x14ac:dyDescent="0.15">
      <c r="A615" s="102" t="s">
        <v>3</v>
      </c>
      <c r="B615" s="27"/>
      <c r="C615" s="26"/>
      <c r="D615" s="26"/>
      <c r="E615" s="5">
        <f t="shared" si="785"/>
        <v>0</v>
      </c>
      <c r="F615" s="25"/>
      <c r="G615" s="26"/>
      <c r="H615" s="26"/>
      <c r="I615" s="5">
        <f t="shared" si="786"/>
        <v>0</v>
      </c>
      <c r="J615" s="25"/>
      <c r="K615" s="26"/>
      <c r="L615" s="26"/>
      <c r="M615" s="38">
        <f t="shared" si="787"/>
        <v>0</v>
      </c>
      <c r="N615" s="138">
        <f t="shared" si="788"/>
        <v>0</v>
      </c>
      <c r="P615" s="6" t="s">
        <v>3</v>
      </c>
      <c r="Q615" s="27"/>
      <c r="R615" s="26"/>
      <c r="S615" s="26"/>
      <c r="T615" s="5">
        <f t="shared" ref="T615:T616" si="793">SUM(Q615:S615)</f>
        <v>0</v>
      </c>
      <c r="U615" s="27"/>
      <c r="V615" s="26"/>
      <c r="W615" s="26"/>
      <c r="X615" s="5">
        <f t="shared" ref="X615:X616" si="794">SUM(U615:W615)</f>
        <v>0</v>
      </c>
      <c r="Y615" s="25"/>
      <c r="Z615" s="26"/>
      <c r="AA615" s="26"/>
      <c r="AB615" s="5">
        <f t="shared" ref="AB615:AB616" si="795">SUM(Y615:AA615)</f>
        <v>0</v>
      </c>
      <c r="AC615" s="86">
        <f t="shared" ref="AC615:AC616" si="796">T615+X615+AB615</f>
        <v>0</v>
      </c>
    </row>
    <row r="616" spans="1:30" x14ac:dyDescent="0.15">
      <c r="A616" s="102" t="s">
        <v>3</v>
      </c>
      <c r="B616" s="27"/>
      <c r="C616" s="26"/>
      <c r="D616" s="26"/>
      <c r="E616" s="5">
        <f t="shared" si="785"/>
        <v>0</v>
      </c>
      <c r="F616" s="25"/>
      <c r="G616" s="26"/>
      <c r="H616" s="26"/>
      <c r="I616" s="5">
        <f t="shared" si="786"/>
        <v>0</v>
      </c>
      <c r="J616" s="25"/>
      <c r="K616" s="26"/>
      <c r="L616" s="26"/>
      <c r="M616" s="38">
        <f t="shared" si="787"/>
        <v>0</v>
      </c>
      <c r="N616" s="138">
        <f t="shared" si="788"/>
        <v>0</v>
      </c>
      <c r="P616" s="6" t="s">
        <v>3</v>
      </c>
      <c r="Q616" s="27"/>
      <c r="R616" s="26"/>
      <c r="S616" s="26"/>
      <c r="T616" s="5">
        <f t="shared" si="793"/>
        <v>0</v>
      </c>
      <c r="U616" s="27"/>
      <c r="V616" s="26"/>
      <c r="W616" s="26"/>
      <c r="X616" s="5">
        <f t="shared" si="794"/>
        <v>0</v>
      </c>
      <c r="Y616" s="25"/>
      <c r="Z616" s="26"/>
      <c r="AA616" s="26"/>
      <c r="AB616" s="5">
        <f t="shared" si="795"/>
        <v>0</v>
      </c>
      <c r="AC616" s="86">
        <f t="shared" si="796"/>
        <v>0</v>
      </c>
    </row>
    <row r="617" spans="1:30" ht="14.25" thickBot="1" x14ac:dyDescent="0.2">
      <c r="A617" s="102" t="s">
        <v>3</v>
      </c>
      <c r="B617" s="28"/>
      <c r="C617" s="29"/>
      <c r="D617" s="32"/>
      <c r="E617" s="15">
        <f t="shared" si="785"/>
        <v>0</v>
      </c>
      <c r="F617" s="35"/>
      <c r="G617" s="29"/>
      <c r="H617" s="32"/>
      <c r="I617" s="15">
        <f t="shared" si="786"/>
        <v>0</v>
      </c>
      <c r="J617" s="35"/>
      <c r="K617" s="29"/>
      <c r="L617" s="32"/>
      <c r="M617" s="40">
        <f t="shared" si="787"/>
        <v>0</v>
      </c>
      <c r="N617" s="139">
        <f t="shared" si="788"/>
        <v>0</v>
      </c>
      <c r="P617" s="7" t="s">
        <v>3</v>
      </c>
      <c r="Q617" s="28"/>
      <c r="R617" s="29"/>
      <c r="S617" s="29"/>
      <c r="T617" s="15">
        <f t="shared" si="789"/>
        <v>0</v>
      </c>
      <c r="U617" s="28"/>
      <c r="V617" s="29"/>
      <c r="W617" s="29"/>
      <c r="X617" s="15">
        <f t="shared" si="790"/>
        <v>0</v>
      </c>
      <c r="Y617" s="35"/>
      <c r="Z617" s="29"/>
      <c r="AA617" s="32"/>
      <c r="AB617" s="15">
        <f t="shared" si="791"/>
        <v>0</v>
      </c>
      <c r="AC617" s="87">
        <f t="shared" si="792"/>
        <v>0</v>
      </c>
    </row>
    <row r="618" spans="1:30" ht="14.25" thickBot="1" x14ac:dyDescent="0.2">
      <c r="A618" s="103" t="s">
        <v>4</v>
      </c>
      <c r="B618" s="17">
        <f>SUM(B607:B617)</f>
        <v>16</v>
      </c>
      <c r="C618" s="17">
        <f>SUM(C607:C617)</f>
        <v>34</v>
      </c>
      <c r="D618" s="17">
        <f>SUM(D607:D617)</f>
        <v>26</v>
      </c>
      <c r="E618" s="18">
        <f t="shared" si="785"/>
        <v>76</v>
      </c>
      <c r="F618" s="17">
        <f>SUM(F607:F617)</f>
        <v>19</v>
      </c>
      <c r="G618" s="17">
        <f>SUM(G607:G617)</f>
        <v>34</v>
      </c>
      <c r="H618" s="17">
        <f>SUM(H607:H617)</f>
        <v>23</v>
      </c>
      <c r="I618" s="18">
        <f t="shared" si="786"/>
        <v>76</v>
      </c>
      <c r="J618" s="17">
        <f>SUM(J607:J617)</f>
        <v>22</v>
      </c>
      <c r="K618" s="17">
        <f>SUM(K607:K617)</f>
        <v>31</v>
      </c>
      <c r="L618" s="17">
        <f>SUM(L607:L617)</f>
        <v>17</v>
      </c>
      <c r="M618" s="20">
        <f t="shared" si="787"/>
        <v>70</v>
      </c>
      <c r="N618" s="140">
        <f t="shared" si="788"/>
        <v>222</v>
      </c>
      <c r="P618" s="16" t="s">
        <v>4</v>
      </c>
      <c r="Q618" s="17">
        <f>SUM(Q607:Q617)</f>
        <v>309</v>
      </c>
      <c r="R618" s="17">
        <f t="shared" ref="R618" si="797">SUM(R607:R617)</f>
        <v>309</v>
      </c>
      <c r="S618" s="17">
        <f t="shared" ref="S618" si="798">SUM(S607:S617)</f>
        <v>313</v>
      </c>
      <c r="T618" s="18">
        <f t="shared" ref="T618" si="799">SUM(T607:T617)</f>
        <v>931</v>
      </c>
      <c r="U618" s="17">
        <f t="shared" ref="U618" si="800">SUM(U607:U617)</f>
        <v>317</v>
      </c>
      <c r="V618" s="17">
        <f t="shared" ref="V618" si="801">SUM(V607:V617)</f>
        <v>347</v>
      </c>
      <c r="W618" s="17">
        <f t="shared" ref="W618" si="802">SUM(W607:W617)</f>
        <v>364</v>
      </c>
      <c r="X618" s="18">
        <f t="shared" ref="X618" si="803">SUM(X607:X617)</f>
        <v>1028</v>
      </c>
      <c r="Y618" s="17">
        <f t="shared" ref="Y618" si="804">SUM(Y607:Y617)</f>
        <v>306</v>
      </c>
      <c r="Z618" s="17">
        <f t="shared" ref="Z618" si="805">SUM(Z607:Z617)</f>
        <v>324</v>
      </c>
      <c r="AA618" s="17">
        <f t="shared" ref="AA618" si="806">SUM(AA607:AA617)</f>
        <v>328</v>
      </c>
      <c r="AB618" s="18">
        <f t="shared" ref="AB618" si="807">SUM(AB607:AB617)</f>
        <v>958</v>
      </c>
      <c r="AC618" s="88">
        <f t="shared" ref="AC618" si="808">SUM(AC607:AC617)</f>
        <v>2917</v>
      </c>
    </row>
    <row r="619" spans="1:30" x14ac:dyDescent="0.15">
      <c r="A619" s="33" t="s">
        <v>594</v>
      </c>
      <c r="B619" s="9">
        <v>2</v>
      </c>
      <c r="C619" s="10">
        <v>8</v>
      </c>
      <c r="D619" s="31">
        <v>6</v>
      </c>
      <c r="E619" s="5">
        <f t="shared" si="785"/>
        <v>16</v>
      </c>
      <c r="F619" s="9">
        <v>2</v>
      </c>
      <c r="G619" s="10">
        <v>8</v>
      </c>
      <c r="H619" s="31">
        <v>6</v>
      </c>
      <c r="I619" s="5">
        <f t="shared" si="786"/>
        <v>16</v>
      </c>
      <c r="J619" s="9">
        <v>2</v>
      </c>
      <c r="K619" s="10">
        <v>8</v>
      </c>
      <c r="L619" s="31">
        <v>6</v>
      </c>
      <c r="M619" s="38">
        <f t="shared" si="787"/>
        <v>16</v>
      </c>
      <c r="N619" s="141">
        <f t="shared" si="788"/>
        <v>48</v>
      </c>
      <c r="O619" s="24">
        <v>45647</v>
      </c>
      <c r="P619" s="33" t="s">
        <v>586</v>
      </c>
      <c r="Q619" s="9"/>
      <c r="R619" s="10">
        <v>10</v>
      </c>
      <c r="S619" s="31">
        <v>10</v>
      </c>
      <c r="T619" s="5">
        <f t="shared" si="789"/>
        <v>20</v>
      </c>
      <c r="U619" s="9"/>
      <c r="V619" s="10">
        <v>10</v>
      </c>
      <c r="W619" s="31">
        <v>10</v>
      </c>
      <c r="X619" s="5">
        <f t="shared" si="790"/>
        <v>20</v>
      </c>
      <c r="Y619" s="9"/>
      <c r="Z619" s="10">
        <v>10</v>
      </c>
      <c r="AA619" s="31">
        <v>10</v>
      </c>
      <c r="AB619" s="5">
        <f t="shared" si="791"/>
        <v>20</v>
      </c>
      <c r="AC619" s="91">
        <f t="shared" si="792"/>
        <v>60</v>
      </c>
      <c r="AD619" s="109">
        <v>45646</v>
      </c>
    </row>
    <row r="620" spans="1:30" x14ac:dyDescent="0.15">
      <c r="A620" s="33" t="s">
        <v>597</v>
      </c>
      <c r="B620" s="9"/>
      <c r="C620" s="10">
        <v>1</v>
      </c>
      <c r="D620" s="10">
        <v>1</v>
      </c>
      <c r="E620" s="5">
        <f t="shared" si="785"/>
        <v>2</v>
      </c>
      <c r="F620" s="9"/>
      <c r="G620" s="10">
        <v>1</v>
      </c>
      <c r="H620" s="10">
        <v>1</v>
      </c>
      <c r="I620" s="5">
        <f t="shared" si="786"/>
        <v>2</v>
      </c>
      <c r="J620" s="9"/>
      <c r="K620" s="10">
        <v>1</v>
      </c>
      <c r="L620" s="10">
        <v>1</v>
      </c>
      <c r="M620" s="38">
        <f t="shared" si="787"/>
        <v>2</v>
      </c>
      <c r="N620" s="138">
        <f t="shared" si="788"/>
        <v>6</v>
      </c>
      <c r="O620" s="24">
        <v>45646</v>
      </c>
      <c r="P620" s="11" t="s">
        <v>593</v>
      </c>
      <c r="Q620" s="9">
        <v>3</v>
      </c>
      <c r="R620" s="10">
        <v>3</v>
      </c>
      <c r="S620" s="10">
        <v>2</v>
      </c>
      <c r="T620" s="5">
        <f t="shared" si="789"/>
        <v>8</v>
      </c>
      <c r="U620" s="9">
        <v>3</v>
      </c>
      <c r="V620" s="10">
        <v>3</v>
      </c>
      <c r="W620" s="10">
        <v>2</v>
      </c>
      <c r="X620" s="5">
        <f t="shared" si="790"/>
        <v>8</v>
      </c>
      <c r="Y620" s="9">
        <v>3</v>
      </c>
      <c r="Z620" s="10">
        <v>3</v>
      </c>
      <c r="AA620" s="10">
        <v>2</v>
      </c>
      <c r="AB620" s="5">
        <f t="shared" si="791"/>
        <v>8</v>
      </c>
      <c r="AC620" s="86">
        <f t="shared" si="792"/>
        <v>24</v>
      </c>
      <c r="AD620" s="109">
        <v>45646</v>
      </c>
    </row>
    <row r="621" spans="1:30" x14ac:dyDescent="0.15">
      <c r="A621" s="33" t="s">
        <v>599</v>
      </c>
      <c r="B621" s="9"/>
      <c r="C621" s="10">
        <v>2</v>
      </c>
      <c r="D621" s="10">
        <v>2</v>
      </c>
      <c r="E621" s="5">
        <f t="shared" si="785"/>
        <v>4</v>
      </c>
      <c r="F621" s="9"/>
      <c r="G621" s="10">
        <v>2</v>
      </c>
      <c r="H621" s="10">
        <v>2</v>
      </c>
      <c r="I621" s="5">
        <f t="shared" si="786"/>
        <v>4</v>
      </c>
      <c r="J621" s="9"/>
      <c r="K621" s="10">
        <v>2</v>
      </c>
      <c r="L621" s="10">
        <v>2</v>
      </c>
      <c r="M621" s="38">
        <f t="shared" si="787"/>
        <v>4</v>
      </c>
      <c r="N621" s="138">
        <f t="shared" si="788"/>
        <v>12</v>
      </c>
      <c r="O621" s="24">
        <v>45649</v>
      </c>
      <c r="P621" s="11" t="s">
        <v>27</v>
      </c>
      <c r="Q621" s="9"/>
      <c r="R621" s="10">
        <v>10</v>
      </c>
      <c r="S621" s="10">
        <v>10</v>
      </c>
      <c r="T621" s="5">
        <f t="shared" ref="T621" si="809">SUM(Q621:S621)</f>
        <v>20</v>
      </c>
      <c r="U621" s="9"/>
      <c r="V621" s="10">
        <v>10</v>
      </c>
      <c r="W621" s="10">
        <v>10</v>
      </c>
      <c r="X621" s="5">
        <f t="shared" ref="X621" si="810">SUM(U621:W621)</f>
        <v>20</v>
      </c>
      <c r="Y621" s="9"/>
      <c r="Z621" s="10">
        <v>10</v>
      </c>
      <c r="AA621" s="10">
        <v>10</v>
      </c>
      <c r="AB621" s="5">
        <f t="shared" ref="AB621" si="811">SUM(Y621:AA621)</f>
        <v>20</v>
      </c>
      <c r="AC621" s="86">
        <f t="shared" si="792"/>
        <v>60</v>
      </c>
      <c r="AD621" s="109">
        <v>45645</v>
      </c>
    </row>
    <row r="622" spans="1:30" x14ac:dyDescent="0.15">
      <c r="A622" s="33" t="s">
        <v>36</v>
      </c>
      <c r="B622" s="9"/>
      <c r="C622" s="10"/>
      <c r="D622" s="10"/>
      <c r="E622" s="5">
        <f t="shared" si="785"/>
        <v>0</v>
      </c>
      <c r="F622" s="9"/>
      <c r="G622" s="10"/>
      <c r="H622" s="10"/>
      <c r="I622" s="5">
        <f t="shared" si="786"/>
        <v>0</v>
      </c>
      <c r="J622" s="9">
        <v>1</v>
      </c>
      <c r="K622" s="10"/>
      <c r="L622" s="10"/>
      <c r="M622" s="38">
        <f t="shared" si="787"/>
        <v>1</v>
      </c>
      <c r="N622" s="138">
        <f t="shared" si="788"/>
        <v>1</v>
      </c>
      <c r="O622" s="24">
        <v>45646</v>
      </c>
      <c r="P622" s="4" t="s">
        <v>595</v>
      </c>
      <c r="Q622" s="9">
        <v>9</v>
      </c>
      <c r="R622" s="10"/>
      <c r="S622" s="10"/>
      <c r="T622" s="5">
        <f t="shared" si="789"/>
        <v>9</v>
      </c>
      <c r="U622" s="9">
        <v>9</v>
      </c>
      <c r="V622" s="10"/>
      <c r="W622" s="10"/>
      <c r="X622" s="5">
        <f t="shared" si="790"/>
        <v>9</v>
      </c>
      <c r="Y622" s="9">
        <v>9</v>
      </c>
      <c r="Z622" s="10"/>
      <c r="AA622" s="10"/>
      <c r="AB622" s="5">
        <f t="shared" si="791"/>
        <v>9</v>
      </c>
      <c r="AC622" s="86">
        <f t="shared" si="792"/>
        <v>27</v>
      </c>
      <c r="AD622" s="109">
        <v>45646</v>
      </c>
    </row>
    <row r="623" spans="1:30" x14ac:dyDescent="0.15">
      <c r="A623" s="33" t="s">
        <v>600</v>
      </c>
      <c r="B623" s="9">
        <v>1</v>
      </c>
      <c r="C623" s="10">
        <v>1</v>
      </c>
      <c r="D623" s="10"/>
      <c r="E623" s="5">
        <f t="shared" si="785"/>
        <v>2</v>
      </c>
      <c r="F623" s="9">
        <v>1</v>
      </c>
      <c r="G623" s="10">
        <v>1</v>
      </c>
      <c r="H623" s="10"/>
      <c r="I623" s="5">
        <f t="shared" si="786"/>
        <v>2</v>
      </c>
      <c r="J623" s="9">
        <v>1</v>
      </c>
      <c r="K623" s="10">
        <v>1</v>
      </c>
      <c r="L623" s="10"/>
      <c r="M623" s="38">
        <f t="shared" si="787"/>
        <v>2</v>
      </c>
      <c r="N623" s="138">
        <f t="shared" si="788"/>
        <v>6</v>
      </c>
      <c r="O623" s="24">
        <v>45651</v>
      </c>
      <c r="P623" s="11" t="s">
        <v>596</v>
      </c>
      <c r="Q623" s="9">
        <v>5</v>
      </c>
      <c r="R623" s="10"/>
      <c r="S623" s="10"/>
      <c r="T623" s="5">
        <f t="shared" si="789"/>
        <v>5</v>
      </c>
      <c r="U623" s="9">
        <v>5</v>
      </c>
      <c r="V623" s="10"/>
      <c r="W623" s="10"/>
      <c r="X623" s="5">
        <f t="shared" si="790"/>
        <v>5</v>
      </c>
      <c r="Y623" s="9">
        <v>5</v>
      </c>
      <c r="Z623" s="10"/>
      <c r="AA623" s="10"/>
      <c r="AB623" s="5">
        <f t="shared" si="791"/>
        <v>5</v>
      </c>
      <c r="AC623" s="86">
        <f t="shared" si="792"/>
        <v>15</v>
      </c>
      <c r="AD623" s="109">
        <v>45649</v>
      </c>
    </row>
    <row r="624" spans="1:30" x14ac:dyDescent="0.15">
      <c r="A624" s="33" t="s">
        <v>36</v>
      </c>
      <c r="B624" s="9">
        <v>1</v>
      </c>
      <c r="C624" s="10"/>
      <c r="D624" s="10"/>
      <c r="E624" s="5">
        <f t="shared" si="785"/>
        <v>1</v>
      </c>
      <c r="F624" s="9">
        <v>1</v>
      </c>
      <c r="G624" s="10"/>
      <c r="H624" s="10"/>
      <c r="I624" s="8">
        <f t="shared" si="786"/>
        <v>1</v>
      </c>
      <c r="J624" s="9"/>
      <c r="K624" s="10"/>
      <c r="L624" s="10"/>
      <c r="M624" s="39">
        <f t="shared" si="787"/>
        <v>0</v>
      </c>
      <c r="N624" s="138">
        <f t="shared" si="788"/>
        <v>2</v>
      </c>
      <c r="O624" s="70">
        <v>45649</v>
      </c>
      <c r="P624" s="4" t="s">
        <v>598</v>
      </c>
      <c r="Q624" s="9">
        <v>40</v>
      </c>
      <c r="R624" s="10">
        <v>55</v>
      </c>
      <c r="S624" s="10">
        <v>45</v>
      </c>
      <c r="T624" s="8">
        <f t="shared" si="789"/>
        <v>140</v>
      </c>
      <c r="U624" s="9">
        <v>40</v>
      </c>
      <c r="V624" s="10">
        <v>55</v>
      </c>
      <c r="W624" s="10">
        <v>45</v>
      </c>
      <c r="X624" s="8">
        <f t="shared" si="790"/>
        <v>140</v>
      </c>
      <c r="Y624" s="9">
        <v>40</v>
      </c>
      <c r="Z624" s="10">
        <v>55</v>
      </c>
      <c r="AA624" s="10">
        <v>45</v>
      </c>
      <c r="AB624" s="8">
        <f t="shared" si="791"/>
        <v>140</v>
      </c>
      <c r="AC624" s="86">
        <f t="shared" si="792"/>
        <v>420</v>
      </c>
      <c r="AD624" s="109">
        <v>45649</v>
      </c>
    </row>
    <row r="625" spans="1:31" x14ac:dyDescent="0.15">
      <c r="A625" s="11" t="s">
        <v>610</v>
      </c>
      <c r="B625" s="9">
        <v>2</v>
      </c>
      <c r="C625" s="10">
        <v>5</v>
      </c>
      <c r="D625" s="10">
        <v>3</v>
      </c>
      <c r="E625" s="5">
        <f t="shared" si="785"/>
        <v>10</v>
      </c>
      <c r="F625" s="9">
        <v>2</v>
      </c>
      <c r="G625" s="10">
        <v>5</v>
      </c>
      <c r="H625" s="10">
        <v>3</v>
      </c>
      <c r="I625" s="8">
        <f t="shared" si="786"/>
        <v>10</v>
      </c>
      <c r="J625" s="9">
        <v>2</v>
      </c>
      <c r="K625" s="10">
        <v>5</v>
      </c>
      <c r="L625" s="10">
        <v>3</v>
      </c>
      <c r="M625" s="39">
        <f t="shared" si="787"/>
        <v>10</v>
      </c>
      <c r="N625" s="138">
        <f t="shared" ref="N625" si="812">E625+I625+M625</f>
        <v>30</v>
      </c>
      <c r="O625" s="24">
        <v>45652</v>
      </c>
      <c r="P625" s="33" t="s">
        <v>606</v>
      </c>
      <c r="Q625" s="9">
        <v>2</v>
      </c>
      <c r="R625" s="10"/>
      <c r="S625" s="10">
        <v>3</v>
      </c>
      <c r="T625" s="8">
        <f t="shared" si="789"/>
        <v>5</v>
      </c>
      <c r="U625" s="9">
        <v>2</v>
      </c>
      <c r="V625" s="10"/>
      <c r="W625" s="10">
        <v>3</v>
      </c>
      <c r="X625" s="8">
        <f t="shared" si="790"/>
        <v>5</v>
      </c>
      <c r="Y625" s="9">
        <v>2</v>
      </c>
      <c r="Z625" s="10"/>
      <c r="AA625" s="10">
        <v>3</v>
      </c>
      <c r="AB625" s="8">
        <f t="shared" si="791"/>
        <v>5</v>
      </c>
      <c r="AC625" s="86">
        <f t="shared" si="792"/>
        <v>15</v>
      </c>
      <c r="AD625" s="109">
        <v>45652</v>
      </c>
      <c r="AE625" s="58"/>
    </row>
    <row r="626" spans="1:31" x14ac:dyDescent="0.15">
      <c r="A626" s="33" t="s">
        <v>36</v>
      </c>
      <c r="B626" s="9"/>
      <c r="C626" s="10"/>
      <c r="D626" s="10">
        <v>1</v>
      </c>
      <c r="E626" s="8">
        <f t="shared" si="785"/>
        <v>1</v>
      </c>
      <c r="F626" s="9">
        <v>1</v>
      </c>
      <c r="G626" s="10"/>
      <c r="H626" s="10">
        <v>1</v>
      </c>
      <c r="I626" s="8">
        <f t="shared" si="786"/>
        <v>2</v>
      </c>
      <c r="J626" s="9">
        <v>1</v>
      </c>
      <c r="K626" s="10"/>
      <c r="L626" s="10">
        <v>1</v>
      </c>
      <c r="M626" s="39">
        <f t="shared" si="787"/>
        <v>2</v>
      </c>
      <c r="N626" s="138">
        <f t="shared" si="788"/>
        <v>5</v>
      </c>
      <c r="O626" s="24">
        <v>45663</v>
      </c>
      <c r="P626" s="4" t="s">
        <v>607</v>
      </c>
      <c r="Q626" s="9">
        <v>20</v>
      </c>
      <c r="R626" s="10">
        <v>20</v>
      </c>
      <c r="S626" s="10">
        <v>20</v>
      </c>
      <c r="T626" s="8">
        <f t="shared" si="789"/>
        <v>60</v>
      </c>
      <c r="U626" s="9">
        <v>20</v>
      </c>
      <c r="V626" s="10">
        <v>20</v>
      </c>
      <c r="W626" s="10">
        <v>20</v>
      </c>
      <c r="X626" s="8">
        <f t="shared" si="790"/>
        <v>60</v>
      </c>
      <c r="Y626" s="9">
        <v>20</v>
      </c>
      <c r="Z626" s="10">
        <v>20</v>
      </c>
      <c r="AA626" s="10">
        <v>20</v>
      </c>
      <c r="AB626" s="8">
        <f t="shared" si="791"/>
        <v>60</v>
      </c>
      <c r="AC626" s="86">
        <f t="shared" si="792"/>
        <v>180</v>
      </c>
      <c r="AD626" s="109">
        <v>45652</v>
      </c>
      <c r="AE626" s="58"/>
    </row>
    <row r="627" spans="1:31" x14ac:dyDescent="0.15">
      <c r="A627" s="33" t="s">
        <v>36</v>
      </c>
      <c r="B627" s="9"/>
      <c r="C627" s="10"/>
      <c r="D627" s="10">
        <v>2</v>
      </c>
      <c r="E627" s="8">
        <f t="shared" si="785"/>
        <v>2</v>
      </c>
      <c r="F627" s="9"/>
      <c r="G627" s="10"/>
      <c r="H627" s="10"/>
      <c r="I627" s="8">
        <f t="shared" si="786"/>
        <v>0</v>
      </c>
      <c r="J627" s="9"/>
      <c r="K627" s="10"/>
      <c r="L627" s="10"/>
      <c r="M627" s="39">
        <f t="shared" si="787"/>
        <v>0</v>
      </c>
      <c r="N627" s="138">
        <f t="shared" si="788"/>
        <v>2</v>
      </c>
      <c r="O627" s="24">
        <v>45664</v>
      </c>
      <c r="P627" s="33" t="s">
        <v>608</v>
      </c>
      <c r="Q627" s="9">
        <v>20</v>
      </c>
      <c r="R627" s="10">
        <v>20</v>
      </c>
      <c r="S627" s="10">
        <v>20</v>
      </c>
      <c r="T627" s="8">
        <f t="shared" si="789"/>
        <v>60</v>
      </c>
      <c r="U627" s="9">
        <v>20</v>
      </c>
      <c r="V627" s="10">
        <v>20</v>
      </c>
      <c r="W627" s="10">
        <v>20</v>
      </c>
      <c r="X627" s="8">
        <f t="shared" si="790"/>
        <v>60</v>
      </c>
      <c r="Y627" s="9">
        <v>20</v>
      </c>
      <c r="Z627" s="10">
        <v>20</v>
      </c>
      <c r="AA627" s="10">
        <v>20</v>
      </c>
      <c r="AB627" s="8">
        <f t="shared" si="791"/>
        <v>60</v>
      </c>
      <c r="AC627" s="86">
        <f t="shared" si="792"/>
        <v>180</v>
      </c>
      <c r="AD627" s="109">
        <v>45653</v>
      </c>
    </row>
    <row r="628" spans="1:31" x14ac:dyDescent="0.15">
      <c r="A628" s="33" t="s">
        <v>36</v>
      </c>
      <c r="B628" s="9"/>
      <c r="C628" s="10"/>
      <c r="D628" s="10"/>
      <c r="E628" s="8">
        <f t="shared" si="785"/>
        <v>0</v>
      </c>
      <c r="F628" s="9"/>
      <c r="G628" s="10">
        <v>1</v>
      </c>
      <c r="H628" s="10"/>
      <c r="I628" s="8">
        <f t="shared" si="786"/>
        <v>1</v>
      </c>
      <c r="J628" s="9"/>
      <c r="K628" s="10"/>
      <c r="L628" s="10"/>
      <c r="M628" s="39">
        <f t="shared" si="787"/>
        <v>0</v>
      </c>
      <c r="N628" s="138">
        <f t="shared" si="788"/>
        <v>1</v>
      </c>
      <c r="O628" s="70">
        <v>45665</v>
      </c>
      <c r="P628" s="11" t="s">
        <v>27</v>
      </c>
      <c r="Q628" s="9"/>
      <c r="R628" s="10"/>
      <c r="S628" s="10"/>
      <c r="T628" s="8">
        <f t="shared" ref="T628" si="813">SUM(Q628:S628)</f>
        <v>0</v>
      </c>
      <c r="U628" s="9">
        <v>10</v>
      </c>
      <c r="V628" s="10"/>
      <c r="W628" s="10"/>
      <c r="X628" s="8">
        <f t="shared" ref="X628" si="814">SUM(U628:W628)</f>
        <v>10</v>
      </c>
      <c r="Y628" s="9"/>
      <c r="Z628" s="10">
        <v>10</v>
      </c>
      <c r="AA628" s="10"/>
      <c r="AB628" s="8">
        <f t="shared" ref="AB628" si="815">SUM(Y628:AA628)</f>
        <v>10</v>
      </c>
      <c r="AC628" s="86">
        <f t="shared" si="792"/>
        <v>20</v>
      </c>
      <c r="AD628" s="109">
        <v>45651</v>
      </c>
      <c r="AE628" s="58"/>
    </row>
    <row r="629" spans="1:31" x14ac:dyDescent="0.15">
      <c r="A629" s="33" t="s">
        <v>36</v>
      </c>
      <c r="B629" s="9"/>
      <c r="C629" s="10"/>
      <c r="D629" s="10"/>
      <c r="E629" s="8">
        <f t="shared" si="785"/>
        <v>0</v>
      </c>
      <c r="F629" s="9"/>
      <c r="G629" s="10"/>
      <c r="H629" s="10"/>
      <c r="I629" s="8">
        <f t="shared" si="786"/>
        <v>0</v>
      </c>
      <c r="J629" s="9"/>
      <c r="K629" s="10"/>
      <c r="L629" s="10">
        <v>1</v>
      </c>
      <c r="M629" s="39">
        <f t="shared" si="787"/>
        <v>1</v>
      </c>
      <c r="N629" s="138">
        <f t="shared" si="788"/>
        <v>1</v>
      </c>
      <c r="O629" s="70">
        <v>45666</v>
      </c>
      <c r="P629" s="33" t="s">
        <v>609</v>
      </c>
      <c r="Q629" s="9"/>
      <c r="R629" s="10"/>
      <c r="S629" s="10">
        <v>4</v>
      </c>
      <c r="T629" s="8">
        <f t="shared" si="789"/>
        <v>4</v>
      </c>
      <c r="U629" s="9"/>
      <c r="V629" s="10"/>
      <c r="W629" s="10">
        <v>4</v>
      </c>
      <c r="X629" s="8">
        <f t="shared" si="790"/>
        <v>4</v>
      </c>
      <c r="Y629" s="9"/>
      <c r="Z629" s="10"/>
      <c r="AA629" s="10">
        <v>4</v>
      </c>
      <c r="AB629" s="8">
        <f t="shared" si="791"/>
        <v>4</v>
      </c>
      <c r="AC629" s="86">
        <f t="shared" si="792"/>
        <v>12</v>
      </c>
      <c r="AD629" s="109">
        <v>45653</v>
      </c>
    </row>
    <row r="630" spans="1:31" x14ac:dyDescent="0.15">
      <c r="A630" s="33"/>
      <c r="B630" s="9"/>
      <c r="C630" s="10"/>
      <c r="D630" s="10"/>
      <c r="E630" s="8">
        <f t="shared" si="785"/>
        <v>0</v>
      </c>
      <c r="F630" s="9"/>
      <c r="G630" s="10"/>
      <c r="H630" s="10"/>
      <c r="I630" s="8">
        <f t="shared" si="786"/>
        <v>0</v>
      </c>
      <c r="J630" s="9"/>
      <c r="K630" s="10"/>
      <c r="L630" s="10"/>
      <c r="M630" s="39">
        <f t="shared" si="787"/>
        <v>0</v>
      </c>
      <c r="N630" s="138">
        <f t="shared" si="788"/>
        <v>0</v>
      </c>
      <c r="P630" s="33" t="s">
        <v>616</v>
      </c>
      <c r="Q630" s="9">
        <v>5</v>
      </c>
      <c r="R630" s="10">
        <v>6</v>
      </c>
      <c r="S630" s="10">
        <v>4</v>
      </c>
      <c r="T630" s="8">
        <f t="shared" si="789"/>
        <v>15</v>
      </c>
      <c r="U630" s="9">
        <v>5</v>
      </c>
      <c r="V630" s="10">
        <v>6</v>
      </c>
      <c r="W630" s="10">
        <v>4</v>
      </c>
      <c r="X630" s="8">
        <f t="shared" si="790"/>
        <v>15</v>
      </c>
      <c r="Y630" s="9">
        <v>5</v>
      </c>
      <c r="Z630" s="10">
        <v>6</v>
      </c>
      <c r="AA630" s="10">
        <v>4</v>
      </c>
      <c r="AB630" s="8">
        <f t="shared" si="791"/>
        <v>15</v>
      </c>
      <c r="AC630" s="86">
        <f t="shared" si="792"/>
        <v>45</v>
      </c>
      <c r="AD630" s="109">
        <v>45297</v>
      </c>
    </row>
    <row r="631" spans="1:31" x14ac:dyDescent="0.15">
      <c r="A631" s="33"/>
      <c r="B631" s="9"/>
      <c r="C631" s="10"/>
      <c r="D631" s="10"/>
      <c r="E631" s="8">
        <f t="shared" si="785"/>
        <v>0</v>
      </c>
      <c r="F631" s="9"/>
      <c r="G631" s="10"/>
      <c r="H631" s="10"/>
      <c r="I631" s="8">
        <f t="shared" si="786"/>
        <v>0</v>
      </c>
      <c r="J631" s="9"/>
      <c r="K631" s="10"/>
      <c r="L631" s="10"/>
      <c r="M631" s="39">
        <f t="shared" si="787"/>
        <v>0</v>
      </c>
      <c r="N631" s="138">
        <f t="shared" si="788"/>
        <v>0</v>
      </c>
      <c r="P631" s="4" t="s">
        <v>617</v>
      </c>
      <c r="Q631" s="9"/>
      <c r="R631" s="10">
        <v>18</v>
      </c>
      <c r="S631" s="10"/>
      <c r="T631" s="8">
        <f t="shared" si="789"/>
        <v>18</v>
      </c>
      <c r="U631" s="9"/>
      <c r="V631" s="10">
        <v>18</v>
      </c>
      <c r="W631" s="10"/>
      <c r="X631" s="8">
        <f t="shared" si="790"/>
        <v>18</v>
      </c>
      <c r="Y631" s="9"/>
      <c r="Z631" s="10">
        <v>18</v>
      </c>
      <c r="AA631" s="10"/>
      <c r="AB631" s="8">
        <f t="shared" si="791"/>
        <v>18</v>
      </c>
      <c r="AC631" s="86">
        <f t="shared" si="792"/>
        <v>54</v>
      </c>
      <c r="AD631" s="109">
        <v>45297</v>
      </c>
    </row>
    <row r="632" spans="1:31" x14ac:dyDescent="0.15">
      <c r="A632" s="33"/>
      <c r="B632" s="9"/>
      <c r="C632" s="10"/>
      <c r="D632" s="10"/>
      <c r="E632" s="8">
        <f t="shared" si="785"/>
        <v>0</v>
      </c>
      <c r="F632" s="9"/>
      <c r="G632" s="10"/>
      <c r="H632" s="10"/>
      <c r="I632" s="8">
        <f t="shared" si="786"/>
        <v>0</v>
      </c>
      <c r="J632" s="9"/>
      <c r="K632" s="10"/>
      <c r="L632" s="10"/>
      <c r="M632" s="39">
        <f t="shared" si="787"/>
        <v>0</v>
      </c>
      <c r="N632" s="138">
        <f t="shared" si="788"/>
        <v>0</v>
      </c>
      <c r="P632" s="33" t="s">
        <v>619</v>
      </c>
      <c r="Q632" s="9">
        <v>7</v>
      </c>
      <c r="R632" s="10">
        <v>2</v>
      </c>
      <c r="S632" s="10">
        <v>2</v>
      </c>
      <c r="T632" s="8">
        <f t="shared" si="789"/>
        <v>11</v>
      </c>
      <c r="U632" s="9">
        <v>7</v>
      </c>
      <c r="V632" s="10">
        <v>2</v>
      </c>
      <c r="W632" s="10">
        <v>2</v>
      </c>
      <c r="X632" s="8">
        <f t="shared" si="790"/>
        <v>11</v>
      </c>
      <c r="Y632" s="9">
        <v>7</v>
      </c>
      <c r="Z632" s="10">
        <v>2</v>
      </c>
      <c r="AA632" s="10">
        <v>2</v>
      </c>
      <c r="AB632" s="8">
        <f t="shared" si="791"/>
        <v>11</v>
      </c>
      <c r="AC632" s="86">
        <f t="shared" si="792"/>
        <v>33</v>
      </c>
      <c r="AD632" s="109">
        <v>45666</v>
      </c>
    </row>
    <row r="633" spans="1:31" x14ac:dyDescent="0.15">
      <c r="A633" s="33"/>
      <c r="B633" s="9"/>
      <c r="C633" s="10"/>
      <c r="D633" s="10"/>
      <c r="E633" s="8">
        <f t="shared" si="785"/>
        <v>0</v>
      </c>
      <c r="F633" s="9"/>
      <c r="G633" s="10"/>
      <c r="H633" s="10"/>
      <c r="I633" s="8">
        <f t="shared" si="786"/>
        <v>0</v>
      </c>
      <c r="J633" s="9"/>
      <c r="K633" s="10"/>
      <c r="L633" s="10"/>
      <c r="M633" s="39">
        <f t="shared" si="787"/>
        <v>0</v>
      </c>
      <c r="N633" s="138">
        <f t="shared" si="788"/>
        <v>0</v>
      </c>
      <c r="P633" s="11" t="s">
        <v>27</v>
      </c>
      <c r="Q633" s="9"/>
      <c r="R633" s="10">
        <v>10</v>
      </c>
      <c r="S633" s="10">
        <v>10</v>
      </c>
      <c r="T633" s="8">
        <f t="shared" ref="T633" si="816">SUM(Q633:S633)</f>
        <v>20</v>
      </c>
      <c r="U633" s="9"/>
      <c r="V633" s="10">
        <v>10</v>
      </c>
      <c r="W633" s="10">
        <v>10</v>
      </c>
      <c r="X633" s="8">
        <f t="shared" ref="X633" si="817">SUM(U633:W633)</f>
        <v>20</v>
      </c>
      <c r="Y633" s="9">
        <v>10</v>
      </c>
      <c r="Z633" s="10"/>
      <c r="AA633" s="10"/>
      <c r="AB633" s="8">
        <f t="shared" ref="AB633" si="818">SUM(Y633:AA633)</f>
        <v>10</v>
      </c>
      <c r="AC633" s="86">
        <f t="shared" si="792"/>
        <v>50</v>
      </c>
      <c r="AD633" s="109">
        <v>45664</v>
      </c>
    </row>
    <row r="634" spans="1:31" x14ac:dyDescent="0.15">
      <c r="A634" s="63"/>
      <c r="B634" s="9"/>
      <c r="C634" s="10"/>
      <c r="D634" s="10"/>
      <c r="E634" s="8">
        <f t="shared" si="785"/>
        <v>0</v>
      </c>
      <c r="F634" s="9"/>
      <c r="G634" s="10"/>
      <c r="H634" s="10"/>
      <c r="I634" s="8">
        <f t="shared" si="786"/>
        <v>0</v>
      </c>
      <c r="J634" s="9"/>
      <c r="K634" s="10"/>
      <c r="L634" s="10"/>
      <c r="M634" s="39">
        <f t="shared" si="787"/>
        <v>0</v>
      </c>
      <c r="N634" s="138">
        <f t="shared" si="788"/>
        <v>0</v>
      </c>
      <c r="P634" s="33" t="s">
        <v>623</v>
      </c>
      <c r="Q634" s="9"/>
      <c r="R634" s="10">
        <v>8</v>
      </c>
      <c r="S634" s="10">
        <v>9</v>
      </c>
      <c r="T634" s="8">
        <f t="shared" ref="T634:T637" si="819">SUM(Q634:S634)</f>
        <v>17</v>
      </c>
      <c r="U634" s="9"/>
      <c r="V634" s="10">
        <v>8</v>
      </c>
      <c r="W634" s="10">
        <v>9</v>
      </c>
      <c r="X634" s="8">
        <f t="shared" ref="X634:X637" si="820">SUM(U634:W634)</f>
        <v>17</v>
      </c>
      <c r="Y634" s="9"/>
      <c r="Z634" s="10">
        <v>8</v>
      </c>
      <c r="AA634" s="10">
        <v>9</v>
      </c>
      <c r="AB634" s="8">
        <f t="shared" ref="AB634:AB637" si="821">SUM(Y634:AA634)</f>
        <v>17</v>
      </c>
      <c r="AC634" s="86">
        <f t="shared" ref="AC634:AC637" si="822">T634+X634+AB634</f>
        <v>51</v>
      </c>
      <c r="AD634" s="109">
        <v>45667</v>
      </c>
      <c r="AE634" s="58"/>
    </row>
    <row r="635" spans="1:31" x14ac:dyDescent="0.15">
      <c r="A635" s="33"/>
      <c r="B635" s="9"/>
      <c r="C635" s="10"/>
      <c r="D635" s="10"/>
      <c r="E635" s="8">
        <f t="shared" si="785"/>
        <v>0</v>
      </c>
      <c r="F635" s="9"/>
      <c r="G635" s="10"/>
      <c r="H635" s="10"/>
      <c r="I635" s="8">
        <f t="shared" si="786"/>
        <v>0</v>
      </c>
      <c r="J635" s="9"/>
      <c r="K635" s="10"/>
      <c r="L635" s="10"/>
      <c r="M635" s="39">
        <f t="shared" si="787"/>
        <v>0</v>
      </c>
      <c r="N635" s="138">
        <f t="shared" si="788"/>
        <v>0</v>
      </c>
      <c r="P635" s="4"/>
      <c r="Q635" s="9"/>
      <c r="R635" s="10"/>
      <c r="S635" s="10"/>
      <c r="T635" s="8">
        <f t="shared" si="819"/>
        <v>0</v>
      </c>
      <c r="U635" s="9"/>
      <c r="V635" s="10"/>
      <c r="W635" s="10"/>
      <c r="X635" s="8">
        <f t="shared" si="820"/>
        <v>0</v>
      </c>
      <c r="Y635" s="9"/>
      <c r="Z635" s="10"/>
      <c r="AA635" s="10"/>
      <c r="AB635" s="8">
        <f t="shared" si="821"/>
        <v>0</v>
      </c>
      <c r="AC635" s="86">
        <f t="shared" si="822"/>
        <v>0</v>
      </c>
    </row>
    <row r="636" spans="1:31" x14ac:dyDescent="0.15">
      <c r="A636" s="33"/>
      <c r="B636" s="9"/>
      <c r="C636" s="10"/>
      <c r="D636" s="10"/>
      <c r="E636" s="8">
        <f t="shared" si="785"/>
        <v>0</v>
      </c>
      <c r="F636" s="9"/>
      <c r="G636" s="10"/>
      <c r="H636" s="10"/>
      <c r="I636" s="8">
        <f t="shared" si="786"/>
        <v>0</v>
      </c>
      <c r="J636" s="9"/>
      <c r="K636" s="10"/>
      <c r="L636" s="10"/>
      <c r="M636" s="39">
        <f t="shared" si="787"/>
        <v>0</v>
      </c>
      <c r="N636" s="138">
        <f t="shared" si="788"/>
        <v>0</v>
      </c>
      <c r="P636" s="4" t="s">
        <v>576</v>
      </c>
      <c r="Q636" s="9">
        <f>85-20-20-3-17-17-8</f>
        <v>0</v>
      </c>
      <c r="R636" s="10">
        <f>127-40-40-15-30-2</f>
        <v>0</v>
      </c>
      <c r="S636" s="10">
        <f>43-20-20-3</f>
        <v>0</v>
      </c>
      <c r="T636" s="8">
        <f t="shared" ref="T636" si="823">SUM(Q636:S636)</f>
        <v>0</v>
      </c>
      <c r="U636" s="9">
        <f>85-20-20-3-17-17-8</f>
        <v>0</v>
      </c>
      <c r="V636" s="10">
        <f>127-40-40-15-30-2</f>
        <v>0</v>
      </c>
      <c r="W636" s="10">
        <f>43-20-20-3</f>
        <v>0</v>
      </c>
      <c r="X636" s="8">
        <f t="shared" ref="X636" si="824">SUM(U636:W636)</f>
        <v>0</v>
      </c>
      <c r="Y636" s="9">
        <f>85-20-20-3-17-17-8</f>
        <v>0</v>
      </c>
      <c r="Z636" s="10">
        <f>127-40-40-15-30-2</f>
        <v>0</v>
      </c>
      <c r="AA636" s="10">
        <f>43-20-20-3</f>
        <v>0</v>
      </c>
      <c r="AB636" s="8">
        <f t="shared" ref="AB636" si="825">SUM(Y636:AA636)</f>
        <v>0</v>
      </c>
      <c r="AC636" s="86">
        <f t="shared" ref="AC636" si="826">T636+X636+AB636</f>
        <v>0</v>
      </c>
      <c r="AD636" s="116" t="s">
        <v>577</v>
      </c>
    </row>
    <row r="637" spans="1:31" x14ac:dyDescent="0.15">
      <c r="A637" s="33"/>
      <c r="B637" s="9"/>
      <c r="C637" s="10"/>
      <c r="D637" s="10"/>
      <c r="E637" s="8">
        <f t="shared" si="785"/>
        <v>0</v>
      </c>
      <c r="F637" s="9"/>
      <c r="G637" s="10"/>
      <c r="H637" s="10"/>
      <c r="I637" s="8">
        <f t="shared" si="786"/>
        <v>0</v>
      </c>
      <c r="J637" s="9"/>
      <c r="K637" s="10"/>
      <c r="L637" s="10"/>
      <c r="M637" s="39">
        <f t="shared" si="787"/>
        <v>0</v>
      </c>
      <c r="N637" s="138">
        <f t="shared" si="788"/>
        <v>0</v>
      </c>
      <c r="P637" s="11" t="s">
        <v>549</v>
      </c>
      <c r="Q637" s="9"/>
      <c r="R637" s="10"/>
      <c r="S637" s="10"/>
      <c r="T637" s="8">
        <f t="shared" si="819"/>
        <v>0</v>
      </c>
      <c r="U637" s="9"/>
      <c r="V637" s="10"/>
      <c r="W637" s="10"/>
      <c r="X637" s="8">
        <f t="shared" si="820"/>
        <v>0</v>
      </c>
      <c r="Y637" s="9"/>
      <c r="Z637" s="10"/>
      <c r="AA637" s="10"/>
      <c r="AB637" s="8">
        <f t="shared" si="821"/>
        <v>0</v>
      </c>
      <c r="AC637" s="86">
        <f t="shared" si="822"/>
        <v>0</v>
      </c>
      <c r="AD637" s="109" t="s">
        <v>550</v>
      </c>
    </row>
    <row r="638" spans="1:31" x14ac:dyDescent="0.15">
      <c r="A638" s="33"/>
      <c r="B638" s="9"/>
      <c r="C638" s="10"/>
      <c r="D638" s="10"/>
      <c r="E638" s="8">
        <f t="shared" si="785"/>
        <v>0</v>
      </c>
      <c r="F638" s="9"/>
      <c r="G638" s="10"/>
      <c r="H638" s="10"/>
      <c r="I638" s="8">
        <f t="shared" si="786"/>
        <v>0</v>
      </c>
      <c r="J638" s="9"/>
      <c r="K638" s="10"/>
      <c r="L638" s="10"/>
      <c r="M638" s="39">
        <f t="shared" si="787"/>
        <v>0</v>
      </c>
      <c r="N638" s="138">
        <f t="shared" si="788"/>
        <v>0</v>
      </c>
      <c r="P638" s="4" t="s">
        <v>493</v>
      </c>
      <c r="Q638" s="9"/>
      <c r="R638" s="10"/>
      <c r="S638" s="10"/>
      <c r="T638" s="8">
        <f t="shared" ref="T638:T640" si="827">SUM(Q638:S638)</f>
        <v>0</v>
      </c>
      <c r="U638" s="9"/>
      <c r="V638" s="10"/>
      <c r="W638" s="10"/>
      <c r="X638" s="8">
        <f t="shared" ref="X638:X640" si="828">SUM(U638:W638)</f>
        <v>0</v>
      </c>
      <c r="Y638" s="9"/>
      <c r="Z638" s="10"/>
      <c r="AA638" s="10"/>
      <c r="AB638" s="8">
        <f t="shared" ref="AB638:AB640" si="829">SUM(Y638:AA638)</f>
        <v>0</v>
      </c>
      <c r="AC638" s="86">
        <f t="shared" ref="AC638:AC640" si="830">T638+X638+AB638</f>
        <v>0</v>
      </c>
      <c r="AD638" s="109">
        <v>45651</v>
      </c>
    </row>
    <row r="639" spans="1:31" x14ac:dyDescent="0.15">
      <c r="A639" s="33"/>
      <c r="B639" s="9"/>
      <c r="C639" s="10"/>
      <c r="D639" s="10"/>
      <c r="E639" s="8">
        <f t="shared" si="785"/>
        <v>0</v>
      </c>
      <c r="F639" s="9"/>
      <c r="G639" s="10"/>
      <c r="H639" s="10"/>
      <c r="I639" s="8">
        <f t="shared" si="786"/>
        <v>0</v>
      </c>
      <c r="J639" s="9"/>
      <c r="K639" s="10"/>
      <c r="L639" s="10"/>
      <c r="M639" s="39">
        <f t="shared" si="787"/>
        <v>0</v>
      </c>
      <c r="N639" s="138">
        <f t="shared" si="788"/>
        <v>0</v>
      </c>
      <c r="P639" s="4" t="s">
        <v>480</v>
      </c>
      <c r="Q639" s="9"/>
      <c r="R639" s="10"/>
      <c r="S639" s="10"/>
      <c r="T639" s="8">
        <f t="shared" si="827"/>
        <v>0</v>
      </c>
      <c r="U639" s="9"/>
      <c r="V639" s="10"/>
      <c r="W639" s="10"/>
      <c r="X639" s="8">
        <f t="shared" si="828"/>
        <v>0</v>
      </c>
      <c r="Y639" s="9"/>
      <c r="Z639" s="10"/>
      <c r="AA639" s="10"/>
      <c r="AB639" s="8">
        <f t="shared" si="829"/>
        <v>0</v>
      </c>
      <c r="AC639" s="86">
        <f t="shared" si="830"/>
        <v>0</v>
      </c>
      <c r="AD639" s="116" t="s">
        <v>478</v>
      </c>
    </row>
    <row r="640" spans="1:31" x14ac:dyDescent="0.15">
      <c r="A640" s="33"/>
      <c r="B640" s="9"/>
      <c r="C640" s="10"/>
      <c r="D640" s="10"/>
      <c r="E640" s="8">
        <f t="shared" si="785"/>
        <v>0</v>
      </c>
      <c r="F640" s="9"/>
      <c r="G640" s="10"/>
      <c r="H640" s="10"/>
      <c r="I640" s="8">
        <f t="shared" si="786"/>
        <v>0</v>
      </c>
      <c r="J640" s="9"/>
      <c r="K640" s="10"/>
      <c r="L640" s="10"/>
      <c r="M640" s="39">
        <f t="shared" si="787"/>
        <v>0</v>
      </c>
      <c r="N640" s="138">
        <f t="shared" si="788"/>
        <v>0</v>
      </c>
      <c r="P640" s="4" t="s">
        <v>479</v>
      </c>
      <c r="Q640" s="9"/>
      <c r="R640" s="10"/>
      <c r="S640" s="10"/>
      <c r="T640" s="8">
        <f t="shared" si="827"/>
        <v>0</v>
      </c>
      <c r="U640" s="9"/>
      <c r="V640" s="10"/>
      <c r="W640" s="10"/>
      <c r="X640" s="8">
        <f t="shared" si="828"/>
        <v>0</v>
      </c>
      <c r="Y640" s="9"/>
      <c r="Z640" s="10"/>
      <c r="AA640" s="10"/>
      <c r="AB640" s="8">
        <f t="shared" si="829"/>
        <v>0</v>
      </c>
      <c r="AC640" s="86">
        <f t="shared" si="830"/>
        <v>0</v>
      </c>
      <c r="AD640" s="116" t="s">
        <v>477</v>
      </c>
    </row>
    <row r="641" spans="1:31" x14ac:dyDescent="0.15">
      <c r="A641" s="33"/>
      <c r="B641" s="9"/>
      <c r="C641" s="10"/>
      <c r="D641" s="10"/>
      <c r="E641" s="8">
        <f t="shared" si="785"/>
        <v>0</v>
      </c>
      <c r="F641" s="9"/>
      <c r="G641" s="10"/>
      <c r="H641" s="10"/>
      <c r="I641" s="8">
        <f t="shared" si="786"/>
        <v>0</v>
      </c>
      <c r="J641" s="9"/>
      <c r="K641" s="10"/>
      <c r="L641" s="10"/>
      <c r="M641" s="39">
        <f t="shared" si="787"/>
        <v>0</v>
      </c>
      <c r="N641" s="138">
        <f t="shared" si="788"/>
        <v>0</v>
      </c>
      <c r="P641" s="6" t="s">
        <v>407</v>
      </c>
      <c r="Q641" s="71"/>
      <c r="R641" s="72"/>
      <c r="S641" s="72"/>
      <c r="T641" s="73">
        <f t="shared" ref="T641:T642" si="831">SUM(Q641:S641)</f>
        <v>0</v>
      </c>
      <c r="U641" s="71"/>
      <c r="V641" s="72"/>
      <c r="W641" s="72"/>
      <c r="X641" s="73">
        <f t="shared" ref="X641:X642" si="832">SUM(U641:W641)</f>
        <v>0</v>
      </c>
      <c r="Y641" s="71"/>
      <c r="Z641" s="72"/>
      <c r="AA641" s="72"/>
      <c r="AB641" s="73">
        <f t="shared" ref="AB641:AB642" si="833">SUM(Y641:AA641)</f>
        <v>0</v>
      </c>
      <c r="AC641" s="92">
        <f t="shared" ref="AC641:AC642" si="834">T641+X641+AB641</f>
        <v>0</v>
      </c>
      <c r="AD641" s="116"/>
    </row>
    <row r="642" spans="1:31" ht="14.25" thickBot="1" x14ac:dyDescent="0.2">
      <c r="A642" s="63"/>
      <c r="B642" s="9"/>
      <c r="C642" s="10"/>
      <c r="D642" s="22"/>
      <c r="E642" s="8">
        <f t="shared" si="785"/>
        <v>0</v>
      </c>
      <c r="F642" s="9"/>
      <c r="G642" s="10"/>
      <c r="H642" s="22"/>
      <c r="I642" s="8">
        <f t="shared" si="786"/>
        <v>0</v>
      </c>
      <c r="J642" s="9"/>
      <c r="K642" s="10"/>
      <c r="L642" s="22"/>
      <c r="M642" s="39">
        <f t="shared" si="787"/>
        <v>0</v>
      </c>
      <c r="N642" s="139">
        <f t="shared" si="788"/>
        <v>0</v>
      </c>
      <c r="P642" s="11" t="s">
        <v>408</v>
      </c>
      <c r="Q642" s="9"/>
      <c r="R642" s="10"/>
      <c r="S642" s="10"/>
      <c r="T642" s="8">
        <f t="shared" si="831"/>
        <v>0</v>
      </c>
      <c r="U642" s="9"/>
      <c r="V642" s="10"/>
      <c r="W642" s="10"/>
      <c r="X642" s="8">
        <f t="shared" si="832"/>
        <v>0</v>
      </c>
      <c r="Y642" s="9"/>
      <c r="Z642" s="10"/>
      <c r="AA642" s="10"/>
      <c r="AB642" s="8">
        <f t="shared" si="833"/>
        <v>0</v>
      </c>
      <c r="AC642" s="86">
        <f t="shared" si="834"/>
        <v>0</v>
      </c>
      <c r="AD642" s="116" t="s">
        <v>409</v>
      </c>
    </row>
    <row r="643" spans="1:31" ht="14.25" thickBot="1" x14ac:dyDescent="0.2">
      <c r="A643" s="104" t="s">
        <v>5</v>
      </c>
      <c r="B643" s="12">
        <f>SUM(B619:B642)</f>
        <v>6</v>
      </c>
      <c r="C643" s="12">
        <f>SUM(C619:C642)</f>
        <v>17</v>
      </c>
      <c r="D643" s="12">
        <f>SUM(D619:D642)</f>
        <v>15</v>
      </c>
      <c r="E643" s="13">
        <f t="shared" si="785"/>
        <v>38</v>
      </c>
      <c r="F643" s="12">
        <f>SUM(F619:F642)</f>
        <v>7</v>
      </c>
      <c r="G643" s="12">
        <f>SUM(G619:G642)</f>
        <v>18</v>
      </c>
      <c r="H643" s="12">
        <f>SUM(H619:H642)</f>
        <v>13</v>
      </c>
      <c r="I643" s="13">
        <f t="shared" si="786"/>
        <v>38</v>
      </c>
      <c r="J643" s="12">
        <f>SUM(J619:J642)</f>
        <v>7</v>
      </c>
      <c r="K643" s="12">
        <f>SUM(K619:K642)</f>
        <v>17</v>
      </c>
      <c r="L643" s="12">
        <f>SUM(L619:L642)</f>
        <v>14</v>
      </c>
      <c r="M643" s="12">
        <f t="shared" si="787"/>
        <v>38</v>
      </c>
      <c r="N643" s="142">
        <f t="shared" si="788"/>
        <v>114</v>
      </c>
      <c r="P643" s="3" t="s">
        <v>5</v>
      </c>
      <c r="Q643" s="12">
        <f>SUM(Q619:Q642)</f>
        <v>111</v>
      </c>
      <c r="R643" s="12">
        <f t="shared" ref="R643" si="835">SUM(R619:R642)</f>
        <v>162</v>
      </c>
      <c r="S643" s="12">
        <f t="shared" ref="S643" si="836">SUM(S619:S642)</f>
        <v>139</v>
      </c>
      <c r="T643" s="13">
        <f t="shared" ref="T643" si="837">SUM(T619:T642)</f>
        <v>412</v>
      </c>
      <c r="U643" s="12">
        <f t="shared" ref="U643" si="838">SUM(U619:U642)</f>
        <v>121</v>
      </c>
      <c r="V643" s="12">
        <f t="shared" ref="V643" si="839">SUM(V619:V642)</f>
        <v>162</v>
      </c>
      <c r="W643" s="12">
        <f t="shared" ref="W643" si="840">SUM(W619:W642)</f>
        <v>139</v>
      </c>
      <c r="X643" s="13">
        <f t="shared" ref="X643" si="841">SUM(X619:X642)</f>
        <v>422</v>
      </c>
      <c r="Y643" s="12">
        <f t="shared" ref="Y643" si="842">SUM(Y619:Y642)</f>
        <v>121</v>
      </c>
      <c r="Z643" s="12">
        <f t="shared" ref="Z643" si="843">SUM(Z619:Z642)</f>
        <v>162</v>
      </c>
      <c r="AA643" s="12">
        <f t="shared" ref="AA643" si="844">SUM(AA619:AA642)</f>
        <v>129</v>
      </c>
      <c r="AB643" s="13">
        <f t="shared" ref="AB643" si="845">SUM(AB619:AB642)</f>
        <v>412</v>
      </c>
      <c r="AC643" s="155">
        <f t="shared" ref="AC643" si="846">SUM(AC619:AC642)</f>
        <v>1246</v>
      </c>
    </row>
    <row r="644" spans="1:31" ht="14.25" thickBot="1" x14ac:dyDescent="0.2">
      <c r="A644" s="105" t="s">
        <v>6</v>
      </c>
      <c r="B644" s="20">
        <f>B618-B643</f>
        <v>10</v>
      </c>
      <c r="C644" s="20">
        <f t="shared" ref="C644:E644" si="847">C618-C643</f>
        <v>17</v>
      </c>
      <c r="D644" s="20">
        <f t="shared" si="847"/>
        <v>11</v>
      </c>
      <c r="E644" s="18">
        <f t="shared" si="847"/>
        <v>38</v>
      </c>
      <c r="F644" s="20">
        <f>F618-F643</f>
        <v>12</v>
      </c>
      <c r="G644" s="20">
        <f t="shared" ref="G644:I644" si="848">G618-G643</f>
        <v>16</v>
      </c>
      <c r="H644" s="20">
        <f t="shared" si="848"/>
        <v>10</v>
      </c>
      <c r="I644" s="18">
        <f t="shared" si="848"/>
        <v>38</v>
      </c>
      <c r="J644" s="20">
        <f>J618-J643</f>
        <v>15</v>
      </c>
      <c r="K644" s="20">
        <f t="shared" ref="K644:M644" si="849">K618-K643</f>
        <v>14</v>
      </c>
      <c r="L644" s="20">
        <f t="shared" si="849"/>
        <v>3</v>
      </c>
      <c r="M644" s="20">
        <f t="shared" si="849"/>
        <v>32</v>
      </c>
      <c r="N644" s="140">
        <f t="shared" si="788"/>
        <v>108</v>
      </c>
      <c r="P644" s="19" t="s">
        <v>6</v>
      </c>
      <c r="Q644" s="20">
        <f>Q618-Q643</f>
        <v>198</v>
      </c>
      <c r="R644" s="20">
        <f t="shared" ref="R644" si="850">R618-R643</f>
        <v>147</v>
      </c>
      <c r="S644" s="20">
        <f t="shared" ref="S644" si="851">S618-S643</f>
        <v>174</v>
      </c>
      <c r="T644" s="18">
        <f t="shared" ref="T644" si="852">T618-T643</f>
        <v>519</v>
      </c>
      <c r="U644" s="20">
        <f t="shared" ref="U644" si="853">U618-U643</f>
        <v>196</v>
      </c>
      <c r="V644" s="20">
        <f t="shared" ref="V644" si="854">V618-V643</f>
        <v>185</v>
      </c>
      <c r="W644" s="20">
        <f t="shared" ref="W644" si="855">W618-W643</f>
        <v>225</v>
      </c>
      <c r="X644" s="18">
        <f t="shared" ref="X644" si="856">X618-X643</f>
        <v>606</v>
      </c>
      <c r="Y644" s="20">
        <f t="shared" ref="Y644" si="857">Y618-Y643</f>
        <v>185</v>
      </c>
      <c r="Z644" s="20">
        <f t="shared" ref="Z644" si="858">Z618-Z643</f>
        <v>162</v>
      </c>
      <c r="AA644" s="20">
        <f t="shared" ref="AA644" si="859">AA618-AA643</f>
        <v>199</v>
      </c>
      <c r="AB644" s="18">
        <f t="shared" ref="AB644" si="860">AB618-AB643</f>
        <v>546</v>
      </c>
      <c r="AC644" s="88">
        <f t="shared" ref="AC644" si="861">AC618-AC643</f>
        <v>1671</v>
      </c>
    </row>
    <row r="645" spans="1:31" x14ac:dyDescent="0.15">
      <c r="Q645" s="64">
        <f>Q644/$T$644*100</f>
        <v>38.150289017341038</v>
      </c>
      <c r="R645" s="64">
        <f t="shared" ref="R645:T645" si="862">R644/$T$644*100</f>
        <v>28.323699421965319</v>
      </c>
      <c r="S645" s="64">
        <f t="shared" si="862"/>
        <v>33.52601156069364</v>
      </c>
      <c r="T645" s="64">
        <f t="shared" si="862"/>
        <v>100</v>
      </c>
    </row>
    <row r="646" spans="1:31" x14ac:dyDescent="0.15">
      <c r="Q646" s="66">
        <v>27.4</v>
      </c>
      <c r="R646" s="66">
        <v>42.2</v>
      </c>
      <c r="S646" s="66">
        <v>30.4</v>
      </c>
      <c r="T646" s="65">
        <v>100</v>
      </c>
    </row>
    <row r="647" spans="1:31" ht="19.5" thickBot="1" x14ac:dyDescent="0.25">
      <c r="A647" s="108" t="s">
        <v>264</v>
      </c>
      <c r="B647" s="47"/>
      <c r="C647" s="47"/>
      <c r="D647" s="47"/>
      <c r="E647" s="47"/>
      <c r="F647" s="48"/>
      <c r="G647" s="48"/>
      <c r="H647" s="48"/>
      <c r="I647" s="48"/>
      <c r="J647" s="48"/>
      <c r="K647" s="48"/>
      <c r="L647" s="1"/>
      <c r="M647" s="1"/>
      <c r="N647" s="137"/>
      <c r="P647" s="43" t="s">
        <v>263</v>
      </c>
      <c r="Q647" s="44"/>
      <c r="R647" s="44"/>
      <c r="S647" s="44"/>
      <c r="T647" s="44"/>
      <c r="U647" s="45"/>
      <c r="V647" s="45"/>
      <c r="W647" s="45"/>
      <c r="X647" s="45"/>
      <c r="Y647" s="46"/>
      <c r="Z647" s="53"/>
      <c r="AA647" s="1"/>
      <c r="AB647" s="1"/>
    </row>
    <row r="648" spans="1:31" ht="14.25" thickBot="1" x14ac:dyDescent="0.2">
      <c r="A648" s="100" t="s">
        <v>0</v>
      </c>
      <c r="B648" s="337" t="s">
        <v>11</v>
      </c>
      <c r="C648" s="337"/>
      <c r="D648" s="337"/>
      <c r="E648" s="338"/>
      <c r="F648" s="339" t="s">
        <v>9</v>
      </c>
      <c r="G648" s="340"/>
      <c r="H648" s="340"/>
      <c r="I648" s="341"/>
      <c r="J648" s="342" t="s">
        <v>12</v>
      </c>
      <c r="K648" s="343"/>
      <c r="L648" s="343"/>
      <c r="M648" s="343"/>
      <c r="N648" s="347" t="s">
        <v>13</v>
      </c>
      <c r="P648" s="2" t="s">
        <v>0</v>
      </c>
      <c r="Q648" s="337" t="s">
        <v>11</v>
      </c>
      <c r="R648" s="337"/>
      <c r="S648" s="337"/>
      <c r="T648" s="338"/>
      <c r="U648" s="339" t="s">
        <v>9</v>
      </c>
      <c r="V648" s="340"/>
      <c r="W648" s="340"/>
      <c r="X648" s="341"/>
      <c r="Y648" s="342" t="s">
        <v>12</v>
      </c>
      <c r="Z648" s="343"/>
      <c r="AA648" s="343"/>
      <c r="AB648" s="343"/>
      <c r="AC648" s="345" t="s">
        <v>13</v>
      </c>
    </row>
    <row r="649" spans="1:31" ht="14.25" thickBot="1" x14ac:dyDescent="0.2">
      <c r="A649" s="100" t="s">
        <v>1</v>
      </c>
      <c r="B649" s="3" t="s">
        <v>7</v>
      </c>
      <c r="C649" s="2" t="s">
        <v>10</v>
      </c>
      <c r="D649" s="2" t="s">
        <v>8</v>
      </c>
      <c r="E649" s="2" t="s">
        <v>2</v>
      </c>
      <c r="F649" s="3" t="s">
        <v>7</v>
      </c>
      <c r="G649" s="2" t="s">
        <v>10</v>
      </c>
      <c r="H649" s="2" t="s">
        <v>8</v>
      </c>
      <c r="I649" s="2" t="s">
        <v>2</v>
      </c>
      <c r="J649" s="3" t="s">
        <v>7</v>
      </c>
      <c r="K649" s="2" t="s">
        <v>10</v>
      </c>
      <c r="L649" s="2" t="s">
        <v>8</v>
      </c>
      <c r="M649" s="3" t="s">
        <v>2</v>
      </c>
      <c r="N649" s="348"/>
      <c r="P649" s="2" t="s">
        <v>1</v>
      </c>
      <c r="Q649" s="3" t="s">
        <v>7</v>
      </c>
      <c r="R649" s="2" t="s">
        <v>10</v>
      </c>
      <c r="S649" s="2" t="s">
        <v>8</v>
      </c>
      <c r="T649" s="2" t="s">
        <v>2</v>
      </c>
      <c r="U649" s="3" t="s">
        <v>7</v>
      </c>
      <c r="V649" s="2" t="s">
        <v>10</v>
      </c>
      <c r="W649" s="2" t="s">
        <v>8</v>
      </c>
      <c r="X649" s="2" t="s">
        <v>2</v>
      </c>
      <c r="Y649" s="3" t="s">
        <v>7</v>
      </c>
      <c r="Z649" s="2" t="s">
        <v>10</v>
      </c>
      <c r="AA649" s="2" t="s">
        <v>8</v>
      </c>
      <c r="AB649" s="2" t="s">
        <v>2</v>
      </c>
      <c r="AC649" s="346"/>
    </row>
    <row r="650" spans="1:31" x14ac:dyDescent="0.15">
      <c r="A650" s="106" t="s">
        <v>6</v>
      </c>
      <c r="B650" s="41">
        <f>B644</f>
        <v>10</v>
      </c>
      <c r="C650" s="41">
        <f t="shared" ref="C650:E650" si="863">C644</f>
        <v>17</v>
      </c>
      <c r="D650" s="41">
        <f t="shared" si="863"/>
        <v>11</v>
      </c>
      <c r="E650" s="42">
        <f t="shared" si="863"/>
        <v>38</v>
      </c>
      <c r="F650" s="41">
        <f>F644</f>
        <v>12</v>
      </c>
      <c r="G650" s="41">
        <f t="shared" ref="G650:I650" si="864">G644</f>
        <v>16</v>
      </c>
      <c r="H650" s="41">
        <f t="shared" si="864"/>
        <v>10</v>
      </c>
      <c r="I650" s="42">
        <f t="shared" si="864"/>
        <v>38</v>
      </c>
      <c r="J650" s="41">
        <f>J644</f>
        <v>15</v>
      </c>
      <c r="K650" s="41">
        <f t="shared" ref="K650:M650" si="865">K644</f>
        <v>14</v>
      </c>
      <c r="L650" s="41">
        <f t="shared" si="865"/>
        <v>3</v>
      </c>
      <c r="M650" s="42">
        <f t="shared" si="865"/>
        <v>32</v>
      </c>
      <c r="N650" s="143">
        <f>E650+I650+M650</f>
        <v>108</v>
      </c>
      <c r="P650" s="36" t="s">
        <v>6</v>
      </c>
      <c r="Q650" s="41">
        <f>Q644</f>
        <v>198</v>
      </c>
      <c r="R650" s="41">
        <f t="shared" ref="R650:AC650" si="866">R644</f>
        <v>147</v>
      </c>
      <c r="S650" s="41">
        <f t="shared" si="866"/>
        <v>174</v>
      </c>
      <c r="T650" s="42">
        <f t="shared" si="866"/>
        <v>519</v>
      </c>
      <c r="U650" s="41">
        <f t="shared" si="866"/>
        <v>196</v>
      </c>
      <c r="V650" s="41">
        <f t="shared" si="866"/>
        <v>185</v>
      </c>
      <c r="W650" s="41">
        <f t="shared" si="866"/>
        <v>225</v>
      </c>
      <c r="X650" s="42">
        <f t="shared" si="866"/>
        <v>606</v>
      </c>
      <c r="Y650" s="41">
        <f t="shared" si="866"/>
        <v>185</v>
      </c>
      <c r="Z650" s="41">
        <f t="shared" si="866"/>
        <v>162</v>
      </c>
      <c r="AA650" s="41">
        <f t="shared" si="866"/>
        <v>199</v>
      </c>
      <c r="AB650" s="42">
        <f t="shared" si="866"/>
        <v>546</v>
      </c>
      <c r="AC650" s="90">
        <f t="shared" si="866"/>
        <v>1671</v>
      </c>
    </row>
    <row r="651" spans="1:31" x14ac:dyDescent="0.15">
      <c r="A651" s="102" t="s">
        <v>57</v>
      </c>
      <c r="B651" s="25"/>
      <c r="C651" s="26">
        <v>1</v>
      </c>
      <c r="D651" s="26"/>
      <c r="E651" s="5">
        <f t="shared" ref="E651:E686" si="867">SUM(B651:D651)</f>
        <v>1</v>
      </c>
      <c r="F651" s="25"/>
      <c r="G651" s="26">
        <v>1</v>
      </c>
      <c r="H651" s="26"/>
      <c r="I651" s="5">
        <f t="shared" ref="I651:I686" si="868">SUM(F651:H651)</f>
        <v>1</v>
      </c>
      <c r="J651" s="25"/>
      <c r="K651" s="26">
        <v>1</v>
      </c>
      <c r="L651" s="26"/>
      <c r="M651" s="38">
        <f t="shared" ref="M651:M686" si="869">SUM(J651:L651)</f>
        <v>1</v>
      </c>
      <c r="N651" s="138">
        <f t="shared" ref="N651:N687" si="870">E651+I651+M651</f>
        <v>3</v>
      </c>
      <c r="O651" s="70">
        <v>45667</v>
      </c>
      <c r="P651" s="6" t="s">
        <v>537</v>
      </c>
      <c r="Q651" s="14">
        <v>53</v>
      </c>
      <c r="R651" s="11">
        <v>51</v>
      </c>
      <c r="S651" s="11">
        <v>18</v>
      </c>
      <c r="T651" s="5">
        <f t="shared" ref="T651:T682" si="871">SUM(Q651:S651)</f>
        <v>122</v>
      </c>
      <c r="U651" s="14">
        <v>20</v>
      </c>
      <c r="V651" s="11">
        <v>33</v>
      </c>
      <c r="W651" s="11">
        <v>22</v>
      </c>
      <c r="X651" s="5">
        <f t="shared" ref="X651:X682" si="872">SUM(U651:W651)</f>
        <v>75</v>
      </c>
      <c r="Y651" s="25">
        <v>16</v>
      </c>
      <c r="Z651" s="26">
        <v>35</v>
      </c>
      <c r="AA651" s="26">
        <v>18</v>
      </c>
      <c r="AB651" s="5">
        <f t="shared" ref="AB651:AB682" si="873">SUM(Y651:AA651)</f>
        <v>69</v>
      </c>
      <c r="AC651" s="86">
        <f t="shared" ref="AC651:AC682" si="874">T651+X651+AB651</f>
        <v>266</v>
      </c>
      <c r="AD651" s="116"/>
      <c r="AE651" s="58"/>
    </row>
    <row r="652" spans="1:31" x14ac:dyDescent="0.15">
      <c r="A652" s="102" t="s">
        <v>3</v>
      </c>
      <c r="B652" s="14">
        <v>10</v>
      </c>
      <c r="C652" s="11">
        <v>5</v>
      </c>
      <c r="D652" s="11"/>
      <c r="E652" s="5">
        <f t="shared" si="867"/>
        <v>15</v>
      </c>
      <c r="F652" s="34">
        <v>5</v>
      </c>
      <c r="G652" s="11">
        <v>5</v>
      </c>
      <c r="H652" s="11">
        <v>5</v>
      </c>
      <c r="I652" s="5">
        <f t="shared" si="868"/>
        <v>15</v>
      </c>
      <c r="J652" s="34">
        <v>5</v>
      </c>
      <c r="K652" s="11">
        <v>10</v>
      </c>
      <c r="L652" s="11">
        <v>10</v>
      </c>
      <c r="M652" s="38">
        <f t="shared" si="869"/>
        <v>25</v>
      </c>
      <c r="N652" s="138">
        <f t="shared" si="870"/>
        <v>55</v>
      </c>
      <c r="O652" s="24">
        <v>45672</v>
      </c>
      <c r="P652" s="6" t="s">
        <v>229</v>
      </c>
      <c r="Q652" s="14">
        <v>550</v>
      </c>
      <c r="R652" s="11">
        <v>900</v>
      </c>
      <c r="S652" s="11">
        <v>550</v>
      </c>
      <c r="T652" s="5">
        <f t="shared" ref="T652:T653" si="875">SUM(Q652:S652)</f>
        <v>2000</v>
      </c>
      <c r="U652" s="14">
        <v>550</v>
      </c>
      <c r="V652" s="11">
        <v>900</v>
      </c>
      <c r="W652" s="11">
        <v>550</v>
      </c>
      <c r="X652" s="5">
        <f t="shared" ref="X652:X653" si="876">SUM(U652:W652)</f>
        <v>2000</v>
      </c>
      <c r="Y652" s="14">
        <v>550</v>
      </c>
      <c r="Z652" s="11">
        <v>900</v>
      </c>
      <c r="AA652" s="11">
        <v>550</v>
      </c>
      <c r="AB652" s="5">
        <f t="shared" ref="AB652:AB653" si="877">SUM(Y652:AA652)</f>
        <v>2000</v>
      </c>
      <c r="AC652" s="86">
        <f t="shared" ref="AC652:AC653" si="878">T652+X652+AB652</f>
        <v>6000</v>
      </c>
      <c r="AD652" s="127" t="s">
        <v>613</v>
      </c>
      <c r="AE652" s="116"/>
    </row>
    <row r="653" spans="1:31" x14ac:dyDescent="0.15">
      <c r="A653" s="102" t="s">
        <v>3</v>
      </c>
      <c r="B653" s="14"/>
      <c r="C653" s="11"/>
      <c r="D653" s="11"/>
      <c r="E653" s="5">
        <f t="shared" si="867"/>
        <v>0</v>
      </c>
      <c r="F653" s="34"/>
      <c r="G653" s="11"/>
      <c r="H653" s="11"/>
      <c r="I653" s="5">
        <f t="shared" si="868"/>
        <v>0</v>
      </c>
      <c r="J653" s="34"/>
      <c r="K653" s="11"/>
      <c r="L653" s="11">
        <v>10</v>
      </c>
      <c r="M653" s="38">
        <f t="shared" si="869"/>
        <v>10</v>
      </c>
      <c r="N653" s="138">
        <f t="shared" si="870"/>
        <v>10</v>
      </c>
      <c r="O653" s="24">
        <v>45673</v>
      </c>
      <c r="P653" s="6" t="s">
        <v>498</v>
      </c>
      <c r="Q653" s="27">
        <v>-250</v>
      </c>
      <c r="R653" s="26">
        <v>-250</v>
      </c>
      <c r="S653" s="26">
        <v>-100</v>
      </c>
      <c r="T653" s="5">
        <f t="shared" si="875"/>
        <v>-600</v>
      </c>
      <c r="U653" s="27">
        <v>-250</v>
      </c>
      <c r="V653" s="26">
        <v>-250</v>
      </c>
      <c r="W653" s="26">
        <v>-100</v>
      </c>
      <c r="X653" s="5">
        <f t="shared" si="876"/>
        <v>-600</v>
      </c>
      <c r="Y653" s="27">
        <v>-250</v>
      </c>
      <c r="Z653" s="26">
        <v>-250</v>
      </c>
      <c r="AA653" s="26">
        <v>-100</v>
      </c>
      <c r="AB653" s="5">
        <f t="shared" si="877"/>
        <v>-600</v>
      </c>
      <c r="AC653" s="94">
        <f t="shared" si="878"/>
        <v>-1800</v>
      </c>
      <c r="AD653" s="116" t="s">
        <v>605</v>
      </c>
      <c r="AE653" s="58"/>
    </row>
    <row r="654" spans="1:31" x14ac:dyDescent="0.15">
      <c r="A654" s="102" t="s">
        <v>3</v>
      </c>
      <c r="B654" s="14"/>
      <c r="C654" s="11"/>
      <c r="D654" s="11">
        <v>10</v>
      </c>
      <c r="E654" s="5">
        <f t="shared" si="867"/>
        <v>10</v>
      </c>
      <c r="F654" s="34"/>
      <c r="G654" s="11"/>
      <c r="H654" s="11">
        <v>10</v>
      </c>
      <c r="I654" s="5">
        <f t="shared" si="868"/>
        <v>10</v>
      </c>
      <c r="J654" s="34"/>
      <c r="K654" s="11"/>
      <c r="L654" s="11"/>
      <c r="M654" s="38">
        <f t="shared" si="869"/>
        <v>0</v>
      </c>
      <c r="N654" s="138">
        <f t="shared" si="870"/>
        <v>20</v>
      </c>
      <c r="O654" s="24">
        <v>45675</v>
      </c>
      <c r="P654" s="6" t="s">
        <v>3</v>
      </c>
      <c r="Q654" s="14"/>
      <c r="R654" s="11"/>
      <c r="S654" s="11"/>
      <c r="T654" s="5">
        <f t="shared" si="871"/>
        <v>0</v>
      </c>
      <c r="U654" s="14"/>
      <c r="V654" s="11"/>
      <c r="W654" s="11"/>
      <c r="X654" s="5">
        <f t="shared" si="872"/>
        <v>0</v>
      </c>
      <c r="Y654" s="25"/>
      <c r="Z654" s="26"/>
      <c r="AA654" s="26"/>
      <c r="AB654" s="5">
        <f t="shared" si="873"/>
        <v>0</v>
      </c>
      <c r="AC654" s="86">
        <f t="shared" si="874"/>
        <v>0</v>
      </c>
    </row>
    <row r="655" spans="1:31" x14ac:dyDescent="0.15">
      <c r="A655" s="102" t="s">
        <v>3</v>
      </c>
      <c r="B655" s="25"/>
      <c r="C655" s="26"/>
      <c r="D655" s="26"/>
      <c r="E655" s="8">
        <f t="shared" ref="E655" si="879">SUM(B655:D655)</f>
        <v>0</v>
      </c>
      <c r="F655" s="25"/>
      <c r="G655" s="26"/>
      <c r="H655" s="26"/>
      <c r="I655" s="8">
        <f t="shared" ref="I655" si="880">SUM(F655:H655)</f>
        <v>0</v>
      </c>
      <c r="J655" s="25"/>
      <c r="K655" s="26"/>
      <c r="L655" s="26"/>
      <c r="M655" s="39">
        <f t="shared" ref="M655" si="881">SUM(J655:L655)</f>
        <v>0</v>
      </c>
      <c r="N655" s="138">
        <f t="shared" ref="N655" si="882">E655+I655+M655</f>
        <v>0</v>
      </c>
      <c r="P655" s="6" t="s">
        <v>3</v>
      </c>
      <c r="Q655" s="14"/>
      <c r="R655" s="11"/>
      <c r="S655" s="11"/>
      <c r="T655" s="5">
        <f t="shared" si="871"/>
        <v>0</v>
      </c>
      <c r="U655" s="14"/>
      <c r="V655" s="11"/>
      <c r="W655" s="11"/>
      <c r="X655" s="5">
        <f t="shared" si="872"/>
        <v>0</v>
      </c>
      <c r="Y655" s="25"/>
      <c r="Z655" s="26"/>
      <c r="AA655" s="26"/>
      <c r="AB655" s="5">
        <f t="shared" si="873"/>
        <v>0</v>
      </c>
      <c r="AC655" s="86">
        <f t="shared" si="874"/>
        <v>0</v>
      </c>
    </row>
    <row r="656" spans="1:31" x14ac:dyDescent="0.15">
      <c r="A656" s="102" t="s">
        <v>3</v>
      </c>
      <c r="B656" s="25"/>
      <c r="C656" s="26"/>
      <c r="D656" s="26"/>
      <c r="E656" s="8">
        <f t="shared" si="867"/>
        <v>0</v>
      </c>
      <c r="F656" s="25"/>
      <c r="G656" s="26"/>
      <c r="H656" s="26"/>
      <c r="I656" s="8">
        <f t="shared" si="868"/>
        <v>0</v>
      </c>
      <c r="J656" s="25"/>
      <c r="K656" s="26"/>
      <c r="L656" s="26"/>
      <c r="M656" s="39">
        <f t="shared" si="869"/>
        <v>0</v>
      </c>
      <c r="N656" s="138">
        <f t="shared" si="870"/>
        <v>0</v>
      </c>
      <c r="P656" s="6" t="s">
        <v>3</v>
      </c>
      <c r="Q656" s="14"/>
      <c r="R656" s="11"/>
      <c r="S656" s="11"/>
      <c r="T656" s="5">
        <f t="shared" si="871"/>
        <v>0</v>
      </c>
      <c r="U656" s="14"/>
      <c r="V656" s="11"/>
      <c r="W656" s="11"/>
      <c r="X656" s="5">
        <f t="shared" si="872"/>
        <v>0</v>
      </c>
      <c r="Y656" s="25"/>
      <c r="Z656" s="26"/>
      <c r="AA656" s="26"/>
      <c r="AB656" s="8">
        <f t="shared" si="873"/>
        <v>0</v>
      </c>
      <c r="AC656" s="86">
        <f t="shared" si="874"/>
        <v>0</v>
      </c>
    </row>
    <row r="657" spans="1:32" x14ac:dyDescent="0.15">
      <c r="A657" s="102" t="s">
        <v>3</v>
      </c>
      <c r="B657" s="27"/>
      <c r="C657" s="26"/>
      <c r="D657" s="26"/>
      <c r="E657" s="5">
        <f t="shared" si="867"/>
        <v>0</v>
      </c>
      <c r="F657" s="25"/>
      <c r="G657" s="26"/>
      <c r="H657" s="26"/>
      <c r="I657" s="5">
        <f t="shared" si="868"/>
        <v>0</v>
      </c>
      <c r="J657" s="25"/>
      <c r="K657" s="26"/>
      <c r="L657" s="26"/>
      <c r="M657" s="38">
        <f t="shared" si="869"/>
        <v>0</v>
      </c>
      <c r="N657" s="138">
        <f t="shared" si="870"/>
        <v>0</v>
      </c>
      <c r="P657" s="6" t="s">
        <v>3</v>
      </c>
      <c r="Q657" s="27"/>
      <c r="R657" s="26"/>
      <c r="S657" s="26"/>
      <c r="T657" s="5">
        <f t="shared" si="871"/>
        <v>0</v>
      </c>
      <c r="U657" s="27"/>
      <c r="V657" s="26"/>
      <c r="W657" s="26"/>
      <c r="X657" s="5">
        <f t="shared" si="872"/>
        <v>0</v>
      </c>
      <c r="Y657" s="25"/>
      <c r="Z657" s="26"/>
      <c r="AA657" s="26"/>
      <c r="AB657" s="5">
        <f t="shared" si="873"/>
        <v>0</v>
      </c>
      <c r="AC657" s="86">
        <f t="shared" si="874"/>
        <v>0</v>
      </c>
    </row>
    <row r="658" spans="1:32" x14ac:dyDescent="0.15">
      <c r="A658" s="102" t="s">
        <v>3</v>
      </c>
      <c r="B658" s="27"/>
      <c r="C658" s="26"/>
      <c r="D658" s="26"/>
      <c r="E658" s="5">
        <f t="shared" si="867"/>
        <v>0</v>
      </c>
      <c r="F658" s="25"/>
      <c r="G658" s="26"/>
      <c r="H658" s="26"/>
      <c r="I658" s="5">
        <f t="shared" si="868"/>
        <v>0</v>
      </c>
      <c r="J658" s="25"/>
      <c r="K658" s="26"/>
      <c r="L658" s="26"/>
      <c r="M658" s="38">
        <f t="shared" si="869"/>
        <v>0</v>
      </c>
      <c r="N658" s="138">
        <f t="shared" si="870"/>
        <v>0</v>
      </c>
      <c r="P658" s="6" t="s">
        <v>3</v>
      </c>
      <c r="Q658" s="14"/>
      <c r="R658" s="11"/>
      <c r="S658" s="11"/>
      <c r="T658" s="5">
        <f t="shared" ref="T658:T659" si="883">SUM(Q658:S658)</f>
        <v>0</v>
      </c>
      <c r="U658" s="14"/>
      <c r="V658" s="11"/>
      <c r="W658" s="11"/>
      <c r="X658" s="5">
        <f t="shared" ref="X658:X659" si="884">SUM(U658:W658)</f>
        <v>0</v>
      </c>
      <c r="Y658" s="25"/>
      <c r="Z658" s="26"/>
      <c r="AA658" s="26"/>
      <c r="AB658" s="8">
        <f t="shared" ref="AB658:AB659" si="885">SUM(Y658:AA658)</f>
        <v>0</v>
      </c>
      <c r="AC658" s="86">
        <f t="shared" ref="AC658:AC659" si="886">T658+X658+AB658</f>
        <v>0</v>
      </c>
    </row>
    <row r="659" spans="1:32" x14ac:dyDescent="0.15">
      <c r="A659" s="102" t="s">
        <v>3</v>
      </c>
      <c r="B659" s="27"/>
      <c r="C659" s="26"/>
      <c r="D659" s="26"/>
      <c r="E659" s="5">
        <f t="shared" si="867"/>
        <v>0</v>
      </c>
      <c r="F659" s="25"/>
      <c r="G659" s="26"/>
      <c r="H659" s="26"/>
      <c r="I659" s="5">
        <f t="shared" si="868"/>
        <v>0</v>
      </c>
      <c r="J659" s="25"/>
      <c r="K659" s="26"/>
      <c r="L659" s="26"/>
      <c r="M659" s="38">
        <f t="shared" si="869"/>
        <v>0</v>
      </c>
      <c r="N659" s="138">
        <f t="shared" si="870"/>
        <v>0</v>
      </c>
      <c r="P659" s="6" t="s">
        <v>3</v>
      </c>
      <c r="Q659" s="27"/>
      <c r="R659" s="26"/>
      <c r="S659" s="26"/>
      <c r="T659" s="5">
        <f t="shared" si="883"/>
        <v>0</v>
      </c>
      <c r="U659" s="27"/>
      <c r="V659" s="26"/>
      <c r="W659" s="26"/>
      <c r="X659" s="5">
        <f t="shared" si="884"/>
        <v>0</v>
      </c>
      <c r="Y659" s="25"/>
      <c r="Z659" s="26"/>
      <c r="AA659" s="26"/>
      <c r="AB659" s="5">
        <f t="shared" si="885"/>
        <v>0</v>
      </c>
      <c r="AC659" s="86">
        <f t="shared" si="886"/>
        <v>0</v>
      </c>
    </row>
    <row r="660" spans="1:32" ht="14.25" thickBot="1" x14ac:dyDescent="0.2">
      <c r="A660" s="102" t="s">
        <v>3</v>
      </c>
      <c r="B660" s="27"/>
      <c r="C660" s="26"/>
      <c r="D660" s="26"/>
      <c r="E660" s="5">
        <f t="shared" ref="E660" si="887">SUM(B660:D660)</f>
        <v>0</v>
      </c>
      <c r="F660" s="25"/>
      <c r="G660" s="26"/>
      <c r="H660" s="26"/>
      <c r="I660" s="5">
        <f t="shared" ref="I660" si="888">SUM(F660:H660)</f>
        <v>0</v>
      </c>
      <c r="J660" s="25"/>
      <c r="K660" s="26"/>
      <c r="L660" s="26"/>
      <c r="M660" s="38">
        <f t="shared" ref="M660" si="889">SUM(J660:L660)</f>
        <v>0</v>
      </c>
      <c r="N660" s="138">
        <f t="shared" ref="N660" si="890">E660+I660+M660</f>
        <v>0</v>
      </c>
      <c r="P660" s="7" t="s">
        <v>3</v>
      </c>
      <c r="Q660" s="28"/>
      <c r="R660" s="29"/>
      <c r="S660" s="29"/>
      <c r="T660" s="15">
        <f t="shared" si="871"/>
        <v>0</v>
      </c>
      <c r="U660" s="28"/>
      <c r="V660" s="29"/>
      <c r="W660" s="29"/>
      <c r="X660" s="15">
        <f t="shared" si="872"/>
        <v>0</v>
      </c>
      <c r="Y660" s="35"/>
      <c r="Z660" s="29"/>
      <c r="AA660" s="32"/>
      <c r="AB660" s="15">
        <f t="shared" si="873"/>
        <v>0</v>
      </c>
      <c r="AC660" s="87">
        <f t="shared" si="874"/>
        <v>0</v>
      </c>
    </row>
    <row r="661" spans="1:32" ht="14.25" thickBot="1" x14ac:dyDescent="0.2">
      <c r="A661" s="103" t="s">
        <v>4</v>
      </c>
      <c r="B661" s="17">
        <f>SUM(B650:B660)</f>
        <v>20</v>
      </c>
      <c r="C661" s="17">
        <f>SUM(C650:C660)</f>
        <v>23</v>
      </c>
      <c r="D661" s="17">
        <f>SUM(D650:D660)</f>
        <v>21</v>
      </c>
      <c r="E661" s="18">
        <f t="shared" si="867"/>
        <v>64</v>
      </c>
      <c r="F661" s="17">
        <f>SUM(F650:F660)</f>
        <v>17</v>
      </c>
      <c r="G661" s="17">
        <f>SUM(G650:G660)</f>
        <v>22</v>
      </c>
      <c r="H661" s="17">
        <f>SUM(H650:H660)</f>
        <v>25</v>
      </c>
      <c r="I661" s="18">
        <f t="shared" si="868"/>
        <v>64</v>
      </c>
      <c r="J661" s="17">
        <f>SUM(J650:J660)</f>
        <v>20</v>
      </c>
      <c r="K661" s="17">
        <f>SUM(K650:K660)</f>
        <v>25</v>
      </c>
      <c r="L661" s="17">
        <f>SUM(L650:L660)</f>
        <v>23</v>
      </c>
      <c r="M661" s="20">
        <f t="shared" si="869"/>
        <v>68</v>
      </c>
      <c r="N661" s="140">
        <f t="shared" si="870"/>
        <v>196</v>
      </c>
      <c r="P661" s="16" t="s">
        <v>4</v>
      </c>
      <c r="Q661" s="17">
        <f>SUM(Q650:Q660)</f>
        <v>551</v>
      </c>
      <c r="R661" s="17">
        <f t="shared" ref="R661" si="891">SUM(R650:R660)</f>
        <v>848</v>
      </c>
      <c r="S661" s="17">
        <f t="shared" ref="S661" si="892">SUM(S650:S660)</f>
        <v>642</v>
      </c>
      <c r="T661" s="18">
        <f t="shared" ref="T661" si="893">SUM(T650:T660)</f>
        <v>2041</v>
      </c>
      <c r="U661" s="17">
        <f t="shared" ref="U661" si="894">SUM(U650:U660)</f>
        <v>516</v>
      </c>
      <c r="V661" s="17">
        <f t="shared" ref="V661" si="895">SUM(V650:V660)</f>
        <v>868</v>
      </c>
      <c r="W661" s="17">
        <f t="shared" ref="W661" si="896">SUM(W650:W660)</f>
        <v>697</v>
      </c>
      <c r="X661" s="18">
        <f t="shared" ref="X661" si="897">SUM(X650:X660)</f>
        <v>2081</v>
      </c>
      <c r="Y661" s="17">
        <f t="shared" ref="Y661" si="898">SUM(Y650:Y660)</f>
        <v>501</v>
      </c>
      <c r="Z661" s="17">
        <f t="shared" ref="Z661" si="899">SUM(Z650:Z660)</f>
        <v>847</v>
      </c>
      <c r="AA661" s="17">
        <f t="shared" ref="AA661" si="900">SUM(AA650:AA660)</f>
        <v>667</v>
      </c>
      <c r="AB661" s="18">
        <f t="shared" ref="AB661" si="901">SUM(AB650:AB660)</f>
        <v>2015</v>
      </c>
      <c r="AC661" s="88">
        <f t="shared" ref="AC661" si="902">SUM(AC650:AC660)</f>
        <v>6137</v>
      </c>
    </row>
    <row r="662" spans="1:32" x14ac:dyDescent="0.15">
      <c r="A662" s="33" t="s">
        <v>626</v>
      </c>
      <c r="B662" s="9">
        <v>1</v>
      </c>
      <c r="C662" s="10">
        <v>2</v>
      </c>
      <c r="D662" s="31"/>
      <c r="E662" s="5">
        <f t="shared" si="867"/>
        <v>3</v>
      </c>
      <c r="F662" s="9">
        <v>1</v>
      </c>
      <c r="G662" s="10">
        <v>2</v>
      </c>
      <c r="H662" s="31"/>
      <c r="I662" s="5">
        <f t="shared" si="868"/>
        <v>3</v>
      </c>
      <c r="J662" s="9">
        <v>1</v>
      </c>
      <c r="K662" s="10">
        <v>2</v>
      </c>
      <c r="L662" s="31"/>
      <c r="M662" s="38">
        <f t="shared" si="869"/>
        <v>3</v>
      </c>
      <c r="N662" s="141">
        <f t="shared" si="870"/>
        <v>9</v>
      </c>
      <c r="O662" s="24">
        <v>45671</v>
      </c>
      <c r="P662" s="4" t="s">
        <v>624</v>
      </c>
      <c r="Q662" s="9"/>
      <c r="R662" s="10">
        <v>10</v>
      </c>
      <c r="S662" s="31">
        <v>5</v>
      </c>
      <c r="T662" s="5">
        <f t="shared" si="871"/>
        <v>15</v>
      </c>
      <c r="U662" s="9"/>
      <c r="V662" s="10">
        <v>10</v>
      </c>
      <c r="W662" s="31">
        <v>5</v>
      </c>
      <c r="X662" s="5">
        <f t="shared" si="872"/>
        <v>15</v>
      </c>
      <c r="Y662" s="9"/>
      <c r="Z662" s="10">
        <v>10</v>
      </c>
      <c r="AA662" s="31">
        <v>5</v>
      </c>
      <c r="AB662" s="5">
        <f t="shared" si="873"/>
        <v>15</v>
      </c>
      <c r="AC662" s="91">
        <f t="shared" si="874"/>
        <v>45</v>
      </c>
      <c r="AD662" s="109">
        <v>45671</v>
      </c>
    </row>
    <row r="663" spans="1:32" x14ac:dyDescent="0.15">
      <c r="A663" s="33" t="s">
        <v>36</v>
      </c>
      <c r="B663" s="9"/>
      <c r="C663" s="10">
        <v>2</v>
      </c>
      <c r="D663" s="10"/>
      <c r="E663" s="5">
        <f t="shared" si="867"/>
        <v>2</v>
      </c>
      <c r="F663" s="9"/>
      <c r="G663" s="10"/>
      <c r="H663" s="10"/>
      <c r="I663" s="5">
        <f t="shared" si="868"/>
        <v>0</v>
      </c>
      <c r="J663" s="9"/>
      <c r="K663" s="10"/>
      <c r="L663" s="10">
        <v>1</v>
      </c>
      <c r="M663" s="38">
        <f t="shared" si="869"/>
        <v>1</v>
      </c>
      <c r="N663" s="138">
        <f t="shared" si="870"/>
        <v>3</v>
      </c>
      <c r="O663" s="24">
        <v>45668</v>
      </c>
      <c r="P663" s="33" t="s">
        <v>625</v>
      </c>
      <c r="Q663" s="9">
        <v>5</v>
      </c>
      <c r="R663" s="10">
        <v>10</v>
      </c>
      <c r="S663" s="10">
        <v>5</v>
      </c>
      <c r="T663" s="5">
        <f t="shared" si="871"/>
        <v>20</v>
      </c>
      <c r="U663" s="9">
        <v>5</v>
      </c>
      <c r="V663" s="10">
        <v>10</v>
      </c>
      <c r="W663" s="10">
        <v>5</v>
      </c>
      <c r="X663" s="5">
        <f t="shared" si="872"/>
        <v>20</v>
      </c>
      <c r="Y663" s="9">
        <v>5</v>
      </c>
      <c r="Z663" s="10">
        <v>10</v>
      </c>
      <c r="AA663" s="10">
        <v>5</v>
      </c>
      <c r="AB663" s="5">
        <f t="shared" si="873"/>
        <v>20</v>
      </c>
      <c r="AC663" s="86">
        <f t="shared" si="874"/>
        <v>60</v>
      </c>
      <c r="AD663" s="109">
        <v>45668</v>
      </c>
      <c r="AE663" s="58"/>
      <c r="AF663" s="58"/>
    </row>
    <row r="664" spans="1:32" x14ac:dyDescent="0.15">
      <c r="A664" s="33" t="s">
        <v>629</v>
      </c>
      <c r="B664" s="9">
        <v>4</v>
      </c>
      <c r="C664" s="10">
        <v>4</v>
      </c>
      <c r="D664" s="10">
        <v>4</v>
      </c>
      <c r="E664" s="5">
        <f t="shared" si="867"/>
        <v>12</v>
      </c>
      <c r="F664" s="9">
        <v>4</v>
      </c>
      <c r="G664" s="10">
        <v>4</v>
      </c>
      <c r="H664" s="10">
        <v>4</v>
      </c>
      <c r="I664" s="5">
        <f t="shared" si="868"/>
        <v>12</v>
      </c>
      <c r="J664" s="9">
        <v>4</v>
      </c>
      <c r="K664" s="10">
        <v>4</v>
      </c>
      <c r="L664" s="10">
        <v>4</v>
      </c>
      <c r="M664" s="38">
        <f t="shared" si="869"/>
        <v>12</v>
      </c>
      <c r="N664" s="138">
        <f t="shared" si="870"/>
        <v>36</v>
      </c>
      <c r="O664" s="24">
        <v>45674</v>
      </c>
      <c r="P664" s="33" t="s">
        <v>627</v>
      </c>
      <c r="Q664" s="9">
        <v>4</v>
      </c>
      <c r="R664" s="10">
        <v>1</v>
      </c>
      <c r="S664" s="10"/>
      <c r="T664" s="5">
        <f t="shared" si="871"/>
        <v>5</v>
      </c>
      <c r="U664" s="9">
        <v>4</v>
      </c>
      <c r="V664" s="10">
        <v>1</v>
      </c>
      <c r="W664" s="10"/>
      <c r="X664" s="5">
        <f t="shared" si="872"/>
        <v>5</v>
      </c>
      <c r="Y664" s="9">
        <v>4</v>
      </c>
      <c r="Z664" s="10">
        <v>1</v>
      </c>
      <c r="AA664" s="10"/>
      <c r="AB664" s="5">
        <f t="shared" si="873"/>
        <v>5</v>
      </c>
      <c r="AC664" s="86">
        <f t="shared" si="874"/>
        <v>15</v>
      </c>
      <c r="AD664" s="109">
        <v>45673</v>
      </c>
      <c r="AE664" s="58"/>
      <c r="AF664" s="58"/>
    </row>
    <row r="665" spans="1:32" x14ac:dyDescent="0.15">
      <c r="A665" s="11" t="s">
        <v>630</v>
      </c>
      <c r="B665" s="9">
        <v>4</v>
      </c>
      <c r="C665" s="10">
        <v>3</v>
      </c>
      <c r="D665" s="10">
        <v>3</v>
      </c>
      <c r="E665" s="5">
        <f t="shared" si="867"/>
        <v>10</v>
      </c>
      <c r="F665" s="9">
        <v>4</v>
      </c>
      <c r="G665" s="10">
        <v>3</v>
      </c>
      <c r="H665" s="10">
        <v>3</v>
      </c>
      <c r="I665" s="5">
        <f t="shared" si="868"/>
        <v>10</v>
      </c>
      <c r="J665" s="9">
        <v>4</v>
      </c>
      <c r="K665" s="10">
        <v>3</v>
      </c>
      <c r="L665" s="10">
        <v>3</v>
      </c>
      <c r="M665" s="38">
        <f t="shared" si="869"/>
        <v>10</v>
      </c>
      <c r="N665" s="138">
        <f t="shared" si="870"/>
        <v>30</v>
      </c>
      <c r="O665" s="24">
        <v>45673</v>
      </c>
      <c r="P665" s="4" t="s">
        <v>628</v>
      </c>
      <c r="Q665" s="9">
        <v>14</v>
      </c>
      <c r="R665" s="10">
        <v>13</v>
      </c>
      <c r="S665" s="10">
        <v>6</v>
      </c>
      <c r="T665" s="5">
        <f t="shared" si="871"/>
        <v>33</v>
      </c>
      <c r="U665" s="9">
        <v>14</v>
      </c>
      <c r="V665" s="10">
        <v>13</v>
      </c>
      <c r="W665" s="10">
        <v>6</v>
      </c>
      <c r="X665" s="5">
        <f t="shared" si="872"/>
        <v>33</v>
      </c>
      <c r="Y665" s="9">
        <v>14</v>
      </c>
      <c r="Z665" s="10">
        <v>13</v>
      </c>
      <c r="AA665" s="10">
        <v>6</v>
      </c>
      <c r="AB665" s="5">
        <f t="shared" si="873"/>
        <v>33</v>
      </c>
      <c r="AC665" s="86">
        <f t="shared" si="874"/>
        <v>99</v>
      </c>
      <c r="AD665" s="109">
        <v>45672</v>
      </c>
    </row>
    <row r="666" spans="1:32" x14ac:dyDescent="0.15">
      <c r="A666" s="33" t="s">
        <v>36</v>
      </c>
      <c r="B666" s="9"/>
      <c r="C666" s="10"/>
      <c r="D666" s="10"/>
      <c r="E666" s="5">
        <f t="shared" si="867"/>
        <v>0</v>
      </c>
      <c r="F666" s="9"/>
      <c r="G666" s="10"/>
      <c r="H666" s="10"/>
      <c r="I666" s="5">
        <f t="shared" si="868"/>
        <v>0</v>
      </c>
      <c r="J666" s="9"/>
      <c r="K666" s="10"/>
      <c r="L666" s="10">
        <v>3</v>
      </c>
      <c r="M666" s="38">
        <f t="shared" si="869"/>
        <v>3</v>
      </c>
      <c r="N666" s="138">
        <f t="shared" si="870"/>
        <v>3</v>
      </c>
      <c r="O666" s="24">
        <v>45672</v>
      </c>
      <c r="P666" s="11" t="s">
        <v>631</v>
      </c>
      <c r="Q666" s="9">
        <v>10</v>
      </c>
      <c r="R666" s="10">
        <v>5</v>
      </c>
      <c r="S666" s="10"/>
      <c r="T666" s="5">
        <f t="shared" si="871"/>
        <v>15</v>
      </c>
      <c r="U666" s="9">
        <v>5</v>
      </c>
      <c r="V666" s="10">
        <v>5</v>
      </c>
      <c r="W666" s="10">
        <v>5</v>
      </c>
      <c r="X666" s="5">
        <f t="shared" si="872"/>
        <v>15</v>
      </c>
      <c r="Y666" s="9">
        <v>5</v>
      </c>
      <c r="Z666" s="10">
        <v>10</v>
      </c>
      <c r="AA666" s="10">
        <v>10</v>
      </c>
      <c r="AB666" s="5">
        <f t="shared" si="873"/>
        <v>25</v>
      </c>
      <c r="AC666" s="86">
        <f t="shared" si="874"/>
        <v>55</v>
      </c>
      <c r="AD666" s="109">
        <v>45672</v>
      </c>
    </row>
    <row r="667" spans="1:32" x14ac:dyDescent="0.15">
      <c r="A667" s="33" t="s">
        <v>36</v>
      </c>
      <c r="B667" s="9"/>
      <c r="C667" s="10">
        <v>3</v>
      </c>
      <c r="D667" s="10"/>
      <c r="E667" s="8">
        <f t="shared" si="867"/>
        <v>3</v>
      </c>
      <c r="F667" s="9"/>
      <c r="G667" s="10"/>
      <c r="H667" s="10"/>
      <c r="I667" s="8">
        <f t="shared" si="868"/>
        <v>0</v>
      </c>
      <c r="J667" s="9"/>
      <c r="K667" s="10"/>
      <c r="L667" s="10"/>
      <c r="M667" s="39">
        <f t="shared" si="869"/>
        <v>0</v>
      </c>
      <c r="N667" s="138">
        <f t="shared" si="870"/>
        <v>3</v>
      </c>
      <c r="O667" s="24">
        <v>45673</v>
      </c>
      <c r="P667" s="4" t="s">
        <v>632</v>
      </c>
      <c r="Q667" s="9">
        <v>10</v>
      </c>
      <c r="R667" s="10">
        <v>15</v>
      </c>
      <c r="S667" s="10">
        <v>10</v>
      </c>
      <c r="T667" s="8">
        <f t="shared" si="871"/>
        <v>35</v>
      </c>
      <c r="U667" s="9">
        <v>10</v>
      </c>
      <c r="V667" s="10">
        <v>15</v>
      </c>
      <c r="W667" s="10">
        <v>10</v>
      </c>
      <c r="X667" s="8">
        <f t="shared" si="872"/>
        <v>35</v>
      </c>
      <c r="Y667" s="9">
        <v>10</v>
      </c>
      <c r="Z667" s="10">
        <v>15</v>
      </c>
      <c r="AA667" s="10">
        <v>10</v>
      </c>
      <c r="AB667" s="8">
        <f t="shared" si="873"/>
        <v>35</v>
      </c>
      <c r="AC667" s="86">
        <f t="shared" si="874"/>
        <v>105</v>
      </c>
      <c r="AD667" s="109">
        <v>45674</v>
      </c>
    </row>
    <row r="668" spans="1:32" x14ac:dyDescent="0.15">
      <c r="A668" s="33"/>
      <c r="B668" s="9"/>
      <c r="C668" s="10"/>
      <c r="D668" s="10"/>
      <c r="E668" s="8">
        <f t="shared" ref="E668:E669" si="903">SUM(B668:D668)</f>
        <v>0</v>
      </c>
      <c r="F668" s="9"/>
      <c r="G668" s="10"/>
      <c r="H668" s="10"/>
      <c r="I668" s="8">
        <f t="shared" ref="I668:I669" si="904">SUM(F668:H668)</f>
        <v>0</v>
      </c>
      <c r="J668" s="9"/>
      <c r="K668" s="10"/>
      <c r="L668" s="10"/>
      <c r="M668" s="39">
        <f t="shared" ref="M668:M669" si="905">SUM(J668:L668)</f>
        <v>0</v>
      </c>
      <c r="N668" s="138">
        <f t="shared" ref="N668:N669" si="906">E668+I668+M668</f>
        <v>0</v>
      </c>
      <c r="P668" s="33" t="s">
        <v>633</v>
      </c>
      <c r="Q668" s="9">
        <v>7</v>
      </c>
      <c r="R668" s="10">
        <v>6</v>
      </c>
      <c r="S668" s="10">
        <v>4</v>
      </c>
      <c r="T668" s="8">
        <f t="shared" si="871"/>
        <v>17</v>
      </c>
      <c r="U668" s="9">
        <v>7</v>
      </c>
      <c r="V668" s="10">
        <v>6</v>
      </c>
      <c r="W668" s="10">
        <v>4</v>
      </c>
      <c r="X668" s="8">
        <f t="shared" si="872"/>
        <v>17</v>
      </c>
      <c r="Y668" s="9">
        <v>7</v>
      </c>
      <c r="Z668" s="10">
        <v>6</v>
      </c>
      <c r="AA668" s="10">
        <v>4</v>
      </c>
      <c r="AB668" s="8">
        <f t="shared" si="873"/>
        <v>17</v>
      </c>
      <c r="AC668" s="86">
        <f t="shared" si="874"/>
        <v>51</v>
      </c>
      <c r="AD668" s="109">
        <v>45674</v>
      </c>
      <c r="AE668" s="58"/>
    </row>
    <row r="669" spans="1:32" x14ac:dyDescent="0.15">
      <c r="A669" s="33"/>
      <c r="B669" s="9"/>
      <c r="C669" s="10"/>
      <c r="D669" s="10"/>
      <c r="E669" s="8">
        <f t="shared" si="903"/>
        <v>0</v>
      </c>
      <c r="F669" s="9"/>
      <c r="G669" s="10"/>
      <c r="H669" s="10"/>
      <c r="I669" s="8">
        <f t="shared" si="904"/>
        <v>0</v>
      </c>
      <c r="J669" s="9"/>
      <c r="K669" s="10"/>
      <c r="L669" s="10"/>
      <c r="M669" s="39">
        <f t="shared" si="905"/>
        <v>0</v>
      </c>
      <c r="N669" s="138">
        <f t="shared" si="906"/>
        <v>0</v>
      </c>
      <c r="P669" s="11" t="s">
        <v>27</v>
      </c>
      <c r="Q669" s="9"/>
      <c r="R669" s="10"/>
      <c r="S669" s="10"/>
      <c r="T669" s="8">
        <f t="shared" ref="T669" si="907">SUM(Q669:S669)</f>
        <v>0</v>
      </c>
      <c r="U669" s="9"/>
      <c r="V669" s="10"/>
      <c r="W669" s="10"/>
      <c r="X669" s="8">
        <f t="shared" ref="X669" si="908">SUM(U669:W669)</f>
        <v>0</v>
      </c>
      <c r="Y669" s="9"/>
      <c r="Z669" s="10"/>
      <c r="AA669" s="10">
        <v>10</v>
      </c>
      <c r="AB669" s="8">
        <f t="shared" ref="AB669" si="909">SUM(Y669:AA669)</f>
        <v>10</v>
      </c>
      <c r="AC669" s="86">
        <f t="shared" si="874"/>
        <v>10</v>
      </c>
      <c r="AD669" s="109">
        <v>45673</v>
      </c>
      <c r="AE669" s="58"/>
    </row>
    <row r="670" spans="1:32" x14ac:dyDescent="0.15">
      <c r="A670" s="33"/>
      <c r="B670" s="9"/>
      <c r="C670" s="10"/>
      <c r="D670" s="10"/>
      <c r="E670" s="8">
        <f t="shared" si="867"/>
        <v>0</v>
      </c>
      <c r="F670" s="9"/>
      <c r="G670" s="10"/>
      <c r="H670" s="10"/>
      <c r="I670" s="8">
        <f t="shared" si="868"/>
        <v>0</v>
      </c>
      <c r="J670" s="9"/>
      <c r="K670" s="10"/>
      <c r="L670" s="10"/>
      <c r="M670" s="39">
        <f t="shared" si="869"/>
        <v>0</v>
      </c>
      <c r="N670" s="138">
        <f t="shared" si="870"/>
        <v>0</v>
      </c>
      <c r="P670" s="4" t="s">
        <v>634</v>
      </c>
      <c r="Q670" s="9">
        <v>15</v>
      </c>
      <c r="R670" s="10">
        <v>20</v>
      </c>
      <c r="S670" s="10">
        <v>15</v>
      </c>
      <c r="T670" s="8">
        <f t="shared" si="871"/>
        <v>50</v>
      </c>
      <c r="U670" s="9">
        <v>15</v>
      </c>
      <c r="V670" s="10">
        <v>20</v>
      </c>
      <c r="W670" s="10">
        <v>15</v>
      </c>
      <c r="X670" s="8">
        <f t="shared" si="872"/>
        <v>50</v>
      </c>
      <c r="Y670" s="9">
        <v>15</v>
      </c>
      <c r="Z670" s="10">
        <v>20</v>
      </c>
      <c r="AA670" s="10">
        <v>15</v>
      </c>
      <c r="AB670" s="8">
        <f t="shared" si="873"/>
        <v>50</v>
      </c>
      <c r="AC670" s="86">
        <f t="shared" si="874"/>
        <v>150</v>
      </c>
      <c r="AD670" s="109">
        <v>45679</v>
      </c>
    </row>
    <row r="671" spans="1:32" x14ac:dyDescent="0.15">
      <c r="A671" s="33"/>
      <c r="B671" s="9"/>
      <c r="C671" s="10"/>
      <c r="D671" s="10"/>
      <c r="E671" s="8">
        <f t="shared" si="867"/>
        <v>0</v>
      </c>
      <c r="F671" s="9"/>
      <c r="G671" s="10"/>
      <c r="H671" s="10"/>
      <c r="I671" s="8">
        <f t="shared" si="868"/>
        <v>0</v>
      </c>
      <c r="J671" s="9"/>
      <c r="K671" s="10"/>
      <c r="L671" s="10"/>
      <c r="M671" s="39">
        <f t="shared" si="869"/>
        <v>0</v>
      </c>
      <c r="N671" s="138">
        <f t="shared" si="870"/>
        <v>0</v>
      </c>
      <c r="P671" s="11" t="s">
        <v>635</v>
      </c>
      <c r="Q671" s="9">
        <v>20</v>
      </c>
      <c r="R671" s="10">
        <v>40</v>
      </c>
      <c r="S671" s="10">
        <v>15</v>
      </c>
      <c r="T671" s="8">
        <f t="shared" si="871"/>
        <v>75</v>
      </c>
      <c r="U671" s="9">
        <v>20</v>
      </c>
      <c r="V671" s="10">
        <v>40</v>
      </c>
      <c r="W671" s="10">
        <v>15</v>
      </c>
      <c r="X671" s="8">
        <f t="shared" si="872"/>
        <v>75</v>
      </c>
      <c r="Y671" s="9">
        <v>20</v>
      </c>
      <c r="Z671" s="10">
        <v>40</v>
      </c>
      <c r="AA671" s="10">
        <v>15</v>
      </c>
      <c r="AB671" s="8">
        <f t="shared" si="873"/>
        <v>75</v>
      </c>
      <c r="AC671" s="86">
        <f t="shared" si="874"/>
        <v>225</v>
      </c>
      <c r="AD671" s="109">
        <v>45677</v>
      </c>
      <c r="AE671" s="58"/>
    </row>
    <row r="672" spans="1:32" x14ac:dyDescent="0.15">
      <c r="A672" s="33"/>
      <c r="B672" s="9"/>
      <c r="C672" s="10"/>
      <c r="D672" s="10"/>
      <c r="E672" s="8">
        <f t="shared" si="867"/>
        <v>0</v>
      </c>
      <c r="F672" s="9"/>
      <c r="G672" s="10"/>
      <c r="H672" s="10"/>
      <c r="I672" s="8">
        <f t="shared" si="868"/>
        <v>0</v>
      </c>
      <c r="J672" s="9"/>
      <c r="K672" s="10"/>
      <c r="L672" s="10"/>
      <c r="M672" s="39">
        <f t="shared" si="869"/>
        <v>0</v>
      </c>
      <c r="N672" s="138">
        <f t="shared" si="870"/>
        <v>0</v>
      </c>
      <c r="P672" s="33" t="s">
        <v>636</v>
      </c>
      <c r="Q672" s="9">
        <v>4</v>
      </c>
      <c r="R672" s="10">
        <v>2</v>
      </c>
      <c r="S672" s="10">
        <v>1</v>
      </c>
      <c r="T672" s="8">
        <f t="shared" si="871"/>
        <v>7</v>
      </c>
      <c r="U672" s="9">
        <v>4</v>
      </c>
      <c r="V672" s="10">
        <v>2</v>
      </c>
      <c r="W672" s="10">
        <v>1</v>
      </c>
      <c r="X672" s="8">
        <f t="shared" si="872"/>
        <v>7</v>
      </c>
      <c r="Y672" s="9">
        <v>4</v>
      </c>
      <c r="Z672" s="10">
        <v>2</v>
      </c>
      <c r="AA672" s="10">
        <v>1</v>
      </c>
      <c r="AB672" s="8">
        <f t="shared" si="873"/>
        <v>7</v>
      </c>
      <c r="AC672" s="86">
        <f t="shared" si="874"/>
        <v>21</v>
      </c>
      <c r="AD672" s="109">
        <v>45674</v>
      </c>
      <c r="AE672" s="58"/>
    </row>
    <row r="673" spans="1:31" x14ac:dyDescent="0.15">
      <c r="A673" s="33"/>
      <c r="B673" s="9"/>
      <c r="C673" s="10"/>
      <c r="D673" s="10"/>
      <c r="E673" s="8">
        <f t="shared" si="867"/>
        <v>0</v>
      </c>
      <c r="F673" s="9"/>
      <c r="G673" s="10"/>
      <c r="H673" s="10"/>
      <c r="I673" s="8">
        <f t="shared" si="868"/>
        <v>0</v>
      </c>
      <c r="J673" s="9"/>
      <c r="K673" s="10"/>
      <c r="L673" s="10"/>
      <c r="M673" s="39">
        <f t="shared" si="869"/>
        <v>0</v>
      </c>
      <c r="N673" s="138">
        <f t="shared" si="870"/>
        <v>0</v>
      </c>
      <c r="P673" s="4" t="s">
        <v>637</v>
      </c>
      <c r="Q673" s="9">
        <v>1</v>
      </c>
      <c r="R673" s="10"/>
      <c r="S673" s="10"/>
      <c r="T673" s="8">
        <f t="shared" si="871"/>
        <v>1</v>
      </c>
      <c r="U673" s="9">
        <v>1</v>
      </c>
      <c r="V673" s="10"/>
      <c r="W673" s="10"/>
      <c r="X673" s="8">
        <f t="shared" si="872"/>
        <v>1</v>
      </c>
      <c r="Y673" s="9">
        <v>1</v>
      </c>
      <c r="Z673" s="10"/>
      <c r="AA673" s="10"/>
      <c r="AB673" s="8">
        <f t="shared" si="873"/>
        <v>1</v>
      </c>
      <c r="AC673" s="86">
        <f t="shared" si="874"/>
        <v>3</v>
      </c>
      <c r="AD673" s="109">
        <v>45678</v>
      </c>
      <c r="AE673" s="58"/>
    </row>
    <row r="674" spans="1:31" x14ac:dyDescent="0.15">
      <c r="A674" s="33"/>
      <c r="B674" s="9"/>
      <c r="C674" s="10"/>
      <c r="D674" s="10"/>
      <c r="E674" s="8">
        <f t="shared" si="867"/>
        <v>0</v>
      </c>
      <c r="F674" s="9"/>
      <c r="G674" s="10"/>
      <c r="H674" s="10"/>
      <c r="I674" s="8">
        <f t="shared" si="868"/>
        <v>0</v>
      </c>
      <c r="J674" s="9"/>
      <c r="K674" s="10"/>
      <c r="L674" s="10"/>
      <c r="M674" s="39">
        <f t="shared" si="869"/>
        <v>0</v>
      </c>
      <c r="N674" s="138">
        <f t="shared" si="870"/>
        <v>0</v>
      </c>
      <c r="P674" s="33" t="s">
        <v>641</v>
      </c>
      <c r="Q674" s="9">
        <v>3</v>
      </c>
      <c r="R674" s="10">
        <v>2</v>
      </c>
      <c r="S674" s="10">
        <v>1</v>
      </c>
      <c r="T674" s="8">
        <f t="shared" si="871"/>
        <v>6</v>
      </c>
      <c r="U674" s="9">
        <v>3</v>
      </c>
      <c r="V674" s="10">
        <v>2</v>
      </c>
      <c r="W674" s="10">
        <v>1</v>
      </c>
      <c r="X674" s="8">
        <f t="shared" si="872"/>
        <v>6</v>
      </c>
      <c r="Y674" s="9">
        <v>3</v>
      </c>
      <c r="Z674" s="10">
        <v>2</v>
      </c>
      <c r="AA674" s="10">
        <v>1</v>
      </c>
      <c r="AB674" s="8">
        <f t="shared" si="873"/>
        <v>6</v>
      </c>
      <c r="AC674" s="86">
        <f t="shared" si="874"/>
        <v>18</v>
      </c>
      <c r="AD674" s="109">
        <v>45677</v>
      </c>
    </row>
    <row r="675" spans="1:31" x14ac:dyDescent="0.15">
      <c r="A675" s="33"/>
      <c r="B675" s="9"/>
      <c r="C675" s="10"/>
      <c r="D675" s="10"/>
      <c r="E675" s="8">
        <f t="shared" si="867"/>
        <v>0</v>
      </c>
      <c r="F675" s="9"/>
      <c r="G675" s="10"/>
      <c r="H675" s="10"/>
      <c r="I675" s="8">
        <f t="shared" si="868"/>
        <v>0</v>
      </c>
      <c r="J675" s="9"/>
      <c r="K675" s="10"/>
      <c r="L675" s="10"/>
      <c r="M675" s="39">
        <f t="shared" si="869"/>
        <v>0</v>
      </c>
      <c r="N675" s="138">
        <f t="shared" si="870"/>
        <v>0</v>
      </c>
      <c r="P675" s="11" t="s">
        <v>27</v>
      </c>
      <c r="Q675" s="9"/>
      <c r="R675" s="10"/>
      <c r="S675" s="10">
        <v>10</v>
      </c>
      <c r="T675" s="8">
        <f t="shared" ref="T675:T678" si="910">SUM(Q675:S675)</f>
        <v>10</v>
      </c>
      <c r="U675" s="9"/>
      <c r="V675" s="10"/>
      <c r="W675" s="10">
        <v>10</v>
      </c>
      <c r="X675" s="8">
        <f t="shared" ref="X675:X678" si="911">SUM(U675:W675)</f>
        <v>10</v>
      </c>
      <c r="Y675" s="9"/>
      <c r="Z675" s="10"/>
      <c r="AA675" s="10"/>
      <c r="AB675" s="8">
        <f t="shared" ref="AB675:AB678" si="912">SUM(Y675:AA675)</f>
        <v>0</v>
      </c>
      <c r="AC675" s="86">
        <f t="shared" si="874"/>
        <v>20</v>
      </c>
      <c r="AD675" s="109">
        <v>45675</v>
      </c>
      <c r="AE675" s="58"/>
    </row>
    <row r="676" spans="1:31" x14ac:dyDescent="0.15">
      <c r="A676" s="33"/>
      <c r="B676" s="9"/>
      <c r="C676" s="10"/>
      <c r="D676" s="10"/>
      <c r="E676" s="8">
        <f t="shared" si="867"/>
        <v>0</v>
      </c>
      <c r="F676" s="9"/>
      <c r="G676" s="10"/>
      <c r="H676" s="10"/>
      <c r="I676" s="8">
        <f t="shared" si="868"/>
        <v>0</v>
      </c>
      <c r="J676" s="9"/>
      <c r="K676" s="10"/>
      <c r="L676" s="10"/>
      <c r="M676" s="39">
        <f t="shared" si="869"/>
        <v>0</v>
      </c>
      <c r="N676" s="138">
        <f t="shared" si="870"/>
        <v>0</v>
      </c>
      <c r="P676" s="4" t="s">
        <v>642</v>
      </c>
      <c r="Q676" s="9">
        <v>5</v>
      </c>
      <c r="R676" s="10">
        <v>2</v>
      </c>
      <c r="S676" s="10">
        <v>3</v>
      </c>
      <c r="T676" s="5">
        <f t="shared" si="910"/>
        <v>10</v>
      </c>
      <c r="U676" s="9">
        <v>5</v>
      </c>
      <c r="V676" s="10">
        <v>2</v>
      </c>
      <c r="W676" s="10">
        <v>3</v>
      </c>
      <c r="X676" s="5">
        <f t="shared" si="911"/>
        <v>10</v>
      </c>
      <c r="Y676" s="9">
        <v>5</v>
      </c>
      <c r="Z676" s="10">
        <v>2</v>
      </c>
      <c r="AA676" s="10">
        <v>3</v>
      </c>
      <c r="AB676" s="5">
        <f t="shared" si="912"/>
        <v>10</v>
      </c>
      <c r="AC676" s="86">
        <f t="shared" si="874"/>
        <v>30</v>
      </c>
      <c r="AD676" s="109">
        <v>45679</v>
      </c>
    </row>
    <row r="677" spans="1:31" x14ac:dyDescent="0.15">
      <c r="A677" s="63"/>
      <c r="B677" s="9"/>
      <c r="C677" s="10"/>
      <c r="D677" s="10"/>
      <c r="E677" s="8">
        <f t="shared" si="867"/>
        <v>0</v>
      </c>
      <c r="F677" s="9"/>
      <c r="G677" s="10"/>
      <c r="H677" s="10"/>
      <c r="I677" s="8">
        <f t="shared" si="868"/>
        <v>0</v>
      </c>
      <c r="J677" s="9"/>
      <c r="K677" s="10"/>
      <c r="L677" s="10"/>
      <c r="M677" s="39">
        <f t="shared" si="869"/>
        <v>0</v>
      </c>
      <c r="N677" s="138">
        <f t="shared" si="870"/>
        <v>0</v>
      </c>
      <c r="P677" s="4" t="s">
        <v>643</v>
      </c>
      <c r="Q677" s="9">
        <v>5</v>
      </c>
      <c r="R677" s="10">
        <v>6</v>
      </c>
      <c r="S677" s="10">
        <v>4</v>
      </c>
      <c r="T677" s="5">
        <f t="shared" si="910"/>
        <v>15</v>
      </c>
      <c r="U677" s="9">
        <v>5</v>
      </c>
      <c r="V677" s="10">
        <v>6</v>
      </c>
      <c r="W677" s="10">
        <v>4</v>
      </c>
      <c r="X677" s="5">
        <f t="shared" si="911"/>
        <v>15</v>
      </c>
      <c r="Y677" s="9">
        <v>5</v>
      </c>
      <c r="Z677" s="10">
        <v>6</v>
      </c>
      <c r="AA677" s="10">
        <v>4</v>
      </c>
      <c r="AB677" s="5">
        <f t="shared" si="912"/>
        <v>15</v>
      </c>
      <c r="AC677" s="86">
        <f t="shared" si="874"/>
        <v>45</v>
      </c>
      <c r="AD677" s="109">
        <v>45678</v>
      </c>
    </row>
    <row r="678" spans="1:31" x14ac:dyDescent="0.15">
      <c r="A678" s="33"/>
      <c r="B678" s="9"/>
      <c r="C678" s="10"/>
      <c r="D678" s="10"/>
      <c r="E678" s="8">
        <f t="shared" si="867"/>
        <v>0</v>
      </c>
      <c r="F678" s="9"/>
      <c r="G678" s="10"/>
      <c r="H678" s="10"/>
      <c r="I678" s="8">
        <f t="shared" si="868"/>
        <v>0</v>
      </c>
      <c r="J678" s="9"/>
      <c r="K678" s="10"/>
      <c r="L678" s="10"/>
      <c r="M678" s="39">
        <f t="shared" si="869"/>
        <v>0</v>
      </c>
      <c r="N678" s="138">
        <f t="shared" si="870"/>
        <v>0</v>
      </c>
      <c r="P678" s="11"/>
      <c r="Q678" s="9"/>
      <c r="R678" s="10"/>
      <c r="S678" s="10"/>
      <c r="T678" s="5">
        <f t="shared" si="910"/>
        <v>0</v>
      </c>
      <c r="U678" s="9"/>
      <c r="V678" s="10"/>
      <c r="W678" s="10"/>
      <c r="X678" s="5">
        <f t="shared" si="911"/>
        <v>0</v>
      </c>
      <c r="Y678" s="9"/>
      <c r="Z678" s="10"/>
      <c r="AA678" s="10"/>
      <c r="AB678" s="5">
        <f t="shared" si="912"/>
        <v>0</v>
      </c>
      <c r="AC678" s="86">
        <f t="shared" si="874"/>
        <v>0</v>
      </c>
      <c r="AD678" s="109"/>
    </row>
    <row r="679" spans="1:31" x14ac:dyDescent="0.15">
      <c r="A679" s="33"/>
      <c r="B679" s="9"/>
      <c r="C679" s="10"/>
      <c r="D679" s="10"/>
      <c r="E679" s="8">
        <f t="shared" si="867"/>
        <v>0</v>
      </c>
      <c r="F679" s="9"/>
      <c r="G679" s="10"/>
      <c r="H679" s="10"/>
      <c r="I679" s="8">
        <f t="shared" si="868"/>
        <v>0</v>
      </c>
      <c r="J679" s="9"/>
      <c r="K679" s="10"/>
      <c r="L679" s="10"/>
      <c r="M679" s="39">
        <f t="shared" si="869"/>
        <v>0</v>
      </c>
      <c r="N679" s="138">
        <f t="shared" si="870"/>
        <v>0</v>
      </c>
      <c r="P679" s="11" t="s">
        <v>554</v>
      </c>
      <c r="Q679" s="9"/>
      <c r="R679" s="10"/>
      <c r="S679" s="10"/>
      <c r="T679" s="8">
        <f t="shared" si="871"/>
        <v>0</v>
      </c>
      <c r="U679" s="9"/>
      <c r="V679" s="10"/>
      <c r="W679" s="10"/>
      <c r="X679" s="8">
        <f t="shared" si="872"/>
        <v>0</v>
      </c>
      <c r="Y679" s="9"/>
      <c r="Z679" s="10"/>
      <c r="AA679" s="10"/>
      <c r="AB679" s="8">
        <f t="shared" si="873"/>
        <v>0</v>
      </c>
      <c r="AC679" s="86">
        <f t="shared" si="874"/>
        <v>0</v>
      </c>
      <c r="AD679" s="116" t="s">
        <v>555</v>
      </c>
    </row>
    <row r="680" spans="1:31" x14ac:dyDescent="0.15">
      <c r="A680" s="33"/>
      <c r="B680" s="9"/>
      <c r="C680" s="10"/>
      <c r="D680" s="10"/>
      <c r="E680" s="8">
        <f t="shared" si="867"/>
        <v>0</v>
      </c>
      <c r="F680" s="9"/>
      <c r="G680" s="10"/>
      <c r="H680" s="10"/>
      <c r="I680" s="8">
        <f t="shared" si="868"/>
        <v>0</v>
      </c>
      <c r="J680" s="9"/>
      <c r="K680" s="10"/>
      <c r="L680" s="10"/>
      <c r="M680" s="39">
        <f t="shared" si="869"/>
        <v>0</v>
      </c>
      <c r="N680" s="138">
        <f t="shared" si="870"/>
        <v>0</v>
      </c>
      <c r="P680" s="4" t="s">
        <v>532</v>
      </c>
      <c r="Q680" s="9"/>
      <c r="R680" s="10"/>
      <c r="S680" s="10"/>
      <c r="T680" s="8">
        <f t="shared" si="871"/>
        <v>0</v>
      </c>
      <c r="U680" s="9"/>
      <c r="V680" s="10"/>
      <c r="W680" s="10"/>
      <c r="X680" s="8">
        <f t="shared" si="872"/>
        <v>0</v>
      </c>
      <c r="Y680" s="9"/>
      <c r="Z680" s="10"/>
      <c r="AA680" s="10"/>
      <c r="AB680" s="8">
        <f t="shared" si="873"/>
        <v>0</v>
      </c>
      <c r="AC680" s="86">
        <f t="shared" si="874"/>
        <v>0</v>
      </c>
      <c r="AD680" s="109">
        <v>45311</v>
      </c>
    </row>
    <row r="681" spans="1:31" x14ac:dyDescent="0.15">
      <c r="A681" s="33"/>
      <c r="B681" s="9"/>
      <c r="C681" s="10"/>
      <c r="D681" s="10"/>
      <c r="E681" s="8">
        <f t="shared" si="867"/>
        <v>0</v>
      </c>
      <c r="F681" s="9"/>
      <c r="G681" s="10"/>
      <c r="H681" s="10"/>
      <c r="I681" s="8">
        <f t="shared" si="868"/>
        <v>0</v>
      </c>
      <c r="J681" s="9"/>
      <c r="K681" s="10"/>
      <c r="L681" s="10"/>
      <c r="M681" s="39">
        <f t="shared" si="869"/>
        <v>0</v>
      </c>
      <c r="N681" s="138">
        <f t="shared" si="870"/>
        <v>0</v>
      </c>
      <c r="P681" s="4" t="s">
        <v>513</v>
      </c>
      <c r="Q681" s="9"/>
      <c r="R681" s="10"/>
      <c r="S681" s="10"/>
      <c r="T681" s="8">
        <f t="shared" si="871"/>
        <v>0</v>
      </c>
      <c r="U681" s="9"/>
      <c r="V681" s="10"/>
      <c r="W681" s="10"/>
      <c r="X681" s="8">
        <f t="shared" si="872"/>
        <v>0</v>
      </c>
      <c r="Y681" s="9"/>
      <c r="Z681" s="10"/>
      <c r="AA681" s="10"/>
      <c r="AB681" s="8">
        <f t="shared" si="873"/>
        <v>0</v>
      </c>
      <c r="AC681" s="86">
        <f t="shared" si="874"/>
        <v>0</v>
      </c>
      <c r="AD681" s="109">
        <v>45305</v>
      </c>
    </row>
    <row r="682" spans="1:31" x14ac:dyDescent="0.15">
      <c r="A682" s="33"/>
      <c r="B682" s="9"/>
      <c r="C682" s="10"/>
      <c r="D682" s="10"/>
      <c r="E682" s="8">
        <f t="shared" si="867"/>
        <v>0</v>
      </c>
      <c r="F682" s="9"/>
      <c r="G682" s="10"/>
      <c r="H682" s="10"/>
      <c r="I682" s="8">
        <f t="shared" si="868"/>
        <v>0</v>
      </c>
      <c r="J682" s="9"/>
      <c r="K682" s="10"/>
      <c r="L682" s="10"/>
      <c r="M682" s="39">
        <f t="shared" si="869"/>
        <v>0</v>
      </c>
      <c r="N682" s="138">
        <f t="shared" si="870"/>
        <v>0</v>
      </c>
      <c r="P682" s="11" t="s">
        <v>501</v>
      </c>
      <c r="Q682" s="9"/>
      <c r="R682" s="10"/>
      <c r="S682" s="10"/>
      <c r="T682" s="8">
        <f t="shared" si="871"/>
        <v>0</v>
      </c>
      <c r="U682" s="9"/>
      <c r="V682" s="10"/>
      <c r="W682" s="10"/>
      <c r="X682" s="8">
        <f t="shared" si="872"/>
        <v>0</v>
      </c>
      <c r="Y682" s="9"/>
      <c r="Z682" s="10"/>
      <c r="AA682" s="10"/>
      <c r="AB682" s="8">
        <f t="shared" si="873"/>
        <v>0</v>
      </c>
      <c r="AC682" s="86">
        <f t="shared" si="874"/>
        <v>0</v>
      </c>
      <c r="AD682" s="109" t="s">
        <v>502</v>
      </c>
    </row>
    <row r="683" spans="1:31" x14ac:dyDescent="0.15">
      <c r="A683" s="33"/>
      <c r="B683" s="9"/>
      <c r="C683" s="10"/>
      <c r="D683" s="10"/>
      <c r="E683" s="8">
        <f t="shared" si="867"/>
        <v>0</v>
      </c>
      <c r="F683" s="9"/>
      <c r="G683" s="10"/>
      <c r="H683" s="10"/>
      <c r="I683" s="8">
        <f t="shared" si="868"/>
        <v>0</v>
      </c>
      <c r="J683" s="9"/>
      <c r="K683" s="10"/>
      <c r="L683" s="10"/>
      <c r="M683" s="39">
        <f t="shared" si="869"/>
        <v>0</v>
      </c>
      <c r="N683" s="138">
        <f t="shared" si="870"/>
        <v>0</v>
      </c>
      <c r="P683" s="11" t="s">
        <v>499</v>
      </c>
      <c r="Q683" s="9"/>
      <c r="R683" s="10"/>
      <c r="S683" s="10"/>
      <c r="T683" s="8">
        <f t="shared" ref="T683" si="913">SUM(Q683:S683)</f>
        <v>0</v>
      </c>
      <c r="U683" s="9"/>
      <c r="V683" s="10"/>
      <c r="W683" s="10"/>
      <c r="X683" s="8">
        <f t="shared" ref="X683" si="914">SUM(U683:W683)</f>
        <v>0</v>
      </c>
      <c r="Y683" s="9"/>
      <c r="Z683" s="10"/>
      <c r="AA683" s="10"/>
      <c r="AB683" s="8">
        <f t="shared" ref="AB683" si="915">SUM(Y683:AA683)</f>
        <v>0</v>
      </c>
      <c r="AC683" s="86">
        <f t="shared" ref="AC683" si="916">T683+X683+AB683</f>
        <v>0</v>
      </c>
      <c r="AD683" s="116" t="s">
        <v>500</v>
      </c>
    </row>
    <row r="684" spans="1:31" x14ac:dyDescent="0.15">
      <c r="A684" s="33"/>
      <c r="B684" s="9"/>
      <c r="C684" s="10"/>
      <c r="D684" s="10"/>
      <c r="E684" s="8">
        <f t="shared" si="867"/>
        <v>0</v>
      </c>
      <c r="F684" s="9"/>
      <c r="G684" s="10"/>
      <c r="H684" s="10"/>
      <c r="I684" s="8">
        <f t="shared" si="868"/>
        <v>0</v>
      </c>
      <c r="J684" s="9"/>
      <c r="K684" s="10"/>
      <c r="L684" s="10"/>
      <c r="M684" s="39">
        <f t="shared" si="869"/>
        <v>0</v>
      </c>
      <c r="N684" s="138">
        <f t="shared" si="870"/>
        <v>0</v>
      </c>
      <c r="P684" s="11" t="s">
        <v>463</v>
      </c>
      <c r="Q684" s="9"/>
      <c r="R684" s="10"/>
      <c r="S684" s="10"/>
      <c r="T684" s="8">
        <f t="shared" ref="T684:T685" si="917">SUM(Q684:S684)</f>
        <v>0</v>
      </c>
      <c r="U684" s="9"/>
      <c r="V684" s="10"/>
      <c r="W684" s="10"/>
      <c r="X684" s="8">
        <f t="shared" ref="X684:X685" si="918">SUM(U684:W684)</f>
        <v>0</v>
      </c>
      <c r="Y684" s="9"/>
      <c r="Z684" s="10"/>
      <c r="AA684" s="10"/>
      <c r="AB684" s="8">
        <f t="shared" ref="AB684:AB685" si="919">SUM(Y684:AA684)</f>
        <v>0</v>
      </c>
      <c r="AC684" s="86">
        <f t="shared" ref="AC684:AC685" si="920">T684+X684+AB684</f>
        <v>0</v>
      </c>
      <c r="AD684" s="116" t="s">
        <v>464</v>
      </c>
    </row>
    <row r="685" spans="1:31" ht="14.25" thickBot="1" x14ac:dyDescent="0.2">
      <c r="A685" s="63"/>
      <c r="B685" s="9"/>
      <c r="C685" s="10"/>
      <c r="D685" s="22"/>
      <c r="E685" s="8">
        <f t="shared" si="867"/>
        <v>0</v>
      </c>
      <c r="F685" s="9"/>
      <c r="G685" s="10"/>
      <c r="H685" s="22"/>
      <c r="I685" s="8">
        <f t="shared" si="868"/>
        <v>0</v>
      </c>
      <c r="J685" s="9"/>
      <c r="K685" s="10"/>
      <c r="L685" s="22"/>
      <c r="M685" s="39">
        <f t="shared" si="869"/>
        <v>0</v>
      </c>
      <c r="N685" s="139">
        <f t="shared" si="870"/>
        <v>0</v>
      </c>
      <c r="P685" s="11" t="s">
        <v>401</v>
      </c>
      <c r="Q685" s="9"/>
      <c r="R685" s="10"/>
      <c r="S685" s="10"/>
      <c r="T685" s="8">
        <f t="shared" si="917"/>
        <v>0</v>
      </c>
      <c r="U685" s="9"/>
      <c r="V685" s="10"/>
      <c r="W685" s="10"/>
      <c r="X685" s="8">
        <f t="shared" si="918"/>
        <v>0</v>
      </c>
      <c r="Y685" s="9"/>
      <c r="Z685" s="10"/>
      <c r="AA685" s="10"/>
      <c r="AB685" s="8">
        <f t="shared" si="919"/>
        <v>0</v>
      </c>
      <c r="AC685" s="86">
        <f t="shared" si="920"/>
        <v>0</v>
      </c>
      <c r="AD685" s="116" t="s">
        <v>402</v>
      </c>
    </row>
    <row r="686" spans="1:31" ht="14.25" thickBot="1" x14ac:dyDescent="0.2">
      <c r="A686" s="104" t="s">
        <v>5</v>
      </c>
      <c r="B686" s="12">
        <f>SUM(B662:B685)</f>
        <v>9</v>
      </c>
      <c r="C686" s="12">
        <f>SUM(C662:C685)</f>
        <v>14</v>
      </c>
      <c r="D686" s="12">
        <f>SUM(D662:D685)</f>
        <v>7</v>
      </c>
      <c r="E686" s="13">
        <f t="shared" si="867"/>
        <v>30</v>
      </c>
      <c r="F686" s="12">
        <f>SUM(F662:F685)</f>
        <v>9</v>
      </c>
      <c r="G686" s="12">
        <f>SUM(G662:G685)</f>
        <v>9</v>
      </c>
      <c r="H686" s="12">
        <f>SUM(H662:H685)</f>
        <v>7</v>
      </c>
      <c r="I686" s="13">
        <f t="shared" si="868"/>
        <v>25</v>
      </c>
      <c r="J686" s="12">
        <f>SUM(J662:J685)</f>
        <v>9</v>
      </c>
      <c r="K686" s="12">
        <f>SUM(K662:K685)</f>
        <v>9</v>
      </c>
      <c r="L686" s="12">
        <f>SUM(L662:L685)</f>
        <v>11</v>
      </c>
      <c r="M686" s="12">
        <f t="shared" si="869"/>
        <v>29</v>
      </c>
      <c r="N686" s="142">
        <f t="shared" si="870"/>
        <v>84</v>
      </c>
      <c r="P686" s="3" t="s">
        <v>5</v>
      </c>
      <c r="Q686" s="12">
        <f>SUM(Q662:Q685)</f>
        <v>103</v>
      </c>
      <c r="R686" s="12">
        <f t="shared" ref="R686" si="921">SUM(R662:R685)</f>
        <v>132</v>
      </c>
      <c r="S686" s="12">
        <f t="shared" ref="S686" si="922">SUM(S662:S685)</f>
        <v>79</v>
      </c>
      <c r="T686" s="13">
        <f t="shared" ref="T686" si="923">SUM(T662:T685)</f>
        <v>314</v>
      </c>
      <c r="U686" s="12">
        <f t="shared" ref="U686" si="924">SUM(U662:U685)</f>
        <v>98</v>
      </c>
      <c r="V686" s="12">
        <f t="shared" ref="V686" si="925">SUM(V662:V685)</f>
        <v>132</v>
      </c>
      <c r="W686" s="12">
        <f t="shared" ref="W686" si="926">SUM(W662:W685)</f>
        <v>84</v>
      </c>
      <c r="X686" s="13">
        <f t="shared" ref="X686" si="927">SUM(X662:X685)</f>
        <v>314</v>
      </c>
      <c r="Y686" s="12">
        <f t="shared" ref="Y686" si="928">SUM(Y662:Y685)</f>
        <v>98</v>
      </c>
      <c r="Z686" s="12">
        <f t="shared" ref="Z686" si="929">SUM(Z662:Z685)</f>
        <v>137</v>
      </c>
      <c r="AA686" s="12">
        <f t="shared" ref="AA686" si="930">SUM(AA662:AA685)</f>
        <v>89</v>
      </c>
      <c r="AB686" s="13">
        <f t="shared" ref="AB686" si="931">SUM(AB662:AB685)</f>
        <v>324</v>
      </c>
      <c r="AC686" s="155">
        <f t="shared" ref="AC686" si="932">SUM(AC662:AC685)</f>
        <v>952</v>
      </c>
    </row>
    <row r="687" spans="1:31" ht="14.25" thickBot="1" x14ac:dyDescent="0.2">
      <c r="A687" s="105" t="s">
        <v>6</v>
      </c>
      <c r="B687" s="20">
        <f>B661-B686</f>
        <v>11</v>
      </c>
      <c r="C687" s="20">
        <f t="shared" ref="C687:E687" si="933">C661-C686</f>
        <v>9</v>
      </c>
      <c r="D687" s="20">
        <f t="shared" si="933"/>
        <v>14</v>
      </c>
      <c r="E687" s="18">
        <f t="shared" si="933"/>
        <v>34</v>
      </c>
      <c r="F687" s="20">
        <f>F661-F686</f>
        <v>8</v>
      </c>
      <c r="G687" s="20">
        <f t="shared" ref="G687:I687" si="934">G661-G686</f>
        <v>13</v>
      </c>
      <c r="H687" s="20">
        <f t="shared" si="934"/>
        <v>18</v>
      </c>
      <c r="I687" s="18">
        <f t="shared" si="934"/>
        <v>39</v>
      </c>
      <c r="J687" s="20">
        <f>J661-J686</f>
        <v>11</v>
      </c>
      <c r="K687" s="20">
        <f t="shared" ref="K687:M687" si="935">K661-K686</f>
        <v>16</v>
      </c>
      <c r="L687" s="20">
        <f t="shared" si="935"/>
        <v>12</v>
      </c>
      <c r="M687" s="20">
        <f t="shared" si="935"/>
        <v>39</v>
      </c>
      <c r="N687" s="140">
        <f t="shared" si="870"/>
        <v>112</v>
      </c>
      <c r="P687" s="19" t="s">
        <v>6</v>
      </c>
      <c r="Q687" s="20">
        <f>Q661-Q686</f>
        <v>448</v>
      </c>
      <c r="R687" s="20">
        <f t="shared" ref="R687" si="936">R661-R686</f>
        <v>716</v>
      </c>
      <c r="S687" s="20">
        <f t="shared" ref="S687" si="937">S661-S686</f>
        <v>563</v>
      </c>
      <c r="T687" s="18">
        <f t="shared" ref="T687" si="938">T661-T686</f>
        <v>1727</v>
      </c>
      <c r="U687" s="20">
        <f t="shared" ref="U687" si="939">U661-U686</f>
        <v>418</v>
      </c>
      <c r="V687" s="20">
        <f t="shared" ref="V687" si="940">V661-V686</f>
        <v>736</v>
      </c>
      <c r="W687" s="20">
        <f t="shared" ref="W687" si="941">W661-W686</f>
        <v>613</v>
      </c>
      <c r="X687" s="18">
        <f t="shared" ref="X687" si="942">X661-X686</f>
        <v>1767</v>
      </c>
      <c r="Y687" s="20">
        <f t="shared" ref="Y687" si="943">Y661-Y686</f>
        <v>403</v>
      </c>
      <c r="Z687" s="20">
        <f t="shared" ref="Z687" si="944">Z661-Z686</f>
        <v>710</v>
      </c>
      <c r="AA687" s="20">
        <f t="shared" ref="AA687" si="945">AA661-AA686</f>
        <v>578</v>
      </c>
      <c r="AB687" s="18">
        <f t="shared" ref="AB687" si="946">AB661-AB686</f>
        <v>1691</v>
      </c>
      <c r="AC687" s="88">
        <f t="shared" ref="AC687" si="947">AC661-AC686</f>
        <v>5185</v>
      </c>
    </row>
    <row r="688" spans="1:31" x14ac:dyDescent="0.15">
      <c r="Q688" s="111"/>
      <c r="R688" s="111"/>
      <c r="S688" s="111"/>
      <c r="T688" s="111"/>
      <c r="U688" s="58"/>
    </row>
    <row r="689" spans="1:30" x14ac:dyDescent="0.15">
      <c r="Q689" s="76"/>
      <c r="R689" s="76"/>
      <c r="S689" s="76"/>
      <c r="T689" s="112"/>
      <c r="U689" s="58"/>
    </row>
    <row r="690" spans="1:30" ht="19.5" thickBot="1" x14ac:dyDescent="0.25">
      <c r="A690" s="108" t="s">
        <v>264</v>
      </c>
      <c r="B690" s="47"/>
      <c r="C690" s="47"/>
      <c r="D690" s="47"/>
      <c r="E690" s="47"/>
      <c r="F690" s="48"/>
      <c r="G690" s="48"/>
      <c r="H690" s="48"/>
      <c r="I690" s="48"/>
      <c r="J690" s="48"/>
      <c r="K690" s="48"/>
      <c r="L690" s="1"/>
      <c r="M690" s="1"/>
      <c r="N690" s="137"/>
      <c r="P690" s="43" t="s">
        <v>263</v>
      </c>
      <c r="Q690" s="44"/>
      <c r="R690" s="44"/>
      <c r="S690" s="44"/>
      <c r="T690" s="44"/>
      <c r="U690" s="45"/>
      <c r="V690" s="45"/>
      <c r="W690" s="45"/>
      <c r="X690" s="45"/>
      <c r="Y690" s="46"/>
      <c r="Z690" s="53"/>
      <c r="AA690" s="1"/>
      <c r="AB690" s="1"/>
    </row>
    <row r="691" spans="1:30" ht="14.25" thickBot="1" x14ac:dyDescent="0.2">
      <c r="A691" s="100" t="s">
        <v>0</v>
      </c>
      <c r="B691" s="337" t="s">
        <v>11</v>
      </c>
      <c r="C691" s="337"/>
      <c r="D691" s="337"/>
      <c r="E691" s="338"/>
      <c r="F691" s="339" t="s">
        <v>9</v>
      </c>
      <c r="G691" s="340"/>
      <c r="H691" s="340"/>
      <c r="I691" s="341"/>
      <c r="J691" s="342" t="s">
        <v>12</v>
      </c>
      <c r="K691" s="343"/>
      <c r="L691" s="343"/>
      <c r="M691" s="343"/>
      <c r="N691" s="347" t="s">
        <v>13</v>
      </c>
      <c r="P691" s="2" t="s">
        <v>0</v>
      </c>
      <c r="Q691" s="337" t="s">
        <v>11</v>
      </c>
      <c r="R691" s="337"/>
      <c r="S691" s="337"/>
      <c r="T691" s="338"/>
      <c r="U691" s="339" t="s">
        <v>9</v>
      </c>
      <c r="V691" s="340"/>
      <c r="W691" s="340"/>
      <c r="X691" s="341"/>
      <c r="Y691" s="342" t="s">
        <v>12</v>
      </c>
      <c r="Z691" s="343"/>
      <c r="AA691" s="343"/>
      <c r="AB691" s="343"/>
      <c r="AC691" s="345" t="s">
        <v>13</v>
      </c>
    </row>
    <row r="692" spans="1:30" ht="14.25" thickBot="1" x14ac:dyDescent="0.2">
      <c r="A692" s="100" t="s">
        <v>1</v>
      </c>
      <c r="B692" s="3" t="s">
        <v>7</v>
      </c>
      <c r="C692" s="2" t="s">
        <v>10</v>
      </c>
      <c r="D692" s="2" t="s">
        <v>8</v>
      </c>
      <c r="E692" s="2" t="s">
        <v>2</v>
      </c>
      <c r="F692" s="3" t="s">
        <v>7</v>
      </c>
      <c r="G692" s="2" t="s">
        <v>10</v>
      </c>
      <c r="H692" s="2" t="s">
        <v>8</v>
      </c>
      <c r="I692" s="2" t="s">
        <v>2</v>
      </c>
      <c r="J692" s="3" t="s">
        <v>7</v>
      </c>
      <c r="K692" s="2" t="s">
        <v>10</v>
      </c>
      <c r="L692" s="2" t="s">
        <v>8</v>
      </c>
      <c r="M692" s="3" t="s">
        <v>2</v>
      </c>
      <c r="N692" s="348"/>
      <c r="P692" s="2" t="s">
        <v>1</v>
      </c>
      <c r="Q692" s="3" t="s">
        <v>7</v>
      </c>
      <c r="R692" s="2" t="s">
        <v>10</v>
      </c>
      <c r="S692" s="2" t="s">
        <v>8</v>
      </c>
      <c r="T692" s="2" t="s">
        <v>2</v>
      </c>
      <c r="U692" s="3" t="s">
        <v>7</v>
      </c>
      <c r="V692" s="2" t="s">
        <v>10</v>
      </c>
      <c r="W692" s="2" t="s">
        <v>8</v>
      </c>
      <c r="X692" s="2" t="s">
        <v>2</v>
      </c>
      <c r="Y692" s="3" t="s">
        <v>7</v>
      </c>
      <c r="Z692" s="2" t="s">
        <v>10</v>
      </c>
      <c r="AA692" s="2" t="s">
        <v>8</v>
      </c>
      <c r="AB692" s="2" t="s">
        <v>2</v>
      </c>
      <c r="AC692" s="346"/>
    </row>
    <row r="693" spans="1:30" x14ac:dyDescent="0.15">
      <c r="A693" s="106" t="s">
        <v>6</v>
      </c>
      <c r="B693" s="41">
        <f>B687</f>
        <v>11</v>
      </c>
      <c r="C693" s="41">
        <f t="shared" ref="C693:E693" si="948">C687</f>
        <v>9</v>
      </c>
      <c r="D693" s="41">
        <f t="shared" si="948"/>
        <v>14</v>
      </c>
      <c r="E693" s="42">
        <f t="shared" si="948"/>
        <v>34</v>
      </c>
      <c r="F693" s="41">
        <f>F687</f>
        <v>8</v>
      </c>
      <c r="G693" s="41">
        <f t="shared" ref="G693:I693" si="949">G687</f>
        <v>13</v>
      </c>
      <c r="H693" s="41">
        <f t="shared" si="949"/>
        <v>18</v>
      </c>
      <c r="I693" s="42">
        <f t="shared" si="949"/>
        <v>39</v>
      </c>
      <c r="J693" s="41">
        <f>J687</f>
        <v>11</v>
      </c>
      <c r="K693" s="41">
        <f t="shared" ref="K693:M693" si="950">K687</f>
        <v>16</v>
      </c>
      <c r="L693" s="41">
        <f t="shared" si="950"/>
        <v>12</v>
      </c>
      <c r="M693" s="42">
        <f t="shared" si="950"/>
        <v>39</v>
      </c>
      <c r="N693" s="143">
        <f>E693+I693+M693</f>
        <v>112</v>
      </c>
      <c r="P693" s="36" t="s">
        <v>6</v>
      </c>
      <c r="Q693" s="41">
        <f>Q687</f>
        <v>448</v>
      </c>
      <c r="R693" s="41">
        <f t="shared" ref="R693:AC693" si="951">R687</f>
        <v>716</v>
      </c>
      <c r="S693" s="41">
        <f t="shared" si="951"/>
        <v>563</v>
      </c>
      <c r="T693" s="42">
        <f t="shared" si="951"/>
        <v>1727</v>
      </c>
      <c r="U693" s="41">
        <f t="shared" si="951"/>
        <v>418</v>
      </c>
      <c r="V693" s="41">
        <f t="shared" si="951"/>
        <v>736</v>
      </c>
      <c r="W693" s="41">
        <f t="shared" si="951"/>
        <v>613</v>
      </c>
      <c r="X693" s="42">
        <f t="shared" si="951"/>
        <v>1767</v>
      </c>
      <c r="Y693" s="41">
        <f t="shared" si="951"/>
        <v>403</v>
      </c>
      <c r="Z693" s="41">
        <f t="shared" si="951"/>
        <v>710</v>
      </c>
      <c r="AA693" s="41">
        <f t="shared" si="951"/>
        <v>578</v>
      </c>
      <c r="AB693" s="42">
        <f t="shared" si="951"/>
        <v>1691</v>
      </c>
      <c r="AC693" s="90">
        <f t="shared" si="951"/>
        <v>5185</v>
      </c>
    </row>
    <row r="694" spans="1:30" x14ac:dyDescent="0.15">
      <c r="A694" s="102" t="s">
        <v>3</v>
      </c>
      <c r="B694" s="14">
        <v>10</v>
      </c>
      <c r="C694" s="11">
        <v>15</v>
      </c>
      <c r="D694" s="11"/>
      <c r="E694" s="5">
        <f t="shared" ref="E694" si="952">SUM(B694:D694)</f>
        <v>25</v>
      </c>
      <c r="F694" s="34">
        <v>15</v>
      </c>
      <c r="G694" s="11">
        <v>10</v>
      </c>
      <c r="H694" s="11"/>
      <c r="I694" s="5">
        <f t="shared" ref="I694" si="953">SUM(F694:H694)</f>
        <v>25</v>
      </c>
      <c r="J694" s="34">
        <v>10</v>
      </c>
      <c r="K694" s="11">
        <v>10</v>
      </c>
      <c r="L694" s="11"/>
      <c r="M694" s="38">
        <f t="shared" ref="M694" si="954">SUM(J694:L694)</f>
        <v>20</v>
      </c>
      <c r="N694" s="138">
        <f t="shared" ref="N694" si="955">E694+I694+M694</f>
        <v>70</v>
      </c>
      <c r="O694" s="24">
        <v>45678</v>
      </c>
      <c r="P694" s="6" t="s">
        <v>673</v>
      </c>
      <c r="Q694" s="14">
        <v>18</v>
      </c>
      <c r="R694" s="11">
        <v>12</v>
      </c>
      <c r="S694" s="11">
        <v>11</v>
      </c>
      <c r="T694" s="5">
        <f t="shared" ref="T694" si="956">SUM(Q694:S694)</f>
        <v>41</v>
      </c>
      <c r="U694" s="14">
        <v>19</v>
      </c>
      <c r="V694" s="11">
        <v>14</v>
      </c>
      <c r="W694" s="11">
        <v>16</v>
      </c>
      <c r="X694" s="5">
        <f t="shared" ref="X694" si="957">SUM(U694:W694)</f>
        <v>49</v>
      </c>
      <c r="Y694" s="25">
        <v>18</v>
      </c>
      <c r="Z694" s="26">
        <v>9</v>
      </c>
      <c r="AA694" s="26">
        <v>10</v>
      </c>
      <c r="AB694" s="5">
        <f t="shared" ref="AB694" si="958">SUM(Y694:AA694)</f>
        <v>37</v>
      </c>
      <c r="AC694" s="86">
        <f t="shared" ref="AC694" si="959">T694+X694+AB694</f>
        <v>127</v>
      </c>
      <c r="AD694" s="121">
        <v>45689</v>
      </c>
    </row>
    <row r="695" spans="1:30" x14ac:dyDescent="0.15">
      <c r="A695" s="102" t="s">
        <v>3</v>
      </c>
      <c r="B695" s="14">
        <v>10</v>
      </c>
      <c r="C695" s="11">
        <v>5</v>
      </c>
      <c r="D695" s="11"/>
      <c r="E695" s="5">
        <f t="shared" ref="E695:E729" si="960">SUM(B695:D695)</f>
        <v>15</v>
      </c>
      <c r="F695" s="34">
        <v>10</v>
      </c>
      <c r="G695" s="11">
        <v>15</v>
      </c>
      <c r="H695" s="11"/>
      <c r="I695" s="5">
        <f t="shared" ref="I695:I729" si="961">SUM(F695:H695)</f>
        <v>25</v>
      </c>
      <c r="J695" s="34">
        <v>10</v>
      </c>
      <c r="K695" s="11">
        <v>5</v>
      </c>
      <c r="L695" s="11">
        <v>5</v>
      </c>
      <c r="M695" s="38">
        <f t="shared" ref="M695:M729" si="962">SUM(J695:L695)</f>
        <v>20</v>
      </c>
      <c r="N695" s="138">
        <f t="shared" ref="N695:N730" si="963">E695+I695+M695</f>
        <v>60</v>
      </c>
      <c r="O695" s="24">
        <v>45685</v>
      </c>
      <c r="P695" s="6" t="s">
        <v>3</v>
      </c>
      <c r="Q695" s="14"/>
      <c r="R695" s="11"/>
      <c r="S695" s="11"/>
      <c r="T695" s="5">
        <f t="shared" ref="T695:T696" si="964">SUM(Q695:S695)</f>
        <v>0</v>
      </c>
      <c r="U695" s="14"/>
      <c r="V695" s="11"/>
      <c r="W695" s="11"/>
      <c r="X695" s="5">
        <f t="shared" ref="X695:X696" si="965">SUM(U695:W695)</f>
        <v>0</v>
      </c>
      <c r="Y695" s="25"/>
      <c r="Z695" s="26"/>
      <c r="AA695" s="26"/>
      <c r="AB695" s="5">
        <f t="shared" ref="AB695:AB696" si="966">SUM(Y695:AA695)</f>
        <v>0</v>
      </c>
      <c r="AC695" s="86">
        <f t="shared" ref="AC695:AC696" si="967">T695+X695+AB695</f>
        <v>0</v>
      </c>
    </row>
    <row r="696" spans="1:30" x14ac:dyDescent="0.15">
      <c r="A696" s="102" t="s">
        <v>3</v>
      </c>
      <c r="B696" s="14">
        <v>10</v>
      </c>
      <c r="C696" s="11">
        <v>10</v>
      </c>
      <c r="D696" s="11">
        <v>10</v>
      </c>
      <c r="E696" s="5">
        <f t="shared" si="960"/>
        <v>30</v>
      </c>
      <c r="F696" s="34">
        <v>10</v>
      </c>
      <c r="G696" s="11">
        <v>11</v>
      </c>
      <c r="H696" s="11"/>
      <c r="I696" s="5">
        <f t="shared" si="961"/>
        <v>21</v>
      </c>
      <c r="J696" s="34">
        <v>10</v>
      </c>
      <c r="K696" s="11">
        <v>10</v>
      </c>
      <c r="L696" s="11">
        <v>10</v>
      </c>
      <c r="M696" s="38">
        <f t="shared" si="962"/>
        <v>30</v>
      </c>
      <c r="N696" s="138">
        <f t="shared" si="963"/>
        <v>81</v>
      </c>
      <c r="O696" s="24">
        <v>45686</v>
      </c>
      <c r="P696" s="6" t="s">
        <v>652</v>
      </c>
      <c r="Q696" s="14">
        <v>330</v>
      </c>
      <c r="R696" s="11">
        <v>346</v>
      </c>
      <c r="S696" s="11">
        <v>320</v>
      </c>
      <c r="T696" s="5">
        <f t="shared" si="964"/>
        <v>996</v>
      </c>
      <c r="U696" s="14">
        <v>330</v>
      </c>
      <c r="V696" s="11">
        <v>342</v>
      </c>
      <c r="W696" s="11">
        <v>333</v>
      </c>
      <c r="X696" s="5">
        <f t="shared" si="965"/>
        <v>1005</v>
      </c>
      <c r="Y696" s="25">
        <v>325</v>
      </c>
      <c r="Z696" s="26">
        <v>324</v>
      </c>
      <c r="AA696" s="26">
        <v>333</v>
      </c>
      <c r="AB696" s="5">
        <f t="shared" si="966"/>
        <v>982</v>
      </c>
      <c r="AC696" s="86">
        <f t="shared" si="967"/>
        <v>2983</v>
      </c>
      <c r="AD696" s="109" t="s">
        <v>689</v>
      </c>
    </row>
    <row r="697" spans="1:30" x14ac:dyDescent="0.15">
      <c r="A697" s="102" t="s">
        <v>57</v>
      </c>
      <c r="B697" s="14"/>
      <c r="C697" s="11"/>
      <c r="D697" s="11">
        <v>1</v>
      </c>
      <c r="E697" s="5">
        <f t="shared" si="960"/>
        <v>1</v>
      </c>
      <c r="F697" s="34"/>
      <c r="G697" s="11"/>
      <c r="H697" s="11">
        <v>1</v>
      </c>
      <c r="I697" s="5">
        <f t="shared" si="961"/>
        <v>1</v>
      </c>
      <c r="J697" s="34"/>
      <c r="K697" s="11"/>
      <c r="L697" s="11">
        <v>1</v>
      </c>
      <c r="M697" s="38">
        <f t="shared" si="962"/>
        <v>1</v>
      </c>
      <c r="N697" s="138">
        <f t="shared" si="963"/>
        <v>3</v>
      </c>
      <c r="O697" s="24">
        <v>45687</v>
      </c>
      <c r="P697" s="6" t="s">
        <v>3</v>
      </c>
      <c r="Q697" s="14"/>
      <c r="R697" s="11"/>
      <c r="S697" s="11"/>
      <c r="T697" s="5">
        <f t="shared" ref="T697:T715" si="968">SUM(Q697:S697)</f>
        <v>0</v>
      </c>
      <c r="U697" s="14"/>
      <c r="V697" s="11"/>
      <c r="W697" s="11"/>
      <c r="X697" s="5">
        <f t="shared" ref="X697:X715" si="969">SUM(U697:W697)</f>
        <v>0</v>
      </c>
      <c r="Y697" s="25"/>
      <c r="Z697" s="26"/>
      <c r="AA697" s="26"/>
      <c r="AB697" s="5">
        <f t="shared" ref="AB697:AB715" si="970">SUM(Y697:AA697)</f>
        <v>0</v>
      </c>
      <c r="AC697" s="86">
        <f t="shared" ref="AC697:AC715" si="971">T697+X697+AB697</f>
        <v>0</v>
      </c>
      <c r="AD697" s="116"/>
    </row>
    <row r="698" spans="1:30" x14ac:dyDescent="0.15">
      <c r="A698" s="102" t="s">
        <v>667</v>
      </c>
      <c r="B698" s="14">
        <v>18</v>
      </c>
      <c r="C698" s="11">
        <v>12</v>
      </c>
      <c r="D698" s="11">
        <v>11</v>
      </c>
      <c r="E698" s="5">
        <f t="shared" si="960"/>
        <v>41</v>
      </c>
      <c r="F698" s="34">
        <v>19</v>
      </c>
      <c r="G698" s="11">
        <v>14</v>
      </c>
      <c r="H698" s="11">
        <v>16</v>
      </c>
      <c r="I698" s="5">
        <f t="shared" si="961"/>
        <v>49</v>
      </c>
      <c r="J698" s="34">
        <v>18</v>
      </c>
      <c r="K698" s="11">
        <v>9</v>
      </c>
      <c r="L698" s="11">
        <v>10</v>
      </c>
      <c r="M698" s="38">
        <f t="shared" si="962"/>
        <v>37</v>
      </c>
      <c r="N698" s="138">
        <f t="shared" si="963"/>
        <v>127</v>
      </c>
      <c r="O698" s="24">
        <v>45687</v>
      </c>
      <c r="P698" s="6" t="s">
        <v>3</v>
      </c>
      <c r="Q698" s="14"/>
      <c r="R698" s="11"/>
      <c r="S698" s="11"/>
      <c r="T698" s="5">
        <f t="shared" si="968"/>
        <v>0</v>
      </c>
      <c r="U698" s="14"/>
      <c r="V698" s="11"/>
      <c r="W698" s="11"/>
      <c r="X698" s="5">
        <f t="shared" si="969"/>
        <v>0</v>
      </c>
      <c r="Y698" s="25"/>
      <c r="Z698" s="26"/>
      <c r="AA698" s="26"/>
      <c r="AB698" s="5">
        <f t="shared" si="970"/>
        <v>0</v>
      </c>
      <c r="AC698" s="86">
        <f t="shared" si="971"/>
        <v>0</v>
      </c>
    </row>
    <row r="699" spans="1:30" x14ac:dyDescent="0.15">
      <c r="A699" s="102" t="s">
        <v>669</v>
      </c>
      <c r="B699" s="25"/>
      <c r="C699" s="26"/>
      <c r="D699" s="26">
        <v>1</v>
      </c>
      <c r="E699" s="8">
        <f t="shared" si="960"/>
        <v>1</v>
      </c>
      <c r="F699" s="25"/>
      <c r="G699" s="26"/>
      <c r="H699" s="26">
        <v>1</v>
      </c>
      <c r="I699" s="8">
        <f t="shared" si="961"/>
        <v>1</v>
      </c>
      <c r="J699" s="25"/>
      <c r="K699" s="26"/>
      <c r="L699" s="26">
        <v>1</v>
      </c>
      <c r="M699" s="39">
        <f t="shared" si="962"/>
        <v>1</v>
      </c>
      <c r="N699" s="138">
        <f t="shared" si="963"/>
        <v>3</v>
      </c>
      <c r="O699" s="24">
        <v>45687</v>
      </c>
      <c r="P699" s="6" t="s">
        <v>3</v>
      </c>
      <c r="Q699" s="14"/>
      <c r="R699" s="11"/>
      <c r="S699" s="11"/>
      <c r="T699" s="5">
        <f t="shared" si="968"/>
        <v>0</v>
      </c>
      <c r="U699" s="14"/>
      <c r="V699" s="11"/>
      <c r="W699" s="11"/>
      <c r="X699" s="5">
        <f t="shared" si="969"/>
        <v>0</v>
      </c>
      <c r="Y699" s="25"/>
      <c r="Z699" s="26"/>
      <c r="AA699" s="26"/>
      <c r="AB699" s="8">
        <f t="shared" si="970"/>
        <v>0</v>
      </c>
      <c r="AC699" s="86">
        <f t="shared" si="971"/>
        <v>0</v>
      </c>
    </row>
    <row r="700" spans="1:30" x14ac:dyDescent="0.15">
      <c r="A700" s="102" t="s">
        <v>622</v>
      </c>
      <c r="B700" s="27"/>
      <c r="C700" s="26">
        <v>1</v>
      </c>
      <c r="D700" s="26"/>
      <c r="E700" s="5">
        <f t="shared" si="960"/>
        <v>1</v>
      </c>
      <c r="F700" s="25"/>
      <c r="G700" s="26">
        <v>1</v>
      </c>
      <c r="H700" s="26"/>
      <c r="I700" s="5">
        <f t="shared" si="961"/>
        <v>1</v>
      </c>
      <c r="J700" s="25"/>
      <c r="K700" s="26">
        <v>1</v>
      </c>
      <c r="L700" s="26"/>
      <c r="M700" s="38">
        <f t="shared" si="962"/>
        <v>1</v>
      </c>
      <c r="N700" s="138">
        <f t="shared" si="963"/>
        <v>3</v>
      </c>
      <c r="O700" s="24">
        <v>45692</v>
      </c>
      <c r="P700" s="6" t="s">
        <v>3</v>
      </c>
      <c r="Q700" s="27"/>
      <c r="R700" s="26"/>
      <c r="S700" s="26"/>
      <c r="T700" s="5">
        <f t="shared" si="968"/>
        <v>0</v>
      </c>
      <c r="U700" s="27"/>
      <c r="V700" s="26"/>
      <c r="W700" s="26"/>
      <c r="X700" s="5">
        <f t="shared" si="969"/>
        <v>0</v>
      </c>
      <c r="Y700" s="25"/>
      <c r="Z700" s="26"/>
      <c r="AA700" s="26"/>
      <c r="AB700" s="5">
        <f t="shared" si="970"/>
        <v>0</v>
      </c>
      <c r="AC700" s="86">
        <f t="shared" si="971"/>
        <v>0</v>
      </c>
    </row>
    <row r="701" spans="1:30" x14ac:dyDescent="0.15">
      <c r="A701" s="102" t="s">
        <v>3</v>
      </c>
      <c r="B701" s="27"/>
      <c r="C701" s="26"/>
      <c r="D701" s="26"/>
      <c r="E701" s="5">
        <f t="shared" si="960"/>
        <v>0</v>
      </c>
      <c r="F701" s="25"/>
      <c r="G701" s="26"/>
      <c r="H701" s="26"/>
      <c r="I701" s="5">
        <f t="shared" si="961"/>
        <v>0</v>
      </c>
      <c r="J701" s="25"/>
      <c r="K701" s="26"/>
      <c r="L701" s="26"/>
      <c r="M701" s="38">
        <f t="shared" si="962"/>
        <v>0</v>
      </c>
      <c r="N701" s="138">
        <f t="shared" si="963"/>
        <v>0</v>
      </c>
      <c r="O701" s="58"/>
      <c r="P701" s="6" t="s">
        <v>3</v>
      </c>
      <c r="Q701" s="14"/>
      <c r="R701" s="11"/>
      <c r="S701" s="11"/>
      <c r="T701" s="5">
        <f t="shared" si="968"/>
        <v>0</v>
      </c>
      <c r="U701" s="14"/>
      <c r="V701" s="11"/>
      <c r="W701" s="11"/>
      <c r="X701" s="5">
        <f t="shared" si="969"/>
        <v>0</v>
      </c>
      <c r="Y701" s="25"/>
      <c r="Z701" s="26"/>
      <c r="AA701" s="26"/>
      <c r="AB701" s="8">
        <f t="shared" si="970"/>
        <v>0</v>
      </c>
      <c r="AC701" s="86">
        <f t="shared" si="971"/>
        <v>0</v>
      </c>
    </row>
    <row r="702" spans="1:30" x14ac:dyDescent="0.15">
      <c r="A702" s="102" t="s">
        <v>3</v>
      </c>
      <c r="B702" s="27"/>
      <c r="C702" s="26"/>
      <c r="D702" s="26"/>
      <c r="E702" s="5">
        <f t="shared" si="960"/>
        <v>0</v>
      </c>
      <c r="F702" s="25"/>
      <c r="G702" s="26"/>
      <c r="H702" s="26"/>
      <c r="I702" s="5">
        <f t="shared" si="961"/>
        <v>0</v>
      </c>
      <c r="J702" s="25"/>
      <c r="K702" s="26"/>
      <c r="L702" s="26"/>
      <c r="M702" s="38">
        <f t="shared" si="962"/>
        <v>0</v>
      </c>
      <c r="N702" s="138">
        <f t="shared" si="963"/>
        <v>0</v>
      </c>
      <c r="O702" s="58"/>
      <c r="P702" s="6" t="s">
        <v>3</v>
      </c>
      <c r="Q702" s="27"/>
      <c r="R702" s="26"/>
      <c r="S702" s="26"/>
      <c r="T702" s="5">
        <f t="shared" si="968"/>
        <v>0</v>
      </c>
      <c r="U702" s="27"/>
      <c r="V702" s="26"/>
      <c r="W702" s="26"/>
      <c r="X702" s="5">
        <f t="shared" si="969"/>
        <v>0</v>
      </c>
      <c r="Y702" s="25"/>
      <c r="Z702" s="26"/>
      <c r="AA702" s="26"/>
      <c r="AB702" s="5">
        <f t="shared" si="970"/>
        <v>0</v>
      </c>
      <c r="AC702" s="86">
        <f t="shared" si="971"/>
        <v>0</v>
      </c>
    </row>
    <row r="703" spans="1:30" ht="14.25" thickBot="1" x14ac:dyDescent="0.2">
      <c r="A703" s="102" t="s">
        <v>3</v>
      </c>
      <c r="B703" s="28"/>
      <c r="C703" s="29"/>
      <c r="D703" s="32"/>
      <c r="E703" s="15">
        <f t="shared" si="960"/>
        <v>0</v>
      </c>
      <c r="F703" s="35"/>
      <c r="G703" s="29"/>
      <c r="H703" s="32"/>
      <c r="I703" s="15">
        <f t="shared" si="961"/>
        <v>0</v>
      </c>
      <c r="J703" s="35"/>
      <c r="K703" s="29"/>
      <c r="L703" s="32"/>
      <c r="M703" s="40">
        <f t="shared" si="962"/>
        <v>0</v>
      </c>
      <c r="N703" s="139">
        <f t="shared" si="963"/>
        <v>0</v>
      </c>
      <c r="P703" s="7" t="s">
        <v>3</v>
      </c>
      <c r="Q703" s="28"/>
      <c r="R703" s="29"/>
      <c r="S703" s="29"/>
      <c r="T703" s="15">
        <f t="shared" si="968"/>
        <v>0</v>
      </c>
      <c r="U703" s="28"/>
      <c r="V703" s="29"/>
      <c r="W703" s="29"/>
      <c r="X703" s="15">
        <f t="shared" si="969"/>
        <v>0</v>
      </c>
      <c r="Y703" s="35"/>
      <c r="Z703" s="29"/>
      <c r="AA703" s="32"/>
      <c r="AB703" s="15">
        <f t="shared" si="970"/>
        <v>0</v>
      </c>
      <c r="AC703" s="87">
        <f t="shared" si="971"/>
        <v>0</v>
      </c>
    </row>
    <row r="704" spans="1:30" ht="14.25" thickBot="1" x14ac:dyDescent="0.2">
      <c r="A704" s="103" t="s">
        <v>4</v>
      </c>
      <c r="B704" s="17">
        <f>SUM(B693:B703)</f>
        <v>59</v>
      </c>
      <c r="C704" s="17">
        <f>SUM(C693:C703)</f>
        <v>52</v>
      </c>
      <c r="D704" s="17">
        <f>SUM(D693:D703)</f>
        <v>37</v>
      </c>
      <c r="E704" s="18">
        <f t="shared" si="960"/>
        <v>148</v>
      </c>
      <c r="F704" s="17">
        <f>SUM(F693:F703)</f>
        <v>62</v>
      </c>
      <c r="G704" s="17">
        <f>SUM(G693:G703)</f>
        <v>64</v>
      </c>
      <c r="H704" s="17">
        <f>SUM(H693:H703)</f>
        <v>36</v>
      </c>
      <c r="I704" s="18">
        <f t="shared" si="961"/>
        <v>162</v>
      </c>
      <c r="J704" s="17">
        <f>SUM(J693:J703)</f>
        <v>59</v>
      </c>
      <c r="K704" s="17">
        <f>SUM(K693:K703)</f>
        <v>51</v>
      </c>
      <c r="L704" s="17">
        <f>SUM(L693:L703)</f>
        <v>39</v>
      </c>
      <c r="M704" s="20">
        <f t="shared" si="962"/>
        <v>149</v>
      </c>
      <c r="N704" s="140">
        <f t="shared" si="963"/>
        <v>459</v>
      </c>
      <c r="P704" s="16" t="s">
        <v>4</v>
      </c>
      <c r="Q704" s="17">
        <f>SUM(Q693:Q703)</f>
        <v>796</v>
      </c>
      <c r="R704" s="17">
        <f t="shared" ref="R704" si="972">SUM(R693:R703)</f>
        <v>1074</v>
      </c>
      <c r="S704" s="17">
        <f t="shared" ref="S704" si="973">SUM(S693:S703)</f>
        <v>894</v>
      </c>
      <c r="T704" s="18">
        <f t="shared" ref="T704" si="974">SUM(T693:T703)</f>
        <v>2764</v>
      </c>
      <c r="U704" s="17">
        <f t="shared" ref="U704" si="975">SUM(U693:U703)</f>
        <v>767</v>
      </c>
      <c r="V704" s="17">
        <f t="shared" ref="V704" si="976">SUM(V693:V703)</f>
        <v>1092</v>
      </c>
      <c r="W704" s="17">
        <f t="shared" ref="W704" si="977">SUM(W693:W703)</f>
        <v>962</v>
      </c>
      <c r="X704" s="18">
        <f t="shared" ref="X704" si="978">SUM(X693:X703)</f>
        <v>2821</v>
      </c>
      <c r="Y704" s="17">
        <f t="shared" ref="Y704" si="979">SUM(Y693:Y703)</f>
        <v>746</v>
      </c>
      <c r="Z704" s="17">
        <f t="shared" ref="Z704" si="980">SUM(Z693:Z703)</f>
        <v>1043</v>
      </c>
      <c r="AA704" s="17">
        <f t="shared" ref="AA704" si="981">SUM(AA693:AA703)</f>
        <v>921</v>
      </c>
      <c r="AB704" s="18">
        <f t="shared" ref="AB704" si="982">SUM(AB693:AB703)</f>
        <v>2710</v>
      </c>
      <c r="AC704" s="88">
        <f t="shared" ref="AC704" si="983">SUM(AC693:AC703)</f>
        <v>8295</v>
      </c>
    </row>
    <row r="705" spans="1:32" x14ac:dyDescent="0.15">
      <c r="A705" s="33" t="s">
        <v>646</v>
      </c>
      <c r="B705" s="9">
        <v>2</v>
      </c>
      <c r="C705" s="10">
        <v>3</v>
      </c>
      <c r="D705" s="10"/>
      <c r="E705" s="8">
        <f t="shared" ref="E705:E706" si="984">SUM(B705:D705)</f>
        <v>5</v>
      </c>
      <c r="F705" s="9">
        <v>2</v>
      </c>
      <c r="G705" s="10">
        <v>3</v>
      </c>
      <c r="H705" s="10"/>
      <c r="I705" s="8">
        <f t="shared" si="961"/>
        <v>5</v>
      </c>
      <c r="J705" s="9">
        <v>2</v>
      </c>
      <c r="K705" s="10">
        <v>3</v>
      </c>
      <c r="L705" s="10"/>
      <c r="M705" s="39">
        <f t="shared" si="962"/>
        <v>5</v>
      </c>
      <c r="N705" s="138">
        <f t="shared" si="963"/>
        <v>15</v>
      </c>
      <c r="O705" s="24">
        <v>45680</v>
      </c>
      <c r="P705" s="11" t="s">
        <v>27</v>
      </c>
      <c r="Q705" s="9">
        <v>10</v>
      </c>
      <c r="R705" s="10">
        <v>15</v>
      </c>
      <c r="S705" s="10"/>
      <c r="T705" s="5">
        <f t="shared" ref="T705:T711" si="985">SUM(Q705:S705)</f>
        <v>25</v>
      </c>
      <c r="U705" s="9">
        <v>15</v>
      </c>
      <c r="V705" s="10">
        <v>10</v>
      </c>
      <c r="W705" s="10"/>
      <c r="X705" s="5">
        <f t="shared" ref="X705:X711" si="986">SUM(U705:W705)</f>
        <v>25</v>
      </c>
      <c r="Y705" s="9">
        <v>10</v>
      </c>
      <c r="Z705" s="10">
        <v>10</v>
      </c>
      <c r="AA705" s="10"/>
      <c r="AB705" s="5">
        <f t="shared" ref="AB705:AB711" si="987">SUM(Y705:AA705)</f>
        <v>20</v>
      </c>
      <c r="AC705" s="86">
        <f t="shared" ref="AC705:AC711" si="988">T705+X705+AB705</f>
        <v>70</v>
      </c>
      <c r="AD705" s="109">
        <v>45678</v>
      </c>
    </row>
    <row r="706" spans="1:32" x14ac:dyDescent="0.15">
      <c r="A706" s="4" t="s">
        <v>647</v>
      </c>
      <c r="B706" s="9">
        <v>9</v>
      </c>
      <c r="C706" s="10">
        <v>8</v>
      </c>
      <c r="D706" s="10"/>
      <c r="E706" s="8">
        <f t="shared" si="984"/>
        <v>17</v>
      </c>
      <c r="F706" s="9">
        <v>9</v>
      </c>
      <c r="G706" s="10">
        <v>8</v>
      </c>
      <c r="H706" s="10"/>
      <c r="I706" s="8">
        <f t="shared" si="961"/>
        <v>17</v>
      </c>
      <c r="J706" s="9">
        <v>9</v>
      </c>
      <c r="K706" s="10">
        <v>8</v>
      </c>
      <c r="L706" s="10"/>
      <c r="M706" s="39">
        <f t="shared" si="962"/>
        <v>17</v>
      </c>
      <c r="N706" s="138">
        <f t="shared" si="963"/>
        <v>51</v>
      </c>
      <c r="O706" s="24">
        <v>45679</v>
      </c>
      <c r="P706" s="4" t="s">
        <v>650</v>
      </c>
      <c r="Q706" s="9">
        <v>7</v>
      </c>
      <c r="R706" s="10">
        <v>1</v>
      </c>
      <c r="S706" s="10">
        <v>7</v>
      </c>
      <c r="T706" s="5">
        <f t="shared" si="985"/>
        <v>15</v>
      </c>
      <c r="U706" s="9">
        <v>7</v>
      </c>
      <c r="V706" s="10">
        <v>1</v>
      </c>
      <c r="W706" s="10">
        <v>7</v>
      </c>
      <c r="X706" s="5">
        <f t="shared" si="986"/>
        <v>15</v>
      </c>
      <c r="Y706" s="9">
        <v>7</v>
      </c>
      <c r="Z706" s="10">
        <v>1</v>
      </c>
      <c r="AA706" s="10">
        <v>7</v>
      </c>
      <c r="AB706" s="5">
        <f t="shared" si="987"/>
        <v>15</v>
      </c>
      <c r="AC706" s="86">
        <f t="shared" si="988"/>
        <v>45</v>
      </c>
      <c r="AD706" s="109">
        <v>45680</v>
      </c>
    </row>
    <row r="707" spans="1:32" x14ac:dyDescent="0.15">
      <c r="A707" s="33" t="s">
        <v>36</v>
      </c>
      <c r="B707" s="9"/>
      <c r="C707" s="10"/>
      <c r="D707" s="10"/>
      <c r="E707" s="5">
        <f t="shared" si="960"/>
        <v>0</v>
      </c>
      <c r="F707" s="9">
        <v>1</v>
      </c>
      <c r="G707" s="10"/>
      <c r="H707" s="10"/>
      <c r="I707" s="5">
        <f t="shared" si="961"/>
        <v>1</v>
      </c>
      <c r="J707" s="9"/>
      <c r="K707" s="10"/>
      <c r="L707" s="10">
        <v>2</v>
      </c>
      <c r="M707" s="38">
        <f t="shared" si="962"/>
        <v>2</v>
      </c>
      <c r="N707" s="138">
        <f t="shared" si="963"/>
        <v>3</v>
      </c>
      <c r="O707" s="24">
        <v>45677</v>
      </c>
      <c r="P707" s="4" t="s">
        <v>653</v>
      </c>
      <c r="Q707" s="9">
        <v>3</v>
      </c>
      <c r="R707" s="10">
        <v>6</v>
      </c>
      <c r="S707" s="10">
        <v>4</v>
      </c>
      <c r="T707" s="5">
        <f t="shared" si="985"/>
        <v>13</v>
      </c>
      <c r="U707" s="9">
        <v>3</v>
      </c>
      <c r="V707" s="10">
        <v>6</v>
      </c>
      <c r="W707" s="10">
        <v>4</v>
      </c>
      <c r="X707" s="5">
        <f t="shared" si="986"/>
        <v>13</v>
      </c>
      <c r="Y707" s="9">
        <v>3</v>
      </c>
      <c r="Z707" s="10">
        <v>6</v>
      </c>
      <c r="AA707" s="10">
        <v>4</v>
      </c>
      <c r="AB707" s="5">
        <f t="shared" si="987"/>
        <v>13</v>
      </c>
      <c r="AC707" s="86">
        <f t="shared" si="988"/>
        <v>39</v>
      </c>
      <c r="AD707" s="109">
        <v>45681</v>
      </c>
      <c r="AE707" s="58"/>
    </row>
    <row r="708" spans="1:32" x14ac:dyDescent="0.15">
      <c r="A708" s="33" t="s">
        <v>36</v>
      </c>
      <c r="B708" s="9"/>
      <c r="C708" s="10"/>
      <c r="D708" s="10"/>
      <c r="E708" s="5">
        <f t="shared" si="960"/>
        <v>0</v>
      </c>
      <c r="F708" s="9"/>
      <c r="G708" s="10">
        <v>1</v>
      </c>
      <c r="H708" s="10"/>
      <c r="I708" s="5">
        <f t="shared" si="961"/>
        <v>1</v>
      </c>
      <c r="J708" s="9"/>
      <c r="K708" s="10"/>
      <c r="L708" s="10"/>
      <c r="M708" s="38">
        <f t="shared" si="962"/>
        <v>0</v>
      </c>
      <c r="N708" s="138">
        <f t="shared" si="963"/>
        <v>1</v>
      </c>
      <c r="O708" s="24">
        <v>45680</v>
      </c>
      <c r="P708" s="4" t="s">
        <v>655</v>
      </c>
      <c r="Q708" s="9">
        <v>1</v>
      </c>
      <c r="R708" s="10">
        <v>10</v>
      </c>
      <c r="S708" s="10">
        <v>14</v>
      </c>
      <c r="T708" s="8">
        <f t="shared" si="985"/>
        <v>25</v>
      </c>
      <c r="U708" s="9">
        <v>1</v>
      </c>
      <c r="V708" s="10">
        <v>10</v>
      </c>
      <c r="W708" s="10">
        <v>14</v>
      </c>
      <c r="X708" s="8">
        <f t="shared" si="986"/>
        <v>25</v>
      </c>
      <c r="Y708" s="9">
        <v>1</v>
      </c>
      <c r="Z708" s="10">
        <v>10</v>
      </c>
      <c r="AA708" s="10">
        <v>14</v>
      </c>
      <c r="AB708" s="39">
        <f t="shared" si="987"/>
        <v>25</v>
      </c>
      <c r="AC708" s="54">
        <f t="shared" si="988"/>
        <v>75</v>
      </c>
      <c r="AD708" s="109">
        <v>45686</v>
      </c>
      <c r="AE708" s="58"/>
      <c r="AF708" s="58"/>
    </row>
    <row r="709" spans="1:32" x14ac:dyDescent="0.15">
      <c r="A709" s="33" t="s">
        <v>654</v>
      </c>
      <c r="B709" s="9">
        <v>2</v>
      </c>
      <c r="C709" s="10">
        <v>3</v>
      </c>
      <c r="D709" s="10"/>
      <c r="E709" s="5">
        <f t="shared" si="960"/>
        <v>5</v>
      </c>
      <c r="F709" s="9">
        <v>2</v>
      </c>
      <c r="G709" s="10">
        <v>3</v>
      </c>
      <c r="H709" s="10"/>
      <c r="I709" s="5">
        <f t="shared" si="961"/>
        <v>5</v>
      </c>
      <c r="J709" s="9">
        <v>2</v>
      </c>
      <c r="K709" s="10">
        <v>3</v>
      </c>
      <c r="L709" s="10"/>
      <c r="M709" s="38">
        <f t="shared" si="962"/>
        <v>5</v>
      </c>
      <c r="N709" s="138">
        <f t="shared" si="963"/>
        <v>15</v>
      </c>
      <c r="O709" s="24">
        <v>45684</v>
      </c>
      <c r="P709" s="11" t="s">
        <v>27</v>
      </c>
      <c r="Q709" s="9">
        <v>10</v>
      </c>
      <c r="R709" s="10">
        <v>5</v>
      </c>
      <c r="S709" s="10"/>
      <c r="T709" s="8">
        <f t="shared" ref="T709" si="989">SUM(Q709:S709)</f>
        <v>15</v>
      </c>
      <c r="U709" s="9">
        <v>10</v>
      </c>
      <c r="V709" s="10">
        <v>15</v>
      </c>
      <c r="W709" s="10"/>
      <c r="X709" s="8">
        <f t="shared" ref="X709" si="990">SUM(U709:W709)</f>
        <v>25</v>
      </c>
      <c r="Y709" s="9">
        <v>10</v>
      </c>
      <c r="Z709" s="10">
        <v>5</v>
      </c>
      <c r="AA709" s="10">
        <v>5</v>
      </c>
      <c r="AB709" s="8">
        <f t="shared" ref="AB709" si="991">SUM(Y709:AA709)</f>
        <v>20</v>
      </c>
      <c r="AC709" s="86">
        <f t="shared" ref="AC709" si="992">T709+X709+AB709</f>
        <v>60</v>
      </c>
      <c r="AD709" s="109">
        <v>45685</v>
      </c>
      <c r="AE709" s="58"/>
      <c r="AF709" s="58"/>
    </row>
    <row r="710" spans="1:32" x14ac:dyDescent="0.15">
      <c r="A710" s="33" t="s">
        <v>36</v>
      </c>
      <c r="B710" s="9"/>
      <c r="C710" s="10"/>
      <c r="D710" s="10"/>
      <c r="E710" s="8">
        <f t="shared" ref="E710:E712" si="993">SUM(B710:D710)</f>
        <v>0</v>
      </c>
      <c r="F710" s="9"/>
      <c r="G710" s="10">
        <v>1</v>
      </c>
      <c r="H710" s="10"/>
      <c r="I710" s="8">
        <f t="shared" ref="I710:I712" si="994">SUM(F710:H710)</f>
        <v>1</v>
      </c>
      <c r="J710" s="9"/>
      <c r="K710" s="10"/>
      <c r="L710" s="10"/>
      <c r="M710" s="39">
        <f t="shared" ref="M710:M712" si="995">SUM(J710:L710)</f>
        <v>0</v>
      </c>
      <c r="N710" s="138">
        <f t="shared" ref="N710:N712" si="996">E710+I710+M710</f>
        <v>1</v>
      </c>
      <c r="O710" s="70">
        <v>45681</v>
      </c>
      <c r="P710" s="11" t="s">
        <v>662</v>
      </c>
      <c r="Q710" s="9">
        <v>10</v>
      </c>
      <c r="R710" s="10">
        <v>50</v>
      </c>
      <c r="S710" s="10">
        <v>50</v>
      </c>
      <c r="T710" s="8">
        <f t="shared" si="985"/>
        <v>110</v>
      </c>
      <c r="U710" s="9">
        <v>10</v>
      </c>
      <c r="V710" s="10">
        <v>50</v>
      </c>
      <c r="W710" s="10">
        <v>50</v>
      </c>
      <c r="X710" s="8">
        <f t="shared" si="986"/>
        <v>110</v>
      </c>
      <c r="Y710" s="9">
        <v>10</v>
      </c>
      <c r="Z710" s="10">
        <v>50</v>
      </c>
      <c r="AA710" s="10">
        <v>50</v>
      </c>
      <c r="AB710" s="8">
        <f t="shared" si="987"/>
        <v>110</v>
      </c>
      <c r="AC710" s="86">
        <f t="shared" si="988"/>
        <v>330</v>
      </c>
      <c r="AD710" s="109">
        <v>45687</v>
      </c>
      <c r="AE710" s="58"/>
      <c r="AF710" s="58"/>
    </row>
    <row r="711" spans="1:32" x14ac:dyDescent="0.15">
      <c r="A711" s="33" t="s">
        <v>36</v>
      </c>
      <c r="B711" s="9">
        <v>2</v>
      </c>
      <c r="C711" s="10">
        <v>1</v>
      </c>
      <c r="D711" s="10"/>
      <c r="E711" s="8">
        <f t="shared" si="993"/>
        <v>3</v>
      </c>
      <c r="F711" s="9">
        <f>1+2</f>
        <v>3</v>
      </c>
      <c r="G711" s="10">
        <f>1+5</f>
        <v>6</v>
      </c>
      <c r="H711" s="10"/>
      <c r="I711" s="8">
        <f t="shared" si="994"/>
        <v>9</v>
      </c>
      <c r="J711" s="9">
        <v>2</v>
      </c>
      <c r="K711" s="10">
        <f>1+1</f>
        <v>2</v>
      </c>
      <c r="L711" s="10"/>
      <c r="M711" s="39">
        <f t="shared" si="995"/>
        <v>4</v>
      </c>
      <c r="N711" s="138">
        <f t="shared" si="996"/>
        <v>16</v>
      </c>
      <c r="O711" s="24">
        <v>45684</v>
      </c>
      <c r="P711" s="11" t="s">
        <v>27</v>
      </c>
      <c r="Q711" s="9">
        <v>10</v>
      </c>
      <c r="R711" s="10">
        <v>10</v>
      </c>
      <c r="S711" s="10">
        <v>10</v>
      </c>
      <c r="T711" s="8">
        <f t="shared" si="985"/>
        <v>30</v>
      </c>
      <c r="U711" s="9">
        <v>10</v>
      </c>
      <c r="V711" s="10">
        <v>11</v>
      </c>
      <c r="W711" s="10"/>
      <c r="X711" s="8">
        <f t="shared" si="986"/>
        <v>21</v>
      </c>
      <c r="Y711" s="9">
        <v>10</v>
      </c>
      <c r="Z711" s="10">
        <v>10</v>
      </c>
      <c r="AA711" s="10">
        <v>10</v>
      </c>
      <c r="AB711" s="8">
        <f t="shared" si="987"/>
        <v>30</v>
      </c>
      <c r="AC711" s="86">
        <f t="shared" si="988"/>
        <v>81</v>
      </c>
      <c r="AD711" s="109">
        <v>45686</v>
      </c>
    </row>
    <row r="712" spans="1:32" x14ac:dyDescent="0.15">
      <c r="A712" s="11" t="s">
        <v>658</v>
      </c>
      <c r="B712" s="9">
        <v>6</v>
      </c>
      <c r="C712" s="10">
        <v>5</v>
      </c>
      <c r="D712" s="10">
        <v>5</v>
      </c>
      <c r="E712" s="8">
        <f t="shared" si="993"/>
        <v>16</v>
      </c>
      <c r="F712" s="9">
        <v>6</v>
      </c>
      <c r="G712" s="10">
        <v>5</v>
      </c>
      <c r="H712" s="10">
        <v>5</v>
      </c>
      <c r="I712" s="8">
        <f t="shared" si="994"/>
        <v>16</v>
      </c>
      <c r="J712" s="9">
        <v>6</v>
      </c>
      <c r="K712" s="10">
        <v>5</v>
      </c>
      <c r="L712" s="10">
        <v>5</v>
      </c>
      <c r="M712" s="8">
        <f t="shared" si="995"/>
        <v>16</v>
      </c>
      <c r="N712" s="145">
        <f t="shared" si="996"/>
        <v>48</v>
      </c>
      <c r="O712" s="129">
        <v>45686</v>
      </c>
      <c r="P712" s="4" t="s">
        <v>663</v>
      </c>
      <c r="Q712" s="9">
        <v>4</v>
      </c>
      <c r="R712" s="10">
        <v>2</v>
      </c>
      <c r="S712" s="10">
        <v>5</v>
      </c>
      <c r="T712" s="8">
        <f t="shared" si="968"/>
        <v>11</v>
      </c>
      <c r="U712" s="9">
        <v>4</v>
      </c>
      <c r="V712" s="10">
        <v>2</v>
      </c>
      <c r="W712" s="10">
        <v>5</v>
      </c>
      <c r="X712" s="8">
        <f t="shared" si="969"/>
        <v>11</v>
      </c>
      <c r="Y712" s="9">
        <v>4</v>
      </c>
      <c r="Z712" s="10">
        <v>2</v>
      </c>
      <c r="AA712" s="10">
        <v>5</v>
      </c>
      <c r="AB712" s="8">
        <f t="shared" si="970"/>
        <v>11</v>
      </c>
      <c r="AC712" s="86">
        <f t="shared" si="971"/>
        <v>33</v>
      </c>
      <c r="AD712" s="109">
        <v>45688</v>
      </c>
      <c r="AE712" s="58"/>
    </row>
    <row r="713" spans="1:32" x14ac:dyDescent="0.15">
      <c r="A713" s="4" t="s">
        <v>661</v>
      </c>
      <c r="B713" s="9">
        <v>1</v>
      </c>
      <c r="C713" s="10">
        <v>6</v>
      </c>
      <c r="D713" s="10"/>
      <c r="E713" s="8">
        <f t="shared" si="960"/>
        <v>7</v>
      </c>
      <c r="F713" s="9">
        <v>1</v>
      </c>
      <c r="G713" s="10">
        <v>6</v>
      </c>
      <c r="H713" s="10"/>
      <c r="I713" s="8">
        <f t="shared" si="961"/>
        <v>7</v>
      </c>
      <c r="J713" s="9">
        <v>1</v>
      </c>
      <c r="K713" s="10">
        <v>6</v>
      </c>
      <c r="L713" s="10"/>
      <c r="M713" s="39">
        <f t="shared" si="962"/>
        <v>7</v>
      </c>
      <c r="N713" s="138">
        <f t="shared" si="963"/>
        <v>21</v>
      </c>
      <c r="O713" s="24">
        <v>45687</v>
      </c>
      <c r="P713" s="11" t="s">
        <v>664</v>
      </c>
      <c r="Q713" s="9">
        <v>20</v>
      </c>
      <c r="R713" s="10">
        <v>30</v>
      </c>
      <c r="S713" s="10">
        <v>30</v>
      </c>
      <c r="T713" s="8">
        <f t="shared" si="968"/>
        <v>80</v>
      </c>
      <c r="U713" s="9">
        <v>20</v>
      </c>
      <c r="V713" s="10">
        <v>30</v>
      </c>
      <c r="W713" s="10">
        <v>30</v>
      </c>
      <c r="X713" s="8">
        <f t="shared" si="969"/>
        <v>80</v>
      </c>
      <c r="Y713" s="9">
        <v>20</v>
      </c>
      <c r="Z713" s="10">
        <v>30</v>
      </c>
      <c r="AA713" s="10">
        <v>30</v>
      </c>
      <c r="AB713" s="8">
        <f t="shared" si="970"/>
        <v>80</v>
      </c>
      <c r="AC713" s="86">
        <f t="shared" si="971"/>
        <v>240</v>
      </c>
      <c r="AD713" s="109">
        <v>45687</v>
      </c>
      <c r="AE713" s="58"/>
    </row>
    <row r="714" spans="1:32" x14ac:dyDescent="0.15">
      <c r="A714" s="33" t="s">
        <v>36</v>
      </c>
      <c r="B714" s="9"/>
      <c r="C714" s="10"/>
      <c r="D714" s="10">
        <v>2</v>
      </c>
      <c r="E714" s="8">
        <f t="shared" si="960"/>
        <v>2</v>
      </c>
      <c r="F714" s="9"/>
      <c r="G714" s="10"/>
      <c r="H714" s="10"/>
      <c r="I714" s="8">
        <f t="shared" si="961"/>
        <v>0</v>
      </c>
      <c r="J714" s="9"/>
      <c r="K714" s="10"/>
      <c r="L714" s="10">
        <v>3</v>
      </c>
      <c r="M714" s="39">
        <f t="shared" si="962"/>
        <v>3</v>
      </c>
      <c r="N714" s="138">
        <f t="shared" si="963"/>
        <v>5</v>
      </c>
      <c r="O714" s="24">
        <v>45685</v>
      </c>
      <c r="P714" s="33" t="s">
        <v>665</v>
      </c>
      <c r="Q714" s="9"/>
      <c r="R714" s="10"/>
      <c r="S714" s="10">
        <v>2</v>
      </c>
      <c r="T714" s="8">
        <f t="shared" si="968"/>
        <v>2</v>
      </c>
      <c r="U714" s="9"/>
      <c r="V714" s="10"/>
      <c r="W714" s="10">
        <v>2</v>
      </c>
      <c r="X714" s="8">
        <f t="shared" si="969"/>
        <v>2</v>
      </c>
      <c r="Y714" s="9"/>
      <c r="Z714" s="10"/>
      <c r="AA714" s="10">
        <v>2</v>
      </c>
      <c r="AB714" s="8">
        <f t="shared" si="970"/>
        <v>2</v>
      </c>
      <c r="AC714" s="86">
        <f t="shared" si="971"/>
        <v>6</v>
      </c>
      <c r="AD714" s="109">
        <v>45693</v>
      </c>
    </row>
    <row r="715" spans="1:32" x14ac:dyDescent="0.15">
      <c r="A715" s="33" t="s">
        <v>36</v>
      </c>
      <c r="B715" s="9"/>
      <c r="C715" s="10">
        <v>1</v>
      </c>
      <c r="D715" s="10"/>
      <c r="E715" s="8">
        <f t="shared" si="960"/>
        <v>1</v>
      </c>
      <c r="F715" s="9"/>
      <c r="G715" s="10"/>
      <c r="H715" s="10">
        <v>1</v>
      </c>
      <c r="I715" s="8">
        <f t="shared" si="961"/>
        <v>1</v>
      </c>
      <c r="J715" s="9"/>
      <c r="K715" s="10"/>
      <c r="L715" s="10"/>
      <c r="M715" s="39">
        <f t="shared" si="962"/>
        <v>0</v>
      </c>
      <c r="N715" s="138">
        <f t="shared" si="963"/>
        <v>2</v>
      </c>
      <c r="O715" s="24">
        <v>45686</v>
      </c>
      <c r="P715" s="11" t="s">
        <v>668</v>
      </c>
      <c r="Q715" s="9">
        <v>25</v>
      </c>
      <c r="R715" s="10">
        <v>15</v>
      </c>
      <c r="S715" s="10">
        <v>10</v>
      </c>
      <c r="T715" s="8">
        <f t="shared" si="968"/>
        <v>50</v>
      </c>
      <c r="U715" s="9">
        <v>25</v>
      </c>
      <c r="V715" s="10">
        <v>15</v>
      </c>
      <c r="W715" s="10">
        <v>10</v>
      </c>
      <c r="X715" s="8">
        <f t="shared" si="969"/>
        <v>50</v>
      </c>
      <c r="Y715" s="9">
        <v>25</v>
      </c>
      <c r="Z715" s="10">
        <v>15</v>
      </c>
      <c r="AA715" s="10">
        <v>10</v>
      </c>
      <c r="AB715" s="8">
        <f t="shared" si="970"/>
        <v>50</v>
      </c>
      <c r="AC715" s="86">
        <f t="shared" si="971"/>
        <v>150</v>
      </c>
      <c r="AD715" s="109">
        <v>45689</v>
      </c>
      <c r="AE715" s="58"/>
    </row>
    <row r="716" spans="1:32" x14ac:dyDescent="0.15">
      <c r="A716" s="4" t="s">
        <v>666</v>
      </c>
      <c r="B716" s="9">
        <v>1</v>
      </c>
      <c r="C716" s="10">
        <v>1</v>
      </c>
      <c r="D716" s="10"/>
      <c r="E716" s="8">
        <f t="shared" si="960"/>
        <v>2</v>
      </c>
      <c r="F716" s="9">
        <v>1</v>
      </c>
      <c r="G716" s="10">
        <v>1</v>
      </c>
      <c r="H716" s="10"/>
      <c r="I716" s="8">
        <f t="shared" si="961"/>
        <v>2</v>
      </c>
      <c r="J716" s="9">
        <v>1</v>
      </c>
      <c r="K716" s="10">
        <v>1</v>
      </c>
      <c r="L716" s="10"/>
      <c r="M716" s="39">
        <f t="shared" si="962"/>
        <v>2</v>
      </c>
      <c r="N716" s="138">
        <f t="shared" si="963"/>
        <v>6</v>
      </c>
      <c r="O716" s="24">
        <v>45688</v>
      </c>
      <c r="P716" s="4" t="s">
        <v>670</v>
      </c>
      <c r="Q716" s="9">
        <v>3</v>
      </c>
      <c r="R716" s="10"/>
      <c r="S716" s="10"/>
      <c r="T716" s="8">
        <f t="shared" ref="T716:T719" si="997">SUM(Q716:S716)</f>
        <v>3</v>
      </c>
      <c r="U716" s="9">
        <v>3</v>
      </c>
      <c r="V716" s="10"/>
      <c r="W716" s="10"/>
      <c r="X716" s="8">
        <f t="shared" ref="X716:X719" si="998">SUM(U716:W716)</f>
        <v>3</v>
      </c>
      <c r="Y716" s="9">
        <v>3</v>
      </c>
      <c r="Z716" s="10"/>
      <c r="AA716" s="10"/>
      <c r="AB716" s="8">
        <f t="shared" ref="AB716:AB719" si="999">SUM(Y716:AA716)</f>
        <v>3</v>
      </c>
      <c r="AC716" s="86">
        <f t="shared" ref="AC716:AC719" si="1000">T716+X716+AB716</f>
        <v>9</v>
      </c>
      <c r="AD716" s="109">
        <v>45692</v>
      </c>
    </row>
    <row r="717" spans="1:32" x14ac:dyDescent="0.15">
      <c r="A717" s="33" t="s">
        <v>36</v>
      </c>
      <c r="B717" s="9"/>
      <c r="C717" s="10">
        <v>1</v>
      </c>
      <c r="D717" s="10"/>
      <c r="E717" s="8">
        <f t="shared" si="960"/>
        <v>1</v>
      </c>
      <c r="F717" s="9"/>
      <c r="G717" s="10"/>
      <c r="H717" s="10"/>
      <c r="I717" s="8">
        <f t="shared" si="961"/>
        <v>0</v>
      </c>
      <c r="J717" s="9"/>
      <c r="K717" s="10">
        <v>1</v>
      </c>
      <c r="L717" s="10"/>
      <c r="M717" s="39">
        <f t="shared" si="962"/>
        <v>1</v>
      </c>
      <c r="N717" s="138">
        <f t="shared" si="963"/>
        <v>2</v>
      </c>
      <c r="O717" s="24">
        <v>45687</v>
      </c>
      <c r="P717" s="4" t="s">
        <v>676</v>
      </c>
      <c r="Q717" s="9">
        <v>6</v>
      </c>
      <c r="R717" s="10">
        <v>6</v>
      </c>
      <c r="S717" s="10">
        <v>7</v>
      </c>
      <c r="T717" s="8">
        <f t="shared" si="997"/>
        <v>19</v>
      </c>
      <c r="U717" s="9">
        <v>6</v>
      </c>
      <c r="V717" s="10">
        <v>6</v>
      </c>
      <c r="W717" s="10">
        <v>7</v>
      </c>
      <c r="X717" s="8">
        <f t="shared" si="998"/>
        <v>19</v>
      </c>
      <c r="Y717" s="9">
        <v>6</v>
      </c>
      <c r="Z717" s="10">
        <v>6</v>
      </c>
      <c r="AA717" s="10">
        <v>7</v>
      </c>
      <c r="AB717" s="8">
        <f t="shared" si="999"/>
        <v>19</v>
      </c>
      <c r="AC717" s="86">
        <f t="shared" si="1000"/>
        <v>57</v>
      </c>
      <c r="AD717" s="109">
        <v>45693</v>
      </c>
      <c r="AE717" s="58"/>
      <c r="AF717" s="58"/>
    </row>
    <row r="718" spans="1:32" x14ac:dyDescent="0.15">
      <c r="A718" s="4" t="s">
        <v>671</v>
      </c>
      <c r="B718" s="9">
        <v>1</v>
      </c>
      <c r="C718" s="10">
        <v>1</v>
      </c>
      <c r="D718" s="10"/>
      <c r="E718" s="8">
        <f t="shared" si="960"/>
        <v>2</v>
      </c>
      <c r="F718" s="9">
        <v>1</v>
      </c>
      <c r="G718" s="10">
        <v>1</v>
      </c>
      <c r="H718" s="10"/>
      <c r="I718" s="8">
        <f t="shared" si="961"/>
        <v>2</v>
      </c>
      <c r="J718" s="9">
        <v>1</v>
      </c>
      <c r="K718" s="10">
        <v>1</v>
      </c>
      <c r="L718" s="10"/>
      <c r="M718" s="39">
        <f t="shared" si="962"/>
        <v>2</v>
      </c>
      <c r="N718" s="138">
        <f t="shared" si="963"/>
        <v>6</v>
      </c>
      <c r="O718" s="24">
        <v>45691</v>
      </c>
      <c r="P718" s="4" t="s">
        <v>677</v>
      </c>
      <c r="Q718" s="9">
        <v>15</v>
      </c>
      <c r="R718" s="10">
        <v>15</v>
      </c>
      <c r="S718" s="10">
        <v>15</v>
      </c>
      <c r="T718" s="8">
        <f t="shared" si="997"/>
        <v>45</v>
      </c>
      <c r="U718" s="9">
        <v>15</v>
      </c>
      <c r="V718" s="10">
        <v>15</v>
      </c>
      <c r="W718" s="10">
        <v>15</v>
      </c>
      <c r="X718" s="8">
        <f t="shared" si="998"/>
        <v>45</v>
      </c>
      <c r="Y718" s="9">
        <v>15</v>
      </c>
      <c r="Z718" s="10">
        <v>15</v>
      </c>
      <c r="AA718" s="10">
        <v>15</v>
      </c>
      <c r="AB718" s="8">
        <f t="shared" si="999"/>
        <v>45</v>
      </c>
      <c r="AC718" s="86">
        <f t="shared" si="1000"/>
        <v>135</v>
      </c>
      <c r="AD718" s="109">
        <v>45693</v>
      </c>
      <c r="AE718" s="58"/>
      <c r="AF718" s="58"/>
    </row>
    <row r="719" spans="1:32" x14ac:dyDescent="0.15">
      <c r="A719" s="33" t="s">
        <v>672</v>
      </c>
      <c r="B719" s="9">
        <v>18</v>
      </c>
      <c r="C719" s="10">
        <v>12</v>
      </c>
      <c r="D719" s="10">
        <v>11</v>
      </c>
      <c r="E719" s="8">
        <f t="shared" si="960"/>
        <v>41</v>
      </c>
      <c r="F719" s="9">
        <v>19</v>
      </c>
      <c r="G719" s="10">
        <v>14</v>
      </c>
      <c r="H719" s="10">
        <v>16</v>
      </c>
      <c r="I719" s="8">
        <f t="shared" si="961"/>
        <v>49</v>
      </c>
      <c r="J719" s="9">
        <v>18</v>
      </c>
      <c r="K719" s="10">
        <v>9</v>
      </c>
      <c r="L719" s="10">
        <v>10</v>
      </c>
      <c r="M719" s="39">
        <f t="shared" si="962"/>
        <v>37</v>
      </c>
      <c r="N719" s="138">
        <f t="shared" si="963"/>
        <v>127</v>
      </c>
      <c r="O719" s="24">
        <v>45689</v>
      </c>
      <c r="P719" s="4" t="s">
        <v>680</v>
      </c>
      <c r="Q719" s="9"/>
      <c r="R719" s="10">
        <v>3</v>
      </c>
      <c r="S719" s="10"/>
      <c r="T719" s="8">
        <f t="shared" si="997"/>
        <v>3</v>
      </c>
      <c r="U719" s="9"/>
      <c r="V719" s="10">
        <v>3</v>
      </c>
      <c r="W719" s="10"/>
      <c r="X719" s="8">
        <f t="shared" si="998"/>
        <v>3</v>
      </c>
      <c r="Y719" s="9"/>
      <c r="Z719" s="10">
        <v>3</v>
      </c>
      <c r="AA719" s="10"/>
      <c r="AB719" s="39">
        <f t="shared" si="999"/>
        <v>3</v>
      </c>
      <c r="AC719" s="54">
        <f t="shared" si="1000"/>
        <v>9</v>
      </c>
      <c r="AD719" s="109">
        <v>45695</v>
      </c>
      <c r="AE719" s="58"/>
      <c r="AF719" s="58"/>
    </row>
    <row r="720" spans="1:32" x14ac:dyDescent="0.15">
      <c r="A720" s="11" t="s">
        <v>678</v>
      </c>
      <c r="B720" s="9"/>
      <c r="C720" s="10">
        <v>1</v>
      </c>
      <c r="D720" s="10"/>
      <c r="E720" s="8">
        <f t="shared" si="960"/>
        <v>1</v>
      </c>
      <c r="F720" s="9"/>
      <c r="G720" s="10">
        <v>1</v>
      </c>
      <c r="H720" s="10"/>
      <c r="I720" s="8">
        <f t="shared" si="961"/>
        <v>1</v>
      </c>
      <c r="J720" s="9"/>
      <c r="K720" s="10">
        <v>1</v>
      </c>
      <c r="L720" s="10"/>
      <c r="M720" s="39">
        <f t="shared" si="962"/>
        <v>1</v>
      </c>
      <c r="N720" s="138">
        <f t="shared" si="963"/>
        <v>3</v>
      </c>
      <c r="O720" s="24">
        <v>45693</v>
      </c>
      <c r="P720" s="4"/>
      <c r="Q720" s="9"/>
      <c r="R720" s="10"/>
      <c r="S720" s="10"/>
      <c r="T720" s="8">
        <f t="shared" ref="T720:T721" si="1001">SUM(Q720:S720)</f>
        <v>0</v>
      </c>
      <c r="U720" s="9"/>
      <c r="V720" s="10"/>
      <c r="W720" s="10"/>
      <c r="X720" s="8">
        <f t="shared" ref="X720:X721" si="1002">SUM(U720:W720)</f>
        <v>0</v>
      </c>
      <c r="Y720" s="9"/>
      <c r="Z720" s="10"/>
      <c r="AA720" s="10"/>
      <c r="AB720" s="8">
        <f t="shared" ref="AB720:AB721" si="1003">SUM(Y720:AA720)</f>
        <v>0</v>
      </c>
      <c r="AC720" s="86">
        <f t="shared" ref="AC720:AC721" si="1004">T720+X720+AB720</f>
        <v>0</v>
      </c>
    </row>
    <row r="721" spans="1:31" x14ac:dyDescent="0.15">
      <c r="A721" s="33" t="s">
        <v>36</v>
      </c>
      <c r="B721" s="9">
        <v>2</v>
      </c>
      <c r="C721" s="10"/>
      <c r="D721" s="10"/>
      <c r="E721" s="8">
        <f t="shared" si="960"/>
        <v>2</v>
      </c>
      <c r="F721" s="9">
        <v>2</v>
      </c>
      <c r="G721" s="10"/>
      <c r="H721" s="10"/>
      <c r="I721" s="8">
        <f t="shared" si="961"/>
        <v>2</v>
      </c>
      <c r="J721" s="9">
        <v>2</v>
      </c>
      <c r="K721" s="10"/>
      <c r="L721" s="10"/>
      <c r="M721" s="39">
        <f t="shared" si="962"/>
        <v>2</v>
      </c>
      <c r="N721" s="138">
        <f t="shared" si="963"/>
        <v>6</v>
      </c>
      <c r="O721" s="24">
        <v>45691</v>
      </c>
      <c r="P721" s="11"/>
      <c r="Q721" s="9"/>
      <c r="R721" s="10"/>
      <c r="S721" s="10"/>
      <c r="T721" s="8">
        <f t="shared" si="1001"/>
        <v>0</v>
      </c>
      <c r="U721" s="9"/>
      <c r="V721" s="10"/>
      <c r="W721" s="10"/>
      <c r="X721" s="8">
        <f t="shared" si="1002"/>
        <v>0</v>
      </c>
      <c r="Y721" s="9"/>
      <c r="Z721" s="10"/>
      <c r="AA721" s="10"/>
      <c r="AB721" s="8">
        <f t="shared" si="1003"/>
        <v>0</v>
      </c>
      <c r="AC721" s="86">
        <f t="shared" si="1004"/>
        <v>0</v>
      </c>
      <c r="AD721" s="109"/>
    </row>
    <row r="722" spans="1:31" x14ac:dyDescent="0.15">
      <c r="A722" s="33" t="s">
        <v>36</v>
      </c>
      <c r="B722" s="9"/>
      <c r="C722" s="10"/>
      <c r="D722" s="10">
        <v>1</v>
      </c>
      <c r="E722" s="8">
        <f t="shared" si="960"/>
        <v>1</v>
      </c>
      <c r="F722" s="9"/>
      <c r="G722" s="10"/>
      <c r="H722" s="10">
        <v>1</v>
      </c>
      <c r="I722" s="8">
        <f t="shared" si="961"/>
        <v>1</v>
      </c>
      <c r="J722" s="9"/>
      <c r="K722" s="10"/>
      <c r="L722" s="10">
        <v>1</v>
      </c>
      <c r="M722" s="39">
        <f t="shared" si="962"/>
        <v>1</v>
      </c>
      <c r="N722" s="138">
        <f t="shared" si="963"/>
        <v>3</v>
      </c>
      <c r="O722" s="24">
        <v>45693</v>
      </c>
      <c r="P722" s="11" t="s">
        <v>564</v>
      </c>
      <c r="Q722" s="9"/>
      <c r="R722" s="10"/>
      <c r="S722" s="10"/>
      <c r="T722" s="8">
        <f t="shared" ref="T722:T728" si="1005">SUM(Q722:S722)</f>
        <v>0</v>
      </c>
      <c r="U722" s="9"/>
      <c r="V722" s="10"/>
      <c r="W722" s="10"/>
      <c r="X722" s="8">
        <f t="shared" ref="X722:X728" si="1006">SUM(U722:W722)</f>
        <v>0</v>
      </c>
      <c r="Y722" s="9"/>
      <c r="Z722" s="10"/>
      <c r="AA722" s="10"/>
      <c r="AB722" s="8">
        <f t="shared" ref="AB722:AB728" si="1007">SUM(Y722:AA722)</f>
        <v>0</v>
      </c>
      <c r="AC722" s="86">
        <f t="shared" ref="AC722:AC728" si="1008">T722+X722+AB722</f>
        <v>0</v>
      </c>
      <c r="AD722" s="109" t="s">
        <v>565</v>
      </c>
    </row>
    <row r="723" spans="1:31" x14ac:dyDescent="0.15">
      <c r="A723" s="11" t="s">
        <v>679</v>
      </c>
      <c r="B723" s="9">
        <v>3</v>
      </c>
      <c r="C723" s="10">
        <v>4</v>
      </c>
      <c r="D723" s="10">
        <v>2</v>
      </c>
      <c r="E723" s="8">
        <f t="shared" si="960"/>
        <v>9</v>
      </c>
      <c r="F723" s="9">
        <v>3</v>
      </c>
      <c r="G723" s="10">
        <v>4</v>
      </c>
      <c r="H723" s="10">
        <v>2</v>
      </c>
      <c r="I723" s="8">
        <f t="shared" si="961"/>
        <v>9</v>
      </c>
      <c r="J723" s="9">
        <v>3</v>
      </c>
      <c r="K723" s="10">
        <v>4</v>
      </c>
      <c r="L723" s="10">
        <v>2</v>
      </c>
      <c r="M723" s="39">
        <f t="shared" si="962"/>
        <v>9</v>
      </c>
      <c r="N723" s="138">
        <f t="shared" si="963"/>
        <v>27</v>
      </c>
      <c r="O723" s="24">
        <v>45698</v>
      </c>
      <c r="P723" s="4" t="s">
        <v>556</v>
      </c>
      <c r="Q723" s="9"/>
      <c r="R723" s="10"/>
      <c r="S723" s="10"/>
      <c r="T723" s="8">
        <f t="shared" si="1005"/>
        <v>0</v>
      </c>
      <c r="U723" s="9"/>
      <c r="V723" s="10"/>
      <c r="W723" s="10"/>
      <c r="X723" s="8">
        <f t="shared" si="1006"/>
        <v>0</v>
      </c>
      <c r="Y723" s="9"/>
      <c r="Z723" s="10"/>
      <c r="AA723" s="10"/>
      <c r="AB723" s="8">
        <f t="shared" si="1007"/>
        <v>0</v>
      </c>
      <c r="AC723" s="86">
        <f t="shared" si="1008"/>
        <v>0</v>
      </c>
      <c r="AD723" s="116" t="s">
        <v>557</v>
      </c>
    </row>
    <row r="724" spans="1:31" x14ac:dyDescent="0.15">
      <c r="A724" s="33" t="s">
        <v>36</v>
      </c>
      <c r="B724" s="9"/>
      <c r="C724" s="10">
        <v>1</v>
      </c>
      <c r="D724" s="10"/>
      <c r="E724" s="8">
        <f t="shared" ref="E724:E725" si="1009">SUM(B724:D724)</f>
        <v>1</v>
      </c>
      <c r="F724" s="9"/>
      <c r="G724" s="10"/>
      <c r="H724" s="10"/>
      <c r="I724" s="8">
        <f t="shared" ref="I724:I725" si="1010">SUM(F724:H724)</f>
        <v>0</v>
      </c>
      <c r="J724" s="9"/>
      <c r="K724" s="10">
        <v>2</v>
      </c>
      <c r="L724" s="10"/>
      <c r="M724" s="39">
        <f t="shared" ref="M724:M725" si="1011">SUM(J724:L724)</f>
        <v>2</v>
      </c>
      <c r="N724" s="138">
        <f t="shared" ref="N724:N725" si="1012">E724+I724+M724</f>
        <v>3</v>
      </c>
      <c r="O724" s="24">
        <v>45694</v>
      </c>
      <c r="P724" s="4" t="s">
        <v>611</v>
      </c>
      <c r="Q724" s="9"/>
      <c r="R724" s="10"/>
      <c r="S724" s="10"/>
      <c r="T724" s="8">
        <f t="shared" si="1005"/>
        <v>0</v>
      </c>
      <c r="U724" s="9"/>
      <c r="V724" s="10"/>
      <c r="W724" s="10"/>
      <c r="X724" s="8">
        <f t="shared" si="1006"/>
        <v>0</v>
      </c>
      <c r="Y724" s="9"/>
      <c r="Z724" s="10"/>
      <c r="AA724" s="10"/>
      <c r="AB724" s="8">
        <f t="shared" si="1007"/>
        <v>0</v>
      </c>
      <c r="AC724" s="86">
        <f t="shared" si="1008"/>
        <v>0</v>
      </c>
      <c r="AD724" s="116" t="s">
        <v>612</v>
      </c>
      <c r="AE724" s="58"/>
    </row>
    <row r="725" spans="1:31" x14ac:dyDescent="0.15">
      <c r="A725" s="33" t="s">
        <v>36</v>
      </c>
      <c r="B725" s="9"/>
      <c r="C725" s="10"/>
      <c r="D725" s="10">
        <v>1</v>
      </c>
      <c r="E725" s="8">
        <f t="shared" si="1009"/>
        <v>1</v>
      </c>
      <c r="F725" s="9"/>
      <c r="G725" s="10"/>
      <c r="H725" s="10">
        <v>1</v>
      </c>
      <c r="I725" s="8">
        <f t="shared" si="1010"/>
        <v>1</v>
      </c>
      <c r="J725" s="9"/>
      <c r="K725" s="10"/>
      <c r="L725" s="10">
        <v>1</v>
      </c>
      <c r="M725" s="39">
        <f t="shared" si="1011"/>
        <v>1</v>
      </c>
      <c r="N725" s="138">
        <f t="shared" si="1012"/>
        <v>3</v>
      </c>
      <c r="O725" s="70">
        <v>45695</v>
      </c>
      <c r="P725" s="4" t="s">
        <v>541</v>
      </c>
      <c r="Q725" s="9"/>
      <c r="R725" s="10"/>
      <c r="S725" s="10"/>
      <c r="T725" s="8">
        <f t="shared" si="1005"/>
        <v>0</v>
      </c>
      <c r="U725" s="9"/>
      <c r="V725" s="10"/>
      <c r="W725" s="10"/>
      <c r="X725" s="8">
        <f t="shared" si="1006"/>
        <v>0</v>
      </c>
      <c r="Y725" s="9"/>
      <c r="Z725" s="10"/>
      <c r="AA725" s="10"/>
      <c r="AB725" s="8">
        <f t="shared" si="1007"/>
        <v>0</v>
      </c>
      <c r="AC725" s="86">
        <f t="shared" si="1008"/>
        <v>0</v>
      </c>
      <c r="AD725" s="116" t="s">
        <v>542</v>
      </c>
      <c r="AE725" s="58"/>
    </row>
    <row r="726" spans="1:31" x14ac:dyDescent="0.15">
      <c r="A726" s="33" t="s">
        <v>36</v>
      </c>
      <c r="B726" s="9">
        <v>1</v>
      </c>
      <c r="C726" s="10">
        <v>2</v>
      </c>
      <c r="D726" s="10"/>
      <c r="E726" s="8">
        <f t="shared" si="960"/>
        <v>3</v>
      </c>
      <c r="F726" s="9">
        <v>1</v>
      </c>
      <c r="G726" s="10"/>
      <c r="H726" s="10"/>
      <c r="I726" s="8">
        <f t="shared" si="961"/>
        <v>1</v>
      </c>
      <c r="J726" s="9"/>
      <c r="K726" s="10"/>
      <c r="L726" s="10"/>
      <c r="M726" s="39">
        <f t="shared" si="962"/>
        <v>0</v>
      </c>
      <c r="N726" s="138">
        <f t="shared" si="963"/>
        <v>4</v>
      </c>
      <c r="O726" s="70">
        <v>45698</v>
      </c>
      <c r="P726" s="4" t="s">
        <v>539</v>
      </c>
      <c r="Q726" s="9"/>
      <c r="R726" s="10"/>
      <c r="S726" s="10"/>
      <c r="T726" s="8">
        <f t="shared" si="1005"/>
        <v>0</v>
      </c>
      <c r="U726" s="9"/>
      <c r="V726" s="10"/>
      <c r="W726" s="10"/>
      <c r="X726" s="8">
        <f t="shared" si="1006"/>
        <v>0</v>
      </c>
      <c r="Y726" s="9"/>
      <c r="Z726" s="10"/>
      <c r="AA726" s="10"/>
      <c r="AB726" s="8">
        <f t="shared" si="1007"/>
        <v>0</v>
      </c>
      <c r="AC726" s="86">
        <f t="shared" si="1008"/>
        <v>0</v>
      </c>
      <c r="AD726" s="116" t="s">
        <v>540</v>
      </c>
      <c r="AE726" s="58"/>
    </row>
    <row r="727" spans="1:31" x14ac:dyDescent="0.15">
      <c r="A727" s="33" t="s">
        <v>36</v>
      </c>
      <c r="B727" s="9"/>
      <c r="C727" s="10"/>
      <c r="D727" s="10"/>
      <c r="E727" s="8">
        <f t="shared" si="960"/>
        <v>0</v>
      </c>
      <c r="F727" s="9"/>
      <c r="G727" s="10">
        <v>1</v>
      </c>
      <c r="H727" s="10"/>
      <c r="I727" s="8">
        <f t="shared" si="961"/>
        <v>1</v>
      </c>
      <c r="J727" s="9"/>
      <c r="K727" s="10"/>
      <c r="L727" s="10"/>
      <c r="M727" s="39">
        <f t="shared" si="962"/>
        <v>0</v>
      </c>
      <c r="N727" s="138">
        <f t="shared" si="963"/>
        <v>1</v>
      </c>
      <c r="O727" s="70">
        <v>45699</v>
      </c>
      <c r="P727" s="6" t="s">
        <v>544</v>
      </c>
      <c r="Q727" s="71"/>
      <c r="R727" s="72"/>
      <c r="S727" s="72"/>
      <c r="T727" s="73">
        <f t="shared" si="1005"/>
        <v>0</v>
      </c>
      <c r="U727" s="71"/>
      <c r="V727" s="72"/>
      <c r="W727" s="72"/>
      <c r="X727" s="73">
        <f t="shared" si="1006"/>
        <v>0</v>
      </c>
      <c r="Y727" s="71"/>
      <c r="Z727" s="72"/>
      <c r="AA727" s="72"/>
      <c r="AB727" s="73">
        <f t="shared" si="1007"/>
        <v>0</v>
      </c>
      <c r="AC727" s="92">
        <f t="shared" si="1008"/>
        <v>0</v>
      </c>
      <c r="AD727" s="116"/>
    </row>
    <row r="728" spans="1:31" ht="14.25" thickBot="1" x14ac:dyDescent="0.2">
      <c r="A728" s="33" t="s">
        <v>36</v>
      </c>
      <c r="B728" s="9"/>
      <c r="C728" s="10">
        <v>1</v>
      </c>
      <c r="D728" s="22"/>
      <c r="E728" s="8">
        <f t="shared" si="960"/>
        <v>1</v>
      </c>
      <c r="F728" s="9">
        <v>1</v>
      </c>
      <c r="G728" s="10"/>
      <c r="H728" s="22"/>
      <c r="I728" s="8">
        <f t="shared" si="961"/>
        <v>1</v>
      </c>
      <c r="J728" s="9">
        <v>1</v>
      </c>
      <c r="K728" s="10"/>
      <c r="L728" s="22"/>
      <c r="M728" s="39">
        <f t="shared" si="962"/>
        <v>1</v>
      </c>
      <c r="N728" s="139">
        <f t="shared" si="963"/>
        <v>3</v>
      </c>
      <c r="O728" s="70">
        <v>45701</v>
      </c>
      <c r="P728" s="11" t="s">
        <v>490</v>
      </c>
      <c r="Q728" s="9"/>
      <c r="R728" s="10"/>
      <c r="S728" s="10"/>
      <c r="T728" s="8">
        <f t="shared" si="1005"/>
        <v>0</v>
      </c>
      <c r="U728" s="9"/>
      <c r="V728" s="10"/>
      <c r="W728" s="10"/>
      <c r="X728" s="8">
        <f t="shared" si="1006"/>
        <v>0</v>
      </c>
      <c r="Y728" s="9"/>
      <c r="Z728" s="10"/>
      <c r="AA728" s="10"/>
      <c r="AB728" s="8">
        <f t="shared" si="1007"/>
        <v>0</v>
      </c>
      <c r="AC728" s="86">
        <f t="shared" si="1008"/>
        <v>0</v>
      </c>
      <c r="AD728" s="116" t="s">
        <v>491</v>
      </c>
    </row>
    <row r="729" spans="1:31" ht="14.25" thickBot="1" x14ac:dyDescent="0.2">
      <c r="A729" s="104" t="s">
        <v>5</v>
      </c>
      <c r="B729" s="12">
        <f>SUM(B705:B728)</f>
        <v>48</v>
      </c>
      <c r="C729" s="12">
        <f>SUM(C705:C728)</f>
        <v>51</v>
      </c>
      <c r="D729" s="12">
        <f>SUM(D705:D728)</f>
        <v>22</v>
      </c>
      <c r="E729" s="13">
        <f t="shared" si="960"/>
        <v>121</v>
      </c>
      <c r="F729" s="12">
        <f>SUM(F705:F728)</f>
        <v>52</v>
      </c>
      <c r="G729" s="12">
        <f>SUM(G705:G728)</f>
        <v>55</v>
      </c>
      <c r="H729" s="12">
        <f>SUM(H705:H728)</f>
        <v>26</v>
      </c>
      <c r="I729" s="13">
        <f t="shared" si="961"/>
        <v>133</v>
      </c>
      <c r="J729" s="12">
        <f>SUM(J705:J728)</f>
        <v>48</v>
      </c>
      <c r="K729" s="12">
        <f>SUM(K705:K728)</f>
        <v>46</v>
      </c>
      <c r="L729" s="12">
        <f>SUM(L705:L728)</f>
        <v>24</v>
      </c>
      <c r="M729" s="12">
        <f t="shared" si="962"/>
        <v>118</v>
      </c>
      <c r="N729" s="142">
        <f t="shared" si="963"/>
        <v>372</v>
      </c>
      <c r="P729" s="3" t="s">
        <v>5</v>
      </c>
      <c r="Q729" s="12">
        <f>SUM(Q705:Q728)</f>
        <v>124</v>
      </c>
      <c r="R729" s="12">
        <f t="shared" ref="R729" si="1013">SUM(R705:R728)</f>
        <v>168</v>
      </c>
      <c r="S729" s="12">
        <f t="shared" ref="S729" si="1014">SUM(S705:S728)</f>
        <v>154</v>
      </c>
      <c r="T729" s="13">
        <f t="shared" ref="T729" si="1015">SUM(T705:T728)</f>
        <v>446</v>
      </c>
      <c r="U729" s="12">
        <f t="shared" ref="U729" si="1016">SUM(U705:U728)</f>
        <v>129</v>
      </c>
      <c r="V729" s="12">
        <f t="shared" ref="V729" si="1017">SUM(V705:V728)</f>
        <v>174</v>
      </c>
      <c r="W729" s="12">
        <f t="shared" ref="W729" si="1018">SUM(W705:W728)</f>
        <v>144</v>
      </c>
      <c r="X729" s="13">
        <f t="shared" ref="X729" si="1019">SUM(X705:X728)</f>
        <v>447</v>
      </c>
      <c r="Y729" s="12">
        <f t="shared" ref="Y729" si="1020">SUM(Y705:Y728)</f>
        <v>124</v>
      </c>
      <c r="Z729" s="12">
        <f t="shared" ref="Z729" si="1021">SUM(Z705:Z728)</f>
        <v>163</v>
      </c>
      <c r="AA729" s="12">
        <f t="shared" ref="AA729" si="1022">SUM(AA705:AA728)</f>
        <v>159</v>
      </c>
      <c r="AB729" s="13">
        <f t="shared" ref="AB729" si="1023">SUM(AB705:AB728)</f>
        <v>446</v>
      </c>
      <c r="AC729" s="155">
        <f t="shared" ref="AC729" si="1024">SUM(AC705:AC728)</f>
        <v>1339</v>
      </c>
    </row>
    <row r="730" spans="1:31" ht="14.25" thickBot="1" x14ac:dyDescent="0.2">
      <c r="A730" s="105" t="s">
        <v>6</v>
      </c>
      <c r="B730" s="20">
        <f>B704-B729</f>
        <v>11</v>
      </c>
      <c r="C730" s="20">
        <f t="shared" ref="C730:E730" si="1025">C704-C729</f>
        <v>1</v>
      </c>
      <c r="D730" s="20">
        <f t="shared" si="1025"/>
        <v>15</v>
      </c>
      <c r="E730" s="18">
        <f t="shared" si="1025"/>
        <v>27</v>
      </c>
      <c r="F730" s="20">
        <f>F704-F729</f>
        <v>10</v>
      </c>
      <c r="G730" s="20">
        <f t="shared" ref="G730:I730" si="1026">G704-G729</f>
        <v>9</v>
      </c>
      <c r="H730" s="20">
        <f t="shared" si="1026"/>
        <v>10</v>
      </c>
      <c r="I730" s="18">
        <f t="shared" si="1026"/>
        <v>29</v>
      </c>
      <c r="J730" s="20">
        <f>J704-J729</f>
        <v>11</v>
      </c>
      <c r="K730" s="20">
        <f t="shared" ref="K730:M730" si="1027">K704-K729</f>
        <v>5</v>
      </c>
      <c r="L730" s="20">
        <f t="shared" si="1027"/>
        <v>15</v>
      </c>
      <c r="M730" s="20">
        <f t="shared" si="1027"/>
        <v>31</v>
      </c>
      <c r="N730" s="140">
        <f t="shared" si="963"/>
        <v>87</v>
      </c>
      <c r="P730" s="19" t="s">
        <v>6</v>
      </c>
      <c r="Q730" s="20">
        <f>Q704-Q729</f>
        <v>672</v>
      </c>
      <c r="R730" s="20">
        <f t="shared" ref="R730" si="1028">R704-R729</f>
        <v>906</v>
      </c>
      <c r="S730" s="20">
        <f t="shared" ref="S730" si="1029">S704-S729</f>
        <v>740</v>
      </c>
      <c r="T730" s="18">
        <f t="shared" ref="T730" si="1030">T704-T729</f>
        <v>2318</v>
      </c>
      <c r="U730" s="20">
        <f t="shared" ref="U730" si="1031">U704-U729</f>
        <v>638</v>
      </c>
      <c r="V730" s="20">
        <f t="shared" ref="V730" si="1032">V704-V729</f>
        <v>918</v>
      </c>
      <c r="W730" s="20">
        <f t="shared" ref="W730" si="1033">W704-W729</f>
        <v>818</v>
      </c>
      <c r="X730" s="18">
        <f t="shared" ref="X730" si="1034">X704-X729</f>
        <v>2374</v>
      </c>
      <c r="Y730" s="20">
        <f t="shared" ref="Y730" si="1035">Y704-Y729</f>
        <v>622</v>
      </c>
      <c r="Z730" s="20">
        <f t="shared" ref="Z730" si="1036">Z704-Z729</f>
        <v>880</v>
      </c>
      <c r="AA730" s="20">
        <f t="shared" ref="AA730" si="1037">AA704-AA729</f>
        <v>762</v>
      </c>
      <c r="AB730" s="18">
        <f t="shared" ref="AB730" si="1038">AB704-AB729</f>
        <v>2264</v>
      </c>
      <c r="AC730" s="88">
        <f t="shared" ref="AC730" si="1039">AC704-AC729</f>
        <v>6956</v>
      </c>
    </row>
    <row r="731" spans="1:31" x14ac:dyDescent="0.15">
      <c r="Q731" s="124">
        <f>Q730/$T$730*100</f>
        <v>28.99050905953408</v>
      </c>
      <c r="R731" s="124">
        <f t="shared" ref="R731:T731" si="1040">R730/$T$730*100</f>
        <v>39.085418464193275</v>
      </c>
      <c r="S731" s="124">
        <f t="shared" si="1040"/>
        <v>31.924072476272649</v>
      </c>
      <c r="T731" s="124">
        <f t="shared" si="1040"/>
        <v>100</v>
      </c>
      <c r="AC731"/>
    </row>
    <row r="732" spans="1:31" x14ac:dyDescent="0.15">
      <c r="Q732" s="66">
        <v>27.4</v>
      </c>
      <c r="R732" s="66">
        <v>42.2</v>
      </c>
      <c r="S732" s="66">
        <v>30.4</v>
      </c>
      <c r="T732" s="65">
        <v>100</v>
      </c>
    </row>
    <row r="733" spans="1:31" ht="19.5" thickBot="1" x14ac:dyDescent="0.25">
      <c r="A733" s="108" t="s">
        <v>264</v>
      </c>
      <c r="B733" s="47"/>
      <c r="C733" s="47"/>
      <c r="D733" s="47"/>
      <c r="E733" s="47"/>
      <c r="F733" s="48"/>
      <c r="G733" s="48"/>
      <c r="H733" s="48"/>
      <c r="I733" s="48"/>
      <c r="J733" s="48"/>
      <c r="K733" s="48"/>
      <c r="L733" s="1"/>
      <c r="M733" s="1"/>
      <c r="N733" s="137"/>
      <c r="P733" s="43" t="s">
        <v>263</v>
      </c>
      <c r="Q733" s="44"/>
      <c r="R733" s="44"/>
      <c r="S733" s="44"/>
      <c r="T733" s="44"/>
      <c r="U733" s="45"/>
      <c r="V733" s="45"/>
      <c r="W733" s="45"/>
      <c r="X733" s="45"/>
      <c r="Y733" s="46"/>
      <c r="Z733" s="53"/>
      <c r="AA733" s="1"/>
      <c r="AB733" s="1"/>
    </row>
    <row r="734" spans="1:31" ht="14.25" thickBot="1" x14ac:dyDescent="0.2">
      <c r="A734" s="100" t="s">
        <v>0</v>
      </c>
      <c r="B734" s="337" t="s">
        <v>11</v>
      </c>
      <c r="C734" s="337"/>
      <c r="D734" s="337"/>
      <c r="E734" s="338"/>
      <c r="F734" s="339" t="s">
        <v>9</v>
      </c>
      <c r="G734" s="340"/>
      <c r="H734" s="340"/>
      <c r="I734" s="341"/>
      <c r="J734" s="342" t="s">
        <v>12</v>
      </c>
      <c r="K734" s="343"/>
      <c r="L734" s="343"/>
      <c r="M734" s="343"/>
      <c r="N734" s="347" t="s">
        <v>13</v>
      </c>
      <c r="P734" s="2" t="s">
        <v>0</v>
      </c>
      <c r="Q734" s="337" t="s">
        <v>11</v>
      </c>
      <c r="R734" s="337"/>
      <c r="S734" s="337"/>
      <c r="T734" s="338"/>
      <c r="U734" s="339" t="s">
        <v>9</v>
      </c>
      <c r="V734" s="340"/>
      <c r="W734" s="340"/>
      <c r="X734" s="341"/>
      <c r="Y734" s="342" t="s">
        <v>12</v>
      </c>
      <c r="Z734" s="343"/>
      <c r="AA734" s="343"/>
      <c r="AB734" s="343"/>
      <c r="AC734" s="345" t="s">
        <v>13</v>
      </c>
    </row>
    <row r="735" spans="1:31" ht="14.25" thickBot="1" x14ac:dyDescent="0.2">
      <c r="A735" s="100" t="s">
        <v>1</v>
      </c>
      <c r="B735" s="3" t="s">
        <v>7</v>
      </c>
      <c r="C735" s="2" t="s">
        <v>10</v>
      </c>
      <c r="D735" s="2" t="s">
        <v>8</v>
      </c>
      <c r="E735" s="2" t="s">
        <v>2</v>
      </c>
      <c r="F735" s="3" t="s">
        <v>7</v>
      </c>
      <c r="G735" s="2" t="s">
        <v>10</v>
      </c>
      <c r="H735" s="2" t="s">
        <v>8</v>
      </c>
      <c r="I735" s="2" t="s">
        <v>2</v>
      </c>
      <c r="J735" s="3" t="s">
        <v>7</v>
      </c>
      <c r="K735" s="2" t="s">
        <v>10</v>
      </c>
      <c r="L735" s="2" t="s">
        <v>8</v>
      </c>
      <c r="M735" s="3" t="s">
        <v>2</v>
      </c>
      <c r="N735" s="348"/>
      <c r="P735" s="2" t="s">
        <v>1</v>
      </c>
      <c r="Q735" s="3" t="s">
        <v>7</v>
      </c>
      <c r="R735" s="2" t="s">
        <v>10</v>
      </c>
      <c r="S735" s="2" t="s">
        <v>8</v>
      </c>
      <c r="T735" s="2" t="s">
        <v>2</v>
      </c>
      <c r="U735" s="3" t="s">
        <v>7</v>
      </c>
      <c r="V735" s="2" t="s">
        <v>10</v>
      </c>
      <c r="W735" s="2" t="s">
        <v>8</v>
      </c>
      <c r="X735" s="2" t="s">
        <v>2</v>
      </c>
      <c r="Y735" s="3" t="s">
        <v>7</v>
      </c>
      <c r="Z735" s="2" t="s">
        <v>10</v>
      </c>
      <c r="AA735" s="2" t="s">
        <v>8</v>
      </c>
      <c r="AB735" s="2" t="s">
        <v>2</v>
      </c>
      <c r="AC735" s="346"/>
    </row>
    <row r="736" spans="1:31" x14ac:dyDescent="0.15">
      <c r="A736" s="106" t="s">
        <v>6</v>
      </c>
      <c r="B736" s="41">
        <f>B730</f>
        <v>11</v>
      </c>
      <c r="C736" s="41">
        <f t="shared" ref="C736:E736" si="1041">C730</f>
        <v>1</v>
      </c>
      <c r="D736" s="41">
        <f t="shared" si="1041"/>
        <v>15</v>
      </c>
      <c r="E736" s="42">
        <f t="shared" si="1041"/>
        <v>27</v>
      </c>
      <c r="F736" s="41">
        <f>F730</f>
        <v>10</v>
      </c>
      <c r="G736" s="41">
        <f t="shared" ref="G736:I736" si="1042">G730</f>
        <v>9</v>
      </c>
      <c r="H736" s="41">
        <f t="shared" si="1042"/>
        <v>10</v>
      </c>
      <c r="I736" s="42">
        <f t="shared" si="1042"/>
        <v>29</v>
      </c>
      <c r="J736" s="41">
        <f>J730</f>
        <v>11</v>
      </c>
      <c r="K736" s="41">
        <f t="shared" ref="K736:M736" si="1043">K730</f>
        <v>5</v>
      </c>
      <c r="L736" s="41">
        <f t="shared" si="1043"/>
        <v>15</v>
      </c>
      <c r="M736" s="42">
        <f t="shared" si="1043"/>
        <v>31</v>
      </c>
      <c r="N736" s="143">
        <f>E736+I736+M736</f>
        <v>87</v>
      </c>
      <c r="P736" s="36" t="s">
        <v>6</v>
      </c>
      <c r="Q736" s="41">
        <f>Q730</f>
        <v>672</v>
      </c>
      <c r="R736" s="41">
        <f t="shared" ref="R736:AC736" si="1044">R730</f>
        <v>906</v>
      </c>
      <c r="S736" s="41">
        <f t="shared" si="1044"/>
        <v>740</v>
      </c>
      <c r="T736" s="42">
        <f t="shared" si="1044"/>
        <v>2318</v>
      </c>
      <c r="U736" s="41">
        <f t="shared" si="1044"/>
        <v>638</v>
      </c>
      <c r="V736" s="41">
        <f t="shared" si="1044"/>
        <v>918</v>
      </c>
      <c r="W736" s="41">
        <f t="shared" si="1044"/>
        <v>818</v>
      </c>
      <c r="X736" s="42">
        <f t="shared" si="1044"/>
        <v>2374</v>
      </c>
      <c r="Y736" s="41">
        <f t="shared" si="1044"/>
        <v>622</v>
      </c>
      <c r="Z736" s="41">
        <f t="shared" si="1044"/>
        <v>880</v>
      </c>
      <c r="AA736" s="41">
        <f t="shared" si="1044"/>
        <v>762</v>
      </c>
      <c r="AB736" s="42">
        <f t="shared" si="1044"/>
        <v>2264</v>
      </c>
      <c r="AC736" s="90">
        <f t="shared" si="1044"/>
        <v>6956</v>
      </c>
    </row>
    <row r="737" spans="1:31" x14ac:dyDescent="0.15">
      <c r="A737" s="102" t="s">
        <v>3</v>
      </c>
      <c r="B737" s="25"/>
      <c r="C737" s="26">
        <v>10</v>
      </c>
      <c r="D737" s="26"/>
      <c r="E737" s="5">
        <f t="shared" ref="E737:E772" si="1045">SUM(B737:D737)</f>
        <v>10</v>
      </c>
      <c r="F737" s="25"/>
      <c r="G737" s="26"/>
      <c r="H737" s="26"/>
      <c r="I737" s="5">
        <f t="shared" ref="I737:I772" si="1046">SUM(F737:H737)</f>
        <v>0</v>
      </c>
      <c r="J737" s="25"/>
      <c r="K737" s="26">
        <v>10</v>
      </c>
      <c r="L737" s="26"/>
      <c r="M737" s="38">
        <f t="shared" ref="M737:M772" si="1047">SUM(J737:L737)</f>
        <v>10</v>
      </c>
      <c r="N737" s="138">
        <f t="shared" ref="N737:N773" si="1048">E737+I737+M737</f>
        <v>20</v>
      </c>
      <c r="O737" s="24">
        <v>45695</v>
      </c>
      <c r="P737" s="6" t="s">
        <v>3</v>
      </c>
      <c r="Q737" s="14"/>
      <c r="R737" s="11"/>
      <c r="S737" s="11"/>
      <c r="T737" s="5">
        <f t="shared" ref="T737:T769" si="1049">SUM(Q737:S737)</f>
        <v>0</v>
      </c>
      <c r="U737" s="14"/>
      <c r="V737" s="11"/>
      <c r="W737" s="11"/>
      <c r="X737" s="5">
        <f t="shared" ref="X737:X769" si="1050">SUM(U737:W737)</f>
        <v>0</v>
      </c>
      <c r="Y737" s="25"/>
      <c r="Z737" s="26"/>
      <c r="AA737" s="26"/>
      <c r="AB737" s="5">
        <f t="shared" ref="AB737:AB769" si="1051">SUM(Y737:AA737)</f>
        <v>0</v>
      </c>
      <c r="AC737" s="86">
        <f t="shared" ref="AC737:AC769" si="1052">T737+X737+AB737</f>
        <v>0</v>
      </c>
    </row>
    <row r="738" spans="1:31" x14ac:dyDescent="0.15">
      <c r="A738" s="102" t="s">
        <v>3</v>
      </c>
      <c r="B738" s="14"/>
      <c r="C738" s="11">
        <v>10</v>
      </c>
      <c r="D738" s="11"/>
      <c r="E738" s="5">
        <f t="shared" si="1045"/>
        <v>10</v>
      </c>
      <c r="F738" s="34"/>
      <c r="G738" s="11">
        <v>10</v>
      </c>
      <c r="H738" s="11">
        <v>10</v>
      </c>
      <c r="I738" s="5">
        <f t="shared" si="1046"/>
        <v>20</v>
      </c>
      <c r="J738" s="34"/>
      <c r="K738" s="11"/>
      <c r="L738" s="11"/>
      <c r="M738" s="38">
        <f t="shared" si="1047"/>
        <v>0</v>
      </c>
      <c r="N738" s="138">
        <f t="shared" si="1048"/>
        <v>30</v>
      </c>
      <c r="O738" s="24">
        <v>45700</v>
      </c>
      <c r="P738" s="6" t="s">
        <v>3</v>
      </c>
      <c r="Q738" s="14"/>
      <c r="R738" s="11"/>
      <c r="S738" s="11"/>
      <c r="T738" s="5">
        <f t="shared" ref="T738:T739" si="1053">SUM(Q738:S738)</f>
        <v>0</v>
      </c>
      <c r="U738" s="14"/>
      <c r="V738" s="11"/>
      <c r="W738" s="11"/>
      <c r="X738" s="5">
        <f t="shared" ref="X738:X739" si="1054">SUM(U738:W738)</f>
        <v>0</v>
      </c>
      <c r="Y738" s="25"/>
      <c r="Z738" s="26"/>
      <c r="AA738" s="26"/>
      <c r="AB738" s="5">
        <f t="shared" ref="AB738:AB739" si="1055">SUM(Y738:AA738)</f>
        <v>0</v>
      </c>
      <c r="AC738" s="86">
        <f t="shared" ref="AC738:AC739" si="1056">T738+X738+AB738</f>
        <v>0</v>
      </c>
    </row>
    <row r="739" spans="1:31" x14ac:dyDescent="0.15">
      <c r="A739" s="102" t="s">
        <v>3</v>
      </c>
      <c r="B739" s="14">
        <v>15</v>
      </c>
      <c r="C739" s="11"/>
      <c r="D739" s="11"/>
      <c r="E739" s="5">
        <f t="shared" si="1045"/>
        <v>15</v>
      </c>
      <c r="F739" s="34">
        <v>15</v>
      </c>
      <c r="G739" s="11"/>
      <c r="H739" s="11"/>
      <c r="I739" s="5">
        <f t="shared" si="1046"/>
        <v>15</v>
      </c>
      <c r="J739" s="34">
        <v>15</v>
      </c>
      <c r="K739" s="11"/>
      <c r="L739" s="11"/>
      <c r="M739" s="38">
        <f t="shared" si="1047"/>
        <v>15</v>
      </c>
      <c r="N739" s="138">
        <f t="shared" si="1048"/>
        <v>45</v>
      </c>
      <c r="O739" s="24">
        <v>45701</v>
      </c>
      <c r="P739" s="6" t="s">
        <v>3</v>
      </c>
      <c r="Q739" s="14"/>
      <c r="R739" s="11"/>
      <c r="S739" s="11"/>
      <c r="T739" s="5">
        <f t="shared" si="1053"/>
        <v>0</v>
      </c>
      <c r="U739" s="14"/>
      <c r="V739" s="11"/>
      <c r="W739" s="11"/>
      <c r="X739" s="5">
        <f t="shared" si="1054"/>
        <v>0</v>
      </c>
      <c r="Y739" s="25"/>
      <c r="Z739" s="26"/>
      <c r="AA739" s="26"/>
      <c r="AB739" s="5">
        <f t="shared" si="1055"/>
        <v>0</v>
      </c>
      <c r="AC739" s="86">
        <f t="shared" si="1056"/>
        <v>0</v>
      </c>
    </row>
    <row r="740" spans="1:31" x14ac:dyDescent="0.15">
      <c r="A740" s="102" t="s">
        <v>57</v>
      </c>
      <c r="B740" s="14"/>
      <c r="C740" s="11"/>
      <c r="D740" s="11">
        <v>1</v>
      </c>
      <c r="E740" s="5">
        <f t="shared" si="1045"/>
        <v>1</v>
      </c>
      <c r="F740" s="34"/>
      <c r="G740" s="11"/>
      <c r="H740" s="11">
        <v>1</v>
      </c>
      <c r="I740" s="5">
        <f t="shared" si="1046"/>
        <v>1</v>
      </c>
      <c r="J740" s="34"/>
      <c r="K740" s="11"/>
      <c r="L740" s="11"/>
      <c r="M740" s="38">
        <f t="shared" si="1047"/>
        <v>0</v>
      </c>
      <c r="N740" s="138">
        <f t="shared" si="1048"/>
        <v>2</v>
      </c>
      <c r="O740" s="24">
        <v>45702</v>
      </c>
      <c r="P740" s="6" t="s">
        <v>3</v>
      </c>
      <c r="Q740" s="14"/>
      <c r="R740" s="11"/>
      <c r="S740" s="11"/>
      <c r="T740" s="5">
        <f t="shared" si="1049"/>
        <v>0</v>
      </c>
      <c r="U740" s="14"/>
      <c r="V740" s="11"/>
      <c r="W740" s="11"/>
      <c r="X740" s="5">
        <f t="shared" si="1050"/>
        <v>0</v>
      </c>
      <c r="Y740" s="25"/>
      <c r="Z740" s="26"/>
      <c r="AA740" s="26"/>
      <c r="AB740" s="5">
        <f t="shared" si="1051"/>
        <v>0</v>
      </c>
      <c r="AC740" s="86">
        <f t="shared" si="1052"/>
        <v>0</v>
      </c>
    </row>
    <row r="741" spans="1:31" x14ac:dyDescent="0.15">
      <c r="A741" s="102" t="s">
        <v>3</v>
      </c>
      <c r="B741" s="14">
        <v>15</v>
      </c>
      <c r="C741" s="11"/>
      <c r="D741" s="11"/>
      <c r="E741" s="5">
        <f t="shared" si="1045"/>
        <v>15</v>
      </c>
      <c r="F741" s="34">
        <v>15</v>
      </c>
      <c r="G741" s="11"/>
      <c r="H741" s="11"/>
      <c r="I741" s="5">
        <f t="shared" si="1046"/>
        <v>15</v>
      </c>
      <c r="J741" s="34">
        <v>15</v>
      </c>
      <c r="K741" s="11"/>
      <c r="L741" s="11"/>
      <c r="M741" s="38">
        <f t="shared" si="1047"/>
        <v>15</v>
      </c>
      <c r="N741" s="138">
        <f t="shared" si="1048"/>
        <v>45</v>
      </c>
      <c r="O741" s="24">
        <v>45703</v>
      </c>
      <c r="P741" s="6" t="s">
        <v>3</v>
      </c>
      <c r="Q741" s="14"/>
      <c r="R741" s="11"/>
      <c r="S741" s="11"/>
      <c r="T741" s="5">
        <f t="shared" si="1049"/>
        <v>0</v>
      </c>
      <c r="U741" s="14"/>
      <c r="V741" s="11"/>
      <c r="W741" s="11"/>
      <c r="X741" s="5">
        <f t="shared" si="1050"/>
        <v>0</v>
      </c>
      <c r="Y741" s="25"/>
      <c r="Z741" s="26"/>
      <c r="AA741" s="26"/>
      <c r="AB741" s="5">
        <f t="shared" si="1051"/>
        <v>0</v>
      </c>
      <c r="AC741" s="86">
        <f t="shared" si="1052"/>
        <v>0</v>
      </c>
    </row>
    <row r="742" spans="1:31" x14ac:dyDescent="0.15">
      <c r="A742" s="102" t="s">
        <v>709</v>
      </c>
      <c r="B742" s="25"/>
      <c r="C742" s="26"/>
      <c r="D742" s="26"/>
      <c r="E742" s="8">
        <f t="shared" si="1045"/>
        <v>0</v>
      </c>
      <c r="F742" s="25"/>
      <c r="G742" s="26">
        <v>1</v>
      </c>
      <c r="H742" s="26"/>
      <c r="I742" s="8">
        <f t="shared" si="1046"/>
        <v>1</v>
      </c>
      <c r="J742" s="25"/>
      <c r="K742" s="26"/>
      <c r="L742" s="26">
        <v>1</v>
      </c>
      <c r="M742" s="39">
        <f t="shared" si="1047"/>
        <v>1</v>
      </c>
      <c r="N742" s="138">
        <f t="shared" si="1048"/>
        <v>2</v>
      </c>
      <c r="O742" s="70">
        <v>45707</v>
      </c>
      <c r="P742" s="6" t="s">
        <v>3</v>
      </c>
      <c r="Q742" s="14"/>
      <c r="R742" s="11"/>
      <c r="S742" s="11"/>
      <c r="T742" s="5">
        <f t="shared" si="1049"/>
        <v>0</v>
      </c>
      <c r="U742" s="14"/>
      <c r="V742" s="11"/>
      <c r="W742" s="11"/>
      <c r="X742" s="5">
        <f t="shared" si="1050"/>
        <v>0</v>
      </c>
      <c r="Y742" s="25"/>
      <c r="Z742" s="26"/>
      <c r="AA742" s="26"/>
      <c r="AB742" s="8">
        <f t="shared" si="1051"/>
        <v>0</v>
      </c>
      <c r="AC742" s="86">
        <f t="shared" si="1052"/>
        <v>0</v>
      </c>
    </row>
    <row r="743" spans="1:31" x14ac:dyDescent="0.15">
      <c r="A743" s="102" t="s">
        <v>3</v>
      </c>
      <c r="B743" s="27"/>
      <c r="C743" s="26">
        <v>5</v>
      </c>
      <c r="D743" s="26">
        <v>10</v>
      </c>
      <c r="E743" s="5">
        <f t="shared" si="1045"/>
        <v>15</v>
      </c>
      <c r="F743" s="25"/>
      <c r="G743" s="26">
        <v>4</v>
      </c>
      <c r="H743" s="26">
        <v>5</v>
      </c>
      <c r="I743" s="5">
        <f t="shared" si="1046"/>
        <v>9</v>
      </c>
      <c r="J743" s="25"/>
      <c r="K743" s="26">
        <v>10</v>
      </c>
      <c r="L743" s="26">
        <v>10</v>
      </c>
      <c r="M743" s="38">
        <f t="shared" si="1047"/>
        <v>20</v>
      </c>
      <c r="N743" s="138">
        <f t="shared" si="1048"/>
        <v>44</v>
      </c>
      <c r="O743" s="24">
        <v>45708</v>
      </c>
      <c r="P743" s="6" t="s">
        <v>3</v>
      </c>
      <c r="Q743" s="27"/>
      <c r="R743" s="26"/>
      <c r="S743" s="26"/>
      <c r="T743" s="5">
        <f t="shared" si="1049"/>
        <v>0</v>
      </c>
      <c r="U743" s="27"/>
      <c r="V743" s="26"/>
      <c r="W743" s="26"/>
      <c r="X743" s="5">
        <f t="shared" si="1050"/>
        <v>0</v>
      </c>
      <c r="Y743" s="25"/>
      <c r="Z743" s="26"/>
      <c r="AA743" s="26"/>
      <c r="AB743" s="5">
        <f t="shared" si="1051"/>
        <v>0</v>
      </c>
      <c r="AC743" s="86">
        <f t="shared" si="1052"/>
        <v>0</v>
      </c>
    </row>
    <row r="744" spans="1:31" x14ac:dyDescent="0.15">
      <c r="A744" s="102" t="s">
        <v>3</v>
      </c>
      <c r="B744" s="27"/>
      <c r="C744" s="26"/>
      <c r="D744" s="26"/>
      <c r="E744" s="5">
        <f t="shared" si="1045"/>
        <v>0</v>
      </c>
      <c r="F744" s="25"/>
      <c r="G744" s="26"/>
      <c r="H744" s="26"/>
      <c r="I744" s="5">
        <f t="shared" si="1046"/>
        <v>0</v>
      </c>
      <c r="J744" s="25"/>
      <c r="K744" s="26"/>
      <c r="L744" s="26"/>
      <c r="M744" s="38">
        <f t="shared" si="1047"/>
        <v>0</v>
      </c>
      <c r="N744" s="138">
        <f t="shared" si="1048"/>
        <v>0</v>
      </c>
      <c r="O744" s="58"/>
      <c r="P744" s="6" t="s">
        <v>3</v>
      </c>
      <c r="Q744" s="14"/>
      <c r="R744" s="11"/>
      <c r="S744" s="11"/>
      <c r="T744" s="5">
        <f t="shared" si="1049"/>
        <v>0</v>
      </c>
      <c r="U744" s="14"/>
      <c r="V744" s="11"/>
      <c r="W744" s="11"/>
      <c r="X744" s="5">
        <f t="shared" si="1050"/>
        <v>0</v>
      </c>
      <c r="Y744" s="25"/>
      <c r="Z744" s="26"/>
      <c r="AA744" s="26"/>
      <c r="AB744" s="8">
        <f t="shared" si="1051"/>
        <v>0</v>
      </c>
      <c r="AC744" s="86">
        <f t="shared" si="1052"/>
        <v>0</v>
      </c>
    </row>
    <row r="745" spans="1:31" x14ac:dyDescent="0.15">
      <c r="A745" s="102" t="s">
        <v>3</v>
      </c>
      <c r="B745" s="27"/>
      <c r="C745" s="26"/>
      <c r="D745" s="26"/>
      <c r="E745" s="5">
        <f t="shared" si="1045"/>
        <v>0</v>
      </c>
      <c r="F745" s="25"/>
      <c r="G745" s="26"/>
      <c r="H745" s="26"/>
      <c r="I745" s="5">
        <f t="shared" si="1046"/>
        <v>0</v>
      </c>
      <c r="J745" s="25"/>
      <c r="K745" s="26"/>
      <c r="L745" s="26"/>
      <c r="M745" s="38">
        <f t="shared" si="1047"/>
        <v>0</v>
      </c>
      <c r="N745" s="138">
        <f t="shared" si="1048"/>
        <v>0</v>
      </c>
      <c r="O745" s="58"/>
      <c r="P745" s="6" t="s">
        <v>3</v>
      </c>
      <c r="Q745" s="27"/>
      <c r="R745" s="26"/>
      <c r="S745" s="26"/>
      <c r="T745" s="5">
        <f t="shared" si="1049"/>
        <v>0</v>
      </c>
      <c r="U745" s="27"/>
      <c r="V745" s="26"/>
      <c r="W745" s="26"/>
      <c r="X745" s="5">
        <f t="shared" si="1050"/>
        <v>0</v>
      </c>
      <c r="Y745" s="25"/>
      <c r="Z745" s="26"/>
      <c r="AA745" s="26"/>
      <c r="AB745" s="5">
        <f t="shared" si="1051"/>
        <v>0</v>
      </c>
      <c r="AC745" s="86">
        <f t="shared" si="1052"/>
        <v>0</v>
      </c>
    </row>
    <row r="746" spans="1:31" ht="14.25" thickBot="1" x14ac:dyDescent="0.2">
      <c r="A746" s="102" t="s">
        <v>3</v>
      </c>
      <c r="B746" s="28"/>
      <c r="C746" s="29"/>
      <c r="D746" s="32"/>
      <c r="E746" s="15">
        <f t="shared" si="1045"/>
        <v>0</v>
      </c>
      <c r="F746" s="35"/>
      <c r="G746" s="29"/>
      <c r="H746" s="32"/>
      <c r="I746" s="15">
        <f t="shared" si="1046"/>
        <v>0</v>
      </c>
      <c r="J746" s="35"/>
      <c r="K746" s="29"/>
      <c r="L746" s="32"/>
      <c r="M746" s="40">
        <f t="shared" si="1047"/>
        <v>0</v>
      </c>
      <c r="N746" s="139">
        <f t="shared" si="1048"/>
        <v>0</v>
      </c>
      <c r="P746" s="7" t="s">
        <v>3</v>
      </c>
      <c r="Q746" s="28"/>
      <c r="R746" s="29"/>
      <c r="S746" s="29"/>
      <c r="T746" s="15">
        <f t="shared" si="1049"/>
        <v>0</v>
      </c>
      <c r="U746" s="28"/>
      <c r="V746" s="29"/>
      <c r="W746" s="29"/>
      <c r="X746" s="15">
        <f t="shared" si="1050"/>
        <v>0</v>
      </c>
      <c r="Y746" s="35"/>
      <c r="Z746" s="29"/>
      <c r="AA746" s="32"/>
      <c r="AB746" s="15">
        <f t="shared" si="1051"/>
        <v>0</v>
      </c>
      <c r="AC746" s="87">
        <f t="shared" si="1052"/>
        <v>0</v>
      </c>
    </row>
    <row r="747" spans="1:31" ht="14.25" thickBot="1" x14ac:dyDescent="0.2">
      <c r="A747" s="103" t="s">
        <v>4</v>
      </c>
      <c r="B747" s="17">
        <f>SUM(B736:B746)</f>
        <v>41</v>
      </c>
      <c r="C747" s="17">
        <f>SUM(C736:C746)</f>
        <v>26</v>
      </c>
      <c r="D747" s="17">
        <f>SUM(D736:D746)</f>
        <v>26</v>
      </c>
      <c r="E747" s="18">
        <f t="shared" si="1045"/>
        <v>93</v>
      </c>
      <c r="F747" s="17">
        <f>SUM(F736:F746)</f>
        <v>40</v>
      </c>
      <c r="G747" s="17">
        <f>SUM(G736:G746)</f>
        <v>24</v>
      </c>
      <c r="H747" s="17">
        <f>SUM(H736:H746)</f>
        <v>26</v>
      </c>
      <c r="I747" s="18">
        <f t="shared" si="1046"/>
        <v>90</v>
      </c>
      <c r="J747" s="17">
        <f>SUM(J736:J746)</f>
        <v>41</v>
      </c>
      <c r="K747" s="17">
        <f>SUM(K736:K746)</f>
        <v>25</v>
      </c>
      <c r="L747" s="17">
        <f>SUM(L736:L746)</f>
        <v>26</v>
      </c>
      <c r="M747" s="20">
        <f t="shared" si="1047"/>
        <v>92</v>
      </c>
      <c r="N747" s="140">
        <f t="shared" si="1048"/>
        <v>275</v>
      </c>
      <c r="P747" s="16" t="s">
        <v>4</v>
      </c>
      <c r="Q747" s="17">
        <f>SUM(Q736:Q746)</f>
        <v>672</v>
      </c>
      <c r="R747" s="17">
        <f t="shared" ref="R747" si="1057">SUM(R736:R746)</f>
        <v>906</v>
      </c>
      <c r="S747" s="17">
        <f t="shared" ref="S747" si="1058">SUM(S736:S746)</f>
        <v>740</v>
      </c>
      <c r="T747" s="18">
        <f t="shared" ref="T747" si="1059">SUM(T736:T746)</f>
        <v>2318</v>
      </c>
      <c r="U747" s="17">
        <f t="shared" ref="U747" si="1060">SUM(U736:U746)</f>
        <v>638</v>
      </c>
      <c r="V747" s="17">
        <f t="shared" ref="V747" si="1061">SUM(V736:V746)</f>
        <v>918</v>
      </c>
      <c r="W747" s="17">
        <f t="shared" ref="W747" si="1062">SUM(W736:W746)</f>
        <v>818</v>
      </c>
      <c r="X747" s="18">
        <f t="shared" ref="X747" si="1063">SUM(X736:X746)</f>
        <v>2374</v>
      </c>
      <c r="Y747" s="17">
        <f t="shared" ref="Y747" si="1064">SUM(Y736:Y746)</f>
        <v>622</v>
      </c>
      <c r="Z747" s="17">
        <f t="shared" ref="Z747" si="1065">SUM(Z736:Z746)</f>
        <v>880</v>
      </c>
      <c r="AA747" s="17">
        <f t="shared" ref="AA747" si="1066">SUM(AA736:AA746)</f>
        <v>762</v>
      </c>
      <c r="AB747" s="18">
        <f t="shared" ref="AB747" si="1067">SUM(AB736:AB746)</f>
        <v>2264</v>
      </c>
      <c r="AC747" s="88">
        <f t="shared" ref="AC747" si="1068">SUM(AC736:AC746)</f>
        <v>6956</v>
      </c>
    </row>
    <row r="748" spans="1:31" x14ac:dyDescent="0.15">
      <c r="A748" s="4" t="s">
        <v>682</v>
      </c>
      <c r="B748" s="9"/>
      <c r="C748" s="10">
        <v>1</v>
      </c>
      <c r="D748" s="10"/>
      <c r="E748" s="8">
        <f t="shared" ref="E748" si="1069">SUM(B748:D748)</f>
        <v>1</v>
      </c>
      <c r="F748" s="9"/>
      <c r="G748" s="10">
        <v>1</v>
      </c>
      <c r="H748" s="10"/>
      <c r="I748" s="8">
        <f t="shared" ref="I748" si="1070">SUM(F748:H748)</f>
        <v>1</v>
      </c>
      <c r="J748" s="9"/>
      <c r="K748" s="10">
        <v>1</v>
      </c>
      <c r="L748" s="10"/>
      <c r="M748" s="39">
        <f t="shared" ref="M748" si="1071">SUM(J748:L748)</f>
        <v>1</v>
      </c>
      <c r="N748" s="138">
        <f t="shared" si="1048"/>
        <v>3</v>
      </c>
      <c r="O748" s="24">
        <v>45698</v>
      </c>
      <c r="P748" s="4" t="s">
        <v>522</v>
      </c>
      <c r="Q748" s="77">
        <v>8</v>
      </c>
      <c r="R748" s="78">
        <v>18</v>
      </c>
      <c r="S748" s="78">
        <v>9</v>
      </c>
      <c r="T748" s="5">
        <f t="shared" si="1049"/>
        <v>35</v>
      </c>
      <c r="U748" s="77">
        <v>8</v>
      </c>
      <c r="V748" s="78">
        <v>18</v>
      </c>
      <c r="W748" s="78">
        <v>9</v>
      </c>
      <c r="X748" s="5">
        <f t="shared" si="1050"/>
        <v>35</v>
      </c>
      <c r="Y748" s="77">
        <v>8</v>
      </c>
      <c r="Z748" s="78">
        <v>18</v>
      </c>
      <c r="AA748" s="78">
        <v>9</v>
      </c>
      <c r="AB748" s="5">
        <f t="shared" si="1051"/>
        <v>35</v>
      </c>
      <c r="AC748" s="91">
        <f t="shared" si="1052"/>
        <v>105</v>
      </c>
      <c r="AD748" s="109">
        <v>45709</v>
      </c>
    </row>
    <row r="749" spans="1:31" x14ac:dyDescent="0.15">
      <c r="A749" s="33" t="s">
        <v>683</v>
      </c>
      <c r="B749" s="9"/>
      <c r="C749" s="10">
        <v>4</v>
      </c>
      <c r="D749" s="10">
        <v>5</v>
      </c>
      <c r="E749" s="5">
        <f t="shared" si="1045"/>
        <v>9</v>
      </c>
      <c r="F749" s="9"/>
      <c r="G749" s="10">
        <v>4</v>
      </c>
      <c r="H749" s="10">
        <v>5</v>
      </c>
      <c r="I749" s="5">
        <f t="shared" si="1046"/>
        <v>9</v>
      </c>
      <c r="J749" s="9"/>
      <c r="K749" s="10">
        <v>4</v>
      </c>
      <c r="L749" s="10">
        <v>5</v>
      </c>
      <c r="M749" s="38">
        <f t="shared" si="1047"/>
        <v>9</v>
      </c>
      <c r="N749" s="138">
        <f t="shared" si="1048"/>
        <v>27</v>
      </c>
      <c r="O749" s="24">
        <v>45700</v>
      </c>
      <c r="P749" s="4" t="s">
        <v>681</v>
      </c>
      <c r="Q749" s="9">
        <v>4</v>
      </c>
      <c r="R749" s="10">
        <v>7</v>
      </c>
      <c r="S749" s="10"/>
      <c r="T749" s="5">
        <f t="shared" si="1049"/>
        <v>11</v>
      </c>
      <c r="U749" s="9">
        <v>4</v>
      </c>
      <c r="V749" s="10">
        <v>7</v>
      </c>
      <c r="W749" s="10"/>
      <c r="X749" s="5">
        <f t="shared" si="1050"/>
        <v>11</v>
      </c>
      <c r="Y749" s="9">
        <v>4</v>
      </c>
      <c r="Z749" s="10">
        <v>7</v>
      </c>
      <c r="AA749" s="10"/>
      <c r="AB749" s="5">
        <f t="shared" si="1051"/>
        <v>11</v>
      </c>
      <c r="AC749" s="86">
        <f t="shared" si="1052"/>
        <v>33</v>
      </c>
      <c r="AD749" s="109">
        <v>45698</v>
      </c>
    </row>
    <row r="750" spans="1:31" x14ac:dyDescent="0.15">
      <c r="A750" s="33" t="s">
        <v>687</v>
      </c>
      <c r="B750" s="9">
        <v>2</v>
      </c>
      <c r="C750" s="10">
        <v>2</v>
      </c>
      <c r="D750" s="10">
        <v>1</v>
      </c>
      <c r="E750" s="5">
        <f t="shared" si="1045"/>
        <v>5</v>
      </c>
      <c r="F750" s="9">
        <v>2</v>
      </c>
      <c r="G750" s="10">
        <v>2</v>
      </c>
      <c r="H750" s="10">
        <v>1</v>
      </c>
      <c r="I750" s="5">
        <f t="shared" si="1046"/>
        <v>5</v>
      </c>
      <c r="J750" s="9">
        <v>2</v>
      </c>
      <c r="K750" s="10">
        <v>2</v>
      </c>
      <c r="L750" s="10">
        <v>1</v>
      </c>
      <c r="M750" s="38">
        <f t="shared" si="1047"/>
        <v>5</v>
      </c>
      <c r="N750" s="138">
        <f t="shared" si="1048"/>
        <v>15</v>
      </c>
      <c r="O750" s="24">
        <v>45702</v>
      </c>
      <c r="P750" s="11" t="s">
        <v>27</v>
      </c>
      <c r="Q750" s="9"/>
      <c r="R750" s="10">
        <v>10</v>
      </c>
      <c r="S750" s="10"/>
      <c r="T750" s="5">
        <f t="shared" ref="T750" si="1072">SUM(Q750:S750)</f>
        <v>10</v>
      </c>
      <c r="U750" s="9"/>
      <c r="V750" s="10"/>
      <c r="W750" s="10"/>
      <c r="X750" s="5">
        <f t="shared" ref="X750" si="1073">SUM(U750:W750)</f>
        <v>0</v>
      </c>
      <c r="Y750" s="9"/>
      <c r="Z750" s="10">
        <v>10</v>
      </c>
      <c r="AA750" s="10"/>
      <c r="AB750" s="5">
        <f t="shared" ref="AB750" si="1074">SUM(Y750:AA750)</f>
        <v>10</v>
      </c>
      <c r="AC750" s="86">
        <f t="shared" si="1052"/>
        <v>20</v>
      </c>
      <c r="AD750" s="109">
        <v>45695</v>
      </c>
      <c r="AE750" s="58"/>
    </row>
    <row r="751" spans="1:31" x14ac:dyDescent="0.15">
      <c r="A751" s="4" t="s">
        <v>692</v>
      </c>
      <c r="B751" s="9">
        <v>10</v>
      </c>
      <c r="C751" s="10"/>
      <c r="D751" s="10"/>
      <c r="E751" s="5">
        <f t="shared" si="1045"/>
        <v>10</v>
      </c>
      <c r="F751" s="9">
        <v>10</v>
      </c>
      <c r="G751" s="10"/>
      <c r="H751" s="10"/>
      <c r="I751" s="5">
        <f t="shared" si="1046"/>
        <v>10</v>
      </c>
      <c r="J751" s="9">
        <v>10</v>
      </c>
      <c r="K751" s="10"/>
      <c r="L751" s="10"/>
      <c r="M751" s="38">
        <f t="shared" si="1047"/>
        <v>10</v>
      </c>
      <c r="N751" s="138">
        <f t="shared" si="1048"/>
        <v>30</v>
      </c>
      <c r="O751" s="24">
        <v>45702</v>
      </c>
      <c r="P751" s="4" t="s">
        <v>684</v>
      </c>
      <c r="Q751" s="9">
        <v>5</v>
      </c>
      <c r="R751" s="10">
        <v>3</v>
      </c>
      <c r="S751" s="10">
        <v>2</v>
      </c>
      <c r="T751" s="5">
        <f t="shared" si="1049"/>
        <v>10</v>
      </c>
      <c r="U751" s="9">
        <v>5</v>
      </c>
      <c r="V751" s="10">
        <v>3</v>
      </c>
      <c r="W751" s="10">
        <v>2</v>
      </c>
      <c r="X751" s="5">
        <f t="shared" si="1050"/>
        <v>10</v>
      </c>
      <c r="Y751" s="9">
        <v>5</v>
      </c>
      <c r="Z751" s="10">
        <v>3</v>
      </c>
      <c r="AA751" s="10">
        <v>2</v>
      </c>
      <c r="AB751" s="5">
        <f t="shared" si="1051"/>
        <v>10</v>
      </c>
      <c r="AC751" s="86">
        <f t="shared" si="1052"/>
        <v>30</v>
      </c>
      <c r="AD751" s="109">
        <v>45700</v>
      </c>
      <c r="AE751" s="58"/>
    </row>
    <row r="752" spans="1:31" x14ac:dyDescent="0.15">
      <c r="A752" s="4" t="s">
        <v>694</v>
      </c>
      <c r="B752" s="9">
        <v>5</v>
      </c>
      <c r="C752" s="10"/>
      <c r="D752" s="10"/>
      <c r="E752" s="8">
        <f t="shared" ref="E752" si="1075">SUM(B752:D752)</f>
        <v>5</v>
      </c>
      <c r="F752" s="9">
        <v>5</v>
      </c>
      <c r="G752" s="10"/>
      <c r="H752" s="10"/>
      <c r="I752" s="8">
        <f t="shared" ref="I752" si="1076">SUM(F752:H752)</f>
        <v>5</v>
      </c>
      <c r="J752" s="9">
        <v>5</v>
      </c>
      <c r="K752" s="10"/>
      <c r="L752" s="10"/>
      <c r="M752" s="8">
        <f t="shared" ref="M752" si="1077">SUM(J752:L752)</f>
        <v>5</v>
      </c>
      <c r="N752" s="145">
        <f t="shared" si="1048"/>
        <v>15</v>
      </c>
      <c r="O752" s="24">
        <v>45701</v>
      </c>
      <c r="P752" s="4" t="s">
        <v>685</v>
      </c>
      <c r="Q752" s="9">
        <v>1</v>
      </c>
      <c r="R752" s="10">
        <v>9</v>
      </c>
      <c r="S752" s="10"/>
      <c r="T752" s="5">
        <f t="shared" si="1049"/>
        <v>10</v>
      </c>
      <c r="U752" s="9">
        <v>1</v>
      </c>
      <c r="V752" s="10">
        <v>9</v>
      </c>
      <c r="W752" s="10"/>
      <c r="X752" s="5">
        <f t="shared" si="1050"/>
        <v>10</v>
      </c>
      <c r="Y752" s="9">
        <v>1</v>
      </c>
      <c r="Z752" s="10">
        <v>9</v>
      </c>
      <c r="AA752" s="10"/>
      <c r="AB752" s="5">
        <f t="shared" si="1051"/>
        <v>10</v>
      </c>
      <c r="AC752" s="86">
        <f t="shared" si="1052"/>
        <v>30</v>
      </c>
      <c r="AD752" s="109">
        <v>45700</v>
      </c>
    </row>
    <row r="753" spans="1:31" x14ac:dyDescent="0.15">
      <c r="A753" s="4" t="s">
        <v>697</v>
      </c>
      <c r="B753" s="9"/>
      <c r="C753" s="10"/>
      <c r="D753" s="10">
        <v>1</v>
      </c>
      <c r="E753" s="8">
        <f t="shared" si="1045"/>
        <v>1</v>
      </c>
      <c r="F753" s="9"/>
      <c r="G753" s="10"/>
      <c r="H753" s="10">
        <v>1</v>
      </c>
      <c r="I753" s="8">
        <f t="shared" si="1046"/>
        <v>1</v>
      </c>
      <c r="J753" s="9"/>
      <c r="K753" s="10"/>
      <c r="L753" s="10">
        <v>1</v>
      </c>
      <c r="M753" s="39">
        <f t="shared" si="1047"/>
        <v>1</v>
      </c>
      <c r="N753" s="138">
        <f t="shared" si="1048"/>
        <v>3</v>
      </c>
      <c r="O753" s="24">
        <v>45702</v>
      </c>
      <c r="P753" s="4" t="s">
        <v>686</v>
      </c>
      <c r="Q753" s="9">
        <v>6</v>
      </c>
      <c r="R753" s="10">
        <v>22</v>
      </c>
      <c r="S753" s="10">
        <v>7</v>
      </c>
      <c r="T753" s="8">
        <f t="shared" si="1049"/>
        <v>35</v>
      </c>
      <c r="U753" s="9">
        <v>6</v>
      </c>
      <c r="V753" s="10">
        <v>22</v>
      </c>
      <c r="W753" s="10">
        <v>7</v>
      </c>
      <c r="X753" s="8">
        <f t="shared" si="1050"/>
        <v>35</v>
      </c>
      <c r="Y753" s="9">
        <v>6</v>
      </c>
      <c r="Z753" s="10">
        <v>22</v>
      </c>
      <c r="AA753" s="10">
        <v>7</v>
      </c>
      <c r="AB753" s="8">
        <f t="shared" si="1051"/>
        <v>35</v>
      </c>
      <c r="AC753" s="86">
        <f t="shared" si="1052"/>
        <v>105</v>
      </c>
      <c r="AD753" s="109">
        <v>45701</v>
      </c>
    </row>
    <row r="754" spans="1:31" x14ac:dyDescent="0.15">
      <c r="A754" s="4" t="s">
        <v>700</v>
      </c>
      <c r="B754" s="9">
        <v>5</v>
      </c>
      <c r="C754" s="10"/>
      <c r="D754" s="10"/>
      <c r="E754" s="8">
        <f t="shared" si="1045"/>
        <v>5</v>
      </c>
      <c r="F754" s="9">
        <v>5</v>
      </c>
      <c r="G754" s="10"/>
      <c r="H754" s="10"/>
      <c r="I754" s="8">
        <f t="shared" si="1046"/>
        <v>5</v>
      </c>
      <c r="J754" s="9">
        <v>5</v>
      </c>
      <c r="K754" s="10"/>
      <c r="L754" s="10"/>
      <c r="M754" s="39">
        <f t="shared" si="1047"/>
        <v>5</v>
      </c>
      <c r="N754" s="138">
        <f t="shared" si="1048"/>
        <v>15</v>
      </c>
      <c r="O754" s="24">
        <v>45703</v>
      </c>
      <c r="P754" s="11" t="s">
        <v>27</v>
      </c>
      <c r="Q754" s="9"/>
      <c r="R754" s="10">
        <v>10</v>
      </c>
      <c r="S754" s="10"/>
      <c r="T754" s="8">
        <f t="shared" ref="T754" si="1078">SUM(Q754:S754)</f>
        <v>10</v>
      </c>
      <c r="U754" s="9"/>
      <c r="V754" s="10">
        <v>10</v>
      </c>
      <c r="W754" s="10">
        <v>10</v>
      </c>
      <c r="X754" s="8">
        <f t="shared" ref="X754" si="1079">SUM(U754:W754)</f>
        <v>20</v>
      </c>
      <c r="Y754" s="9"/>
      <c r="Z754" s="10"/>
      <c r="AA754" s="10"/>
      <c r="AB754" s="8">
        <f t="shared" ref="AB754" si="1080">SUM(Y754:AA754)</f>
        <v>0</v>
      </c>
      <c r="AC754" s="86">
        <f t="shared" si="1052"/>
        <v>30</v>
      </c>
      <c r="AD754" s="109">
        <v>45700</v>
      </c>
    </row>
    <row r="755" spans="1:31" x14ac:dyDescent="0.15">
      <c r="A755" s="33" t="s">
        <v>36</v>
      </c>
      <c r="B755" s="9"/>
      <c r="C755" s="10">
        <v>1</v>
      </c>
      <c r="D755" s="10"/>
      <c r="E755" s="8">
        <f t="shared" si="1045"/>
        <v>1</v>
      </c>
      <c r="F755" s="9"/>
      <c r="G755" s="10">
        <v>1</v>
      </c>
      <c r="H755" s="10"/>
      <c r="I755" s="8">
        <f t="shared" si="1046"/>
        <v>1</v>
      </c>
      <c r="J755" s="9"/>
      <c r="K755" s="10"/>
      <c r="L755" s="10"/>
      <c r="M755" s="39">
        <f t="shared" si="1047"/>
        <v>0</v>
      </c>
      <c r="N755" s="138">
        <f t="shared" si="1048"/>
        <v>2</v>
      </c>
      <c r="O755" s="24">
        <v>45703</v>
      </c>
      <c r="P755" s="11" t="s">
        <v>688</v>
      </c>
      <c r="Q755" s="9">
        <v>15</v>
      </c>
      <c r="R755" s="10">
        <v>25</v>
      </c>
      <c r="S755" s="10">
        <v>10</v>
      </c>
      <c r="T755" s="8">
        <f t="shared" si="1049"/>
        <v>50</v>
      </c>
      <c r="U755" s="9">
        <v>15</v>
      </c>
      <c r="V755" s="10">
        <v>25</v>
      </c>
      <c r="W755" s="10">
        <v>10</v>
      </c>
      <c r="X755" s="8">
        <f t="shared" si="1050"/>
        <v>50</v>
      </c>
      <c r="Y755" s="9">
        <v>15</v>
      </c>
      <c r="Z755" s="10">
        <v>25</v>
      </c>
      <c r="AA755" s="10">
        <v>10</v>
      </c>
      <c r="AB755" s="8">
        <f t="shared" si="1051"/>
        <v>50</v>
      </c>
      <c r="AC755" s="86">
        <f t="shared" si="1052"/>
        <v>150</v>
      </c>
      <c r="AD755" s="109">
        <v>45702</v>
      </c>
      <c r="AE755" s="58"/>
    </row>
    <row r="756" spans="1:31" x14ac:dyDescent="0.15">
      <c r="A756" s="33" t="s">
        <v>36</v>
      </c>
      <c r="B756" s="9">
        <v>1</v>
      </c>
      <c r="C756" s="10"/>
      <c r="D756" s="10"/>
      <c r="E756" s="8">
        <f t="shared" si="1045"/>
        <v>1</v>
      </c>
      <c r="F756" s="9">
        <v>1</v>
      </c>
      <c r="G756" s="10"/>
      <c r="H756" s="10"/>
      <c r="I756" s="8">
        <f t="shared" si="1046"/>
        <v>1</v>
      </c>
      <c r="J756" s="9">
        <v>1</v>
      </c>
      <c r="K756" s="10"/>
      <c r="L756" s="10"/>
      <c r="M756" s="39">
        <f t="shared" si="1047"/>
        <v>1</v>
      </c>
      <c r="N756" s="138">
        <f t="shared" si="1048"/>
        <v>3</v>
      </c>
      <c r="O756" s="24">
        <v>45705</v>
      </c>
      <c r="P756" s="4" t="s">
        <v>690</v>
      </c>
      <c r="Q756" s="9">
        <v>7</v>
      </c>
      <c r="R756" s="10">
        <v>7</v>
      </c>
      <c r="S756" s="10">
        <v>1</v>
      </c>
      <c r="T756" s="8">
        <f t="shared" si="1049"/>
        <v>15</v>
      </c>
      <c r="U756" s="9">
        <v>7</v>
      </c>
      <c r="V756" s="10">
        <v>7</v>
      </c>
      <c r="W756" s="10">
        <v>1</v>
      </c>
      <c r="X756" s="8">
        <f t="shared" si="1050"/>
        <v>15</v>
      </c>
      <c r="Y756" s="9">
        <v>7</v>
      </c>
      <c r="Z756" s="10">
        <v>7</v>
      </c>
      <c r="AA756" s="10">
        <v>1</v>
      </c>
      <c r="AB756" s="8">
        <f t="shared" si="1051"/>
        <v>15</v>
      </c>
      <c r="AC756" s="86">
        <f t="shared" si="1052"/>
        <v>45</v>
      </c>
      <c r="AD756" s="109">
        <v>45702</v>
      </c>
      <c r="AE756" s="58"/>
    </row>
    <row r="757" spans="1:31" x14ac:dyDescent="0.15">
      <c r="A757" s="4" t="s">
        <v>705</v>
      </c>
      <c r="B757" s="9"/>
      <c r="C757" s="10">
        <v>1</v>
      </c>
      <c r="D757" s="10"/>
      <c r="E757" s="8">
        <f t="shared" si="1045"/>
        <v>1</v>
      </c>
      <c r="F757" s="9"/>
      <c r="G757" s="10">
        <v>1</v>
      </c>
      <c r="H757" s="10"/>
      <c r="I757" s="8">
        <f t="shared" si="1046"/>
        <v>1</v>
      </c>
      <c r="J757" s="9"/>
      <c r="K757" s="10">
        <v>1</v>
      </c>
      <c r="L757" s="10"/>
      <c r="M757" s="39">
        <f t="shared" si="1047"/>
        <v>1</v>
      </c>
      <c r="N757" s="138">
        <f t="shared" si="1048"/>
        <v>3</v>
      </c>
      <c r="O757" s="24">
        <v>45708</v>
      </c>
      <c r="P757" s="4" t="s">
        <v>691</v>
      </c>
      <c r="Q757" s="9">
        <v>10</v>
      </c>
      <c r="R757" s="10">
        <v>10</v>
      </c>
      <c r="S757" s="10">
        <v>20</v>
      </c>
      <c r="T757" s="8">
        <f t="shared" si="1049"/>
        <v>40</v>
      </c>
      <c r="U757" s="9">
        <v>10</v>
      </c>
      <c r="V757" s="10">
        <v>10</v>
      </c>
      <c r="W757" s="10">
        <v>20</v>
      </c>
      <c r="X757" s="8">
        <f t="shared" si="1050"/>
        <v>40</v>
      </c>
      <c r="Y757" s="9">
        <v>10</v>
      </c>
      <c r="Z757" s="10">
        <v>10</v>
      </c>
      <c r="AA757" s="10">
        <v>20</v>
      </c>
      <c r="AB757" s="8">
        <f t="shared" si="1051"/>
        <v>40</v>
      </c>
      <c r="AC757" s="86">
        <f t="shared" si="1052"/>
        <v>120</v>
      </c>
      <c r="AD757" s="109">
        <v>45702</v>
      </c>
    </row>
    <row r="758" spans="1:31" x14ac:dyDescent="0.15">
      <c r="A758" s="4" t="s">
        <v>707</v>
      </c>
      <c r="B758" s="9">
        <v>4</v>
      </c>
      <c r="C758" s="10">
        <v>3</v>
      </c>
      <c r="D758" s="10">
        <v>3</v>
      </c>
      <c r="E758" s="8">
        <f t="shared" si="1045"/>
        <v>10</v>
      </c>
      <c r="F758" s="9">
        <v>4</v>
      </c>
      <c r="G758" s="10">
        <v>3</v>
      </c>
      <c r="H758" s="10">
        <v>3</v>
      </c>
      <c r="I758" s="8">
        <f t="shared" si="1046"/>
        <v>10</v>
      </c>
      <c r="J758" s="9">
        <v>4</v>
      </c>
      <c r="K758" s="10">
        <v>3</v>
      </c>
      <c r="L758" s="10">
        <v>3</v>
      </c>
      <c r="M758" s="39">
        <f t="shared" si="1047"/>
        <v>10</v>
      </c>
      <c r="N758" s="138">
        <f t="shared" si="1048"/>
        <v>30</v>
      </c>
      <c r="O758" s="24">
        <v>45709</v>
      </c>
      <c r="P758" s="4" t="s">
        <v>693</v>
      </c>
      <c r="Q758" s="9">
        <v>15</v>
      </c>
      <c r="R758" s="10"/>
      <c r="S758" s="10"/>
      <c r="T758" s="8">
        <f t="shared" si="1049"/>
        <v>15</v>
      </c>
      <c r="U758" s="9">
        <v>15</v>
      </c>
      <c r="V758" s="10"/>
      <c r="W758" s="10"/>
      <c r="X758" s="8">
        <f t="shared" si="1050"/>
        <v>15</v>
      </c>
      <c r="Y758" s="9">
        <v>15</v>
      </c>
      <c r="Z758" s="10"/>
      <c r="AA758" s="10"/>
      <c r="AB758" s="8">
        <f t="shared" si="1051"/>
        <v>15</v>
      </c>
      <c r="AC758" s="86">
        <f t="shared" si="1052"/>
        <v>45</v>
      </c>
      <c r="AD758" s="109">
        <v>45702</v>
      </c>
      <c r="AE758" s="58"/>
    </row>
    <row r="759" spans="1:31" x14ac:dyDescent="0.15">
      <c r="A759" s="33" t="s">
        <v>36</v>
      </c>
      <c r="B759" s="9"/>
      <c r="C759" s="10"/>
      <c r="D759" s="10">
        <f>2+1</f>
        <v>3</v>
      </c>
      <c r="E759" s="8">
        <f t="shared" si="1045"/>
        <v>3</v>
      </c>
      <c r="F759" s="9"/>
      <c r="G759" s="10"/>
      <c r="H759" s="10">
        <v>1</v>
      </c>
      <c r="I759" s="8">
        <f t="shared" si="1046"/>
        <v>1</v>
      </c>
      <c r="J759" s="9"/>
      <c r="K759" s="10"/>
      <c r="L759" s="10">
        <v>1</v>
      </c>
      <c r="M759" s="39">
        <f t="shared" si="1047"/>
        <v>1</v>
      </c>
      <c r="N759" s="138">
        <f t="shared" si="1048"/>
        <v>5</v>
      </c>
      <c r="O759" s="24">
        <v>45707</v>
      </c>
      <c r="P759" s="4" t="s">
        <v>698</v>
      </c>
      <c r="Q759" s="9"/>
      <c r="R759" s="10">
        <v>15</v>
      </c>
      <c r="S759" s="10"/>
      <c r="T759" s="8">
        <f t="shared" si="1049"/>
        <v>15</v>
      </c>
      <c r="U759" s="9"/>
      <c r="V759" s="10">
        <v>15</v>
      </c>
      <c r="W759" s="10"/>
      <c r="X759" s="8">
        <f t="shared" si="1050"/>
        <v>15</v>
      </c>
      <c r="Y759" s="9"/>
      <c r="Z759" s="10">
        <v>15</v>
      </c>
      <c r="AA759" s="10"/>
      <c r="AB759" s="8">
        <f t="shared" si="1051"/>
        <v>15</v>
      </c>
      <c r="AC759" s="86">
        <f t="shared" si="1052"/>
        <v>45</v>
      </c>
      <c r="AD759" s="109">
        <v>45702</v>
      </c>
      <c r="AE759" s="58"/>
    </row>
    <row r="760" spans="1:31" x14ac:dyDescent="0.15">
      <c r="A760" s="33" t="s">
        <v>36</v>
      </c>
      <c r="B760" s="9"/>
      <c r="C760" s="10"/>
      <c r="D760" s="10"/>
      <c r="E760" s="8">
        <f t="shared" si="1045"/>
        <v>0</v>
      </c>
      <c r="F760" s="9"/>
      <c r="G760" s="10"/>
      <c r="H760" s="10">
        <v>1</v>
      </c>
      <c r="I760" s="8">
        <f t="shared" si="1046"/>
        <v>1</v>
      </c>
      <c r="J760" s="9"/>
      <c r="K760" s="10"/>
      <c r="L760" s="10"/>
      <c r="M760" s="39">
        <f t="shared" si="1047"/>
        <v>0</v>
      </c>
      <c r="N760" s="138">
        <f t="shared" si="1048"/>
        <v>1</v>
      </c>
      <c r="O760" s="24">
        <v>45708</v>
      </c>
      <c r="P760" s="4" t="s">
        <v>27</v>
      </c>
      <c r="Q760" s="9">
        <v>15</v>
      </c>
      <c r="R760" s="10"/>
      <c r="S760" s="10"/>
      <c r="T760" s="8">
        <f t="shared" ref="T760" si="1081">SUM(Q760:S760)</f>
        <v>15</v>
      </c>
      <c r="U760" s="9">
        <v>15</v>
      </c>
      <c r="V760" s="10"/>
      <c r="W760" s="10"/>
      <c r="X760" s="8">
        <f t="shared" ref="X760" si="1082">SUM(U760:W760)</f>
        <v>15</v>
      </c>
      <c r="Y760" s="9">
        <v>15</v>
      </c>
      <c r="Z760" s="10"/>
      <c r="AA760" s="10"/>
      <c r="AB760" s="8">
        <f t="shared" ref="AB760" si="1083">SUM(Y760:AA760)</f>
        <v>15</v>
      </c>
      <c r="AC760" s="86">
        <f t="shared" si="1052"/>
        <v>45</v>
      </c>
      <c r="AD760" s="109">
        <v>45703</v>
      </c>
      <c r="AE760" s="58"/>
    </row>
    <row r="761" spans="1:31" x14ac:dyDescent="0.15">
      <c r="A761" s="33" t="s">
        <v>36</v>
      </c>
      <c r="B761" s="9"/>
      <c r="C761" s="10">
        <v>1</v>
      </c>
      <c r="D761" s="10">
        <v>1</v>
      </c>
      <c r="E761" s="8">
        <f t="shared" si="1045"/>
        <v>2</v>
      </c>
      <c r="F761" s="9"/>
      <c r="G761" s="10"/>
      <c r="H761" s="10">
        <v>1</v>
      </c>
      <c r="I761" s="8">
        <f t="shared" si="1046"/>
        <v>1</v>
      </c>
      <c r="J761" s="9"/>
      <c r="K761" s="10"/>
      <c r="L761" s="10">
        <v>1</v>
      </c>
      <c r="M761" s="39">
        <f t="shared" si="1047"/>
        <v>1</v>
      </c>
      <c r="N761" s="138">
        <f t="shared" si="1048"/>
        <v>4</v>
      </c>
      <c r="O761" s="24">
        <v>45709</v>
      </c>
      <c r="P761" s="4" t="s">
        <v>703</v>
      </c>
      <c r="Q761" s="9"/>
      <c r="R761" s="10">
        <v>5</v>
      </c>
      <c r="S761" s="10">
        <v>4</v>
      </c>
      <c r="T761" s="8">
        <f t="shared" si="1049"/>
        <v>9</v>
      </c>
      <c r="U761" s="9"/>
      <c r="V761" s="10">
        <v>5</v>
      </c>
      <c r="W761" s="10">
        <v>4</v>
      </c>
      <c r="X761" s="8">
        <f t="shared" si="1050"/>
        <v>9</v>
      </c>
      <c r="Y761" s="9"/>
      <c r="Z761" s="10">
        <v>5</v>
      </c>
      <c r="AA761" s="10">
        <v>4</v>
      </c>
      <c r="AB761" s="8">
        <f t="shared" si="1051"/>
        <v>9</v>
      </c>
      <c r="AC761" s="86">
        <f t="shared" si="1052"/>
        <v>27</v>
      </c>
      <c r="AD761" s="109">
        <v>45707</v>
      </c>
      <c r="AE761" s="58"/>
    </row>
    <row r="762" spans="1:31" x14ac:dyDescent="0.15">
      <c r="A762" s="33"/>
      <c r="B762" s="9"/>
      <c r="C762" s="10"/>
      <c r="D762" s="10"/>
      <c r="E762" s="8">
        <f t="shared" si="1045"/>
        <v>0</v>
      </c>
      <c r="F762" s="9"/>
      <c r="G762" s="10"/>
      <c r="H762" s="10"/>
      <c r="I762" s="8">
        <f t="shared" si="1046"/>
        <v>0</v>
      </c>
      <c r="J762" s="9"/>
      <c r="K762" s="10"/>
      <c r="L762" s="10"/>
      <c r="M762" s="39">
        <f t="shared" si="1047"/>
        <v>0</v>
      </c>
      <c r="N762" s="138">
        <f t="shared" si="1048"/>
        <v>0</v>
      </c>
      <c r="P762" s="4" t="s">
        <v>704</v>
      </c>
      <c r="Q762" s="9"/>
      <c r="R762" s="10">
        <v>8</v>
      </c>
      <c r="S762" s="10"/>
      <c r="T762" s="8">
        <f t="shared" si="1049"/>
        <v>8</v>
      </c>
      <c r="U762" s="9"/>
      <c r="V762" s="10">
        <v>8</v>
      </c>
      <c r="W762" s="10"/>
      <c r="X762" s="8">
        <f t="shared" si="1050"/>
        <v>8</v>
      </c>
      <c r="Y762" s="9"/>
      <c r="Z762" s="10">
        <v>8</v>
      </c>
      <c r="AA762" s="10"/>
      <c r="AB762" s="8">
        <f t="shared" si="1051"/>
        <v>8</v>
      </c>
      <c r="AC762" s="86">
        <f t="shared" si="1052"/>
        <v>24</v>
      </c>
      <c r="AD762" s="109">
        <v>45706</v>
      </c>
      <c r="AE762" s="58"/>
    </row>
    <row r="763" spans="1:31" x14ac:dyDescent="0.15">
      <c r="A763" s="63"/>
      <c r="B763" s="9"/>
      <c r="C763" s="10"/>
      <c r="D763" s="10"/>
      <c r="E763" s="8">
        <f t="shared" si="1045"/>
        <v>0</v>
      </c>
      <c r="F763" s="9"/>
      <c r="G763" s="10"/>
      <c r="H763" s="10"/>
      <c r="I763" s="8">
        <f t="shared" si="1046"/>
        <v>0</v>
      </c>
      <c r="J763" s="9"/>
      <c r="K763" s="10"/>
      <c r="L763" s="10"/>
      <c r="M763" s="39">
        <f t="shared" si="1047"/>
        <v>0</v>
      </c>
      <c r="N763" s="138">
        <f t="shared" si="1048"/>
        <v>0</v>
      </c>
      <c r="P763" s="4" t="s">
        <v>706</v>
      </c>
      <c r="Q763" s="9">
        <v>5</v>
      </c>
      <c r="R763" s="10"/>
      <c r="S763" s="10"/>
      <c r="T763" s="8">
        <f t="shared" si="1049"/>
        <v>5</v>
      </c>
      <c r="U763" s="9">
        <v>5</v>
      </c>
      <c r="V763" s="10"/>
      <c r="W763" s="10"/>
      <c r="X763" s="8">
        <f t="shared" si="1050"/>
        <v>5</v>
      </c>
      <c r="Y763" s="9">
        <v>5</v>
      </c>
      <c r="Z763" s="10"/>
      <c r="AA763" s="10"/>
      <c r="AB763" s="8">
        <f t="shared" si="1051"/>
        <v>5</v>
      </c>
      <c r="AC763" s="86">
        <f t="shared" si="1052"/>
        <v>15</v>
      </c>
      <c r="AD763" s="109">
        <v>45709</v>
      </c>
      <c r="AE763" s="58"/>
    </row>
    <row r="764" spans="1:31" x14ac:dyDescent="0.15">
      <c r="A764" s="33"/>
      <c r="B764" s="9"/>
      <c r="C764" s="10"/>
      <c r="D764" s="10"/>
      <c r="E764" s="8">
        <f t="shared" si="1045"/>
        <v>0</v>
      </c>
      <c r="F764" s="9"/>
      <c r="G764" s="10"/>
      <c r="H764" s="10"/>
      <c r="I764" s="8">
        <f t="shared" si="1046"/>
        <v>0</v>
      </c>
      <c r="J764" s="9"/>
      <c r="K764" s="10"/>
      <c r="L764" s="10"/>
      <c r="M764" s="39">
        <f t="shared" si="1047"/>
        <v>0</v>
      </c>
      <c r="N764" s="138">
        <f t="shared" si="1048"/>
        <v>0</v>
      </c>
      <c r="P764" s="4" t="s">
        <v>27</v>
      </c>
      <c r="Q764" s="9"/>
      <c r="R764" s="10">
        <v>5</v>
      </c>
      <c r="S764" s="10">
        <v>10</v>
      </c>
      <c r="T764" s="8">
        <f t="shared" si="1049"/>
        <v>15</v>
      </c>
      <c r="U764" s="9"/>
      <c r="V764" s="10">
        <v>4</v>
      </c>
      <c r="W764" s="10">
        <v>5</v>
      </c>
      <c r="X764" s="8">
        <f t="shared" si="1050"/>
        <v>9</v>
      </c>
      <c r="Y764" s="9"/>
      <c r="Z764" s="10">
        <v>10</v>
      </c>
      <c r="AA764" s="10">
        <v>10</v>
      </c>
      <c r="AB764" s="8">
        <f t="shared" si="1051"/>
        <v>20</v>
      </c>
      <c r="AC764" s="86">
        <f t="shared" ref="AC764:AC768" si="1084">T764+X764+AB764</f>
        <v>44</v>
      </c>
      <c r="AD764" s="109">
        <v>45708</v>
      </c>
      <c r="AE764" s="58"/>
    </row>
    <row r="765" spans="1:31" x14ac:dyDescent="0.15">
      <c r="A765" s="33"/>
      <c r="B765" s="9"/>
      <c r="C765" s="10"/>
      <c r="D765" s="10"/>
      <c r="E765" s="8">
        <f t="shared" si="1045"/>
        <v>0</v>
      </c>
      <c r="F765" s="9"/>
      <c r="G765" s="10"/>
      <c r="H765" s="10"/>
      <c r="I765" s="8">
        <f t="shared" si="1046"/>
        <v>0</v>
      </c>
      <c r="J765" s="9"/>
      <c r="K765" s="10"/>
      <c r="L765" s="10"/>
      <c r="M765" s="39">
        <f t="shared" si="1047"/>
        <v>0</v>
      </c>
      <c r="N765" s="138">
        <f t="shared" si="1048"/>
        <v>0</v>
      </c>
      <c r="P765" s="11" t="s">
        <v>710</v>
      </c>
      <c r="Q765" s="9">
        <v>4</v>
      </c>
      <c r="R765" s="10">
        <v>6</v>
      </c>
      <c r="S765" s="10">
        <v>5</v>
      </c>
      <c r="T765" s="8">
        <f t="shared" si="1049"/>
        <v>15</v>
      </c>
      <c r="U765" s="9">
        <v>4</v>
      </c>
      <c r="V765" s="10">
        <v>6</v>
      </c>
      <c r="W765" s="10">
        <v>5</v>
      </c>
      <c r="X765" s="8">
        <f t="shared" si="1050"/>
        <v>15</v>
      </c>
      <c r="Y765" s="9">
        <v>4</v>
      </c>
      <c r="Z765" s="10">
        <v>6</v>
      </c>
      <c r="AA765" s="10">
        <v>5</v>
      </c>
      <c r="AB765" s="8">
        <f t="shared" si="1051"/>
        <v>15</v>
      </c>
      <c r="AC765" s="86">
        <f t="shared" si="1084"/>
        <v>45</v>
      </c>
      <c r="AD765" s="109">
        <v>45709</v>
      </c>
    </row>
    <row r="766" spans="1:31" x14ac:dyDescent="0.15">
      <c r="A766" s="33"/>
      <c r="B766" s="9"/>
      <c r="C766" s="10"/>
      <c r="D766" s="10"/>
      <c r="E766" s="8">
        <f t="shared" si="1045"/>
        <v>0</v>
      </c>
      <c r="F766" s="9"/>
      <c r="G766" s="10"/>
      <c r="H766" s="10"/>
      <c r="I766" s="8">
        <f t="shared" si="1046"/>
        <v>0</v>
      </c>
      <c r="J766" s="9"/>
      <c r="K766" s="10"/>
      <c r="L766" s="10"/>
      <c r="M766" s="39">
        <f t="shared" si="1047"/>
        <v>0</v>
      </c>
      <c r="N766" s="138">
        <f t="shared" si="1048"/>
        <v>0</v>
      </c>
      <c r="P766" s="4" t="s">
        <v>711</v>
      </c>
      <c r="Q766" s="77">
        <v>3</v>
      </c>
      <c r="R766" s="78">
        <v>2</v>
      </c>
      <c r="S766" s="78">
        <v>7</v>
      </c>
      <c r="T766" s="5">
        <f t="shared" si="1049"/>
        <v>12</v>
      </c>
      <c r="U766" s="77">
        <v>3</v>
      </c>
      <c r="V766" s="78">
        <v>2</v>
      </c>
      <c r="W766" s="78">
        <v>7</v>
      </c>
      <c r="X766" s="5">
        <f t="shared" si="1050"/>
        <v>12</v>
      </c>
      <c r="Y766" s="77">
        <v>3</v>
      </c>
      <c r="Z766" s="78">
        <v>2</v>
      </c>
      <c r="AA766" s="78">
        <v>7</v>
      </c>
      <c r="AB766" s="5">
        <f t="shared" si="1051"/>
        <v>12</v>
      </c>
      <c r="AC766" s="91">
        <f t="shared" si="1084"/>
        <v>36</v>
      </c>
      <c r="AD766" s="109">
        <v>45713</v>
      </c>
      <c r="AE766" s="58"/>
    </row>
    <row r="767" spans="1:31" x14ac:dyDescent="0.15">
      <c r="A767" s="33"/>
      <c r="B767" s="9"/>
      <c r="C767" s="10"/>
      <c r="D767" s="10"/>
      <c r="E767" s="8">
        <f t="shared" si="1045"/>
        <v>0</v>
      </c>
      <c r="F767" s="9"/>
      <c r="G767" s="10"/>
      <c r="H767" s="10"/>
      <c r="I767" s="8">
        <f t="shared" si="1046"/>
        <v>0</v>
      </c>
      <c r="J767" s="9"/>
      <c r="K767" s="10"/>
      <c r="L767" s="10"/>
      <c r="M767" s="39">
        <f t="shared" si="1047"/>
        <v>0</v>
      </c>
      <c r="N767" s="138">
        <f t="shared" si="1048"/>
        <v>0</v>
      </c>
      <c r="P767" s="11" t="s">
        <v>708</v>
      </c>
      <c r="Q767" s="9">
        <v>5</v>
      </c>
      <c r="R767" s="10">
        <v>5</v>
      </c>
      <c r="S767" s="10"/>
      <c r="T767" s="8">
        <f t="shared" si="1049"/>
        <v>10</v>
      </c>
      <c r="U767" s="9">
        <v>5</v>
      </c>
      <c r="V767" s="10">
        <v>5</v>
      </c>
      <c r="W767" s="10"/>
      <c r="X767" s="8">
        <f t="shared" si="1050"/>
        <v>10</v>
      </c>
      <c r="Y767" s="9">
        <v>5</v>
      </c>
      <c r="Z767" s="10">
        <v>5</v>
      </c>
      <c r="AA767" s="10"/>
      <c r="AB767" s="8">
        <f t="shared" si="1051"/>
        <v>10</v>
      </c>
      <c r="AC767" s="86">
        <f t="shared" si="1084"/>
        <v>30</v>
      </c>
      <c r="AD767" s="109">
        <v>45714</v>
      </c>
    </row>
    <row r="768" spans="1:31" x14ac:dyDescent="0.15">
      <c r="A768" s="33"/>
      <c r="B768" s="9"/>
      <c r="C768" s="10"/>
      <c r="D768" s="10"/>
      <c r="E768" s="8">
        <f t="shared" si="1045"/>
        <v>0</v>
      </c>
      <c r="F768" s="9"/>
      <c r="G768" s="10"/>
      <c r="H768" s="10"/>
      <c r="I768" s="8">
        <f t="shared" si="1046"/>
        <v>0</v>
      </c>
      <c r="J768" s="9"/>
      <c r="K768" s="10"/>
      <c r="L768" s="10"/>
      <c r="M768" s="39">
        <f t="shared" si="1047"/>
        <v>0</v>
      </c>
      <c r="N768" s="138">
        <f t="shared" si="1048"/>
        <v>0</v>
      </c>
      <c r="P768" s="4" t="s">
        <v>714</v>
      </c>
      <c r="Q768" s="9"/>
      <c r="R768" s="10"/>
      <c r="S768" s="10">
        <v>5</v>
      </c>
      <c r="T768" s="5">
        <f t="shared" si="1049"/>
        <v>5</v>
      </c>
      <c r="U768" s="9"/>
      <c r="V768" s="10"/>
      <c r="W768" s="10">
        <v>5</v>
      </c>
      <c r="X768" s="5">
        <f t="shared" si="1050"/>
        <v>5</v>
      </c>
      <c r="Y768" s="9"/>
      <c r="Z768" s="10"/>
      <c r="AA768" s="10">
        <v>5</v>
      </c>
      <c r="AB768" s="5">
        <f t="shared" si="1051"/>
        <v>5</v>
      </c>
      <c r="AC768" s="86">
        <f t="shared" si="1084"/>
        <v>15</v>
      </c>
      <c r="AD768" s="109">
        <v>45716</v>
      </c>
    </row>
    <row r="769" spans="1:30" x14ac:dyDescent="0.15">
      <c r="A769" s="33"/>
      <c r="B769" s="9"/>
      <c r="C769" s="10"/>
      <c r="D769" s="10"/>
      <c r="E769" s="8">
        <f t="shared" si="1045"/>
        <v>0</v>
      </c>
      <c r="F769" s="9"/>
      <c r="G769" s="10"/>
      <c r="H769" s="10"/>
      <c r="I769" s="8">
        <f t="shared" si="1046"/>
        <v>0</v>
      </c>
      <c r="J769" s="9"/>
      <c r="K769" s="10"/>
      <c r="L769" s="10"/>
      <c r="M769" s="39">
        <f t="shared" si="1047"/>
        <v>0</v>
      </c>
      <c r="N769" s="138">
        <f t="shared" si="1048"/>
        <v>0</v>
      </c>
      <c r="P769" s="11"/>
      <c r="Q769" s="9"/>
      <c r="R769" s="10"/>
      <c r="S769" s="10"/>
      <c r="T769" s="8">
        <f t="shared" si="1049"/>
        <v>0</v>
      </c>
      <c r="U769" s="9"/>
      <c r="V769" s="10"/>
      <c r="W769" s="10"/>
      <c r="X769" s="8">
        <f t="shared" si="1050"/>
        <v>0</v>
      </c>
      <c r="Y769" s="9"/>
      <c r="Z769" s="10"/>
      <c r="AA769" s="10"/>
      <c r="AB769" s="8">
        <f t="shared" si="1051"/>
        <v>0</v>
      </c>
      <c r="AC769" s="86">
        <f t="shared" si="1052"/>
        <v>0</v>
      </c>
      <c r="AD769" s="116"/>
    </row>
    <row r="770" spans="1:30" x14ac:dyDescent="0.15">
      <c r="A770" s="33"/>
      <c r="B770" s="9"/>
      <c r="C770" s="10"/>
      <c r="D770" s="10"/>
      <c r="E770" s="8">
        <f t="shared" si="1045"/>
        <v>0</v>
      </c>
      <c r="F770" s="9"/>
      <c r="G770" s="10"/>
      <c r="H770" s="10"/>
      <c r="I770" s="8">
        <f t="shared" si="1046"/>
        <v>0</v>
      </c>
      <c r="J770" s="9"/>
      <c r="K770" s="10"/>
      <c r="L770" s="10"/>
      <c r="M770" s="39">
        <f t="shared" si="1047"/>
        <v>0</v>
      </c>
      <c r="N770" s="138">
        <f t="shared" si="1048"/>
        <v>0</v>
      </c>
      <c r="P770" s="11" t="s">
        <v>620</v>
      </c>
      <c r="Q770" s="9"/>
      <c r="R770" s="10"/>
      <c r="S770" s="10"/>
      <c r="T770" s="8">
        <f t="shared" ref="T770:T771" si="1085">SUM(Q770:S770)</f>
        <v>0</v>
      </c>
      <c r="U770" s="9"/>
      <c r="V770" s="10"/>
      <c r="W770" s="10"/>
      <c r="X770" s="8">
        <f t="shared" ref="X770:X771" si="1086">SUM(U770:W770)</f>
        <v>0</v>
      </c>
      <c r="Y770" s="9"/>
      <c r="Z770" s="10"/>
      <c r="AA770" s="10"/>
      <c r="AB770" s="8">
        <f t="shared" ref="AB770:AB771" si="1087">SUM(Y770:AA770)</f>
        <v>0</v>
      </c>
      <c r="AC770" s="86">
        <f t="shared" ref="AC770:AC771" si="1088">T770+X770+AB770</f>
        <v>0</v>
      </c>
      <c r="AD770" s="116" t="s">
        <v>621</v>
      </c>
    </row>
    <row r="771" spans="1:30" ht="14.25" thickBot="1" x14ac:dyDescent="0.2">
      <c r="A771" s="63"/>
      <c r="B771" s="9"/>
      <c r="C771" s="10"/>
      <c r="D771" s="22"/>
      <c r="E771" s="8">
        <f t="shared" si="1045"/>
        <v>0</v>
      </c>
      <c r="F771" s="9"/>
      <c r="G771" s="10"/>
      <c r="H771" s="22"/>
      <c r="I771" s="8">
        <f t="shared" si="1046"/>
        <v>0</v>
      </c>
      <c r="J771" s="9"/>
      <c r="K771" s="10"/>
      <c r="L771" s="22"/>
      <c r="M771" s="39">
        <f t="shared" si="1047"/>
        <v>0</v>
      </c>
      <c r="N771" s="139">
        <f t="shared" si="1048"/>
        <v>0</v>
      </c>
      <c r="P771" s="11" t="s">
        <v>614</v>
      </c>
      <c r="Q771" s="9"/>
      <c r="R771" s="10"/>
      <c r="S771" s="10"/>
      <c r="T771" s="8">
        <f t="shared" si="1085"/>
        <v>0</v>
      </c>
      <c r="U771" s="9"/>
      <c r="V771" s="10"/>
      <c r="W771" s="10"/>
      <c r="X771" s="8">
        <f t="shared" si="1086"/>
        <v>0</v>
      </c>
      <c r="Y771" s="9"/>
      <c r="Z771" s="10"/>
      <c r="AA771" s="10"/>
      <c r="AB771" s="8">
        <f t="shared" si="1087"/>
        <v>0</v>
      </c>
      <c r="AC771" s="86">
        <f t="shared" si="1088"/>
        <v>0</v>
      </c>
      <c r="AD771" s="109" t="s">
        <v>615</v>
      </c>
    </row>
    <row r="772" spans="1:30" ht="14.25" thickBot="1" x14ac:dyDescent="0.2">
      <c r="A772" s="104" t="s">
        <v>5</v>
      </c>
      <c r="B772" s="12">
        <f>SUM(B748:B771)</f>
        <v>27</v>
      </c>
      <c r="C772" s="12">
        <f>SUM(C748:C771)</f>
        <v>13</v>
      </c>
      <c r="D772" s="12">
        <f>SUM(D748:D771)</f>
        <v>14</v>
      </c>
      <c r="E772" s="13">
        <f t="shared" si="1045"/>
        <v>54</v>
      </c>
      <c r="F772" s="12">
        <f>SUM(F748:F771)</f>
        <v>27</v>
      </c>
      <c r="G772" s="12">
        <f>SUM(G748:G771)</f>
        <v>12</v>
      </c>
      <c r="H772" s="12">
        <f>SUM(H748:H771)</f>
        <v>13</v>
      </c>
      <c r="I772" s="13">
        <f t="shared" si="1046"/>
        <v>52</v>
      </c>
      <c r="J772" s="12">
        <f>SUM(J748:J771)</f>
        <v>27</v>
      </c>
      <c r="K772" s="12">
        <f>SUM(K748:K771)</f>
        <v>11</v>
      </c>
      <c r="L772" s="12">
        <f>SUM(L748:L771)</f>
        <v>12</v>
      </c>
      <c r="M772" s="12">
        <f t="shared" si="1047"/>
        <v>50</v>
      </c>
      <c r="N772" s="142">
        <f t="shared" si="1048"/>
        <v>156</v>
      </c>
      <c r="P772" s="3" t="s">
        <v>5</v>
      </c>
      <c r="Q772" s="12">
        <f>SUM(Q748:Q771)</f>
        <v>103</v>
      </c>
      <c r="R772" s="12">
        <f t="shared" ref="R772" si="1089">SUM(R748:R771)</f>
        <v>167</v>
      </c>
      <c r="S772" s="12">
        <f t="shared" ref="S772" si="1090">SUM(S748:S771)</f>
        <v>80</v>
      </c>
      <c r="T772" s="13">
        <f t="shared" ref="T772" si="1091">SUM(T748:T771)</f>
        <v>350</v>
      </c>
      <c r="U772" s="12">
        <f t="shared" ref="U772" si="1092">SUM(U748:U771)</f>
        <v>103</v>
      </c>
      <c r="V772" s="12">
        <f t="shared" ref="V772" si="1093">SUM(V748:V771)</f>
        <v>156</v>
      </c>
      <c r="W772" s="12">
        <f t="shared" ref="W772" si="1094">SUM(W748:W771)</f>
        <v>85</v>
      </c>
      <c r="X772" s="13">
        <f t="shared" ref="X772" si="1095">SUM(X748:X771)</f>
        <v>344</v>
      </c>
      <c r="Y772" s="12">
        <f t="shared" ref="Y772" si="1096">SUM(Y748:Y771)</f>
        <v>103</v>
      </c>
      <c r="Z772" s="12">
        <f t="shared" ref="Z772" si="1097">SUM(Z748:Z771)</f>
        <v>162</v>
      </c>
      <c r="AA772" s="12">
        <f t="shared" ref="AA772" si="1098">SUM(AA748:AA771)</f>
        <v>80</v>
      </c>
      <c r="AB772" s="13">
        <f t="shared" ref="AB772" si="1099">SUM(AB748:AB771)</f>
        <v>345</v>
      </c>
      <c r="AC772" s="155">
        <f t="shared" ref="AC772" si="1100">SUM(AC748:AC771)</f>
        <v>1039</v>
      </c>
    </row>
    <row r="773" spans="1:30" ht="14.25" thickBot="1" x14ac:dyDescent="0.2">
      <c r="A773" s="105" t="s">
        <v>6</v>
      </c>
      <c r="B773" s="20">
        <f>B747-B772</f>
        <v>14</v>
      </c>
      <c r="C773" s="20">
        <f t="shared" ref="C773:E773" si="1101">C747-C772</f>
        <v>13</v>
      </c>
      <c r="D773" s="20">
        <f t="shared" si="1101"/>
        <v>12</v>
      </c>
      <c r="E773" s="18">
        <f t="shared" si="1101"/>
        <v>39</v>
      </c>
      <c r="F773" s="20">
        <f>F747-F772</f>
        <v>13</v>
      </c>
      <c r="G773" s="20">
        <f t="shared" ref="G773:I773" si="1102">G747-G772</f>
        <v>12</v>
      </c>
      <c r="H773" s="20">
        <f t="shared" si="1102"/>
        <v>13</v>
      </c>
      <c r="I773" s="18">
        <f t="shared" si="1102"/>
        <v>38</v>
      </c>
      <c r="J773" s="20">
        <f>J747-J772</f>
        <v>14</v>
      </c>
      <c r="K773" s="20">
        <f t="shared" ref="K773:M773" si="1103">K747-K772</f>
        <v>14</v>
      </c>
      <c r="L773" s="20">
        <f t="shared" si="1103"/>
        <v>14</v>
      </c>
      <c r="M773" s="20">
        <f t="shared" si="1103"/>
        <v>42</v>
      </c>
      <c r="N773" s="140">
        <f t="shared" si="1048"/>
        <v>119</v>
      </c>
      <c r="P773" s="19" t="s">
        <v>6</v>
      </c>
      <c r="Q773" s="20">
        <f>Q747-Q772</f>
        <v>569</v>
      </c>
      <c r="R773" s="20">
        <f t="shared" ref="R773" si="1104">R747-R772</f>
        <v>739</v>
      </c>
      <c r="S773" s="20">
        <f t="shared" ref="S773" si="1105">S747-S772</f>
        <v>660</v>
      </c>
      <c r="T773" s="18">
        <f t="shared" ref="T773" si="1106">T747-T772</f>
        <v>1968</v>
      </c>
      <c r="U773" s="20">
        <f t="shared" ref="U773" si="1107">U747-U772</f>
        <v>535</v>
      </c>
      <c r="V773" s="20">
        <f t="shared" ref="V773" si="1108">V747-V772</f>
        <v>762</v>
      </c>
      <c r="W773" s="20">
        <f t="shared" ref="W773" si="1109">W747-W772</f>
        <v>733</v>
      </c>
      <c r="X773" s="18">
        <f t="shared" ref="X773" si="1110">X747-X772</f>
        <v>2030</v>
      </c>
      <c r="Y773" s="20">
        <f t="shared" ref="Y773" si="1111">Y747-Y772</f>
        <v>519</v>
      </c>
      <c r="Z773" s="20">
        <f t="shared" ref="Z773" si="1112">Z747-Z772</f>
        <v>718</v>
      </c>
      <c r="AA773" s="20">
        <f t="shared" ref="AA773" si="1113">AA747-AA772</f>
        <v>682</v>
      </c>
      <c r="AB773" s="18">
        <f t="shared" ref="AB773" si="1114">AB747-AB772</f>
        <v>1919</v>
      </c>
      <c r="AC773" s="88">
        <f t="shared" ref="AC773" si="1115">AC747-AC772</f>
        <v>5917</v>
      </c>
    </row>
    <row r="776" spans="1:30" ht="19.5" thickBot="1" x14ac:dyDescent="0.25">
      <c r="A776" s="108" t="s">
        <v>264</v>
      </c>
      <c r="B776" s="47"/>
      <c r="C776" s="47"/>
      <c r="D776" s="47"/>
      <c r="E776" s="47"/>
      <c r="F776" s="48"/>
      <c r="G776" s="48"/>
      <c r="H776" s="48"/>
      <c r="I776" s="48"/>
      <c r="J776" s="48"/>
      <c r="K776" s="48"/>
      <c r="L776" s="1"/>
      <c r="M776" s="1"/>
      <c r="N776" s="137"/>
      <c r="P776" s="43" t="s">
        <v>263</v>
      </c>
      <c r="Q776" s="44"/>
      <c r="R776" s="44"/>
      <c r="S776" s="44"/>
      <c r="T776" s="44"/>
      <c r="U776" s="45"/>
      <c r="V776" s="45"/>
      <c r="W776" s="45"/>
      <c r="X776" s="45"/>
      <c r="Y776" s="46"/>
      <c r="Z776" s="53"/>
      <c r="AA776" s="1"/>
      <c r="AB776" s="1"/>
    </row>
    <row r="777" spans="1:30" ht="14.25" thickBot="1" x14ac:dyDescent="0.2">
      <c r="A777" s="100" t="s">
        <v>0</v>
      </c>
      <c r="B777" s="337" t="s">
        <v>11</v>
      </c>
      <c r="C777" s="337"/>
      <c r="D777" s="337"/>
      <c r="E777" s="338"/>
      <c r="F777" s="339" t="s">
        <v>9</v>
      </c>
      <c r="G777" s="340"/>
      <c r="H777" s="340"/>
      <c r="I777" s="341"/>
      <c r="J777" s="342" t="s">
        <v>12</v>
      </c>
      <c r="K777" s="343"/>
      <c r="L777" s="343"/>
      <c r="M777" s="343"/>
      <c r="N777" s="347" t="s">
        <v>13</v>
      </c>
      <c r="P777" s="2" t="s">
        <v>0</v>
      </c>
      <c r="Q777" s="337" t="s">
        <v>11</v>
      </c>
      <c r="R777" s="337"/>
      <c r="S777" s="337"/>
      <c r="T777" s="338"/>
      <c r="U777" s="339" t="s">
        <v>9</v>
      </c>
      <c r="V777" s="340"/>
      <c r="W777" s="340"/>
      <c r="X777" s="341"/>
      <c r="Y777" s="342" t="s">
        <v>12</v>
      </c>
      <c r="Z777" s="343"/>
      <c r="AA777" s="343"/>
      <c r="AB777" s="343"/>
      <c r="AC777" s="345" t="s">
        <v>13</v>
      </c>
    </row>
    <row r="778" spans="1:30" ht="14.25" thickBot="1" x14ac:dyDescent="0.2">
      <c r="A778" s="100" t="s">
        <v>1</v>
      </c>
      <c r="B778" s="3" t="s">
        <v>7</v>
      </c>
      <c r="C778" s="2" t="s">
        <v>10</v>
      </c>
      <c r="D778" s="2" t="s">
        <v>8</v>
      </c>
      <c r="E778" s="2" t="s">
        <v>2</v>
      </c>
      <c r="F778" s="3" t="s">
        <v>7</v>
      </c>
      <c r="G778" s="2" t="s">
        <v>10</v>
      </c>
      <c r="H778" s="2" t="s">
        <v>8</v>
      </c>
      <c r="I778" s="2" t="s">
        <v>2</v>
      </c>
      <c r="J778" s="3" t="s">
        <v>7</v>
      </c>
      <c r="K778" s="2" t="s">
        <v>10</v>
      </c>
      <c r="L778" s="2" t="s">
        <v>8</v>
      </c>
      <c r="M778" s="3" t="s">
        <v>2</v>
      </c>
      <c r="N778" s="348"/>
      <c r="P778" s="2" t="s">
        <v>1</v>
      </c>
      <c r="Q778" s="3" t="s">
        <v>7</v>
      </c>
      <c r="R778" s="2" t="s">
        <v>10</v>
      </c>
      <c r="S778" s="2" t="s">
        <v>8</v>
      </c>
      <c r="T778" s="2" t="s">
        <v>2</v>
      </c>
      <c r="U778" s="3" t="s">
        <v>7</v>
      </c>
      <c r="V778" s="2" t="s">
        <v>10</v>
      </c>
      <c r="W778" s="2" t="s">
        <v>8</v>
      </c>
      <c r="X778" s="2" t="s">
        <v>2</v>
      </c>
      <c r="Y778" s="3" t="s">
        <v>7</v>
      </c>
      <c r="Z778" s="2" t="s">
        <v>10</v>
      </c>
      <c r="AA778" s="2" t="s">
        <v>8</v>
      </c>
      <c r="AB778" s="2" t="s">
        <v>2</v>
      </c>
      <c r="AC778" s="346"/>
    </row>
    <row r="779" spans="1:30" x14ac:dyDescent="0.15">
      <c r="A779" s="106" t="s">
        <v>6</v>
      </c>
      <c r="B779" s="41">
        <f>B773</f>
        <v>14</v>
      </c>
      <c r="C779" s="41">
        <f t="shared" ref="C779:E779" si="1116">C773</f>
        <v>13</v>
      </c>
      <c r="D779" s="41">
        <f t="shared" si="1116"/>
        <v>12</v>
      </c>
      <c r="E779" s="42">
        <f t="shared" si="1116"/>
        <v>39</v>
      </c>
      <c r="F779" s="41">
        <f>F773</f>
        <v>13</v>
      </c>
      <c r="G779" s="41">
        <f t="shared" ref="G779:I779" si="1117">G773</f>
        <v>12</v>
      </c>
      <c r="H779" s="41">
        <f t="shared" si="1117"/>
        <v>13</v>
      </c>
      <c r="I779" s="42">
        <f t="shared" si="1117"/>
        <v>38</v>
      </c>
      <c r="J779" s="41">
        <f>J773</f>
        <v>14</v>
      </c>
      <c r="K779" s="41">
        <f t="shared" ref="K779:M779" si="1118">K773</f>
        <v>14</v>
      </c>
      <c r="L779" s="41">
        <f t="shared" si="1118"/>
        <v>14</v>
      </c>
      <c r="M779" s="42">
        <f t="shared" si="1118"/>
        <v>42</v>
      </c>
      <c r="N779" s="143">
        <f>E779+I779+M779</f>
        <v>119</v>
      </c>
      <c r="P779" s="36" t="s">
        <v>6</v>
      </c>
      <c r="Q779" s="41">
        <f>Q773</f>
        <v>569</v>
      </c>
      <c r="R779" s="41">
        <f t="shared" ref="R779:AC779" si="1119">R773</f>
        <v>739</v>
      </c>
      <c r="S779" s="41">
        <f t="shared" si="1119"/>
        <v>660</v>
      </c>
      <c r="T779" s="42">
        <f t="shared" si="1119"/>
        <v>1968</v>
      </c>
      <c r="U779" s="41">
        <f t="shared" si="1119"/>
        <v>535</v>
      </c>
      <c r="V779" s="41">
        <f t="shared" si="1119"/>
        <v>762</v>
      </c>
      <c r="W779" s="41">
        <f t="shared" si="1119"/>
        <v>733</v>
      </c>
      <c r="X779" s="42">
        <f t="shared" si="1119"/>
        <v>2030</v>
      </c>
      <c r="Y779" s="41">
        <f t="shared" si="1119"/>
        <v>519</v>
      </c>
      <c r="Z779" s="41">
        <f t="shared" si="1119"/>
        <v>718</v>
      </c>
      <c r="AA779" s="41">
        <f t="shared" si="1119"/>
        <v>682</v>
      </c>
      <c r="AB779" s="42">
        <f t="shared" si="1119"/>
        <v>1919</v>
      </c>
      <c r="AC779" s="90">
        <f t="shared" si="1119"/>
        <v>5917</v>
      </c>
    </row>
    <row r="780" spans="1:30" x14ac:dyDescent="0.15">
      <c r="A780" s="102" t="s">
        <v>3</v>
      </c>
      <c r="B780" s="25"/>
      <c r="C780" s="26">
        <v>10</v>
      </c>
      <c r="D780" s="26"/>
      <c r="E780" s="5">
        <f t="shared" ref="E780:E815" si="1120">SUM(B780:D780)</f>
        <v>10</v>
      </c>
      <c r="F780" s="25"/>
      <c r="G780" s="26">
        <v>10</v>
      </c>
      <c r="H780" s="26"/>
      <c r="I780" s="5">
        <f t="shared" ref="I780:I815" si="1121">SUM(F780:H780)</f>
        <v>10</v>
      </c>
      <c r="J780" s="25"/>
      <c r="K780" s="26">
        <v>10</v>
      </c>
      <c r="L780" s="26"/>
      <c r="M780" s="38">
        <f t="shared" ref="M780:M815" si="1122">SUM(J780:L780)</f>
        <v>10</v>
      </c>
      <c r="N780" s="138">
        <f t="shared" ref="N780:N816" si="1123">E780+I780+M780</f>
        <v>30</v>
      </c>
      <c r="O780" s="24">
        <v>45716</v>
      </c>
      <c r="P780" s="6" t="s">
        <v>3</v>
      </c>
      <c r="Q780" s="14"/>
      <c r="R780" s="11"/>
      <c r="S780" s="11"/>
      <c r="T780" s="5">
        <f t="shared" ref="T780:T786" si="1124">SUM(Q780:S780)</f>
        <v>0</v>
      </c>
      <c r="U780" s="14"/>
      <c r="V780" s="11"/>
      <c r="W780" s="11"/>
      <c r="X780" s="5">
        <f t="shared" ref="X780:X786" si="1125">SUM(U780:W780)</f>
        <v>0</v>
      </c>
      <c r="Y780" s="25"/>
      <c r="Z780" s="26"/>
      <c r="AA780" s="26"/>
      <c r="AB780" s="5">
        <f t="shared" ref="AB780:AB786" si="1126">SUM(Y780:AA780)</f>
        <v>0</v>
      </c>
      <c r="AC780" s="86">
        <f t="shared" ref="AC780:AC788" si="1127">T780+X780+AB780</f>
        <v>0</v>
      </c>
    </row>
    <row r="781" spans="1:30" x14ac:dyDescent="0.15">
      <c r="A781" s="102" t="s">
        <v>3</v>
      </c>
      <c r="B781" s="14"/>
      <c r="C781" s="11"/>
      <c r="D781" s="11">
        <v>10</v>
      </c>
      <c r="E781" s="5">
        <f t="shared" si="1120"/>
        <v>10</v>
      </c>
      <c r="F781" s="34">
        <v>5</v>
      </c>
      <c r="G781" s="11"/>
      <c r="H781" s="11">
        <v>5</v>
      </c>
      <c r="I781" s="5">
        <f t="shared" si="1121"/>
        <v>10</v>
      </c>
      <c r="J781" s="34"/>
      <c r="K781" s="11"/>
      <c r="L781" s="11">
        <v>5</v>
      </c>
      <c r="M781" s="38">
        <f t="shared" si="1122"/>
        <v>5</v>
      </c>
      <c r="N781" s="138">
        <f t="shared" si="1123"/>
        <v>25</v>
      </c>
      <c r="O781" s="24">
        <v>45723</v>
      </c>
      <c r="P781" s="6" t="s">
        <v>3</v>
      </c>
      <c r="Q781" s="14"/>
      <c r="R781" s="11"/>
      <c r="S781" s="11"/>
      <c r="T781" s="5">
        <f t="shared" si="1124"/>
        <v>0</v>
      </c>
      <c r="U781" s="14"/>
      <c r="V781" s="11"/>
      <c r="W781" s="11"/>
      <c r="X781" s="5">
        <f t="shared" si="1125"/>
        <v>0</v>
      </c>
      <c r="Y781" s="25"/>
      <c r="Z781" s="26"/>
      <c r="AA781" s="26"/>
      <c r="AB781" s="5">
        <f t="shared" si="1126"/>
        <v>0</v>
      </c>
      <c r="AC781" s="86">
        <f t="shared" si="1127"/>
        <v>0</v>
      </c>
    </row>
    <row r="782" spans="1:30" x14ac:dyDescent="0.15">
      <c r="A782" s="102" t="s">
        <v>3</v>
      </c>
      <c r="B782" s="14">
        <v>10</v>
      </c>
      <c r="C782" s="11"/>
      <c r="D782" s="11"/>
      <c r="E782" s="5">
        <f t="shared" si="1120"/>
        <v>10</v>
      </c>
      <c r="F782" s="34">
        <v>5</v>
      </c>
      <c r="G782" s="11">
        <v>5</v>
      </c>
      <c r="H782" s="11"/>
      <c r="I782" s="5">
        <f t="shared" si="1121"/>
        <v>10</v>
      </c>
      <c r="J782" s="34">
        <v>10</v>
      </c>
      <c r="K782" s="11"/>
      <c r="L782" s="11"/>
      <c r="M782" s="38">
        <f t="shared" si="1122"/>
        <v>10</v>
      </c>
      <c r="N782" s="138">
        <f t="shared" si="1123"/>
        <v>30</v>
      </c>
      <c r="O782" s="24">
        <v>45726</v>
      </c>
      <c r="P782" s="6" t="s">
        <v>3</v>
      </c>
      <c r="Q782" s="14"/>
      <c r="R782" s="11"/>
      <c r="S782" s="11"/>
      <c r="T782" s="5">
        <f t="shared" si="1124"/>
        <v>0</v>
      </c>
      <c r="U782" s="14"/>
      <c r="V782" s="11"/>
      <c r="W782" s="11"/>
      <c r="X782" s="5">
        <f t="shared" si="1125"/>
        <v>0</v>
      </c>
      <c r="Y782" s="25"/>
      <c r="Z782" s="26"/>
      <c r="AA782" s="26"/>
      <c r="AB782" s="5">
        <f t="shared" si="1126"/>
        <v>0</v>
      </c>
      <c r="AC782" s="86">
        <f t="shared" si="1127"/>
        <v>0</v>
      </c>
    </row>
    <row r="783" spans="1:30" x14ac:dyDescent="0.15">
      <c r="A783" s="102" t="s">
        <v>3</v>
      </c>
      <c r="B783" s="14">
        <v>5</v>
      </c>
      <c r="C783" s="11">
        <v>15</v>
      </c>
      <c r="D783" s="11">
        <v>10</v>
      </c>
      <c r="E783" s="5">
        <f t="shared" si="1120"/>
        <v>30</v>
      </c>
      <c r="F783" s="34">
        <v>5</v>
      </c>
      <c r="G783" s="11">
        <v>15</v>
      </c>
      <c r="H783" s="11">
        <v>10</v>
      </c>
      <c r="I783" s="5">
        <f t="shared" si="1121"/>
        <v>30</v>
      </c>
      <c r="J783" s="34"/>
      <c r="K783" s="11">
        <v>15</v>
      </c>
      <c r="L783" s="11">
        <v>10</v>
      </c>
      <c r="M783" s="38">
        <f t="shared" si="1122"/>
        <v>25</v>
      </c>
      <c r="N783" s="138">
        <f t="shared" si="1123"/>
        <v>85</v>
      </c>
      <c r="O783" s="24">
        <v>45727</v>
      </c>
      <c r="P783" s="6" t="s">
        <v>3</v>
      </c>
      <c r="Q783" s="14"/>
      <c r="R783" s="11"/>
      <c r="S783" s="11"/>
      <c r="T783" s="5">
        <f t="shared" si="1124"/>
        <v>0</v>
      </c>
      <c r="U783" s="14"/>
      <c r="V783" s="11"/>
      <c r="W783" s="11"/>
      <c r="X783" s="5">
        <f t="shared" si="1125"/>
        <v>0</v>
      </c>
      <c r="Y783" s="25"/>
      <c r="Z783" s="26"/>
      <c r="AA783" s="26"/>
      <c r="AB783" s="5">
        <f t="shared" si="1126"/>
        <v>0</v>
      </c>
      <c r="AC783" s="86">
        <f t="shared" si="1127"/>
        <v>0</v>
      </c>
    </row>
    <row r="784" spans="1:30" x14ac:dyDescent="0.15">
      <c r="A784" s="102" t="s">
        <v>3</v>
      </c>
      <c r="B784" s="14"/>
      <c r="C784" s="11"/>
      <c r="D784" s="11"/>
      <c r="E784" s="5">
        <f t="shared" si="1120"/>
        <v>0</v>
      </c>
      <c r="F784" s="34"/>
      <c r="G784" s="11"/>
      <c r="H784" s="11"/>
      <c r="I784" s="5">
        <f t="shared" si="1121"/>
        <v>0</v>
      </c>
      <c r="J784" s="34"/>
      <c r="K784" s="11"/>
      <c r="L784" s="11"/>
      <c r="M784" s="38">
        <f t="shared" si="1122"/>
        <v>0</v>
      </c>
      <c r="N784" s="138">
        <f t="shared" si="1123"/>
        <v>0</v>
      </c>
      <c r="O784" s="58"/>
      <c r="P784" s="6" t="s">
        <v>3</v>
      </c>
      <c r="Q784" s="14"/>
      <c r="R784" s="11"/>
      <c r="S784" s="11"/>
      <c r="T784" s="5">
        <f t="shared" si="1124"/>
        <v>0</v>
      </c>
      <c r="U784" s="14"/>
      <c r="V784" s="11"/>
      <c r="W784" s="11"/>
      <c r="X784" s="5">
        <f t="shared" si="1125"/>
        <v>0</v>
      </c>
      <c r="Y784" s="25"/>
      <c r="Z784" s="26"/>
      <c r="AA784" s="26"/>
      <c r="AB784" s="5">
        <f t="shared" si="1126"/>
        <v>0</v>
      </c>
      <c r="AC784" s="86">
        <f t="shared" si="1127"/>
        <v>0</v>
      </c>
    </row>
    <row r="785" spans="1:31" x14ac:dyDescent="0.15">
      <c r="A785" s="102" t="s">
        <v>3</v>
      </c>
      <c r="B785" s="25"/>
      <c r="C785" s="26"/>
      <c r="D785" s="26"/>
      <c r="E785" s="8">
        <f t="shared" si="1120"/>
        <v>0</v>
      </c>
      <c r="F785" s="25"/>
      <c r="G785" s="26"/>
      <c r="H785" s="26"/>
      <c r="I785" s="8">
        <f t="shared" si="1121"/>
        <v>0</v>
      </c>
      <c r="J785" s="25"/>
      <c r="K785" s="26"/>
      <c r="L785" s="26"/>
      <c r="M785" s="39">
        <f t="shared" si="1122"/>
        <v>0</v>
      </c>
      <c r="N785" s="138">
        <f t="shared" si="1123"/>
        <v>0</v>
      </c>
      <c r="P785" s="6" t="s">
        <v>3</v>
      </c>
      <c r="Q785" s="14"/>
      <c r="R785" s="11"/>
      <c r="S785" s="11"/>
      <c r="T785" s="5">
        <f t="shared" si="1124"/>
        <v>0</v>
      </c>
      <c r="U785" s="14"/>
      <c r="V785" s="11"/>
      <c r="W785" s="11"/>
      <c r="X785" s="5">
        <f t="shared" si="1125"/>
        <v>0</v>
      </c>
      <c r="Y785" s="25"/>
      <c r="Z785" s="26"/>
      <c r="AA785" s="26"/>
      <c r="AB785" s="8">
        <f t="shared" si="1126"/>
        <v>0</v>
      </c>
      <c r="AC785" s="86">
        <f t="shared" si="1127"/>
        <v>0</v>
      </c>
    </row>
    <row r="786" spans="1:31" x14ac:dyDescent="0.15">
      <c r="A786" s="102" t="s">
        <v>3</v>
      </c>
      <c r="B786" s="27"/>
      <c r="C786" s="26"/>
      <c r="D786" s="26"/>
      <c r="E786" s="5">
        <f t="shared" si="1120"/>
        <v>0</v>
      </c>
      <c r="F786" s="25"/>
      <c r="G786" s="26"/>
      <c r="H786" s="26"/>
      <c r="I786" s="5">
        <f t="shared" si="1121"/>
        <v>0</v>
      </c>
      <c r="J786" s="25"/>
      <c r="K786" s="26"/>
      <c r="L786" s="26"/>
      <c r="M786" s="38">
        <f t="shared" si="1122"/>
        <v>0</v>
      </c>
      <c r="N786" s="138">
        <f t="shared" si="1123"/>
        <v>0</v>
      </c>
      <c r="P786" s="6" t="s">
        <v>3</v>
      </c>
      <c r="Q786" s="27"/>
      <c r="R786" s="26"/>
      <c r="S786" s="26"/>
      <c r="T786" s="5">
        <f t="shared" si="1124"/>
        <v>0</v>
      </c>
      <c r="U786" s="27"/>
      <c r="V786" s="26"/>
      <c r="W786" s="26"/>
      <c r="X786" s="5">
        <f t="shared" si="1125"/>
        <v>0</v>
      </c>
      <c r="Y786" s="25"/>
      <c r="Z786" s="26"/>
      <c r="AA786" s="26"/>
      <c r="AB786" s="5">
        <f t="shared" si="1126"/>
        <v>0</v>
      </c>
      <c r="AC786" s="86">
        <f t="shared" si="1127"/>
        <v>0</v>
      </c>
    </row>
    <row r="787" spans="1:31" x14ac:dyDescent="0.15">
      <c r="A787" s="102" t="s">
        <v>3</v>
      </c>
      <c r="B787" s="27"/>
      <c r="C787" s="26"/>
      <c r="D787" s="26"/>
      <c r="E787" s="5">
        <f t="shared" si="1120"/>
        <v>0</v>
      </c>
      <c r="F787" s="25"/>
      <c r="G787" s="26"/>
      <c r="H787" s="26"/>
      <c r="I787" s="5">
        <f t="shared" si="1121"/>
        <v>0</v>
      </c>
      <c r="J787" s="25"/>
      <c r="K787" s="26"/>
      <c r="L787" s="26"/>
      <c r="M787" s="38">
        <f t="shared" si="1122"/>
        <v>0</v>
      </c>
      <c r="N787" s="138">
        <f t="shared" si="1123"/>
        <v>0</v>
      </c>
      <c r="P787" s="6" t="s">
        <v>3</v>
      </c>
      <c r="Q787" s="14"/>
      <c r="R787" s="11"/>
      <c r="S787" s="11"/>
      <c r="T787" s="5">
        <f t="shared" ref="T787:T805" si="1128">SUM(Q787:S787)</f>
        <v>0</v>
      </c>
      <c r="U787" s="14"/>
      <c r="V787" s="11"/>
      <c r="W787" s="11"/>
      <c r="X787" s="5">
        <f t="shared" ref="X787:X805" si="1129">SUM(U787:W787)</f>
        <v>0</v>
      </c>
      <c r="Y787" s="25"/>
      <c r="Z787" s="26"/>
      <c r="AA787" s="26"/>
      <c r="AB787" s="8">
        <f t="shared" ref="AB787:AB805" si="1130">SUM(Y787:AA787)</f>
        <v>0</v>
      </c>
      <c r="AC787" s="86">
        <f t="shared" si="1127"/>
        <v>0</v>
      </c>
    </row>
    <row r="788" spans="1:31" x14ac:dyDescent="0.15">
      <c r="A788" s="102" t="s">
        <v>3</v>
      </c>
      <c r="B788" s="27"/>
      <c r="C788" s="26"/>
      <c r="D788" s="26"/>
      <c r="E788" s="5">
        <f t="shared" si="1120"/>
        <v>0</v>
      </c>
      <c r="F788" s="25"/>
      <c r="G788" s="26"/>
      <c r="H788" s="26"/>
      <c r="I788" s="5">
        <f t="shared" si="1121"/>
        <v>0</v>
      </c>
      <c r="J788" s="25"/>
      <c r="K788" s="26"/>
      <c r="L788" s="26"/>
      <c r="M788" s="38">
        <f t="shared" si="1122"/>
        <v>0</v>
      </c>
      <c r="N788" s="138">
        <f t="shared" si="1123"/>
        <v>0</v>
      </c>
      <c r="P788" s="6" t="s">
        <v>3</v>
      </c>
      <c r="Q788" s="27"/>
      <c r="R788" s="26"/>
      <c r="S788" s="26"/>
      <c r="T788" s="5">
        <f t="shared" si="1128"/>
        <v>0</v>
      </c>
      <c r="U788" s="27"/>
      <c r="V788" s="26"/>
      <c r="W788" s="26"/>
      <c r="X788" s="5">
        <f t="shared" si="1129"/>
        <v>0</v>
      </c>
      <c r="Y788" s="25"/>
      <c r="Z788" s="26"/>
      <c r="AA788" s="26"/>
      <c r="AB788" s="5">
        <f t="shared" si="1130"/>
        <v>0</v>
      </c>
      <c r="AC788" s="86">
        <f t="shared" si="1127"/>
        <v>0</v>
      </c>
    </row>
    <row r="789" spans="1:31" ht="14.25" thickBot="1" x14ac:dyDescent="0.2">
      <c r="A789" s="102" t="s">
        <v>3</v>
      </c>
      <c r="B789" s="28"/>
      <c r="C789" s="29"/>
      <c r="D789" s="32"/>
      <c r="E789" s="15">
        <f t="shared" si="1120"/>
        <v>0</v>
      </c>
      <c r="F789" s="35"/>
      <c r="G789" s="29"/>
      <c r="H789" s="32"/>
      <c r="I789" s="15">
        <f t="shared" si="1121"/>
        <v>0</v>
      </c>
      <c r="J789" s="35"/>
      <c r="K789" s="29"/>
      <c r="L789" s="32"/>
      <c r="M789" s="40">
        <f t="shared" si="1122"/>
        <v>0</v>
      </c>
      <c r="N789" s="139">
        <f t="shared" si="1123"/>
        <v>0</v>
      </c>
      <c r="P789" s="7" t="s">
        <v>3</v>
      </c>
      <c r="Q789" s="28"/>
      <c r="R789" s="29"/>
      <c r="S789" s="29"/>
      <c r="T789" s="15">
        <f t="shared" si="1128"/>
        <v>0</v>
      </c>
      <c r="U789" s="28"/>
      <c r="V789" s="29"/>
      <c r="W789" s="29"/>
      <c r="X789" s="15">
        <f t="shared" si="1129"/>
        <v>0</v>
      </c>
      <c r="Y789" s="35"/>
      <c r="Z789" s="29"/>
      <c r="AA789" s="32"/>
      <c r="AB789" s="15">
        <f t="shared" si="1130"/>
        <v>0</v>
      </c>
      <c r="AC789" s="87">
        <f t="shared" ref="AC789:AC806" si="1131">T789+X789+AB789</f>
        <v>0</v>
      </c>
    </row>
    <row r="790" spans="1:31" ht="14.25" thickBot="1" x14ac:dyDescent="0.2">
      <c r="A790" s="103" t="s">
        <v>4</v>
      </c>
      <c r="B790" s="17">
        <f>SUM(B779:B789)</f>
        <v>29</v>
      </c>
      <c r="C790" s="17">
        <f>SUM(C779:C789)</f>
        <v>38</v>
      </c>
      <c r="D790" s="17">
        <f>SUM(D779:D789)</f>
        <v>32</v>
      </c>
      <c r="E790" s="18">
        <f t="shared" si="1120"/>
        <v>99</v>
      </c>
      <c r="F790" s="17">
        <f>SUM(F779:F789)</f>
        <v>28</v>
      </c>
      <c r="G790" s="17">
        <f>SUM(G779:G789)</f>
        <v>42</v>
      </c>
      <c r="H790" s="17">
        <f>SUM(H779:H789)</f>
        <v>28</v>
      </c>
      <c r="I790" s="18">
        <f t="shared" si="1121"/>
        <v>98</v>
      </c>
      <c r="J790" s="17">
        <f>SUM(J779:J789)</f>
        <v>24</v>
      </c>
      <c r="K790" s="17">
        <f>SUM(K779:K789)</f>
        <v>39</v>
      </c>
      <c r="L790" s="17">
        <f>SUM(L779:L789)</f>
        <v>29</v>
      </c>
      <c r="M790" s="20">
        <f t="shared" si="1122"/>
        <v>92</v>
      </c>
      <c r="N790" s="140">
        <f t="shared" si="1123"/>
        <v>289</v>
      </c>
      <c r="P790" s="16" t="s">
        <v>4</v>
      </c>
      <c r="Q790" s="17">
        <f>SUM(Q779:Q789)</f>
        <v>569</v>
      </c>
      <c r="R790" s="17">
        <f t="shared" ref="R790" si="1132">SUM(R779:R789)</f>
        <v>739</v>
      </c>
      <c r="S790" s="17">
        <f t="shared" ref="S790" si="1133">SUM(S779:S789)</f>
        <v>660</v>
      </c>
      <c r="T790" s="18">
        <f t="shared" ref="T790" si="1134">SUM(T779:T789)</f>
        <v>1968</v>
      </c>
      <c r="U790" s="17">
        <f t="shared" ref="U790" si="1135">SUM(U779:U789)</f>
        <v>535</v>
      </c>
      <c r="V790" s="17">
        <f t="shared" ref="V790" si="1136">SUM(V779:V789)</f>
        <v>762</v>
      </c>
      <c r="W790" s="17">
        <f t="shared" ref="W790" si="1137">SUM(W779:W789)</f>
        <v>733</v>
      </c>
      <c r="X790" s="18">
        <f t="shared" ref="X790" si="1138">SUM(X779:X789)</f>
        <v>2030</v>
      </c>
      <c r="Y790" s="17">
        <f t="shared" ref="Y790" si="1139">SUM(Y779:Y789)</f>
        <v>519</v>
      </c>
      <c r="Z790" s="17">
        <f t="shared" ref="Z790" si="1140">SUM(Z779:Z789)</f>
        <v>718</v>
      </c>
      <c r="AA790" s="17">
        <f t="shared" ref="AA790" si="1141">SUM(AA779:AA789)</f>
        <v>682</v>
      </c>
      <c r="AB790" s="18">
        <f t="shared" ref="AB790" si="1142">SUM(AB779:AB789)</f>
        <v>1919</v>
      </c>
      <c r="AC790" s="88">
        <f t="shared" ref="AC790" si="1143">SUM(AC779:AC789)</f>
        <v>5917</v>
      </c>
    </row>
    <row r="791" spans="1:31" x14ac:dyDescent="0.15">
      <c r="A791" s="11" t="s">
        <v>712</v>
      </c>
      <c r="B791" s="9"/>
      <c r="C791" s="10">
        <v>2</v>
      </c>
      <c r="D791" s="31"/>
      <c r="E791" s="5">
        <f t="shared" si="1120"/>
        <v>2</v>
      </c>
      <c r="F791" s="9"/>
      <c r="G791" s="10">
        <v>2</v>
      </c>
      <c r="H791" s="31"/>
      <c r="I791" s="5">
        <f t="shared" si="1121"/>
        <v>2</v>
      </c>
      <c r="J791" s="9"/>
      <c r="K791" s="10">
        <v>2</v>
      </c>
      <c r="L791" s="31"/>
      <c r="M791" s="38">
        <f t="shared" si="1122"/>
        <v>2</v>
      </c>
      <c r="N791" s="141">
        <f t="shared" si="1123"/>
        <v>6</v>
      </c>
      <c r="O791" s="24">
        <v>45713</v>
      </c>
      <c r="P791" s="11" t="s">
        <v>713</v>
      </c>
      <c r="Q791" s="9">
        <v>5</v>
      </c>
      <c r="R791" s="10">
        <v>5</v>
      </c>
      <c r="S791" s="10"/>
      <c r="T791" s="5">
        <f t="shared" ref="T791:T795" si="1144">SUM(Q791:S791)</f>
        <v>10</v>
      </c>
      <c r="U791" s="9">
        <v>5</v>
      </c>
      <c r="V791" s="10">
        <v>5</v>
      </c>
      <c r="W791" s="10"/>
      <c r="X791" s="5">
        <f t="shared" ref="X791:X795" si="1145">SUM(U791:W791)</f>
        <v>10</v>
      </c>
      <c r="Y791" s="9">
        <v>5</v>
      </c>
      <c r="Z791" s="10">
        <v>5</v>
      </c>
      <c r="AA791" s="10"/>
      <c r="AB791" s="5">
        <f t="shared" ref="AB791:AB795" si="1146">SUM(Y791:AA791)</f>
        <v>10</v>
      </c>
      <c r="AC791" s="86">
        <f t="shared" ref="AC791:AC795" si="1147">T791+X791+AB791</f>
        <v>30</v>
      </c>
      <c r="AD791" s="109">
        <v>45721</v>
      </c>
      <c r="AE791" s="58"/>
    </row>
    <row r="792" spans="1:31" x14ac:dyDescent="0.15">
      <c r="A792" s="33" t="s">
        <v>36</v>
      </c>
      <c r="B792" s="9"/>
      <c r="C792" s="10"/>
      <c r="D792" s="10"/>
      <c r="E792" s="5">
        <f t="shared" si="1120"/>
        <v>0</v>
      </c>
      <c r="F792" s="9"/>
      <c r="G792" s="10">
        <v>1</v>
      </c>
      <c r="H792" s="10"/>
      <c r="I792" s="5">
        <f t="shared" si="1121"/>
        <v>1</v>
      </c>
      <c r="J792" s="9"/>
      <c r="K792" s="10"/>
      <c r="L792" s="10"/>
      <c r="M792" s="38">
        <f t="shared" si="1122"/>
        <v>0</v>
      </c>
      <c r="N792" s="138">
        <f t="shared" si="1123"/>
        <v>1</v>
      </c>
      <c r="O792" s="24">
        <v>45713</v>
      </c>
      <c r="P792" s="4" t="s">
        <v>715</v>
      </c>
      <c r="Q792" s="9">
        <v>4</v>
      </c>
      <c r="R792" s="10">
        <v>3</v>
      </c>
      <c r="S792" s="10">
        <v>7</v>
      </c>
      <c r="T792" s="5">
        <f t="shared" si="1144"/>
        <v>14</v>
      </c>
      <c r="U792" s="9">
        <v>4</v>
      </c>
      <c r="V792" s="10">
        <v>3</v>
      </c>
      <c r="W792" s="10">
        <v>7</v>
      </c>
      <c r="X792" s="5">
        <f t="shared" si="1145"/>
        <v>14</v>
      </c>
      <c r="Y792" s="9">
        <v>4</v>
      </c>
      <c r="Z792" s="10">
        <v>3</v>
      </c>
      <c r="AA792" s="10">
        <v>7</v>
      </c>
      <c r="AB792" s="5">
        <f t="shared" si="1146"/>
        <v>14</v>
      </c>
      <c r="AC792" s="86">
        <f t="shared" si="1147"/>
        <v>42</v>
      </c>
      <c r="AD792" s="109">
        <v>45716</v>
      </c>
      <c r="AE792" s="58"/>
    </row>
    <row r="793" spans="1:31" x14ac:dyDescent="0.15">
      <c r="A793" s="33" t="s">
        <v>36</v>
      </c>
      <c r="B793" s="9"/>
      <c r="C793" s="10">
        <v>1</v>
      </c>
      <c r="D793" s="10">
        <v>1</v>
      </c>
      <c r="E793" s="5">
        <f t="shared" si="1120"/>
        <v>2</v>
      </c>
      <c r="F793" s="9"/>
      <c r="G793" s="10"/>
      <c r="H793" s="10"/>
      <c r="I793" s="5">
        <f t="shared" si="1121"/>
        <v>0</v>
      </c>
      <c r="J793" s="9"/>
      <c r="K793" s="10"/>
      <c r="L793" s="10"/>
      <c r="M793" s="38">
        <f t="shared" si="1122"/>
        <v>0</v>
      </c>
      <c r="N793" s="138">
        <f t="shared" si="1123"/>
        <v>2</v>
      </c>
      <c r="O793" s="24">
        <v>45714</v>
      </c>
      <c r="P793" s="4" t="s">
        <v>718</v>
      </c>
      <c r="Q793" s="9">
        <v>1</v>
      </c>
      <c r="R793" s="10">
        <v>6</v>
      </c>
      <c r="S793" s="10">
        <v>1</v>
      </c>
      <c r="T793" s="5">
        <f t="shared" si="1144"/>
        <v>8</v>
      </c>
      <c r="U793" s="9">
        <v>1</v>
      </c>
      <c r="V793" s="10">
        <v>6</v>
      </c>
      <c r="W793" s="10">
        <v>1</v>
      </c>
      <c r="X793" s="5">
        <f t="shared" si="1145"/>
        <v>8</v>
      </c>
      <c r="Y793" s="9">
        <v>1</v>
      </c>
      <c r="Z793" s="10">
        <v>6</v>
      </c>
      <c r="AA793" s="10">
        <v>1</v>
      </c>
      <c r="AB793" s="5">
        <f t="shared" si="1146"/>
        <v>8</v>
      </c>
      <c r="AC793" s="86">
        <f t="shared" si="1147"/>
        <v>24</v>
      </c>
      <c r="AD793" s="109">
        <v>45716</v>
      </c>
      <c r="AE793" s="58"/>
    </row>
    <row r="794" spans="1:31" x14ac:dyDescent="0.15">
      <c r="A794" s="4" t="s">
        <v>716</v>
      </c>
      <c r="B794" s="9"/>
      <c r="C794" s="10">
        <v>5</v>
      </c>
      <c r="D794" s="10"/>
      <c r="E794" s="5">
        <f t="shared" si="1120"/>
        <v>5</v>
      </c>
      <c r="F794" s="9"/>
      <c r="G794" s="10">
        <v>5</v>
      </c>
      <c r="H794" s="10"/>
      <c r="I794" s="5">
        <f t="shared" si="1121"/>
        <v>5</v>
      </c>
      <c r="J794" s="9"/>
      <c r="K794" s="10">
        <v>5</v>
      </c>
      <c r="L794" s="10"/>
      <c r="M794" s="38">
        <f t="shared" si="1122"/>
        <v>5</v>
      </c>
      <c r="N794" s="138">
        <f t="shared" si="1123"/>
        <v>15</v>
      </c>
      <c r="O794" s="24">
        <v>45715</v>
      </c>
      <c r="P794" s="4" t="s">
        <v>719</v>
      </c>
      <c r="Q794" s="9">
        <v>5</v>
      </c>
      <c r="R794" s="10">
        <v>15</v>
      </c>
      <c r="S794" s="10"/>
      <c r="T794" s="5">
        <f t="shared" si="1144"/>
        <v>20</v>
      </c>
      <c r="U794" s="9">
        <v>5</v>
      </c>
      <c r="V794" s="10">
        <v>15</v>
      </c>
      <c r="W794" s="10"/>
      <c r="X794" s="5">
        <f t="shared" si="1145"/>
        <v>20</v>
      </c>
      <c r="Y794" s="9">
        <v>5</v>
      </c>
      <c r="Z794" s="10">
        <v>15</v>
      </c>
      <c r="AA794" s="10"/>
      <c r="AB794" s="5">
        <f t="shared" si="1146"/>
        <v>20</v>
      </c>
      <c r="AC794" s="86">
        <f t="shared" si="1147"/>
        <v>60</v>
      </c>
      <c r="AD794" s="109">
        <v>45719</v>
      </c>
      <c r="AE794" s="58"/>
    </row>
    <row r="795" spans="1:31" x14ac:dyDescent="0.15">
      <c r="A795" s="33" t="s">
        <v>36</v>
      </c>
      <c r="B795" s="9"/>
      <c r="C795" s="10">
        <v>1</v>
      </c>
      <c r="D795" s="10"/>
      <c r="E795" s="5">
        <f t="shared" si="1120"/>
        <v>1</v>
      </c>
      <c r="F795" s="9"/>
      <c r="G795" s="10"/>
      <c r="H795" s="10"/>
      <c r="I795" s="5">
        <f t="shared" si="1121"/>
        <v>0</v>
      </c>
      <c r="J795" s="9"/>
      <c r="K795" s="10"/>
      <c r="L795" s="10"/>
      <c r="M795" s="38">
        <f t="shared" si="1122"/>
        <v>0</v>
      </c>
      <c r="N795" s="138">
        <f t="shared" si="1123"/>
        <v>1</v>
      </c>
      <c r="O795" s="24">
        <v>45716</v>
      </c>
      <c r="P795" s="4" t="s">
        <v>27</v>
      </c>
      <c r="Q795" s="9"/>
      <c r="R795" s="10">
        <v>10</v>
      </c>
      <c r="S795" s="10"/>
      <c r="T795" s="8">
        <f t="shared" si="1144"/>
        <v>10</v>
      </c>
      <c r="U795" s="9"/>
      <c r="V795" s="10">
        <v>10</v>
      </c>
      <c r="W795" s="10"/>
      <c r="X795" s="8">
        <f t="shared" si="1145"/>
        <v>10</v>
      </c>
      <c r="Y795" s="9"/>
      <c r="Z795" s="10">
        <v>10</v>
      </c>
      <c r="AA795" s="10"/>
      <c r="AB795" s="8">
        <f t="shared" si="1146"/>
        <v>10</v>
      </c>
      <c r="AC795" s="86">
        <f t="shared" si="1147"/>
        <v>30</v>
      </c>
      <c r="AD795" s="109">
        <v>45716</v>
      </c>
      <c r="AE795" s="58"/>
    </row>
    <row r="796" spans="1:31" x14ac:dyDescent="0.15">
      <c r="A796" s="33" t="s">
        <v>36</v>
      </c>
      <c r="B796" s="9"/>
      <c r="C796" s="10"/>
      <c r="D796" s="10">
        <v>3</v>
      </c>
      <c r="E796" s="8">
        <f t="shared" ref="E796:E797" si="1148">SUM(B796:D796)</f>
        <v>3</v>
      </c>
      <c r="F796" s="9"/>
      <c r="G796" s="10"/>
      <c r="H796" s="10">
        <v>3</v>
      </c>
      <c r="I796" s="8">
        <f t="shared" ref="I796:I797" si="1149">SUM(F796:H796)</f>
        <v>3</v>
      </c>
      <c r="J796" s="9"/>
      <c r="K796" s="10"/>
      <c r="L796" s="10">
        <v>3</v>
      </c>
      <c r="M796" s="39">
        <f t="shared" ref="M796:M797" si="1150">SUM(J796:L796)</f>
        <v>3</v>
      </c>
      <c r="N796" s="138">
        <f t="shared" ref="N796:N797" si="1151">E796+I796+M796</f>
        <v>9</v>
      </c>
      <c r="O796" s="70">
        <v>45717</v>
      </c>
      <c r="P796" s="4" t="s">
        <v>720</v>
      </c>
      <c r="Q796" s="9">
        <v>15</v>
      </c>
      <c r="R796" s="10">
        <v>20</v>
      </c>
      <c r="S796" s="10">
        <v>15</v>
      </c>
      <c r="T796" s="8">
        <f t="shared" ref="T796:T800" si="1152">SUM(Q796:S796)</f>
        <v>50</v>
      </c>
      <c r="U796" s="9">
        <v>10</v>
      </c>
      <c r="V796" s="10">
        <v>10</v>
      </c>
      <c r="W796" s="10">
        <v>10</v>
      </c>
      <c r="X796" s="8">
        <f t="shared" ref="X796:X800" si="1153">SUM(U796:W796)</f>
        <v>30</v>
      </c>
      <c r="Y796" s="9">
        <v>15</v>
      </c>
      <c r="Z796" s="10">
        <v>20</v>
      </c>
      <c r="AA796" s="10">
        <v>15</v>
      </c>
      <c r="AB796" s="8">
        <f t="shared" ref="AB796:AB800" si="1154">SUM(Y796:AA796)</f>
        <v>50</v>
      </c>
      <c r="AC796" s="86">
        <f t="shared" ref="AC796:AC800" si="1155">T796+X796+AB796</f>
        <v>130</v>
      </c>
      <c r="AD796" s="109">
        <v>45722</v>
      </c>
    </row>
    <row r="797" spans="1:31" x14ac:dyDescent="0.15">
      <c r="A797" s="33" t="s">
        <v>36</v>
      </c>
      <c r="B797" s="9">
        <v>1</v>
      </c>
      <c r="C797" s="10"/>
      <c r="D797" s="10">
        <v>1</v>
      </c>
      <c r="E797" s="8">
        <f t="shared" si="1148"/>
        <v>2</v>
      </c>
      <c r="F797" s="9">
        <v>1</v>
      </c>
      <c r="G797" s="10"/>
      <c r="H797" s="10">
        <v>1</v>
      </c>
      <c r="I797" s="8">
        <f t="shared" si="1149"/>
        <v>2</v>
      </c>
      <c r="J797" s="9">
        <v>1</v>
      </c>
      <c r="K797" s="10"/>
      <c r="L797" s="10">
        <v>1</v>
      </c>
      <c r="M797" s="39">
        <f t="shared" si="1150"/>
        <v>2</v>
      </c>
      <c r="N797" s="138">
        <f t="shared" si="1151"/>
        <v>6</v>
      </c>
      <c r="O797" s="24">
        <v>45719</v>
      </c>
      <c r="P797" s="4" t="s">
        <v>721</v>
      </c>
      <c r="Q797" s="9">
        <v>11</v>
      </c>
      <c r="R797" s="10">
        <v>11</v>
      </c>
      <c r="S797" s="10">
        <v>11</v>
      </c>
      <c r="T797" s="8">
        <f t="shared" si="1152"/>
        <v>33</v>
      </c>
      <c r="U797" s="9">
        <v>11</v>
      </c>
      <c r="V797" s="10">
        <v>11</v>
      </c>
      <c r="W797" s="10">
        <v>11</v>
      </c>
      <c r="X797" s="8">
        <f t="shared" si="1153"/>
        <v>33</v>
      </c>
      <c r="Y797" s="9">
        <v>11</v>
      </c>
      <c r="Z797" s="10">
        <v>11</v>
      </c>
      <c r="AA797" s="10">
        <v>11</v>
      </c>
      <c r="AB797" s="8">
        <f t="shared" si="1154"/>
        <v>33</v>
      </c>
      <c r="AC797" s="86">
        <f t="shared" si="1155"/>
        <v>99</v>
      </c>
      <c r="AD797" s="109">
        <v>45721</v>
      </c>
    </row>
    <row r="798" spans="1:31" x14ac:dyDescent="0.15">
      <c r="A798" s="11" t="s">
        <v>724</v>
      </c>
      <c r="B798" s="9"/>
      <c r="C798" s="10">
        <v>1</v>
      </c>
      <c r="D798" s="10"/>
      <c r="E798" s="8">
        <f t="shared" si="1120"/>
        <v>1</v>
      </c>
      <c r="F798" s="9"/>
      <c r="G798" s="10">
        <v>1</v>
      </c>
      <c r="H798" s="10"/>
      <c r="I798" s="8">
        <f t="shared" si="1121"/>
        <v>1</v>
      </c>
      <c r="J798" s="9"/>
      <c r="K798" s="10">
        <v>1</v>
      </c>
      <c r="L798" s="10"/>
      <c r="M798" s="39">
        <f t="shared" si="1122"/>
        <v>1</v>
      </c>
      <c r="N798" s="138">
        <f t="shared" si="1123"/>
        <v>3</v>
      </c>
      <c r="O798" s="24">
        <v>45721</v>
      </c>
      <c r="P798" s="4" t="s">
        <v>722</v>
      </c>
      <c r="Q798" s="9">
        <v>14</v>
      </c>
      <c r="R798" s="10">
        <v>15</v>
      </c>
      <c r="S798" s="10">
        <v>13</v>
      </c>
      <c r="T798" s="8">
        <f t="shared" si="1152"/>
        <v>42</v>
      </c>
      <c r="U798" s="9">
        <v>14</v>
      </c>
      <c r="V798" s="10">
        <v>15</v>
      </c>
      <c r="W798" s="10">
        <v>13</v>
      </c>
      <c r="X798" s="8">
        <f t="shared" si="1153"/>
        <v>42</v>
      </c>
      <c r="Y798" s="9">
        <v>14</v>
      </c>
      <c r="Z798" s="10">
        <v>15</v>
      </c>
      <c r="AA798" s="10">
        <v>13</v>
      </c>
      <c r="AB798" s="8">
        <f t="shared" si="1154"/>
        <v>42</v>
      </c>
      <c r="AC798" s="86">
        <f t="shared" si="1155"/>
        <v>126</v>
      </c>
      <c r="AD798" s="109">
        <v>45720</v>
      </c>
      <c r="AE798" s="58"/>
    </row>
    <row r="799" spans="1:31" x14ac:dyDescent="0.15">
      <c r="A799" s="33" t="s">
        <v>36</v>
      </c>
      <c r="B799" s="9"/>
      <c r="C799" s="10"/>
      <c r="D799" s="10">
        <v>2</v>
      </c>
      <c r="E799" s="8">
        <f t="shared" si="1120"/>
        <v>2</v>
      </c>
      <c r="F799" s="9">
        <v>1</v>
      </c>
      <c r="G799" s="10"/>
      <c r="H799" s="10"/>
      <c r="I799" s="8">
        <f t="shared" si="1121"/>
        <v>1</v>
      </c>
      <c r="J799" s="9"/>
      <c r="K799" s="10"/>
      <c r="L799" s="10"/>
      <c r="M799" s="39">
        <f t="shared" si="1122"/>
        <v>0</v>
      </c>
      <c r="N799" s="138">
        <f t="shared" si="1123"/>
        <v>3</v>
      </c>
      <c r="O799" s="24">
        <v>45721</v>
      </c>
      <c r="P799" s="4" t="s">
        <v>723</v>
      </c>
      <c r="Q799" s="9">
        <v>5</v>
      </c>
      <c r="R799" s="10">
        <v>9</v>
      </c>
      <c r="S799" s="10">
        <v>6</v>
      </c>
      <c r="T799" s="8">
        <f t="shared" si="1152"/>
        <v>20</v>
      </c>
      <c r="U799" s="9">
        <v>5</v>
      </c>
      <c r="V799" s="10">
        <v>9</v>
      </c>
      <c r="W799" s="10">
        <v>6</v>
      </c>
      <c r="X799" s="8">
        <f t="shared" si="1153"/>
        <v>20</v>
      </c>
      <c r="Y799" s="9">
        <v>5</v>
      </c>
      <c r="Z799" s="10">
        <v>9</v>
      </c>
      <c r="AA799" s="10">
        <v>6</v>
      </c>
      <c r="AB799" s="8">
        <f t="shared" si="1154"/>
        <v>20</v>
      </c>
      <c r="AC799" s="86">
        <f t="shared" si="1155"/>
        <v>60</v>
      </c>
      <c r="AD799" s="109">
        <v>45722</v>
      </c>
      <c r="AE799" s="58"/>
    </row>
    <row r="800" spans="1:31" x14ac:dyDescent="0.15">
      <c r="A800" s="4" t="s">
        <v>733</v>
      </c>
      <c r="B800" s="9">
        <v>1</v>
      </c>
      <c r="C800" s="10"/>
      <c r="D800" s="10"/>
      <c r="E800" s="8">
        <f t="shared" si="1120"/>
        <v>1</v>
      </c>
      <c r="F800" s="9">
        <v>1</v>
      </c>
      <c r="G800" s="10"/>
      <c r="H800" s="10"/>
      <c r="I800" s="8">
        <f t="shared" si="1121"/>
        <v>1</v>
      </c>
      <c r="J800" s="9">
        <v>1</v>
      </c>
      <c r="K800" s="10"/>
      <c r="L800" s="10"/>
      <c r="M800" s="39">
        <f t="shared" si="1122"/>
        <v>1</v>
      </c>
      <c r="N800" s="138">
        <f t="shared" si="1123"/>
        <v>3</v>
      </c>
      <c r="O800" s="24">
        <v>45723</v>
      </c>
      <c r="P800" s="11" t="s">
        <v>727</v>
      </c>
      <c r="Q800" s="9">
        <v>12</v>
      </c>
      <c r="R800" s="10">
        <v>6</v>
      </c>
      <c r="S800" s="10">
        <v>5</v>
      </c>
      <c r="T800" s="8">
        <f t="shared" si="1152"/>
        <v>23</v>
      </c>
      <c r="U800" s="9">
        <v>12</v>
      </c>
      <c r="V800" s="10">
        <v>6</v>
      </c>
      <c r="W800" s="10">
        <v>5</v>
      </c>
      <c r="X800" s="8">
        <f t="shared" si="1153"/>
        <v>23</v>
      </c>
      <c r="Y800" s="9">
        <v>12</v>
      </c>
      <c r="Z800" s="10">
        <v>6</v>
      </c>
      <c r="AA800" s="10">
        <v>5</v>
      </c>
      <c r="AB800" s="8">
        <f t="shared" si="1154"/>
        <v>23</v>
      </c>
      <c r="AC800" s="86">
        <f t="shared" si="1155"/>
        <v>69</v>
      </c>
      <c r="AD800" s="109">
        <v>45726</v>
      </c>
    </row>
    <row r="801" spans="1:32" x14ac:dyDescent="0.15">
      <c r="A801" s="33" t="s">
        <v>736</v>
      </c>
      <c r="B801" s="9"/>
      <c r="C801" s="10">
        <v>1</v>
      </c>
      <c r="D801" s="10"/>
      <c r="E801" s="8">
        <f t="shared" si="1120"/>
        <v>1</v>
      </c>
      <c r="F801" s="9"/>
      <c r="G801" s="10">
        <v>1</v>
      </c>
      <c r="H801" s="10"/>
      <c r="I801" s="8">
        <f t="shared" si="1121"/>
        <v>1</v>
      </c>
      <c r="J801" s="9"/>
      <c r="K801" s="10">
        <v>1</v>
      </c>
      <c r="L801" s="10"/>
      <c r="M801" s="39">
        <f t="shared" si="1122"/>
        <v>1</v>
      </c>
      <c r="N801" s="138">
        <f t="shared" si="1123"/>
        <v>3</v>
      </c>
      <c r="O801" s="24">
        <v>45722</v>
      </c>
      <c r="P801" s="4" t="s">
        <v>728</v>
      </c>
      <c r="Q801" s="9">
        <v>10</v>
      </c>
      <c r="R801" s="10"/>
      <c r="S801" s="10">
        <v>10</v>
      </c>
      <c r="T801" s="8">
        <f t="shared" si="1128"/>
        <v>20</v>
      </c>
      <c r="U801" s="9">
        <v>10</v>
      </c>
      <c r="V801" s="10"/>
      <c r="W801" s="10">
        <v>10</v>
      </c>
      <c r="X801" s="8">
        <f t="shared" si="1129"/>
        <v>20</v>
      </c>
      <c r="Y801" s="9">
        <v>10</v>
      </c>
      <c r="Z801" s="10"/>
      <c r="AA801" s="10">
        <v>10</v>
      </c>
      <c r="AB801" s="8">
        <f t="shared" si="1130"/>
        <v>20</v>
      </c>
      <c r="AC801" s="86">
        <f t="shared" si="1131"/>
        <v>60</v>
      </c>
      <c r="AD801" s="109">
        <v>45722</v>
      </c>
      <c r="AE801" s="58"/>
      <c r="AF801" s="58"/>
    </row>
    <row r="802" spans="1:32" x14ac:dyDescent="0.15">
      <c r="A802" s="4" t="s">
        <v>737</v>
      </c>
      <c r="B802" s="9">
        <v>5</v>
      </c>
      <c r="C802" s="10"/>
      <c r="D802" s="10"/>
      <c r="E802" s="8">
        <f t="shared" si="1120"/>
        <v>5</v>
      </c>
      <c r="F802" s="9">
        <v>5</v>
      </c>
      <c r="G802" s="10"/>
      <c r="H802" s="10"/>
      <c r="I802" s="8">
        <f t="shared" si="1121"/>
        <v>5</v>
      </c>
      <c r="J802" s="9">
        <v>5</v>
      </c>
      <c r="K802" s="10"/>
      <c r="L802" s="10"/>
      <c r="M802" s="39">
        <f t="shared" si="1122"/>
        <v>5</v>
      </c>
      <c r="N802" s="138">
        <f t="shared" si="1123"/>
        <v>15</v>
      </c>
      <c r="O802" s="24">
        <v>45724</v>
      </c>
      <c r="P802" s="4" t="s">
        <v>714</v>
      </c>
      <c r="Q802" s="9">
        <v>4</v>
      </c>
      <c r="R802" s="10">
        <v>3</v>
      </c>
      <c r="S802" s="10"/>
      <c r="T802" s="8">
        <f t="shared" si="1128"/>
        <v>7</v>
      </c>
      <c r="U802" s="9">
        <v>4</v>
      </c>
      <c r="V802" s="10">
        <v>3</v>
      </c>
      <c r="W802" s="10"/>
      <c r="X802" s="8">
        <f t="shared" si="1129"/>
        <v>7</v>
      </c>
      <c r="Y802" s="9">
        <v>4</v>
      </c>
      <c r="Z802" s="10">
        <v>3</v>
      </c>
      <c r="AA802" s="10"/>
      <c r="AB802" s="8">
        <f t="shared" si="1130"/>
        <v>7</v>
      </c>
      <c r="AC802" s="86">
        <f t="shared" si="1131"/>
        <v>21</v>
      </c>
      <c r="AD802" s="109">
        <v>45726</v>
      </c>
    </row>
    <row r="803" spans="1:32" x14ac:dyDescent="0.15">
      <c r="A803" s="33" t="s">
        <v>738</v>
      </c>
      <c r="B803" s="9"/>
      <c r="C803" s="10">
        <v>1</v>
      </c>
      <c r="D803" s="10"/>
      <c r="E803" s="8">
        <f t="shared" si="1120"/>
        <v>1</v>
      </c>
      <c r="F803" s="9"/>
      <c r="G803" s="10">
        <v>1</v>
      </c>
      <c r="H803" s="10"/>
      <c r="I803" s="8">
        <f t="shared" si="1121"/>
        <v>1</v>
      </c>
      <c r="J803" s="9"/>
      <c r="K803" s="10">
        <v>1</v>
      </c>
      <c r="L803" s="10"/>
      <c r="M803" s="39">
        <f t="shared" si="1122"/>
        <v>1</v>
      </c>
      <c r="N803" s="138">
        <f t="shared" si="1123"/>
        <v>3</v>
      </c>
      <c r="O803" s="24">
        <v>45728</v>
      </c>
      <c r="P803" s="4" t="s">
        <v>729</v>
      </c>
      <c r="Q803" s="9">
        <v>20</v>
      </c>
      <c r="R803" s="10">
        <v>30</v>
      </c>
      <c r="S803" s="10">
        <v>10</v>
      </c>
      <c r="T803" s="8">
        <f t="shared" si="1128"/>
        <v>60</v>
      </c>
      <c r="U803" s="9">
        <v>20</v>
      </c>
      <c r="V803" s="10">
        <v>30</v>
      </c>
      <c r="W803" s="10">
        <v>10</v>
      </c>
      <c r="X803" s="8">
        <f t="shared" si="1129"/>
        <v>60</v>
      </c>
      <c r="Y803" s="9">
        <v>20</v>
      </c>
      <c r="Z803" s="10">
        <v>30</v>
      </c>
      <c r="AA803" s="10">
        <v>10</v>
      </c>
      <c r="AB803" s="8">
        <f t="shared" si="1130"/>
        <v>60</v>
      </c>
      <c r="AC803" s="86">
        <f t="shared" si="1131"/>
        <v>180</v>
      </c>
      <c r="AD803" s="109">
        <v>45723</v>
      </c>
    </row>
    <row r="804" spans="1:32" x14ac:dyDescent="0.15">
      <c r="A804" s="33" t="s">
        <v>36</v>
      </c>
      <c r="B804" s="9">
        <v>2</v>
      </c>
      <c r="C804" s="10"/>
      <c r="D804" s="10">
        <v>1</v>
      </c>
      <c r="E804" s="8">
        <f t="shared" si="1120"/>
        <v>3</v>
      </c>
      <c r="F804" s="9">
        <v>1</v>
      </c>
      <c r="G804" s="10">
        <v>2</v>
      </c>
      <c r="H804" s="10">
        <v>1</v>
      </c>
      <c r="I804" s="8">
        <f t="shared" si="1121"/>
        <v>4</v>
      </c>
      <c r="J804" s="9">
        <v>1</v>
      </c>
      <c r="K804" s="10">
        <v>2</v>
      </c>
      <c r="L804" s="10">
        <v>1</v>
      </c>
      <c r="M804" s="39">
        <f t="shared" si="1122"/>
        <v>4</v>
      </c>
      <c r="N804" s="138">
        <f t="shared" si="1123"/>
        <v>11</v>
      </c>
      <c r="O804" s="24">
        <v>45723</v>
      </c>
      <c r="P804" s="4" t="s">
        <v>730</v>
      </c>
      <c r="Q804" s="9">
        <v>45</v>
      </c>
      <c r="R804" s="10">
        <v>10</v>
      </c>
      <c r="S804" s="10">
        <v>30</v>
      </c>
      <c r="T804" s="8">
        <f t="shared" si="1128"/>
        <v>85</v>
      </c>
      <c r="U804" s="9">
        <v>45</v>
      </c>
      <c r="V804" s="10">
        <v>10</v>
      </c>
      <c r="W804" s="10">
        <v>30</v>
      </c>
      <c r="X804" s="8">
        <f t="shared" si="1129"/>
        <v>85</v>
      </c>
      <c r="Y804" s="9">
        <v>45</v>
      </c>
      <c r="Z804" s="10">
        <v>10</v>
      </c>
      <c r="AA804" s="10">
        <v>30</v>
      </c>
      <c r="AB804" s="8">
        <f t="shared" si="1130"/>
        <v>85</v>
      </c>
      <c r="AC804" s="86">
        <f t="shared" si="1131"/>
        <v>255</v>
      </c>
      <c r="AD804" s="109">
        <v>45729</v>
      </c>
    </row>
    <row r="805" spans="1:32" x14ac:dyDescent="0.15">
      <c r="A805" s="33" t="s">
        <v>740</v>
      </c>
      <c r="B805" s="9"/>
      <c r="C805" s="10">
        <v>9</v>
      </c>
      <c r="D805" s="10">
        <v>7</v>
      </c>
      <c r="E805" s="8">
        <f t="shared" si="1120"/>
        <v>16</v>
      </c>
      <c r="F805" s="9"/>
      <c r="G805" s="10">
        <v>9</v>
      </c>
      <c r="H805" s="10">
        <v>7</v>
      </c>
      <c r="I805" s="8">
        <f t="shared" si="1121"/>
        <v>16</v>
      </c>
      <c r="J805" s="9"/>
      <c r="K805" s="10">
        <v>9</v>
      </c>
      <c r="L805" s="10">
        <v>7</v>
      </c>
      <c r="M805" s="39">
        <f t="shared" si="1122"/>
        <v>16</v>
      </c>
      <c r="N805" s="138">
        <f t="shared" si="1123"/>
        <v>48</v>
      </c>
      <c r="O805" s="24">
        <v>45728</v>
      </c>
      <c r="P805" s="4" t="s">
        <v>734</v>
      </c>
      <c r="Q805" s="9"/>
      <c r="R805" s="10">
        <v>2</v>
      </c>
      <c r="S805" s="10">
        <v>5</v>
      </c>
      <c r="T805" s="8">
        <f t="shared" si="1128"/>
        <v>7</v>
      </c>
      <c r="U805" s="9"/>
      <c r="V805" s="10">
        <v>2</v>
      </c>
      <c r="W805" s="10">
        <v>5</v>
      </c>
      <c r="X805" s="8">
        <f t="shared" si="1129"/>
        <v>7</v>
      </c>
      <c r="Y805" s="9"/>
      <c r="Z805" s="10">
        <v>2</v>
      </c>
      <c r="AA805" s="10">
        <v>5</v>
      </c>
      <c r="AB805" s="8">
        <f t="shared" si="1130"/>
        <v>7</v>
      </c>
      <c r="AC805" s="86">
        <f t="shared" si="1131"/>
        <v>21</v>
      </c>
      <c r="AD805" s="109">
        <v>45723</v>
      </c>
      <c r="AE805" s="58"/>
    </row>
    <row r="806" spans="1:32" x14ac:dyDescent="0.15">
      <c r="A806" s="63" t="s">
        <v>741</v>
      </c>
      <c r="B806" s="9"/>
      <c r="C806" s="10"/>
      <c r="D806" s="10">
        <v>1</v>
      </c>
      <c r="E806" s="8">
        <f t="shared" si="1120"/>
        <v>1</v>
      </c>
      <c r="F806" s="9"/>
      <c r="G806" s="10">
        <v>1</v>
      </c>
      <c r="H806" s="10"/>
      <c r="I806" s="8">
        <f t="shared" si="1121"/>
        <v>1</v>
      </c>
      <c r="J806" s="9"/>
      <c r="K806" s="10">
        <v>1</v>
      </c>
      <c r="L806" s="10"/>
      <c r="M806" s="39">
        <f t="shared" si="1122"/>
        <v>1</v>
      </c>
      <c r="N806" s="138">
        <f t="shared" si="1123"/>
        <v>3</v>
      </c>
      <c r="O806" s="24">
        <v>45726</v>
      </c>
      <c r="P806" s="4" t="s">
        <v>27</v>
      </c>
      <c r="Q806" s="9"/>
      <c r="R806" s="10"/>
      <c r="S806" s="10">
        <v>10</v>
      </c>
      <c r="T806" s="8">
        <f t="shared" ref="T806" si="1156">SUM(Q806:S806)</f>
        <v>10</v>
      </c>
      <c r="U806" s="9">
        <v>5</v>
      </c>
      <c r="V806" s="10"/>
      <c r="W806" s="10">
        <v>5</v>
      </c>
      <c r="X806" s="8">
        <f t="shared" ref="X806" si="1157">SUM(U806:W806)</f>
        <v>10</v>
      </c>
      <c r="Y806" s="9"/>
      <c r="Z806" s="10"/>
      <c r="AA806" s="10">
        <v>5</v>
      </c>
      <c r="AB806" s="8">
        <f t="shared" ref="AB806" si="1158">SUM(Y806:AA806)</f>
        <v>5</v>
      </c>
      <c r="AC806" s="86">
        <f t="shared" si="1131"/>
        <v>25</v>
      </c>
      <c r="AD806" s="109">
        <v>45723</v>
      </c>
      <c r="AE806" s="58"/>
    </row>
    <row r="807" spans="1:32" x14ac:dyDescent="0.15">
      <c r="A807" s="33" t="s">
        <v>742</v>
      </c>
      <c r="B807" s="9">
        <v>2</v>
      </c>
      <c r="C807" s="10"/>
      <c r="D807" s="10"/>
      <c r="E807" s="8">
        <f t="shared" si="1120"/>
        <v>2</v>
      </c>
      <c r="F807" s="9">
        <v>2</v>
      </c>
      <c r="G807" s="10"/>
      <c r="H807" s="10"/>
      <c r="I807" s="8">
        <f t="shared" si="1121"/>
        <v>2</v>
      </c>
      <c r="J807" s="9">
        <v>2</v>
      </c>
      <c r="K807" s="10"/>
      <c r="L807" s="10"/>
      <c r="M807" s="39">
        <f t="shared" si="1122"/>
        <v>2</v>
      </c>
      <c r="N807" s="138">
        <f t="shared" si="1123"/>
        <v>6</v>
      </c>
      <c r="O807" s="24">
        <v>45729</v>
      </c>
      <c r="P807" s="4"/>
      <c r="Q807" s="9"/>
      <c r="R807" s="10"/>
      <c r="S807" s="10"/>
      <c r="T807" s="8">
        <f t="shared" ref="T807:T808" si="1159">SUM(Q807:S807)</f>
        <v>0</v>
      </c>
      <c r="U807" s="9"/>
      <c r="V807" s="10"/>
      <c r="W807" s="10"/>
      <c r="X807" s="8">
        <f t="shared" ref="X807:X808" si="1160">SUM(U807:W807)</f>
        <v>0</v>
      </c>
      <c r="Y807" s="9"/>
      <c r="Z807" s="10"/>
      <c r="AA807" s="10"/>
      <c r="AB807" s="8">
        <f t="shared" ref="AB807:AB808" si="1161">SUM(Y807:AA807)</f>
        <v>0</v>
      </c>
      <c r="AC807" s="86">
        <f t="shared" ref="AC807:AC808" si="1162">T807+X807+AB807</f>
        <v>0</v>
      </c>
    </row>
    <row r="808" spans="1:32" x14ac:dyDescent="0.15">
      <c r="A808" s="33" t="s">
        <v>36</v>
      </c>
      <c r="B808" s="9">
        <v>1</v>
      </c>
      <c r="C808" s="10">
        <v>2</v>
      </c>
      <c r="D808" s="10"/>
      <c r="E808" s="8">
        <f t="shared" si="1120"/>
        <v>3</v>
      </c>
      <c r="F808" s="9">
        <f>2+1</f>
        <v>3</v>
      </c>
      <c r="G808" s="10">
        <v>2</v>
      </c>
      <c r="H808" s="10"/>
      <c r="I808" s="8">
        <f t="shared" si="1121"/>
        <v>5</v>
      </c>
      <c r="J808" s="9"/>
      <c r="K808" s="10">
        <v>2</v>
      </c>
      <c r="L808" s="10"/>
      <c r="M808" s="39">
        <f t="shared" si="1122"/>
        <v>2</v>
      </c>
      <c r="N808" s="138">
        <f t="shared" si="1123"/>
        <v>10</v>
      </c>
      <c r="O808" s="24">
        <v>45726</v>
      </c>
      <c r="P808" s="4" t="s">
        <v>481</v>
      </c>
      <c r="Q808" s="9"/>
      <c r="R808" s="10"/>
      <c r="S808" s="10"/>
      <c r="T808" s="8">
        <f t="shared" si="1159"/>
        <v>0</v>
      </c>
      <c r="U808" s="9"/>
      <c r="V808" s="10"/>
      <c r="W808" s="10"/>
      <c r="X808" s="8">
        <f t="shared" si="1160"/>
        <v>0</v>
      </c>
      <c r="Y808" s="9"/>
      <c r="Z808" s="10"/>
      <c r="AA808" s="10"/>
      <c r="AB808" s="8">
        <f t="shared" si="1161"/>
        <v>0</v>
      </c>
      <c r="AC808" s="86">
        <f t="shared" si="1162"/>
        <v>0</v>
      </c>
      <c r="AD808" s="116" t="s">
        <v>482</v>
      </c>
    </row>
    <row r="809" spans="1:32" x14ac:dyDescent="0.15">
      <c r="A809" s="33" t="s">
        <v>36</v>
      </c>
      <c r="B809" s="9"/>
      <c r="C809" s="10">
        <v>2</v>
      </c>
      <c r="D809" s="10">
        <v>1</v>
      </c>
      <c r="E809" s="8">
        <f t="shared" si="1120"/>
        <v>3</v>
      </c>
      <c r="F809" s="9"/>
      <c r="G809" s="10">
        <v>2</v>
      </c>
      <c r="H809" s="10"/>
      <c r="I809" s="8">
        <f t="shared" si="1121"/>
        <v>2</v>
      </c>
      <c r="J809" s="9"/>
      <c r="K809" s="10">
        <v>2</v>
      </c>
      <c r="L809" s="10"/>
      <c r="M809" s="39">
        <f t="shared" si="1122"/>
        <v>2</v>
      </c>
      <c r="N809" s="138">
        <f t="shared" si="1123"/>
        <v>7</v>
      </c>
      <c r="O809" s="24">
        <v>45727</v>
      </c>
      <c r="P809" s="4" t="s">
        <v>659</v>
      </c>
      <c r="Q809" s="9"/>
      <c r="R809" s="10"/>
      <c r="S809" s="10"/>
      <c r="T809" s="8">
        <f t="shared" ref="T809:T814" si="1163">SUM(Q809:S809)</f>
        <v>0</v>
      </c>
      <c r="U809" s="9"/>
      <c r="V809" s="10"/>
      <c r="W809" s="10"/>
      <c r="X809" s="8">
        <f t="shared" ref="X809:X814" si="1164">SUM(U809:W809)</f>
        <v>0</v>
      </c>
      <c r="Y809" s="9"/>
      <c r="Z809" s="10"/>
      <c r="AA809" s="10"/>
      <c r="AB809" s="8">
        <f t="shared" ref="AB809:AB813" si="1165">SUM(Y809:AA809)</f>
        <v>0</v>
      </c>
      <c r="AC809" s="86">
        <f t="shared" ref="AC809:AC814" si="1166">T809+X809+AB809</f>
        <v>0</v>
      </c>
      <c r="AD809" s="116" t="s">
        <v>618</v>
      </c>
    </row>
    <row r="810" spans="1:32" x14ac:dyDescent="0.15">
      <c r="A810" s="33" t="s">
        <v>36</v>
      </c>
      <c r="B810" s="9"/>
      <c r="C810" s="10">
        <v>2</v>
      </c>
      <c r="D810" s="10"/>
      <c r="E810" s="8">
        <f t="shared" si="1120"/>
        <v>2</v>
      </c>
      <c r="F810" s="9"/>
      <c r="G810" s="10"/>
      <c r="H810" s="10"/>
      <c r="I810" s="8">
        <f t="shared" si="1121"/>
        <v>0</v>
      </c>
      <c r="J810" s="9"/>
      <c r="K810" s="10"/>
      <c r="L810" s="10"/>
      <c r="M810" s="39">
        <f t="shared" si="1122"/>
        <v>0</v>
      </c>
      <c r="N810" s="138">
        <f t="shared" si="1123"/>
        <v>2</v>
      </c>
      <c r="O810" s="70">
        <v>45728</v>
      </c>
      <c r="P810" s="4" t="s">
        <v>639</v>
      </c>
      <c r="Q810" s="9"/>
      <c r="R810" s="10"/>
      <c r="S810" s="10"/>
      <c r="T810" s="8">
        <f t="shared" si="1163"/>
        <v>0</v>
      </c>
      <c r="U810" s="9"/>
      <c r="V810" s="10"/>
      <c r="W810" s="10"/>
      <c r="X810" s="8">
        <f t="shared" si="1164"/>
        <v>0</v>
      </c>
      <c r="Y810" s="9"/>
      <c r="Z810" s="10"/>
      <c r="AA810" s="10"/>
      <c r="AB810" s="8">
        <f t="shared" si="1165"/>
        <v>0</v>
      </c>
      <c r="AC810" s="86">
        <f t="shared" si="1166"/>
        <v>0</v>
      </c>
      <c r="AD810" s="116" t="s">
        <v>640</v>
      </c>
    </row>
    <row r="811" spans="1:32" x14ac:dyDescent="0.15">
      <c r="A811" s="33" t="s">
        <v>36</v>
      </c>
      <c r="B811" s="9"/>
      <c r="C811" s="10">
        <v>1</v>
      </c>
      <c r="D811" s="10"/>
      <c r="E811" s="8">
        <f t="shared" si="1120"/>
        <v>1</v>
      </c>
      <c r="F811" s="9"/>
      <c r="G811" s="10">
        <v>1</v>
      </c>
      <c r="H811" s="10"/>
      <c r="I811" s="8">
        <f t="shared" si="1121"/>
        <v>1</v>
      </c>
      <c r="J811" s="9"/>
      <c r="K811" s="10">
        <v>1</v>
      </c>
      <c r="L811" s="10"/>
      <c r="M811" s="39">
        <f t="shared" si="1122"/>
        <v>1</v>
      </c>
      <c r="N811" s="138">
        <f t="shared" si="1123"/>
        <v>3</v>
      </c>
      <c r="O811" s="70">
        <v>45729</v>
      </c>
      <c r="P811" s="11" t="s">
        <v>648</v>
      </c>
      <c r="Q811" s="9"/>
      <c r="R811" s="10"/>
      <c r="S811" s="10"/>
      <c r="T811" s="8">
        <f t="shared" si="1163"/>
        <v>0</v>
      </c>
      <c r="U811" s="9"/>
      <c r="V811" s="10"/>
      <c r="W811" s="10"/>
      <c r="X811" s="8">
        <f t="shared" si="1164"/>
        <v>0</v>
      </c>
      <c r="Y811" s="9"/>
      <c r="Z811" s="10"/>
      <c r="AA811" s="10"/>
      <c r="AB811" s="8">
        <f t="shared" si="1165"/>
        <v>0</v>
      </c>
      <c r="AC811" s="86">
        <f t="shared" si="1166"/>
        <v>0</v>
      </c>
      <c r="AD811" s="109" t="s">
        <v>649</v>
      </c>
    </row>
    <row r="812" spans="1:32" x14ac:dyDescent="0.15">
      <c r="A812" s="33"/>
      <c r="B812" s="9"/>
      <c r="C812" s="10"/>
      <c r="D812" s="10"/>
      <c r="E812" s="8">
        <f t="shared" si="1120"/>
        <v>0</v>
      </c>
      <c r="F812" s="9"/>
      <c r="G812" s="10"/>
      <c r="H812" s="10"/>
      <c r="I812" s="8">
        <f t="shared" si="1121"/>
        <v>0</v>
      </c>
      <c r="J812" s="9"/>
      <c r="K812" s="10"/>
      <c r="L812" s="10"/>
      <c r="M812" s="39">
        <f t="shared" si="1122"/>
        <v>0</v>
      </c>
      <c r="N812" s="138">
        <f t="shared" si="1123"/>
        <v>0</v>
      </c>
      <c r="P812" s="11" t="s">
        <v>656</v>
      </c>
      <c r="Q812" s="9"/>
      <c r="R812" s="10"/>
      <c r="S812" s="10"/>
      <c r="T812" s="8">
        <f t="shared" si="1163"/>
        <v>0</v>
      </c>
      <c r="U812" s="9"/>
      <c r="V812" s="10"/>
      <c r="W812" s="10"/>
      <c r="X812" s="8">
        <f t="shared" si="1164"/>
        <v>0</v>
      </c>
      <c r="Y812" s="9"/>
      <c r="Z812" s="10"/>
      <c r="AA812" s="10"/>
      <c r="AB812" s="8">
        <f t="shared" si="1165"/>
        <v>0</v>
      </c>
      <c r="AC812" s="86">
        <f t="shared" si="1166"/>
        <v>0</v>
      </c>
      <c r="AD812" s="116" t="s">
        <v>657</v>
      </c>
    </row>
    <row r="813" spans="1:32" x14ac:dyDescent="0.15">
      <c r="A813" s="33"/>
      <c r="B813" s="9"/>
      <c r="C813" s="10"/>
      <c r="D813" s="10"/>
      <c r="E813" s="8">
        <f t="shared" si="1120"/>
        <v>0</v>
      </c>
      <c r="F813" s="9"/>
      <c r="G813" s="10"/>
      <c r="H813" s="10"/>
      <c r="I813" s="8">
        <f t="shared" si="1121"/>
        <v>0</v>
      </c>
      <c r="J813" s="9"/>
      <c r="K813" s="10"/>
      <c r="L813" s="10"/>
      <c r="M813" s="39">
        <f t="shared" si="1122"/>
        <v>0</v>
      </c>
      <c r="N813" s="138">
        <f t="shared" si="1123"/>
        <v>0</v>
      </c>
      <c r="P813" s="11" t="s">
        <v>660</v>
      </c>
      <c r="Q813" s="9"/>
      <c r="R813" s="10"/>
      <c r="S813" s="10"/>
      <c r="T813" s="8">
        <f t="shared" si="1163"/>
        <v>0</v>
      </c>
      <c r="U813" s="9"/>
      <c r="V813" s="10"/>
      <c r="W813" s="10"/>
      <c r="X813" s="8">
        <f t="shared" si="1164"/>
        <v>0</v>
      </c>
      <c r="Y813" s="9"/>
      <c r="Z813" s="10"/>
      <c r="AA813" s="10"/>
      <c r="AB813" s="8">
        <f t="shared" si="1165"/>
        <v>0</v>
      </c>
      <c r="AC813" s="86">
        <f t="shared" si="1166"/>
        <v>0</v>
      </c>
      <c r="AD813" s="109" t="s">
        <v>95</v>
      </c>
    </row>
    <row r="814" spans="1:32" ht="14.25" thickBot="1" x14ac:dyDescent="0.2">
      <c r="A814" s="63"/>
      <c r="B814" s="9"/>
      <c r="C814" s="10"/>
      <c r="D814" s="22"/>
      <c r="E814" s="8">
        <f t="shared" si="1120"/>
        <v>0</v>
      </c>
      <c r="F814" s="9"/>
      <c r="G814" s="10"/>
      <c r="H814" s="22"/>
      <c r="I814" s="8">
        <f t="shared" si="1121"/>
        <v>0</v>
      </c>
      <c r="J814" s="9"/>
      <c r="K814" s="10"/>
      <c r="L814" s="22"/>
      <c r="M814" s="39">
        <f t="shared" si="1122"/>
        <v>0</v>
      </c>
      <c r="N814" s="139">
        <f t="shared" si="1123"/>
        <v>0</v>
      </c>
      <c r="P814" s="4" t="s">
        <v>604</v>
      </c>
      <c r="Q814" s="9"/>
      <c r="R814" s="10"/>
      <c r="S814" s="10"/>
      <c r="T814" s="8">
        <f t="shared" si="1163"/>
        <v>0</v>
      </c>
      <c r="U814" s="9"/>
      <c r="V814" s="10"/>
      <c r="W814" s="10"/>
      <c r="X814" s="8">
        <f t="shared" si="1164"/>
        <v>0</v>
      </c>
      <c r="Y814" s="9"/>
      <c r="Z814" s="9"/>
      <c r="AA814" s="10"/>
      <c r="AB814" s="130">
        <f>10-10</f>
        <v>0</v>
      </c>
      <c r="AC814" s="86">
        <f t="shared" si="1166"/>
        <v>0</v>
      </c>
      <c r="AD814" s="109">
        <v>45354</v>
      </c>
    </row>
    <row r="815" spans="1:32" ht="14.25" thickBot="1" x14ac:dyDescent="0.2">
      <c r="A815" s="104" t="s">
        <v>5</v>
      </c>
      <c r="B815" s="12">
        <f>SUM(B791:B814)</f>
        <v>12</v>
      </c>
      <c r="C815" s="12">
        <f>SUM(C791:C814)</f>
        <v>28</v>
      </c>
      <c r="D815" s="12">
        <f>SUM(D791:D814)</f>
        <v>17</v>
      </c>
      <c r="E815" s="13">
        <f t="shared" si="1120"/>
        <v>57</v>
      </c>
      <c r="F815" s="12">
        <f>SUM(F791:F814)</f>
        <v>14</v>
      </c>
      <c r="G815" s="12">
        <f>SUM(G791:G814)</f>
        <v>28</v>
      </c>
      <c r="H815" s="12">
        <f>SUM(H791:H814)</f>
        <v>12</v>
      </c>
      <c r="I815" s="13">
        <f t="shared" si="1121"/>
        <v>54</v>
      </c>
      <c r="J815" s="12">
        <f>SUM(J791:J814)</f>
        <v>10</v>
      </c>
      <c r="K815" s="12">
        <f>SUM(K791:K814)</f>
        <v>27</v>
      </c>
      <c r="L815" s="12">
        <f>SUM(L791:L814)</f>
        <v>12</v>
      </c>
      <c r="M815" s="12">
        <f t="shared" si="1122"/>
        <v>49</v>
      </c>
      <c r="N815" s="142">
        <f t="shared" si="1123"/>
        <v>160</v>
      </c>
      <c r="P815" s="3" t="s">
        <v>5</v>
      </c>
      <c r="Q815" s="12">
        <f>SUM(Q791:Q814)</f>
        <v>151</v>
      </c>
      <c r="R815" s="12">
        <f t="shared" ref="R815" si="1167">SUM(R791:R814)</f>
        <v>145</v>
      </c>
      <c r="S815" s="12">
        <f t="shared" ref="S815" si="1168">SUM(S791:S814)</f>
        <v>123</v>
      </c>
      <c r="T815" s="13">
        <f t="shared" ref="T815" si="1169">SUM(T791:T814)</f>
        <v>419</v>
      </c>
      <c r="U815" s="12">
        <f t="shared" ref="U815" si="1170">SUM(U791:U814)</f>
        <v>151</v>
      </c>
      <c r="V815" s="12">
        <f t="shared" ref="V815" si="1171">SUM(V791:V814)</f>
        <v>135</v>
      </c>
      <c r="W815" s="12">
        <f t="shared" ref="W815" si="1172">SUM(W791:W814)</f>
        <v>113</v>
      </c>
      <c r="X815" s="13">
        <f t="shared" ref="X815" si="1173">SUM(X791:X814)</f>
        <v>399</v>
      </c>
      <c r="Y815" s="12">
        <f t="shared" ref="Y815" si="1174">SUM(Y791:Y814)</f>
        <v>151</v>
      </c>
      <c r="Z815" s="12">
        <f t="shared" ref="Z815" si="1175">SUM(Z791:Z814)</f>
        <v>145</v>
      </c>
      <c r="AA815" s="12">
        <f t="shared" ref="AA815" si="1176">SUM(AA791:AA814)</f>
        <v>118</v>
      </c>
      <c r="AB815" s="13">
        <f t="shared" ref="AB815" si="1177">SUM(AB791:AB814)</f>
        <v>414</v>
      </c>
      <c r="AC815" s="155">
        <f t="shared" ref="AC815" si="1178">SUM(AC791:AC814)</f>
        <v>1232</v>
      </c>
    </row>
    <row r="816" spans="1:32" ht="14.25" thickBot="1" x14ac:dyDescent="0.2">
      <c r="A816" s="105" t="s">
        <v>6</v>
      </c>
      <c r="B816" s="20">
        <f>B790-B815</f>
        <v>17</v>
      </c>
      <c r="C816" s="20">
        <f t="shared" ref="C816:E816" si="1179">C790-C815</f>
        <v>10</v>
      </c>
      <c r="D816" s="20">
        <f t="shared" si="1179"/>
        <v>15</v>
      </c>
      <c r="E816" s="18">
        <f t="shared" si="1179"/>
        <v>42</v>
      </c>
      <c r="F816" s="20">
        <f>F790-F815</f>
        <v>14</v>
      </c>
      <c r="G816" s="20">
        <f t="shared" ref="G816:I816" si="1180">G790-G815</f>
        <v>14</v>
      </c>
      <c r="H816" s="20">
        <f t="shared" si="1180"/>
        <v>16</v>
      </c>
      <c r="I816" s="18">
        <f t="shared" si="1180"/>
        <v>44</v>
      </c>
      <c r="J816" s="20">
        <f>J790-J815</f>
        <v>14</v>
      </c>
      <c r="K816" s="20">
        <f t="shared" ref="K816:M816" si="1181">K790-K815</f>
        <v>12</v>
      </c>
      <c r="L816" s="20">
        <f t="shared" si="1181"/>
        <v>17</v>
      </c>
      <c r="M816" s="20">
        <f t="shared" si="1181"/>
        <v>43</v>
      </c>
      <c r="N816" s="140">
        <f t="shared" si="1123"/>
        <v>129</v>
      </c>
      <c r="P816" s="19" t="s">
        <v>6</v>
      </c>
      <c r="Q816" s="20">
        <f>Q790-Q815</f>
        <v>418</v>
      </c>
      <c r="R816" s="20">
        <f t="shared" ref="R816" si="1182">R790-R815</f>
        <v>594</v>
      </c>
      <c r="S816" s="20">
        <f t="shared" ref="S816" si="1183">S790-S815</f>
        <v>537</v>
      </c>
      <c r="T816" s="18">
        <f t="shared" ref="T816" si="1184">T790-T815</f>
        <v>1549</v>
      </c>
      <c r="U816" s="20">
        <f t="shared" ref="U816" si="1185">U790-U815</f>
        <v>384</v>
      </c>
      <c r="V816" s="20">
        <f t="shared" ref="V816" si="1186">V790-V815</f>
        <v>627</v>
      </c>
      <c r="W816" s="20">
        <f t="shared" ref="W816" si="1187">W790-W815</f>
        <v>620</v>
      </c>
      <c r="X816" s="18">
        <f t="shared" ref="X816" si="1188">X790-X815</f>
        <v>1631</v>
      </c>
      <c r="Y816" s="20">
        <f t="shared" ref="Y816" si="1189">Y790-Y815</f>
        <v>368</v>
      </c>
      <c r="Z816" s="20">
        <f t="shared" ref="Z816" si="1190">Z790-Z815</f>
        <v>573</v>
      </c>
      <c r="AA816" s="20">
        <f t="shared" ref="AA816" si="1191">AA790-AA815</f>
        <v>564</v>
      </c>
      <c r="AB816" s="18">
        <f t="shared" ref="AB816" si="1192">AB790-AB815</f>
        <v>1505</v>
      </c>
      <c r="AC816" s="88">
        <f t="shared" ref="AC816" si="1193">AC790-AC815</f>
        <v>4685</v>
      </c>
    </row>
    <row r="819" spans="1:31" ht="19.5" thickBot="1" x14ac:dyDescent="0.25">
      <c r="A819" s="108" t="s">
        <v>264</v>
      </c>
      <c r="B819" s="47"/>
      <c r="C819" s="47"/>
      <c r="D819" s="47"/>
      <c r="E819" s="47"/>
      <c r="F819" s="48"/>
      <c r="G819" s="48"/>
      <c r="H819" s="48"/>
      <c r="I819" s="48"/>
      <c r="J819" s="48"/>
      <c r="K819" s="48"/>
      <c r="L819" s="1"/>
      <c r="M819" s="1"/>
      <c r="N819" s="137"/>
      <c r="P819" s="43" t="s">
        <v>263</v>
      </c>
      <c r="Q819" s="44"/>
      <c r="R819" s="44"/>
      <c r="S819" s="44"/>
      <c r="T819" s="44"/>
      <c r="U819" s="45"/>
      <c r="V819" s="45"/>
      <c r="W819" s="45"/>
      <c r="X819" s="45"/>
      <c r="Y819" s="46"/>
      <c r="Z819" s="53"/>
      <c r="AA819" s="1"/>
      <c r="AB819" s="1"/>
    </row>
    <row r="820" spans="1:31" ht="14.25" thickBot="1" x14ac:dyDescent="0.2">
      <c r="A820" s="100" t="s">
        <v>0</v>
      </c>
      <c r="B820" s="337" t="s">
        <v>11</v>
      </c>
      <c r="C820" s="337"/>
      <c r="D820" s="337"/>
      <c r="E820" s="338"/>
      <c r="F820" s="339" t="s">
        <v>9</v>
      </c>
      <c r="G820" s="340"/>
      <c r="H820" s="340"/>
      <c r="I820" s="341"/>
      <c r="J820" s="342" t="s">
        <v>12</v>
      </c>
      <c r="K820" s="343"/>
      <c r="L820" s="343"/>
      <c r="M820" s="343"/>
      <c r="N820" s="347" t="s">
        <v>13</v>
      </c>
      <c r="P820" s="2" t="s">
        <v>0</v>
      </c>
      <c r="Q820" s="336" t="s">
        <v>11</v>
      </c>
      <c r="R820" s="337"/>
      <c r="S820" s="337"/>
      <c r="T820" s="338"/>
      <c r="U820" s="339" t="s">
        <v>9</v>
      </c>
      <c r="V820" s="340"/>
      <c r="W820" s="340"/>
      <c r="X820" s="341"/>
      <c r="Y820" s="342" t="s">
        <v>12</v>
      </c>
      <c r="Z820" s="343"/>
      <c r="AA820" s="343"/>
      <c r="AB820" s="344"/>
      <c r="AC820" s="345" t="s">
        <v>13</v>
      </c>
    </row>
    <row r="821" spans="1:31" ht="14.25" thickBot="1" x14ac:dyDescent="0.2">
      <c r="A821" s="100" t="s">
        <v>1</v>
      </c>
      <c r="B821" s="3" t="s">
        <v>7</v>
      </c>
      <c r="C821" s="2" t="s">
        <v>10</v>
      </c>
      <c r="D821" s="2" t="s">
        <v>8</v>
      </c>
      <c r="E821" s="2" t="s">
        <v>2</v>
      </c>
      <c r="F821" s="3" t="s">
        <v>7</v>
      </c>
      <c r="G821" s="2" t="s">
        <v>10</v>
      </c>
      <c r="H821" s="2" t="s">
        <v>8</v>
      </c>
      <c r="I821" s="2" t="s">
        <v>2</v>
      </c>
      <c r="J821" s="3" t="s">
        <v>7</v>
      </c>
      <c r="K821" s="2" t="s">
        <v>10</v>
      </c>
      <c r="L821" s="2" t="s">
        <v>8</v>
      </c>
      <c r="M821" s="3" t="s">
        <v>2</v>
      </c>
      <c r="N821" s="348"/>
      <c r="P821" s="2" t="s">
        <v>1</v>
      </c>
      <c r="Q821" s="3" t="s">
        <v>7</v>
      </c>
      <c r="R821" s="2" t="s">
        <v>10</v>
      </c>
      <c r="S821" s="2" t="s">
        <v>8</v>
      </c>
      <c r="T821" s="2" t="s">
        <v>2</v>
      </c>
      <c r="U821" s="3" t="s">
        <v>7</v>
      </c>
      <c r="V821" s="2" t="s">
        <v>10</v>
      </c>
      <c r="W821" s="2" t="s">
        <v>8</v>
      </c>
      <c r="X821" s="2" t="s">
        <v>2</v>
      </c>
      <c r="Y821" s="3" t="s">
        <v>7</v>
      </c>
      <c r="Z821" s="2" t="s">
        <v>10</v>
      </c>
      <c r="AA821" s="2" t="s">
        <v>8</v>
      </c>
      <c r="AB821" s="2" t="s">
        <v>2</v>
      </c>
      <c r="AC821" s="346"/>
    </row>
    <row r="822" spans="1:31" x14ac:dyDescent="0.15">
      <c r="A822" s="106" t="s">
        <v>6</v>
      </c>
      <c r="B822" s="41">
        <f>B816</f>
        <v>17</v>
      </c>
      <c r="C822" s="41">
        <f t="shared" ref="C822:E822" si="1194">C816</f>
        <v>10</v>
      </c>
      <c r="D822" s="41">
        <f t="shared" si="1194"/>
        <v>15</v>
      </c>
      <c r="E822" s="42">
        <f t="shared" si="1194"/>
        <v>42</v>
      </c>
      <c r="F822" s="41">
        <f>F816</f>
        <v>14</v>
      </c>
      <c r="G822" s="41">
        <f t="shared" ref="G822:I822" si="1195">G816</f>
        <v>14</v>
      </c>
      <c r="H822" s="41">
        <f t="shared" si="1195"/>
        <v>16</v>
      </c>
      <c r="I822" s="42">
        <f t="shared" si="1195"/>
        <v>44</v>
      </c>
      <c r="J822" s="41">
        <f>J816</f>
        <v>14</v>
      </c>
      <c r="K822" s="41">
        <f t="shared" ref="K822:M822" si="1196">K816</f>
        <v>12</v>
      </c>
      <c r="L822" s="41">
        <f t="shared" si="1196"/>
        <v>17</v>
      </c>
      <c r="M822" s="42">
        <f t="shared" si="1196"/>
        <v>43</v>
      </c>
      <c r="N822" s="143">
        <f>E822+I822+M822</f>
        <v>129</v>
      </c>
      <c r="P822" s="36" t="s">
        <v>6</v>
      </c>
      <c r="Q822" s="41">
        <f>Q816</f>
        <v>418</v>
      </c>
      <c r="R822" s="41">
        <f t="shared" ref="R822:AC822" si="1197">R816</f>
        <v>594</v>
      </c>
      <c r="S822" s="41">
        <f t="shared" si="1197"/>
        <v>537</v>
      </c>
      <c r="T822" s="42">
        <f t="shared" si="1197"/>
        <v>1549</v>
      </c>
      <c r="U822" s="41">
        <f t="shared" si="1197"/>
        <v>384</v>
      </c>
      <c r="V822" s="41">
        <f t="shared" si="1197"/>
        <v>627</v>
      </c>
      <c r="W822" s="41">
        <f t="shared" si="1197"/>
        <v>620</v>
      </c>
      <c r="X822" s="42">
        <f t="shared" si="1197"/>
        <v>1631</v>
      </c>
      <c r="Y822" s="41">
        <f t="shared" si="1197"/>
        <v>368</v>
      </c>
      <c r="Z822" s="41">
        <f t="shared" si="1197"/>
        <v>573</v>
      </c>
      <c r="AA822" s="41">
        <f t="shared" si="1197"/>
        <v>564</v>
      </c>
      <c r="AB822" s="42">
        <f t="shared" si="1197"/>
        <v>1505</v>
      </c>
      <c r="AC822" s="90">
        <f t="shared" si="1197"/>
        <v>4685</v>
      </c>
    </row>
    <row r="823" spans="1:31" x14ac:dyDescent="0.15">
      <c r="A823" s="102" t="s">
        <v>3</v>
      </c>
      <c r="B823" s="25"/>
      <c r="C823" s="26">
        <v>10</v>
      </c>
      <c r="D823" s="26"/>
      <c r="E823" s="5">
        <f t="shared" ref="E823:E858" si="1198">SUM(B823:D823)</f>
        <v>10</v>
      </c>
      <c r="F823" s="25"/>
      <c r="G823" s="26">
        <v>10</v>
      </c>
      <c r="H823" s="26"/>
      <c r="I823" s="5">
        <f t="shared" ref="I823:I858" si="1199">SUM(F823:H823)</f>
        <v>10</v>
      </c>
      <c r="J823" s="25"/>
      <c r="K823" s="26">
        <v>10</v>
      </c>
      <c r="L823" s="26"/>
      <c r="M823" s="38">
        <f t="shared" ref="M823:M858" si="1200">SUM(J823:L823)</f>
        <v>10</v>
      </c>
      <c r="N823" s="138">
        <f t="shared" ref="N823:N859" si="1201">E823+I823+M823</f>
        <v>30</v>
      </c>
      <c r="O823" s="24">
        <v>45729</v>
      </c>
      <c r="P823" s="6" t="s">
        <v>3</v>
      </c>
      <c r="Q823" s="14"/>
      <c r="R823" s="11"/>
      <c r="S823" s="11"/>
      <c r="T823" s="5">
        <f t="shared" ref="T823:T829" si="1202">SUM(Q823:S823)</f>
        <v>0</v>
      </c>
      <c r="U823" s="14"/>
      <c r="V823" s="11"/>
      <c r="W823" s="11"/>
      <c r="X823" s="5">
        <f t="shared" ref="X823:X829" si="1203">SUM(U823:W823)</f>
        <v>0</v>
      </c>
      <c r="Y823" s="25"/>
      <c r="Z823" s="26"/>
      <c r="AA823" s="26"/>
      <c r="AB823" s="5">
        <f t="shared" ref="AB823:AB829" si="1204">SUM(Y823:AA823)</f>
        <v>0</v>
      </c>
      <c r="AC823" s="86">
        <f t="shared" ref="AC823:AC831" si="1205">T823+X823+AB823</f>
        <v>0</v>
      </c>
    </row>
    <row r="824" spans="1:31" x14ac:dyDescent="0.15">
      <c r="A824" s="102" t="s">
        <v>753</v>
      </c>
      <c r="B824" s="14"/>
      <c r="C824" s="11">
        <v>1</v>
      </c>
      <c r="D824" s="11"/>
      <c r="E824" s="5">
        <f t="shared" si="1198"/>
        <v>1</v>
      </c>
      <c r="F824" s="34"/>
      <c r="G824" s="11">
        <v>1</v>
      </c>
      <c r="H824" s="11"/>
      <c r="I824" s="5">
        <f t="shared" si="1199"/>
        <v>1</v>
      </c>
      <c r="J824" s="34"/>
      <c r="K824" s="11">
        <v>1</v>
      </c>
      <c r="L824" s="11"/>
      <c r="M824" s="38">
        <f t="shared" si="1200"/>
        <v>1</v>
      </c>
      <c r="N824" s="138">
        <f t="shared" si="1201"/>
        <v>3</v>
      </c>
      <c r="O824" s="24">
        <v>45729</v>
      </c>
      <c r="P824" s="6" t="s">
        <v>651</v>
      </c>
      <c r="Q824" s="14">
        <v>550</v>
      </c>
      <c r="R824" s="11">
        <v>900</v>
      </c>
      <c r="S824" s="11">
        <v>550</v>
      </c>
      <c r="T824" s="5">
        <f t="shared" si="1202"/>
        <v>2000</v>
      </c>
      <c r="U824" s="14">
        <v>550</v>
      </c>
      <c r="V824" s="11">
        <v>900</v>
      </c>
      <c r="W824" s="11">
        <v>550</v>
      </c>
      <c r="X824" s="5">
        <f t="shared" si="1203"/>
        <v>2000</v>
      </c>
      <c r="Y824" s="14">
        <v>550</v>
      </c>
      <c r="Z824" s="11">
        <v>900</v>
      </c>
      <c r="AA824" s="11">
        <v>550</v>
      </c>
      <c r="AB824" s="5">
        <f t="shared" si="1204"/>
        <v>2000</v>
      </c>
      <c r="AC824" s="86">
        <f t="shared" si="1205"/>
        <v>6000</v>
      </c>
      <c r="AD824" s="109" t="s">
        <v>747</v>
      </c>
      <c r="AE824" s="116" t="s">
        <v>414</v>
      </c>
    </row>
    <row r="825" spans="1:31" x14ac:dyDescent="0.15">
      <c r="A825" s="102" t="s">
        <v>57</v>
      </c>
      <c r="B825" s="14"/>
      <c r="C825" s="11"/>
      <c r="D825" s="11">
        <v>1</v>
      </c>
      <c r="E825" s="5">
        <f t="shared" si="1198"/>
        <v>1</v>
      </c>
      <c r="F825" s="34"/>
      <c r="G825" s="11"/>
      <c r="H825" s="11">
        <v>1</v>
      </c>
      <c r="I825" s="5">
        <f t="shared" si="1199"/>
        <v>1</v>
      </c>
      <c r="J825" s="34"/>
      <c r="K825" s="11"/>
      <c r="L825" s="11">
        <v>1</v>
      </c>
      <c r="M825" s="38">
        <f t="shared" si="1200"/>
        <v>1</v>
      </c>
      <c r="N825" s="138">
        <f t="shared" si="1201"/>
        <v>3</v>
      </c>
      <c r="O825" s="24">
        <v>45729</v>
      </c>
      <c r="P825" s="6" t="s">
        <v>3</v>
      </c>
      <c r="Q825" s="27">
        <v>-330</v>
      </c>
      <c r="R825" s="26">
        <v>-346</v>
      </c>
      <c r="S825" s="26">
        <v>-320</v>
      </c>
      <c r="T825" s="5">
        <f t="shared" si="1202"/>
        <v>-996</v>
      </c>
      <c r="U825" s="27">
        <v>-330</v>
      </c>
      <c r="V825" s="26">
        <v>-342</v>
      </c>
      <c r="W825" s="26">
        <v>-333</v>
      </c>
      <c r="X825" s="5">
        <f t="shared" si="1203"/>
        <v>-1005</v>
      </c>
      <c r="Y825" s="27">
        <v>-325</v>
      </c>
      <c r="Z825" s="26">
        <v>-324</v>
      </c>
      <c r="AA825" s="26">
        <v>-333</v>
      </c>
      <c r="AB825" s="5">
        <f t="shared" si="1204"/>
        <v>-982</v>
      </c>
      <c r="AC825" s="93">
        <f t="shared" si="1205"/>
        <v>-2983</v>
      </c>
      <c r="AD825" s="116" t="s">
        <v>702</v>
      </c>
    </row>
    <row r="826" spans="1:31" x14ac:dyDescent="0.15">
      <c r="A826" s="102" t="s">
        <v>3</v>
      </c>
      <c r="B826" s="14"/>
      <c r="C826" s="11">
        <v>10</v>
      </c>
      <c r="D826" s="11"/>
      <c r="E826" s="5">
        <f t="shared" si="1198"/>
        <v>10</v>
      </c>
      <c r="F826" s="34">
        <v>10</v>
      </c>
      <c r="G826" s="11"/>
      <c r="H826" s="11"/>
      <c r="I826" s="5">
        <f t="shared" si="1199"/>
        <v>10</v>
      </c>
      <c r="J826" s="34">
        <v>10</v>
      </c>
      <c r="K826" s="11">
        <v>10</v>
      </c>
      <c r="L826" s="11"/>
      <c r="M826" s="38">
        <f t="shared" si="1200"/>
        <v>20</v>
      </c>
      <c r="N826" s="138">
        <f t="shared" si="1201"/>
        <v>40</v>
      </c>
      <c r="O826" s="24">
        <v>45734</v>
      </c>
      <c r="P826" s="6" t="s">
        <v>701</v>
      </c>
      <c r="Q826" s="14">
        <v>43</v>
      </c>
      <c r="R826" s="11">
        <v>66</v>
      </c>
      <c r="S826" s="11">
        <v>84</v>
      </c>
      <c r="T826" s="5">
        <f t="shared" si="1202"/>
        <v>193</v>
      </c>
      <c r="U826" s="14">
        <v>31</v>
      </c>
      <c r="V826" s="11">
        <v>62</v>
      </c>
      <c r="W826" s="11">
        <v>36</v>
      </c>
      <c r="X826" s="5">
        <f t="shared" si="1203"/>
        <v>129</v>
      </c>
      <c r="Y826" s="25">
        <v>16</v>
      </c>
      <c r="Z826" s="26">
        <v>37</v>
      </c>
      <c r="AA826" s="26">
        <v>20</v>
      </c>
      <c r="AB826" s="5">
        <f t="shared" si="1204"/>
        <v>73</v>
      </c>
      <c r="AC826" s="86">
        <f t="shared" si="1205"/>
        <v>395</v>
      </c>
      <c r="AD826" s="117"/>
    </row>
    <row r="827" spans="1:31" x14ac:dyDescent="0.15">
      <c r="A827" s="102" t="s">
        <v>319</v>
      </c>
      <c r="B827" s="14"/>
      <c r="C827" s="11">
        <v>3</v>
      </c>
      <c r="D827" s="11">
        <v>1</v>
      </c>
      <c r="E827" s="5">
        <f t="shared" si="1198"/>
        <v>4</v>
      </c>
      <c r="F827" s="34"/>
      <c r="G827" s="11">
        <v>3</v>
      </c>
      <c r="H827" s="11">
        <v>1</v>
      </c>
      <c r="I827" s="5">
        <f t="shared" si="1199"/>
        <v>4</v>
      </c>
      <c r="J827" s="34"/>
      <c r="K827" s="11">
        <v>3</v>
      </c>
      <c r="L827" s="11">
        <v>1</v>
      </c>
      <c r="M827" s="38">
        <f t="shared" si="1200"/>
        <v>4</v>
      </c>
      <c r="N827" s="138">
        <f t="shared" si="1201"/>
        <v>12</v>
      </c>
      <c r="O827" s="24">
        <v>45734</v>
      </c>
      <c r="P827" s="6" t="s">
        <v>3</v>
      </c>
      <c r="Q827" s="14"/>
      <c r="R827" s="11"/>
      <c r="S827" s="11"/>
      <c r="T827" s="5">
        <f t="shared" si="1202"/>
        <v>0</v>
      </c>
      <c r="U827" s="14"/>
      <c r="V827" s="11"/>
      <c r="W827" s="11"/>
      <c r="X827" s="5">
        <f t="shared" si="1203"/>
        <v>0</v>
      </c>
      <c r="Y827" s="25"/>
      <c r="Z827" s="26"/>
      <c r="AA827" s="26"/>
      <c r="AB827" s="5">
        <f t="shared" si="1204"/>
        <v>0</v>
      </c>
      <c r="AC827" s="86">
        <f t="shared" si="1205"/>
        <v>0</v>
      </c>
      <c r="AD827" s="121"/>
    </row>
    <row r="828" spans="1:31" x14ac:dyDescent="0.15">
      <c r="A828" s="102" t="s">
        <v>3</v>
      </c>
      <c r="B828" s="25">
        <v>10</v>
      </c>
      <c r="C828" s="26"/>
      <c r="D828" s="26"/>
      <c r="E828" s="8">
        <f t="shared" si="1198"/>
        <v>10</v>
      </c>
      <c r="F828" s="25">
        <v>5</v>
      </c>
      <c r="G828" s="26">
        <v>5</v>
      </c>
      <c r="H828" s="26"/>
      <c r="I828" s="8">
        <f t="shared" si="1199"/>
        <v>10</v>
      </c>
      <c r="J828" s="25">
        <v>5</v>
      </c>
      <c r="K828" s="26"/>
      <c r="L828" s="26"/>
      <c r="M828" s="39">
        <f t="shared" si="1200"/>
        <v>5</v>
      </c>
      <c r="N828" s="138">
        <f t="shared" si="1201"/>
        <v>25</v>
      </c>
      <c r="O828" s="24">
        <v>45740</v>
      </c>
      <c r="P828" s="6" t="s">
        <v>3</v>
      </c>
      <c r="Q828" s="14"/>
      <c r="R828" s="11"/>
      <c r="S828" s="11"/>
      <c r="T828" s="5">
        <f t="shared" si="1202"/>
        <v>0</v>
      </c>
      <c r="U828" s="14"/>
      <c r="V828" s="11"/>
      <c r="W828" s="11"/>
      <c r="X828" s="5">
        <f t="shared" si="1203"/>
        <v>0</v>
      </c>
      <c r="Y828" s="25"/>
      <c r="Z828" s="26"/>
      <c r="AA828" s="26"/>
      <c r="AB828" s="8">
        <f t="shared" si="1204"/>
        <v>0</v>
      </c>
      <c r="AC828" s="86">
        <f t="shared" si="1205"/>
        <v>0</v>
      </c>
    </row>
    <row r="829" spans="1:31" x14ac:dyDescent="0.15">
      <c r="A829" s="102" t="s">
        <v>492</v>
      </c>
      <c r="B829" s="27">
        <v>3</v>
      </c>
      <c r="C829" s="26">
        <v>1</v>
      </c>
      <c r="D829" s="26">
        <v>1</v>
      </c>
      <c r="E829" s="5">
        <f t="shared" si="1198"/>
        <v>5</v>
      </c>
      <c r="F829" s="25">
        <v>3</v>
      </c>
      <c r="G829" s="26">
        <v>1</v>
      </c>
      <c r="H829" s="26">
        <v>1</v>
      </c>
      <c r="I829" s="5">
        <f t="shared" si="1199"/>
        <v>5</v>
      </c>
      <c r="J829" s="25">
        <v>3</v>
      </c>
      <c r="K829" s="26">
        <v>1</v>
      </c>
      <c r="L829" s="26">
        <v>1</v>
      </c>
      <c r="M829" s="38">
        <f t="shared" si="1200"/>
        <v>5</v>
      </c>
      <c r="N829" s="138">
        <f t="shared" si="1201"/>
        <v>15</v>
      </c>
      <c r="O829" s="24">
        <v>45737</v>
      </c>
      <c r="P829" s="6" t="s">
        <v>3</v>
      </c>
      <c r="Q829" s="27"/>
      <c r="R829" s="26"/>
      <c r="S829" s="26"/>
      <c r="T829" s="5">
        <f t="shared" si="1202"/>
        <v>0</v>
      </c>
      <c r="U829" s="27"/>
      <c r="V829" s="26"/>
      <c r="W829" s="26"/>
      <c r="X829" s="5">
        <f t="shared" si="1203"/>
        <v>0</v>
      </c>
      <c r="Y829" s="25"/>
      <c r="Z829" s="26"/>
      <c r="AA829" s="26"/>
      <c r="AB829" s="5">
        <f t="shared" si="1204"/>
        <v>0</v>
      </c>
      <c r="AC829" s="86">
        <f t="shared" si="1205"/>
        <v>0</v>
      </c>
    </row>
    <row r="830" spans="1:31" x14ac:dyDescent="0.15">
      <c r="A830" s="102" t="s">
        <v>3</v>
      </c>
      <c r="B830" s="27"/>
      <c r="C830" s="26">
        <v>10</v>
      </c>
      <c r="D830" s="26"/>
      <c r="E830" s="5">
        <f t="shared" si="1198"/>
        <v>10</v>
      </c>
      <c r="F830" s="25"/>
      <c r="G830" s="26">
        <v>10</v>
      </c>
      <c r="H830" s="26"/>
      <c r="I830" s="5">
        <f t="shared" si="1199"/>
        <v>10</v>
      </c>
      <c r="J830" s="25"/>
      <c r="K830" s="26">
        <v>10</v>
      </c>
      <c r="L830" s="26"/>
      <c r="M830" s="38">
        <f t="shared" si="1200"/>
        <v>10</v>
      </c>
      <c r="N830" s="138">
        <f t="shared" si="1201"/>
        <v>30</v>
      </c>
      <c r="O830" s="24">
        <v>45743</v>
      </c>
      <c r="P830" s="6" t="s">
        <v>3</v>
      </c>
      <c r="Q830" s="14"/>
      <c r="R830" s="11"/>
      <c r="S830" s="11"/>
      <c r="T830" s="5">
        <f t="shared" ref="T830:T851" si="1206">SUM(Q830:S830)</f>
        <v>0</v>
      </c>
      <c r="U830" s="14"/>
      <c r="V830" s="11"/>
      <c r="W830" s="11"/>
      <c r="X830" s="5">
        <f t="shared" ref="X830:X851" si="1207">SUM(U830:W830)</f>
        <v>0</v>
      </c>
      <c r="Y830" s="25"/>
      <c r="Z830" s="26"/>
      <c r="AA830" s="26"/>
      <c r="AB830" s="8">
        <f t="shared" ref="AB830:AB851" si="1208">SUM(Y830:AA830)</f>
        <v>0</v>
      </c>
      <c r="AC830" s="86">
        <f t="shared" si="1205"/>
        <v>0</v>
      </c>
    </row>
    <row r="831" spans="1:31" x14ac:dyDescent="0.15">
      <c r="A831" s="102" t="s">
        <v>57</v>
      </c>
      <c r="B831" s="27"/>
      <c r="C831" s="26">
        <v>1</v>
      </c>
      <c r="D831" s="26"/>
      <c r="E831" s="5">
        <f t="shared" si="1198"/>
        <v>1</v>
      </c>
      <c r="F831" s="25"/>
      <c r="G831" s="26">
        <v>1</v>
      </c>
      <c r="H831" s="26"/>
      <c r="I831" s="5">
        <f t="shared" si="1199"/>
        <v>1</v>
      </c>
      <c r="J831" s="25"/>
      <c r="K831" s="26">
        <v>1</v>
      </c>
      <c r="L831" s="26"/>
      <c r="M831" s="38">
        <f t="shared" si="1200"/>
        <v>1</v>
      </c>
      <c r="N831" s="138">
        <f t="shared" si="1201"/>
        <v>3</v>
      </c>
      <c r="O831" s="70">
        <v>45743</v>
      </c>
      <c r="P831" s="6" t="s">
        <v>3</v>
      </c>
      <c r="Q831" s="27"/>
      <c r="R831" s="26"/>
      <c r="S831" s="26"/>
      <c r="T831" s="5">
        <f t="shared" si="1206"/>
        <v>0</v>
      </c>
      <c r="U831" s="27"/>
      <c r="V831" s="26"/>
      <c r="W831" s="26"/>
      <c r="X831" s="5">
        <f t="shared" si="1207"/>
        <v>0</v>
      </c>
      <c r="Y831" s="25"/>
      <c r="Z831" s="26"/>
      <c r="AA831" s="26"/>
      <c r="AB831" s="5">
        <f t="shared" si="1208"/>
        <v>0</v>
      </c>
      <c r="AC831" s="86">
        <f t="shared" si="1205"/>
        <v>0</v>
      </c>
    </row>
    <row r="832" spans="1:31" ht="14.25" thickBot="1" x14ac:dyDescent="0.2">
      <c r="A832" s="102" t="s">
        <v>281</v>
      </c>
      <c r="B832" s="28"/>
      <c r="C832" s="29">
        <v>3</v>
      </c>
      <c r="D832" s="32"/>
      <c r="E832" s="15">
        <f t="shared" si="1198"/>
        <v>3</v>
      </c>
      <c r="F832" s="35"/>
      <c r="G832" s="29">
        <v>3</v>
      </c>
      <c r="H832" s="32"/>
      <c r="I832" s="15">
        <f t="shared" si="1199"/>
        <v>3</v>
      </c>
      <c r="J832" s="35"/>
      <c r="K832" s="29">
        <v>3</v>
      </c>
      <c r="L832" s="32"/>
      <c r="M832" s="40">
        <f t="shared" si="1200"/>
        <v>3</v>
      </c>
      <c r="N832" s="139">
        <f t="shared" si="1201"/>
        <v>9</v>
      </c>
      <c r="O832" s="70">
        <v>45744</v>
      </c>
      <c r="P832" s="7" t="s">
        <v>3</v>
      </c>
      <c r="Q832" s="28"/>
      <c r="R832" s="29"/>
      <c r="S832" s="29"/>
      <c r="T832" s="15">
        <f t="shared" si="1206"/>
        <v>0</v>
      </c>
      <c r="U832" s="28"/>
      <c r="V832" s="29"/>
      <c r="W832" s="29"/>
      <c r="X832" s="15">
        <f t="shared" si="1207"/>
        <v>0</v>
      </c>
      <c r="Y832" s="35"/>
      <c r="Z832" s="29"/>
      <c r="AA832" s="32"/>
      <c r="AB832" s="15">
        <f t="shared" si="1208"/>
        <v>0</v>
      </c>
      <c r="AC832" s="87">
        <f t="shared" ref="AC832:AC851" si="1209">T832+X832+AB832</f>
        <v>0</v>
      </c>
    </row>
    <row r="833" spans="1:32" ht="14.25" thickBot="1" x14ac:dyDescent="0.2">
      <c r="A833" s="103" t="s">
        <v>4</v>
      </c>
      <c r="B833" s="17">
        <f>SUM(B822:B832)</f>
        <v>30</v>
      </c>
      <c r="C833" s="17">
        <f>SUM(C822:C832)</f>
        <v>49</v>
      </c>
      <c r="D833" s="17">
        <f>SUM(D822:D832)</f>
        <v>18</v>
      </c>
      <c r="E833" s="18">
        <f t="shared" si="1198"/>
        <v>97</v>
      </c>
      <c r="F833" s="17">
        <f>SUM(F822:F832)</f>
        <v>32</v>
      </c>
      <c r="G833" s="17">
        <f>SUM(G822:G832)</f>
        <v>48</v>
      </c>
      <c r="H833" s="17">
        <f>SUM(H822:H832)</f>
        <v>19</v>
      </c>
      <c r="I833" s="18">
        <f t="shared" si="1199"/>
        <v>99</v>
      </c>
      <c r="J833" s="17">
        <f>SUM(J822:J832)</f>
        <v>32</v>
      </c>
      <c r="K833" s="17">
        <f>SUM(K822:K832)</f>
        <v>51</v>
      </c>
      <c r="L833" s="17">
        <f>SUM(L822:L832)</f>
        <v>20</v>
      </c>
      <c r="M833" s="20">
        <f t="shared" si="1200"/>
        <v>103</v>
      </c>
      <c r="N833" s="140">
        <f t="shared" si="1201"/>
        <v>299</v>
      </c>
      <c r="P833" s="16" t="s">
        <v>4</v>
      </c>
      <c r="Q833" s="17">
        <f>SUM(Q822:Q832)</f>
        <v>681</v>
      </c>
      <c r="R833" s="17">
        <f t="shared" ref="R833" si="1210">SUM(R822:R832)</f>
        <v>1214</v>
      </c>
      <c r="S833" s="17">
        <f t="shared" ref="S833" si="1211">SUM(S822:S832)</f>
        <v>851</v>
      </c>
      <c r="T833" s="18">
        <f t="shared" ref="T833" si="1212">SUM(T822:T832)</f>
        <v>2746</v>
      </c>
      <c r="U833" s="17">
        <f t="shared" ref="U833" si="1213">SUM(U822:U832)</f>
        <v>635</v>
      </c>
      <c r="V833" s="17">
        <f t="shared" ref="V833" si="1214">SUM(V822:V832)</f>
        <v>1247</v>
      </c>
      <c r="W833" s="17">
        <f t="shared" ref="W833" si="1215">SUM(W822:W832)</f>
        <v>873</v>
      </c>
      <c r="X833" s="18">
        <f t="shared" ref="X833" si="1216">SUM(X822:X832)</f>
        <v>2755</v>
      </c>
      <c r="Y833" s="17">
        <f t="shared" ref="Y833" si="1217">SUM(Y822:Y832)</f>
        <v>609</v>
      </c>
      <c r="Z833" s="17">
        <f t="shared" ref="Z833" si="1218">SUM(Z822:Z832)</f>
        <v>1186</v>
      </c>
      <c r="AA833" s="17">
        <f t="shared" ref="AA833" si="1219">SUM(AA822:AA832)</f>
        <v>801</v>
      </c>
      <c r="AB833" s="18">
        <f t="shared" ref="AB833" si="1220">SUM(AB822:AB832)</f>
        <v>2596</v>
      </c>
      <c r="AC833" s="88">
        <f t="shared" ref="AC833" si="1221">SUM(AC822:AC832)</f>
        <v>8097</v>
      </c>
    </row>
    <row r="834" spans="1:32" x14ac:dyDescent="0.15">
      <c r="A834" s="4" t="s">
        <v>745</v>
      </c>
      <c r="B834" s="9"/>
      <c r="C834" s="10">
        <v>4</v>
      </c>
      <c r="D834" s="31"/>
      <c r="E834" s="5">
        <f t="shared" si="1198"/>
        <v>4</v>
      </c>
      <c r="F834" s="9"/>
      <c r="G834" s="10">
        <v>4</v>
      </c>
      <c r="H834" s="31"/>
      <c r="I834" s="5">
        <f t="shared" si="1199"/>
        <v>4</v>
      </c>
      <c r="J834" s="9"/>
      <c r="K834" s="10">
        <v>4</v>
      </c>
      <c r="L834" s="31"/>
      <c r="M834" s="38">
        <f t="shared" si="1200"/>
        <v>4</v>
      </c>
      <c r="N834" s="141">
        <f t="shared" si="1201"/>
        <v>12</v>
      </c>
      <c r="O834" s="24">
        <v>45729</v>
      </c>
      <c r="P834" s="4" t="s">
        <v>27</v>
      </c>
      <c r="Q834" s="9">
        <v>10</v>
      </c>
      <c r="R834" s="10"/>
      <c r="S834" s="31"/>
      <c r="T834" s="5">
        <f t="shared" ref="T834" si="1222">SUM(Q834:S834)</f>
        <v>10</v>
      </c>
      <c r="U834" s="9">
        <v>5</v>
      </c>
      <c r="V834" s="10">
        <v>5</v>
      </c>
      <c r="W834" s="31"/>
      <c r="X834" s="5">
        <f t="shared" ref="X834" si="1223">SUM(U834:W834)</f>
        <v>10</v>
      </c>
      <c r="Y834" s="9">
        <v>10</v>
      </c>
      <c r="Z834" s="10"/>
      <c r="AA834" s="31"/>
      <c r="AB834" s="5">
        <f t="shared" ref="AB834" si="1224">SUM(Y834:AA834)</f>
        <v>10</v>
      </c>
      <c r="AC834" s="91">
        <f t="shared" si="1209"/>
        <v>30</v>
      </c>
      <c r="AD834" s="109">
        <v>45726</v>
      </c>
      <c r="AE834" s="58"/>
      <c r="AF834" s="58"/>
    </row>
    <row r="835" spans="1:32" x14ac:dyDescent="0.15">
      <c r="A835" s="4" t="s">
        <v>749</v>
      </c>
      <c r="B835" s="9"/>
      <c r="C835" s="10">
        <v>5</v>
      </c>
      <c r="D835" s="10"/>
      <c r="E835" s="5">
        <f t="shared" si="1198"/>
        <v>5</v>
      </c>
      <c r="F835" s="9"/>
      <c r="G835" s="10">
        <v>5</v>
      </c>
      <c r="H835" s="10"/>
      <c r="I835" s="5">
        <f t="shared" si="1199"/>
        <v>5</v>
      </c>
      <c r="J835" s="9"/>
      <c r="K835" s="10">
        <v>5</v>
      </c>
      <c r="L835" s="10"/>
      <c r="M835" s="38">
        <f t="shared" si="1200"/>
        <v>5</v>
      </c>
      <c r="N835" s="138">
        <f t="shared" si="1201"/>
        <v>15</v>
      </c>
      <c r="O835" s="24">
        <v>45730</v>
      </c>
      <c r="P835" s="4" t="s">
        <v>739</v>
      </c>
      <c r="Q835" s="9">
        <v>2</v>
      </c>
      <c r="R835" s="10">
        <v>8</v>
      </c>
      <c r="S835" s="10">
        <v>11</v>
      </c>
      <c r="T835" s="5">
        <f t="shared" si="1206"/>
        <v>21</v>
      </c>
      <c r="U835" s="9">
        <v>2</v>
      </c>
      <c r="V835" s="10">
        <v>8</v>
      </c>
      <c r="W835" s="10">
        <v>11</v>
      </c>
      <c r="X835" s="5">
        <f t="shared" si="1207"/>
        <v>21</v>
      </c>
      <c r="Y835" s="9">
        <v>2</v>
      </c>
      <c r="Z835" s="10">
        <v>8</v>
      </c>
      <c r="AA835" s="10">
        <v>11</v>
      </c>
      <c r="AB835" s="5">
        <f t="shared" si="1208"/>
        <v>21</v>
      </c>
      <c r="AC835" s="86">
        <f t="shared" si="1209"/>
        <v>63</v>
      </c>
      <c r="AD835" s="109">
        <v>45728</v>
      </c>
    </row>
    <row r="836" spans="1:32" x14ac:dyDescent="0.15">
      <c r="A836" s="4" t="s">
        <v>756</v>
      </c>
      <c r="B836" s="9">
        <v>3</v>
      </c>
      <c r="C836" s="10">
        <v>2</v>
      </c>
      <c r="D836" s="10"/>
      <c r="E836" s="5">
        <f t="shared" si="1198"/>
        <v>5</v>
      </c>
      <c r="F836" s="9">
        <v>3</v>
      </c>
      <c r="G836" s="10">
        <v>2</v>
      </c>
      <c r="H836" s="10"/>
      <c r="I836" s="5">
        <f t="shared" si="1199"/>
        <v>5</v>
      </c>
      <c r="J836" s="9">
        <v>3</v>
      </c>
      <c r="K836" s="10">
        <v>2</v>
      </c>
      <c r="L836" s="10"/>
      <c r="M836" s="38">
        <f t="shared" si="1200"/>
        <v>5</v>
      </c>
      <c r="N836" s="138">
        <f t="shared" si="1201"/>
        <v>15</v>
      </c>
      <c r="O836" s="24">
        <v>45734</v>
      </c>
      <c r="P836" s="4" t="s">
        <v>27</v>
      </c>
      <c r="Q836" s="9">
        <v>5</v>
      </c>
      <c r="R836" s="10">
        <v>15</v>
      </c>
      <c r="S836" s="10">
        <v>10</v>
      </c>
      <c r="T836" s="5">
        <f t="shared" ref="T836" si="1225">SUM(Q836:S836)</f>
        <v>30</v>
      </c>
      <c r="U836" s="9">
        <v>5</v>
      </c>
      <c r="V836" s="10">
        <v>15</v>
      </c>
      <c r="W836" s="10">
        <v>10</v>
      </c>
      <c r="X836" s="5">
        <f t="shared" ref="X836" si="1226">SUM(U836:W836)</f>
        <v>30</v>
      </c>
      <c r="Y836" s="9"/>
      <c r="Z836" s="10">
        <v>15</v>
      </c>
      <c r="AA836" s="10">
        <v>10</v>
      </c>
      <c r="AB836" s="5">
        <f t="shared" ref="AB836" si="1227">SUM(Y836:AA836)</f>
        <v>25</v>
      </c>
      <c r="AC836" s="86">
        <f t="shared" si="1209"/>
        <v>85</v>
      </c>
      <c r="AD836" s="109">
        <v>45727</v>
      </c>
      <c r="AE836" s="58"/>
    </row>
    <row r="837" spans="1:32" x14ac:dyDescent="0.15">
      <c r="A837" s="33" t="s">
        <v>36</v>
      </c>
      <c r="B837" s="9"/>
      <c r="C837" s="10">
        <v>1</v>
      </c>
      <c r="D837" s="10"/>
      <c r="E837" s="5">
        <f t="shared" si="1198"/>
        <v>1</v>
      </c>
      <c r="F837" s="9"/>
      <c r="G837" s="10">
        <v>1</v>
      </c>
      <c r="H837" s="10"/>
      <c r="I837" s="5">
        <f t="shared" si="1199"/>
        <v>1</v>
      </c>
      <c r="J837" s="9"/>
      <c r="K837" s="10">
        <v>1</v>
      </c>
      <c r="L837" s="10"/>
      <c r="M837" s="38">
        <f t="shared" si="1200"/>
        <v>1</v>
      </c>
      <c r="N837" s="138">
        <f t="shared" si="1201"/>
        <v>3</v>
      </c>
      <c r="O837" s="24">
        <v>45730</v>
      </c>
      <c r="P837" s="4" t="s">
        <v>746</v>
      </c>
      <c r="Q837" s="9">
        <v>2</v>
      </c>
      <c r="R837" s="10">
        <v>5</v>
      </c>
      <c r="S837" s="10"/>
      <c r="T837" s="5">
        <f t="shared" si="1206"/>
        <v>7</v>
      </c>
      <c r="U837" s="9">
        <v>2</v>
      </c>
      <c r="V837" s="10">
        <v>5</v>
      </c>
      <c r="W837" s="10"/>
      <c r="X837" s="5">
        <f t="shared" si="1207"/>
        <v>7</v>
      </c>
      <c r="Y837" s="9">
        <v>2</v>
      </c>
      <c r="Z837" s="10">
        <v>5</v>
      </c>
      <c r="AA837" s="10"/>
      <c r="AB837" s="5">
        <f t="shared" si="1208"/>
        <v>7</v>
      </c>
      <c r="AC837" s="86">
        <f t="shared" si="1209"/>
        <v>21</v>
      </c>
      <c r="AD837" s="109">
        <v>45729</v>
      </c>
      <c r="AE837" s="58"/>
    </row>
    <row r="838" spans="1:32" x14ac:dyDescent="0.15">
      <c r="A838" s="33" t="s">
        <v>758</v>
      </c>
      <c r="B838" s="9"/>
      <c r="C838" s="10">
        <v>1</v>
      </c>
      <c r="D838" s="10"/>
      <c r="E838" s="5">
        <f t="shared" si="1198"/>
        <v>1</v>
      </c>
      <c r="F838" s="9"/>
      <c r="G838" s="10">
        <v>1</v>
      </c>
      <c r="H838" s="10"/>
      <c r="I838" s="5">
        <f t="shared" si="1199"/>
        <v>1</v>
      </c>
      <c r="J838" s="9"/>
      <c r="K838" s="10">
        <v>1</v>
      </c>
      <c r="L838" s="10"/>
      <c r="M838" s="38">
        <f t="shared" si="1200"/>
        <v>1</v>
      </c>
      <c r="N838" s="138">
        <f t="shared" si="1201"/>
        <v>3</v>
      </c>
      <c r="O838" s="24">
        <v>45735</v>
      </c>
      <c r="P838" s="4" t="s">
        <v>748</v>
      </c>
      <c r="Q838" s="9">
        <v>6</v>
      </c>
      <c r="R838" s="10">
        <v>7</v>
      </c>
      <c r="S838" s="10">
        <v>3</v>
      </c>
      <c r="T838" s="5">
        <f t="shared" si="1206"/>
        <v>16</v>
      </c>
      <c r="U838" s="9">
        <v>6</v>
      </c>
      <c r="V838" s="10">
        <v>7</v>
      </c>
      <c r="W838" s="10">
        <v>3</v>
      </c>
      <c r="X838" s="5">
        <f t="shared" si="1207"/>
        <v>16</v>
      </c>
      <c r="Y838" s="9">
        <v>6</v>
      </c>
      <c r="Z838" s="10">
        <v>7</v>
      </c>
      <c r="AA838" s="10">
        <v>3</v>
      </c>
      <c r="AB838" s="5">
        <f t="shared" si="1208"/>
        <v>16</v>
      </c>
      <c r="AC838" s="86">
        <f t="shared" si="1209"/>
        <v>48</v>
      </c>
      <c r="AD838" s="109">
        <v>45730</v>
      </c>
      <c r="AE838" s="58"/>
    </row>
    <row r="839" spans="1:32" x14ac:dyDescent="0.15">
      <c r="A839" s="33" t="s">
        <v>760</v>
      </c>
      <c r="B839" s="9"/>
      <c r="C839" s="10">
        <v>1</v>
      </c>
      <c r="D839" s="10"/>
      <c r="E839" s="8">
        <f t="shared" si="1198"/>
        <v>1</v>
      </c>
      <c r="F839" s="9"/>
      <c r="G839" s="10">
        <v>1</v>
      </c>
      <c r="H839" s="10"/>
      <c r="I839" s="8">
        <f t="shared" si="1199"/>
        <v>1</v>
      </c>
      <c r="J839" s="9"/>
      <c r="K839" s="10">
        <v>1</v>
      </c>
      <c r="L839" s="10"/>
      <c r="M839" s="39">
        <f t="shared" si="1200"/>
        <v>1</v>
      </c>
      <c r="N839" s="138">
        <f t="shared" si="1201"/>
        <v>3</v>
      </c>
      <c r="O839" s="24">
        <v>45736</v>
      </c>
      <c r="P839" s="4" t="s">
        <v>27</v>
      </c>
      <c r="Q839" s="9"/>
      <c r="R839" s="10">
        <v>10</v>
      </c>
      <c r="S839" s="10"/>
      <c r="T839" s="8">
        <f t="shared" ref="T839" si="1228">SUM(Q839:S839)</f>
        <v>10</v>
      </c>
      <c r="U839" s="9"/>
      <c r="V839" s="10">
        <v>10</v>
      </c>
      <c r="W839" s="10"/>
      <c r="X839" s="8">
        <f t="shared" ref="X839" si="1229">SUM(U839:W839)</f>
        <v>10</v>
      </c>
      <c r="Y839" s="9"/>
      <c r="Z839" s="10">
        <v>10</v>
      </c>
      <c r="AA839" s="10"/>
      <c r="AB839" s="8">
        <f t="shared" ref="AB839" si="1230">SUM(Y839:AA839)</f>
        <v>10</v>
      </c>
      <c r="AC839" s="86">
        <f t="shared" si="1209"/>
        <v>30</v>
      </c>
      <c r="AD839" s="109">
        <v>45729</v>
      </c>
      <c r="AE839" s="58"/>
    </row>
    <row r="840" spans="1:32" x14ac:dyDescent="0.15">
      <c r="A840" s="33" t="s">
        <v>36</v>
      </c>
      <c r="B840" s="9">
        <v>1</v>
      </c>
      <c r="C840" s="10">
        <v>1</v>
      </c>
      <c r="D840" s="10"/>
      <c r="E840" s="8">
        <f t="shared" si="1198"/>
        <v>2</v>
      </c>
      <c r="F840" s="9">
        <f>1+2</f>
        <v>3</v>
      </c>
      <c r="G840" s="10"/>
      <c r="H840" s="10"/>
      <c r="I840" s="8">
        <f t="shared" si="1199"/>
        <v>3</v>
      </c>
      <c r="J840" s="9">
        <f>1+2</f>
        <v>3</v>
      </c>
      <c r="K840" s="10"/>
      <c r="L840" s="10"/>
      <c r="M840" s="39">
        <f t="shared" si="1200"/>
        <v>3</v>
      </c>
      <c r="N840" s="138">
        <f t="shared" si="1201"/>
        <v>8</v>
      </c>
      <c r="O840" s="24">
        <v>45733</v>
      </c>
      <c r="P840" s="4" t="s">
        <v>750</v>
      </c>
      <c r="Q840" s="9"/>
      <c r="R840" s="10">
        <v>30</v>
      </c>
      <c r="S840" s="10"/>
      <c r="T840" s="8">
        <f t="shared" si="1206"/>
        <v>30</v>
      </c>
      <c r="U840" s="9"/>
      <c r="V840" s="10">
        <v>30</v>
      </c>
      <c r="W840" s="10"/>
      <c r="X840" s="8">
        <f t="shared" si="1207"/>
        <v>30</v>
      </c>
      <c r="Y840" s="9"/>
      <c r="Z840" s="10">
        <v>30</v>
      </c>
      <c r="AA840" s="10"/>
      <c r="AB840" s="8">
        <f t="shared" si="1208"/>
        <v>30</v>
      </c>
      <c r="AC840" s="86">
        <f t="shared" si="1209"/>
        <v>90</v>
      </c>
      <c r="AD840" s="109">
        <v>45735</v>
      </c>
      <c r="AE840" s="58"/>
    </row>
    <row r="841" spans="1:32" x14ac:dyDescent="0.15">
      <c r="A841" s="4" t="s">
        <v>765</v>
      </c>
      <c r="B841" s="9">
        <v>3</v>
      </c>
      <c r="C841" s="10">
        <v>2</v>
      </c>
      <c r="D841" s="10">
        <v>1</v>
      </c>
      <c r="E841" s="8">
        <f t="shared" si="1198"/>
        <v>6</v>
      </c>
      <c r="F841" s="9">
        <v>3</v>
      </c>
      <c r="G841" s="10">
        <v>2</v>
      </c>
      <c r="H841" s="10">
        <v>1</v>
      </c>
      <c r="I841" s="8">
        <f t="shared" si="1199"/>
        <v>6</v>
      </c>
      <c r="J841" s="9">
        <v>3</v>
      </c>
      <c r="K841" s="10">
        <v>2</v>
      </c>
      <c r="L841" s="10">
        <v>1</v>
      </c>
      <c r="M841" s="39">
        <f t="shared" si="1200"/>
        <v>6</v>
      </c>
      <c r="N841" s="138">
        <f t="shared" si="1201"/>
        <v>18</v>
      </c>
      <c r="O841" s="24">
        <v>45737</v>
      </c>
      <c r="P841" s="4" t="s">
        <v>751</v>
      </c>
      <c r="Q841" s="9">
        <v>8</v>
      </c>
      <c r="R841" s="10">
        <v>3</v>
      </c>
      <c r="S841" s="10">
        <v>1</v>
      </c>
      <c r="T841" s="8">
        <f t="shared" si="1206"/>
        <v>12</v>
      </c>
      <c r="U841" s="9">
        <v>8</v>
      </c>
      <c r="V841" s="10">
        <v>3</v>
      </c>
      <c r="W841" s="10">
        <v>1</v>
      </c>
      <c r="X841" s="8">
        <f t="shared" si="1207"/>
        <v>12</v>
      </c>
      <c r="Y841" s="9">
        <v>8</v>
      </c>
      <c r="Z841" s="10">
        <v>3</v>
      </c>
      <c r="AA841" s="10">
        <v>1</v>
      </c>
      <c r="AB841" s="8">
        <f t="shared" si="1208"/>
        <v>12</v>
      </c>
      <c r="AC841" s="86">
        <f t="shared" si="1209"/>
        <v>36</v>
      </c>
      <c r="AD841" s="109">
        <v>45730</v>
      </c>
      <c r="AE841" s="58"/>
    </row>
    <row r="842" spans="1:32" x14ac:dyDescent="0.15">
      <c r="A842" s="4" t="s">
        <v>771</v>
      </c>
      <c r="B842" s="9"/>
      <c r="C842" s="10">
        <v>2</v>
      </c>
      <c r="D842" s="10">
        <v>1</v>
      </c>
      <c r="E842" s="8">
        <f t="shared" si="1198"/>
        <v>3</v>
      </c>
      <c r="F842" s="9"/>
      <c r="G842" s="10">
        <v>2</v>
      </c>
      <c r="H842" s="10">
        <v>1</v>
      </c>
      <c r="I842" s="8">
        <f t="shared" si="1199"/>
        <v>3</v>
      </c>
      <c r="J842" s="9"/>
      <c r="K842" s="10">
        <v>2</v>
      </c>
      <c r="L842" s="10">
        <v>1</v>
      </c>
      <c r="M842" s="39">
        <f t="shared" si="1200"/>
        <v>3</v>
      </c>
      <c r="N842" s="138">
        <f t="shared" si="1201"/>
        <v>9</v>
      </c>
      <c r="O842" s="24">
        <v>45740</v>
      </c>
      <c r="P842" s="11" t="s">
        <v>752</v>
      </c>
      <c r="Q842" s="9"/>
      <c r="R842" s="10">
        <v>5</v>
      </c>
      <c r="S842" s="10"/>
      <c r="T842" s="8">
        <f t="shared" si="1206"/>
        <v>5</v>
      </c>
      <c r="U842" s="9"/>
      <c r="V842" s="10">
        <v>5</v>
      </c>
      <c r="W842" s="10"/>
      <c r="X842" s="8">
        <f t="shared" si="1207"/>
        <v>5</v>
      </c>
      <c r="Y842" s="9"/>
      <c r="Z842" s="10">
        <v>5</v>
      </c>
      <c r="AA842" s="10"/>
      <c r="AB842" s="8">
        <f t="shared" si="1208"/>
        <v>5</v>
      </c>
      <c r="AC842" s="86">
        <f t="shared" si="1209"/>
        <v>15</v>
      </c>
      <c r="AD842" s="109">
        <v>45734</v>
      </c>
      <c r="AE842" s="58"/>
    </row>
    <row r="843" spans="1:32" x14ac:dyDescent="0.15">
      <c r="A843" s="4" t="s">
        <v>773</v>
      </c>
      <c r="B843" s="9">
        <v>5</v>
      </c>
      <c r="C843" s="10"/>
      <c r="D843" s="10"/>
      <c r="E843" s="8">
        <f t="shared" si="1198"/>
        <v>5</v>
      </c>
      <c r="F843" s="9">
        <v>5</v>
      </c>
      <c r="G843" s="10"/>
      <c r="H843" s="10"/>
      <c r="I843" s="8">
        <f t="shared" si="1199"/>
        <v>5</v>
      </c>
      <c r="J843" s="9">
        <v>5</v>
      </c>
      <c r="K843" s="10"/>
      <c r="L843" s="10"/>
      <c r="M843" s="39">
        <f t="shared" si="1200"/>
        <v>5</v>
      </c>
      <c r="N843" s="138">
        <f t="shared" si="1201"/>
        <v>15</v>
      </c>
      <c r="O843" s="24">
        <v>45741</v>
      </c>
      <c r="P843" s="4" t="s">
        <v>757</v>
      </c>
      <c r="Q843" s="9">
        <v>4</v>
      </c>
      <c r="R843" s="10">
        <v>1</v>
      </c>
      <c r="S843" s="10">
        <v>5</v>
      </c>
      <c r="T843" s="8">
        <f t="shared" si="1206"/>
        <v>10</v>
      </c>
      <c r="U843" s="9">
        <v>4</v>
      </c>
      <c r="V843" s="10">
        <v>1</v>
      </c>
      <c r="W843" s="10">
        <v>5</v>
      </c>
      <c r="X843" s="8">
        <f t="shared" si="1207"/>
        <v>10</v>
      </c>
      <c r="Y843" s="9">
        <v>4</v>
      </c>
      <c r="Z843" s="10">
        <v>1</v>
      </c>
      <c r="AA843" s="10">
        <v>5</v>
      </c>
      <c r="AB843" s="8">
        <f t="shared" si="1208"/>
        <v>10</v>
      </c>
      <c r="AC843" s="86">
        <f t="shared" si="1209"/>
        <v>30</v>
      </c>
      <c r="AD843" s="109">
        <v>45733</v>
      </c>
      <c r="AE843" s="58"/>
    </row>
    <row r="844" spans="1:32" x14ac:dyDescent="0.15">
      <c r="A844" s="33" t="s">
        <v>36</v>
      </c>
      <c r="B844" s="9">
        <v>1</v>
      </c>
      <c r="C844" s="10">
        <v>1</v>
      </c>
      <c r="D844" s="10">
        <v>1</v>
      </c>
      <c r="E844" s="8">
        <f t="shared" si="1198"/>
        <v>3</v>
      </c>
      <c r="F844" s="9"/>
      <c r="G844" s="10"/>
      <c r="H844" s="10">
        <v>1</v>
      </c>
      <c r="I844" s="8">
        <f t="shared" si="1199"/>
        <v>1</v>
      </c>
      <c r="J844" s="9"/>
      <c r="K844" s="10"/>
      <c r="L844" s="10">
        <v>1</v>
      </c>
      <c r="M844" s="39">
        <f t="shared" si="1200"/>
        <v>1</v>
      </c>
      <c r="N844" s="138">
        <f t="shared" si="1201"/>
        <v>5</v>
      </c>
      <c r="O844" s="24">
        <v>45737</v>
      </c>
      <c r="P844" s="4" t="s">
        <v>759</v>
      </c>
      <c r="Q844" s="9">
        <v>2</v>
      </c>
      <c r="R844" s="10">
        <v>2</v>
      </c>
      <c r="S844" s="10"/>
      <c r="T844" s="8">
        <f t="shared" si="1206"/>
        <v>4</v>
      </c>
      <c r="U844" s="9">
        <v>2</v>
      </c>
      <c r="V844" s="10">
        <v>2</v>
      </c>
      <c r="W844" s="10"/>
      <c r="X844" s="8">
        <f t="shared" si="1207"/>
        <v>4</v>
      </c>
      <c r="Y844" s="9">
        <v>2</v>
      </c>
      <c r="Z844" s="10">
        <v>2</v>
      </c>
      <c r="AA844" s="10"/>
      <c r="AB844" s="8">
        <f t="shared" si="1208"/>
        <v>4</v>
      </c>
      <c r="AC844" s="86">
        <f t="shared" si="1209"/>
        <v>12</v>
      </c>
      <c r="AD844" s="109">
        <v>45735</v>
      </c>
      <c r="AE844" s="58"/>
    </row>
    <row r="845" spans="1:32" x14ac:dyDescent="0.15">
      <c r="A845" s="33" t="s">
        <v>777</v>
      </c>
      <c r="B845" s="9"/>
      <c r="C845" s="10">
        <v>3</v>
      </c>
      <c r="D845" s="10">
        <v>2</v>
      </c>
      <c r="E845" s="8">
        <f t="shared" si="1198"/>
        <v>5</v>
      </c>
      <c r="F845" s="9"/>
      <c r="G845" s="10">
        <v>3</v>
      </c>
      <c r="H845" s="10">
        <v>2</v>
      </c>
      <c r="I845" s="8">
        <f t="shared" si="1199"/>
        <v>5</v>
      </c>
      <c r="J845" s="9"/>
      <c r="K845" s="10">
        <v>3</v>
      </c>
      <c r="L845" s="10">
        <v>2</v>
      </c>
      <c r="M845" s="39">
        <f t="shared" si="1200"/>
        <v>5</v>
      </c>
      <c r="N845" s="138">
        <f t="shared" si="1201"/>
        <v>15</v>
      </c>
      <c r="O845" s="24">
        <v>45743</v>
      </c>
      <c r="P845" s="4" t="s">
        <v>27</v>
      </c>
      <c r="Q845" s="9"/>
      <c r="R845" s="10">
        <v>10</v>
      </c>
      <c r="S845" s="10"/>
      <c r="T845" s="8">
        <f t="shared" ref="T845" si="1231">SUM(Q845:S845)</f>
        <v>10</v>
      </c>
      <c r="U845" s="9">
        <v>10</v>
      </c>
      <c r="V845" s="10"/>
      <c r="W845" s="10"/>
      <c r="X845" s="8">
        <f t="shared" ref="X845" si="1232">SUM(U845:W845)</f>
        <v>10</v>
      </c>
      <c r="Y845" s="9">
        <v>10</v>
      </c>
      <c r="Z845" s="10">
        <v>10</v>
      </c>
      <c r="AA845" s="10"/>
      <c r="AB845" s="8">
        <f t="shared" ref="AB845" si="1233">SUM(Y845:AA845)</f>
        <v>20</v>
      </c>
      <c r="AC845" s="86">
        <f t="shared" si="1209"/>
        <v>40</v>
      </c>
      <c r="AD845" s="109">
        <v>45734</v>
      </c>
      <c r="AE845" s="58"/>
    </row>
    <row r="846" spans="1:32" x14ac:dyDescent="0.15">
      <c r="A846" s="33" t="s">
        <v>36</v>
      </c>
      <c r="B846" s="9">
        <v>1</v>
      </c>
      <c r="C846" s="10">
        <v>3</v>
      </c>
      <c r="D846" s="10">
        <v>1</v>
      </c>
      <c r="E846" s="8">
        <f t="shared" si="1198"/>
        <v>5</v>
      </c>
      <c r="F846" s="9">
        <f>1+1</f>
        <v>2</v>
      </c>
      <c r="G846" s="10">
        <v>3</v>
      </c>
      <c r="H846" s="10"/>
      <c r="I846" s="8">
        <f t="shared" si="1199"/>
        <v>5</v>
      </c>
      <c r="J846" s="9">
        <v>1</v>
      </c>
      <c r="K846" s="10">
        <v>3</v>
      </c>
      <c r="L846" s="10"/>
      <c r="M846" s="39">
        <f t="shared" si="1200"/>
        <v>4</v>
      </c>
      <c r="N846" s="138">
        <f t="shared" si="1201"/>
        <v>14</v>
      </c>
      <c r="O846" s="70">
        <v>45740</v>
      </c>
      <c r="P846" s="4" t="s">
        <v>761</v>
      </c>
      <c r="Q846" s="9">
        <v>1</v>
      </c>
      <c r="R846" s="10"/>
      <c r="S846" s="10">
        <v>3</v>
      </c>
      <c r="T846" s="8">
        <f t="shared" si="1206"/>
        <v>4</v>
      </c>
      <c r="U846" s="9">
        <v>1</v>
      </c>
      <c r="V846" s="10"/>
      <c r="W846" s="10">
        <v>3</v>
      </c>
      <c r="X846" s="8">
        <f t="shared" si="1207"/>
        <v>4</v>
      </c>
      <c r="Y846" s="9">
        <v>1</v>
      </c>
      <c r="Z846" s="10"/>
      <c r="AA846" s="10">
        <v>3</v>
      </c>
      <c r="AB846" s="8">
        <f t="shared" si="1208"/>
        <v>4</v>
      </c>
      <c r="AC846" s="86">
        <f t="shared" si="1209"/>
        <v>12</v>
      </c>
      <c r="AD846" s="109">
        <v>45735</v>
      </c>
      <c r="AE846" s="58"/>
    </row>
    <row r="847" spans="1:32" x14ac:dyDescent="0.15">
      <c r="A847" s="33" t="s">
        <v>36</v>
      </c>
      <c r="B847" s="9"/>
      <c r="C847" s="10">
        <v>1</v>
      </c>
      <c r="D847" s="10"/>
      <c r="E847" s="8">
        <f t="shared" si="1198"/>
        <v>1</v>
      </c>
      <c r="F847" s="9"/>
      <c r="G847" s="10"/>
      <c r="H847" s="10"/>
      <c r="I847" s="8">
        <f t="shared" si="1199"/>
        <v>0</v>
      </c>
      <c r="J847" s="9"/>
      <c r="K847" s="10">
        <v>1</v>
      </c>
      <c r="L847" s="10">
        <v>4</v>
      </c>
      <c r="M847" s="39">
        <f t="shared" si="1200"/>
        <v>5</v>
      </c>
      <c r="N847" s="138">
        <f t="shared" si="1201"/>
        <v>6</v>
      </c>
      <c r="O847" s="70">
        <v>45741</v>
      </c>
      <c r="P847" s="4" t="s">
        <v>762</v>
      </c>
      <c r="Q847" s="9">
        <v>40</v>
      </c>
      <c r="R847" s="10">
        <v>70</v>
      </c>
      <c r="S847" s="10">
        <v>30</v>
      </c>
      <c r="T847" s="8">
        <f t="shared" si="1206"/>
        <v>140</v>
      </c>
      <c r="U847" s="9">
        <v>40</v>
      </c>
      <c r="V847" s="10">
        <v>50</v>
      </c>
      <c r="W847" s="10">
        <v>85</v>
      </c>
      <c r="X847" s="8">
        <f t="shared" si="1207"/>
        <v>175</v>
      </c>
      <c r="Y847" s="9">
        <v>55</v>
      </c>
      <c r="Z847" s="10">
        <v>110</v>
      </c>
      <c r="AA847" s="10">
        <v>90</v>
      </c>
      <c r="AB847" s="8">
        <f t="shared" si="1208"/>
        <v>255</v>
      </c>
      <c r="AC847" s="86">
        <f t="shared" si="1209"/>
        <v>570</v>
      </c>
      <c r="AD847" s="109">
        <v>45736</v>
      </c>
    </row>
    <row r="848" spans="1:32" x14ac:dyDescent="0.15">
      <c r="A848" s="4" t="s">
        <v>783</v>
      </c>
      <c r="B848" s="9">
        <v>2</v>
      </c>
      <c r="C848" s="10">
        <v>5</v>
      </c>
      <c r="D848" s="10"/>
      <c r="E848" s="8">
        <f t="shared" si="1198"/>
        <v>7</v>
      </c>
      <c r="F848" s="9">
        <v>2</v>
      </c>
      <c r="G848" s="10">
        <v>5</v>
      </c>
      <c r="H848" s="10"/>
      <c r="I848" s="8">
        <f t="shared" si="1199"/>
        <v>7</v>
      </c>
      <c r="J848" s="9">
        <v>2</v>
      </c>
      <c r="K848" s="10">
        <v>5</v>
      </c>
      <c r="L848" s="10"/>
      <c r="M848" s="39">
        <f t="shared" si="1200"/>
        <v>7</v>
      </c>
      <c r="N848" s="138">
        <f t="shared" si="1201"/>
        <v>21</v>
      </c>
      <c r="O848" s="24">
        <v>45743</v>
      </c>
      <c r="P848" s="4" t="s">
        <v>768</v>
      </c>
      <c r="Q848" s="9">
        <v>5</v>
      </c>
      <c r="R848" s="10">
        <v>20</v>
      </c>
      <c r="S848" s="10">
        <v>10</v>
      </c>
      <c r="T848" s="8">
        <f t="shared" si="1206"/>
        <v>35</v>
      </c>
      <c r="U848" s="9">
        <v>5</v>
      </c>
      <c r="V848" s="10">
        <v>20</v>
      </c>
      <c r="W848" s="10">
        <v>10</v>
      </c>
      <c r="X848" s="8">
        <f t="shared" si="1207"/>
        <v>35</v>
      </c>
      <c r="Y848" s="9">
        <v>5</v>
      </c>
      <c r="Z848" s="10">
        <v>20</v>
      </c>
      <c r="AA848" s="10">
        <v>10</v>
      </c>
      <c r="AB848" s="8">
        <f t="shared" si="1208"/>
        <v>35</v>
      </c>
      <c r="AC848" s="86">
        <f t="shared" si="1209"/>
        <v>105</v>
      </c>
      <c r="AD848" s="109">
        <v>45740</v>
      </c>
    </row>
    <row r="849" spans="1:31" x14ac:dyDescent="0.15">
      <c r="A849" s="33" t="s">
        <v>36</v>
      </c>
      <c r="B849" s="9"/>
      <c r="C849" s="10"/>
      <c r="D849" s="10">
        <v>1</v>
      </c>
      <c r="E849" s="8">
        <f t="shared" si="1198"/>
        <v>1</v>
      </c>
      <c r="F849" s="9"/>
      <c r="G849" s="10"/>
      <c r="H849" s="10">
        <v>1</v>
      </c>
      <c r="I849" s="8">
        <f t="shared" si="1199"/>
        <v>1</v>
      </c>
      <c r="J849" s="9"/>
      <c r="K849" s="10"/>
      <c r="L849" s="10">
        <v>1</v>
      </c>
      <c r="M849" s="39">
        <f t="shared" si="1200"/>
        <v>1</v>
      </c>
      <c r="N849" s="138">
        <f t="shared" si="1201"/>
        <v>3</v>
      </c>
      <c r="O849" s="24">
        <v>45747</v>
      </c>
      <c r="P849" s="4"/>
      <c r="Q849" s="9"/>
      <c r="R849" s="10"/>
      <c r="S849" s="10"/>
      <c r="T849" s="8">
        <f t="shared" si="1206"/>
        <v>0</v>
      </c>
      <c r="U849" s="9"/>
      <c r="V849" s="10"/>
      <c r="W849" s="10"/>
      <c r="X849" s="8">
        <f t="shared" si="1207"/>
        <v>0</v>
      </c>
      <c r="Y849" s="9"/>
      <c r="Z849" s="10"/>
      <c r="AA849" s="10"/>
      <c r="AB849" s="8">
        <f t="shared" si="1208"/>
        <v>0</v>
      </c>
      <c r="AC849" s="86">
        <f t="shared" si="1209"/>
        <v>0</v>
      </c>
    </row>
    <row r="850" spans="1:31" x14ac:dyDescent="0.15">
      <c r="A850" s="33"/>
      <c r="B850" s="9"/>
      <c r="C850" s="10"/>
      <c r="D850" s="10"/>
      <c r="E850" s="8">
        <f t="shared" si="1198"/>
        <v>0</v>
      </c>
      <c r="F850" s="9"/>
      <c r="G850" s="10"/>
      <c r="H850" s="10"/>
      <c r="I850" s="8">
        <f t="shared" si="1199"/>
        <v>0</v>
      </c>
      <c r="J850" s="9"/>
      <c r="K850" s="10"/>
      <c r="L850" s="10"/>
      <c r="M850" s="39">
        <f t="shared" si="1200"/>
        <v>0</v>
      </c>
      <c r="N850" s="138">
        <f t="shared" si="1201"/>
        <v>0</v>
      </c>
      <c r="P850" s="4" t="s">
        <v>591</v>
      </c>
      <c r="Q850" s="9"/>
      <c r="R850" s="10"/>
      <c r="S850" s="10"/>
      <c r="T850" s="8">
        <f t="shared" si="1206"/>
        <v>0</v>
      </c>
      <c r="U850" s="9"/>
      <c r="V850" s="10"/>
      <c r="W850" s="10"/>
      <c r="X850" s="8">
        <f t="shared" si="1207"/>
        <v>0</v>
      </c>
      <c r="Y850" s="9"/>
      <c r="Z850" s="10"/>
      <c r="AA850" s="10"/>
      <c r="AB850" s="8">
        <f t="shared" si="1208"/>
        <v>0</v>
      </c>
      <c r="AC850" s="86">
        <f t="shared" si="1209"/>
        <v>0</v>
      </c>
      <c r="AD850" s="116" t="s">
        <v>592</v>
      </c>
    </row>
    <row r="851" spans="1:31" x14ac:dyDescent="0.15">
      <c r="A851" s="33"/>
      <c r="B851" s="9"/>
      <c r="C851" s="10"/>
      <c r="D851" s="10"/>
      <c r="E851" s="8">
        <f t="shared" si="1198"/>
        <v>0</v>
      </c>
      <c r="F851" s="9"/>
      <c r="G851" s="10"/>
      <c r="H851" s="10"/>
      <c r="I851" s="8">
        <f t="shared" si="1199"/>
        <v>0</v>
      </c>
      <c r="J851" s="9"/>
      <c r="K851" s="10"/>
      <c r="L851" s="10"/>
      <c r="M851" s="39">
        <f t="shared" si="1200"/>
        <v>0</v>
      </c>
      <c r="N851" s="138">
        <f t="shared" si="1201"/>
        <v>0</v>
      </c>
      <c r="P851" s="4" t="s">
        <v>486</v>
      </c>
      <c r="Q851" s="9"/>
      <c r="R851" s="10"/>
      <c r="S851" s="10"/>
      <c r="T851" s="8">
        <f t="shared" si="1206"/>
        <v>0</v>
      </c>
      <c r="U851" s="9"/>
      <c r="V851" s="10"/>
      <c r="W851" s="10"/>
      <c r="X851" s="8">
        <f t="shared" si="1207"/>
        <v>0</v>
      </c>
      <c r="Y851" s="9"/>
      <c r="Z851" s="10"/>
      <c r="AA851" s="10"/>
      <c r="AB851" s="8">
        <f t="shared" si="1208"/>
        <v>0</v>
      </c>
      <c r="AC851" s="86">
        <f t="shared" si="1209"/>
        <v>0</v>
      </c>
      <c r="AD851" s="116" t="s">
        <v>521</v>
      </c>
    </row>
    <row r="852" spans="1:31" x14ac:dyDescent="0.15">
      <c r="A852" s="33"/>
      <c r="B852" s="9"/>
      <c r="C852" s="10"/>
      <c r="D852" s="10"/>
      <c r="E852" s="8">
        <f t="shared" si="1198"/>
        <v>0</v>
      </c>
      <c r="F852" s="9"/>
      <c r="G852" s="10"/>
      <c r="H852" s="10"/>
      <c r="I852" s="8">
        <f t="shared" si="1199"/>
        <v>0</v>
      </c>
      <c r="J852" s="9"/>
      <c r="K852" s="10"/>
      <c r="L852" s="10"/>
      <c r="M852" s="39">
        <f t="shared" si="1200"/>
        <v>0</v>
      </c>
      <c r="N852" s="138">
        <f t="shared" si="1201"/>
        <v>0</v>
      </c>
      <c r="P852" s="11" t="s">
        <v>86</v>
      </c>
      <c r="Q852" s="9"/>
      <c r="R852" s="10"/>
      <c r="S852" s="10"/>
      <c r="T852" s="8">
        <f t="shared" ref="T852" si="1234">SUM(Q852:S852)</f>
        <v>0</v>
      </c>
      <c r="U852" s="9"/>
      <c r="V852" s="10"/>
      <c r="W852" s="10"/>
      <c r="X852" s="8">
        <f t="shared" ref="X852" si="1235">SUM(U852:W852)</f>
        <v>0</v>
      </c>
      <c r="Y852" s="9"/>
      <c r="Z852" s="10"/>
      <c r="AA852" s="10"/>
      <c r="AB852" s="8">
        <f t="shared" ref="AB852" si="1236">SUM(Y852:AA852)</f>
        <v>0</v>
      </c>
      <c r="AC852" s="86">
        <f t="shared" ref="AC852" si="1237">T852+X852+AB852</f>
        <v>0</v>
      </c>
      <c r="AD852" s="109" t="s">
        <v>87</v>
      </c>
    </row>
    <row r="853" spans="1:31" x14ac:dyDescent="0.15">
      <c r="A853" s="33"/>
      <c r="B853" s="9"/>
      <c r="C853" s="10"/>
      <c r="D853" s="10"/>
      <c r="E853" s="8">
        <f t="shared" si="1198"/>
        <v>0</v>
      </c>
      <c r="F853" s="9"/>
      <c r="G853" s="10"/>
      <c r="H853" s="10"/>
      <c r="I853" s="8">
        <f t="shared" si="1199"/>
        <v>0</v>
      </c>
      <c r="J853" s="9"/>
      <c r="K853" s="10"/>
      <c r="L853" s="10"/>
      <c r="M853" s="39">
        <f t="shared" si="1200"/>
        <v>0</v>
      </c>
      <c r="N853" s="138">
        <f t="shared" si="1201"/>
        <v>0</v>
      </c>
      <c r="P853" s="81" t="s">
        <v>75</v>
      </c>
      <c r="Q853" s="71"/>
      <c r="R853" s="72"/>
      <c r="S853" s="72"/>
      <c r="T853" s="73">
        <f t="shared" ref="T853:T857" si="1238">SUM(Q853:S853)</f>
        <v>0</v>
      </c>
      <c r="U853" s="71"/>
      <c r="V853" s="72"/>
      <c r="W853" s="72"/>
      <c r="X853" s="73">
        <f t="shared" ref="X853:X857" si="1239">SUM(U853:W853)</f>
        <v>0</v>
      </c>
      <c r="Y853" s="71"/>
      <c r="Z853" s="72"/>
      <c r="AA853" s="72"/>
      <c r="AB853" s="73">
        <f t="shared" ref="AB853:AB857" si="1240">SUM(Y853:AA853)</f>
        <v>0</v>
      </c>
      <c r="AC853" s="131">
        <f t="shared" ref="AC853:AC857" si="1241">T853+X853+AB853</f>
        <v>0</v>
      </c>
      <c r="AD853" s="116"/>
    </row>
    <row r="854" spans="1:31" x14ac:dyDescent="0.15">
      <c r="A854" s="33"/>
      <c r="B854" s="9"/>
      <c r="C854" s="10"/>
      <c r="D854" s="10"/>
      <c r="E854" s="8">
        <f t="shared" si="1198"/>
        <v>0</v>
      </c>
      <c r="F854" s="9"/>
      <c r="G854" s="10"/>
      <c r="H854" s="10"/>
      <c r="I854" s="8">
        <f t="shared" si="1199"/>
        <v>0</v>
      </c>
      <c r="J854" s="9"/>
      <c r="K854" s="10"/>
      <c r="L854" s="10"/>
      <c r="M854" s="39">
        <f t="shared" si="1200"/>
        <v>0</v>
      </c>
      <c r="N854" s="138">
        <f t="shared" si="1201"/>
        <v>0</v>
      </c>
      <c r="P854" s="4" t="s">
        <v>645</v>
      </c>
      <c r="Q854" s="9"/>
      <c r="R854" s="10"/>
      <c r="S854" s="10"/>
      <c r="T854" s="8">
        <f t="shared" si="1238"/>
        <v>0</v>
      </c>
      <c r="U854" s="9"/>
      <c r="V854" s="10"/>
      <c r="W854" s="10"/>
      <c r="X854" s="8">
        <f t="shared" si="1239"/>
        <v>0</v>
      </c>
      <c r="Y854" s="9"/>
      <c r="Z854" s="10"/>
      <c r="AA854" s="10"/>
      <c r="AB854" s="8">
        <f t="shared" si="1240"/>
        <v>0</v>
      </c>
      <c r="AC854" s="86">
        <f t="shared" si="1241"/>
        <v>0</v>
      </c>
      <c r="AD854" s="116" t="s">
        <v>644</v>
      </c>
    </row>
    <row r="855" spans="1:31" x14ac:dyDescent="0.15">
      <c r="A855" s="33"/>
      <c r="B855" s="9"/>
      <c r="C855" s="10"/>
      <c r="D855" s="10"/>
      <c r="E855" s="8">
        <f t="shared" si="1198"/>
        <v>0</v>
      </c>
      <c r="F855" s="9"/>
      <c r="G855" s="10"/>
      <c r="H855" s="10"/>
      <c r="I855" s="8">
        <f t="shared" si="1199"/>
        <v>0</v>
      </c>
      <c r="J855" s="9"/>
      <c r="K855" s="10"/>
      <c r="L855" s="10"/>
      <c r="M855" s="39">
        <f t="shared" si="1200"/>
        <v>0</v>
      </c>
      <c r="N855" s="138">
        <f t="shared" si="1201"/>
        <v>0</v>
      </c>
      <c r="P855" s="4" t="s">
        <v>638</v>
      </c>
      <c r="Q855" s="9"/>
      <c r="R855" s="10"/>
      <c r="S855" s="10"/>
      <c r="T855" s="8">
        <f t="shared" si="1238"/>
        <v>0</v>
      </c>
      <c r="U855" s="9"/>
      <c r="V855" s="10"/>
      <c r="W855" s="10"/>
      <c r="X855" s="8">
        <f t="shared" si="1239"/>
        <v>0</v>
      </c>
      <c r="Y855" s="9"/>
      <c r="Z855" s="10"/>
      <c r="AA855" s="10"/>
      <c r="AB855" s="8">
        <f t="shared" si="1240"/>
        <v>0</v>
      </c>
      <c r="AC855" s="86">
        <f t="shared" si="1241"/>
        <v>0</v>
      </c>
      <c r="AD855" s="116" t="s">
        <v>717</v>
      </c>
      <c r="AE855" s="58"/>
    </row>
    <row r="856" spans="1:31" x14ac:dyDescent="0.15">
      <c r="A856" s="33"/>
      <c r="B856" s="9"/>
      <c r="C856" s="10"/>
      <c r="D856" s="10"/>
      <c r="E856" s="8">
        <f t="shared" si="1198"/>
        <v>0</v>
      </c>
      <c r="F856" s="9"/>
      <c r="G856" s="10"/>
      <c r="H856" s="10"/>
      <c r="I856" s="8">
        <f t="shared" si="1199"/>
        <v>0</v>
      </c>
      <c r="J856" s="9"/>
      <c r="K856" s="10"/>
      <c r="L856" s="10"/>
      <c r="M856" s="39">
        <f t="shared" si="1200"/>
        <v>0</v>
      </c>
      <c r="N856" s="138">
        <f t="shared" si="1201"/>
        <v>0</v>
      </c>
      <c r="P856" s="81" t="s">
        <v>601</v>
      </c>
      <c r="Q856" s="71"/>
      <c r="R856" s="72"/>
      <c r="S856" s="72"/>
      <c r="T856" s="73">
        <f t="shared" si="1238"/>
        <v>0</v>
      </c>
      <c r="U856" s="71"/>
      <c r="V856" s="72"/>
      <c r="W856" s="72"/>
      <c r="X856" s="73">
        <f t="shared" si="1239"/>
        <v>0</v>
      </c>
      <c r="Y856" s="71"/>
      <c r="Z856" s="72"/>
      <c r="AA856" s="72"/>
      <c r="AB856" s="73">
        <f t="shared" si="1240"/>
        <v>0</v>
      </c>
      <c r="AC856" s="131">
        <f t="shared" si="1241"/>
        <v>0</v>
      </c>
      <c r="AD856" s="116"/>
      <c r="AE856" s="58"/>
    </row>
    <row r="857" spans="1:31" ht="14.25" thickBot="1" x14ac:dyDescent="0.2">
      <c r="A857" s="63"/>
      <c r="B857" s="9"/>
      <c r="C857" s="10"/>
      <c r="D857" s="22"/>
      <c r="E857" s="8">
        <f t="shared" si="1198"/>
        <v>0</v>
      </c>
      <c r="F857" s="9"/>
      <c r="G857" s="10"/>
      <c r="H857" s="22"/>
      <c r="I857" s="8">
        <f t="shared" si="1199"/>
        <v>0</v>
      </c>
      <c r="J857" s="9"/>
      <c r="K857" s="10"/>
      <c r="L857" s="22"/>
      <c r="M857" s="39">
        <f t="shared" si="1200"/>
        <v>0</v>
      </c>
      <c r="N857" s="139">
        <f t="shared" si="1201"/>
        <v>0</v>
      </c>
      <c r="P857" s="4" t="s">
        <v>603</v>
      </c>
      <c r="Q857" s="9"/>
      <c r="R857" s="10"/>
      <c r="S857" s="10"/>
      <c r="T857" s="8">
        <f t="shared" si="1238"/>
        <v>0</v>
      </c>
      <c r="U857" s="9"/>
      <c r="V857" s="10"/>
      <c r="W857" s="10"/>
      <c r="X857" s="8">
        <f t="shared" si="1239"/>
        <v>0</v>
      </c>
      <c r="Y857" s="9"/>
      <c r="Z857" s="10"/>
      <c r="AA857" s="10"/>
      <c r="AB857" s="8">
        <f t="shared" si="1240"/>
        <v>0</v>
      </c>
      <c r="AC857" s="86">
        <f t="shared" si="1241"/>
        <v>0</v>
      </c>
      <c r="AD857" s="116" t="s">
        <v>602</v>
      </c>
      <c r="AE857" s="58"/>
    </row>
    <row r="858" spans="1:31" ht="14.25" thickBot="1" x14ac:dyDescent="0.2">
      <c r="A858" s="104" t="s">
        <v>5</v>
      </c>
      <c r="B858" s="12">
        <f>SUM(B834:B857)</f>
        <v>16</v>
      </c>
      <c r="C858" s="12">
        <f>SUM(C834:C857)</f>
        <v>32</v>
      </c>
      <c r="D858" s="12">
        <f>SUM(D834:D857)</f>
        <v>7</v>
      </c>
      <c r="E858" s="13">
        <f t="shared" si="1198"/>
        <v>55</v>
      </c>
      <c r="F858" s="12">
        <f>SUM(F834:F857)</f>
        <v>18</v>
      </c>
      <c r="G858" s="12">
        <f>SUM(G834:G857)</f>
        <v>29</v>
      </c>
      <c r="H858" s="12">
        <f>SUM(H834:H857)</f>
        <v>6</v>
      </c>
      <c r="I858" s="13">
        <f t="shared" si="1199"/>
        <v>53</v>
      </c>
      <c r="J858" s="12">
        <f>SUM(J834:J857)</f>
        <v>17</v>
      </c>
      <c r="K858" s="12">
        <f>SUM(K834:K857)</f>
        <v>30</v>
      </c>
      <c r="L858" s="12">
        <f>SUM(L834:L857)</f>
        <v>10</v>
      </c>
      <c r="M858" s="12">
        <f t="shared" si="1200"/>
        <v>57</v>
      </c>
      <c r="N858" s="142">
        <f t="shared" si="1201"/>
        <v>165</v>
      </c>
      <c r="P858" s="3" t="s">
        <v>5</v>
      </c>
      <c r="Q858" s="12">
        <f>SUM(Q834:Q857)</f>
        <v>85</v>
      </c>
      <c r="R858" s="12">
        <f t="shared" ref="R858" si="1242">SUM(R834:R857)</f>
        <v>186</v>
      </c>
      <c r="S858" s="12">
        <f t="shared" ref="S858" si="1243">SUM(S834:S857)</f>
        <v>73</v>
      </c>
      <c r="T858" s="13">
        <f t="shared" ref="T858" si="1244">SUM(T834:T857)</f>
        <v>344</v>
      </c>
      <c r="U858" s="12">
        <f t="shared" ref="U858" si="1245">SUM(U834:U857)</f>
        <v>90</v>
      </c>
      <c r="V858" s="12">
        <f t="shared" ref="V858" si="1246">SUM(V834:V857)</f>
        <v>161</v>
      </c>
      <c r="W858" s="12">
        <f t="shared" ref="W858" si="1247">SUM(W834:W857)</f>
        <v>128</v>
      </c>
      <c r="X858" s="13">
        <f t="shared" ref="X858" si="1248">SUM(X834:X857)</f>
        <v>379</v>
      </c>
      <c r="Y858" s="12">
        <f t="shared" ref="Y858" si="1249">SUM(Y834:Y857)</f>
        <v>105</v>
      </c>
      <c r="Z858" s="12">
        <f t="shared" ref="Z858" si="1250">SUM(Z834:Z857)</f>
        <v>226</v>
      </c>
      <c r="AA858" s="12">
        <f t="shared" ref="AA858" si="1251">SUM(AA834:AA857)</f>
        <v>133</v>
      </c>
      <c r="AB858" s="13">
        <f t="shared" ref="AB858" si="1252">SUM(AB834:AB857)</f>
        <v>464</v>
      </c>
      <c r="AC858" s="155">
        <f t="shared" ref="AC858" si="1253">SUM(AC834:AC857)</f>
        <v>1187</v>
      </c>
    </row>
    <row r="859" spans="1:31" ht="14.25" thickBot="1" x14ac:dyDescent="0.2">
      <c r="A859" s="105" t="s">
        <v>6</v>
      </c>
      <c r="B859" s="20">
        <f>B833-B858</f>
        <v>14</v>
      </c>
      <c r="C859" s="20">
        <f t="shared" ref="C859:E859" si="1254">C833-C858</f>
        <v>17</v>
      </c>
      <c r="D859" s="20">
        <f t="shared" si="1254"/>
        <v>11</v>
      </c>
      <c r="E859" s="18">
        <f t="shared" si="1254"/>
        <v>42</v>
      </c>
      <c r="F859" s="20">
        <f>F833-F858</f>
        <v>14</v>
      </c>
      <c r="G859" s="20">
        <f t="shared" ref="G859:I859" si="1255">G833-G858</f>
        <v>19</v>
      </c>
      <c r="H859" s="20">
        <f t="shared" si="1255"/>
        <v>13</v>
      </c>
      <c r="I859" s="18">
        <f t="shared" si="1255"/>
        <v>46</v>
      </c>
      <c r="J859" s="20">
        <f>J833-J858</f>
        <v>15</v>
      </c>
      <c r="K859" s="20">
        <f t="shared" ref="K859:M859" si="1256">K833-K858</f>
        <v>21</v>
      </c>
      <c r="L859" s="20">
        <f t="shared" si="1256"/>
        <v>10</v>
      </c>
      <c r="M859" s="20">
        <f t="shared" si="1256"/>
        <v>46</v>
      </c>
      <c r="N859" s="140">
        <f t="shared" si="1201"/>
        <v>134</v>
      </c>
      <c r="P859" s="19" t="s">
        <v>6</v>
      </c>
      <c r="Q859" s="20">
        <f>Q833-Q858</f>
        <v>596</v>
      </c>
      <c r="R859" s="20">
        <f t="shared" ref="R859" si="1257">R833-R858</f>
        <v>1028</v>
      </c>
      <c r="S859" s="20">
        <f t="shared" ref="S859" si="1258">S833-S858</f>
        <v>778</v>
      </c>
      <c r="T859" s="18">
        <f t="shared" ref="T859" si="1259">T833-T858</f>
        <v>2402</v>
      </c>
      <c r="U859" s="20">
        <f t="shared" ref="U859" si="1260">U833-U858</f>
        <v>545</v>
      </c>
      <c r="V859" s="20">
        <f t="shared" ref="V859" si="1261">V833-V858</f>
        <v>1086</v>
      </c>
      <c r="W859" s="20">
        <f t="shared" ref="W859" si="1262">W833-W858</f>
        <v>745</v>
      </c>
      <c r="X859" s="18">
        <f t="shared" ref="X859" si="1263">X833-X858</f>
        <v>2376</v>
      </c>
      <c r="Y859" s="20">
        <f t="shared" ref="Y859" si="1264">Y833-Y858</f>
        <v>504</v>
      </c>
      <c r="Z859" s="20">
        <f t="shared" ref="Z859" si="1265">Z833-Z858</f>
        <v>960</v>
      </c>
      <c r="AA859" s="20">
        <f t="shared" ref="AA859" si="1266">AA833-AA858</f>
        <v>668</v>
      </c>
      <c r="AB859" s="18">
        <f t="shared" ref="AB859" si="1267">AB833-AB858</f>
        <v>2132</v>
      </c>
      <c r="AC859" s="88">
        <f t="shared" ref="AC859" si="1268">AC833-AC858</f>
        <v>6910</v>
      </c>
    </row>
    <row r="862" spans="1:31" ht="19.5" thickBot="1" x14ac:dyDescent="0.25">
      <c r="A862" s="108" t="s">
        <v>264</v>
      </c>
      <c r="B862" s="47"/>
      <c r="C862" s="47"/>
      <c r="D862" s="47"/>
      <c r="E862" s="47"/>
      <c r="F862" s="48"/>
      <c r="G862" s="48"/>
      <c r="H862" s="48"/>
      <c r="I862" s="48"/>
      <c r="J862" s="48"/>
      <c r="K862" s="48"/>
      <c r="L862" s="1"/>
      <c r="M862" s="1"/>
      <c r="N862" s="137"/>
      <c r="P862" s="43" t="s">
        <v>263</v>
      </c>
      <c r="Q862" s="44"/>
      <c r="R862" s="44"/>
      <c r="S862" s="44"/>
      <c r="T862" s="44"/>
      <c r="U862" s="45"/>
      <c r="V862" s="45"/>
      <c r="W862" s="45"/>
      <c r="X862" s="45"/>
      <c r="Y862" s="46"/>
      <c r="Z862" s="53"/>
      <c r="AA862" s="1"/>
      <c r="AB862" s="1"/>
    </row>
    <row r="863" spans="1:31" ht="14.25" thickBot="1" x14ac:dyDescent="0.2">
      <c r="A863" s="100" t="s">
        <v>0</v>
      </c>
      <c r="B863" s="337" t="s">
        <v>11</v>
      </c>
      <c r="C863" s="337"/>
      <c r="D863" s="337"/>
      <c r="E863" s="338"/>
      <c r="F863" s="339" t="s">
        <v>9</v>
      </c>
      <c r="G863" s="340"/>
      <c r="H863" s="340"/>
      <c r="I863" s="341"/>
      <c r="J863" s="342" t="s">
        <v>12</v>
      </c>
      <c r="K863" s="343"/>
      <c r="L863" s="343"/>
      <c r="M863" s="343"/>
      <c r="N863" s="347" t="s">
        <v>13</v>
      </c>
      <c r="P863" s="2" t="s">
        <v>0</v>
      </c>
      <c r="Q863" s="336" t="s">
        <v>11</v>
      </c>
      <c r="R863" s="337"/>
      <c r="S863" s="337"/>
      <c r="T863" s="338"/>
      <c r="U863" s="339" t="s">
        <v>9</v>
      </c>
      <c r="V863" s="340"/>
      <c r="W863" s="340"/>
      <c r="X863" s="341"/>
      <c r="Y863" s="342" t="s">
        <v>12</v>
      </c>
      <c r="Z863" s="343"/>
      <c r="AA863" s="343"/>
      <c r="AB863" s="344"/>
      <c r="AC863" s="345" t="s">
        <v>13</v>
      </c>
    </row>
    <row r="864" spans="1:31" ht="14.25" thickBot="1" x14ac:dyDescent="0.2">
      <c r="A864" s="100" t="s">
        <v>1</v>
      </c>
      <c r="B864" s="3" t="s">
        <v>7</v>
      </c>
      <c r="C864" s="2" t="s">
        <v>10</v>
      </c>
      <c r="D864" s="2" t="s">
        <v>8</v>
      </c>
      <c r="E864" s="2" t="s">
        <v>2</v>
      </c>
      <c r="F864" s="3" t="s">
        <v>7</v>
      </c>
      <c r="G864" s="2" t="s">
        <v>10</v>
      </c>
      <c r="H864" s="2" t="s">
        <v>8</v>
      </c>
      <c r="I864" s="2" t="s">
        <v>2</v>
      </c>
      <c r="J864" s="3" t="s">
        <v>7</v>
      </c>
      <c r="K864" s="2" t="s">
        <v>10</v>
      </c>
      <c r="L864" s="2" t="s">
        <v>8</v>
      </c>
      <c r="M864" s="3" t="s">
        <v>2</v>
      </c>
      <c r="N864" s="348"/>
      <c r="P864" s="2" t="s">
        <v>1</v>
      </c>
      <c r="Q864" s="3" t="s">
        <v>7</v>
      </c>
      <c r="R864" s="2" t="s">
        <v>10</v>
      </c>
      <c r="S864" s="2" t="s">
        <v>8</v>
      </c>
      <c r="T864" s="2" t="s">
        <v>2</v>
      </c>
      <c r="U864" s="3" t="s">
        <v>7</v>
      </c>
      <c r="V864" s="2" t="s">
        <v>10</v>
      </c>
      <c r="W864" s="2" t="s">
        <v>8</v>
      </c>
      <c r="X864" s="2" t="s">
        <v>2</v>
      </c>
      <c r="Y864" s="3" t="s">
        <v>7</v>
      </c>
      <c r="Z864" s="2" t="s">
        <v>10</v>
      </c>
      <c r="AA864" s="2" t="s">
        <v>8</v>
      </c>
      <c r="AB864" s="2" t="s">
        <v>2</v>
      </c>
      <c r="AC864" s="346"/>
    </row>
    <row r="865" spans="1:32" x14ac:dyDescent="0.15">
      <c r="A865" s="106" t="s">
        <v>6</v>
      </c>
      <c r="B865" s="41">
        <f>B859</f>
        <v>14</v>
      </c>
      <c r="C865" s="41">
        <f t="shared" ref="C865:E865" si="1269">C859</f>
        <v>17</v>
      </c>
      <c r="D865" s="41">
        <f t="shared" si="1269"/>
        <v>11</v>
      </c>
      <c r="E865" s="42">
        <f t="shared" si="1269"/>
        <v>42</v>
      </c>
      <c r="F865" s="41">
        <f>F859</f>
        <v>14</v>
      </c>
      <c r="G865" s="41">
        <f t="shared" ref="G865:I865" si="1270">G859</f>
        <v>19</v>
      </c>
      <c r="H865" s="41">
        <f t="shared" si="1270"/>
        <v>13</v>
      </c>
      <c r="I865" s="42">
        <f t="shared" si="1270"/>
        <v>46</v>
      </c>
      <c r="J865" s="41">
        <f>J859</f>
        <v>15</v>
      </c>
      <c r="K865" s="41">
        <f t="shared" ref="K865:M865" si="1271">K859</f>
        <v>21</v>
      </c>
      <c r="L865" s="41">
        <f t="shared" si="1271"/>
        <v>10</v>
      </c>
      <c r="M865" s="42">
        <f t="shared" si="1271"/>
        <v>46</v>
      </c>
      <c r="N865" s="143">
        <f>E865+I865+M865</f>
        <v>134</v>
      </c>
      <c r="P865" s="36" t="s">
        <v>6</v>
      </c>
      <c r="Q865" s="41">
        <f>Q859</f>
        <v>596</v>
      </c>
      <c r="R865" s="41">
        <f t="shared" ref="R865:AC865" si="1272">R859</f>
        <v>1028</v>
      </c>
      <c r="S865" s="41">
        <f t="shared" si="1272"/>
        <v>778</v>
      </c>
      <c r="T865" s="42">
        <f t="shared" si="1272"/>
        <v>2402</v>
      </c>
      <c r="U865" s="41">
        <f t="shared" si="1272"/>
        <v>545</v>
      </c>
      <c r="V865" s="41">
        <f t="shared" si="1272"/>
        <v>1086</v>
      </c>
      <c r="W865" s="41">
        <f t="shared" si="1272"/>
        <v>745</v>
      </c>
      <c r="X865" s="42">
        <f t="shared" si="1272"/>
        <v>2376</v>
      </c>
      <c r="Y865" s="41">
        <f t="shared" si="1272"/>
        <v>504</v>
      </c>
      <c r="Z865" s="41">
        <f t="shared" si="1272"/>
        <v>960</v>
      </c>
      <c r="AA865" s="41">
        <f t="shared" si="1272"/>
        <v>668</v>
      </c>
      <c r="AB865" s="42">
        <f t="shared" si="1272"/>
        <v>2132</v>
      </c>
      <c r="AC865" s="90">
        <f t="shared" si="1272"/>
        <v>6910</v>
      </c>
    </row>
    <row r="866" spans="1:32" x14ac:dyDescent="0.15">
      <c r="A866" s="102" t="s">
        <v>3</v>
      </c>
      <c r="B866" s="25">
        <v>10</v>
      </c>
      <c r="C866" s="26">
        <v>10</v>
      </c>
      <c r="D866" s="26">
        <v>5</v>
      </c>
      <c r="E866" s="5">
        <f t="shared" ref="E866:E901" si="1273">SUM(B866:D866)</f>
        <v>25</v>
      </c>
      <c r="F866" s="25">
        <v>10</v>
      </c>
      <c r="G866" s="26">
        <v>10</v>
      </c>
      <c r="H866" s="26">
        <v>5</v>
      </c>
      <c r="I866" s="5">
        <f t="shared" ref="I866:I901" si="1274">SUM(F866:H866)</f>
        <v>25</v>
      </c>
      <c r="J866" s="25">
        <v>10</v>
      </c>
      <c r="K866" s="26">
        <v>10</v>
      </c>
      <c r="L866" s="26">
        <v>5</v>
      </c>
      <c r="M866" s="38">
        <f t="shared" ref="M866:M901" si="1275">SUM(J866:L866)</f>
        <v>25</v>
      </c>
      <c r="N866" s="138">
        <f t="shared" ref="N866:N902" si="1276">E866+I866+M866</f>
        <v>75</v>
      </c>
      <c r="O866" s="24">
        <v>45749</v>
      </c>
      <c r="P866" s="6" t="s">
        <v>3</v>
      </c>
      <c r="Q866" s="14"/>
      <c r="R866" s="11"/>
      <c r="S866" s="11"/>
      <c r="T866" s="5">
        <f t="shared" ref="T866:T894" si="1277">SUM(Q866:S866)</f>
        <v>0</v>
      </c>
      <c r="U866" s="14"/>
      <c r="V866" s="11"/>
      <c r="W866" s="11"/>
      <c r="X866" s="5">
        <f t="shared" ref="X866:X894" si="1278">SUM(U866:W866)</f>
        <v>0</v>
      </c>
      <c r="Y866" s="25"/>
      <c r="Z866" s="26"/>
      <c r="AA866" s="26"/>
      <c r="AB866" s="5">
        <f t="shared" ref="AB866:AB894" si="1279">SUM(Y866:AA866)</f>
        <v>0</v>
      </c>
      <c r="AC866" s="86">
        <f t="shared" ref="AC866:AC895" si="1280">T866+X866+AB866</f>
        <v>0</v>
      </c>
    </row>
    <row r="867" spans="1:32" x14ac:dyDescent="0.15">
      <c r="A867" s="102" t="s">
        <v>3</v>
      </c>
      <c r="B867" s="14">
        <v>10</v>
      </c>
      <c r="C867" s="11">
        <v>10</v>
      </c>
      <c r="D867" s="11">
        <v>5</v>
      </c>
      <c r="E867" s="5">
        <f t="shared" si="1273"/>
        <v>25</v>
      </c>
      <c r="F867" s="34">
        <v>10</v>
      </c>
      <c r="G867" s="11">
        <v>5</v>
      </c>
      <c r="H867" s="11">
        <v>5</v>
      </c>
      <c r="I867" s="5">
        <f t="shared" si="1274"/>
        <v>20</v>
      </c>
      <c r="J867" s="34">
        <v>5</v>
      </c>
      <c r="K867" s="11">
        <v>5</v>
      </c>
      <c r="L867" s="11">
        <v>10</v>
      </c>
      <c r="M867" s="38">
        <f t="shared" si="1275"/>
        <v>20</v>
      </c>
      <c r="N867" s="138">
        <f t="shared" si="1276"/>
        <v>65</v>
      </c>
      <c r="O867" s="24">
        <v>45757</v>
      </c>
      <c r="P867" s="6" t="s">
        <v>3</v>
      </c>
      <c r="Q867" s="14"/>
      <c r="R867" s="11"/>
      <c r="S867" s="11"/>
      <c r="T867" s="5">
        <f t="shared" si="1277"/>
        <v>0</v>
      </c>
      <c r="U867" s="14"/>
      <c r="V867" s="11"/>
      <c r="W867" s="11"/>
      <c r="X867" s="5">
        <f t="shared" si="1278"/>
        <v>0</v>
      </c>
      <c r="Y867" s="14"/>
      <c r="Z867" s="11"/>
      <c r="AA867" s="11"/>
      <c r="AB867" s="5">
        <f t="shared" si="1279"/>
        <v>0</v>
      </c>
      <c r="AC867" s="86">
        <f t="shared" si="1280"/>
        <v>0</v>
      </c>
      <c r="AD867" s="132"/>
    </row>
    <row r="868" spans="1:32" x14ac:dyDescent="0.15">
      <c r="A868" s="102" t="s">
        <v>57</v>
      </c>
      <c r="B868" s="14">
        <v>1</v>
      </c>
      <c r="C868" s="11"/>
      <c r="D868" s="11"/>
      <c r="E868" s="5">
        <f t="shared" si="1273"/>
        <v>1</v>
      </c>
      <c r="F868" s="34">
        <v>1</v>
      </c>
      <c r="G868" s="11"/>
      <c r="H868" s="11"/>
      <c r="I868" s="5">
        <f t="shared" si="1274"/>
        <v>1</v>
      </c>
      <c r="J868" s="34">
        <v>1</v>
      </c>
      <c r="K868" s="11"/>
      <c r="L868" s="11"/>
      <c r="M868" s="38">
        <f t="shared" si="1275"/>
        <v>1</v>
      </c>
      <c r="N868" s="138">
        <f t="shared" si="1276"/>
        <v>3</v>
      </c>
      <c r="O868" s="24">
        <v>45757</v>
      </c>
      <c r="P868" s="6" t="s">
        <v>3</v>
      </c>
      <c r="Q868" s="14"/>
      <c r="R868" s="11"/>
      <c r="S868" s="11"/>
      <c r="T868" s="5">
        <f t="shared" ref="T868:T869" si="1281">SUM(Q868:S868)</f>
        <v>0</v>
      </c>
      <c r="U868" s="14"/>
      <c r="V868" s="11"/>
      <c r="W868" s="11"/>
      <c r="X868" s="5">
        <f t="shared" ref="X868:X869" si="1282">SUM(U868:W868)</f>
        <v>0</v>
      </c>
      <c r="Y868" s="25"/>
      <c r="Z868" s="26"/>
      <c r="AA868" s="26"/>
      <c r="AB868" s="5">
        <f t="shared" ref="AB868:AB869" si="1283">SUM(Y868:AA868)</f>
        <v>0</v>
      </c>
      <c r="AC868" s="86">
        <f t="shared" ref="AC868:AC869" si="1284">T868+X868+AB868</f>
        <v>0</v>
      </c>
    </row>
    <row r="869" spans="1:32" x14ac:dyDescent="0.15">
      <c r="A869" s="102" t="s">
        <v>3</v>
      </c>
      <c r="B869" s="14"/>
      <c r="C869" s="11"/>
      <c r="D869" s="11"/>
      <c r="E869" s="5">
        <f t="shared" si="1273"/>
        <v>0</v>
      </c>
      <c r="F869" s="34"/>
      <c r="G869" s="11"/>
      <c r="H869" s="11"/>
      <c r="I869" s="5">
        <f t="shared" si="1274"/>
        <v>0</v>
      </c>
      <c r="J869" s="34"/>
      <c r="K869" s="11"/>
      <c r="L869" s="11"/>
      <c r="M869" s="38">
        <f t="shared" si="1275"/>
        <v>0</v>
      </c>
      <c r="N869" s="138">
        <f t="shared" si="1276"/>
        <v>0</v>
      </c>
      <c r="O869" s="58"/>
      <c r="P869" s="6" t="s">
        <v>3</v>
      </c>
      <c r="Q869" s="14"/>
      <c r="R869" s="11"/>
      <c r="S869" s="11"/>
      <c r="T869" s="5">
        <f t="shared" si="1281"/>
        <v>0</v>
      </c>
      <c r="U869" s="14"/>
      <c r="V869" s="11"/>
      <c r="W869" s="11"/>
      <c r="X869" s="5">
        <f t="shared" si="1282"/>
        <v>0</v>
      </c>
      <c r="Y869" s="25"/>
      <c r="Z869" s="26"/>
      <c r="AA869" s="26"/>
      <c r="AB869" s="5">
        <f t="shared" si="1283"/>
        <v>0</v>
      </c>
      <c r="AC869" s="86">
        <f t="shared" si="1284"/>
        <v>0</v>
      </c>
    </row>
    <row r="870" spans="1:32" x14ac:dyDescent="0.15">
      <c r="A870" s="102" t="s">
        <v>3</v>
      </c>
      <c r="B870" s="14"/>
      <c r="C870" s="11"/>
      <c r="D870" s="11"/>
      <c r="E870" s="5">
        <f t="shared" si="1273"/>
        <v>0</v>
      </c>
      <c r="F870" s="34"/>
      <c r="G870" s="11"/>
      <c r="H870" s="11"/>
      <c r="I870" s="5">
        <f t="shared" si="1274"/>
        <v>0</v>
      </c>
      <c r="J870" s="34"/>
      <c r="K870" s="11"/>
      <c r="L870" s="11"/>
      <c r="M870" s="38">
        <f t="shared" si="1275"/>
        <v>0</v>
      </c>
      <c r="N870" s="138">
        <f t="shared" si="1276"/>
        <v>0</v>
      </c>
      <c r="O870" s="58"/>
      <c r="P870" s="6" t="s">
        <v>3</v>
      </c>
      <c r="Q870" s="14"/>
      <c r="R870" s="11"/>
      <c r="S870" s="11"/>
      <c r="T870" s="5">
        <f t="shared" si="1277"/>
        <v>0</v>
      </c>
      <c r="U870" s="14"/>
      <c r="V870" s="11"/>
      <c r="W870" s="11"/>
      <c r="X870" s="5">
        <f t="shared" si="1278"/>
        <v>0</v>
      </c>
      <c r="Y870" s="25"/>
      <c r="Z870" s="26"/>
      <c r="AA870" s="26"/>
      <c r="AB870" s="5">
        <f t="shared" si="1279"/>
        <v>0</v>
      </c>
      <c r="AC870" s="86">
        <f t="shared" si="1280"/>
        <v>0</v>
      </c>
    </row>
    <row r="871" spans="1:32" x14ac:dyDescent="0.15">
      <c r="A871" s="102" t="s">
        <v>3</v>
      </c>
      <c r="B871" s="25"/>
      <c r="C871" s="26"/>
      <c r="D871" s="26"/>
      <c r="E871" s="8">
        <f t="shared" si="1273"/>
        <v>0</v>
      </c>
      <c r="F871" s="25"/>
      <c r="G871" s="26"/>
      <c r="H871" s="26"/>
      <c r="I871" s="8">
        <f t="shared" si="1274"/>
        <v>0</v>
      </c>
      <c r="J871" s="25"/>
      <c r="K871" s="26"/>
      <c r="L871" s="26"/>
      <c r="M871" s="39">
        <f t="shared" si="1275"/>
        <v>0</v>
      </c>
      <c r="N871" s="138">
        <f t="shared" si="1276"/>
        <v>0</v>
      </c>
      <c r="P871" s="6" t="s">
        <v>3</v>
      </c>
      <c r="Q871" s="14"/>
      <c r="R871" s="11"/>
      <c r="S871" s="11"/>
      <c r="T871" s="5">
        <f t="shared" ref="T871" si="1285">SUM(Q871:S871)</f>
        <v>0</v>
      </c>
      <c r="U871" s="14"/>
      <c r="V871" s="11"/>
      <c r="W871" s="11"/>
      <c r="X871" s="5">
        <f t="shared" ref="X871" si="1286">SUM(U871:W871)</f>
        <v>0</v>
      </c>
      <c r="Y871" s="25"/>
      <c r="Z871" s="26"/>
      <c r="AA871" s="26"/>
      <c r="AB871" s="5">
        <f t="shared" ref="AB871" si="1287">SUM(Y871:AA871)</f>
        <v>0</v>
      </c>
      <c r="AC871" s="86">
        <f t="shared" ref="AC871" si="1288">T871+X871+AB871</f>
        <v>0</v>
      </c>
    </row>
    <row r="872" spans="1:32" x14ac:dyDescent="0.15">
      <c r="A872" s="102" t="s">
        <v>3</v>
      </c>
      <c r="B872" s="27"/>
      <c r="C872" s="26"/>
      <c r="D872" s="26"/>
      <c r="E872" s="5">
        <f t="shared" si="1273"/>
        <v>0</v>
      </c>
      <c r="F872" s="25"/>
      <c r="G872" s="26"/>
      <c r="H872" s="26"/>
      <c r="I872" s="5">
        <f t="shared" si="1274"/>
        <v>0</v>
      </c>
      <c r="J872" s="25"/>
      <c r="K872" s="26"/>
      <c r="L872" s="26"/>
      <c r="M872" s="38">
        <f t="shared" si="1275"/>
        <v>0</v>
      </c>
      <c r="N872" s="138">
        <f t="shared" si="1276"/>
        <v>0</v>
      </c>
      <c r="P872" s="6" t="s">
        <v>3</v>
      </c>
      <c r="Q872" s="27"/>
      <c r="R872" s="26"/>
      <c r="S872" s="26"/>
      <c r="T872" s="5">
        <f t="shared" si="1277"/>
        <v>0</v>
      </c>
      <c r="U872" s="27"/>
      <c r="V872" s="26"/>
      <c r="W872" s="26"/>
      <c r="X872" s="5">
        <f t="shared" si="1278"/>
        <v>0</v>
      </c>
      <c r="Y872" s="25"/>
      <c r="Z872" s="26"/>
      <c r="AA872" s="26"/>
      <c r="AB872" s="5">
        <f t="shared" si="1279"/>
        <v>0</v>
      </c>
      <c r="AC872" s="86">
        <f t="shared" si="1280"/>
        <v>0</v>
      </c>
    </row>
    <row r="873" spans="1:32" x14ac:dyDescent="0.15">
      <c r="A873" s="102" t="s">
        <v>3</v>
      </c>
      <c r="B873" s="27"/>
      <c r="C873" s="26"/>
      <c r="D873" s="26"/>
      <c r="E873" s="5">
        <f t="shared" si="1273"/>
        <v>0</v>
      </c>
      <c r="F873" s="25"/>
      <c r="G873" s="26"/>
      <c r="H873" s="26"/>
      <c r="I873" s="5">
        <f t="shared" si="1274"/>
        <v>0</v>
      </c>
      <c r="J873" s="25"/>
      <c r="K873" s="26"/>
      <c r="L873" s="26"/>
      <c r="M873" s="38">
        <f t="shared" si="1275"/>
        <v>0</v>
      </c>
      <c r="N873" s="138">
        <f t="shared" si="1276"/>
        <v>0</v>
      </c>
      <c r="P873" s="6" t="s">
        <v>3</v>
      </c>
      <c r="Q873" s="14"/>
      <c r="R873" s="11"/>
      <c r="S873" s="11"/>
      <c r="T873" s="5">
        <f t="shared" si="1277"/>
        <v>0</v>
      </c>
      <c r="U873" s="14"/>
      <c r="V873" s="11"/>
      <c r="W873" s="11"/>
      <c r="X873" s="5">
        <f t="shared" si="1278"/>
        <v>0</v>
      </c>
      <c r="Y873" s="25"/>
      <c r="Z873" s="26"/>
      <c r="AA873" s="26"/>
      <c r="AB873" s="8">
        <f t="shared" si="1279"/>
        <v>0</v>
      </c>
      <c r="AC873" s="86">
        <f t="shared" si="1280"/>
        <v>0</v>
      </c>
    </row>
    <row r="874" spans="1:32" x14ac:dyDescent="0.15">
      <c r="A874" s="102" t="s">
        <v>3</v>
      </c>
      <c r="B874" s="27"/>
      <c r="C874" s="26"/>
      <c r="D874" s="26"/>
      <c r="E874" s="5">
        <f t="shared" si="1273"/>
        <v>0</v>
      </c>
      <c r="F874" s="25"/>
      <c r="G874" s="26"/>
      <c r="H874" s="26"/>
      <c r="I874" s="5">
        <f t="shared" si="1274"/>
        <v>0</v>
      </c>
      <c r="J874" s="25"/>
      <c r="K874" s="26"/>
      <c r="L874" s="26"/>
      <c r="M874" s="38">
        <f t="shared" si="1275"/>
        <v>0</v>
      </c>
      <c r="N874" s="138">
        <f t="shared" si="1276"/>
        <v>0</v>
      </c>
      <c r="P874" s="6" t="s">
        <v>3</v>
      </c>
      <c r="Q874" s="27"/>
      <c r="R874" s="26"/>
      <c r="S874" s="26"/>
      <c r="T874" s="5">
        <f t="shared" si="1277"/>
        <v>0</v>
      </c>
      <c r="U874" s="27"/>
      <c r="V874" s="26"/>
      <c r="W874" s="26"/>
      <c r="X874" s="5">
        <f t="shared" si="1278"/>
        <v>0</v>
      </c>
      <c r="Y874" s="25"/>
      <c r="Z874" s="26"/>
      <c r="AA874" s="26"/>
      <c r="AB874" s="5">
        <f t="shared" si="1279"/>
        <v>0</v>
      </c>
      <c r="AC874" s="86">
        <f t="shared" si="1280"/>
        <v>0</v>
      </c>
    </row>
    <row r="875" spans="1:32" ht="14.25" thickBot="1" x14ac:dyDescent="0.2">
      <c r="A875" s="102" t="s">
        <v>832</v>
      </c>
      <c r="B875" s="28">
        <v>-4</v>
      </c>
      <c r="C875" s="29">
        <v>-2</v>
      </c>
      <c r="D875" s="32">
        <v>2</v>
      </c>
      <c r="E875" s="15">
        <f t="shared" ref="E875" si="1289">SUM(B875:D875)</f>
        <v>-4</v>
      </c>
      <c r="F875" s="35">
        <v>-4</v>
      </c>
      <c r="G875" s="29">
        <v>-2</v>
      </c>
      <c r="H875" s="32">
        <v>2</v>
      </c>
      <c r="I875" s="15">
        <f t="shared" si="1274"/>
        <v>-4</v>
      </c>
      <c r="J875" s="35">
        <v>-4</v>
      </c>
      <c r="K875" s="29">
        <v>-2</v>
      </c>
      <c r="L875" s="32">
        <v>3</v>
      </c>
      <c r="M875" s="40">
        <f t="shared" si="1275"/>
        <v>-3</v>
      </c>
      <c r="N875" s="139">
        <f t="shared" si="1276"/>
        <v>-11</v>
      </c>
      <c r="O875" s="70">
        <v>45770</v>
      </c>
      <c r="P875" s="7" t="s">
        <v>3</v>
      </c>
      <c r="Q875" s="28"/>
      <c r="R875" s="29"/>
      <c r="S875" s="29"/>
      <c r="T875" s="15">
        <f t="shared" si="1277"/>
        <v>0</v>
      </c>
      <c r="U875" s="28"/>
      <c r="V875" s="29"/>
      <c r="W875" s="29"/>
      <c r="X875" s="15">
        <f t="shared" si="1278"/>
        <v>0</v>
      </c>
      <c r="Y875" s="35"/>
      <c r="Z875" s="29"/>
      <c r="AA875" s="32"/>
      <c r="AB875" s="15">
        <f t="shared" si="1279"/>
        <v>0</v>
      </c>
      <c r="AC875" s="87">
        <f t="shared" si="1280"/>
        <v>0</v>
      </c>
    </row>
    <row r="876" spans="1:32" ht="14.25" thickBot="1" x14ac:dyDescent="0.2">
      <c r="A876" s="103" t="s">
        <v>4</v>
      </c>
      <c r="B876" s="17">
        <f>SUM(B865:B875)</f>
        <v>31</v>
      </c>
      <c r="C876" s="17">
        <f>SUM(C865:C875)</f>
        <v>35</v>
      </c>
      <c r="D876" s="17">
        <f>SUM(D865:D875)</f>
        <v>23</v>
      </c>
      <c r="E876" s="18">
        <f t="shared" si="1273"/>
        <v>89</v>
      </c>
      <c r="F876" s="17">
        <f>SUM(F865:F875)</f>
        <v>31</v>
      </c>
      <c r="G876" s="17">
        <f>SUM(G865:G875)</f>
        <v>32</v>
      </c>
      <c r="H876" s="17">
        <f>SUM(H865:H875)</f>
        <v>25</v>
      </c>
      <c r="I876" s="18">
        <f t="shared" si="1274"/>
        <v>88</v>
      </c>
      <c r="J876" s="17">
        <f>SUM(J865:J875)</f>
        <v>27</v>
      </c>
      <c r="K876" s="17">
        <f>SUM(K865:K875)</f>
        <v>34</v>
      </c>
      <c r="L876" s="17">
        <f>SUM(L865:L875)</f>
        <v>28</v>
      </c>
      <c r="M876" s="20">
        <f t="shared" si="1275"/>
        <v>89</v>
      </c>
      <c r="N876" s="140">
        <f t="shared" si="1276"/>
        <v>266</v>
      </c>
      <c r="P876" s="16" t="s">
        <v>4</v>
      </c>
      <c r="Q876" s="17">
        <f>SUM(Q865:Q875)</f>
        <v>596</v>
      </c>
      <c r="R876" s="17">
        <f t="shared" ref="R876" si="1290">SUM(R865:R875)</f>
        <v>1028</v>
      </c>
      <c r="S876" s="17">
        <f t="shared" ref="S876" si="1291">SUM(S865:S875)</f>
        <v>778</v>
      </c>
      <c r="T876" s="18">
        <f t="shared" ref="T876" si="1292">SUM(T865:T875)</f>
        <v>2402</v>
      </c>
      <c r="U876" s="17">
        <f t="shared" ref="U876" si="1293">SUM(U865:U875)</f>
        <v>545</v>
      </c>
      <c r="V876" s="17">
        <f t="shared" ref="V876" si="1294">SUM(V865:V875)</f>
        <v>1086</v>
      </c>
      <c r="W876" s="17">
        <f t="shared" ref="W876" si="1295">SUM(W865:W875)</f>
        <v>745</v>
      </c>
      <c r="X876" s="18">
        <f t="shared" ref="X876" si="1296">SUM(X865:X875)</f>
        <v>2376</v>
      </c>
      <c r="Y876" s="17">
        <f t="shared" ref="Y876" si="1297">SUM(Y865:Y875)</f>
        <v>504</v>
      </c>
      <c r="Z876" s="17">
        <f t="shared" ref="Z876" si="1298">SUM(Z865:Z875)</f>
        <v>960</v>
      </c>
      <c r="AA876" s="17">
        <f t="shared" ref="AA876" si="1299">SUM(AA865:AA875)</f>
        <v>668</v>
      </c>
      <c r="AB876" s="18">
        <f t="shared" ref="AB876" si="1300">SUM(AB865:AB875)</f>
        <v>2132</v>
      </c>
      <c r="AC876" s="88">
        <f t="shared" ref="AC876" si="1301">SUM(AC865:AC875)</f>
        <v>6910</v>
      </c>
    </row>
    <row r="877" spans="1:32" x14ac:dyDescent="0.15">
      <c r="A877" s="4" t="s">
        <v>786</v>
      </c>
      <c r="B877" s="9">
        <v>2</v>
      </c>
      <c r="C877" s="10"/>
      <c r="D877" s="31"/>
      <c r="E877" s="5">
        <f t="shared" si="1273"/>
        <v>2</v>
      </c>
      <c r="F877" s="9">
        <v>2</v>
      </c>
      <c r="G877" s="10"/>
      <c r="H877" s="31"/>
      <c r="I877" s="5">
        <f t="shared" si="1274"/>
        <v>2</v>
      </c>
      <c r="J877" s="9">
        <v>2</v>
      </c>
      <c r="K877" s="10"/>
      <c r="L877" s="31"/>
      <c r="M877" s="38">
        <f t="shared" si="1275"/>
        <v>2</v>
      </c>
      <c r="N877" s="141">
        <f t="shared" si="1276"/>
        <v>6</v>
      </c>
      <c r="O877" s="24">
        <v>45744</v>
      </c>
      <c r="P877" s="4" t="s">
        <v>769</v>
      </c>
      <c r="Q877" s="9"/>
      <c r="R877" s="10">
        <v>10</v>
      </c>
      <c r="S877" s="31">
        <v>12</v>
      </c>
      <c r="T877" s="5">
        <f t="shared" si="1277"/>
        <v>22</v>
      </c>
      <c r="U877" s="9"/>
      <c r="V877" s="10">
        <v>10</v>
      </c>
      <c r="W877" s="31">
        <v>12</v>
      </c>
      <c r="X877" s="5">
        <f t="shared" si="1278"/>
        <v>22</v>
      </c>
      <c r="Y877" s="9"/>
      <c r="Z877" s="10">
        <v>10</v>
      </c>
      <c r="AA877" s="31">
        <v>12</v>
      </c>
      <c r="AB877" s="5">
        <f t="shared" si="1279"/>
        <v>22</v>
      </c>
      <c r="AC877" s="91">
        <f t="shared" si="1280"/>
        <v>66</v>
      </c>
      <c r="AD877" s="109">
        <v>45741</v>
      </c>
    </row>
    <row r="878" spans="1:32" x14ac:dyDescent="0.15">
      <c r="A878" s="33" t="s">
        <v>788</v>
      </c>
      <c r="B878" s="9">
        <v>2</v>
      </c>
      <c r="C878" s="10"/>
      <c r="D878" s="10"/>
      <c r="E878" s="5">
        <f t="shared" si="1273"/>
        <v>2</v>
      </c>
      <c r="F878" s="9">
        <v>2</v>
      </c>
      <c r="G878" s="10"/>
      <c r="H878" s="10"/>
      <c r="I878" s="5">
        <f t="shared" si="1274"/>
        <v>2</v>
      </c>
      <c r="J878" s="9">
        <v>2</v>
      </c>
      <c r="K878" s="10"/>
      <c r="L878" s="10"/>
      <c r="M878" s="38">
        <f t="shared" si="1275"/>
        <v>2</v>
      </c>
      <c r="N878" s="138">
        <f t="shared" si="1276"/>
        <v>6</v>
      </c>
      <c r="O878" s="24">
        <v>45751</v>
      </c>
      <c r="P878" s="4" t="s">
        <v>770</v>
      </c>
      <c r="Q878" s="9">
        <v>20</v>
      </c>
      <c r="R878" s="10"/>
      <c r="S878" s="10"/>
      <c r="T878" s="5">
        <f t="shared" si="1277"/>
        <v>20</v>
      </c>
      <c r="U878" s="9">
        <v>10</v>
      </c>
      <c r="V878" s="10">
        <v>15</v>
      </c>
      <c r="W878" s="10">
        <v>15</v>
      </c>
      <c r="X878" s="5">
        <f t="shared" si="1278"/>
        <v>40</v>
      </c>
      <c r="Y878" s="9">
        <v>10</v>
      </c>
      <c r="Z878" s="10"/>
      <c r="AA878" s="10"/>
      <c r="AB878" s="5">
        <f t="shared" si="1279"/>
        <v>10</v>
      </c>
      <c r="AC878" s="86">
        <f t="shared" si="1280"/>
        <v>70</v>
      </c>
      <c r="AD878" s="109">
        <v>45738</v>
      </c>
      <c r="AE878" s="58"/>
    </row>
    <row r="879" spans="1:32" x14ac:dyDescent="0.15">
      <c r="A879" s="4" t="s">
        <v>791</v>
      </c>
      <c r="B879" s="9"/>
      <c r="C879" s="10"/>
      <c r="D879" s="10">
        <v>1</v>
      </c>
      <c r="E879" s="5">
        <f t="shared" si="1273"/>
        <v>1</v>
      </c>
      <c r="F879" s="9"/>
      <c r="G879" s="10"/>
      <c r="H879" s="10">
        <v>1</v>
      </c>
      <c r="I879" s="5">
        <f t="shared" si="1274"/>
        <v>1</v>
      </c>
      <c r="J879" s="9"/>
      <c r="K879" s="10"/>
      <c r="L879" s="10">
        <v>1</v>
      </c>
      <c r="M879" s="38">
        <f t="shared" si="1275"/>
        <v>1</v>
      </c>
      <c r="N879" s="138">
        <f t="shared" si="1276"/>
        <v>3</v>
      </c>
      <c r="O879" s="24">
        <v>45747</v>
      </c>
      <c r="P879" s="4" t="s">
        <v>772</v>
      </c>
      <c r="Q879" s="9"/>
      <c r="R879" s="10">
        <v>40</v>
      </c>
      <c r="S879" s="10">
        <v>50</v>
      </c>
      <c r="T879" s="5">
        <f t="shared" si="1277"/>
        <v>90</v>
      </c>
      <c r="U879" s="9"/>
      <c r="V879" s="10"/>
      <c r="W879" s="10"/>
      <c r="X879" s="5">
        <f t="shared" si="1278"/>
        <v>0</v>
      </c>
      <c r="Y879" s="9"/>
      <c r="Z879" s="10"/>
      <c r="AA879" s="10"/>
      <c r="AB879" s="5">
        <f t="shared" si="1279"/>
        <v>0</v>
      </c>
      <c r="AC879" s="86">
        <f t="shared" si="1280"/>
        <v>90</v>
      </c>
      <c r="AD879" s="109">
        <v>45738</v>
      </c>
      <c r="AE879" s="58"/>
    </row>
    <row r="880" spans="1:32" x14ac:dyDescent="0.15">
      <c r="A880" s="4" t="s">
        <v>792</v>
      </c>
      <c r="B880" s="9"/>
      <c r="C880" s="10">
        <v>5</v>
      </c>
      <c r="D880" s="10"/>
      <c r="E880" s="5">
        <f t="shared" si="1273"/>
        <v>5</v>
      </c>
      <c r="F880" s="9"/>
      <c r="G880" s="10">
        <v>5</v>
      </c>
      <c r="H880" s="10"/>
      <c r="I880" s="5">
        <f t="shared" si="1274"/>
        <v>5</v>
      </c>
      <c r="J880" s="9"/>
      <c r="K880" s="10">
        <v>5</v>
      </c>
      <c r="L880" s="10"/>
      <c r="M880" s="38">
        <f t="shared" si="1275"/>
        <v>5</v>
      </c>
      <c r="N880" s="138">
        <f t="shared" si="1276"/>
        <v>15</v>
      </c>
      <c r="O880" s="24">
        <v>45745</v>
      </c>
      <c r="P880" s="4" t="s">
        <v>27</v>
      </c>
      <c r="Q880" s="9">
        <v>10</v>
      </c>
      <c r="R880" s="10"/>
      <c r="S880" s="10"/>
      <c r="T880" s="5">
        <f t="shared" ref="T880" si="1302">SUM(Q880:S880)</f>
        <v>10</v>
      </c>
      <c r="U880" s="9">
        <v>5</v>
      </c>
      <c r="V880" s="10">
        <v>5</v>
      </c>
      <c r="W880" s="10"/>
      <c r="X880" s="5">
        <f t="shared" ref="X880" si="1303">SUM(U880:W880)</f>
        <v>10</v>
      </c>
      <c r="Y880" s="9">
        <v>5</v>
      </c>
      <c r="Z880" s="10"/>
      <c r="AA880" s="10"/>
      <c r="AB880" s="5">
        <f t="shared" ref="AB880" si="1304">SUM(Y880:AA880)</f>
        <v>5</v>
      </c>
      <c r="AC880" s="86">
        <f t="shared" si="1280"/>
        <v>25</v>
      </c>
      <c r="AD880" s="109">
        <v>45740</v>
      </c>
      <c r="AE880" s="58"/>
      <c r="AF880" s="58"/>
    </row>
    <row r="881" spans="1:32" x14ac:dyDescent="0.15">
      <c r="A881" s="4" t="s">
        <v>794</v>
      </c>
      <c r="B881" s="9">
        <v>1</v>
      </c>
      <c r="C881" s="10">
        <v>5</v>
      </c>
      <c r="D881" s="10">
        <v>1</v>
      </c>
      <c r="E881" s="5">
        <f t="shared" si="1273"/>
        <v>7</v>
      </c>
      <c r="F881" s="9">
        <v>1</v>
      </c>
      <c r="G881" s="10">
        <v>5</v>
      </c>
      <c r="H881" s="10">
        <v>1</v>
      </c>
      <c r="I881" s="5">
        <f t="shared" si="1274"/>
        <v>7</v>
      </c>
      <c r="J881" s="9">
        <v>1</v>
      </c>
      <c r="K881" s="10">
        <v>5</v>
      </c>
      <c r="L881" s="10">
        <v>1</v>
      </c>
      <c r="M881" s="38">
        <f t="shared" si="1275"/>
        <v>7</v>
      </c>
      <c r="N881" s="138">
        <f t="shared" si="1276"/>
        <v>21</v>
      </c>
      <c r="O881" s="24">
        <v>45749</v>
      </c>
      <c r="P881" s="4" t="s">
        <v>776</v>
      </c>
      <c r="Q881" s="9">
        <v>7</v>
      </c>
      <c r="R881" s="10">
        <v>8</v>
      </c>
      <c r="S881" s="10">
        <v>5</v>
      </c>
      <c r="T881" s="5">
        <f t="shared" si="1277"/>
        <v>20</v>
      </c>
      <c r="U881" s="9">
        <v>7</v>
      </c>
      <c r="V881" s="10">
        <v>8</v>
      </c>
      <c r="W881" s="10">
        <v>5</v>
      </c>
      <c r="X881" s="5">
        <f t="shared" si="1278"/>
        <v>20</v>
      </c>
      <c r="Y881" s="9">
        <v>7</v>
      </c>
      <c r="Z881" s="10">
        <v>8</v>
      </c>
      <c r="AA881" s="10">
        <v>5</v>
      </c>
      <c r="AB881" s="5">
        <f t="shared" si="1279"/>
        <v>20</v>
      </c>
      <c r="AC881" s="86">
        <f t="shared" si="1280"/>
        <v>60</v>
      </c>
      <c r="AD881" s="109">
        <v>45742</v>
      </c>
    </row>
    <row r="882" spans="1:32" x14ac:dyDescent="0.15">
      <c r="A882" s="4" t="s">
        <v>796</v>
      </c>
      <c r="B882" s="9">
        <v>1</v>
      </c>
      <c r="C882" s="10">
        <v>3</v>
      </c>
      <c r="D882" s="10"/>
      <c r="E882" s="8">
        <f t="shared" si="1273"/>
        <v>4</v>
      </c>
      <c r="F882" s="9">
        <v>1</v>
      </c>
      <c r="G882" s="10">
        <v>3</v>
      </c>
      <c r="H882" s="10"/>
      <c r="I882" s="8">
        <f t="shared" si="1274"/>
        <v>4</v>
      </c>
      <c r="J882" s="9">
        <v>1</v>
      </c>
      <c r="K882" s="10">
        <v>3</v>
      </c>
      <c r="L882" s="10"/>
      <c r="M882" s="39">
        <f t="shared" si="1275"/>
        <v>4</v>
      </c>
      <c r="N882" s="138">
        <f t="shared" si="1276"/>
        <v>12</v>
      </c>
      <c r="O882" s="24">
        <v>45750</v>
      </c>
      <c r="P882" s="4" t="s">
        <v>778</v>
      </c>
      <c r="Q882" s="9">
        <v>6</v>
      </c>
      <c r="R882" s="10">
        <v>10</v>
      </c>
      <c r="S882" s="10">
        <v>6</v>
      </c>
      <c r="T882" s="8">
        <f t="shared" si="1277"/>
        <v>22</v>
      </c>
      <c r="U882" s="9">
        <v>6</v>
      </c>
      <c r="V882" s="10">
        <v>10</v>
      </c>
      <c r="W882" s="10">
        <v>6</v>
      </c>
      <c r="X882" s="8">
        <f t="shared" si="1278"/>
        <v>22</v>
      </c>
      <c r="Y882" s="9">
        <v>6</v>
      </c>
      <c r="Z882" s="10">
        <v>10</v>
      </c>
      <c r="AA882" s="10">
        <v>6</v>
      </c>
      <c r="AB882" s="8">
        <f t="shared" si="1279"/>
        <v>22</v>
      </c>
      <c r="AC882" s="86">
        <f t="shared" si="1280"/>
        <v>66</v>
      </c>
      <c r="AD882" s="109">
        <v>45743</v>
      </c>
    </row>
    <row r="883" spans="1:32" x14ac:dyDescent="0.15">
      <c r="A883" s="33" t="s">
        <v>36</v>
      </c>
      <c r="B883" s="9">
        <v>1</v>
      </c>
      <c r="C883" s="10"/>
      <c r="D883" s="10"/>
      <c r="E883" s="8">
        <f t="shared" si="1273"/>
        <v>1</v>
      </c>
      <c r="F883" s="9">
        <v>1</v>
      </c>
      <c r="G883" s="10"/>
      <c r="H883" s="10"/>
      <c r="I883" s="8">
        <f t="shared" si="1274"/>
        <v>1</v>
      </c>
      <c r="J883" s="9">
        <v>1</v>
      </c>
      <c r="K883" s="10">
        <v>1</v>
      </c>
      <c r="L883" s="10"/>
      <c r="M883" s="39">
        <f t="shared" si="1275"/>
        <v>2</v>
      </c>
      <c r="N883" s="138">
        <f t="shared" si="1276"/>
        <v>4</v>
      </c>
      <c r="O883" s="24">
        <v>45748</v>
      </c>
      <c r="P883" s="11" t="s">
        <v>779</v>
      </c>
      <c r="Q883" s="9">
        <v>14</v>
      </c>
      <c r="R883" s="10">
        <v>21</v>
      </c>
      <c r="S883" s="10">
        <v>12</v>
      </c>
      <c r="T883" s="8">
        <f t="shared" si="1277"/>
        <v>47</v>
      </c>
      <c r="U883" s="9">
        <v>14</v>
      </c>
      <c r="V883" s="10">
        <v>21</v>
      </c>
      <c r="W883" s="10">
        <v>12</v>
      </c>
      <c r="X883" s="8">
        <f t="shared" si="1278"/>
        <v>47</v>
      </c>
      <c r="Y883" s="9">
        <v>14</v>
      </c>
      <c r="Z883" s="10">
        <v>21</v>
      </c>
      <c r="AA883" s="10">
        <v>12</v>
      </c>
      <c r="AB883" s="8">
        <f t="shared" si="1279"/>
        <v>47</v>
      </c>
      <c r="AC883" s="86">
        <f t="shared" si="1280"/>
        <v>141</v>
      </c>
      <c r="AD883" s="109">
        <v>45744</v>
      </c>
    </row>
    <row r="884" spans="1:32" x14ac:dyDescent="0.15">
      <c r="A884" s="33" t="s">
        <v>797</v>
      </c>
      <c r="B884" s="9"/>
      <c r="C884" s="10">
        <v>1</v>
      </c>
      <c r="D884" s="10"/>
      <c r="E884" s="8">
        <f t="shared" si="1273"/>
        <v>1</v>
      </c>
      <c r="F884" s="9"/>
      <c r="G884" s="10">
        <v>1</v>
      </c>
      <c r="H884" s="10"/>
      <c r="I884" s="8">
        <f t="shared" si="1274"/>
        <v>1</v>
      </c>
      <c r="J884" s="9"/>
      <c r="K884" s="10">
        <v>1</v>
      </c>
      <c r="L884" s="10"/>
      <c r="M884" s="39">
        <f t="shared" si="1275"/>
        <v>1</v>
      </c>
      <c r="N884" s="138">
        <f t="shared" si="1276"/>
        <v>3</v>
      </c>
      <c r="O884" s="24">
        <v>45752</v>
      </c>
      <c r="P884" s="4" t="s">
        <v>780</v>
      </c>
      <c r="Q884" s="9">
        <v>40</v>
      </c>
      <c r="R884" s="10">
        <v>60</v>
      </c>
      <c r="S884" s="10">
        <v>5</v>
      </c>
      <c r="T884" s="8">
        <f t="shared" si="1277"/>
        <v>105</v>
      </c>
      <c r="U884" s="9">
        <v>40</v>
      </c>
      <c r="V884" s="10">
        <v>60</v>
      </c>
      <c r="W884" s="10">
        <v>5</v>
      </c>
      <c r="X884" s="8">
        <f t="shared" si="1278"/>
        <v>105</v>
      </c>
      <c r="Y884" s="9">
        <v>40</v>
      </c>
      <c r="Z884" s="10">
        <v>60</v>
      </c>
      <c r="AA884" s="10">
        <v>5</v>
      </c>
      <c r="AB884" s="8">
        <f t="shared" si="1279"/>
        <v>105</v>
      </c>
      <c r="AC884" s="86">
        <f t="shared" si="1280"/>
        <v>315</v>
      </c>
      <c r="AD884" s="109">
        <v>45742</v>
      </c>
      <c r="AE884" s="58"/>
    </row>
    <row r="885" spans="1:32" x14ac:dyDescent="0.15">
      <c r="A885" s="4" t="s">
        <v>800</v>
      </c>
      <c r="B885" s="9">
        <v>3</v>
      </c>
      <c r="C885" s="10"/>
      <c r="D885" s="10">
        <v>2</v>
      </c>
      <c r="E885" s="8">
        <f t="shared" si="1273"/>
        <v>5</v>
      </c>
      <c r="F885" s="9">
        <v>3</v>
      </c>
      <c r="G885" s="10"/>
      <c r="H885" s="10">
        <v>2</v>
      </c>
      <c r="I885" s="8">
        <f t="shared" si="1274"/>
        <v>5</v>
      </c>
      <c r="J885" s="9">
        <v>3</v>
      </c>
      <c r="K885" s="10"/>
      <c r="L885" s="10">
        <v>2</v>
      </c>
      <c r="M885" s="39">
        <f t="shared" si="1275"/>
        <v>5</v>
      </c>
      <c r="N885" s="138">
        <f t="shared" si="1276"/>
        <v>15</v>
      </c>
      <c r="O885" s="24">
        <v>45751</v>
      </c>
      <c r="P885" s="4" t="s">
        <v>784</v>
      </c>
      <c r="Q885" s="9"/>
      <c r="R885" s="10">
        <v>15</v>
      </c>
      <c r="S885" s="10">
        <v>25</v>
      </c>
      <c r="T885" s="8">
        <f t="shared" si="1277"/>
        <v>40</v>
      </c>
      <c r="U885" s="9"/>
      <c r="V885" s="10">
        <v>15</v>
      </c>
      <c r="W885" s="10">
        <v>25</v>
      </c>
      <c r="X885" s="8">
        <f t="shared" si="1278"/>
        <v>40</v>
      </c>
      <c r="Y885" s="9"/>
      <c r="Z885" s="10">
        <v>15</v>
      </c>
      <c r="AA885" s="10">
        <v>25</v>
      </c>
      <c r="AB885" s="8">
        <f t="shared" si="1279"/>
        <v>40</v>
      </c>
      <c r="AC885" s="86">
        <f t="shared" si="1280"/>
        <v>120</v>
      </c>
      <c r="AD885" s="109">
        <v>45743</v>
      </c>
      <c r="AE885" s="58"/>
    </row>
    <row r="886" spans="1:32" x14ac:dyDescent="0.15">
      <c r="A886" s="33" t="s">
        <v>36</v>
      </c>
      <c r="B886" s="9"/>
      <c r="C886" s="10">
        <f>1+2</f>
        <v>3</v>
      </c>
      <c r="D886" s="10"/>
      <c r="E886" s="8">
        <f t="shared" si="1273"/>
        <v>3</v>
      </c>
      <c r="F886" s="9"/>
      <c r="G886" s="10">
        <v>1</v>
      </c>
      <c r="H886" s="10"/>
      <c r="I886" s="8">
        <f t="shared" si="1274"/>
        <v>1</v>
      </c>
      <c r="J886" s="9"/>
      <c r="K886" s="10">
        <f>1+1</f>
        <v>2</v>
      </c>
      <c r="L886" s="10"/>
      <c r="M886" s="39">
        <f t="shared" si="1275"/>
        <v>2</v>
      </c>
      <c r="N886" s="138">
        <f t="shared" si="1276"/>
        <v>6</v>
      </c>
      <c r="O886" s="24">
        <v>45750</v>
      </c>
      <c r="P886" s="4" t="s">
        <v>27</v>
      </c>
      <c r="Q886" s="9"/>
      <c r="R886" s="10">
        <v>10</v>
      </c>
      <c r="S886" s="10"/>
      <c r="T886" s="8">
        <f t="shared" ref="T886" si="1305">SUM(Q886:S886)</f>
        <v>10</v>
      </c>
      <c r="U886" s="9"/>
      <c r="V886" s="10">
        <v>10</v>
      </c>
      <c r="W886" s="10"/>
      <c r="X886" s="8">
        <f t="shared" ref="X886" si="1306">SUM(U886:W886)</f>
        <v>10</v>
      </c>
      <c r="Y886" s="9"/>
      <c r="Z886" s="10">
        <v>10</v>
      </c>
      <c r="AA886" s="10"/>
      <c r="AB886" s="8">
        <f t="shared" ref="AB886" si="1307">SUM(Y886:AA886)</f>
        <v>10</v>
      </c>
      <c r="AC886" s="86">
        <f t="shared" si="1280"/>
        <v>30</v>
      </c>
      <c r="AD886" s="109">
        <v>45743</v>
      </c>
      <c r="AE886" s="58"/>
    </row>
    <row r="887" spans="1:32" x14ac:dyDescent="0.15">
      <c r="A887" s="4" t="s">
        <v>803</v>
      </c>
      <c r="B887" s="9">
        <v>2</v>
      </c>
      <c r="C887" s="10">
        <v>2</v>
      </c>
      <c r="D887" s="10"/>
      <c r="E887" s="8">
        <f t="shared" si="1273"/>
        <v>4</v>
      </c>
      <c r="F887" s="9">
        <v>2</v>
      </c>
      <c r="G887" s="10">
        <v>2</v>
      </c>
      <c r="H887" s="10"/>
      <c r="I887" s="8">
        <f t="shared" si="1274"/>
        <v>4</v>
      </c>
      <c r="J887" s="9">
        <v>2</v>
      </c>
      <c r="K887" s="10">
        <v>2</v>
      </c>
      <c r="L887" s="10"/>
      <c r="M887" s="39">
        <f t="shared" si="1275"/>
        <v>4</v>
      </c>
      <c r="N887" s="138">
        <f t="shared" si="1276"/>
        <v>12</v>
      </c>
      <c r="O887" s="24">
        <v>45754</v>
      </c>
      <c r="P887" s="4" t="s">
        <v>785</v>
      </c>
      <c r="Q887" s="9"/>
      <c r="R887" s="10">
        <v>5</v>
      </c>
      <c r="S887" s="10">
        <v>3</v>
      </c>
      <c r="T887" s="8">
        <f t="shared" si="1277"/>
        <v>8</v>
      </c>
      <c r="U887" s="9"/>
      <c r="V887" s="10">
        <v>5</v>
      </c>
      <c r="W887" s="10">
        <v>3</v>
      </c>
      <c r="X887" s="8">
        <f t="shared" si="1278"/>
        <v>8</v>
      </c>
      <c r="Y887" s="9"/>
      <c r="Z887" s="10">
        <v>5</v>
      </c>
      <c r="AA887" s="10">
        <v>3</v>
      </c>
      <c r="AB887" s="8">
        <f t="shared" si="1279"/>
        <v>8</v>
      </c>
      <c r="AC887" s="86">
        <f t="shared" si="1280"/>
        <v>24</v>
      </c>
      <c r="AD887" s="109">
        <v>45758</v>
      </c>
    </row>
    <row r="888" spans="1:32" x14ac:dyDescent="0.15">
      <c r="A888" s="4" t="s">
        <v>805</v>
      </c>
      <c r="B888" s="9">
        <v>1</v>
      </c>
      <c r="C888" s="10">
        <v>1</v>
      </c>
      <c r="D888" s="10">
        <v>1</v>
      </c>
      <c r="E888" s="8">
        <f t="shared" si="1273"/>
        <v>3</v>
      </c>
      <c r="F888" s="9">
        <v>1</v>
      </c>
      <c r="G888" s="10">
        <v>1</v>
      </c>
      <c r="H888" s="10">
        <v>1</v>
      </c>
      <c r="I888" s="8">
        <f t="shared" si="1274"/>
        <v>3</v>
      </c>
      <c r="J888" s="9">
        <v>1</v>
      </c>
      <c r="K888" s="10">
        <v>1</v>
      </c>
      <c r="L888" s="10">
        <v>1</v>
      </c>
      <c r="M888" s="39">
        <f t="shared" si="1275"/>
        <v>3</v>
      </c>
      <c r="N888" s="138">
        <f t="shared" si="1276"/>
        <v>9</v>
      </c>
      <c r="O888" s="24">
        <v>45756</v>
      </c>
      <c r="P888" s="4" t="s">
        <v>787</v>
      </c>
      <c r="Q888" s="9"/>
      <c r="R888" s="10">
        <v>10</v>
      </c>
      <c r="S888" s="10">
        <v>10</v>
      </c>
      <c r="T888" s="8">
        <f t="shared" si="1277"/>
        <v>20</v>
      </c>
      <c r="U888" s="9"/>
      <c r="V888" s="10">
        <v>10</v>
      </c>
      <c r="W888" s="10">
        <v>10</v>
      </c>
      <c r="X888" s="8">
        <f t="shared" si="1278"/>
        <v>20</v>
      </c>
      <c r="Y888" s="9"/>
      <c r="Z888" s="10">
        <v>10</v>
      </c>
      <c r="AA888" s="10">
        <v>10</v>
      </c>
      <c r="AB888" s="8">
        <f t="shared" si="1279"/>
        <v>20</v>
      </c>
      <c r="AC888" s="86">
        <f t="shared" si="1280"/>
        <v>60</v>
      </c>
      <c r="AD888" s="109">
        <v>45744</v>
      </c>
    </row>
    <row r="889" spans="1:32" x14ac:dyDescent="0.15">
      <c r="A889" s="33" t="s">
        <v>36</v>
      </c>
      <c r="B889" s="9">
        <v>1</v>
      </c>
      <c r="C889" s="10">
        <v>1</v>
      </c>
      <c r="D889" s="10"/>
      <c r="E889" s="8">
        <f t="shared" si="1273"/>
        <v>2</v>
      </c>
      <c r="F889" s="9">
        <v>1</v>
      </c>
      <c r="G889" s="10">
        <v>1</v>
      </c>
      <c r="H889" s="10"/>
      <c r="I889" s="8">
        <f t="shared" si="1274"/>
        <v>2</v>
      </c>
      <c r="J889" s="9">
        <v>1</v>
      </c>
      <c r="K889" s="10"/>
      <c r="L889" s="10"/>
      <c r="M889" s="39">
        <f t="shared" si="1275"/>
        <v>1</v>
      </c>
      <c r="N889" s="138">
        <f t="shared" si="1276"/>
        <v>5</v>
      </c>
      <c r="O889" s="24">
        <v>45754</v>
      </c>
      <c r="P889" s="4" t="s">
        <v>789</v>
      </c>
      <c r="Q889" s="9">
        <v>15</v>
      </c>
      <c r="R889" s="10">
        <v>5</v>
      </c>
      <c r="S889" s="10">
        <v>5</v>
      </c>
      <c r="T889" s="8">
        <f t="shared" si="1277"/>
        <v>25</v>
      </c>
      <c r="U889" s="9">
        <v>15</v>
      </c>
      <c r="V889" s="10">
        <v>5</v>
      </c>
      <c r="W889" s="10">
        <v>5</v>
      </c>
      <c r="X889" s="8">
        <f t="shared" si="1278"/>
        <v>25</v>
      </c>
      <c r="Y889" s="9">
        <v>15</v>
      </c>
      <c r="Z889" s="10">
        <v>5</v>
      </c>
      <c r="AA889" s="10">
        <v>5</v>
      </c>
      <c r="AB889" s="8">
        <f t="shared" si="1279"/>
        <v>25</v>
      </c>
      <c r="AC889" s="86">
        <f t="shared" si="1280"/>
        <v>75</v>
      </c>
      <c r="AD889" s="109">
        <v>45744</v>
      </c>
      <c r="AE889" s="58"/>
    </row>
    <row r="890" spans="1:32" x14ac:dyDescent="0.15">
      <c r="A890" s="33" t="s">
        <v>36</v>
      </c>
      <c r="B890" s="9">
        <v>1</v>
      </c>
      <c r="C890" s="10"/>
      <c r="D890" s="10">
        <v>1</v>
      </c>
      <c r="E890" s="8">
        <f t="shared" si="1273"/>
        <v>2</v>
      </c>
      <c r="F890" s="9"/>
      <c r="G890" s="10"/>
      <c r="H890" s="10">
        <v>1</v>
      </c>
      <c r="I890" s="8">
        <f t="shared" si="1274"/>
        <v>1</v>
      </c>
      <c r="J890" s="9"/>
      <c r="K890" s="10"/>
      <c r="L890" s="10">
        <v>1</v>
      </c>
      <c r="M890" s="39">
        <f t="shared" si="1275"/>
        <v>1</v>
      </c>
      <c r="N890" s="138">
        <f t="shared" si="1276"/>
        <v>4</v>
      </c>
      <c r="O890" s="24">
        <v>45755</v>
      </c>
      <c r="P890" s="11" t="s">
        <v>790</v>
      </c>
      <c r="Q890" s="9"/>
      <c r="R890" s="10"/>
      <c r="S890" s="10">
        <v>1</v>
      </c>
      <c r="T890" s="8">
        <f t="shared" si="1277"/>
        <v>1</v>
      </c>
      <c r="U890" s="9"/>
      <c r="V890" s="10"/>
      <c r="W890" s="10">
        <v>1</v>
      </c>
      <c r="X890" s="8">
        <f t="shared" si="1278"/>
        <v>1</v>
      </c>
      <c r="Y890" s="9"/>
      <c r="Z890" s="10"/>
      <c r="AA890" s="10">
        <v>1</v>
      </c>
      <c r="AB890" s="8">
        <f t="shared" si="1279"/>
        <v>1</v>
      </c>
      <c r="AC890" s="86">
        <f t="shared" si="1280"/>
        <v>3</v>
      </c>
      <c r="AD890" s="109">
        <v>45744</v>
      </c>
      <c r="AE890" s="58"/>
    </row>
    <row r="891" spans="1:32" x14ac:dyDescent="0.15">
      <c r="A891" s="33" t="s">
        <v>809</v>
      </c>
      <c r="B891" s="9">
        <v>1</v>
      </c>
      <c r="C891" s="10"/>
      <c r="D891" s="10"/>
      <c r="E891" s="8">
        <f t="shared" si="1273"/>
        <v>1</v>
      </c>
      <c r="F891" s="9">
        <v>1</v>
      </c>
      <c r="G891" s="10"/>
      <c r="H891" s="10"/>
      <c r="I891" s="8">
        <f t="shared" si="1274"/>
        <v>1</v>
      </c>
      <c r="J891" s="9">
        <v>1</v>
      </c>
      <c r="K891" s="10"/>
      <c r="L891" s="10"/>
      <c r="M891" s="39">
        <f t="shared" si="1275"/>
        <v>1</v>
      </c>
      <c r="N891" s="138">
        <f t="shared" si="1276"/>
        <v>3</v>
      </c>
      <c r="O891" s="24">
        <v>45755</v>
      </c>
      <c r="P891" s="4" t="s">
        <v>27</v>
      </c>
      <c r="Q891" s="9">
        <v>10</v>
      </c>
      <c r="R891" s="10">
        <v>10</v>
      </c>
      <c r="S891" s="10">
        <v>5</v>
      </c>
      <c r="T891" s="8">
        <f t="shared" ref="T891" si="1308">SUM(Q891:S891)</f>
        <v>25</v>
      </c>
      <c r="U891" s="9">
        <v>10</v>
      </c>
      <c r="V891" s="10">
        <v>10</v>
      </c>
      <c r="W891" s="10">
        <v>5</v>
      </c>
      <c r="X891" s="8">
        <f t="shared" ref="X891" si="1309">SUM(U891:W891)</f>
        <v>25</v>
      </c>
      <c r="Y891" s="9">
        <v>10</v>
      </c>
      <c r="Z891" s="10">
        <v>10</v>
      </c>
      <c r="AA891" s="10">
        <v>5</v>
      </c>
      <c r="AB891" s="8">
        <f t="shared" ref="AB891" si="1310">SUM(Y891:AA891)</f>
        <v>25</v>
      </c>
      <c r="AC891" s="86">
        <f t="shared" si="1280"/>
        <v>75</v>
      </c>
      <c r="AD891" s="109">
        <v>45749</v>
      </c>
      <c r="AE891" s="58"/>
      <c r="AF891" s="58"/>
    </row>
    <row r="892" spans="1:32" x14ac:dyDescent="0.15">
      <c r="A892" s="4" t="s">
        <v>810</v>
      </c>
      <c r="B892" s="9"/>
      <c r="C892" s="10"/>
      <c r="D892" s="10">
        <v>1</v>
      </c>
      <c r="E892" s="8">
        <f t="shared" si="1273"/>
        <v>1</v>
      </c>
      <c r="F892" s="9"/>
      <c r="G892" s="10"/>
      <c r="H892" s="10">
        <v>1</v>
      </c>
      <c r="I892" s="8">
        <f t="shared" si="1274"/>
        <v>1</v>
      </c>
      <c r="J892" s="9"/>
      <c r="K892" s="10"/>
      <c r="L892" s="10">
        <v>1</v>
      </c>
      <c r="M892" s="39">
        <f t="shared" si="1275"/>
        <v>1</v>
      </c>
      <c r="N892" s="138">
        <f t="shared" si="1276"/>
        <v>3</v>
      </c>
      <c r="O892" s="24">
        <v>45758</v>
      </c>
      <c r="P892" s="4" t="s">
        <v>801</v>
      </c>
      <c r="Q892" s="9">
        <v>2</v>
      </c>
      <c r="R892" s="10"/>
      <c r="S892" s="10">
        <v>3</v>
      </c>
      <c r="T892" s="8">
        <f t="shared" si="1277"/>
        <v>5</v>
      </c>
      <c r="U892" s="9">
        <v>2</v>
      </c>
      <c r="V892" s="10"/>
      <c r="W892" s="10">
        <v>3</v>
      </c>
      <c r="X892" s="8">
        <f t="shared" si="1278"/>
        <v>5</v>
      </c>
      <c r="Y892" s="9">
        <v>2</v>
      </c>
      <c r="Z892" s="10"/>
      <c r="AA892" s="10">
        <v>3</v>
      </c>
      <c r="AB892" s="8">
        <f t="shared" si="1279"/>
        <v>5</v>
      </c>
      <c r="AC892" s="86">
        <f t="shared" si="1280"/>
        <v>15</v>
      </c>
      <c r="AD892" s="109">
        <v>45765</v>
      </c>
      <c r="AE892" s="58"/>
    </row>
    <row r="893" spans="1:32" x14ac:dyDescent="0.15">
      <c r="A893" s="4" t="s">
        <v>812</v>
      </c>
      <c r="B893" s="9">
        <v>1</v>
      </c>
      <c r="C893" s="10">
        <v>2</v>
      </c>
      <c r="D893" s="10">
        <v>2</v>
      </c>
      <c r="E893" s="8">
        <f t="shared" si="1273"/>
        <v>5</v>
      </c>
      <c r="F893" s="9">
        <v>1</v>
      </c>
      <c r="G893" s="10">
        <v>2</v>
      </c>
      <c r="H893" s="10">
        <v>2</v>
      </c>
      <c r="I893" s="8">
        <f t="shared" si="1274"/>
        <v>5</v>
      </c>
      <c r="J893" s="9">
        <v>1</v>
      </c>
      <c r="K893" s="10">
        <v>2</v>
      </c>
      <c r="L893" s="10">
        <v>2</v>
      </c>
      <c r="M893" s="39">
        <f t="shared" si="1275"/>
        <v>5</v>
      </c>
      <c r="N893" s="138">
        <f t="shared" si="1276"/>
        <v>15</v>
      </c>
      <c r="O893" s="24">
        <v>45758</v>
      </c>
      <c r="P893" s="4" t="s">
        <v>802</v>
      </c>
      <c r="Q893" s="9">
        <v>8</v>
      </c>
      <c r="R893" s="10">
        <v>1</v>
      </c>
      <c r="S893" s="10">
        <v>1</v>
      </c>
      <c r="T893" s="8">
        <f t="shared" si="1277"/>
        <v>10</v>
      </c>
      <c r="U893" s="9">
        <v>8</v>
      </c>
      <c r="V893" s="10">
        <v>1</v>
      </c>
      <c r="W893" s="10">
        <v>1</v>
      </c>
      <c r="X893" s="8">
        <f t="shared" si="1278"/>
        <v>10</v>
      </c>
      <c r="Y893" s="9">
        <v>8</v>
      </c>
      <c r="Z893" s="10">
        <v>1</v>
      </c>
      <c r="AA893" s="10">
        <v>1</v>
      </c>
      <c r="AB893" s="8">
        <f t="shared" si="1279"/>
        <v>10</v>
      </c>
      <c r="AC893" s="86">
        <f t="shared" si="1280"/>
        <v>30</v>
      </c>
      <c r="AD893" s="109">
        <v>45751</v>
      </c>
    </row>
    <row r="894" spans="1:32" x14ac:dyDescent="0.15">
      <c r="A894" s="33" t="s">
        <v>36</v>
      </c>
      <c r="B894" s="9">
        <v>1</v>
      </c>
      <c r="C894" s="10"/>
      <c r="D894" s="10"/>
      <c r="E894" s="8">
        <f t="shared" si="1273"/>
        <v>1</v>
      </c>
      <c r="F894" s="9">
        <v>1</v>
      </c>
      <c r="G894" s="10"/>
      <c r="H894" s="10"/>
      <c r="I894" s="8">
        <f t="shared" si="1274"/>
        <v>1</v>
      </c>
      <c r="J894" s="9">
        <v>1</v>
      </c>
      <c r="K894" s="10"/>
      <c r="L894" s="10"/>
      <c r="M894" s="39">
        <f t="shared" si="1275"/>
        <v>1</v>
      </c>
      <c r="N894" s="138">
        <f t="shared" si="1276"/>
        <v>3</v>
      </c>
      <c r="O894" s="70">
        <v>45757</v>
      </c>
      <c r="P894" s="11" t="s">
        <v>806</v>
      </c>
      <c r="Q894" s="9">
        <v>20</v>
      </c>
      <c r="R894" s="10">
        <v>25</v>
      </c>
      <c r="S894" s="10">
        <v>10</v>
      </c>
      <c r="T894" s="8">
        <f t="shared" si="1277"/>
        <v>55</v>
      </c>
      <c r="U894" s="9">
        <v>20</v>
      </c>
      <c r="V894" s="10">
        <v>25</v>
      </c>
      <c r="W894" s="10">
        <v>10</v>
      </c>
      <c r="X894" s="8">
        <f t="shared" si="1278"/>
        <v>55</v>
      </c>
      <c r="Y894" s="9">
        <v>20</v>
      </c>
      <c r="Z894" s="10">
        <v>25</v>
      </c>
      <c r="AA894" s="10">
        <v>10</v>
      </c>
      <c r="AB894" s="8">
        <f t="shared" si="1279"/>
        <v>55</v>
      </c>
      <c r="AC894" s="86">
        <f t="shared" si="1280"/>
        <v>165</v>
      </c>
      <c r="AD894" s="109">
        <v>45758</v>
      </c>
    </row>
    <row r="895" spans="1:32" x14ac:dyDescent="0.15">
      <c r="A895" s="4" t="s">
        <v>817</v>
      </c>
      <c r="B895" s="9">
        <v>2</v>
      </c>
      <c r="C895" s="10"/>
      <c r="D895" s="10">
        <v>1</v>
      </c>
      <c r="E895" s="8">
        <f t="shared" si="1273"/>
        <v>3</v>
      </c>
      <c r="F895" s="9">
        <v>2</v>
      </c>
      <c r="G895" s="10"/>
      <c r="H895" s="10">
        <v>1</v>
      </c>
      <c r="I895" s="8">
        <f t="shared" si="1274"/>
        <v>3</v>
      </c>
      <c r="J895" s="9">
        <v>2</v>
      </c>
      <c r="K895" s="10"/>
      <c r="L895" s="10">
        <v>1</v>
      </c>
      <c r="M895" s="39">
        <f t="shared" si="1275"/>
        <v>3</v>
      </c>
      <c r="N895" s="138">
        <f t="shared" si="1276"/>
        <v>9</v>
      </c>
      <c r="O895" s="24">
        <v>45761</v>
      </c>
      <c r="P895" s="4" t="s">
        <v>27</v>
      </c>
      <c r="Q895" s="9">
        <v>10</v>
      </c>
      <c r="R895" s="10">
        <v>10</v>
      </c>
      <c r="S895" s="10">
        <v>5</v>
      </c>
      <c r="T895" s="8">
        <f t="shared" ref="T895" si="1311">SUM(Q895:S895)</f>
        <v>25</v>
      </c>
      <c r="U895" s="9">
        <v>10</v>
      </c>
      <c r="V895" s="10">
        <v>5</v>
      </c>
      <c r="W895" s="10">
        <v>5</v>
      </c>
      <c r="X895" s="8">
        <f t="shared" ref="X895" si="1312">SUM(U895:W895)</f>
        <v>20</v>
      </c>
      <c r="Y895" s="9">
        <v>5</v>
      </c>
      <c r="Z895" s="10">
        <v>5</v>
      </c>
      <c r="AA895" s="10">
        <v>10</v>
      </c>
      <c r="AB895" s="8">
        <f t="shared" ref="AB895" si="1313">SUM(Y895:AA895)</f>
        <v>20</v>
      </c>
      <c r="AC895" s="86">
        <f t="shared" si="1280"/>
        <v>65</v>
      </c>
      <c r="AD895" s="109">
        <v>45757</v>
      </c>
    </row>
    <row r="896" spans="1:32" x14ac:dyDescent="0.15">
      <c r="A896" s="33" t="s">
        <v>819</v>
      </c>
      <c r="B896" s="9"/>
      <c r="C896" s="10"/>
      <c r="D896" s="10"/>
      <c r="E896" s="8">
        <f t="shared" si="1273"/>
        <v>0</v>
      </c>
      <c r="F896" s="9"/>
      <c r="G896" s="10"/>
      <c r="H896" s="10"/>
      <c r="I896" s="8">
        <f t="shared" si="1274"/>
        <v>0</v>
      </c>
      <c r="J896" s="9"/>
      <c r="K896" s="10">
        <v>1</v>
      </c>
      <c r="L896" s="10"/>
      <c r="M896" s="39">
        <f t="shared" si="1275"/>
        <v>1</v>
      </c>
      <c r="N896" s="138">
        <f t="shared" si="1276"/>
        <v>1</v>
      </c>
      <c r="O896" s="24">
        <v>45762</v>
      </c>
      <c r="P896" s="11" t="s">
        <v>811</v>
      </c>
      <c r="Q896" s="9"/>
      <c r="R896" s="10"/>
      <c r="S896" s="10">
        <v>5</v>
      </c>
      <c r="T896" s="8">
        <f t="shared" ref="T896:T898" si="1314">SUM(Q896:S896)</f>
        <v>5</v>
      </c>
      <c r="U896" s="9"/>
      <c r="V896" s="10"/>
      <c r="W896" s="10">
        <v>5</v>
      </c>
      <c r="X896" s="8">
        <f t="shared" ref="X896:X898" si="1315">SUM(U896:W896)</f>
        <v>5</v>
      </c>
      <c r="Y896" s="9"/>
      <c r="Z896" s="10"/>
      <c r="AA896" s="10">
        <v>5</v>
      </c>
      <c r="AB896" s="8">
        <f t="shared" ref="AB896:AB898" si="1316">SUM(Y896:AA896)</f>
        <v>5</v>
      </c>
      <c r="AC896" s="86">
        <f t="shared" ref="AC896:AC898" si="1317">T896+X896+AB896</f>
        <v>15</v>
      </c>
      <c r="AD896" s="109">
        <v>45762</v>
      </c>
    </row>
    <row r="897" spans="1:30" x14ac:dyDescent="0.15">
      <c r="A897" s="33" t="s">
        <v>36</v>
      </c>
      <c r="B897" s="9">
        <v>1</v>
      </c>
      <c r="C897" s="10"/>
      <c r="D897" s="10"/>
      <c r="E897" s="8">
        <f t="shared" si="1273"/>
        <v>1</v>
      </c>
      <c r="F897" s="9"/>
      <c r="G897" s="10"/>
      <c r="H897" s="10"/>
      <c r="I897" s="8">
        <f t="shared" si="1274"/>
        <v>0</v>
      </c>
      <c r="J897" s="9">
        <v>1</v>
      </c>
      <c r="K897" s="10"/>
      <c r="L897" s="10"/>
      <c r="M897" s="39">
        <f t="shared" si="1275"/>
        <v>1</v>
      </c>
      <c r="N897" s="138">
        <f t="shared" si="1276"/>
        <v>2</v>
      </c>
      <c r="O897" s="24">
        <v>45758</v>
      </c>
      <c r="P897" s="4" t="s">
        <v>818</v>
      </c>
      <c r="Q897" s="77">
        <v>20</v>
      </c>
      <c r="R897" s="78">
        <v>28</v>
      </c>
      <c r="S897" s="78">
        <v>19</v>
      </c>
      <c r="T897" s="5">
        <f t="shared" si="1314"/>
        <v>67</v>
      </c>
      <c r="U897" s="77">
        <v>20</v>
      </c>
      <c r="V897" s="78">
        <v>28</v>
      </c>
      <c r="W897" s="78">
        <v>19</v>
      </c>
      <c r="X897" s="5">
        <f t="shared" si="1315"/>
        <v>67</v>
      </c>
      <c r="Y897" s="77">
        <v>20</v>
      </c>
      <c r="Z897" s="78">
        <v>28</v>
      </c>
      <c r="AA897" s="78">
        <v>19</v>
      </c>
      <c r="AB897" s="5">
        <f t="shared" si="1316"/>
        <v>67</v>
      </c>
      <c r="AC897" s="91">
        <f t="shared" si="1317"/>
        <v>201</v>
      </c>
      <c r="AD897" s="109">
        <v>45765</v>
      </c>
    </row>
    <row r="898" spans="1:30" x14ac:dyDescent="0.15">
      <c r="A898" s="4" t="s">
        <v>821</v>
      </c>
      <c r="B898" s="9"/>
      <c r="C898" s="10">
        <v>1</v>
      </c>
      <c r="D898" s="10">
        <v>3</v>
      </c>
      <c r="E898" s="8">
        <f t="shared" si="1273"/>
        <v>4</v>
      </c>
      <c r="F898" s="9"/>
      <c r="G898" s="10">
        <v>1</v>
      </c>
      <c r="H898" s="10">
        <v>3</v>
      </c>
      <c r="I898" s="8">
        <f t="shared" si="1274"/>
        <v>4</v>
      </c>
      <c r="J898" s="9"/>
      <c r="K898" s="10">
        <v>1</v>
      </c>
      <c r="L898" s="10">
        <v>3</v>
      </c>
      <c r="M898" s="39">
        <f t="shared" si="1275"/>
        <v>4</v>
      </c>
      <c r="N898" s="138">
        <f t="shared" si="1276"/>
        <v>12</v>
      </c>
      <c r="O898" s="24">
        <v>45763</v>
      </c>
      <c r="P898" s="4"/>
      <c r="Q898" s="9"/>
      <c r="R898" s="10"/>
      <c r="S898" s="10"/>
      <c r="T898" s="8">
        <f t="shared" si="1314"/>
        <v>0</v>
      </c>
      <c r="U898" s="9"/>
      <c r="V898" s="10"/>
      <c r="W898" s="10"/>
      <c r="X898" s="8">
        <f t="shared" si="1315"/>
        <v>0</v>
      </c>
      <c r="Y898" s="9"/>
      <c r="Z898" s="10"/>
      <c r="AA898" s="10"/>
      <c r="AB898" s="8">
        <f t="shared" si="1316"/>
        <v>0</v>
      </c>
      <c r="AC898" s="86">
        <f t="shared" si="1317"/>
        <v>0</v>
      </c>
      <c r="AD898" s="116"/>
    </row>
    <row r="899" spans="1:30" x14ac:dyDescent="0.15">
      <c r="A899" s="33" t="s">
        <v>36</v>
      </c>
      <c r="B899" s="9"/>
      <c r="C899" s="10"/>
      <c r="D899" s="10">
        <v>1</v>
      </c>
      <c r="E899" s="8">
        <f t="shared" si="1273"/>
        <v>1</v>
      </c>
      <c r="F899" s="9"/>
      <c r="G899" s="10"/>
      <c r="H899" s="10">
        <v>1</v>
      </c>
      <c r="I899" s="8">
        <f t="shared" si="1274"/>
        <v>1</v>
      </c>
      <c r="J899" s="9">
        <v>1</v>
      </c>
      <c r="K899" s="10"/>
      <c r="L899" s="10">
        <v>1</v>
      </c>
      <c r="M899" s="39">
        <f t="shared" si="1275"/>
        <v>2</v>
      </c>
      <c r="N899" s="138">
        <f t="shared" si="1276"/>
        <v>4</v>
      </c>
      <c r="O899" s="24">
        <v>45762</v>
      </c>
      <c r="P899" s="11" t="s">
        <v>699</v>
      </c>
      <c r="Q899" s="9"/>
      <c r="R899" s="10"/>
      <c r="S899" s="10"/>
      <c r="T899" s="8">
        <f t="shared" ref="T899" si="1318">SUM(Q899:S899)</f>
        <v>0</v>
      </c>
      <c r="U899" s="9"/>
      <c r="V899" s="10"/>
      <c r="W899" s="10"/>
      <c r="X899" s="8">
        <f t="shared" ref="X899" si="1319">SUM(U899:W899)</f>
        <v>0</v>
      </c>
      <c r="Y899" s="9"/>
      <c r="Z899" s="10"/>
      <c r="AA899" s="10"/>
      <c r="AB899" s="8">
        <f t="shared" ref="AB899" si="1320">SUM(Y899:AA899)</f>
        <v>0</v>
      </c>
      <c r="AC899" s="86">
        <f t="shared" ref="AC899" si="1321">T899+X899+AB899</f>
        <v>0</v>
      </c>
      <c r="AD899" s="116" t="s">
        <v>102</v>
      </c>
    </row>
    <row r="900" spans="1:30" ht="14.25" thickBot="1" x14ac:dyDescent="0.2">
      <c r="A900" s="4" t="s">
        <v>825</v>
      </c>
      <c r="B900" s="9"/>
      <c r="C900" s="10">
        <v>1</v>
      </c>
      <c r="D900" s="22">
        <v>1</v>
      </c>
      <c r="E900" s="8">
        <f t="shared" si="1273"/>
        <v>2</v>
      </c>
      <c r="F900" s="9"/>
      <c r="G900" s="10">
        <v>1</v>
      </c>
      <c r="H900" s="22">
        <v>1</v>
      </c>
      <c r="I900" s="8">
        <f t="shared" si="1274"/>
        <v>2</v>
      </c>
      <c r="J900" s="9"/>
      <c r="K900" s="10">
        <v>1</v>
      </c>
      <c r="L900" s="22">
        <v>1</v>
      </c>
      <c r="M900" s="39">
        <f t="shared" si="1275"/>
        <v>2</v>
      </c>
      <c r="N900" s="139">
        <f t="shared" si="1276"/>
        <v>6</v>
      </c>
      <c r="O900" s="24">
        <v>45765</v>
      </c>
      <c r="P900" s="11" t="s">
        <v>446</v>
      </c>
      <c r="Q900" s="9"/>
      <c r="R900" s="10"/>
      <c r="S900" s="10"/>
      <c r="T900" s="8">
        <f t="shared" ref="T900" si="1322">SUM(Q900:S900)</f>
        <v>0</v>
      </c>
      <c r="U900" s="9"/>
      <c r="V900" s="10"/>
      <c r="W900" s="10"/>
      <c r="X900" s="8">
        <f t="shared" ref="X900" si="1323">SUM(U900:W900)</f>
        <v>0</v>
      </c>
      <c r="Y900" s="9"/>
      <c r="Z900" s="10"/>
      <c r="AA900" s="10"/>
      <c r="AB900" s="8">
        <f t="shared" ref="AB900" si="1324">SUM(Y900:AA900)</f>
        <v>0</v>
      </c>
      <c r="AC900" s="86">
        <f t="shared" ref="AC900" si="1325">T900+X900+AB900</f>
        <v>0</v>
      </c>
      <c r="AD900" s="116" t="s">
        <v>447</v>
      </c>
    </row>
    <row r="901" spans="1:30" ht="14.25" thickBot="1" x14ac:dyDescent="0.2">
      <c r="A901" s="104" t="s">
        <v>5</v>
      </c>
      <c r="B901" s="12">
        <f>SUM(B877:B900)</f>
        <v>21</v>
      </c>
      <c r="C901" s="12">
        <f>SUM(C877:C900)</f>
        <v>25</v>
      </c>
      <c r="D901" s="12">
        <f>SUM(D877:D900)</f>
        <v>15</v>
      </c>
      <c r="E901" s="13">
        <f t="shared" si="1273"/>
        <v>61</v>
      </c>
      <c r="F901" s="12">
        <f>SUM(F877:F900)</f>
        <v>19</v>
      </c>
      <c r="G901" s="12">
        <f>SUM(G877:G900)</f>
        <v>23</v>
      </c>
      <c r="H901" s="12">
        <f>SUM(H877:H900)</f>
        <v>15</v>
      </c>
      <c r="I901" s="13">
        <f t="shared" si="1274"/>
        <v>57</v>
      </c>
      <c r="J901" s="12">
        <f>SUM(J877:J900)</f>
        <v>21</v>
      </c>
      <c r="K901" s="12">
        <f>SUM(K877:K900)</f>
        <v>25</v>
      </c>
      <c r="L901" s="12">
        <f>SUM(L877:L900)</f>
        <v>15</v>
      </c>
      <c r="M901" s="12">
        <f t="shared" si="1275"/>
        <v>61</v>
      </c>
      <c r="N901" s="142">
        <f t="shared" si="1276"/>
        <v>179</v>
      </c>
      <c r="P901" s="3" t="s">
        <v>5</v>
      </c>
      <c r="Q901" s="12">
        <f>SUM(Q877:Q900)</f>
        <v>182</v>
      </c>
      <c r="R901" s="12">
        <f t="shared" ref="R901" si="1326">SUM(R877:R900)</f>
        <v>268</v>
      </c>
      <c r="S901" s="12">
        <f t="shared" ref="S901" si="1327">SUM(S877:S900)</f>
        <v>182</v>
      </c>
      <c r="T901" s="13">
        <f t="shared" ref="T901" si="1328">SUM(T877:T900)</f>
        <v>632</v>
      </c>
      <c r="U901" s="12">
        <f t="shared" ref="U901" si="1329">SUM(U877:U900)</f>
        <v>167</v>
      </c>
      <c r="V901" s="12">
        <f t="shared" ref="V901" si="1330">SUM(V877:V900)</f>
        <v>243</v>
      </c>
      <c r="W901" s="12">
        <f t="shared" ref="W901" si="1331">SUM(W877:W900)</f>
        <v>147</v>
      </c>
      <c r="X901" s="13">
        <f t="shared" ref="X901" si="1332">SUM(X877:X900)</f>
        <v>557</v>
      </c>
      <c r="Y901" s="12">
        <f t="shared" ref="Y901" si="1333">SUM(Y877:Y900)</f>
        <v>162</v>
      </c>
      <c r="Z901" s="12">
        <f t="shared" ref="Z901" si="1334">SUM(Z877:Z900)</f>
        <v>223</v>
      </c>
      <c r="AA901" s="12">
        <f t="shared" ref="AA901" si="1335">SUM(AA877:AA900)</f>
        <v>137</v>
      </c>
      <c r="AB901" s="13">
        <f t="shared" ref="AB901" si="1336">SUM(AB877:AB900)</f>
        <v>522</v>
      </c>
      <c r="AC901" s="155">
        <f t="shared" ref="AC901" si="1337">SUM(AC877:AC900)</f>
        <v>1711</v>
      </c>
    </row>
    <row r="902" spans="1:30" ht="14.25" thickBot="1" x14ac:dyDescent="0.2">
      <c r="A902" s="105" t="s">
        <v>6</v>
      </c>
      <c r="B902" s="20">
        <f>B876-B901</f>
        <v>10</v>
      </c>
      <c r="C902" s="20">
        <f t="shared" ref="C902:E902" si="1338">C876-C901</f>
        <v>10</v>
      </c>
      <c r="D902" s="20">
        <f t="shared" si="1338"/>
        <v>8</v>
      </c>
      <c r="E902" s="18">
        <f t="shared" si="1338"/>
        <v>28</v>
      </c>
      <c r="F902" s="20">
        <f>F876-F901</f>
        <v>12</v>
      </c>
      <c r="G902" s="20">
        <f t="shared" ref="G902:I902" si="1339">G876-G901</f>
        <v>9</v>
      </c>
      <c r="H902" s="20">
        <f t="shared" si="1339"/>
        <v>10</v>
      </c>
      <c r="I902" s="18">
        <f t="shared" si="1339"/>
        <v>31</v>
      </c>
      <c r="J902" s="20">
        <f>J876-J901</f>
        <v>6</v>
      </c>
      <c r="K902" s="20">
        <f t="shared" ref="K902:M902" si="1340">K876-K901</f>
        <v>9</v>
      </c>
      <c r="L902" s="20">
        <f t="shared" si="1340"/>
        <v>13</v>
      </c>
      <c r="M902" s="20">
        <f t="shared" si="1340"/>
        <v>28</v>
      </c>
      <c r="N902" s="140">
        <f t="shared" si="1276"/>
        <v>87</v>
      </c>
      <c r="P902" s="19" t="s">
        <v>6</v>
      </c>
      <c r="Q902" s="20">
        <f>Q876-Q901</f>
        <v>414</v>
      </c>
      <c r="R902" s="20">
        <f t="shared" ref="R902" si="1341">R876-R901</f>
        <v>760</v>
      </c>
      <c r="S902" s="20">
        <f t="shared" ref="S902" si="1342">S876-S901</f>
        <v>596</v>
      </c>
      <c r="T902" s="18">
        <f t="shared" ref="T902" si="1343">T876-T901</f>
        <v>1770</v>
      </c>
      <c r="U902" s="20">
        <f t="shared" ref="U902" si="1344">U876-U901</f>
        <v>378</v>
      </c>
      <c r="V902" s="20">
        <f t="shared" ref="V902" si="1345">V876-V901</f>
        <v>843</v>
      </c>
      <c r="W902" s="20">
        <f t="shared" ref="W902" si="1346">W876-W901</f>
        <v>598</v>
      </c>
      <c r="X902" s="18">
        <f t="shared" ref="X902" si="1347">X876-X901</f>
        <v>1819</v>
      </c>
      <c r="Y902" s="20">
        <f t="shared" ref="Y902" si="1348">Y876-Y901</f>
        <v>342</v>
      </c>
      <c r="Z902" s="20">
        <f t="shared" ref="Z902" si="1349">Z876-Z901</f>
        <v>737</v>
      </c>
      <c r="AA902" s="20">
        <f t="shared" ref="AA902" si="1350">AA876-AA901</f>
        <v>531</v>
      </c>
      <c r="AB902" s="18">
        <f t="shared" ref="AB902" si="1351">AB876-AB901</f>
        <v>1610</v>
      </c>
      <c r="AC902" s="88">
        <f t="shared" ref="AC902" si="1352">AC876-AC901</f>
        <v>5199</v>
      </c>
    </row>
    <row r="903" spans="1:30" x14ac:dyDescent="0.15">
      <c r="Q903" s="79">
        <f>Q902/$T$859*100</f>
        <v>17.235636969192338</v>
      </c>
      <c r="R903" s="79">
        <f t="shared" ref="R903:T903" si="1353">R902/$T$859*100</f>
        <v>31.640299750208161</v>
      </c>
      <c r="S903" s="79">
        <f t="shared" si="1353"/>
        <v>24.812656119900083</v>
      </c>
      <c r="T903" s="79">
        <f t="shared" si="1353"/>
        <v>73.688592839300583</v>
      </c>
    </row>
    <row r="904" spans="1:30" x14ac:dyDescent="0.15">
      <c r="Q904" s="66">
        <v>27.4</v>
      </c>
      <c r="R904" s="66">
        <v>42.2</v>
      </c>
      <c r="S904" s="66">
        <v>30.4</v>
      </c>
      <c r="T904" s="65">
        <v>100</v>
      </c>
    </row>
    <row r="905" spans="1:30" ht="19.5" thickBot="1" x14ac:dyDescent="0.25">
      <c r="A905" s="108" t="s">
        <v>264</v>
      </c>
      <c r="B905" s="47"/>
      <c r="C905" s="47"/>
      <c r="D905" s="47"/>
      <c r="E905" s="47"/>
      <c r="F905" s="48"/>
      <c r="G905" s="48"/>
      <c r="H905" s="48"/>
      <c r="I905" s="48"/>
      <c r="J905" s="48"/>
      <c r="K905" s="48"/>
      <c r="L905" s="1"/>
      <c r="M905" s="1"/>
      <c r="N905" s="137"/>
      <c r="P905" s="43" t="s">
        <v>263</v>
      </c>
      <c r="Q905" s="44"/>
      <c r="R905" s="44"/>
      <c r="S905" s="44"/>
      <c r="T905" s="44"/>
      <c r="U905" s="45"/>
      <c r="V905" s="45"/>
      <c r="W905" s="45"/>
      <c r="X905" s="45"/>
      <c r="Y905" s="46"/>
      <c r="Z905" s="53"/>
      <c r="AA905" s="1"/>
      <c r="AB905" s="1"/>
    </row>
    <row r="906" spans="1:30" ht="14.25" thickBot="1" x14ac:dyDescent="0.2">
      <c r="A906" s="100" t="s">
        <v>0</v>
      </c>
      <c r="B906" s="337" t="s">
        <v>11</v>
      </c>
      <c r="C906" s="337"/>
      <c r="D906" s="337"/>
      <c r="E906" s="338"/>
      <c r="F906" s="339" t="s">
        <v>9</v>
      </c>
      <c r="G906" s="340"/>
      <c r="H906" s="340"/>
      <c r="I906" s="341"/>
      <c r="J906" s="342" t="s">
        <v>12</v>
      </c>
      <c r="K906" s="343"/>
      <c r="L906" s="343"/>
      <c r="M906" s="343"/>
      <c r="N906" s="347" t="s">
        <v>13</v>
      </c>
      <c r="P906" s="2" t="s">
        <v>0</v>
      </c>
      <c r="Q906" s="336" t="s">
        <v>11</v>
      </c>
      <c r="R906" s="337"/>
      <c r="S906" s="337"/>
      <c r="T906" s="338"/>
      <c r="U906" s="339" t="s">
        <v>9</v>
      </c>
      <c r="V906" s="340"/>
      <c r="W906" s="340"/>
      <c r="X906" s="341"/>
      <c r="Y906" s="342" t="s">
        <v>12</v>
      </c>
      <c r="Z906" s="343"/>
      <c r="AA906" s="343"/>
      <c r="AB906" s="344"/>
      <c r="AC906" s="345" t="s">
        <v>13</v>
      </c>
    </row>
    <row r="907" spans="1:30" ht="14.25" thickBot="1" x14ac:dyDescent="0.2">
      <c r="A907" s="100" t="s">
        <v>1</v>
      </c>
      <c r="B907" s="3" t="s">
        <v>7</v>
      </c>
      <c r="C907" s="2" t="s">
        <v>10</v>
      </c>
      <c r="D907" s="2" t="s">
        <v>8</v>
      </c>
      <c r="E907" s="2" t="s">
        <v>2</v>
      </c>
      <c r="F907" s="3" t="s">
        <v>7</v>
      </c>
      <c r="G907" s="2" t="s">
        <v>10</v>
      </c>
      <c r="H907" s="2" t="s">
        <v>8</v>
      </c>
      <c r="I907" s="2" t="s">
        <v>2</v>
      </c>
      <c r="J907" s="3" t="s">
        <v>7</v>
      </c>
      <c r="K907" s="2" t="s">
        <v>10</v>
      </c>
      <c r="L907" s="2" t="s">
        <v>8</v>
      </c>
      <c r="M907" s="3" t="s">
        <v>2</v>
      </c>
      <c r="N907" s="348"/>
      <c r="P907" s="2" t="s">
        <v>1</v>
      </c>
      <c r="Q907" s="3" t="s">
        <v>7</v>
      </c>
      <c r="R907" s="2" t="s">
        <v>10</v>
      </c>
      <c r="S907" s="2" t="s">
        <v>8</v>
      </c>
      <c r="T907" s="2" t="s">
        <v>2</v>
      </c>
      <c r="U907" s="3" t="s">
        <v>7</v>
      </c>
      <c r="V907" s="2" t="s">
        <v>10</v>
      </c>
      <c r="W907" s="2" t="s">
        <v>8</v>
      </c>
      <c r="X907" s="2" t="s">
        <v>2</v>
      </c>
      <c r="Y907" s="3" t="s">
        <v>7</v>
      </c>
      <c r="Z907" s="2" t="s">
        <v>10</v>
      </c>
      <c r="AA907" s="2" t="s">
        <v>8</v>
      </c>
      <c r="AB907" s="2" t="s">
        <v>2</v>
      </c>
      <c r="AC907" s="346"/>
    </row>
    <row r="908" spans="1:30" x14ac:dyDescent="0.15">
      <c r="A908" s="106" t="s">
        <v>6</v>
      </c>
      <c r="B908" s="41">
        <f>B902</f>
        <v>10</v>
      </c>
      <c r="C908" s="41">
        <f t="shared" ref="C908:E908" si="1354">C902</f>
        <v>10</v>
      </c>
      <c r="D908" s="41">
        <f t="shared" si="1354"/>
        <v>8</v>
      </c>
      <c r="E908" s="42">
        <f t="shared" si="1354"/>
        <v>28</v>
      </c>
      <c r="F908" s="41">
        <f>F902</f>
        <v>12</v>
      </c>
      <c r="G908" s="41">
        <f t="shared" ref="G908:I908" si="1355">G902</f>
        <v>9</v>
      </c>
      <c r="H908" s="41">
        <f t="shared" si="1355"/>
        <v>10</v>
      </c>
      <c r="I908" s="42">
        <f t="shared" si="1355"/>
        <v>31</v>
      </c>
      <c r="J908" s="41">
        <f>J902</f>
        <v>6</v>
      </c>
      <c r="K908" s="41">
        <f t="shared" ref="K908:M908" si="1356">K902</f>
        <v>9</v>
      </c>
      <c r="L908" s="41">
        <f t="shared" si="1356"/>
        <v>13</v>
      </c>
      <c r="M908" s="42">
        <f t="shared" si="1356"/>
        <v>28</v>
      </c>
      <c r="N908" s="143">
        <f>E908+I908+M908</f>
        <v>87</v>
      </c>
      <c r="P908" s="36" t="s">
        <v>6</v>
      </c>
      <c r="Q908" s="41">
        <f>Q902</f>
        <v>414</v>
      </c>
      <c r="R908" s="41">
        <f t="shared" ref="R908:AC908" si="1357">R902</f>
        <v>760</v>
      </c>
      <c r="S908" s="41">
        <f t="shared" si="1357"/>
        <v>596</v>
      </c>
      <c r="T908" s="42">
        <f t="shared" si="1357"/>
        <v>1770</v>
      </c>
      <c r="U908" s="41">
        <f t="shared" si="1357"/>
        <v>378</v>
      </c>
      <c r="V908" s="41">
        <f t="shared" si="1357"/>
        <v>843</v>
      </c>
      <c r="W908" s="41">
        <f t="shared" si="1357"/>
        <v>598</v>
      </c>
      <c r="X908" s="42">
        <f t="shared" si="1357"/>
        <v>1819</v>
      </c>
      <c r="Y908" s="41">
        <f t="shared" si="1357"/>
        <v>342</v>
      </c>
      <c r="Z908" s="41">
        <f t="shared" si="1357"/>
        <v>737</v>
      </c>
      <c r="AA908" s="41">
        <f t="shared" si="1357"/>
        <v>531</v>
      </c>
      <c r="AB908" s="42">
        <f t="shared" si="1357"/>
        <v>1610</v>
      </c>
      <c r="AC908" s="90">
        <f t="shared" si="1357"/>
        <v>5199</v>
      </c>
    </row>
    <row r="909" spans="1:30" x14ac:dyDescent="0.15">
      <c r="A909" s="102" t="s">
        <v>3</v>
      </c>
      <c r="B909" s="25"/>
      <c r="C909" s="26">
        <v>5</v>
      </c>
      <c r="D909" s="26">
        <v>10</v>
      </c>
      <c r="E909" s="5">
        <f t="shared" ref="E909:E944" si="1358">SUM(B909:D909)</f>
        <v>15</v>
      </c>
      <c r="F909" s="25"/>
      <c r="G909" s="26">
        <v>5</v>
      </c>
      <c r="H909" s="26">
        <v>10</v>
      </c>
      <c r="I909" s="5">
        <f t="shared" ref="I909:I944" si="1359">SUM(F909:H909)</f>
        <v>15</v>
      </c>
      <c r="J909" s="25">
        <v>5</v>
      </c>
      <c r="K909" s="26">
        <v>5</v>
      </c>
      <c r="L909" s="26">
        <v>5</v>
      </c>
      <c r="M909" s="38">
        <f t="shared" ref="M909:M944" si="1360">SUM(J909:L909)</f>
        <v>15</v>
      </c>
      <c r="N909" s="138">
        <f t="shared" ref="N909:N945" si="1361">E909+I909+M909</f>
        <v>45</v>
      </c>
      <c r="O909" s="24">
        <v>45765</v>
      </c>
      <c r="P909" s="6" t="s">
        <v>3</v>
      </c>
      <c r="Q909" s="14"/>
      <c r="R909" s="11"/>
      <c r="S909" s="11"/>
      <c r="T909" s="5">
        <f t="shared" ref="T909:T935" si="1362">SUM(Q909:S909)</f>
        <v>0</v>
      </c>
      <c r="U909" s="14"/>
      <c r="V909" s="11"/>
      <c r="W909" s="11"/>
      <c r="X909" s="5">
        <f t="shared" ref="X909:X935" si="1363">SUM(U909:W909)</f>
        <v>0</v>
      </c>
      <c r="Y909" s="25"/>
      <c r="Z909" s="26"/>
      <c r="AA909" s="26"/>
      <c r="AB909" s="5">
        <f t="shared" ref="AB909:AB935" si="1364">SUM(Y909:AA909)</f>
        <v>0</v>
      </c>
      <c r="AC909" s="86">
        <f t="shared" ref="AC909:AC937" si="1365">T909+X909+AB909</f>
        <v>0</v>
      </c>
    </row>
    <row r="910" spans="1:30" x14ac:dyDescent="0.15">
      <c r="A910" s="102" t="s">
        <v>319</v>
      </c>
      <c r="B910" s="14">
        <v>1</v>
      </c>
      <c r="C910" s="11"/>
      <c r="D910" s="11">
        <v>1</v>
      </c>
      <c r="E910" s="5">
        <f t="shared" si="1358"/>
        <v>2</v>
      </c>
      <c r="F910" s="34">
        <v>1</v>
      </c>
      <c r="G910" s="11"/>
      <c r="H910" s="11">
        <v>1</v>
      </c>
      <c r="I910" s="5">
        <f t="shared" si="1359"/>
        <v>2</v>
      </c>
      <c r="J910" s="34">
        <v>1</v>
      </c>
      <c r="K910" s="11"/>
      <c r="L910" s="11">
        <v>1</v>
      </c>
      <c r="M910" s="38">
        <f t="shared" si="1360"/>
        <v>2</v>
      </c>
      <c r="N910" s="138">
        <f t="shared" si="1361"/>
        <v>6</v>
      </c>
      <c r="O910" s="24">
        <v>45768</v>
      </c>
      <c r="P910" s="6" t="s">
        <v>3</v>
      </c>
      <c r="Q910" s="14"/>
      <c r="R910" s="11"/>
      <c r="S910" s="11"/>
      <c r="T910" s="5">
        <f t="shared" si="1362"/>
        <v>0</v>
      </c>
      <c r="U910" s="14"/>
      <c r="V910" s="11"/>
      <c r="W910" s="11"/>
      <c r="X910" s="5">
        <f t="shared" si="1363"/>
        <v>0</v>
      </c>
      <c r="Y910" s="25"/>
      <c r="Z910" s="26"/>
      <c r="AA910" s="26"/>
      <c r="AB910" s="5">
        <f t="shared" si="1364"/>
        <v>0</v>
      </c>
      <c r="AC910" s="86">
        <f t="shared" si="1365"/>
        <v>0</v>
      </c>
      <c r="AD910" s="128"/>
    </row>
    <row r="911" spans="1:30" x14ac:dyDescent="0.15">
      <c r="A911" s="102" t="s">
        <v>3</v>
      </c>
      <c r="B911" s="14">
        <v>10</v>
      </c>
      <c r="C911" s="11">
        <v>10</v>
      </c>
      <c r="D911" s="11"/>
      <c r="E911" s="5">
        <f t="shared" si="1358"/>
        <v>20</v>
      </c>
      <c r="F911" s="34">
        <v>10</v>
      </c>
      <c r="G911" s="11">
        <v>15</v>
      </c>
      <c r="H911" s="11"/>
      <c r="I911" s="5">
        <f t="shared" si="1359"/>
        <v>25</v>
      </c>
      <c r="J911" s="34">
        <v>15</v>
      </c>
      <c r="K911" s="11">
        <v>15</v>
      </c>
      <c r="L911" s="11"/>
      <c r="M911" s="38">
        <f t="shared" si="1360"/>
        <v>30</v>
      </c>
      <c r="N911" s="138">
        <f t="shared" si="1361"/>
        <v>75</v>
      </c>
      <c r="O911" s="24">
        <v>45771</v>
      </c>
      <c r="P911" s="6" t="s">
        <v>3</v>
      </c>
      <c r="Q911" s="14"/>
      <c r="R911" s="11"/>
      <c r="S911" s="11"/>
      <c r="T911" s="5">
        <f t="shared" ref="T911:T912" si="1366">SUM(Q911:S911)</f>
        <v>0</v>
      </c>
      <c r="U911" s="14"/>
      <c r="V911" s="11"/>
      <c r="W911" s="11"/>
      <c r="X911" s="5">
        <f t="shared" ref="X911:X912" si="1367">SUM(U911:W911)</f>
        <v>0</v>
      </c>
      <c r="Y911" s="25"/>
      <c r="Z911" s="26"/>
      <c r="AA911" s="26"/>
      <c r="AB911" s="5">
        <f t="shared" ref="AB911:AB912" si="1368">SUM(Y911:AA911)</f>
        <v>0</v>
      </c>
      <c r="AC911" s="86">
        <f t="shared" ref="AC911:AC912" si="1369">T911+X911+AB911</f>
        <v>0</v>
      </c>
      <c r="AD911" s="128"/>
    </row>
    <row r="912" spans="1:30" x14ac:dyDescent="0.15">
      <c r="A912" s="102" t="s">
        <v>3</v>
      </c>
      <c r="B912" s="14">
        <v>5</v>
      </c>
      <c r="C912" s="11">
        <v>10</v>
      </c>
      <c r="D912" s="11"/>
      <c r="E912" s="5">
        <f t="shared" si="1358"/>
        <v>15</v>
      </c>
      <c r="F912" s="34"/>
      <c r="G912" s="11">
        <v>5</v>
      </c>
      <c r="H912" s="11"/>
      <c r="I912" s="5">
        <f t="shared" si="1359"/>
        <v>5</v>
      </c>
      <c r="J912" s="34"/>
      <c r="K912" s="11">
        <v>5</v>
      </c>
      <c r="L912" s="11"/>
      <c r="M912" s="38">
        <f t="shared" si="1360"/>
        <v>5</v>
      </c>
      <c r="N912" s="138">
        <f t="shared" si="1361"/>
        <v>25</v>
      </c>
      <c r="O912" s="24">
        <v>45778</v>
      </c>
      <c r="P912" s="6" t="s">
        <v>3</v>
      </c>
      <c r="Q912" s="14"/>
      <c r="R912" s="11"/>
      <c r="S912" s="11"/>
      <c r="T912" s="5">
        <f t="shared" si="1366"/>
        <v>0</v>
      </c>
      <c r="U912" s="14"/>
      <c r="V912" s="11"/>
      <c r="W912" s="11"/>
      <c r="X912" s="5">
        <f t="shared" si="1367"/>
        <v>0</v>
      </c>
      <c r="Y912" s="25"/>
      <c r="Z912" s="26"/>
      <c r="AA912" s="26"/>
      <c r="AB912" s="5">
        <f t="shared" si="1368"/>
        <v>0</v>
      </c>
      <c r="AC912" s="86">
        <f t="shared" si="1369"/>
        <v>0</v>
      </c>
      <c r="AD912" s="128"/>
    </row>
    <row r="913" spans="1:31" x14ac:dyDescent="0.15">
      <c r="A913" s="102" t="s">
        <v>3</v>
      </c>
      <c r="B913" s="14"/>
      <c r="C913" s="11">
        <v>5</v>
      </c>
      <c r="D913" s="11"/>
      <c r="E913" s="5">
        <f t="shared" si="1358"/>
        <v>5</v>
      </c>
      <c r="F913" s="34">
        <v>5</v>
      </c>
      <c r="G913" s="11">
        <v>5</v>
      </c>
      <c r="H913" s="11"/>
      <c r="I913" s="5">
        <f t="shared" si="1359"/>
        <v>10</v>
      </c>
      <c r="J913" s="34"/>
      <c r="K913" s="11">
        <v>5</v>
      </c>
      <c r="L913" s="11"/>
      <c r="M913" s="38">
        <f t="shared" si="1360"/>
        <v>5</v>
      </c>
      <c r="N913" s="138">
        <f t="shared" si="1361"/>
        <v>20</v>
      </c>
      <c r="O913" s="24">
        <v>45784</v>
      </c>
      <c r="P913" s="6" t="s">
        <v>3</v>
      </c>
      <c r="Q913" s="14"/>
      <c r="R913" s="11"/>
      <c r="S913" s="11"/>
      <c r="T913" s="5">
        <f t="shared" si="1362"/>
        <v>0</v>
      </c>
      <c r="U913" s="14"/>
      <c r="V913" s="11"/>
      <c r="W913" s="11"/>
      <c r="X913" s="5">
        <f t="shared" si="1363"/>
        <v>0</v>
      </c>
      <c r="Y913" s="25"/>
      <c r="Z913" s="26"/>
      <c r="AA913" s="26"/>
      <c r="AB913" s="5">
        <f t="shared" si="1364"/>
        <v>0</v>
      </c>
      <c r="AC913" s="86">
        <f t="shared" si="1365"/>
        <v>0</v>
      </c>
    </row>
    <row r="914" spans="1:31" x14ac:dyDescent="0.15">
      <c r="A914" s="102" t="s">
        <v>3</v>
      </c>
      <c r="B914" s="25">
        <v>5</v>
      </c>
      <c r="C914" s="26">
        <v>10</v>
      </c>
      <c r="D914" s="26">
        <v>5</v>
      </c>
      <c r="E914" s="8">
        <f t="shared" si="1358"/>
        <v>20</v>
      </c>
      <c r="F914" s="25">
        <v>5</v>
      </c>
      <c r="G914" s="26">
        <v>10</v>
      </c>
      <c r="H914" s="26">
        <v>5</v>
      </c>
      <c r="I914" s="8">
        <f t="shared" si="1359"/>
        <v>20</v>
      </c>
      <c r="J914" s="25">
        <v>5</v>
      </c>
      <c r="K914" s="26">
        <v>10</v>
      </c>
      <c r="L914" s="26">
        <v>5</v>
      </c>
      <c r="M914" s="39">
        <f t="shared" si="1360"/>
        <v>20</v>
      </c>
      <c r="N914" s="138">
        <f t="shared" si="1361"/>
        <v>60</v>
      </c>
      <c r="O914" s="24">
        <v>45787</v>
      </c>
      <c r="P914" s="6" t="s">
        <v>3</v>
      </c>
      <c r="Q914" s="14"/>
      <c r="R914" s="11"/>
      <c r="S914" s="11"/>
      <c r="T914" s="5">
        <f t="shared" si="1362"/>
        <v>0</v>
      </c>
      <c r="U914" s="14"/>
      <c r="V914" s="11"/>
      <c r="W914" s="11"/>
      <c r="X914" s="5">
        <f t="shared" si="1363"/>
        <v>0</v>
      </c>
      <c r="Y914" s="25"/>
      <c r="Z914" s="26"/>
      <c r="AA914" s="26"/>
      <c r="AB914" s="8">
        <f t="shared" si="1364"/>
        <v>0</v>
      </c>
      <c r="AC914" s="86">
        <f t="shared" si="1365"/>
        <v>0</v>
      </c>
    </row>
    <row r="915" spans="1:31" x14ac:dyDescent="0.15">
      <c r="A915" s="102" t="s">
        <v>3</v>
      </c>
      <c r="B915" s="27"/>
      <c r="C915" s="26">
        <v>10</v>
      </c>
      <c r="D915" s="26"/>
      <c r="E915" s="5">
        <f t="shared" si="1358"/>
        <v>10</v>
      </c>
      <c r="F915" s="25"/>
      <c r="G915" s="26">
        <v>10</v>
      </c>
      <c r="H915" s="26"/>
      <c r="I915" s="5">
        <f t="shared" si="1359"/>
        <v>10</v>
      </c>
      <c r="J915" s="25"/>
      <c r="K915" s="26">
        <v>10</v>
      </c>
      <c r="L915" s="26"/>
      <c r="M915" s="38">
        <f t="shared" si="1360"/>
        <v>10</v>
      </c>
      <c r="N915" s="138">
        <f t="shared" si="1361"/>
        <v>30</v>
      </c>
      <c r="O915" s="24">
        <v>45790</v>
      </c>
      <c r="P915" s="6" t="s">
        <v>3</v>
      </c>
      <c r="Q915" s="27"/>
      <c r="R915" s="26"/>
      <c r="S915" s="26"/>
      <c r="T915" s="5">
        <f t="shared" si="1362"/>
        <v>0</v>
      </c>
      <c r="U915" s="27"/>
      <c r="V915" s="26"/>
      <c r="W915" s="26"/>
      <c r="X915" s="5">
        <f t="shared" si="1363"/>
        <v>0</v>
      </c>
      <c r="Y915" s="25"/>
      <c r="Z915" s="26"/>
      <c r="AA915" s="26"/>
      <c r="AB915" s="5">
        <f t="shared" si="1364"/>
        <v>0</v>
      </c>
      <c r="AC915" s="86">
        <f t="shared" si="1365"/>
        <v>0</v>
      </c>
    </row>
    <row r="916" spans="1:31" x14ac:dyDescent="0.15">
      <c r="A916" s="102" t="s">
        <v>3</v>
      </c>
      <c r="B916" s="27"/>
      <c r="C916" s="26"/>
      <c r="D916" s="26"/>
      <c r="E916" s="5">
        <f t="shared" ref="E916:E918" si="1370">SUM(B916:D916)</f>
        <v>0</v>
      </c>
      <c r="F916" s="25"/>
      <c r="G916" s="26"/>
      <c r="H916" s="26"/>
      <c r="I916" s="5">
        <f t="shared" ref="I916:I918" si="1371">SUM(F916:H916)</f>
        <v>0</v>
      </c>
      <c r="J916" s="25"/>
      <c r="K916" s="26"/>
      <c r="L916" s="26"/>
      <c r="M916" s="38">
        <f t="shared" ref="M916:M918" si="1372">SUM(J916:L916)</f>
        <v>0</v>
      </c>
      <c r="N916" s="138">
        <f t="shared" ref="N916:N918" si="1373">E916+I916+M916</f>
        <v>0</v>
      </c>
      <c r="O916" s="58"/>
      <c r="P916" s="6" t="s">
        <v>3</v>
      </c>
      <c r="Q916" s="14"/>
      <c r="R916" s="11"/>
      <c r="S916" s="11"/>
      <c r="T916" s="5">
        <f t="shared" si="1362"/>
        <v>0</v>
      </c>
      <c r="U916" s="14"/>
      <c r="V916" s="11"/>
      <c r="W916" s="11"/>
      <c r="X916" s="5">
        <f t="shared" si="1363"/>
        <v>0</v>
      </c>
      <c r="Y916" s="25"/>
      <c r="Z916" s="26"/>
      <c r="AA916" s="26"/>
      <c r="AB916" s="8">
        <f t="shared" si="1364"/>
        <v>0</v>
      </c>
      <c r="AC916" s="86">
        <f t="shared" si="1365"/>
        <v>0</v>
      </c>
    </row>
    <row r="917" spans="1:31" x14ac:dyDescent="0.15">
      <c r="A917" s="102" t="s">
        <v>3</v>
      </c>
      <c r="B917" s="27"/>
      <c r="C917" s="26"/>
      <c r="D917" s="26"/>
      <c r="E917" s="5">
        <f t="shared" si="1370"/>
        <v>0</v>
      </c>
      <c r="F917" s="25"/>
      <c r="G917" s="26"/>
      <c r="H917" s="26"/>
      <c r="I917" s="5">
        <f t="shared" si="1371"/>
        <v>0</v>
      </c>
      <c r="J917" s="25"/>
      <c r="K917" s="26"/>
      <c r="L917" s="26"/>
      <c r="M917" s="38">
        <f t="shared" si="1372"/>
        <v>0</v>
      </c>
      <c r="N917" s="138">
        <f t="shared" si="1373"/>
        <v>0</v>
      </c>
      <c r="O917" s="58"/>
      <c r="P917" s="6" t="s">
        <v>3</v>
      </c>
      <c r="Q917" s="27"/>
      <c r="R917" s="26"/>
      <c r="S917" s="26"/>
      <c r="T917" s="5">
        <f t="shared" si="1362"/>
        <v>0</v>
      </c>
      <c r="U917" s="27"/>
      <c r="V917" s="26"/>
      <c r="W917" s="26"/>
      <c r="X917" s="5">
        <f t="shared" si="1363"/>
        <v>0</v>
      </c>
      <c r="Y917" s="25"/>
      <c r="Z917" s="26"/>
      <c r="AA917" s="26"/>
      <c r="AB917" s="5">
        <f t="shared" si="1364"/>
        <v>0</v>
      </c>
      <c r="AC917" s="86">
        <f t="shared" si="1365"/>
        <v>0</v>
      </c>
    </row>
    <row r="918" spans="1:31" ht="14.25" thickBot="1" x14ac:dyDescent="0.2">
      <c r="A918" s="102" t="s">
        <v>3</v>
      </c>
      <c r="B918" s="27"/>
      <c r="C918" s="26"/>
      <c r="D918" s="26"/>
      <c r="E918" s="5">
        <f t="shared" si="1370"/>
        <v>0</v>
      </c>
      <c r="F918" s="25"/>
      <c r="G918" s="26"/>
      <c r="H918" s="26"/>
      <c r="I918" s="5">
        <f t="shared" si="1371"/>
        <v>0</v>
      </c>
      <c r="J918" s="25"/>
      <c r="K918" s="26"/>
      <c r="L918" s="26"/>
      <c r="M918" s="38">
        <f t="shared" si="1372"/>
        <v>0</v>
      </c>
      <c r="N918" s="138">
        <f t="shared" si="1373"/>
        <v>0</v>
      </c>
      <c r="P918" s="7" t="s">
        <v>3</v>
      </c>
      <c r="Q918" s="28"/>
      <c r="R918" s="29"/>
      <c r="S918" s="29"/>
      <c r="T918" s="15">
        <f t="shared" si="1362"/>
        <v>0</v>
      </c>
      <c r="U918" s="28"/>
      <c r="V918" s="29"/>
      <c r="W918" s="29"/>
      <c r="X918" s="15">
        <f t="shared" si="1363"/>
        <v>0</v>
      </c>
      <c r="Y918" s="35"/>
      <c r="Z918" s="29"/>
      <c r="AA918" s="32"/>
      <c r="AB918" s="15">
        <f t="shared" si="1364"/>
        <v>0</v>
      </c>
      <c r="AC918" s="87">
        <f t="shared" si="1365"/>
        <v>0</v>
      </c>
    </row>
    <row r="919" spans="1:31" ht="14.25" thickBot="1" x14ac:dyDescent="0.2">
      <c r="A919" s="103" t="s">
        <v>4</v>
      </c>
      <c r="B919" s="17">
        <f>SUM(B908:B918)</f>
        <v>31</v>
      </c>
      <c r="C919" s="17">
        <f>SUM(C908:C918)</f>
        <v>60</v>
      </c>
      <c r="D919" s="17">
        <f>SUM(D908:D918)</f>
        <v>24</v>
      </c>
      <c r="E919" s="18">
        <f t="shared" si="1358"/>
        <v>115</v>
      </c>
      <c r="F919" s="17">
        <f>SUM(F908:F918)</f>
        <v>33</v>
      </c>
      <c r="G919" s="17">
        <f>SUM(G908:G918)</f>
        <v>59</v>
      </c>
      <c r="H919" s="17">
        <f>SUM(H908:H918)</f>
        <v>26</v>
      </c>
      <c r="I919" s="18">
        <f t="shared" si="1359"/>
        <v>118</v>
      </c>
      <c r="J919" s="17">
        <f>SUM(J908:J918)</f>
        <v>32</v>
      </c>
      <c r="K919" s="17">
        <f>SUM(K908:K918)</f>
        <v>59</v>
      </c>
      <c r="L919" s="17">
        <f>SUM(L908:L918)</f>
        <v>24</v>
      </c>
      <c r="M919" s="20">
        <f t="shared" si="1360"/>
        <v>115</v>
      </c>
      <c r="N919" s="140">
        <f t="shared" si="1361"/>
        <v>348</v>
      </c>
      <c r="P919" s="16" t="s">
        <v>4</v>
      </c>
      <c r="Q919" s="17">
        <f>SUM(Q908:Q918)</f>
        <v>414</v>
      </c>
      <c r="R919" s="17">
        <f t="shared" ref="R919" si="1374">SUM(R908:R918)</f>
        <v>760</v>
      </c>
      <c r="S919" s="17">
        <f t="shared" ref="S919" si="1375">SUM(S908:S918)</f>
        <v>596</v>
      </c>
      <c r="T919" s="18">
        <f t="shared" ref="T919" si="1376">SUM(T908:T918)</f>
        <v>1770</v>
      </c>
      <c r="U919" s="17">
        <f t="shared" ref="U919" si="1377">SUM(U908:U918)</f>
        <v>378</v>
      </c>
      <c r="V919" s="17">
        <f t="shared" ref="V919" si="1378">SUM(V908:V918)</f>
        <v>843</v>
      </c>
      <c r="W919" s="17">
        <f t="shared" ref="W919" si="1379">SUM(W908:W918)</f>
        <v>598</v>
      </c>
      <c r="X919" s="18">
        <f t="shared" ref="X919" si="1380">SUM(X908:X918)</f>
        <v>1819</v>
      </c>
      <c r="Y919" s="17">
        <f t="shared" ref="Y919" si="1381">SUM(Y908:Y918)</f>
        <v>342</v>
      </c>
      <c r="Z919" s="17">
        <f t="shared" ref="Z919" si="1382">SUM(Z908:Z918)</f>
        <v>737</v>
      </c>
      <c r="AA919" s="17">
        <f t="shared" ref="AA919" si="1383">SUM(AA908:AA918)</f>
        <v>531</v>
      </c>
      <c r="AB919" s="18">
        <f t="shared" ref="AB919" si="1384">SUM(AB908:AB918)</f>
        <v>1610</v>
      </c>
      <c r="AC919" s="88">
        <f t="shared" ref="AC919" si="1385">SUM(AC908:AC918)</f>
        <v>5199</v>
      </c>
    </row>
    <row r="920" spans="1:31" x14ac:dyDescent="0.15">
      <c r="A920" s="33" t="s">
        <v>36</v>
      </c>
      <c r="B920" s="9"/>
      <c r="C920" s="10"/>
      <c r="D920" s="31"/>
      <c r="E920" s="5">
        <f t="shared" si="1358"/>
        <v>0</v>
      </c>
      <c r="F920" s="9"/>
      <c r="G920" s="10"/>
      <c r="H920" s="31"/>
      <c r="I920" s="5">
        <f t="shared" si="1359"/>
        <v>0</v>
      </c>
      <c r="J920" s="9"/>
      <c r="K920" s="10">
        <v>1</v>
      </c>
      <c r="L920" s="31"/>
      <c r="M920" s="38">
        <f t="shared" si="1360"/>
        <v>1</v>
      </c>
      <c r="N920" s="141">
        <f t="shared" si="1361"/>
        <v>1</v>
      </c>
      <c r="O920" s="70">
        <v>45763</v>
      </c>
      <c r="P920" s="4" t="s">
        <v>820</v>
      </c>
      <c r="Q920" s="9">
        <v>10</v>
      </c>
      <c r="R920" s="10">
        <v>20</v>
      </c>
      <c r="S920" s="10">
        <v>10</v>
      </c>
      <c r="T920" s="5">
        <f t="shared" ref="T920" si="1386">SUM(Q920:S920)</f>
        <v>40</v>
      </c>
      <c r="U920" s="9">
        <v>10</v>
      </c>
      <c r="V920" s="10">
        <v>20</v>
      </c>
      <c r="W920" s="10">
        <v>10</v>
      </c>
      <c r="X920" s="5">
        <f t="shared" ref="X920" si="1387">SUM(U920:W920)</f>
        <v>40</v>
      </c>
      <c r="Y920" s="9">
        <v>10</v>
      </c>
      <c r="Z920" s="10">
        <v>20</v>
      </c>
      <c r="AA920" s="10">
        <v>10</v>
      </c>
      <c r="AB920" s="5">
        <f t="shared" ref="AB920" si="1388">SUM(Y920:AA920)</f>
        <v>40</v>
      </c>
      <c r="AC920" s="86">
        <f t="shared" ref="AC920" si="1389">T920+X920+AB920</f>
        <v>120</v>
      </c>
      <c r="AD920" s="109">
        <v>45762</v>
      </c>
    </row>
    <row r="921" spans="1:31" x14ac:dyDescent="0.15">
      <c r="A921" s="4" t="s">
        <v>827</v>
      </c>
      <c r="B921" s="9"/>
      <c r="C921" s="10">
        <v>2</v>
      </c>
      <c r="D921" s="10">
        <v>2</v>
      </c>
      <c r="E921" s="5">
        <f t="shared" si="1358"/>
        <v>4</v>
      </c>
      <c r="F921" s="9"/>
      <c r="G921" s="10">
        <v>2</v>
      </c>
      <c r="H921" s="10">
        <v>2</v>
      </c>
      <c r="I921" s="5">
        <f t="shared" si="1359"/>
        <v>4</v>
      </c>
      <c r="J921" s="9"/>
      <c r="K921" s="10">
        <v>2</v>
      </c>
      <c r="L921" s="10">
        <v>2</v>
      </c>
      <c r="M921" s="38">
        <f t="shared" si="1360"/>
        <v>4</v>
      </c>
      <c r="N921" s="138">
        <f t="shared" si="1361"/>
        <v>12</v>
      </c>
      <c r="O921" s="24">
        <v>45765</v>
      </c>
      <c r="P921" s="4" t="s">
        <v>822</v>
      </c>
      <c r="Q921" s="9"/>
      <c r="R921" s="10">
        <v>6</v>
      </c>
      <c r="S921" s="10">
        <v>4</v>
      </c>
      <c r="T921" s="5">
        <f t="shared" si="1362"/>
        <v>10</v>
      </c>
      <c r="U921" s="9"/>
      <c r="V921" s="10">
        <v>6</v>
      </c>
      <c r="W921" s="10">
        <v>4</v>
      </c>
      <c r="X921" s="5">
        <f t="shared" si="1363"/>
        <v>10</v>
      </c>
      <c r="Y921" s="9"/>
      <c r="Z921" s="10">
        <v>6</v>
      </c>
      <c r="AA921" s="10">
        <v>4</v>
      </c>
      <c r="AB921" s="5">
        <f t="shared" si="1364"/>
        <v>10</v>
      </c>
      <c r="AC921" s="86">
        <f t="shared" si="1365"/>
        <v>30</v>
      </c>
      <c r="AD921" s="109">
        <v>45764</v>
      </c>
    </row>
    <row r="922" spans="1:31" x14ac:dyDescent="0.15">
      <c r="A922" s="33" t="s">
        <v>36</v>
      </c>
      <c r="B922" s="9">
        <v>1</v>
      </c>
      <c r="C922" s="10"/>
      <c r="D922" s="10"/>
      <c r="E922" s="5">
        <f t="shared" si="1358"/>
        <v>1</v>
      </c>
      <c r="F922" s="9">
        <f>2+1</f>
        <v>3</v>
      </c>
      <c r="G922" s="10"/>
      <c r="H922" s="10"/>
      <c r="I922" s="5">
        <f t="shared" si="1359"/>
        <v>3</v>
      </c>
      <c r="J922" s="9">
        <v>1</v>
      </c>
      <c r="K922" s="10"/>
      <c r="L922" s="10"/>
      <c r="M922" s="38">
        <f t="shared" si="1360"/>
        <v>1</v>
      </c>
      <c r="N922" s="138">
        <f t="shared" si="1361"/>
        <v>5</v>
      </c>
      <c r="O922" s="70">
        <v>45764</v>
      </c>
      <c r="P922" s="4" t="s">
        <v>826</v>
      </c>
      <c r="Q922" s="9"/>
      <c r="R922" s="10"/>
      <c r="S922" s="10">
        <v>2</v>
      </c>
      <c r="T922" s="5">
        <f t="shared" si="1362"/>
        <v>2</v>
      </c>
      <c r="U922" s="9"/>
      <c r="V922" s="10"/>
      <c r="W922" s="10">
        <v>2</v>
      </c>
      <c r="X922" s="5">
        <f t="shared" si="1363"/>
        <v>2</v>
      </c>
      <c r="Y922" s="9"/>
      <c r="Z922" s="10"/>
      <c r="AA922" s="10">
        <v>2</v>
      </c>
      <c r="AB922" s="5">
        <f t="shared" si="1364"/>
        <v>2</v>
      </c>
      <c r="AC922" s="86">
        <f t="shared" si="1365"/>
        <v>6</v>
      </c>
      <c r="AD922" s="109">
        <v>45772</v>
      </c>
    </row>
    <row r="923" spans="1:31" x14ac:dyDescent="0.15">
      <c r="A923" s="33" t="s">
        <v>36</v>
      </c>
      <c r="B923" s="9"/>
      <c r="C923" s="10"/>
      <c r="D923" s="10">
        <v>1</v>
      </c>
      <c r="E923" s="5">
        <f t="shared" si="1358"/>
        <v>1</v>
      </c>
      <c r="F923" s="9"/>
      <c r="G923" s="10"/>
      <c r="H923" s="10">
        <f>1+1</f>
        <v>2</v>
      </c>
      <c r="I923" s="5">
        <f t="shared" si="1359"/>
        <v>2</v>
      </c>
      <c r="J923" s="9">
        <v>3</v>
      </c>
      <c r="K923" s="10"/>
      <c r="L923" s="10">
        <v>1</v>
      </c>
      <c r="M923" s="38">
        <f t="shared" si="1360"/>
        <v>4</v>
      </c>
      <c r="N923" s="138">
        <f t="shared" si="1361"/>
        <v>7</v>
      </c>
      <c r="O923" s="70">
        <v>45768</v>
      </c>
      <c r="P923" s="4" t="s">
        <v>828</v>
      </c>
      <c r="Q923" s="9">
        <v>5</v>
      </c>
      <c r="R923" s="10">
        <v>15</v>
      </c>
      <c r="S923" s="10">
        <v>10</v>
      </c>
      <c r="T923" s="5">
        <f t="shared" si="1362"/>
        <v>30</v>
      </c>
      <c r="U923" s="9">
        <v>5</v>
      </c>
      <c r="V923" s="10">
        <v>15</v>
      </c>
      <c r="W923" s="10">
        <v>10</v>
      </c>
      <c r="X923" s="5">
        <f t="shared" si="1363"/>
        <v>30</v>
      </c>
      <c r="Y923" s="9">
        <v>5</v>
      </c>
      <c r="Z923" s="10">
        <v>15</v>
      </c>
      <c r="AA923" s="10">
        <v>10</v>
      </c>
      <c r="AB923" s="5">
        <f t="shared" si="1364"/>
        <v>30</v>
      </c>
      <c r="AC923" s="86">
        <f t="shared" si="1365"/>
        <v>90</v>
      </c>
      <c r="AD923" s="109">
        <v>45768</v>
      </c>
    </row>
    <row r="924" spans="1:31" x14ac:dyDescent="0.15">
      <c r="A924" s="33" t="s">
        <v>36</v>
      </c>
      <c r="B924" s="9"/>
      <c r="C924" s="10"/>
      <c r="D924" s="10">
        <v>2</v>
      </c>
      <c r="E924" s="5">
        <f t="shared" si="1358"/>
        <v>2</v>
      </c>
      <c r="F924" s="9"/>
      <c r="G924" s="10"/>
      <c r="H924" s="10">
        <v>2</v>
      </c>
      <c r="I924" s="5">
        <f t="shared" si="1359"/>
        <v>2</v>
      </c>
      <c r="J924" s="9"/>
      <c r="K924" s="10"/>
      <c r="L924" s="10"/>
      <c r="M924" s="38">
        <f t="shared" si="1360"/>
        <v>0</v>
      </c>
      <c r="N924" s="138">
        <f t="shared" si="1361"/>
        <v>4</v>
      </c>
      <c r="O924" s="70">
        <v>45769</v>
      </c>
      <c r="P924" s="4" t="s">
        <v>27</v>
      </c>
      <c r="Q924" s="9"/>
      <c r="R924" s="10">
        <v>5</v>
      </c>
      <c r="S924" s="10">
        <v>10</v>
      </c>
      <c r="T924" s="5">
        <f t="shared" ref="T924" si="1390">SUM(Q924:S924)</f>
        <v>15</v>
      </c>
      <c r="U924" s="9"/>
      <c r="V924" s="10">
        <v>5</v>
      </c>
      <c r="W924" s="10">
        <v>10</v>
      </c>
      <c r="X924" s="5">
        <f t="shared" ref="X924" si="1391">SUM(U924:W924)</f>
        <v>15</v>
      </c>
      <c r="Y924" s="9">
        <v>5</v>
      </c>
      <c r="Z924" s="10">
        <v>5</v>
      </c>
      <c r="AA924" s="10">
        <v>5</v>
      </c>
      <c r="AB924" s="5">
        <f t="shared" ref="AB924" si="1392">SUM(Y924:AA924)</f>
        <v>15</v>
      </c>
      <c r="AC924" s="86">
        <f t="shared" si="1365"/>
        <v>45</v>
      </c>
      <c r="AD924" s="109">
        <v>45765</v>
      </c>
    </row>
    <row r="925" spans="1:31" x14ac:dyDescent="0.15">
      <c r="A925" s="4" t="s">
        <v>831</v>
      </c>
      <c r="B925" s="9">
        <v>6</v>
      </c>
      <c r="C925" s="10">
        <v>10</v>
      </c>
      <c r="D925" s="10"/>
      <c r="E925" s="8">
        <f t="shared" si="1358"/>
        <v>16</v>
      </c>
      <c r="F925" s="9">
        <v>6</v>
      </c>
      <c r="G925" s="10">
        <v>10</v>
      </c>
      <c r="H925" s="10"/>
      <c r="I925" s="8">
        <f t="shared" si="1359"/>
        <v>16</v>
      </c>
      <c r="J925" s="9">
        <v>6</v>
      </c>
      <c r="K925" s="10">
        <v>10</v>
      </c>
      <c r="L925" s="10"/>
      <c r="M925" s="39">
        <f t="shared" si="1360"/>
        <v>16</v>
      </c>
      <c r="N925" s="138">
        <f t="shared" si="1361"/>
        <v>48</v>
      </c>
      <c r="O925" s="24">
        <v>45771</v>
      </c>
      <c r="P925" s="11" t="s">
        <v>829</v>
      </c>
      <c r="Q925" s="9">
        <v>5</v>
      </c>
      <c r="R925" s="10">
        <v>5</v>
      </c>
      <c r="S925" s="10">
        <v>5</v>
      </c>
      <c r="T925" s="8">
        <f t="shared" si="1362"/>
        <v>15</v>
      </c>
      <c r="U925" s="9">
        <v>5</v>
      </c>
      <c r="V925" s="10">
        <v>5</v>
      </c>
      <c r="W925" s="10">
        <v>5</v>
      </c>
      <c r="X925" s="8">
        <f t="shared" si="1363"/>
        <v>15</v>
      </c>
      <c r="Y925" s="9">
        <v>5</v>
      </c>
      <c r="Z925" s="10">
        <v>5</v>
      </c>
      <c r="AA925" s="10">
        <v>5</v>
      </c>
      <c r="AB925" s="8">
        <f t="shared" si="1364"/>
        <v>15</v>
      </c>
      <c r="AC925" s="86">
        <f t="shared" si="1365"/>
        <v>45</v>
      </c>
      <c r="AD925" s="109">
        <v>45771</v>
      </c>
    </row>
    <row r="926" spans="1:31" x14ac:dyDescent="0.15">
      <c r="A926" s="33" t="s">
        <v>36</v>
      </c>
      <c r="B926" s="9">
        <v>1</v>
      </c>
      <c r="C926" s="10"/>
      <c r="D926" s="10"/>
      <c r="E926" s="8">
        <f t="shared" si="1358"/>
        <v>1</v>
      </c>
      <c r="F926" s="9">
        <v>1</v>
      </c>
      <c r="G926" s="10"/>
      <c r="H926" s="10">
        <v>-1</v>
      </c>
      <c r="I926" s="8">
        <f t="shared" si="1359"/>
        <v>0</v>
      </c>
      <c r="J926" s="9">
        <v>1</v>
      </c>
      <c r="K926" s="10"/>
      <c r="L926" s="10"/>
      <c r="M926" s="39">
        <f t="shared" si="1360"/>
        <v>1</v>
      </c>
      <c r="N926" s="138">
        <f t="shared" si="1361"/>
        <v>2</v>
      </c>
      <c r="O926" s="70">
        <v>45770</v>
      </c>
      <c r="P926" s="4" t="s">
        <v>830</v>
      </c>
      <c r="Q926" s="9">
        <v>4</v>
      </c>
      <c r="R926" s="10">
        <v>5</v>
      </c>
      <c r="S926" s="10">
        <v>4</v>
      </c>
      <c r="T926" s="8">
        <f t="shared" si="1362"/>
        <v>13</v>
      </c>
      <c r="U926" s="9">
        <v>4</v>
      </c>
      <c r="V926" s="10">
        <v>5</v>
      </c>
      <c r="W926" s="10">
        <v>4</v>
      </c>
      <c r="X926" s="8">
        <f t="shared" si="1363"/>
        <v>13</v>
      </c>
      <c r="Y926" s="9">
        <v>4</v>
      </c>
      <c r="Z926" s="10">
        <v>5</v>
      </c>
      <c r="AA926" s="10">
        <v>4</v>
      </c>
      <c r="AB926" s="8">
        <f t="shared" si="1364"/>
        <v>13</v>
      </c>
      <c r="AC926" s="86">
        <f t="shared" si="1365"/>
        <v>39</v>
      </c>
      <c r="AD926" s="109">
        <v>45770</v>
      </c>
      <c r="AE926" s="58"/>
    </row>
    <row r="927" spans="1:31" x14ac:dyDescent="0.15">
      <c r="A927" s="33" t="s">
        <v>36</v>
      </c>
      <c r="B927" s="9">
        <v>1</v>
      </c>
      <c r="C927" s="10">
        <f>1+2</f>
        <v>3</v>
      </c>
      <c r="D927" s="10"/>
      <c r="E927" s="8">
        <f t="shared" si="1358"/>
        <v>4</v>
      </c>
      <c r="F927" s="9"/>
      <c r="G927" s="10">
        <f>2+1</f>
        <v>3</v>
      </c>
      <c r="H927" s="10"/>
      <c r="I927" s="8">
        <f t="shared" si="1359"/>
        <v>3</v>
      </c>
      <c r="J927" s="9"/>
      <c r="K927" s="10">
        <f>2+1</f>
        <v>3</v>
      </c>
      <c r="L927" s="10"/>
      <c r="M927" s="39">
        <f t="shared" si="1360"/>
        <v>3</v>
      </c>
      <c r="N927" s="138">
        <f t="shared" si="1361"/>
        <v>10</v>
      </c>
      <c r="O927" s="70">
        <v>45772</v>
      </c>
      <c r="P927" s="4" t="s">
        <v>27</v>
      </c>
      <c r="Q927" s="9">
        <v>10</v>
      </c>
      <c r="R927" s="10">
        <v>10</v>
      </c>
      <c r="S927" s="10"/>
      <c r="T927" s="8">
        <f t="shared" ref="T927" si="1393">SUM(Q927:S927)</f>
        <v>20</v>
      </c>
      <c r="U927" s="9">
        <v>10</v>
      </c>
      <c r="V927" s="10">
        <v>15</v>
      </c>
      <c r="W927" s="10"/>
      <c r="X927" s="8">
        <f t="shared" ref="X927" si="1394">SUM(U927:W927)</f>
        <v>25</v>
      </c>
      <c r="Y927" s="9">
        <v>15</v>
      </c>
      <c r="Z927" s="10">
        <v>15</v>
      </c>
      <c r="AA927" s="10"/>
      <c r="AB927" s="8">
        <f t="shared" ref="AB927" si="1395">SUM(Y927:AA927)</f>
        <v>30</v>
      </c>
      <c r="AC927" s="145">
        <f t="shared" si="1365"/>
        <v>75</v>
      </c>
      <c r="AD927" s="109">
        <v>45771</v>
      </c>
      <c r="AE927" s="58"/>
    </row>
    <row r="928" spans="1:31" x14ac:dyDescent="0.15">
      <c r="A928" s="33" t="s">
        <v>36</v>
      </c>
      <c r="B928" s="9"/>
      <c r="C928" s="10">
        <v>1</v>
      </c>
      <c r="D928" s="10">
        <v>1</v>
      </c>
      <c r="E928" s="8">
        <f t="shared" si="1358"/>
        <v>2</v>
      </c>
      <c r="F928" s="9"/>
      <c r="G928" s="10">
        <f>1+1</f>
        <v>2</v>
      </c>
      <c r="H928" s="10">
        <v>1</v>
      </c>
      <c r="I928" s="8">
        <f t="shared" si="1359"/>
        <v>3</v>
      </c>
      <c r="J928" s="9"/>
      <c r="K928" s="10">
        <f>1+1</f>
        <v>2</v>
      </c>
      <c r="L928" s="10">
        <v>1</v>
      </c>
      <c r="M928" s="39">
        <f t="shared" si="1360"/>
        <v>3</v>
      </c>
      <c r="N928" s="138">
        <f t="shared" si="1361"/>
        <v>8</v>
      </c>
      <c r="O928" s="70">
        <v>45775</v>
      </c>
      <c r="P928" s="4" t="s">
        <v>833</v>
      </c>
      <c r="Q928" s="9"/>
      <c r="R928" s="10">
        <v>10</v>
      </c>
      <c r="S928" s="10">
        <v>15</v>
      </c>
      <c r="T928" s="8">
        <f t="shared" si="1362"/>
        <v>25</v>
      </c>
      <c r="U928" s="9"/>
      <c r="V928" s="10">
        <v>10</v>
      </c>
      <c r="W928" s="10">
        <v>15</v>
      </c>
      <c r="X928" s="8">
        <f t="shared" si="1363"/>
        <v>25</v>
      </c>
      <c r="Y928" s="9"/>
      <c r="Z928" s="10">
        <v>10</v>
      </c>
      <c r="AA928" s="10">
        <v>15</v>
      </c>
      <c r="AB928" s="8">
        <f t="shared" si="1364"/>
        <v>25</v>
      </c>
      <c r="AC928" s="86">
        <f t="shared" si="1365"/>
        <v>75</v>
      </c>
      <c r="AD928" s="109">
        <v>45772</v>
      </c>
      <c r="AE928" s="58"/>
    </row>
    <row r="929" spans="1:30" x14ac:dyDescent="0.15">
      <c r="A929" s="33" t="s">
        <v>36</v>
      </c>
      <c r="B929" s="9">
        <v>3</v>
      </c>
      <c r="C929" s="10">
        <f>3+3</f>
        <v>6</v>
      </c>
      <c r="D929" s="10"/>
      <c r="E929" s="8">
        <f t="shared" si="1358"/>
        <v>9</v>
      </c>
      <c r="F929" s="9"/>
      <c r="G929" s="10">
        <v>3</v>
      </c>
      <c r="H929" s="10"/>
      <c r="I929" s="8">
        <f t="shared" si="1359"/>
        <v>3</v>
      </c>
      <c r="J929" s="9"/>
      <c r="K929" s="10">
        <v>3</v>
      </c>
      <c r="L929" s="10"/>
      <c r="M929" s="39">
        <f t="shared" si="1360"/>
        <v>3</v>
      </c>
      <c r="N929" s="138">
        <f t="shared" si="1361"/>
        <v>15</v>
      </c>
      <c r="O929" s="70">
        <v>45777</v>
      </c>
      <c r="P929" s="4" t="s">
        <v>853</v>
      </c>
      <c r="Q929" s="9">
        <v>1</v>
      </c>
      <c r="R929" s="10"/>
      <c r="S929" s="10"/>
      <c r="T929" s="8">
        <f t="shared" si="1362"/>
        <v>1</v>
      </c>
      <c r="U929" s="9">
        <v>1</v>
      </c>
      <c r="V929" s="10"/>
      <c r="W929" s="10"/>
      <c r="X929" s="8">
        <f t="shared" si="1363"/>
        <v>1</v>
      </c>
      <c r="Y929" s="9">
        <v>1</v>
      </c>
      <c r="Z929" s="10"/>
      <c r="AA929" s="10"/>
      <c r="AB929" s="8">
        <f t="shared" si="1364"/>
        <v>1</v>
      </c>
      <c r="AC929" s="86">
        <f t="shared" si="1365"/>
        <v>3</v>
      </c>
      <c r="AD929" s="109">
        <v>45778</v>
      </c>
    </row>
    <row r="930" spans="1:30" x14ac:dyDescent="0.15">
      <c r="A930" s="4" t="s">
        <v>838</v>
      </c>
      <c r="B930" s="9">
        <v>1</v>
      </c>
      <c r="C930" s="10">
        <v>1</v>
      </c>
      <c r="D930" s="10"/>
      <c r="E930" s="8">
        <f t="shared" si="1358"/>
        <v>2</v>
      </c>
      <c r="F930" s="9">
        <v>1</v>
      </c>
      <c r="G930" s="10">
        <v>1</v>
      </c>
      <c r="H930" s="10"/>
      <c r="I930" s="8">
        <f t="shared" si="1359"/>
        <v>2</v>
      </c>
      <c r="J930" s="9">
        <v>1</v>
      </c>
      <c r="K930" s="10">
        <v>1</v>
      </c>
      <c r="L930" s="10"/>
      <c r="M930" s="39">
        <f t="shared" si="1360"/>
        <v>2</v>
      </c>
      <c r="N930" s="138">
        <f t="shared" si="1361"/>
        <v>6</v>
      </c>
      <c r="O930" s="24">
        <v>45779</v>
      </c>
      <c r="P930" s="4" t="s">
        <v>836</v>
      </c>
      <c r="Q930" s="9"/>
      <c r="R930" s="10">
        <v>10</v>
      </c>
      <c r="S930" s="10">
        <v>2</v>
      </c>
      <c r="T930" s="8">
        <f t="shared" si="1362"/>
        <v>12</v>
      </c>
      <c r="U930" s="9"/>
      <c r="V930" s="10">
        <v>10</v>
      </c>
      <c r="W930" s="10">
        <v>2</v>
      </c>
      <c r="X930" s="8">
        <f t="shared" si="1363"/>
        <v>12</v>
      </c>
      <c r="Y930" s="9"/>
      <c r="Z930" s="10">
        <v>10</v>
      </c>
      <c r="AA930" s="10">
        <v>2</v>
      </c>
      <c r="AB930" s="8">
        <f t="shared" si="1364"/>
        <v>12</v>
      </c>
      <c r="AC930" s="86">
        <f t="shared" si="1365"/>
        <v>36</v>
      </c>
      <c r="AD930" s="109">
        <v>45777</v>
      </c>
    </row>
    <row r="931" spans="1:30" x14ac:dyDescent="0.15">
      <c r="A931" s="4" t="s">
        <v>840</v>
      </c>
      <c r="B931" s="9"/>
      <c r="C931" s="10">
        <v>2</v>
      </c>
      <c r="D931" s="10"/>
      <c r="E931" s="8">
        <f t="shared" si="1358"/>
        <v>2</v>
      </c>
      <c r="F931" s="9"/>
      <c r="G931" s="10">
        <v>2</v>
      </c>
      <c r="H931" s="10"/>
      <c r="I931" s="8">
        <f t="shared" si="1359"/>
        <v>2</v>
      </c>
      <c r="J931" s="9"/>
      <c r="K931" s="10">
        <v>2</v>
      </c>
      <c r="L931" s="10"/>
      <c r="M931" s="39">
        <f t="shared" si="1360"/>
        <v>2</v>
      </c>
      <c r="N931" s="138">
        <f t="shared" si="1361"/>
        <v>6</v>
      </c>
      <c r="O931" s="24">
        <v>45784</v>
      </c>
      <c r="P931" s="4" t="s">
        <v>837</v>
      </c>
      <c r="Q931" s="9">
        <v>5</v>
      </c>
      <c r="R931" s="10"/>
      <c r="S931" s="10">
        <v>4</v>
      </c>
      <c r="T931" s="8">
        <f t="shared" si="1362"/>
        <v>9</v>
      </c>
      <c r="U931" s="9">
        <v>5</v>
      </c>
      <c r="V931" s="10"/>
      <c r="W931" s="10">
        <v>4</v>
      </c>
      <c r="X931" s="8">
        <f t="shared" si="1363"/>
        <v>9</v>
      </c>
      <c r="Y931" s="9">
        <v>5</v>
      </c>
      <c r="Z931" s="10"/>
      <c r="AA931" s="10">
        <v>4</v>
      </c>
      <c r="AB931" s="8">
        <f t="shared" si="1364"/>
        <v>9</v>
      </c>
      <c r="AC931" s="86">
        <f t="shared" si="1365"/>
        <v>27</v>
      </c>
      <c r="AD931" s="109">
        <v>45779</v>
      </c>
    </row>
    <row r="932" spans="1:30" x14ac:dyDescent="0.15">
      <c r="A932" s="33" t="s">
        <v>36</v>
      </c>
      <c r="B932" s="9">
        <v>1</v>
      </c>
      <c r="C932" s="10">
        <v>1</v>
      </c>
      <c r="D932" s="10"/>
      <c r="E932" s="8">
        <f t="shared" si="1358"/>
        <v>2</v>
      </c>
      <c r="F932" s="9">
        <v>1</v>
      </c>
      <c r="G932" s="10">
        <v>1</v>
      </c>
      <c r="H932" s="10"/>
      <c r="I932" s="8">
        <f t="shared" si="1359"/>
        <v>2</v>
      </c>
      <c r="J932" s="9">
        <v>1</v>
      </c>
      <c r="K932" s="10">
        <v>1</v>
      </c>
      <c r="L932" s="10"/>
      <c r="M932" s="39">
        <f t="shared" si="1360"/>
        <v>2</v>
      </c>
      <c r="N932" s="138">
        <f t="shared" si="1361"/>
        <v>6</v>
      </c>
      <c r="O932" s="24">
        <v>45779</v>
      </c>
      <c r="P932" s="4" t="s">
        <v>27</v>
      </c>
      <c r="Q932" s="9">
        <v>5</v>
      </c>
      <c r="R932" s="10">
        <v>10</v>
      </c>
      <c r="S932" s="10"/>
      <c r="T932" s="8">
        <f t="shared" ref="T932" si="1396">SUM(Q932:S932)</f>
        <v>15</v>
      </c>
      <c r="U932" s="9"/>
      <c r="V932" s="10">
        <v>5</v>
      </c>
      <c r="W932" s="10"/>
      <c r="X932" s="8">
        <f t="shared" ref="X932" si="1397">SUM(U932:W932)</f>
        <v>5</v>
      </c>
      <c r="Y932" s="9"/>
      <c r="Z932" s="10">
        <v>5</v>
      </c>
      <c r="AA932" s="10"/>
      <c r="AB932" s="8">
        <f t="shared" ref="AB932" si="1398">SUM(Y932:AA932)</f>
        <v>5</v>
      </c>
      <c r="AC932" s="145">
        <f t="shared" si="1365"/>
        <v>25</v>
      </c>
      <c r="AD932" s="109">
        <v>45778</v>
      </c>
    </row>
    <row r="933" spans="1:30" x14ac:dyDescent="0.15">
      <c r="A933" s="4" t="s">
        <v>844</v>
      </c>
      <c r="B933" s="9">
        <v>3</v>
      </c>
      <c r="C933" s="10">
        <v>5</v>
      </c>
      <c r="D933" s="10">
        <v>4</v>
      </c>
      <c r="E933" s="8">
        <f t="shared" si="1358"/>
        <v>12</v>
      </c>
      <c r="F933" s="9">
        <v>3</v>
      </c>
      <c r="G933" s="10">
        <v>5</v>
      </c>
      <c r="H933" s="10">
        <v>4</v>
      </c>
      <c r="I933" s="8">
        <f t="shared" si="1359"/>
        <v>12</v>
      </c>
      <c r="J933" s="9">
        <v>3</v>
      </c>
      <c r="K933" s="10">
        <v>5</v>
      </c>
      <c r="L933" s="10">
        <v>4</v>
      </c>
      <c r="M933" s="39">
        <f t="shared" si="1360"/>
        <v>12</v>
      </c>
      <c r="N933" s="138">
        <f t="shared" si="1361"/>
        <v>36</v>
      </c>
      <c r="O933" s="24">
        <v>45786</v>
      </c>
      <c r="P933" s="4" t="s">
        <v>839</v>
      </c>
      <c r="Q933" s="9">
        <v>15</v>
      </c>
      <c r="R933" s="10">
        <v>25</v>
      </c>
      <c r="S933" s="10">
        <v>15</v>
      </c>
      <c r="T933" s="8">
        <f t="shared" si="1362"/>
        <v>55</v>
      </c>
      <c r="U933" s="9">
        <v>15</v>
      </c>
      <c r="V933" s="10">
        <v>25</v>
      </c>
      <c r="W933" s="10">
        <v>15</v>
      </c>
      <c r="X933" s="8">
        <f t="shared" si="1363"/>
        <v>55</v>
      </c>
      <c r="Y933" s="9">
        <v>15</v>
      </c>
      <c r="Z933" s="10">
        <v>25</v>
      </c>
      <c r="AA933" s="10">
        <v>15</v>
      </c>
      <c r="AB933" s="8">
        <f t="shared" si="1364"/>
        <v>55</v>
      </c>
      <c r="AC933" s="86">
        <f t="shared" si="1365"/>
        <v>165</v>
      </c>
      <c r="AD933" s="109">
        <v>45784</v>
      </c>
    </row>
    <row r="934" spans="1:30" x14ac:dyDescent="0.15">
      <c r="A934" s="33" t="s">
        <v>36</v>
      </c>
      <c r="B934" s="9">
        <v>1</v>
      </c>
      <c r="C934" s="10">
        <v>2</v>
      </c>
      <c r="D934" s="10">
        <v>1</v>
      </c>
      <c r="E934" s="8">
        <f t="shared" si="1358"/>
        <v>4</v>
      </c>
      <c r="F934" s="9">
        <v>1</v>
      </c>
      <c r="G934" s="10">
        <v>2</v>
      </c>
      <c r="H934" s="10">
        <v>1</v>
      </c>
      <c r="I934" s="8">
        <f t="shared" si="1359"/>
        <v>4</v>
      </c>
      <c r="J934" s="9">
        <v>1</v>
      </c>
      <c r="K934" s="10">
        <v>2</v>
      </c>
      <c r="L934" s="10">
        <v>1</v>
      </c>
      <c r="M934" s="39">
        <f t="shared" si="1360"/>
        <v>4</v>
      </c>
      <c r="N934" s="138">
        <f t="shared" si="1361"/>
        <v>12</v>
      </c>
      <c r="O934" s="24">
        <v>45784</v>
      </c>
      <c r="P934" s="4" t="s">
        <v>27</v>
      </c>
      <c r="Q934" s="9"/>
      <c r="R934" s="10">
        <v>5</v>
      </c>
      <c r="S934" s="10"/>
      <c r="T934" s="8">
        <f t="shared" ref="T934" si="1399">SUM(Q934:S934)</f>
        <v>5</v>
      </c>
      <c r="U934" s="9">
        <v>5</v>
      </c>
      <c r="V934" s="10">
        <v>5</v>
      </c>
      <c r="W934" s="10"/>
      <c r="X934" s="8">
        <f t="shared" ref="X934" si="1400">SUM(U934:W934)</f>
        <v>10</v>
      </c>
      <c r="Y934" s="9"/>
      <c r="Z934" s="10">
        <v>5</v>
      </c>
      <c r="AA934" s="10"/>
      <c r="AB934" s="8">
        <f t="shared" ref="AB934" si="1401">SUM(Y934:AA934)</f>
        <v>5</v>
      </c>
      <c r="AC934" s="145">
        <f t="shared" si="1365"/>
        <v>20</v>
      </c>
      <c r="AD934" s="109">
        <v>45784</v>
      </c>
    </row>
    <row r="935" spans="1:30" x14ac:dyDescent="0.15">
      <c r="A935" s="4" t="s">
        <v>846</v>
      </c>
      <c r="B935" s="9"/>
      <c r="C935" s="10">
        <v>1</v>
      </c>
      <c r="D935" s="10"/>
      <c r="E935" s="8">
        <f t="shared" si="1358"/>
        <v>1</v>
      </c>
      <c r="F935" s="9"/>
      <c r="G935" s="10">
        <v>1</v>
      </c>
      <c r="H935" s="10"/>
      <c r="I935" s="8">
        <f t="shared" si="1359"/>
        <v>1</v>
      </c>
      <c r="J935" s="9"/>
      <c r="K935" s="10">
        <v>1</v>
      </c>
      <c r="L935" s="10"/>
      <c r="M935" s="39">
        <f t="shared" si="1360"/>
        <v>1</v>
      </c>
      <c r="N935" s="138">
        <f t="shared" si="1361"/>
        <v>3</v>
      </c>
      <c r="O935" s="24">
        <v>45786</v>
      </c>
      <c r="P935" s="4" t="s">
        <v>847</v>
      </c>
      <c r="Q935" s="9">
        <v>6</v>
      </c>
      <c r="R935" s="10">
        <v>6</v>
      </c>
      <c r="S935" s="10">
        <v>3</v>
      </c>
      <c r="T935" s="8">
        <f t="shared" si="1362"/>
        <v>15</v>
      </c>
      <c r="U935" s="9">
        <v>6</v>
      </c>
      <c r="V935" s="10">
        <v>6</v>
      </c>
      <c r="W935" s="10">
        <v>3</v>
      </c>
      <c r="X935" s="8">
        <f t="shared" si="1363"/>
        <v>15</v>
      </c>
      <c r="Y935" s="9">
        <v>6</v>
      </c>
      <c r="Z935" s="10">
        <v>6</v>
      </c>
      <c r="AA935" s="10">
        <v>3</v>
      </c>
      <c r="AB935" s="8">
        <f t="shared" si="1364"/>
        <v>15</v>
      </c>
      <c r="AC935" s="86">
        <f t="shared" si="1365"/>
        <v>45</v>
      </c>
      <c r="AD935" s="109">
        <v>45789</v>
      </c>
    </row>
    <row r="936" spans="1:30" x14ac:dyDescent="0.15">
      <c r="A936" s="33" t="s">
        <v>36</v>
      </c>
      <c r="B936" s="9"/>
      <c r="C936" s="10"/>
      <c r="D936" s="10"/>
      <c r="E936" s="8">
        <f t="shared" si="1358"/>
        <v>0</v>
      </c>
      <c r="F936" s="9">
        <f>1+1</f>
        <v>2</v>
      </c>
      <c r="G936" s="10"/>
      <c r="H936" s="10"/>
      <c r="I936" s="8">
        <f t="shared" si="1359"/>
        <v>2</v>
      </c>
      <c r="J936" s="9"/>
      <c r="K936" s="10"/>
      <c r="L936" s="10"/>
      <c r="M936" s="39">
        <f t="shared" si="1360"/>
        <v>0</v>
      </c>
      <c r="N936" s="138">
        <f t="shared" si="1361"/>
        <v>2</v>
      </c>
      <c r="O936" s="24">
        <v>45785</v>
      </c>
      <c r="P936" s="4" t="s">
        <v>27</v>
      </c>
      <c r="Q936" s="9">
        <v>5</v>
      </c>
      <c r="R936" s="10">
        <v>10</v>
      </c>
      <c r="S936" s="10">
        <v>5</v>
      </c>
      <c r="T936" s="8">
        <f t="shared" ref="T936" si="1402">SUM(Q936:S936)</f>
        <v>20</v>
      </c>
      <c r="U936" s="9">
        <v>5</v>
      </c>
      <c r="V936" s="10">
        <v>10</v>
      </c>
      <c r="W936" s="10">
        <v>5</v>
      </c>
      <c r="X936" s="8">
        <f t="shared" ref="X936" si="1403">SUM(U936:W936)</f>
        <v>20</v>
      </c>
      <c r="Y936" s="9">
        <v>5</v>
      </c>
      <c r="Z936" s="10">
        <v>10</v>
      </c>
      <c r="AA936" s="10">
        <v>5</v>
      </c>
      <c r="AB936" s="8">
        <f t="shared" ref="AB936" si="1404">SUM(Y936:AA936)</f>
        <v>20</v>
      </c>
      <c r="AC936" s="145">
        <f t="shared" si="1365"/>
        <v>60</v>
      </c>
      <c r="AD936" s="109">
        <v>45787</v>
      </c>
    </row>
    <row r="937" spans="1:30" x14ac:dyDescent="0.15">
      <c r="A937" s="33" t="s">
        <v>848</v>
      </c>
      <c r="B937" s="9"/>
      <c r="C937" s="10"/>
      <c r="D937" s="10">
        <v>1</v>
      </c>
      <c r="E937" s="8">
        <f t="shared" si="1358"/>
        <v>1</v>
      </c>
      <c r="F937" s="9"/>
      <c r="G937" s="10"/>
      <c r="H937" s="10">
        <v>1</v>
      </c>
      <c r="I937" s="8">
        <f t="shared" si="1359"/>
        <v>1</v>
      </c>
      <c r="J937" s="9"/>
      <c r="K937" s="10"/>
      <c r="L937" s="10">
        <v>1</v>
      </c>
      <c r="M937" s="39">
        <f t="shared" si="1360"/>
        <v>1</v>
      </c>
      <c r="N937" s="138">
        <f t="shared" si="1361"/>
        <v>3</v>
      </c>
      <c r="O937" s="24">
        <v>45786</v>
      </c>
      <c r="P937" s="4" t="s">
        <v>27</v>
      </c>
      <c r="Q937" s="9"/>
      <c r="R937" s="10">
        <v>10</v>
      </c>
      <c r="S937" s="10"/>
      <c r="T937" s="8">
        <f t="shared" ref="T937" si="1405">SUM(Q937:S937)</f>
        <v>10</v>
      </c>
      <c r="U937" s="9"/>
      <c r="V937" s="10">
        <v>10</v>
      </c>
      <c r="W937" s="10"/>
      <c r="X937" s="8">
        <f t="shared" ref="X937" si="1406">SUM(U937:W937)</f>
        <v>10</v>
      </c>
      <c r="Y937" s="9"/>
      <c r="Z937" s="10">
        <v>10</v>
      </c>
      <c r="AA937" s="10"/>
      <c r="AB937" s="8">
        <f t="shared" ref="AB937" si="1407">SUM(Y937:AA937)</f>
        <v>10</v>
      </c>
      <c r="AC937" s="145">
        <f t="shared" si="1365"/>
        <v>30</v>
      </c>
      <c r="AD937" s="109">
        <v>45790</v>
      </c>
    </row>
    <row r="938" spans="1:30" x14ac:dyDescent="0.15">
      <c r="A938" s="4" t="s">
        <v>850</v>
      </c>
      <c r="B938" s="9"/>
      <c r="C938" s="10">
        <v>8</v>
      </c>
      <c r="D938" s="10">
        <v>2</v>
      </c>
      <c r="E938" s="8">
        <f t="shared" si="1358"/>
        <v>10</v>
      </c>
      <c r="F938" s="9"/>
      <c r="G938" s="10">
        <v>8</v>
      </c>
      <c r="H938" s="10">
        <v>2</v>
      </c>
      <c r="I938" s="8">
        <f t="shared" si="1359"/>
        <v>10</v>
      </c>
      <c r="J938" s="9"/>
      <c r="K938" s="10">
        <v>8</v>
      </c>
      <c r="L938" s="10">
        <v>2</v>
      </c>
      <c r="M938" s="39">
        <f t="shared" si="1360"/>
        <v>10</v>
      </c>
      <c r="N938" s="138">
        <f t="shared" si="1361"/>
        <v>30</v>
      </c>
      <c r="O938" s="24">
        <v>45791</v>
      </c>
      <c r="P938" s="11" t="s">
        <v>852</v>
      </c>
      <c r="Q938" s="9"/>
      <c r="R938" s="10">
        <v>2</v>
      </c>
      <c r="S938" s="10"/>
      <c r="T938" s="8">
        <f t="shared" ref="T938:T939" si="1408">SUM(Q938:S938)</f>
        <v>2</v>
      </c>
      <c r="U938" s="9"/>
      <c r="V938" s="10">
        <v>2</v>
      </c>
      <c r="W938" s="10"/>
      <c r="X938" s="8">
        <f t="shared" ref="X938:X939" si="1409">SUM(U938:W938)</f>
        <v>2</v>
      </c>
      <c r="Y938" s="9"/>
      <c r="Z938" s="10">
        <v>2</v>
      </c>
      <c r="AA938" s="10"/>
      <c r="AB938" s="8">
        <f t="shared" ref="AB938:AB939" si="1410">SUM(Y938:AA938)</f>
        <v>2</v>
      </c>
      <c r="AC938" s="86">
        <f t="shared" ref="AC938:AC939" si="1411">T938+X938+AB938</f>
        <v>6</v>
      </c>
      <c r="AD938" s="109">
        <v>45797</v>
      </c>
    </row>
    <row r="939" spans="1:30" x14ac:dyDescent="0.15">
      <c r="A939" s="33" t="s">
        <v>36</v>
      </c>
      <c r="B939" s="9"/>
      <c r="C939" s="10"/>
      <c r="D939" s="10"/>
      <c r="E939" s="8">
        <f t="shared" si="1358"/>
        <v>0</v>
      </c>
      <c r="F939" s="9">
        <v>1</v>
      </c>
      <c r="G939" s="10"/>
      <c r="H939" s="10"/>
      <c r="I939" s="8">
        <f t="shared" si="1359"/>
        <v>1</v>
      </c>
      <c r="J939" s="9">
        <v>1</v>
      </c>
      <c r="K939" s="10"/>
      <c r="L939" s="10"/>
      <c r="M939" s="39">
        <f t="shared" si="1360"/>
        <v>1</v>
      </c>
      <c r="N939" s="138">
        <f t="shared" si="1361"/>
        <v>2</v>
      </c>
      <c r="O939" s="24">
        <v>45789</v>
      </c>
      <c r="P939" s="4"/>
      <c r="Q939" s="9"/>
      <c r="R939" s="10"/>
      <c r="S939" s="10"/>
      <c r="T939" s="8">
        <f t="shared" si="1408"/>
        <v>0</v>
      </c>
      <c r="U939" s="9"/>
      <c r="V939" s="10"/>
      <c r="W939" s="10"/>
      <c r="X939" s="8">
        <f t="shared" si="1409"/>
        <v>0</v>
      </c>
      <c r="Y939" s="9"/>
      <c r="Z939" s="10"/>
      <c r="AA939" s="10"/>
      <c r="AB939" s="8">
        <f t="shared" si="1410"/>
        <v>0</v>
      </c>
      <c r="AC939" s="86">
        <f t="shared" si="1411"/>
        <v>0</v>
      </c>
    </row>
    <row r="940" spans="1:30" x14ac:dyDescent="0.15">
      <c r="A940" s="4" t="s">
        <v>851</v>
      </c>
      <c r="B940" s="9"/>
      <c r="C940" s="10">
        <v>4</v>
      </c>
      <c r="D940" s="10"/>
      <c r="E940" s="8">
        <f t="shared" si="1358"/>
        <v>4</v>
      </c>
      <c r="F940" s="9"/>
      <c r="G940" s="10">
        <v>4</v>
      </c>
      <c r="H940" s="10"/>
      <c r="I940" s="8">
        <f t="shared" si="1359"/>
        <v>4</v>
      </c>
      <c r="J940" s="9"/>
      <c r="K940" s="10">
        <v>4</v>
      </c>
      <c r="L940" s="10"/>
      <c r="M940" s="39">
        <f t="shared" si="1360"/>
        <v>4</v>
      </c>
      <c r="N940" s="138">
        <f t="shared" si="1361"/>
        <v>12</v>
      </c>
      <c r="O940" s="24">
        <v>45792</v>
      </c>
      <c r="P940" s="11" t="s">
        <v>754</v>
      </c>
      <c r="Q940" s="9"/>
      <c r="R940" s="10"/>
      <c r="S940" s="10"/>
      <c r="T940" s="8">
        <f t="shared" ref="T940:T943" si="1412">SUM(Q940:S940)</f>
        <v>0</v>
      </c>
      <c r="U940" s="9"/>
      <c r="V940" s="10"/>
      <c r="W940" s="10"/>
      <c r="X940" s="8">
        <f t="shared" ref="X940:X943" si="1413">SUM(U940:W940)</f>
        <v>0</v>
      </c>
      <c r="Y940" s="9"/>
      <c r="Z940" s="10"/>
      <c r="AA940" s="10"/>
      <c r="AB940" s="8">
        <f t="shared" ref="AB940:AB943" si="1414">SUM(Y940:AA940)</f>
        <v>0</v>
      </c>
      <c r="AC940" s="86">
        <f t="shared" ref="AC940:AC943" si="1415">T940+X940+AB940</f>
        <v>0</v>
      </c>
      <c r="AD940" s="109" t="s">
        <v>755</v>
      </c>
    </row>
    <row r="941" spans="1:30" x14ac:dyDescent="0.15">
      <c r="A941" s="33" t="s">
        <v>36</v>
      </c>
      <c r="B941" s="9">
        <v>1</v>
      </c>
      <c r="C941" s="10">
        <v>-1</v>
      </c>
      <c r="D941" s="10"/>
      <c r="E941" s="8">
        <f t="shared" si="1358"/>
        <v>0</v>
      </c>
      <c r="F941" s="9"/>
      <c r="G941" s="10"/>
      <c r="H941" s="10"/>
      <c r="I941" s="8">
        <f t="shared" si="1359"/>
        <v>0</v>
      </c>
      <c r="J941" s="9">
        <v>1</v>
      </c>
      <c r="K941" s="10">
        <v>-1</v>
      </c>
      <c r="L941" s="10"/>
      <c r="M941" s="39">
        <f t="shared" si="1360"/>
        <v>0</v>
      </c>
      <c r="N941" s="138">
        <f t="shared" si="1361"/>
        <v>0</v>
      </c>
      <c r="O941" s="24">
        <v>45789</v>
      </c>
      <c r="P941" s="11" t="s">
        <v>743</v>
      </c>
      <c r="Q941" s="9"/>
      <c r="R941" s="10"/>
      <c r="S941" s="10"/>
      <c r="T941" s="8">
        <f t="shared" si="1412"/>
        <v>0</v>
      </c>
      <c r="U941" s="9"/>
      <c r="V941" s="10"/>
      <c r="W941" s="10"/>
      <c r="X941" s="8">
        <f t="shared" si="1413"/>
        <v>0</v>
      </c>
      <c r="Y941" s="9"/>
      <c r="Z941" s="10"/>
      <c r="AA941" s="10"/>
      <c r="AB941" s="8">
        <f t="shared" si="1414"/>
        <v>0</v>
      </c>
      <c r="AC941" s="86">
        <f t="shared" si="1415"/>
        <v>0</v>
      </c>
      <c r="AD941" s="109" t="s">
        <v>744</v>
      </c>
    </row>
    <row r="942" spans="1:30" x14ac:dyDescent="0.15">
      <c r="A942" s="4" t="s">
        <v>855</v>
      </c>
      <c r="B942" s="9">
        <v>2</v>
      </c>
      <c r="C942" s="10">
        <v>7</v>
      </c>
      <c r="D942" s="10">
        <v>2</v>
      </c>
      <c r="E942" s="8">
        <f t="shared" si="1358"/>
        <v>11</v>
      </c>
      <c r="F942" s="9">
        <v>2</v>
      </c>
      <c r="G942" s="10">
        <v>7</v>
      </c>
      <c r="H942" s="10">
        <v>2</v>
      </c>
      <c r="I942" s="8">
        <f t="shared" si="1359"/>
        <v>11</v>
      </c>
      <c r="J942" s="9">
        <v>2</v>
      </c>
      <c r="K942" s="10">
        <v>7</v>
      </c>
      <c r="L942" s="10">
        <v>2</v>
      </c>
      <c r="M942" s="39">
        <f t="shared" si="1360"/>
        <v>11</v>
      </c>
      <c r="N942" s="138">
        <f t="shared" si="1361"/>
        <v>33</v>
      </c>
      <c r="O942" s="24">
        <v>45793</v>
      </c>
      <c r="P942" s="4" t="s">
        <v>674</v>
      </c>
      <c r="Q942" s="9"/>
      <c r="R942" s="10"/>
      <c r="S942" s="10"/>
      <c r="T942" s="8">
        <f t="shared" si="1412"/>
        <v>0</v>
      </c>
      <c r="U942" s="9"/>
      <c r="V942" s="10"/>
      <c r="W942" s="10"/>
      <c r="X942" s="8">
        <f t="shared" si="1413"/>
        <v>0</v>
      </c>
      <c r="Y942" s="9"/>
      <c r="Z942" s="10"/>
      <c r="AA942" s="10"/>
      <c r="AB942" s="8">
        <f t="shared" si="1414"/>
        <v>0</v>
      </c>
      <c r="AC942" s="86">
        <f t="shared" si="1415"/>
        <v>0</v>
      </c>
      <c r="AD942" s="116" t="s">
        <v>675</v>
      </c>
    </row>
    <row r="943" spans="1:30" ht="14.25" thickBot="1" x14ac:dyDescent="0.2">
      <c r="A943" s="33" t="s">
        <v>36</v>
      </c>
      <c r="B943" s="9"/>
      <c r="C943" s="10">
        <v>1</v>
      </c>
      <c r="D943" s="22"/>
      <c r="E943" s="8">
        <f t="shared" si="1358"/>
        <v>1</v>
      </c>
      <c r="F943" s="9"/>
      <c r="G943" s="10">
        <v>1</v>
      </c>
      <c r="H943" s="22"/>
      <c r="I943" s="8">
        <f t="shared" si="1359"/>
        <v>1</v>
      </c>
      <c r="J943" s="9"/>
      <c r="K943" s="10">
        <v>1</v>
      </c>
      <c r="L943" s="22"/>
      <c r="M943" s="39">
        <f t="shared" si="1360"/>
        <v>1</v>
      </c>
      <c r="N943" s="139">
        <f t="shared" si="1361"/>
        <v>3</v>
      </c>
      <c r="O943" s="24">
        <v>45791</v>
      </c>
      <c r="P943" s="4" t="s">
        <v>695</v>
      </c>
      <c r="Q943" s="9"/>
      <c r="R943" s="10"/>
      <c r="S943" s="10"/>
      <c r="T943" s="8">
        <f t="shared" si="1412"/>
        <v>0</v>
      </c>
      <c r="U943" s="9"/>
      <c r="V943" s="10"/>
      <c r="W943" s="10"/>
      <c r="X943" s="8">
        <f t="shared" si="1413"/>
        <v>0</v>
      </c>
      <c r="Y943" s="9"/>
      <c r="Z943" s="10"/>
      <c r="AA943" s="10"/>
      <c r="AB943" s="8">
        <f t="shared" si="1414"/>
        <v>0</v>
      </c>
      <c r="AC943" s="86">
        <f t="shared" si="1415"/>
        <v>0</v>
      </c>
      <c r="AD943" s="116" t="s">
        <v>696</v>
      </c>
    </row>
    <row r="944" spans="1:30" ht="14.25" thickBot="1" x14ac:dyDescent="0.2">
      <c r="A944" s="104" t="s">
        <v>5</v>
      </c>
      <c r="B944" s="12">
        <f>SUM(B920:B943)</f>
        <v>21</v>
      </c>
      <c r="C944" s="12">
        <f>SUM(C920:C943)</f>
        <v>53</v>
      </c>
      <c r="D944" s="12">
        <f>SUM(D920:D943)</f>
        <v>16</v>
      </c>
      <c r="E944" s="13">
        <f t="shared" si="1358"/>
        <v>90</v>
      </c>
      <c r="F944" s="12">
        <f>SUM(F920:F943)</f>
        <v>21</v>
      </c>
      <c r="G944" s="12">
        <f>SUM(G920:G943)</f>
        <v>52</v>
      </c>
      <c r="H944" s="12">
        <f>SUM(H920:H943)</f>
        <v>16</v>
      </c>
      <c r="I944" s="13">
        <f t="shared" si="1359"/>
        <v>89</v>
      </c>
      <c r="J944" s="12">
        <f>SUM(J920:J943)</f>
        <v>21</v>
      </c>
      <c r="K944" s="12">
        <f>SUM(K920:K943)</f>
        <v>52</v>
      </c>
      <c r="L944" s="12">
        <f>SUM(L920:L943)</f>
        <v>14</v>
      </c>
      <c r="M944" s="12">
        <f t="shared" si="1360"/>
        <v>87</v>
      </c>
      <c r="N944" s="142">
        <f t="shared" si="1361"/>
        <v>266</v>
      </c>
      <c r="P944" s="3" t="s">
        <v>5</v>
      </c>
      <c r="Q944" s="12">
        <f>SUM(Q920:Q943)</f>
        <v>71</v>
      </c>
      <c r="R944" s="12">
        <f t="shared" ref="R944" si="1416">SUM(R920:R943)</f>
        <v>154</v>
      </c>
      <c r="S944" s="12">
        <f t="shared" ref="S944" si="1417">SUM(S920:S943)</f>
        <v>89</v>
      </c>
      <c r="T944" s="13">
        <f t="shared" ref="T944" si="1418">SUM(T920:T943)</f>
        <v>314</v>
      </c>
      <c r="U944" s="12">
        <f t="shared" ref="U944" si="1419">SUM(U920:U943)</f>
        <v>71</v>
      </c>
      <c r="V944" s="12">
        <f t="shared" ref="V944" si="1420">SUM(V920:V943)</f>
        <v>154</v>
      </c>
      <c r="W944" s="12">
        <f t="shared" ref="W944" si="1421">SUM(W920:W943)</f>
        <v>89</v>
      </c>
      <c r="X944" s="13">
        <f t="shared" ref="X944" si="1422">SUM(X920:X943)</f>
        <v>314</v>
      </c>
      <c r="Y944" s="12">
        <f t="shared" ref="Y944" si="1423">SUM(Y920:Y943)</f>
        <v>76</v>
      </c>
      <c r="Z944" s="12">
        <f t="shared" ref="Z944" si="1424">SUM(Z920:Z943)</f>
        <v>154</v>
      </c>
      <c r="AA944" s="12">
        <f t="shared" ref="AA944" si="1425">SUM(AA920:AA943)</f>
        <v>84</v>
      </c>
      <c r="AB944" s="13">
        <f t="shared" ref="AB944" si="1426">SUM(AB920:AB943)</f>
        <v>314</v>
      </c>
      <c r="AC944" s="155">
        <f t="shared" ref="AC944" si="1427">SUM(AC920:AC943)</f>
        <v>942</v>
      </c>
    </row>
    <row r="945" spans="1:30" ht="14.25" thickBot="1" x14ac:dyDescent="0.2">
      <c r="A945" s="105" t="s">
        <v>6</v>
      </c>
      <c r="B945" s="20">
        <f>B919-B944</f>
        <v>10</v>
      </c>
      <c r="C945" s="20">
        <f t="shared" ref="C945:E945" si="1428">C919-C944</f>
        <v>7</v>
      </c>
      <c r="D945" s="20">
        <f t="shared" si="1428"/>
        <v>8</v>
      </c>
      <c r="E945" s="18">
        <f t="shared" si="1428"/>
        <v>25</v>
      </c>
      <c r="F945" s="20">
        <f>F919-F944</f>
        <v>12</v>
      </c>
      <c r="G945" s="20">
        <f t="shared" ref="G945:I945" si="1429">G919-G944</f>
        <v>7</v>
      </c>
      <c r="H945" s="20">
        <f t="shared" si="1429"/>
        <v>10</v>
      </c>
      <c r="I945" s="18">
        <f t="shared" si="1429"/>
        <v>29</v>
      </c>
      <c r="J945" s="20">
        <f>J919-J944</f>
        <v>11</v>
      </c>
      <c r="K945" s="20">
        <f t="shared" ref="K945:M945" si="1430">K919-K944</f>
        <v>7</v>
      </c>
      <c r="L945" s="20">
        <f t="shared" si="1430"/>
        <v>10</v>
      </c>
      <c r="M945" s="20">
        <f t="shared" si="1430"/>
        <v>28</v>
      </c>
      <c r="N945" s="140">
        <f t="shared" si="1361"/>
        <v>82</v>
      </c>
      <c r="P945" s="19" t="s">
        <v>6</v>
      </c>
      <c r="Q945" s="20">
        <f>Q919-Q944</f>
        <v>343</v>
      </c>
      <c r="R945" s="20">
        <f t="shared" ref="R945" si="1431">R919-R944</f>
        <v>606</v>
      </c>
      <c r="S945" s="20">
        <f t="shared" ref="S945" si="1432">S919-S944</f>
        <v>507</v>
      </c>
      <c r="T945" s="18">
        <f t="shared" ref="T945" si="1433">T919-T944</f>
        <v>1456</v>
      </c>
      <c r="U945" s="20">
        <f t="shared" ref="U945" si="1434">U919-U944</f>
        <v>307</v>
      </c>
      <c r="V945" s="20">
        <f t="shared" ref="V945" si="1435">V919-V944</f>
        <v>689</v>
      </c>
      <c r="W945" s="20">
        <f t="shared" ref="W945" si="1436">W919-W944</f>
        <v>509</v>
      </c>
      <c r="X945" s="18">
        <f t="shared" ref="X945" si="1437">X919-X944</f>
        <v>1505</v>
      </c>
      <c r="Y945" s="20">
        <f t="shared" ref="Y945" si="1438">Y919-Y944</f>
        <v>266</v>
      </c>
      <c r="Z945" s="20">
        <f t="shared" ref="Z945" si="1439">Z919-Z944</f>
        <v>583</v>
      </c>
      <c r="AA945" s="20">
        <f t="shared" ref="AA945" si="1440">AA919-AA944</f>
        <v>447</v>
      </c>
      <c r="AB945" s="18">
        <f t="shared" ref="AB945" si="1441">AB919-AB944</f>
        <v>1296</v>
      </c>
      <c r="AC945" s="88">
        <f t="shared" ref="AC945" si="1442">AC919-AC944</f>
        <v>4257</v>
      </c>
    </row>
    <row r="948" spans="1:30" ht="19.5" thickBot="1" x14ac:dyDescent="0.25">
      <c r="A948" s="108" t="s">
        <v>264</v>
      </c>
      <c r="B948" s="47"/>
      <c r="C948" s="47"/>
      <c r="D948" s="47"/>
      <c r="E948" s="47"/>
      <c r="F948" s="48"/>
      <c r="G948" s="48"/>
      <c r="H948" s="48"/>
      <c r="I948" s="48"/>
      <c r="J948" s="48"/>
      <c r="K948" s="48"/>
      <c r="L948" s="1"/>
      <c r="M948" s="1"/>
      <c r="N948" s="137"/>
      <c r="P948" s="43" t="s">
        <v>263</v>
      </c>
      <c r="Q948" s="44"/>
      <c r="R948" s="44"/>
      <c r="S948" s="44"/>
      <c r="T948" s="44"/>
      <c r="U948" s="45"/>
      <c r="V948" s="45"/>
      <c r="W948" s="45"/>
      <c r="X948" s="45"/>
      <c r="Y948" s="46"/>
      <c r="Z948" s="53"/>
      <c r="AA948" s="1"/>
      <c r="AB948" s="1"/>
    </row>
    <row r="949" spans="1:30" ht="14.25" thickBot="1" x14ac:dyDescent="0.2">
      <c r="A949" s="100" t="s">
        <v>0</v>
      </c>
      <c r="B949" s="337" t="s">
        <v>11</v>
      </c>
      <c r="C949" s="337"/>
      <c r="D949" s="337"/>
      <c r="E949" s="338"/>
      <c r="F949" s="339" t="s">
        <v>9</v>
      </c>
      <c r="G949" s="340"/>
      <c r="H949" s="340"/>
      <c r="I949" s="341"/>
      <c r="J949" s="342" t="s">
        <v>12</v>
      </c>
      <c r="K949" s="343"/>
      <c r="L949" s="343"/>
      <c r="M949" s="343"/>
      <c r="N949" s="347" t="s">
        <v>13</v>
      </c>
      <c r="P949" s="2" t="s">
        <v>0</v>
      </c>
      <c r="Q949" s="336" t="s">
        <v>11</v>
      </c>
      <c r="R949" s="337"/>
      <c r="S949" s="337"/>
      <c r="T949" s="338"/>
      <c r="U949" s="339" t="s">
        <v>9</v>
      </c>
      <c r="V949" s="340"/>
      <c r="W949" s="340"/>
      <c r="X949" s="341"/>
      <c r="Y949" s="342" t="s">
        <v>12</v>
      </c>
      <c r="Z949" s="343"/>
      <c r="AA949" s="343"/>
      <c r="AB949" s="344"/>
      <c r="AC949" s="345" t="s">
        <v>13</v>
      </c>
    </row>
    <row r="950" spans="1:30" ht="14.25" thickBot="1" x14ac:dyDescent="0.2">
      <c r="A950" s="100" t="s">
        <v>1</v>
      </c>
      <c r="B950" s="3" t="s">
        <v>7</v>
      </c>
      <c r="C950" s="2" t="s">
        <v>10</v>
      </c>
      <c r="D950" s="2" t="s">
        <v>8</v>
      </c>
      <c r="E950" s="2" t="s">
        <v>2</v>
      </c>
      <c r="F950" s="3" t="s">
        <v>7</v>
      </c>
      <c r="G950" s="2" t="s">
        <v>10</v>
      </c>
      <c r="H950" s="2" t="s">
        <v>8</v>
      </c>
      <c r="I950" s="2" t="s">
        <v>2</v>
      </c>
      <c r="J950" s="3" t="s">
        <v>7</v>
      </c>
      <c r="K950" s="2" t="s">
        <v>10</v>
      </c>
      <c r="L950" s="2" t="s">
        <v>8</v>
      </c>
      <c r="M950" s="3" t="s">
        <v>2</v>
      </c>
      <c r="N950" s="348"/>
      <c r="P950" s="2" t="s">
        <v>1</v>
      </c>
      <c r="Q950" s="3" t="s">
        <v>7</v>
      </c>
      <c r="R950" s="2" t="s">
        <v>10</v>
      </c>
      <c r="S950" s="2" t="s">
        <v>8</v>
      </c>
      <c r="T950" s="2" t="s">
        <v>2</v>
      </c>
      <c r="U950" s="3" t="s">
        <v>7</v>
      </c>
      <c r="V950" s="2" t="s">
        <v>10</v>
      </c>
      <c r="W950" s="2" t="s">
        <v>8</v>
      </c>
      <c r="X950" s="2" t="s">
        <v>2</v>
      </c>
      <c r="Y950" s="3" t="s">
        <v>7</v>
      </c>
      <c r="Z950" s="2" t="s">
        <v>10</v>
      </c>
      <c r="AA950" s="2" t="s">
        <v>8</v>
      </c>
      <c r="AB950" s="2" t="s">
        <v>2</v>
      </c>
      <c r="AC950" s="346"/>
    </row>
    <row r="951" spans="1:30" x14ac:dyDescent="0.15">
      <c r="A951" s="106" t="s">
        <v>6</v>
      </c>
      <c r="B951" s="41">
        <f>B945</f>
        <v>10</v>
      </c>
      <c r="C951" s="41">
        <f t="shared" ref="C951:E951" si="1443">C945</f>
        <v>7</v>
      </c>
      <c r="D951" s="41">
        <f t="shared" si="1443"/>
        <v>8</v>
      </c>
      <c r="E951" s="42">
        <f t="shared" si="1443"/>
        <v>25</v>
      </c>
      <c r="F951" s="41">
        <f>F945</f>
        <v>12</v>
      </c>
      <c r="G951" s="41">
        <f t="shared" ref="G951:I951" si="1444">G945</f>
        <v>7</v>
      </c>
      <c r="H951" s="41">
        <f t="shared" si="1444"/>
        <v>10</v>
      </c>
      <c r="I951" s="42">
        <f t="shared" si="1444"/>
        <v>29</v>
      </c>
      <c r="J951" s="41">
        <f>J945</f>
        <v>11</v>
      </c>
      <c r="K951" s="41">
        <f t="shared" ref="K951:M951" si="1445">K945</f>
        <v>7</v>
      </c>
      <c r="L951" s="41">
        <f t="shared" si="1445"/>
        <v>10</v>
      </c>
      <c r="M951" s="42">
        <f t="shared" si="1445"/>
        <v>28</v>
      </c>
      <c r="N951" s="143">
        <f>E951+I951+M951</f>
        <v>82</v>
      </c>
      <c r="P951" s="36" t="s">
        <v>6</v>
      </c>
      <c r="Q951" s="41">
        <f>Q945</f>
        <v>343</v>
      </c>
      <c r="R951" s="41">
        <f t="shared" ref="R951:AC951" si="1446">R945</f>
        <v>606</v>
      </c>
      <c r="S951" s="41">
        <f t="shared" si="1446"/>
        <v>507</v>
      </c>
      <c r="T951" s="42">
        <f t="shared" si="1446"/>
        <v>1456</v>
      </c>
      <c r="U951" s="41">
        <f t="shared" si="1446"/>
        <v>307</v>
      </c>
      <c r="V951" s="41">
        <f t="shared" si="1446"/>
        <v>689</v>
      </c>
      <c r="W951" s="41">
        <f t="shared" si="1446"/>
        <v>509</v>
      </c>
      <c r="X951" s="42">
        <f t="shared" si="1446"/>
        <v>1505</v>
      </c>
      <c r="Y951" s="41">
        <f t="shared" si="1446"/>
        <v>266</v>
      </c>
      <c r="Z951" s="41">
        <f t="shared" si="1446"/>
        <v>583</v>
      </c>
      <c r="AA951" s="41">
        <f t="shared" si="1446"/>
        <v>447</v>
      </c>
      <c r="AB951" s="42">
        <f t="shared" si="1446"/>
        <v>1296</v>
      </c>
      <c r="AC951" s="90">
        <f t="shared" si="1446"/>
        <v>4257</v>
      </c>
    </row>
    <row r="952" spans="1:30" x14ac:dyDescent="0.15">
      <c r="A952" s="102" t="s">
        <v>3</v>
      </c>
      <c r="B952" s="25">
        <v>10</v>
      </c>
      <c r="C952" s="26">
        <v>10</v>
      </c>
      <c r="D952" s="26">
        <v>10</v>
      </c>
      <c r="E952" s="5">
        <f t="shared" ref="E952:E987" si="1447">SUM(B952:D952)</f>
        <v>30</v>
      </c>
      <c r="F952" s="25">
        <v>10</v>
      </c>
      <c r="G952" s="26">
        <v>10</v>
      </c>
      <c r="H952" s="26">
        <v>10</v>
      </c>
      <c r="I952" s="5">
        <f t="shared" ref="I952:I987" si="1448">SUM(F952:H952)</f>
        <v>30</v>
      </c>
      <c r="J952" s="25">
        <v>10</v>
      </c>
      <c r="K952" s="26">
        <v>10</v>
      </c>
      <c r="L952" s="26">
        <v>10</v>
      </c>
      <c r="M952" s="38">
        <f t="shared" ref="M952:M987" si="1449">SUM(J952:L952)</f>
        <v>30</v>
      </c>
      <c r="N952" s="138">
        <f t="shared" ref="N952:N988" si="1450">E952+I952+M952</f>
        <v>90</v>
      </c>
      <c r="O952" s="24">
        <v>45796</v>
      </c>
      <c r="P952" s="6" t="s">
        <v>3</v>
      </c>
      <c r="Q952" s="14"/>
      <c r="R952" s="11"/>
      <c r="S952" s="11"/>
      <c r="T952" s="5">
        <f t="shared" ref="T952:T955" si="1451">SUM(Q952:S952)</f>
        <v>0</v>
      </c>
      <c r="U952" s="14"/>
      <c r="V952" s="11"/>
      <c r="W952" s="11"/>
      <c r="X952" s="5">
        <f t="shared" ref="X952:X955" si="1452">SUM(U952:W952)</f>
        <v>0</v>
      </c>
      <c r="Y952" s="25"/>
      <c r="Z952" s="26"/>
      <c r="AA952" s="26"/>
      <c r="AB952" s="5">
        <f t="shared" ref="AB952:AB955" si="1453">SUM(Y952:AA952)</f>
        <v>0</v>
      </c>
      <c r="AC952" s="86">
        <f t="shared" ref="AC952:AC960" si="1454">T952+X952+AB952</f>
        <v>0</v>
      </c>
    </row>
    <row r="953" spans="1:30" x14ac:dyDescent="0.15">
      <c r="A953" s="102" t="s">
        <v>319</v>
      </c>
      <c r="B953" s="14"/>
      <c r="C953" s="11"/>
      <c r="D953" s="11">
        <v>2</v>
      </c>
      <c r="E953" s="5">
        <f t="shared" si="1447"/>
        <v>2</v>
      </c>
      <c r="F953" s="34"/>
      <c r="G953" s="11"/>
      <c r="H953" s="11">
        <v>2</v>
      </c>
      <c r="I953" s="5">
        <f t="shared" si="1448"/>
        <v>2</v>
      </c>
      <c r="J953" s="34"/>
      <c r="K953" s="11"/>
      <c r="L953" s="11">
        <v>2</v>
      </c>
      <c r="M953" s="38">
        <f t="shared" si="1449"/>
        <v>2</v>
      </c>
      <c r="N953" s="138">
        <f t="shared" si="1450"/>
        <v>6</v>
      </c>
      <c r="O953" s="24">
        <v>45796</v>
      </c>
      <c r="P953" s="6" t="s">
        <v>377</v>
      </c>
      <c r="Q953" s="27">
        <v>320</v>
      </c>
      <c r="R953" s="26">
        <v>320</v>
      </c>
      <c r="S953" s="26">
        <v>320</v>
      </c>
      <c r="T953" s="5">
        <f t="shared" si="1451"/>
        <v>960</v>
      </c>
      <c r="U953" s="27">
        <v>320</v>
      </c>
      <c r="V953" s="26">
        <v>320</v>
      </c>
      <c r="W953" s="26">
        <v>320</v>
      </c>
      <c r="X953" s="5">
        <f t="shared" si="1452"/>
        <v>960</v>
      </c>
      <c r="Y953" s="25">
        <v>320</v>
      </c>
      <c r="Z953" s="26">
        <v>320</v>
      </c>
      <c r="AA953" s="26">
        <v>320</v>
      </c>
      <c r="AB953" s="5">
        <f t="shared" si="1453"/>
        <v>960</v>
      </c>
      <c r="AC953" s="86">
        <f t="shared" si="1454"/>
        <v>2880</v>
      </c>
      <c r="AD953" s="109" t="s">
        <v>845</v>
      </c>
    </row>
    <row r="954" spans="1:30" x14ac:dyDescent="0.15">
      <c r="A954" s="102" t="s">
        <v>249</v>
      </c>
      <c r="B954" s="14">
        <v>2</v>
      </c>
      <c r="C954" s="11"/>
      <c r="D954" s="11"/>
      <c r="E954" s="5">
        <f t="shared" si="1447"/>
        <v>2</v>
      </c>
      <c r="F954" s="34">
        <v>2</v>
      </c>
      <c r="G954" s="11"/>
      <c r="H954" s="11">
        <v>1</v>
      </c>
      <c r="I954" s="5">
        <f t="shared" si="1448"/>
        <v>3</v>
      </c>
      <c r="J954" s="34">
        <v>3</v>
      </c>
      <c r="K954" s="11">
        <v>1</v>
      </c>
      <c r="L954" s="11">
        <v>2</v>
      </c>
      <c r="M954" s="38">
        <f t="shared" si="1449"/>
        <v>6</v>
      </c>
      <c r="N954" s="138">
        <f t="shared" si="1450"/>
        <v>11</v>
      </c>
      <c r="O954" s="24">
        <v>45797</v>
      </c>
      <c r="P954" s="6" t="s">
        <v>3</v>
      </c>
      <c r="Q954" s="14"/>
      <c r="R954" s="11"/>
      <c r="S954" s="11"/>
      <c r="T954" s="5">
        <f t="shared" si="1451"/>
        <v>0</v>
      </c>
      <c r="U954" s="14"/>
      <c r="V954" s="11"/>
      <c r="W954" s="11"/>
      <c r="X954" s="5">
        <f t="shared" si="1452"/>
        <v>0</v>
      </c>
      <c r="Y954" s="25"/>
      <c r="Z954" s="26"/>
      <c r="AA954" s="26"/>
      <c r="AB954" s="5">
        <f t="shared" si="1453"/>
        <v>0</v>
      </c>
      <c r="AC954" s="86">
        <f t="shared" si="1454"/>
        <v>0</v>
      </c>
      <c r="AD954" s="116" t="s">
        <v>793</v>
      </c>
    </row>
    <row r="955" spans="1:30" x14ac:dyDescent="0.15">
      <c r="A955" s="102" t="s">
        <v>3</v>
      </c>
      <c r="B955" s="14">
        <v>10</v>
      </c>
      <c r="C955" s="11">
        <v>5</v>
      </c>
      <c r="D955" s="11">
        <v>5</v>
      </c>
      <c r="E955" s="5">
        <f t="shared" si="1447"/>
        <v>20</v>
      </c>
      <c r="F955" s="34">
        <v>10</v>
      </c>
      <c r="G955" s="11">
        <v>5</v>
      </c>
      <c r="H955" s="11"/>
      <c r="I955" s="5">
        <f t="shared" si="1448"/>
        <v>15</v>
      </c>
      <c r="J955" s="34">
        <v>10</v>
      </c>
      <c r="K955" s="11">
        <v>5</v>
      </c>
      <c r="L955" s="11"/>
      <c r="M955" s="38">
        <f t="shared" si="1449"/>
        <v>15</v>
      </c>
      <c r="N955" s="138">
        <f t="shared" si="1450"/>
        <v>50</v>
      </c>
      <c r="O955" s="24">
        <v>45800</v>
      </c>
      <c r="P955" s="6" t="s">
        <v>3</v>
      </c>
      <c r="Q955" s="14"/>
      <c r="R955" s="11"/>
      <c r="S955" s="11"/>
      <c r="T955" s="5">
        <f t="shared" si="1451"/>
        <v>0</v>
      </c>
      <c r="U955" s="14"/>
      <c r="V955" s="11"/>
      <c r="W955" s="11"/>
      <c r="X955" s="5">
        <f t="shared" si="1452"/>
        <v>0</v>
      </c>
      <c r="Y955" s="25"/>
      <c r="Z955" s="26"/>
      <c r="AA955" s="26"/>
      <c r="AB955" s="5">
        <f t="shared" si="1453"/>
        <v>0</v>
      </c>
      <c r="AC955" s="86">
        <f t="shared" si="1454"/>
        <v>0</v>
      </c>
      <c r="AD955" s="128"/>
    </row>
    <row r="956" spans="1:30" x14ac:dyDescent="0.15">
      <c r="A956" s="102" t="s">
        <v>3</v>
      </c>
      <c r="B956" s="14"/>
      <c r="C956" s="11"/>
      <c r="D956" s="11">
        <v>10</v>
      </c>
      <c r="E956" s="5">
        <f t="shared" si="1447"/>
        <v>10</v>
      </c>
      <c r="F956" s="34"/>
      <c r="G956" s="11"/>
      <c r="H956" s="11">
        <v>10</v>
      </c>
      <c r="I956" s="5">
        <f t="shared" si="1448"/>
        <v>10</v>
      </c>
      <c r="J956" s="34"/>
      <c r="K956" s="11"/>
      <c r="L956" s="11">
        <v>10</v>
      </c>
      <c r="M956" s="38">
        <f t="shared" si="1449"/>
        <v>10</v>
      </c>
      <c r="N956" s="138">
        <f t="shared" si="1450"/>
        <v>30</v>
      </c>
      <c r="O956" s="24">
        <v>45803</v>
      </c>
      <c r="P956" s="6" t="s">
        <v>3</v>
      </c>
      <c r="Q956" s="14"/>
      <c r="R956" s="11"/>
      <c r="S956" s="11"/>
      <c r="T956" s="5">
        <f t="shared" ref="T956:T957" si="1455">SUM(Q956:S956)</f>
        <v>0</v>
      </c>
      <c r="U956" s="14"/>
      <c r="V956" s="11"/>
      <c r="W956" s="11"/>
      <c r="X956" s="5">
        <f t="shared" ref="X956:X957" si="1456">SUM(U956:W956)</f>
        <v>0</v>
      </c>
      <c r="Y956" s="25"/>
      <c r="Z956" s="26"/>
      <c r="AA956" s="26"/>
      <c r="AB956" s="5">
        <f t="shared" ref="AB956:AB957" si="1457">SUM(Y956:AA956)</f>
        <v>0</v>
      </c>
      <c r="AC956" s="86">
        <f t="shared" ref="AC956:AC957" si="1458">T956+X956+AB956</f>
        <v>0</v>
      </c>
      <c r="AD956" s="128"/>
    </row>
    <row r="957" spans="1:30" x14ac:dyDescent="0.15">
      <c r="A957" s="102" t="s">
        <v>3</v>
      </c>
      <c r="B957" s="25"/>
      <c r="C957" s="26">
        <v>10</v>
      </c>
      <c r="D957" s="26">
        <v>5</v>
      </c>
      <c r="E957" s="8">
        <f t="shared" si="1447"/>
        <v>15</v>
      </c>
      <c r="F957" s="25"/>
      <c r="G957" s="26">
        <v>10</v>
      </c>
      <c r="H957" s="26">
        <v>5</v>
      </c>
      <c r="I957" s="8">
        <f t="shared" si="1448"/>
        <v>15</v>
      </c>
      <c r="J957" s="25"/>
      <c r="K957" s="26">
        <v>10</v>
      </c>
      <c r="L957" s="26">
        <v>5</v>
      </c>
      <c r="M957" s="39">
        <f t="shared" si="1449"/>
        <v>15</v>
      </c>
      <c r="N957" s="138">
        <f t="shared" si="1450"/>
        <v>45</v>
      </c>
      <c r="O957" s="24">
        <v>45804</v>
      </c>
      <c r="P957" s="6" t="s">
        <v>3</v>
      </c>
      <c r="Q957" s="14"/>
      <c r="R957" s="11"/>
      <c r="S957" s="11"/>
      <c r="T957" s="5">
        <f t="shared" si="1455"/>
        <v>0</v>
      </c>
      <c r="U957" s="14"/>
      <c r="V957" s="11"/>
      <c r="W957" s="11"/>
      <c r="X957" s="5">
        <f t="shared" si="1456"/>
        <v>0</v>
      </c>
      <c r="Y957" s="25"/>
      <c r="Z957" s="26"/>
      <c r="AA957" s="26"/>
      <c r="AB957" s="5">
        <f t="shared" si="1457"/>
        <v>0</v>
      </c>
      <c r="AC957" s="86">
        <f t="shared" si="1458"/>
        <v>0</v>
      </c>
      <c r="AD957" s="128"/>
    </row>
    <row r="958" spans="1:30" x14ac:dyDescent="0.15">
      <c r="A958" s="102" t="s">
        <v>281</v>
      </c>
      <c r="B958" s="27">
        <v>1</v>
      </c>
      <c r="C958" s="26"/>
      <c r="D958" s="26">
        <v>1</v>
      </c>
      <c r="E958" s="5">
        <f t="shared" si="1447"/>
        <v>2</v>
      </c>
      <c r="F958" s="25">
        <v>1</v>
      </c>
      <c r="G958" s="26"/>
      <c r="H958" s="26">
        <v>1</v>
      </c>
      <c r="I958" s="5">
        <f t="shared" si="1448"/>
        <v>2</v>
      </c>
      <c r="J958" s="25">
        <v>1</v>
      </c>
      <c r="K958" s="26"/>
      <c r="L958" s="26">
        <v>1</v>
      </c>
      <c r="M958" s="38">
        <f t="shared" si="1449"/>
        <v>2</v>
      </c>
      <c r="N958" s="138">
        <f t="shared" si="1450"/>
        <v>6</v>
      </c>
      <c r="O958" s="24">
        <v>45804</v>
      </c>
      <c r="P958" s="6" t="s">
        <v>3</v>
      </c>
      <c r="Q958" s="14"/>
      <c r="R958" s="11"/>
      <c r="S958" s="11"/>
      <c r="T958" s="5">
        <f t="shared" ref="T958" si="1459">SUM(Q958:S958)</f>
        <v>0</v>
      </c>
      <c r="U958" s="14"/>
      <c r="V958" s="11"/>
      <c r="W958" s="11"/>
      <c r="X958" s="5">
        <f t="shared" ref="X958" si="1460">SUM(U958:W958)</f>
        <v>0</v>
      </c>
      <c r="Y958" s="25"/>
      <c r="Z958" s="26"/>
      <c r="AA958" s="26"/>
      <c r="AB958" s="8">
        <f t="shared" ref="AB958" si="1461">SUM(Y958:AA958)</f>
        <v>0</v>
      </c>
      <c r="AC958" s="86">
        <f t="shared" ref="AC958" si="1462">T958+X958+AB958</f>
        <v>0</v>
      </c>
      <c r="AD958" s="113"/>
    </row>
    <row r="959" spans="1:30" x14ac:dyDescent="0.15">
      <c r="A959" s="102" t="s">
        <v>3</v>
      </c>
      <c r="B959" s="27"/>
      <c r="C959" s="26"/>
      <c r="D959" s="26"/>
      <c r="E959" s="5">
        <f t="shared" si="1447"/>
        <v>0</v>
      </c>
      <c r="F959" s="25"/>
      <c r="G959" s="26"/>
      <c r="H959" s="26"/>
      <c r="I959" s="5">
        <f t="shared" si="1448"/>
        <v>0</v>
      </c>
      <c r="J959" s="25"/>
      <c r="K959" s="26"/>
      <c r="L959" s="26"/>
      <c r="M959" s="38">
        <f t="shared" si="1449"/>
        <v>0</v>
      </c>
      <c r="N959" s="138">
        <f t="shared" si="1450"/>
        <v>0</v>
      </c>
      <c r="O959" s="58"/>
      <c r="P959" s="6" t="s">
        <v>195</v>
      </c>
      <c r="Q959" s="27">
        <f>14-2</f>
        <v>12</v>
      </c>
      <c r="R959" s="26">
        <f>19-19</f>
        <v>0</v>
      </c>
      <c r="S959" s="26">
        <f>34-3</f>
        <v>31</v>
      </c>
      <c r="T959" s="5">
        <f t="shared" ref="T959" si="1463">SUM(Q959:S959)</f>
        <v>43</v>
      </c>
      <c r="U959" s="27">
        <f>13-8</f>
        <v>5</v>
      </c>
      <c r="V959" s="26">
        <f>22-6</f>
        <v>16</v>
      </c>
      <c r="W959" s="26">
        <f>53-8</f>
        <v>45</v>
      </c>
      <c r="X959" s="5">
        <f t="shared" ref="X959" si="1464">SUM(U959:W959)</f>
        <v>66</v>
      </c>
      <c r="Y959" s="25">
        <f>22-4</f>
        <v>18</v>
      </c>
      <c r="Z959" s="26">
        <f>34-2</f>
        <v>32</v>
      </c>
      <c r="AA959" s="26">
        <f>12-4</f>
        <v>8</v>
      </c>
      <c r="AB959" s="5">
        <f t="shared" ref="AB959" si="1465">SUM(Y959:AA959)</f>
        <v>58</v>
      </c>
      <c r="AC959" s="86">
        <f t="shared" ref="AC959" si="1466">T959+X959+AB959</f>
        <v>167</v>
      </c>
      <c r="AD959" s="109">
        <v>45793</v>
      </c>
    </row>
    <row r="960" spans="1:30" x14ac:dyDescent="0.15">
      <c r="A960" s="102" t="s">
        <v>3</v>
      </c>
      <c r="B960" s="27"/>
      <c r="C960" s="26"/>
      <c r="D960" s="26"/>
      <c r="E960" s="5">
        <f t="shared" si="1447"/>
        <v>0</v>
      </c>
      <c r="F960" s="25"/>
      <c r="G960" s="26"/>
      <c r="H960" s="26"/>
      <c r="I960" s="5">
        <f t="shared" si="1448"/>
        <v>0</v>
      </c>
      <c r="J960" s="25"/>
      <c r="K960" s="26"/>
      <c r="L960" s="26"/>
      <c r="M960" s="38">
        <f t="shared" si="1449"/>
        <v>0</v>
      </c>
      <c r="N960" s="138">
        <f t="shared" si="1450"/>
        <v>0</v>
      </c>
      <c r="P960" s="6" t="s">
        <v>3</v>
      </c>
      <c r="Q960" s="27"/>
      <c r="R960" s="26"/>
      <c r="S960" s="26"/>
      <c r="T960" s="5">
        <f t="shared" ref="T960:T986" si="1467">SUM(Q960:S960)</f>
        <v>0</v>
      </c>
      <c r="U960" s="27"/>
      <c r="V960" s="26"/>
      <c r="W960" s="26"/>
      <c r="X960" s="5">
        <f t="shared" ref="X960:X986" si="1468">SUM(U960:W960)</f>
        <v>0</v>
      </c>
      <c r="Y960" s="25"/>
      <c r="Z960" s="26"/>
      <c r="AA960" s="26"/>
      <c r="AB960" s="5">
        <f t="shared" ref="AB960:AB986" si="1469">SUM(Y960:AA960)</f>
        <v>0</v>
      </c>
      <c r="AC960" s="86">
        <f t="shared" si="1454"/>
        <v>0</v>
      </c>
    </row>
    <row r="961" spans="1:31" ht="14.25" thickBot="1" x14ac:dyDescent="0.2">
      <c r="A961" s="102" t="s">
        <v>3</v>
      </c>
      <c r="B961" s="28"/>
      <c r="C961" s="29"/>
      <c r="D961" s="32"/>
      <c r="E961" s="15">
        <f t="shared" si="1447"/>
        <v>0</v>
      </c>
      <c r="F961" s="35"/>
      <c r="G961" s="29"/>
      <c r="H961" s="32"/>
      <c r="I961" s="15">
        <f t="shared" si="1448"/>
        <v>0</v>
      </c>
      <c r="J961" s="35"/>
      <c r="K961" s="29"/>
      <c r="L961" s="32"/>
      <c r="M961" s="40">
        <f t="shared" si="1449"/>
        <v>0</v>
      </c>
      <c r="N961" s="139">
        <f t="shared" si="1450"/>
        <v>0</v>
      </c>
      <c r="P961" s="7" t="s">
        <v>3</v>
      </c>
      <c r="Q961" s="28"/>
      <c r="R961" s="29"/>
      <c r="S961" s="29"/>
      <c r="T961" s="15">
        <f t="shared" si="1467"/>
        <v>0</v>
      </c>
      <c r="U961" s="28"/>
      <c r="V961" s="29"/>
      <c r="W961" s="29"/>
      <c r="X961" s="15">
        <f t="shared" si="1468"/>
        <v>0</v>
      </c>
      <c r="Y961" s="35"/>
      <c r="Z961" s="29"/>
      <c r="AA961" s="32"/>
      <c r="AB961" s="15">
        <f t="shared" si="1469"/>
        <v>0</v>
      </c>
      <c r="AC961" s="87">
        <f t="shared" ref="AC961:AC986" si="1470">T961+X961+AB961</f>
        <v>0</v>
      </c>
    </row>
    <row r="962" spans="1:31" ht="14.25" thickBot="1" x14ac:dyDescent="0.2">
      <c r="A962" s="103" t="s">
        <v>4</v>
      </c>
      <c r="B962" s="17">
        <f>SUM(B951:B961)</f>
        <v>33</v>
      </c>
      <c r="C962" s="17">
        <f>SUM(C951:C961)</f>
        <v>32</v>
      </c>
      <c r="D962" s="17">
        <f>SUM(D951:D961)</f>
        <v>41</v>
      </c>
      <c r="E962" s="18">
        <f t="shared" si="1447"/>
        <v>106</v>
      </c>
      <c r="F962" s="17">
        <f>SUM(F951:F961)</f>
        <v>35</v>
      </c>
      <c r="G962" s="17">
        <f>SUM(G951:G961)</f>
        <v>32</v>
      </c>
      <c r="H962" s="17">
        <f>SUM(H951:H961)</f>
        <v>39</v>
      </c>
      <c r="I962" s="18">
        <f t="shared" si="1448"/>
        <v>106</v>
      </c>
      <c r="J962" s="17">
        <f>SUM(J951:J961)</f>
        <v>35</v>
      </c>
      <c r="K962" s="17">
        <f>SUM(K951:K961)</f>
        <v>33</v>
      </c>
      <c r="L962" s="17">
        <f>SUM(L951:L961)</f>
        <v>40</v>
      </c>
      <c r="M962" s="20">
        <f t="shared" si="1449"/>
        <v>108</v>
      </c>
      <c r="N962" s="140">
        <f t="shared" si="1450"/>
        <v>320</v>
      </c>
      <c r="P962" s="16" t="s">
        <v>4</v>
      </c>
      <c r="Q962" s="17">
        <f>SUM(Q951:Q961)</f>
        <v>675</v>
      </c>
      <c r="R962" s="17">
        <f t="shared" ref="R962" si="1471">SUM(R951:R961)</f>
        <v>926</v>
      </c>
      <c r="S962" s="17">
        <f t="shared" ref="S962" si="1472">SUM(S951:S961)</f>
        <v>858</v>
      </c>
      <c r="T962" s="18">
        <f t="shared" ref="T962" si="1473">SUM(T951:T961)</f>
        <v>2459</v>
      </c>
      <c r="U962" s="17">
        <f t="shared" ref="U962" si="1474">SUM(U951:U961)</f>
        <v>632</v>
      </c>
      <c r="V962" s="17">
        <f t="shared" ref="V962" si="1475">SUM(V951:V961)</f>
        <v>1025</v>
      </c>
      <c r="W962" s="17">
        <f t="shared" ref="W962" si="1476">SUM(W951:W961)</f>
        <v>874</v>
      </c>
      <c r="X962" s="18">
        <f t="shared" ref="X962" si="1477">SUM(X951:X961)</f>
        <v>2531</v>
      </c>
      <c r="Y962" s="17">
        <f t="shared" ref="Y962" si="1478">SUM(Y951:Y961)</f>
        <v>604</v>
      </c>
      <c r="Z962" s="17">
        <f t="shared" ref="Z962" si="1479">SUM(Z951:Z961)</f>
        <v>935</v>
      </c>
      <c r="AA962" s="17">
        <f t="shared" ref="AA962" si="1480">SUM(AA951:AA961)</f>
        <v>775</v>
      </c>
      <c r="AB962" s="18">
        <f t="shared" ref="AB962" si="1481">SUM(AB951:AB961)</f>
        <v>2314</v>
      </c>
      <c r="AC962" s="88">
        <f t="shared" ref="AC962" si="1482">SUM(AC951:AC961)</f>
        <v>7304</v>
      </c>
    </row>
    <row r="963" spans="1:31" x14ac:dyDescent="0.15">
      <c r="A963" s="4" t="s">
        <v>859</v>
      </c>
      <c r="B963" s="9">
        <v>7</v>
      </c>
      <c r="C963" s="10">
        <v>5</v>
      </c>
      <c r="D963" s="31">
        <v>1</v>
      </c>
      <c r="E963" s="5">
        <f t="shared" si="1447"/>
        <v>13</v>
      </c>
      <c r="F963" s="9">
        <v>7</v>
      </c>
      <c r="G963" s="10">
        <v>5</v>
      </c>
      <c r="H963" s="31">
        <v>1</v>
      </c>
      <c r="I963" s="5">
        <f t="shared" si="1448"/>
        <v>13</v>
      </c>
      <c r="J963" s="9">
        <v>7</v>
      </c>
      <c r="K963" s="10">
        <v>5</v>
      </c>
      <c r="L963" s="31">
        <v>1</v>
      </c>
      <c r="M963" s="38">
        <f t="shared" si="1449"/>
        <v>13</v>
      </c>
      <c r="N963" s="141">
        <f t="shared" si="1450"/>
        <v>39</v>
      </c>
      <c r="O963" s="24">
        <v>45793</v>
      </c>
      <c r="P963" s="4" t="s">
        <v>849</v>
      </c>
      <c r="Q963" s="9"/>
      <c r="R963" s="10"/>
      <c r="S963" s="10">
        <v>3</v>
      </c>
      <c r="T963" s="8">
        <f t="shared" si="1467"/>
        <v>3</v>
      </c>
      <c r="U963" s="9"/>
      <c r="V963" s="10"/>
      <c r="W963" s="10">
        <v>3</v>
      </c>
      <c r="X963" s="8">
        <f t="shared" si="1468"/>
        <v>3</v>
      </c>
      <c r="Y963" s="9"/>
      <c r="Z963" s="10"/>
      <c r="AA963" s="10">
        <v>3</v>
      </c>
      <c r="AB963" s="8">
        <f t="shared" si="1469"/>
        <v>3</v>
      </c>
      <c r="AC963" s="86">
        <f t="shared" si="1470"/>
        <v>9</v>
      </c>
      <c r="AD963" s="109">
        <v>45798</v>
      </c>
      <c r="AE963" s="58"/>
    </row>
    <row r="964" spans="1:31" x14ac:dyDescent="0.15">
      <c r="A964" s="4" t="s">
        <v>860</v>
      </c>
      <c r="B964" s="9"/>
      <c r="C964" s="10"/>
      <c r="D964" s="10">
        <v>2</v>
      </c>
      <c r="E964" s="5">
        <f t="shared" si="1447"/>
        <v>2</v>
      </c>
      <c r="F964" s="9"/>
      <c r="G964" s="10"/>
      <c r="H964" s="10">
        <v>2</v>
      </c>
      <c r="I964" s="5">
        <f t="shared" si="1448"/>
        <v>2</v>
      </c>
      <c r="J964" s="9"/>
      <c r="K964" s="10"/>
      <c r="L964" s="10">
        <v>2</v>
      </c>
      <c r="M964" s="38">
        <f t="shared" si="1449"/>
        <v>2</v>
      </c>
      <c r="N964" s="138">
        <f t="shared" si="1450"/>
        <v>6</v>
      </c>
      <c r="O964" s="24">
        <v>45796</v>
      </c>
      <c r="P964" s="4" t="s">
        <v>854</v>
      </c>
      <c r="Q964" s="9">
        <v>11</v>
      </c>
      <c r="R964" s="10">
        <v>17</v>
      </c>
      <c r="S964" s="10"/>
      <c r="T964" s="5">
        <f t="shared" si="1467"/>
        <v>28</v>
      </c>
      <c r="U964" s="9">
        <v>11</v>
      </c>
      <c r="V964" s="10">
        <v>17</v>
      </c>
      <c r="W964" s="10"/>
      <c r="X964" s="5">
        <f t="shared" si="1468"/>
        <v>28</v>
      </c>
      <c r="Y964" s="9">
        <v>11</v>
      </c>
      <c r="Z964" s="10">
        <v>17</v>
      </c>
      <c r="AA964" s="10"/>
      <c r="AB964" s="5">
        <f t="shared" si="1469"/>
        <v>28</v>
      </c>
      <c r="AC964" s="86">
        <f t="shared" si="1470"/>
        <v>84</v>
      </c>
      <c r="AD964" s="109">
        <v>45799</v>
      </c>
      <c r="AE964" s="58"/>
    </row>
    <row r="965" spans="1:31" x14ac:dyDescent="0.15">
      <c r="A965" s="33" t="s">
        <v>862</v>
      </c>
      <c r="B965" s="9"/>
      <c r="C965" s="10">
        <v>1</v>
      </c>
      <c r="D965" s="10"/>
      <c r="E965" s="5">
        <f t="shared" si="1447"/>
        <v>1</v>
      </c>
      <c r="F965" s="9"/>
      <c r="G965" s="10">
        <v>1</v>
      </c>
      <c r="H965" s="10"/>
      <c r="I965" s="5">
        <f t="shared" si="1448"/>
        <v>1</v>
      </c>
      <c r="J965" s="9"/>
      <c r="K965" s="10">
        <v>1</v>
      </c>
      <c r="L965" s="10"/>
      <c r="M965" s="38">
        <f t="shared" si="1449"/>
        <v>1</v>
      </c>
      <c r="N965" s="138">
        <f t="shared" si="1450"/>
        <v>3</v>
      </c>
      <c r="O965" s="24">
        <v>45793</v>
      </c>
      <c r="P965" s="4" t="s">
        <v>856</v>
      </c>
      <c r="Q965" s="9">
        <v>65</v>
      </c>
      <c r="R965" s="10">
        <v>75</v>
      </c>
      <c r="S965" s="10">
        <v>25</v>
      </c>
      <c r="T965" s="5">
        <f t="shared" si="1467"/>
        <v>165</v>
      </c>
      <c r="U965" s="9">
        <v>65</v>
      </c>
      <c r="V965" s="10">
        <v>75</v>
      </c>
      <c r="W965" s="10">
        <v>25</v>
      </c>
      <c r="X965" s="5">
        <f t="shared" si="1468"/>
        <v>165</v>
      </c>
      <c r="Y965" s="9">
        <v>65</v>
      </c>
      <c r="Z965" s="10">
        <v>75</v>
      </c>
      <c r="AA965" s="10">
        <v>25</v>
      </c>
      <c r="AB965" s="5">
        <f t="shared" si="1469"/>
        <v>165</v>
      </c>
      <c r="AC965" s="86">
        <f t="shared" si="1470"/>
        <v>495</v>
      </c>
      <c r="AD965" s="109">
        <v>45792</v>
      </c>
      <c r="AE965" s="58"/>
    </row>
    <row r="966" spans="1:31" x14ac:dyDescent="0.15">
      <c r="A966" s="4" t="s">
        <v>863</v>
      </c>
      <c r="B966" s="9">
        <v>6</v>
      </c>
      <c r="C966" s="10"/>
      <c r="D966" s="10">
        <v>5</v>
      </c>
      <c r="E966" s="5">
        <f t="shared" si="1447"/>
        <v>11</v>
      </c>
      <c r="F966" s="9">
        <v>6</v>
      </c>
      <c r="G966" s="10"/>
      <c r="H966" s="10">
        <v>5</v>
      </c>
      <c r="I966" s="5">
        <f t="shared" si="1448"/>
        <v>11</v>
      </c>
      <c r="J966" s="9">
        <v>6</v>
      </c>
      <c r="K966" s="10"/>
      <c r="L966" s="10">
        <v>5</v>
      </c>
      <c r="M966" s="38">
        <f t="shared" si="1449"/>
        <v>11</v>
      </c>
      <c r="N966" s="138">
        <f t="shared" si="1450"/>
        <v>33</v>
      </c>
      <c r="O966" s="24">
        <v>45798</v>
      </c>
      <c r="P966" s="4" t="s">
        <v>857</v>
      </c>
      <c r="Q966" s="9"/>
      <c r="R966" s="10">
        <v>2</v>
      </c>
      <c r="S966" s="10">
        <v>10</v>
      </c>
      <c r="T966" s="5">
        <f t="shared" si="1467"/>
        <v>12</v>
      </c>
      <c r="U966" s="9"/>
      <c r="V966" s="10">
        <v>2</v>
      </c>
      <c r="W966" s="10">
        <v>10</v>
      </c>
      <c r="X966" s="5">
        <f t="shared" si="1468"/>
        <v>12</v>
      </c>
      <c r="Y966" s="9"/>
      <c r="Z966" s="10">
        <v>2</v>
      </c>
      <c r="AA966" s="10">
        <v>10</v>
      </c>
      <c r="AB966" s="5">
        <f t="shared" si="1469"/>
        <v>12</v>
      </c>
      <c r="AC966" s="86">
        <f t="shared" si="1470"/>
        <v>36</v>
      </c>
      <c r="AD966" s="109">
        <v>45794</v>
      </c>
    </row>
    <row r="967" spans="1:31" x14ac:dyDescent="0.15">
      <c r="A967" s="33" t="s">
        <v>36</v>
      </c>
      <c r="B967" s="9"/>
      <c r="C967" s="10">
        <v>1</v>
      </c>
      <c r="D967" s="10"/>
      <c r="E967" s="5">
        <f t="shared" si="1447"/>
        <v>1</v>
      </c>
      <c r="F967" s="9"/>
      <c r="G967" s="10">
        <v>1</v>
      </c>
      <c r="H967" s="10"/>
      <c r="I967" s="5">
        <f t="shared" si="1448"/>
        <v>1</v>
      </c>
      <c r="J967" s="9"/>
      <c r="K967" s="10">
        <v>1</v>
      </c>
      <c r="L967" s="10"/>
      <c r="M967" s="38">
        <f t="shared" si="1449"/>
        <v>1</v>
      </c>
      <c r="N967" s="138">
        <f t="shared" si="1450"/>
        <v>3</v>
      </c>
      <c r="O967" s="24">
        <v>45796</v>
      </c>
      <c r="P967" s="11" t="s">
        <v>858</v>
      </c>
      <c r="Q967" s="9">
        <v>5</v>
      </c>
      <c r="R967" s="10">
        <v>10</v>
      </c>
      <c r="S967" s="10"/>
      <c r="T967" s="5">
        <f t="shared" si="1467"/>
        <v>15</v>
      </c>
      <c r="U967" s="9">
        <v>5</v>
      </c>
      <c r="V967" s="10">
        <v>10</v>
      </c>
      <c r="W967" s="10"/>
      <c r="X967" s="5">
        <f t="shared" si="1468"/>
        <v>15</v>
      </c>
      <c r="Y967" s="9">
        <v>5</v>
      </c>
      <c r="Z967" s="10">
        <v>10</v>
      </c>
      <c r="AA967" s="10"/>
      <c r="AB967" s="5">
        <f t="shared" si="1469"/>
        <v>15</v>
      </c>
      <c r="AC967" s="86">
        <f t="shared" si="1470"/>
        <v>45</v>
      </c>
      <c r="AD967" s="109">
        <v>45796</v>
      </c>
    </row>
    <row r="968" spans="1:31" x14ac:dyDescent="0.15">
      <c r="A968" s="4" t="s">
        <v>866</v>
      </c>
      <c r="B968" s="9">
        <v>1</v>
      </c>
      <c r="C968" s="10">
        <v>1</v>
      </c>
      <c r="D968" s="10">
        <v>3</v>
      </c>
      <c r="E968" s="8">
        <f t="shared" si="1447"/>
        <v>5</v>
      </c>
      <c r="F968" s="9">
        <v>1</v>
      </c>
      <c r="G968" s="10">
        <v>1</v>
      </c>
      <c r="H968" s="10">
        <v>3</v>
      </c>
      <c r="I968" s="8">
        <f t="shared" si="1448"/>
        <v>5</v>
      </c>
      <c r="J968" s="9">
        <v>1</v>
      </c>
      <c r="K968" s="10">
        <v>1</v>
      </c>
      <c r="L968" s="10">
        <v>3</v>
      </c>
      <c r="M968" s="39">
        <f t="shared" si="1449"/>
        <v>5</v>
      </c>
      <c r="N968" s="138">
        <f t="shared" si="1450"/>
        <v>15</v>
      </c>
      <c r="O968" s="24">
        <v>45799</v>
      </c>
      <c r="P968" s="4" t="s">
        <v>861</v>
      </c>
      <c r="Q968" s="9"/>
      <c r="R968" s="10"/>
      <c r="S968" s="10">
        <v>3</v>
      </c>
      <c r="T968" s="8">
        <f t="shared" si="1467"/>
        <v>3</v>
      </c>
      <c r="U968" s="9"/>
      <c r="V968" s="10"/>
      <c r="W968" s="10">
        <v>3</v>
      </c>
      <c r="X968" s="8">
        <f t="shared" si="1468"/>
        <v>3</v>
      </c>
      <c r="Y968" s="9"/>
      <c r="Z968" s="10"/>
      <c r="AA968" s="10">
        <v>3</v>
      </c>
      <c r="AB968" s="8">
        <f t="shared" si="1469"/>
        <v>3</v>
      </c>
      <c r="AC968" s="86">
        <f t="shared" si="1470"/>
        <v>9</v>
      </c>
      <c r="AD968" s="109">
        <v>45794</v>
      </c>
    </row>
    <row r="969" spans="1:31" x14ac:dyDescent="0.15">
      <c r="A969" s="33" t="s">
        <v>870</v>
      </c>
      <c r="B969" s="9">
        <v>1</v>
      </c>
      <c r="C969" s="10"/>
      <c r="D969" s="10"/>
      <c r="E969" s="8">
        <f t="shared" si="1447"/>
        <v>1</v>
      </c>
      <c r="F969" s="9">
        <v>1</v>
      </c>
      <c r="G969" s="10"/>
      <c r="H969" s="10"/>
      <c r="I969" s="8">
        <f t="shared" si="1448"/>
        <v>1</v>
      </c>
      <c r="J969" s="9">
        <v>1</v>
      </c>
      <c r="K969" s="10"/>
      <c r="L969" s="10"/>
      <c r="M969" s="39">
        <f t="shared" si="1449"/>
        <v>1</v>
      </c>
      <c r="N969" s="138">
        <f t="shared" si="1450"/>
        <v>3</v>
      </c>
      <c r="O969" s="24">
        <v>45800</v>
      </c>
      <c r="P969" s="4" t="s">
        <v>27</v>
      </c>
      <c r="Q969" s="9">
        <v>10</v>
      </c>
      <c r="R969" s="10">
        <v>10</v>
      </c>
      <c r="S969" s="10">
        <v>10</v>
      </c>
      <c r="T969" s="8">
        <f t="shared" ref="T969" si="1483">SUM(Q969:S969)</f>
        <v>30</v>
      </c>
      <c r="U969" s="9">
        <v>10</v>
      </c>
      <c r="V969" s="10">
        <v>10</v>
      </c>
      <c r="W969" s="10">
        <v>10</v>
      </c>
      <c r="X969" s="8">
        <f t="shared" ref="X969" si="1484">SUM(U969:W969)</f>
        <v>30</v>
      </c>
      <c r="Y969" s="9">
        <v>10</v>
      </c>
      <c r="Z969" s="10">
        <v>10</v>
      </c>
      <c r="AA969" s="10">
        <v>10</v>
      </c>
      <c r="AB969" s="8">
        <f t="shared" ref="AB969" si="1485">SUM(Y969:AA969)</f>
        <v>30</v>
      </c>
      <c r="AC969" s="145">
        <f t="shared" si="1470"/>
        <v>90</v>
      </c>
      <c r="AD969" s="109">
        <v>45796</v>
      </c>
    </row>
    <row r="970" spans="1:31" x14ac:dyDescent="0.15">
      <c r="A970" s="4" t="s">
        <v>874</v>
      </c>
      <c r="B970" s="9">
        <v>3</v>
      </c>
      <c r="C970" s="10"/>
      <c r="D970" s="10">
        <v>1</v>
      </c>
      <c r="E970" s="8">
        <f t="shared" si="1447"/>
        <v>4</v>
      </c>
      <c r="F970" s="9">
        <v>3</v>
      </c>
      <c r="G970" s="10"/>
      <c r="H970" s="10">
        <v>1</v>
      </c>
      <c r="I970" s="8">
        <f t="shared" si="1448"/>
        <v>4</v>
      </c>
      <c r="J970" s="9">
        <v>3</v>
      </c>
      <c r="K970" s="10"/>
      <c r="L970" s="10">
        <v>1</v>
      </c>
      <c r="M970" s="39">
        <f t="shared" si="1449"/>
        <v>4</v>
      </c>
      <c r="N970" s="138">
        <f t="shared" si="1450"/>
        <v>12</v>
      </c>
      <c r="O970" s="24">
        <v>45800</v>
      </c>
      <c r="P970" s="11" t="s">
        <v>864</v>
      </c>
      <c r="Q970" s="9"/>
      <c r="R970" s="10"/>
      <c r="S970" s="10">
        <v>5</v>
      </c>
      <c r="T970" s="8">
        <f t="shared" si="1467"/>
        <v>5</v>
      </c>
      <c r="U970" s="9"/>
      <c r="V970" s="10"/>
      <c r="W970" s="10">
        <v>5</v>
      </c>
      <c r="X970" s="8">
        <f t="shared" si="1468"/>
        <v>5</v>
      </c>
      <c r="Y970" s="9"/>
      <c r="Z970" s="10"/>
      <c r="AA970" s="10">
        <v>5</v>
      </c>
      <c r="AB970" s="8">
        <f t="shared" si="1469"/>
        <v>5</v>
      </c>
      <c r="AC970" s="86">
        <f t="shared" si="1470"/>
        <v>15</v>
      </c>
      <c r="AD970" s="109">
        <v>45811</v>
      </c>
    </row>
    <row r="971" spans="1:31" x14ac:dyDescent="0.15">
      <c r="A971" s="33" t="s">
        <v>36</v>
      </c>
      <c r="B971" s="9"/>
      <c r="C971" s="10">
        <v>1</v>
      </c>
      <c r="D971" s="10"/>
      <c r="E971" s="8">
        <f t="shared" si="1447"/>
        <v>1</v>
      </c>
      <c r="F971" s="9"/>
      <c r="G971" s="10">
        <v>1</v>
      </c>
      <c r="H971" s="10"/>
      <c r="I971" s="8">
        <f t="shared" si="1448"/>
        <v>1</v>
      </c>
      <c r="J971" s="9"/>
      <c r="K971" s="10">
        <v>1</v>
      </c>
      <c r="L971" s="10"/>
      <c r="M971" s="39">
        <f t="shared" si="1449"/>
        <v>1</v>
      </c>
      <c r="N971" s="138">
        <f t="shared" si="1450"/>
        <v>3</v>
      </c>
      <c r="O971" s="24">
        <v>45799</v>
      </c>
      <c r="P971" s="4" t="s">
        <v>865</v>
      </c>
      <c r="Q971" s="9"/>
      <c r="R971" s="10">
        <v>5</v>
      </c>
      <c r="S971" s="10"/>
      <c r="T971" s="8">
        <f t="shared" si="1467"/>
        <v>5</v>
      </c>
      <c r="U971" s="9"/>
      <c r="V971" s="10">
        <v>5</v>
      </c>
      <c r="W971" s="10"/>
      <c r="X971" s="8">
        <f t="shared" si="1468"/>
        <v>5</v>
      </c>
      <c r="Y971" s="9"/>
      <c r="Z971" s="10">
        <v>5</v>
      </c>
      <c r="AA971" s="10"/>
      <c r="AB971" s="8">
        <f t="shared" si="1469"/>
        <v>5</v>
      </c>
      <c r="AC971" s="86">
        <f t="shared" si="1470"/>
        <v>15</v>
      </c>
      <c r="AD971" s="109">
        <v>45799</v>
      </c>
      <c r="AE971" s="58"/>
    </row>
    <row r="972" spans="1:31" x14ac:dyDescent="0.15">
      <c r="A972" s="4" t="s">
        <v>877</v>
      </c>
      <c r="B972" s="9"/>
      <c r="C972" s="10">
        <v>2</v>
      </c>
      <c r="D972" s="10">
        <v>6</v>
      </c>
      <c r="E972" s="8">
        <f t="shared" si="1447"/>
        <v>8</v>
      </c>
      <c r="F972" s="9"/>
      <c r="G972" s="10">
        <v>2</v>
      </c>
      <c r="H972" s="10">
        <v>6</v>
      </c>
      <c r="I972" s="8">
        <f t="shared" si="1448"/>
        <v>8</v>
      </c>
      <c r="J972" s="9"/>
      <c r="K972" s="10">
        <v>2</v>
      </c>
      <c r="L972" s="10">
        <v>6</v>
      </c>
      <c r="M972" s="39">
        <f t="shared" si="1449"/>
        <v>8</v>
      </c>
      <c r="N972" s="138">
        <f t="shared" si="1450"/>
        <v>24</v>
      </c>
      <c r="O972" s="24">
        <v>45803</v>
      </c>
      <c r="P972" s="4" t="s">
        <v>867</v>
      </c>
      <c r="Q972" s="9">
        <v>1</v>
      </c>
      <c r="R972" s="10">
        <v>1</v>
      </c>
      <c r="S972" s="10"/>
      <c r="T972" s="8">
        <f t="shared" si="1467"/>
        <v>2</v>
      </c>
      <c r="U972" s="9">
        <v>1</v>
      </c>
      <c r="V972" s="10">
        <v>1</v>
      </c>
      <c r="W972" s="10"/>
      <c r="X972" s="8">
        <f t="shared" si="1468"/>
        <v>2</v>
      </c>
      <c r="Y972" s="9">
        <v>1</v>
      </c>
      <c r="Z972" s="10">
        <v>1</v>
      </c>
      <c r="AA972" s="10"/>
      <c r="AB972" s="8">
        <f t="shared" si="1469"/>
        <v>2</v>
      </c>
      <c r="AC972" s="86">
        <f t="shared" si="1470"/>
        <v>6</v>
      </c>
      <c r="AD972" s="109">
        <v>45800</v>
      </c>
      <c r="AE972" s="58"/>
    </row>
    <row r="973" spans="1:31" x14ac:dyDescent="0.15">
      <c r="A973" s="4" t="s">
        <v>882</v>
      </c>
      <c r="B973" s="9"/>
      <c r="C973" s="10">
        <v>7</v>
      </c>
      <c r="D973" s="10">
        <v>8</v>
      </c>
      <c r="E973" s="8">
        <f t="shared" si="1447"/>
        <v>15</v>
      </c>
      <c r="F973" s="9"/>
      <c r="G973" s="10">
        <v>7</v>
      </c>
      <c r="H973" s="10">
        <v>8</v>
      </c>
      <c r="I973" s="8">
        <f t="shared" si="1448"/>
        <v>15</v>
      </c>
      <c r="J973" s="9"/>
      <c r="K973" s="10">
        <v>7</v>
      </c>
      <c r="L973" s="10">
        <v>8</v>
      </c>
      <c r="M973" s="39">
        <f t="shared" si="1449"/>
        <v>15</v>
      </c>
      <c r="N973" s="138">
        <f t="shared" si="1450"/>
        <v>45</v>
      </c>
      <c r="O973" s="24">
        <v>45805</v>
      </c>
      <c r="P973" s="11" t="s">
        <v>868</v>
      </c>
      <c r="Q973" s="9">
        <v>10</v>
      </c>
      <c r="R973" s="10">
        <v>5</v>
      </c>
      <c r="S973" s="10"/>
      <c r="T973" s="8">
        <f t="shared" si="1467"/>
        <v>15</v>
      </c>
      <c r="U973" s="9">
        <v>10</v>
      </c>
      <c r="V973" s="10">
        <v>5</v>
      </c>
      <c r="W973" s="10"/>
      <c r="X973" s="8">
        <f t="shared" si="1468"/>
        <v>15</v>
      </c>
      <c r="Y973" s="9">
        <v>10</v>
      </c>
      <c r="Z973" s="10">
        <v>5</v>
      </c>
      <c r="AA973" s="10"/>
      <c r="AB973" s="8">
        <f t="shared" si="1469"/>
        <v>15</v>
      </c>
      <c r="AC973" s="86">
        <f t="shared" si="1470"/>
        <v>45</v>
      </c>
      <c r="AD973" s="109">
        <v>45800</v>
      </c>
      <c r="AE973" s="58"/>
    </row>
    <row r="974" spans="1:31" x14ac:dyDescent="0.15">
      <c r="A974" s="4" t="s">
        <v>889</v>
      </c>
      <c r="B974" s="9">
        <v>2</v>
      </c>
      <c r="C974" s="10">
        <v>1</v>
      </c>
      <c r="D974" s="10">
        <v>4</v>
      </c>
      <c r="E974" s="8">
        <f t="shared" si="1447"/>
        <v>7</v>
      </c>
      <c r="F974" s="9">
        <v>2</v>
      </c>
      <c r="G974" s="10">
        <v>1</v>
      </c>
      <c r="H974" s="10">
        <v>4</v>
      </c>
      <c r="I974" s="8">
        <f t="shared" si="1448"/>
        <v>7</v>
      </c>
      <c r="J974" s="9">
        <v>2</v>
      </c>
      <c r="K974" s="10">
        <v>1</v>
      </c>
      <c r="L974" s="10">
        <v>4</v>
      </c>
      <c r="M974" s="39">
        <f t="shared" si="1449"/>
        <v>7</v>
      </c>
      <c r="N974" s="138">
        <f t="shared" si="1450"/>
        <v>21</v>
      </c>
      <c r="O974" s="24">
        <v>45807</v>
      </c>
      <c r="P974" s="4" t="s">
        <v>869</v>
      </c>
      <c r="Q974" s="9"/>
      <c r="R974" s="10">
        <v>10</v>
      </c>
      <c r="S974" s="10"/>
      <c r="T974" s="8">
        <f t="shared" si="1467"/>
        <v>10</v>
      </c>
      <c r="U974" s="9"/>
      <c r="V974" s="10">
        <v>10</v>
      </c>
      <c r="W974" s="10"/>
      <c r="X974" s="8">
        <f t="shared" si="1468"/>
        <v>10</v>
      </c>
      <c r="Y974" s="9"/>
      <c r="Z974" s="10">
        <v>10</v>
      </c>
      <c r="AA974" s="10"/>
      <c r="AB974" s="8">
        <f t="shared" si="1469"/>
        <v>10</v>
      </c>
      <c r="AC974" s="86">
        <f t="shared" si="1470"/>
        <v>30</v>
      </c>
      <c r="AD974" s="109">
        <v>45803</v>
      </c>
      <c r="AE974" s="58"/>
    </row>
    <row r="975" spans="1:31" x14ac:dyDescent="0.15">
      <c r="A975" s="4" t="s">
        <v>892</v>
      </c>
      <c r="B975" s="9">
        <v>5</v>
      </c>
      <c r="C975" s="10">
        <v>4</v>
      </c>
      <c r="D975" s="10">
        <v>2</v>
      </c>
      <c r="E975" s="8">
        <f t="shared" si="1447"/>
        <v>11</v>
      </c>
      <c r="F975" s="9">
        <v>5</v>
      </c>
      <c r="G975" s="10">
        <v>4</v>
      </c>
      <c r="H975" s="10">
        <v>2</v>
      </c>
      <c r="I975" s="8">
        <f t="shared" si="1448"/>
        <v>11</v>
      </c>
      <c r="J975" s="9">
        <v>5</v>
      </c>
      <c r="K975" s="10">
        <v>4</v>
      </c>
      <c r="L975" s="10">
        <v>2</v>
      </c>
      <c r="M975" s="39">
        <f t="shared" si="1449"/>
        <v>11</v>
      </c>
      <c r="N975" s="138">
        <f t="shared" si="1450"/>
        <v>33</v>
      </c>
      <c r="O975" s="24">
        <v>45807</v>
      </c>
      <c r="P975" s="4" t="s">
        <v>875</v>
      </c>
      <c r="Q975" s="9">
        <v>10</v>
      </c>
      <c r="R975" s="10">
        <v>5</v>
      </c>
      <c r="S975" s="10">
        <v>5</v>
      </c>
      <c r="T975" s="8">
        <f t="shared" si="1467"/>
        <v>20</v>
      </c>
      <c r="U975" s="9">
        <v>10</v>
      </c>
      <c r="V975" s="10">
        <v>5</v>
      </c>
      <c r="W975" s="10"/>
      <c r="X975" s="8">
        <f t="shared" si="1468"/>
        <v>15</v>
      </c>
      <c r="Y975" s="9">
        <v>10</v>
      </c>
      <c r="Z975" s="10">
        <v>5</v>
      </c>
      <c r="AA975" s="10"/>
      <c r="AB975" s="8">
        <f t="shared" si="1469"/>
        <v>15</v>
      </c>
      <c r="AC975" s="86">
        <f t="shared" si="1470"/>
        <v>50</v>
      </c>
      <c r="AD975" s="109">
        <v>45800</v>
      </c>
      <c r="AE975" s="58"/>
    </row>
    <row r="976" spans="1:31" x14ac:dyDescent="0.15">
      <c r="A976" s="4" t="s">
        <v>895</v>
      </c>
      <c r="B976" s="9"/>
      <c r="C976" s="10">
        <v>4</v>
      </c>
      <c r="D976" s="10"/>
      <c r="E976" s="8">
        <f t="shared" si="1447"/>
        <v>4</v>
      </c>
      <c r="F976" s="9"/>
      <c r="G976" s="10">
        <v>4</v>
      </c>
      <c r="H976" s="10"/>
      <c r="I976" s="8">
        <f t="shared" si="1448"/>
        <v>4</v>
      </c>
      <c r="J976" s="9"/>
      <c r="K976" s="10">
        <v>4</v>
      </c>
      <c r="L976" s="10"/>
      <c r="M976" s="39">
        <f t="shared" si="1449"/>
        <v>4</v>
      </c>
      <c r="N976" s="138">
        <f t="shared" si="1450"/>
        <v>12</v>
      </c>
      <c r="O976" s="24">
        <v>45810</v>
      </c>
      <c r="P976" s="4" t="s">
        <v>876</v>
      </c>
      <c r="Q976" s="9">
        <v>17</v>
      </c>
      <c r="R976" s="10">
        <v>6</v>
      </c>
      <c r="S976" s="10">
        <v>8</v>
      </c>
      <c r="T976" s="8">
        <f t="shared" si="1467"/>
        <v>31</v>
      </c>
      <c r="U976" s="9">
        <v>17</v>
      </c>
      <c r="V976" s="10">
        <v>6</v>
      </c>
      <c r="W976" s="10">
        <v>8</v>
      </c>
      <c r="X976" s="8">
        <f t="shared" si="1468"/>
        <v>31</v>
      </c>
      <c r="Y976" s="9">
        <v>17</v>
      </c>
      <c r="Z976" s="10">
        <v>6</v>
      </c>
      <c r="AA976" s="10">
        <v>8</v>
      </c>
      <c r="AB976" s="8">
        <f t="shared" si="1469"/>
        <v>31</v>
      </c>
      <c r="AC976" s="86">
        <f t="shared" si="1470"/>
        <v>93</v>
      </c>
      <c r="AD976" s="109">
        <v>45803</v>
      </c>
    </row>
    <row r="977" spans="1:31" x14ac:dyDescent="0.15">
      <c r="A977" s="33" t="s">
        <v>36</v>
      </c>
      <c r="B977" s="9"/>
      <c r="C977" s="10">
        <v>2</v>
      </c>
      <c r="D977" s="10"/>
      <c r="E977" s="8">
        <f t="shared" si="1447"/>
        <v>2</v>
      </c>
      <c r="F977" s="9"/>
      <c r="G977" s="10">
        <v>2</v>
      </c>
      <c r="H977" s="10"/>
      <c r="I977" s="8">
        <f t="shared" si="1448"/>
        <v>2</v>
      </c>
      <c r="J977" s="9"/>
      <c r="K977" s="10">
        <v>2</v>
      </c>
      <c r="L977" s="10"/>
      <c r="M977" s="39">
        <f t="shared" si="1449"/>
        <v>2</v>
      </c>
      <c r="N977" s="138">
        <f t="shared" si="1450"/>
        <v>6</v>
      </c>
      <c r="O977" s="24">
        <v>45807</v>
      </c>
      <c r="P977" s="11" t="s">
        <v>881</v>
      </c>
      <c r="Q977" s="9"/>
      <c r="R977" s="10">
        <v>5</v>
      </c>
      <c r="S977" s="10">
        <v>10</v>
      </c>
      <c r="T977" s="8">
        <f t="shared" si="1467"/>
        <v>15</v>
      </c>
      <c r="U977" s="9"/>
      <c r="V977" s="10">
        <v>5</v>
      </c>
      <c r="W977" s="10">
        <v>10</v>
      </c>
      <c r="X977" s="8">
        <f t="shared" si="1468"/>
        <v>15</v>
      </c>
      <c r="Y977" s="9"/>
      <c r="Z977" s="10">
        <v>5</v>
      </c>
      <c r="AA977" s="10">
        <v>10</v>
      </c>
      <c r="AB977" s="8">
        <f t="shared" si="1469"/>
        <v>15</v>
      </c>
      <c r="AC977" s="86">
        <f t="shared" si="1470"/>
        <v>45</v>
      </c>
      <c r="AD977" s="109">
        <v>45804</v>
      </c>
    </row>
    <row r="978" spans="1:31" x14ac:dyDescent="0.15">
      <c r="A978" s="33" t="s">
        <v>36</v>
      </c>
      <c r="B978" s="9"/>
      <c r="C978" s="10"/>
      <c r="D978" s="10"/>
      <c r="E978" s="8">
        <f t="shared" si="1447"/>
        <v>0</v>
      </c>
      <c r="F978" s="9"/>
      <c r="G978" s="10"/>
      <c r="H978" s="10"/>
      <c r="I978" s="8">
        <f t="shared" si="1448"/>
        <v>0</v>
      </c>
      <c r="J978" s="9">
        <v>1</v>
      </c>
      <c r="K978" s="10"/>
      <c r="L978" s="10"/>
      <c r="M978" s="39">
        <f t="shared" si="1449"/>
        <v>1</v>
      </c>
      <c r="N978" s="138">
        <f t="shared" si="1450"/>
        <v>1</v>
      </c>
      <c r="O978" s="24">
        <v>45808</v>
      </c>
      <c r="P978" s="4" t="s">
        <v>883</v>
      </c>
      <c r="Q978" s="9"/>
      <c r="R978" s="10">
        <v>7</v>
      </c>
      <c r="S978" s="10">
        <v>1</v>
      </c>
      <c r="T978" s="8">
        <f t="shared" ref="T978" si="1486">SUM(Q978:S978)</f>
        <v>8</v>
      </c>
      <c r="U978" s="9"/>
      <c r="V978" s="10">
        <v>7</v>
      </c>
      <c r="W978" s="10">
        <v>1</v>
      </c>
      <c r="X978" s="8">
        <f t="shared" ref="X978" si="1487">SUM(U978:W978)</f>
        <v>8</v>
      </c>
      <c r="Y978" s="9"/>
      <c r="Z978" s="10">
        <v>7</v>
      </c>
      <c r="AA978" s="10">
        <v>1</v>
      </c>
      <c r="AB978" s="8">
        <f t="shared" ref="AB978" si="1488">SUM(Y978:AA978)</f>
        <v>8</v>
      </c>
      <c r="AC978" s="86">
        <f t="shared" ref="AC978" si="1489">T978+X978+AB978</f>
        <v>24</v>
      </c>
      <c r="AD978" s="109">
        <v>45806</v>
      </c>
    </row>
    <row r="979" spans="1:31" x14ac:dyDescent="0.15">
      <c r="A979" s="33" t="s">
        <v>36</v>
      </c>
      <c r="B979" s="9">
        <v>1</v>
      </c>
      <c r="C979" s="10">
        <v>1</v>
      </c>
      <c r="D979" s="10"/>
      <c r="E979" s="8">
        <f t="shared" si="1447"/>
        <v>2</v>
      </c>
      <c r="F979" s="9"/>
      <c r="G979" s="10">
        <v>1</v>
      </c>
      <c r="H979" s="10"/>
      <c r="I979" s="8">
        <f t="shared" si="1448"/>
        <v>1</v>
      </c>
      <c r="J979" s="9"/>
      <c r="K979" s="10">
        <v>1</v>
      </c>
      <c r="L979" s="10"/>
      <c r="M979" s="39">
        <f t="shared" si="1449"/>
        <v>1</v>
      </c>
      <c r="N979" s="138">
        <f t="shared" si="1450"/>
        <v>4</v>
      </c>
      <c r="O979" s="24">
        <v>45810</v>
      </c>
      <c r="P979" s="4"/>
      <c r="Q979" s="9"/>
      <c r="R979" s="10"/>
      <c r="S979" s="10"/>
      <c r="T979" s="8">
        <f t="shared" si="1467"/>
        <v>0</v>
      </c>
      <c r="U979" s="9"/>
      <c r="V979" s="10"/>
      <c r="W979" s="10"/>
      <c r="X979" s="8">
        <f t="shared" si="1468"/>
        <v>0</v>
      </c>
      <c r="Y979" s="9"/>
      <c r="Z979" s="10"/>
      <c r="AA979" s="10"/>
      <c r="AB979" s="8">
        <f t="shared" si="1469"/>
        <v>0</v>
      </c>
      <c r="AC979" s="86">
        <f t="shared" si="1470"/>
        <v>0</v>
      </c>
      <c r="AD979" s="116"/>
    </row>
    <row r="980" spans="1:31" x14ac:dyDescent="0.15">
      <c r="A980" s="33"/>
      <c r="B980" s="9"/>
      <c r="C980" s="10"/>
      <c r="D980" s="10"/>
      <c r="E980" s="8">
        <f t="shared" si="1447"/>
        <v>0</v>
      </c>
      <c r="F980" s="9"/>
      <c r="G980" s="10"/>
      <c r="H980" s="10"/>
      <c r="I980" s="8">
        <f t="shared" si="1448"/>
        <v>0</v>
      </c>
      <c r="J980" s="9"/>
      <c r="K980" s="10"/>
      <c r="L980" s="10"/>
      <c r="M980" s="39">
        <f t="shared" si="1449"/>
        <v>0</v>
      </c>
      <c r="N980" s="138">
        <f t="shared" si="1450"/>
        <v>0</v>
      </c>
      <c r="O980" s="58"/>
      <c r="P980" s="11" t="s">
        <v>766</v>
      </c>
      <c r="Q980" s="9"/>
      <c r="R980" s="10"/>
      <c r="S980" s="10"/>
      <c r="T980" s="8">
        <f t="shared" si="1467"/>
        <v>0</v>
      </c>
      <c r="U980" s="9"/>
      <c r="V980" s="10"/>
      <c r="W980" s="10"/>
      <c r="X980" s="8">
        <f t="shared" si="1468"/>
        <v>0</v>
      </c>
      <c r="Y980" s="9"/>
      <c r="Z980" s="10"/>
      <c r="AA980" s="10"/>
      <c r="AB980" s="8">
        <f t="shared" si="1469"/>
        <v>0</v>
      </c>
      <c r="AC980" s="86">
        <f t="shared" si="1470"/>
        <v>0</v>
      </c>
      <c r="AD980" s="109" t="s">
        <v>767</v>
      </c>
    </row>
    <row r="981" spans="1:31" x14ac:dyDescent="0.15">
      <c r="A981" s="33"/>
      <c r="B981" s="9"/>
      <c r="C981" s="10"/>
      <c r="D981" s="10"/>
      <c r="E981" s="8">
        <f t="shared" si="1447"/>
        <v>0</v>
      </c>
      <c r="F981" s="9"/>
      <c r="G981" s="10"/>
      <c r="H981" s="10"/>
      <c r="I981" s="8">
        <f t="shared" si="1448"/>
        <v>0</v>
      </c>
      <c r="J981" s="9"/>
      <c r="K981" s="10"/>
      <c r="L981" s="10"/>
      <c r="M981" s="39">
        <f t="shared" si="1449"/>
        <v>0</v>
      </c>
      <c r="N981" s="138">
        <f t="shared" si="1450"/>
        <v>0</v>
      </c>
      <c r="O981" s="58"/>
      <c r="P981" s="4" t="s">
        <v>795</v>
      </c>
      <c r="Q981" s="9"/>
      <c r="R981" s="10"/>
      <c r="S981" s="10"/>
      <c r="T981" s="8">
        <f t="shared" si="1467"/>
        <v>0</v>
      </c>
      <c r="U981" s="9"/>
      <c r="V981" s="10"/>
      <c r="W981" s="10"/>
      <c r="X981" s="8">
        <f t="shared" si="1468"/>
        <v>0</v>
      </c>
      <c r="Y981" s="9"/>
      <c r="Z981" s="10"/>
      <c r="AA981" s="10"/>
      <c r="AB981" s="8">
        <f t="shared" si="1469"/>
        <v>0</v>
      </c>
      <c r="AC981" s="86">
        <f t="shared" si="1470"/>
        <v>0</v>
      </c>
      <c r="AD981" s="116" t="s">
        <v>93</v>
      </c>
    </row>
    <row r="982" spans="1:31" x14ac:dyDescent="0.15">
      <c r="A982" s="33"/>
      <c r="B982" s="9"/>
      <c r="C982" s="10"/>
      <c r="D982" s="10"/>
      <c r="E982" s="8">
        <f t="shared" si="1447"/>
        <v>0</v>
      </c>
      <c r="F982" s="9"/>
      <c r="G982" s="10"/>
      <c r="H982" s="10"/>
      <c r="I982" s="8">
        <f t="shared" si="1448"/>
        <v>0</v>
      </c>
      <c r="J982" s="9"/>
      <c r="K982" s="10"/>
      <c r="L982" s="10"/>
      <c r="M982" s="39">
        <f t="shared" si="1449"/>
        <v>0</v>
      </c>
      <c r="N982" s="138">
        <f t="shared" si="1450"/>
        <v>0</v>
      </c>
      <c r="O982" s="58"/>
      <c r="P982" s="11" t="s">
        <v>798</v>
      </c>
      <c r="Q982" s="9"/>
      <c r="R982" s="10"/>
      <c r="S982" s="10"/>
      <c r="T982" s="8">
        <f t="shared" si="1467"/>
        <v>0</v>
      </c>
      <c r="U982" s="9"/>
      <c r="V982" s="10"/>
      <c r="W982" s="10"/>
      <c r="X982" s="8">
        <f t="shared" si="1468"/>
        <v>0</v>
      </c>
      <c r="Y982" s="9"/>
      <c r="Z982" s="10"/>
      <c r="AA982" s="10"/>
      <c r="AB982" s="8">
        <f t="shared" si="1469"/>
        <v>0</v>
      </c>
      <c r="AC982" s="86">
        <f t="shared" si="1470"/>
        <v>0</v>
      </c>
      <c r="AD982" s="109" t="s">
        <v>799</v>
      </c>
    </row>
    <row r="983" spans="1:31" x14ac:dyDescent="0.15">
      <c r="A983" s="33"/>
      <c r="B983" s="9"/>
      <c r="C983" s="10"/>
      <c r="D983" s="10"/>
      <c r="E983" s="8">
        <f t="shared" si="1447"/>
        <v>0</v>
      </c>
      <c r="F983" s="9"/>
      <c r="G983" s="10"/>
      <c r="H983" s="10"/>
      <c r="I983" s="8">
        <f t="shared" si="1448"/>
        <v>0</v>
      </c>
      <c r="J983" s="9"/>
      <c r="K983" s="10"/>
      <c r="L983" s="10"/>
      <c r="M983" s="39">
        <f t="shared" si="1449"/>
        <v>0</v>
      </c>
      <c r="N983" s="138">
        <f t="shared" si="1450"/>
        <v>0</v>
      </c>
      <c r="O983" s="58"/>
      <c r="P983" s="4" t="s">
        <v>814</v>
      </c>
      <c r="Q983" s="9"/>
      <c r="R983" s="10"/>
      <c r="S983" s="10"/>
      <c r="T983" s="8">
        <f t="shared" si="1467"/>
        <v>0</v>
      </c>
      <c r="U983" s="9"/>
      <c r="V983" s="10"/>
      <c r="W983" s="10"/>
      <c r="X983" s="8">
        <f t="shared" si="1468"/>
        <v>0</v>
      </c>
      <c r="Y983" s="9"/>
      <c r="Z983" s="10"/>
      <c r="AA983" s="10"/>
      <c r="AB983" s="8">
        <f t="shared" si="1469"/>
        <v>0</v>
      </c>
      <c r="AC983" s="86">
        <f t="shared" si="1470"/>
        <v>0</v>
      </c>
      <c r="AD983" s="116" t="s">
        <v>735</v>
      </c>
      <c r="AE983" s="58"/>
    </row>
    <row r="984" spans="1:31" x14ac:dyDescent="0.15">
      <c r="A984" s="33"/>
      <c r="B984" s="9"/>
      <c r="C984" s="10"/>
      <c r="D984" s="10"/>
      <c r="E984" s="8">
        <f t="shared" si="1447"/>
        <v>0</v>
      </c>
      <c r="F984" s="9"/>
      <c r="G984" s="10"/>
      <c r="H984" s="10"/>
      <c r="I984" s="8">
        <f t="shared" si="1448"/>
        <v>0</v>
      </c>
      <c r="J984" s="9"/>
      <c r="K984" s="10"/>
      <c r="L984" s="10"/>
      <c r="M984" s="39">
        <f t="shared" si="1449"/>
        <v>0</v>
      </c>
      <c r="N984" s="138">
        <f t="shared" si="1450"/>
        <v>0</v>
      </c>
      <c r="P984" s="4" t="s">
        <v>731</v>
      </c>
      <c r="Q984" s="9"/>
      <c r="R984" s="10"/>
      <c r="S984" s="10"/>
      <c r="T984" s="8">
        <f t="shared" si="1467"/>
        <v>0</v>
      </c>
      <c r="U984" s="9"/>
      <c r="V984" s="10"/>
      <c r="W984" s="10"/>
      <c r="X984" s="8">
        <f t="shared" si="1468"/>
        <v>0</v>
      </c>
      <c r="Y984" s="9"/>
      <c r="Z984" s="10"/>
      <c r="AA984" s="10"/>
      <c r="AB984" s="8">
        <f t="shared" si="1469"/>
        <v>0</v>
      </c>
      <c r="AC984" s="86">
        <f t="shared" si="1470"/>
        <v>0</v>
      </c>
      <c r="AD984" s="116" t="s">
        <v>732</v>
      </c>
      <c r="AE984" s="58"/>
    </row>
    <row r="985" spans="1:31" x14ac:dyDescent="0.15">
      <c r="A985" s="33"/>
      <c r="B985" s="9"/>
      <c r="C985" s="10"/>
      <c r="D985" s="10"/>
      <c r="E985" s="8">
        <f t="shared" si="1447"/>
        <v>0</v>
      </c>
      <c r="F985" s="9"/>
      <c r="G985" s="10"/>
      <c r="H985" s="10"/>
      <c r="I985" s="8">
        <f t="shared" si="1448"/>
        <v>0</v>
      </c>
      <c r="J985" s="9"/>
      <c r="K985" s="10"/>
      <c r="L985" s="10"/>
      <c r="M985" s="39">
        <f t="shared" si="1449"/>
        <v>0</v>
      </c>
      <c r="N985" s="138">
        <f t="shared" si="1450"/>
        <v>0</v>
      </c>
      <c r="P985" s="4" t="s">
        <v>725</v>
      </c>
      <c r="Q985" s="9"/>
      <c r="R985" s="10"/>
      <c r="S985" s="10"/>
      <c r="T985" s="8">
        <f t="shared" si="1467"/>
        <v>0</v>
      </c>
      <c r="U985" s="9"/>
      <c r="V985" s="10"/>
      <c r="W985" s="10"/>
      <c r="X985" s="8">
        <f t="shared" si="1468"/>
        <v>0</v>
      </c>
      <c r="Y985" s="9"/>
      <c r="Z985" s="10"/>
      <c r="AA985" s="10"/>
      <c r="AB985" s="8">
        <f t="shared" si="1469"/>
        <v>0</v>
      </c>
      <c r="AC985" s="86">
        <f t="shared" si="1470"/>
        <v>0</v>
      </c>
      <c r="AD985" s="116" t="s">
        <v>726</v>
      </c>
    </row>
    <row r="986" spans="1:31" ht="14.25" thickBot="1" x14ac:dyDescent="0.2">
      <c r="A986" s="63"/>
      <c r="B986" s="9"/>
      <c r="C986" s="10"/>
      <c r="D986" s="22"/>
      <c r="E986" s="8">
        <f t="shared" si="1447"/>
        <v>0</v>
      </c>
      <c r="F986" s="9"/>
      <c r="G986" s="10"/>
      <c r="H986" s="22"/>
      <c r="I986" s="8">
        <f t="shared" si="1448"/>
        <v>0</v>
      </c>
      <c r="J986" s="9"/>
      <c r="K986" s="10"/>
      <c r="L986" s="22"/>
      <c r="M986" s="39">
        <f t="shared" si="1449"/>
        <v>0</v>
      </c>
      <c r="N986" s="139">
        <f t="shared" si="1450"/>
        <v>0</v>
      </c>
      <c r="P986" s="11" t="s">
        <v>589</v>
      </c>
      <c r="Q986" s="9"/>
      <c r="R986" s="10"/>
      <c r="S986" s="10"/>
      <c r="T986" s="8">
        <f t="shared" si="1467"/>
        <v>0</v>
      </c>
      <c r="U986" s="9"/>
      <c r="V986" s="10"/>
      <c r="W986" s="10"/>
      <c r="X986" s="8">
        <f t="shared" si="1468"/>
        <v>0</v>
      </c>
      <c r="Y986" s="9"/>
      <c r="Z986" s="10"/>
      <c r="AA986" s="10"/>
      <c r="AB986" s="8">
        <f t="shared" si="1469"/>
        <v>0</v>
      </c>
      <c r="AC986" s="86">
        <f t="shared" si="1470"/>
        <v>0</v>
      </c>
      <c r="AD986" s="116" t="s">
        <v>590</v>
      </c>
    </row>
    <row r="987" spans="1:31" ht="14.25" thickBot="1" x14ac:dyDescent="0.2">
      <c r="A987" s="104" t="s">
        <v>5</v>
      </c>
      <c r="B987" s="12">
        <f>SUM(B963:B986)</f>
        <v>26</v>
      </c>
      <c r="C987" s="12">
        <f>SUM(C963:C986)</f>
        <v>30</v>
      </c>
      <c r="D987" s="12">
        <f>SUM(D963:D986)</f>
        <v>32</v>
      </c>
      <c r="E987" s="13">
        <f t="shared" si="1447"/>
        <v>88</v>
      </c>
      <c r="F987" s="12">
        <f>SUM(F963:F986)</f>
        <v>25</v>
      </c>
      <c r="G987" s="12">
        <f>SUM(G963:G986)</f>
        <v>30</v>
      </c>
      <c r="H987" s="12">
        <f>SUM(H963:H986)</f>
        <v>32</v>
      </c>
      <c r="I987" s="13">
        <f t="shared" si="1448"/>
        <v>87</v>
      </c>
      <c r="J987" s="12">
        <f>SUM(J963:J986)</f>
        <v>26</v>
      </c>
      <c r="K987" s="12">
        <f>SUM(K963:K986)</f>
        <v>30</v>
      </c>
      <c r="L987" s="12">
        <f>SUM(L963:L986)</f>
        <v>32</v>
      </c>
      <c r="M987" s="12">
        <f t="shared" si="1449"/>
        <v>88</v>
      </c>
      <c r="N987" s="142">
        <f t="shared" si="1450"/>
        <v>263</v>
      </c>
      <c r="P987" s="3" t="s">
        <v>5</v>
      </c>
      <c r="Q987" s="12">
        <f>SUM(Q963:Q986)</f>
        <v>129</v>
      </c>
      <c r="R987" s="12">
        <f t="shared" ref="R987" si="1490">SUM(R963:R986)</f>
        <v>158</v>
      </c>
      <c r="S987" s="12">
        <f t="shared" ref="S987" si="1491">SUM(S963:S986)</f>
        <v>80</v>
      </c>
      <c r="T987" s="13">
        <f t="shared" ref="T987" si="1492">SUM(T963:T986)</f>
        <v>367</v>
      </c>
      <c r="U987" s="12">
        <f t="shared" ref="U987" si="1493">SUM(U963:U986)</f>
        <v>129</v>
      </c>
      <c r="V987" s="12">
        <f t="shared" ref="V987" si="1494">SUM(V963:V986)</f>
        <v>158</v>
      </c>
      <c r="W987" s="12">
        <f t="shared" ref="W987" si="1495">SUM(W963:W986)</f>
        <v>75</v>
      </c>
      <c r="X987" s="13">
        <f t="shared" ref="X987" si="1496">SUM(X963:X986)</f>
        <v>362</v>
      </c>
      <c r="Y987" s="12">
        <f t="shared" ref="Y987" si="1497">SUM(Y963:Y986)</f>
        <v>129</v>
      </c>
      <c r="Z987" s="12">
        <f t="shared" ref="Z987" si="1498">SUM(Z963:Z986)</f>
        <v>158</v>
      </c>
      <c r="AA987" s="12">
        <f t="shared" ref="AA987" si="1499">SUM(AA963:AA986)</f>
        <v>75</v>
      </c>
      <c r="AB987" s="13">
        <f t="shared" ref="AB987" si="1500">SUM(AB963:AB986)</f>
        <v>362</v>
      </c>
      <c r="AC987" s="155">
        <f t="shared" ref="AC987" si="1501">SUM(AC963:AC986)</f>
        <v>1091</v>
      </c>
    </row>
    <row r="988" spans="1:31" ht="14.25" thickBot="1" x14ac:dyDescent="0.2">
      <c r="A988" s="105" t="s">
        <v>6</v>
      </c>
      <c r="B988" s="20">
        <f>B962-B987</f>
        <v>7</v>
      </c>
      <c r="C988" s="20">
        <f t="shared" ref="C988:E988" si="1502">C962-C987</f>
        <v>2</v>
      </c>
      <c r="D988" s="20">
        <f t="shared" si="1502"/>
        <v>9</v>
      </c>
      <c r="E988" s="18">
        <f t="shared" si="1502"/>
        <v>18</v>
      </c>
      <c r="F988" s="20">
        <f>F962-F987</f>
        <v>10</v>
      </c>
      <c r="G988" s="20">
        <f t="shared" ref="G988:I988" si="1503">G962-G987</f>
        <v>2</v>
      </c>
      <c r="H988" s="20">
        <f t="shared" si="1503"/>
        <v>7</v>
      </c>
      <c r="I988" s="18">
        <f t="shared" si="1503"/>
        <v>19</v>
      </c>
      <c r="J988" s="20">
        <f>J962-J987</f>
        <v>9</v>
      </c>
      <c r="K988" s="20">
        <f t="shared" ref="K988:M988" si="1504">K962-K987</f>
        <v>3</v>
      </c>
      <c r="L988" s="20">
        <f t="shared" si="1504"/>
        <v>8</v>
      </c>
      <c r="M988" s="20">
        <f t="shared" si="1504"/>
        <v>20</v>
      </c>
      <c r="N988" s="140">
        <f t="shared" si="1450"/>
        <v>57</v>
      </c>
      <c r="P988" s="19" t="s">
        <v>6</v>
      </c>
      <c r="Q988" s="20">
        <f>Q962-Q987</f>
        <v>546</v>
      </c>
      <c r="R988" s="20">
        <f t="shared" ref="R988" si="1505">R962-R987</f>
        <v>768</v>
      </c>
      <c r="S988" s="20">
        <f t="shared" ref="S988" si="1506">S962-S987</f>
        <v>778</v>
      </c>
      <c r="T988" s="18">
        <f t="shared" ref="T988" si="1507">T962-T987</f>
        <v>2092</v>
      </c>
      <c r="U988" s="20">
        <f t="shared" ref="U988" si="1508">U962-U987</f>
        <v>503</v>
      </c>
      <c r="V988" s="20">
        <f t="shared" ref="V988" si="1509">V962-V987</f>
        <v>867</v>
      </c>
      <c r="W988" s="20">
        <f t="shared" ref="W988" si="1510">W962-W987</f>
        <v>799</v>
      </c>
      <c r="X988" s="18">
        <f t="shared" ref="X988" si="1511">X962-X987</f>
        <v>2169</v>
      </c>
      <c r="Y988" s="20">
        <f t="shared" ref="Y988" si="1512">Y962-Y987</f>
        <v>475</v>
      </c>
      <c r="Z988" s="20">
        <f t="shared" ref="Z988" si="1513">Z962-Z987</f>
        <v>777</v>
      </c>
      <c r="AA988" s="20">
        <f t="shared" ref="AA988" si="1514">AA962-AA987</f>
        <v>700</v>
      </c>
      <c r="AB988" s="18">
        <f t="shared" ref="AB988" si="1515">AB962-AB987</f>
        <v>1952</v>
      </c>
      <c r="AC988" s="88">
        <f t="shared" ref="AC988" si="1516">AC962-AC987</f>
        <v>6213</v>
      </c>
    </row>
    <row r="991" spans="1:31" ht="19.5" thickBot="1" x14ac:dyDescent="0.25">
      <c r="A991" s="108" t="s">
        <v>264</v>
      </c>
      <c r="B991" s="47"/>
      <c r="C991" s="47"/>
      <c r="D991" s="47"/>
      <c r="E991" s="47"/>
      <c r="F991" s="48"/>
      <c r="G991" s="48"/>
      <c r="H991" s="48"/>
      <c r="I991" s="48"/>
      <c r="J991" s="48"/>
      <c r="K991" s="48"/>
      <c r="L991" s="1"/>
      <c r="M991" s="1"/>
      <c r="N991" s="137"/>
      <c r="P991" s="43" t="s">
        <v>263</v>
      </c>
      <c r="Q991" s="44"/>
      <c r="R991" s="44"/>
      <c r="S991" s="44"/>
      <c r="T991" s="44"/>
      <c r="U991" s="45"/>
      <c r="V991" s="45"/>
      <c r="W991" s="45"/>
      <c r="X991" s="45"/>
      <c r="Y991" s="46"/>
      <c r="Z991" s="53"/>
      <c r="AA991" s="1"/>
      <c r="AB991" s="1"/>
    </row>
    <row r="992" spans="1:31" ht="14.25" thickBot="1" x14ac:dyDescent="0.2">
      <c r="A992" s="100" t="s">
        <v>0</v>
      </c>
      <c r="B992" s="337" t="s">
        <v>11</v>
      </c>
      <c r="C992" s="337"/>
      <c r="D992" s="337"/>
      <c r="E992" s="338"/>
      <c r="F992" s="339" t="s">
        <v>9</v>
      </c>
      <c r="G992" s="340"/>
      <c r="H992" s="340"/>
      <c r="I992" s="341"/>
      <c r="J992" s="342" t="s">
        <v>12</v>
      </c>
      <c r="K992" s="343"/>
      <c r="L992" s="343"/>
      <c r="M992" s="343"/>
      <c r="N992" s="347" t="s">
        <v>13</v>
      </c>
      <c r="P992" s="2" t="s">
        <v>0</v>
      </c>
      <c r="Q992" s="336" t="s">
        <v>11</v>
      </c>
      <c r="R992" s="337"/>
      <c r="S992" s="337"/>
      <c r="T992" s="338"/>
      <c r="U992" s="339" t="s">
        <v>9</v>
      </c>
      <c r="V992" s="340"/>
      <c r="W992" s="340"/>
      <c r="X992" s="341"/>
      <c r="Y992" s="342" t="s">
        <v>12</v>
      </c>
      <c r="Z992" s="343"/>
      <c r="AA992" s="343"/>
      <c r="AB992" s="344"/>
      <c r="AC992" s="133" t="s">
        <v>13</v>
      </c>
    </row>
    <row r="993" spans="1:31" ht="14.25" thickBot="1" x14ac:dyDescent="0.2">
      <c r="A993" s="100" t="s">
        <v>1</v>
      </c>
      <c r="B993" s="3" t="s">
        <v>7</v>
      </c>
      <c r="C993" s="2" t="s">
        <v>10</v>
      </c>
      <c r="D993" s="2" t="s">
        <v>8</v>
      </c>
      <c r="E993" s="2" t="s">
        <v>2</v>
      </c>
      <c r="F993" s="3" t="s">
        <v>7</v>
      </c>
      <c r="G993" s="2" t="s">
        <v>10</v>
      </c>
      <c r="H993" s="2" t="s">
        <v>8</v>
      </c>
      <c r="I993" s="2" t="s">
        <v>2</v>
      </c>
      <c r="J993" s="3" t="s">
        <v>7</v>
      </c>
      <c r="K993" s="2" t="s">
        <v>10</v>
      </c>
      <c r="L993" s="2" t="s">
        <v>8</v>
      </c>
      <c r="M993" s="3" t="s">
        <v>2</v>
      </c>
      <c r="N993" s="348"/>
      <c r="P993" s="2" t="s">
        <v>1</v>
      </c>
      <c r="Q993" s="3" t="s">
        <v>7</v>
      </c>
      <c r="R993" s="2" t="s">
        <v>10</v>
      </c>
      <c r="S993" s="2" t="s">
        <v>8</v>
      </c>
      <c r="T993" s="2" t="s">
        <v>2</v>
      </c>
      <c r="U993" s="3" t="s">
        <v>7</v>
      </c>
      <c r="V993" s="2" t="s">
        <v>10</v>
      </c>
      <c r="W993" s="2" t="s">
        <v>8</v>
      </c>
      <c r="X993" s="2" t="s">
        <v>2</v>
      </c>
      <c r="Y993" s="3" t="s">
        <v>7</v>
      </c>
      <c r="Z993" s="2" t="s">
        <v>10</v>
      </c>
      <c r="AA993" s="2" t="s">
        <v>8</v>
      </c>
      <c r="AB993" s="2" t="s">
        <v>2</v>
      </c>
      <c r="AC993" s="134"/>
    </row>
    <row r="994" spans="1:31" x14ac:dyDescent="0.15">
      <c r="A994" s="106" t="s">
        <v>6</v>
      </c>
      <c r="B994" s="41">
        <f>B988</f>
        <v>7</v>
      </c>
      <c r="C994" s="41">
        <f t="shared" ref="C994:E994" si="1517">C988</f>
        <v>2</v>
      </c>
      <c r="D994" s="41">
        <f t="shared" si="1517"/>
        <v>9</v>
      </c>
      <c r="E994" s="42">
        <f t="shared" si="1517"/>
        <v>18</v>
      </c>
      <c r="F994" s="41">
        <f>F988</f>
        <v>10</v>
      </c>
      <c r="G994" s="41">
        <f t="shared" ref="G994:I994" si="1518">G988</f>
        <v>2</v>
      </c>
      <c r="H994" s="41">
        <f t="shared" si="1518"/>
        <v>7</v>
      </c>
      <c r="I994" s="42">
        <f t="shared" si="1518"/>
        <v>19</v>
      </c>
      <c r="J994" s="41">
        <f>J988</f>
        <v>9</v>
      </c>
      <c r="K994" s="41">
        <f t="shared" ref="K994:M994" si="1519">K988</f>
        <v>3</v>
      </c>
      <c r="L994" s="41">
        <f t="shared" si="1519"/>
        <v>8</v>
      </c>
      <c r="M994" s="42">
        <f t="shared" si="1519"/>
        <v>20</v>
      </c>
      <c r="N994" s="143">
        <f>E994+I994+M994</f>
        <v>57</v>
      </c>
      <c r="P994" s="36" t="s">
        <v>6</v>
      </c>
      <c r="Q994" s="41">
        <f>Q988</f>
        <v>546</v>
      </c>
      <c r="R994" s="41">
        <f t="shared" ref="R994:AC994" si="1520">R988</f>
        <v>768</v>
      </c>
      <c r="S994" s="41">
        <f t="shared" si="1520"/>
        <v>778</v>
      </c>
      <c r="T994" s="42">
        <f t="shared" si="1520"/>
        <v>2092</v>
      </c>
      <c r="U994" s="41">
        <f t="shared" si="1520"/>
        <v>503</v>
      </c>
      <c r="V994" s="41">
        <f t="shared" si="1520"/>
        <v>867</v>
      </c>
      <c r="W994" s="41">
        <f t="shared" si="1520"/>
        <v>799</v>
      </c>
      <c r="X994" s="42">
        <f t="shared" si="1520"/>
        <v>2169</v>
      </c>
      <c r="Y994" s="41">
        <f t="shared" si="1520"/>
        <v>475</v>
      </c>
      <c r="Z994" s="41">
        <f t="shared" si="1520"/>
        <v>777</v>
      </c>
      <c r="AA994" s="41">
        <f t="shared" si="1520"/>
        <v>700</v>
      </c>
      <c r="AB994" s="42">
        <f t="shared" si="1520"/>
        <v>1952</v>
      </c>
      <c r="AC994" s="90">
        <f t="shared" si="1520"/>
        <v>6213</v>
      </c>
    </row>
    <row r="995" spans="1:31" x14ac:dyDescent="0.15">
      <c r="A995" s="102" t="s">
        <v>3</v>
      </c>
      <c r="B995" s="25">
        <v>5</v>
      </c>
      <c r="C995" s="26">
        <v>10</v>
      </c>
      <c r="D995" s="26">
        <v>5</v>
      </c>
      <c r="E995" s="5">
        <f t="shared" ref="E995:E1030" si="1521">SUM(B995:D995)</f>
        <v>20</v>
      </c>
      <c r="F995" s="25">
        <v>5</v>
      </c>
      <c r="G995" s="26">
        <v>10</v>
      </c>
      <c r="H995" s="26">
        <v>10</v>
      </c>
      <c r="I995" s="5">
        <f t="shared" ref="I995:I1030" si="1522">SUM(F995:H995)</f>
        <v>25</v>
      </c>
      <c r="J995" s="25">
        <v>5</v>
      </c>
      <c r="K995" s="26">
        <v>10</v>
      </c>
      <c r="L995" s="26">
        <v>10</v>
      </c>
      <c r="M995" s="38">
        <f t="shared" ref="M995:M1030" si="1523">SUM(J995:L995)</f>
        <v>25</v>
      </c>
      <c r="N995" s="138">
        <f t="shared" ref="N995:N1031" si="1524">E995+I995+M995</f>
        <v>70</v>
      </c>
      <c r="O995" s="24">
        <v>45808</v>
      </c>
      <c r="P995" s="6" t="s">
        <v>3</v>
      </c>
      <c r="Q995" s="14"/>
      <c r="R995" s="11"/>
      <c r="S995" s="11"/>
      <c r="T995" s="5">
        <f t="shared" ref="T995:T1029" si="1525">SUM(Q995:S995)</f>
        <v>0</v>
      </c>
      <c r="U995" s="14"/>
      <c r="V995" s="11"/>
      <c r="W995" s="11"/>
      <c r="X995" s="5">
        <f t="shared" ref="X995:X1029" si="1526">SUM(U995:W995)</f>
        <v>0</v>
      </c>
      <c r="Y995" s="25"/>
      <c r="Z995" s="26"/>
      <c r="AA995" s="26"/>
      <c r="AB995" s="5">
        <f t="shared" ref="AB995:AB1029" si="1527">SUM(Y995:AA995)</f>
        <v>0</v>
      </c>
      <c r="AC995" s="86">
        <f t="shared" ref="AC995:AC1029" si="1528">T995+X995+AB995</f>
        <v>0</v>
      </c>
    </row>
    <row r="996" spans="1:31" x14ac:dyDescent="0.15">
      <c r="A996" s="102" t="s">
        <v>3</v>
      </c>
      <c r="B996" s="14">
        <v>5</v>
      </c>
      <c r="C996" s="11">
        <v>10</v>
      </c>
      <c r="D996" s="11"/>
      <c r="E996" s="5">
        <f t="shared" si="1521"/>
        <v>15</v>
      </c>
      <c r="F996" s="34">
        <v>5</v>
      </c>
      <c r="G996" s="11">
        <v>10</v>
      </c>
      <c r="H996" s="11"/>
      <c r="I996" s="5">
        <f t="shared" si="1522"/>
        <v>15</v>
      </c>
      <c r="J996" s="34">
        <v>5</v>
      </c>
      <c r="K996" s="11">
        <v>10</v>
      </c>
      <c r="L996" s="11"/>
      <c r="M996" s="38">
        <f t="shared" si="1523"/>
        <v>15</v>
      </c>
      <c r="N996" s="138">
        <f t="shared" si="1524"/>
        <v>45</v>
      </c>
      <c r="O996" s="24">
        <v>45813</v>
      </c>
      <c r="P996" s="6" t="s">
        <v>3</v>
      </c>
      <c r="Q996" s="14"/>
      <c r="R996" s="11"/>
      <c r="S996" s="11"/>
      <c r="T996" s="5">
        <f t="shared" si="1525"/>
        <v>0</v>
      </c>
      <c r="U996" s="14"/>
      <c r="V996" s="11"/>
      <c r="W996" s="11"/>
      <c r="X996" s="5">
        <f t="shared" si="1526"/>
        <v>0</v>
      </c>
      <c r="Y996" s="25"/>
      <c r="Z996" s="26"/>
      <c r="AA996" s="26"/>
      <c r="AB996" s="5">
        <f t="shared" si="1527"/>
        <v>0</v>
      </c>
      <c r="AC996" s="86">
        <f t="shared" si="1528"/>
        <v>0</v>
      </c>
    </row>
    <row r="997" spans="1:31" x14ac:dyDescent="0.15">
      <c r="A997" s="102" t="s">
        <v>3</v>
      </c>
      <c r="B997" s="14">
        <v>10</v>
      </c>
      <c r="C997" s="11">
        <v>10</v>
      </c>
      <c r="D997" s="11">
        <v>16</v>
      </c>
      <c r="E997" s="5">
        <f t="shared" si="1521"/>
        <v>36</v>
      </c>
      <c r="F997" s="34">
        <v>10</v>
      </c>
      <c r="G997" s="11">
        <v>10</v>
      </c>
      <c r="H997" s="11">
        <v>10</v>
      </c>
      <c r="I997" s="5">
        <f t="shared" si="1522"/>
        <v>30</v>
      </c>
      <c r="J997" s="34">
        <v>10</v>
      </c>
      <c r="K997" s="11">
        <v>10</v>
      </c>
      <c r="L997" s="11">
        <v>10</v>
      </c>
      <c r="M997" s="38">
        <f t="shared" si="1523"/>
        <v>30</v>
      </c>
      <c r="N997" s="138">
        <f t="shared" si="1524"/>
        <v>96</v>
      </c>
      <c r="O997" s="24">
        <v>45815</v>
      </c>
      <c r="P997" s="6" t="s">
        <v>3</v>
      </c>
      <c r="Q997" s="14"/>
      <c r="R997" s="11"/>
      <c r="S997" s="11"/>
      <c r="T997" s="5">
        <f t="shared" si="1525"/>
        <v>0</v>
      </c>
      <c r="U997" s="14"/>
      <c r="V997" s="11"/>
      <c r="W997" s="11"/>
      <c r="X997" s="5">
        <f t="shared" si="1526"/>
        <v>0</v>
      </c>
      <c r="Y997" s="25"/>
      <c r="Z997" s="26"/>
      <c r="AA997" s="26"/>
      <c r="AB997" s="5">
        <f t="shared" si="1527"/>
        <v>0</v>
      </c>
      <c r="AC997" s="86">
        <f t="shared" si="1528"/>
        <v>0</v>
      </c>
    </row>
    <row r="998" spans="1:31" x14ac:dyDescent="0.15">
      <c r="A998" s="102" t="s">
        <v>281</v>
      </c>
      <c r="B998" s="14">
        <v>1</v>
      </c>
      <c r="C998" s="11"/>
      <c r="D998" s="11"/>
      <c r="E998" s="5">
        <f t="shared" ref="E998" si="1529">SUM(B998:D998)</f>
        <v>1</v>
      </c>
      <c r="F998" s="34">
        <v>1</v>
      </c>
      <c r="G998" s="11"/>
      <c r="H998" s="11"/>
      <c r="I998" s="5">
        <f t="shared" ref="I998" si="1530">SUM(F998:H998)</f>
        <v>1</v>
      </c>
      <c r="J998" s="34">
        <v>1</v>
      </c>
      <c r="K998" s="11"/>
      <c r="L998" s="11"/>
      <c r="M998" s="38">
        <f t="shared" ref="M998" si="1531">SUM(J998:L998)</f>
        <v>1</v>
      </c>
      <c r="N998" s="138">
        <f t="shared" si="1524"/>
        <v>3</v>
      </c>
      <c r="O998" s="70">
        <v>45819</v>
      </c>
      <c r="P998" s="6" t="s">
        <v>378</v>
      </c>
      <c r="Q998" s="14">
        <v>280</v>
      </c>
      <c r="R998" s="11">
        <v>480</v>
      </c>
      <c r="S998" s="11">
        <v>280</v>
      </c>
      <c r="T998" s="5">
        <f t="shared" si="1525"/>
        <v>1040</v>
      </c>
      <c r="U998" s="14">
        <v>280</v>
      </c>
      <c r="V998" s="11">
        <v>480</v>
      </c>
      <c r="W998" s="11">
        <v>280</v>
      </c>
      <c r="X998" s="5">
        <f t="shared" si="1526"/>
        <v>1040</v>
      </c>
      <c r="Y998" s="25">
        <v>280</v>
      </c>
      <c r="Z998" s="26">
        <v>480</v>
      </c>
      <c r="AA998" s="26">
        <v>280</v>
      </c>
      <c r="AB998" s="8">
        <f t="shared" si="1527"/>
        <v>1040</v>
      </c>
      <c r="AC998" s="86">
        <f t="shared" si="1528"/>
        <v>3120</v>
      </c>
      <c r="AD998" s="109" t="s">
        <v>904</v>
      </c>
    </row>
    <row r="999" spans="1:31" x14ac:dyDescent="0.15">
      <c r="A999" s="102" t="s">
        <v>57</v>
      </c>
      <c r="B999" s="14"/>
      <c r="C999" s="11"/>
      <c r="D999" s="11">
        <v>2</v>
      </c>
      <c r="E999" s="5">
        <f t="shared" si="1521"/>
        <v>2</v>
      </c>
      <c r="F999" s="34"/>
      <c r="G999" s="11"/>
      <c r="H999" s="11">
        <v>2</v>
      </c>
      <c r="I999" s="5">
        <f t="shared" si="1522"/>
        <v>2</v>
      </c>
      <c r="J999" s="34"/>
      <c r="K999" s="11"/>
      <c r="L999" s="11">
        <v>2</v>
      </c>
      <c r="M999" s="38">
        <f t="shared" si="1523"/>
        <v>2</v>
      </c>
      <c r="N999" s="138">
        <f t="shared" si="1524"/>
        <v>6</v>
      </c>
      <c r="O999" s="24">
        <v>45821</v>
      </c>
      <c r="P999" s="6" t="s">
        <v>701</v>
      </c>
      <c r="Q999" s="14">
        <v>11</v>
      </c>
      <c r="R999" s="11">
        <v>18</v>
      </c>
      <c r="S999" s="11">
        <v>8</v>
      </c>
      <c r="T999" s="5">
        <f t="shared" si="1525"/>
        <v>37</v>
      </c>
      <c r="U999" s="14">
        <v>19</v>
      </c>
      <c r="V999" s="11">
        <v>39</v>
      </c>
      <c r="W999" s="11">
        <v>22</v>
      </c>
      <c r="X999" s="5">
        <f t="shared" si="1526"/>
        <v>80</v>
      </c>
      <c r="Y999" s="25">
        <v>20</v>
      </c>
      <c r="Z999" s="26">
        <v>25</v>
      </c>
      <c r="AA999" s="26">
        <v>16</v>
      </c>
      <c r="AB999" s="8">
        <f t="shared" si="1527"/>
        <v>61</v>
      </c>
      <c r="AC999" s="86">
        <f t="shared" si="1528"/>
        <v>178</v>
      </c>
      <c r="AD999" s="116" t="s">
        <v>878</v>
      </c>
    </row>
    <row r="1000" spans="1:31" x14ac:dyDescent="0.15">
      <c r="A1000" s="102" t="s">
        <v>372</v>
      </c>
      <c r="B1000" s="25"/>
      <c r="C1000" s="26"/>
      <c r="D1000" s="26"/>
      <c r="E1000" s="8">
        <f t="shared" si="1521"/>
        <v>0</v>
      </c>
      <c r="F1000" s="25"/>
      <c r="G1000" s="26">
        <v>-1</v>
      </c>
      <c r="H1000" s="26"/>
      <c r="I1000" s="8">
        <f t="shared" si="1522"/>
        <v>-1</v>
      </c>
      <c r="J1000" s="25">
        <v>-2</v>
      </c>
      <c r="K1000" s="26"/>
      <c r="L1000" s="26">
        <v>-3</v>
      </c>
      <c r="M1000" s="39">
        <f t="shared" si="1523"/>
        <v>-5</v>
      </c>
      <c r="N1000" s="153">
        <f t="shared" si="1524"/>
        <v>-6</v>
      </c>
      <c r="P1000" s="6" t="s">
        <v>3</v>
      </c>
      <c r="Q1000" s="14"/>
      <c r="R1000" s="11"/>
      <c r="S1000" s="11"/>
      <c r="T1000" s="5">
        <f t="shared" si="1525"/>
        <v>0</v>
      </c>
      <c r="U1000" s="14"/>
      <c r="V1000" s="11"/>
      <c r="W1000" s="11"/>
      <c r="X1000" s="5">
        <f t="shared" si="1526"/>
        <v>0</v>
      </c>
      <c r="Y1000" s="25"/>
      <c r="Z1000" s="26"/>
      <c r="AA1000" s="26"/>
      <c r="AB1000" s="8">
        <f t="shared" si="1527"/>
        <v>0</v>
      </c>
      <c r="AC1000" s="86">
        <f t="shared" si="1528"/>
        <v>0</v>
      </c>
    </row>
    <row r="1001" spans="1:31" x14ac:dyDescent="0.15">
      <c r="A1001" s="102" t="s">
        <v>3</v>
      </c>
      <c r="B1001" s="27"/>
      <c r="C1001" s="26"/>
      <c r="D1001" s="26"/>
      <c r="E1001" s="5">
        <f t="shared" si="1521"/>
        <v>0</v>
      </c>
      <c r="F1001" s="25"/>
      <c r="G1001" s="26"/>
      <c r="H1001" s="26"/>
      <c r="I1001" s="5">
        <f t="shared" si="1522"/>
        <v>0</v>
      </c>
      <c r="J1001" s="25"/>
      <c r="K1001" s="26"/>
      <c r="L1001" s="26"/>
      <c r="M1001" s="38">
        <f t="shared" si="1523"/>
        <v>0</v>
      </c>
      <c r="N1001" s="138">
        <f t="shared" si="1524"/>
        <v>0</v>
      </c>
      <c r="P1001" s="6" t="s">
        <v>3</v>
      </c>
      <c r="Q1001" s="27"/>
      <c r="R1001" s="26"/>
      <c r="S1001" s="26"/>
      <c r="T1001" s="5">
        <f t="shared" si="1525"/>
        <v>0</v>
      </c>
      <c r="U1001" s="27"/>
      <c r="V1001" s="26"/>
      <c r="W1001" s="26"/>
      <c r="X1001" s="5">
        <f t="shared" si="1526"/>
        <v>0</v>
      </c>
      <c r="Y1001" s="25"/>
      <c r="Z1001" s="26"/>
      <c r="AA1001" s="26"/>
      <c r="AB1001" s="5">
        <f t="shared" si="1527"/>
        <v>0</v>
      </c>
      <c r="AC1001" s="86">
        <f t="shared" si="1528"/>
        <v>0</v>
      </c>
    </row>
    <row r="1002" spans="1:31" x14ac:dyDescent="0.15">
      <c r="A1002" s="102" t="s">
        <v>3</v>
      </c>
      <c r="B1002" s="27"/>
      <c r="C1002" s="26"/>
      <c r="D1002" s="26"/>
      <c r="E1002" s="5">
        <f t="shared" si="1521"/>
        <v>0</v>
      </c>
      <c r="F1002" s="25"/>
      <c r="G1002" s="26"/>
      <c r="H1002" s="26"/>
      <c r="I1002" s="5">
        <f t="shared" si="1522"/>
        <v>0</v>
      </c>
      <c r="J1002" s="25"/>
      <c r="K1002" s="26"/>
      <c r="L1002" s="26"/>
      <c r="M1002" s="38">
        <f t="shared" si="1523"/>
        <v>0</v>
      </c>
      <c r="N1002" s="138">
        <f t="shared" si="1524"/>
        <v>0</v>
      </c>
      <c r="P1002" s="6" t="s">
        <v>3</v>
      </c>
      <c r="Q1002" s="14"/>
      <c r="R1002" s="11"/>
      <c r="S1002" s="11"/>
      <c r="T1002" s="5">
        <f t="shared" si="1525"/>
        <v>0</v>
      </c>
      <c r="U1002" s="14"/>
      <c r="V1002" s="11"/>
      <c r="W1002" s="11"/>
      <c r="X1002" s="5">
        <f t="shared" si="1526"/>
        <v>0</v>
      </c>
      <c r="Y1002" s="25"/>
      <c r="Z1002" s="26"/>
      <c r="AA1002" s="26"/>
      <c r="AB1002" s="8">
        <f t="shared" si="1527"/>
        <v>0</v>
      </c>
      <c r="AC1002" s="86">
        <f t="shared" si="1528"/>
        <v>0</v>
      </c>
    </row>
    <row r="1003" spans="1:31" x14ac:dyDescent="0.15">
      <c r="A1003" s="102" t="s">
        <v>3</v>
      </c>
      <c r="B1003" s="27"/>
      <c r="C1003" s="26"/>
      <c r="D1003" s="26"/>
      <c r="E1003" s="5">
        <f t="shared" si="1521"/>
        <v>0</v>
      </c>
      <c r="F1003" s="25"/>
      <c r="G1003" s="26"/>
      <c r="H1003" s="26"/>
      <c r="I1003" s="5">
        <f t="shared" si="1522"/>
        <v>0</v>
      </c>
      <c r="J1003" s="25"/>
      <c r="K1003" s="26"/>
      <c r="L1003" s="26"/>
      <c r="M1003" s="38">
        <f t="shared" si="1523"/>
        <v>0</v>
      </c>
      <c r="N1003" s="138">
        <f t="shared" si="1524"/>
        <v>0</v>
      </c>
      <c r="P1003" s="6" t="s">
        <v>3</v>
      </c>
      <c r="Q1003" s="27"/>
      <c r="R1003" s="26"/>
      <c r="S1003" s="26"/>
      <c r="T1003" s="5">
        <f t="shared" si="1525"/>
        <v>0</v>
      </c>
      <c r="U1003" s="27"/>
      <c r="V1003" s="26"/>
      <c r="W1003" s="26"/>
      <c r="X1003" s="5">
        <f t="shared" si="1526"/>
        <v>0</v>
      </c>
      <c r="Y1003" s="25"/>
      <c r="Z1003" s="26"/>
      <c r="AA1003" s="26"/>
      <c r="AB1003" s="5">
        <f t="shared" si="1527"/>
        <v>0</v>
      </c>
      <c r="AC1003" s="86">
        <f t="shared" si="1528"/>
        <v>0</v>
      </c>
    </row>
    <row r="1004" spans="1:31" ht="14.25" thickBot="1" x14ac:dyDescent="0.2">
      <c r="A1004" s="102" t="s">
        <v>3</v>
      </c>
      <c r="B1004" s="28"/>
      <c r="C1004" s="29"/>
      <c r="D1004" s="32"/>
      <c r="E1004" s="15">
        <f t="shared" si="1521"/>
        <v>0</v>
      </c>
      <c r="F1004" s="35"/>
      <c r="G1004" s="29"/>
      <c r="H1004" s="32"/>
      <c r="I1004" s="15">
        <f t="shared" si="1522"/>
        <v>0</v>
      </c>
      <c r="J1004" s="35"/>
      <c r="K1004" s="29"/>
      <c r="L1004" s="32"/>
      <c r="M1004" s="40">
        <f t="shared" si="1523"/>
        <v>0</v>
      </c>
      <c r="N1004" s="139">
        <f t="shared" si="1524"/>
        <v>0</v>
      </c>
      <c r="P1004" s="7" t="s">
        <v>3</v>
      </c>
      <c r="Q1004" s="28"/>
      <c r="R1004" s="29"/>
      <c r="S1004" s="29"/>
      <c r="T1004" s="15">
        <f t="shared" si="1525"/>
        <v>0</v>
      </c>
      <c r="U1004" s="28"/>
      <c r="V1004" s="29"/>
      <c r="W1004" s="29"/>
      <c r="X1004" s="15">
        <f t="shared" si="1526"/>
        <v>0</v>
      </c>
      <c r="Y1004" s="35"/>
      <c r="Z1004" s="29"/>
      <c r="AA1004" s="32"/>
      <c r="AB1004" s="15">
        <f t="shared" si="1527"/>
        <v>0</v>
      </c>
      <c r="AC1004" s="87">
        <f t="shared" si="1528"/>
        <v>0</v>
      </c>
    </row>
    <row r="1005" spans="1:31" ht="14.25" thickBot="1" x14ac:dyDescent="0.2">
      <c r="A1005" s="103" t="s">
        <v>4</v>
      </c>
      <c r="B1005" s="17">
        <f>SUM(B994:B1004)</f>
        <v>28</v>
      </c>
      <c r="C1005" s="17">
        <f>SUM(C994:C1004)</f>
        <v>32</v>
      </c>
      <c r="D1005" s="17">
        <f>SUM(D994:D1004)</f>
        <v>32</v>
      </c>
      <c r="E1005" s="18">
        <f t="shared" si="1521"/>
        <v>92</v>
      </c>
      <c r="F1005" s="17">
        <f>SUM(F994:F1004)</f>
        <v>31</v>
      </c>
      <c r="G1005" s="17">
        <f>SUM(G994:G1004)</f>
        <v>31</v>
      </c>
      <c r="H1005" s="17">
        <f>SUM(H994:H1004)</f>
        <v>29</v>
      </c>
      <c r="I1005" s="18">
        <f t="shared" si="1522"/>
        <v>91</v>
      </c>
      <c r="J1005" s="17">
        <f>SUM(J994:J1004)</f>
        <v>28</v>
      </c>
      <c r="K1005" s="17">
        <f>SUM(K994:K1004)</f>
        <v>33</v>
      </c>
      <c r="L1005" s="17">
        <f>SUM(L994:L1004)</f>
        <v>27</v>
      </c>
      <c r="M1005" s="20">
        <f t="shared" si="1523"/>
        <v>88</v>
      </c>
      <c r="N1005" s="140">
        <f t="shared" si="1524"/>
        <v>271</v>
      </c>
      <c r="P1005" s="16" t="s">
        <v>4</v>
      </c>
      <c r="Q1005" s="17">
        <f>SUM(Q994:Q1004)</f>
        <v>837</v>
      </c>
      <c r="R1005" s="17">
        <f t="shared" ref="R1005" si="1532">SUM(R994:R1004)</f>
        <v>1266</v>
      </c>
      <c r="S1005" s="17">
        <f t="shared" ref="S1005" si="1533">SUM(S994:S1004)</f>
        <v>1066</v>
      </c>
      <c r="T1005" s="18">
        <f t="shared" ref="T1005" si="1534">SUM(T994:T1004)</f>
        <v>3169</v>
      </c>
      <c r="U1005" s="17">
        <f t="shared" ref="U1005" si="1535">SUM(U994:U1004)</f>
        <v>802</v>
      </c>
      <c r="V1005" s="17">
        <f t="shared" ref="V1005" si="1536">SUM(V994:V1004)</f>
        <v>1386</v>
      </c>
      <c r="W1005" s="17">
        <f t="shared" ref="W1005" si="1537">SUM(W994:W1004)</f>
        <v>1101</v>
      </c>
      <c r="X1005" s="18">
        <f t="shared" ref="X1005" si="1538">SUM(X994:X1004)</f>
        <v>3289</v>
      </c>
      <c r="Y1005" s="17">
        <f t="shared" ref="Y1005" si="1539">SUM(Y994:Y1004)</f>
        <v>775</v>
      </c>
      <c r="Z1005" s="17">
        <f t="shared" ref="Z1005" si="1540">SUM(Z994:Z1004)</f>
        <v>1282</v>
      </c>
      <c r="AA1005" s="17">
        <f t="shared" ref="AA1005" si="1541">SUM(AA994:AA1004)</f>
        <v>996</v>
      </c>
      <c r="AB1005" s="18">
        <f t="shared" ref="AB1005" si="1542">SUM(AB994:AB1004)</f>
        <v>3053</v>
      </c>
      <c r="AC1005" s="88">
        <f t="shared" ref="AC1005" si="1543">SUM(AC994:AC1004)</f>
        <v>9511</v>
      </c>
    </row>
    <row r="1006" spans="1:31" x14ac:dyDescent="0.15">
      <c r="A1006" s="4" t="s">
        <v>905</v>
      </c>
      <c r="B1006" s="9">
        <v>1</v>
      </c>
      <c r="C1006" s="10">
        <v>4</v>
      </c>
      <c r="D1006" s="31"/>
      <c r="E1006" s="5">
        <f t="shared" si="1521"/>
        <v>5</v>
      </c>
      <c r="F1006" s="9">
        <v>1</v>
      </c>
      <c r="G1006" s="10">
        <v>4</v>
      </c>
      <c r="H1006" s="31"/>
      <c r="I1006" s="5">
        <f t="shared" si="1522"/>
        <v>5</v>
      </c>
      <c r="J1006" s="9">
        <v>1</v>
      </c>
      <c r="K1006" s="10">
        <v>4</v>
      </c>
      <c r="L1006" s="31"/>
      <c r="M1006" s="38">
        <f t="shared" si="1523"/>
        <v>5</v>
      </c>
      <c r="N1006" s="141">
        <f t="shared" si="1524"/>
        <v>15</v>
      </c>
      <c r="O1006" s="24">
        <v>45813</v>
      </c>
      <c r="P1006" s="4" t="s">
        <v>27</v>
      </c>
      <c r="Q1006" s="9"/>
      <c r="R1006" s="10"/>
      <c r="S1006" s="31">
        <v>10</v>
      </c>
      <c r="T1006" s="5">
        <f t="shared" ref="T1006:T1007" si="1544">SUM(Q1006:S1006)</f>
        <v>10</v>
      </c>
      <c r="U1006" s="9"/>
      <c r="V1006" s="10"/>
      <c r="W1006" s="31">
        <v>10</v>
      </c>
      <c r="X1006" s="5">
        <f t="shared" ref="X1006:X1007" si="1545">SUM(U1006:W1006)</f>
        <v>10</v>
      </c>
      <c r="Y1006" s="9"/>
      <c r="Z1006" s="10"/>
      <c r="AA1006" s="31">
        <v>10</v>
      </c>
      <c r="AB1006" s="5">
        <f t="shared" ref="AB1006:AB1007" si="1546">SUM(Y1006:AA1006)</f>
        <v>10</v>
      </c>
      <c r="AC1006" s="146">
        <f t="shared" si="1528"/>
        <v>30</v>
      </c>
      <c r="AD1006" s="109">
        <v>45803</v>
      </c>
    </row>
    <row r="1007" spans="1:31" x14ac:dyDescent="0.15">
      <c r="A1007" s="4" t="s">
        <v>906</v>
      </c>
      <c r="B1007" s="9">
        <v>2</v>
      </c>
      <c r="C1007" s="10">
        <v>2</v>
      </c>
      <c r="D1007" s="10">
        <v>1</v>
      </c>
      <c r="E1007" s="5">
        <f t="shared" si="1521"/>
        <v>5</v>
      </c>
      <c r="F1007" s="9">
        <v>2</v>
      </c>
      <c r="G1007" s="10">
        <v>2</v>
      </c>
      <c r="H1007" s="10">
        <v>1</v>
      </c>
      <c r="I1007" s="5">
        <f t="shared" si="1522"/>
        <v>5</v>
      </c>
      <c r="J1007" s="9">
        <v>2</v>
      </c>
      <c r="K1007" s="10">
        <v>2</v>
      </c>
      <c r="L1007" s="10">
        <v>1</v>
      </c>
      <c r="M1007" s="38">
        <f t="shared" si="1523"/>
        <v>5</v>
      </c>
      <c r="N1007" s="138">
        <f t="shared" si="1524"/>
        <v>15</v>
      </c>
      <c r="O1007" s="24">
        <v>45814</v>
      </c>
      <c r="P1007" s="4" t="s">
        <v>27</v>
      </c>
      <c r="Q1007" s="9"/>
      <c r="R1007" s="10">
        <v>10</v>
      </c>
      <c r="S1007" s="10">
        <v>5</v>
      </c>
      <c r="T1007" s="8">
        <f t="shared" si="1544"/>
        <v>15</v>
      </c>
      <c r="U1007" s="9"/>
      <c r="V1007" s="10">
        <v>10</v>
      </c>
      <c r="W1007" s="10">
        <v>5</v>
      </c>
      <c r="X1007" s="8">
        <f t="shared" si="1545"/>
        <v>15</v>
      </c>
      <c r="Y1007" s="9"/>
      <c r="Z1007" s="10">
        <v>10</v>
      </c>
      <c r="AA1007" s="10">
        <v>5</v>
      </c>
      <c r="AB1007" s="8">
        <f t="shared" si="1546"/>
        <v>15</v>
      </c>
      <c r="AC1007" s="145">
        <f t="shared" si="1528"/>
        <v>45</v>
      </c>
      <c r="AD1007" s="109">
        <v>45804</v>
      </c>
    </row>
    <row r="1008" spans="1:31" x14ac:dyDescent="0.15">
      <c r="A1008" s="4" t="s">
        <v>910</v>
      </c>
      <c r="B1008" s="9"/>
      <c r="C1008" s="10">
        <v>4</v>
      </c>
      <c r="D1008" s="10">
        <v>2</v>
      </c>
      <c r="E1008" s="5">
        <f t="shared" si="1521"/>
        <v>6</v>
      </c>
      <c r="F1008" s="9"/>
      <c r="G1008" s="10">
        <v>4</v>
      </c>
      <c r="H1008" s="10">
        <v>2</v>
      </c>
      <c r="I1008" s="5">
        <f t="shared" si="1522"/>
        <v>6</v>
      </c>
      <c r="J1008" s="9"/>
      <c r="K1008" s="10">
        <v>4</v>
      </c>
      <c r="L1008" s="10">
        <v>2</v>
      </c>
      <c r="M1008" s="38">
        <f t="shared" si="1523"/>
        <v>6</v>
      </c>
      <c r="N1008" s="138">
        <f t="shared" si="1524"/>
        <v>18</v>
      </c>
      <c r="O1008" s="24">
        <v>45814</v>
      </c>
      <c r="P1008" s="11" t="s">
        <v>884</v>
      </c>
      <c r="Q1008" s="9"/>
      <c r="R1008" s="10">
        <v>5</v>
      </c>
      <c r="S1008" s="10">
        <v>10</v>
      </c>
      <c r="T1008" s="5">
        <f t="shared" si="1525"/>
        <v>15</v>
      </c>
      <c r="U1008" s="9"/>
      <c r="V1008" s="10">
        <v>5</v>
      </c>
      <c r="W1008" s="10">
        <v>10</v>
      </c>
      <c r="X1008" s="5">
        <f t="shared" si="1526"/>
        <v>15</v>
      </c>
      <c r="Y1008" s="9"/>
      <c r="Z1008" s="10">
        <v>5</v>
      </c>
      <c r="AA1008" s="10">
        <v>10</v>
      </c>
      <c r="AB1008" s="5">
        <f t="shared" si="1527"/>
        <v>15</v>
      </c>
      <c r="AC1008" s="86">
        <f t="shared" si="1528"/>
        <v>45</v>
      </c>
      <c r="AD1008" s="109">
        <v>45807</v>
      </c>
      <c r="AE1008" s="58"/>
    </row>
    <row r="1009" spans="1:31" x14ac:dyDescent="0.15">
      <c r="A1009" s="33" t="s">
        <v>36</v>
      </c>
      <c r="B1009" s="9">
        <v>1</v>
      </c>
      <c r="C1009" s="10"/>
      <c r="D1009" s="10"/>
      <c r="E1009" s="5">
        <f t="shared" si="1521"/>
        <v>1</v>
      </c>
      <c r="F1009" s="9">
        <v>1</v>
      </c>
      <c r="G1009" s="10"/>
      <c r="H1009" s="10"/>
      <c r="I1009" s="5">
        <f t="shared" si="1522"/>
        <v>1</v>
      </c>
      <c r="J1009" s="9">
        <v>1</v>
      </c>
      <c r="K1009" s="10"/>
      <c r="L1009" s="10"/>
      <c r="M1009" s="38">
        <f t="shared" si="1523"/>
        <v>1</v>
      </c>
      <c r="N1009" s="138">
        <f t="shared" si="1524"/>
        <v>3</v>
      </c>
      <c r="O1009" s="24">
        <v>45813</v>
      </c>
      <c r="P1009" s="4" t="s">
        <v>885</v>
      </c>
      <c r="Q1009" s="9">
        <v>20</v>
      </c>
      <c r="R1009" s="10">
        <v>30</v>
      </c>
      <c r="S1009" s="10">
        <v>20</v>
      </c>
      <c r="T1009" s="5">
        <f t="shared" si="1525"/>
        <v>70</v>
      </c>
      <c r="U1009" s="9">
        <v>20</v>
      </c>
      <c r="V1009" s="10">
        <v>30</v>
      </c>
      <c r="W1009" s="10">
        <v>20</v>
      </c>
      <c r="X1009" s="5">
        <f t="shared" si="1526"/>
        <v>70</v>
      </c>
      <c r="Y1009" s="9">
        <v>20</v>
      </c>
      <c r="Z1009" s="10">
        <v>30</v>
      </c>
      <c r="AA1009" s="10">
        <v>20</v>
      </c>
      <c r="AB1009" s="5">
        <f t="shared" si="1527"/>
        <v>70</v>
      </c>
      <c r="AC1009" s="86">
        <f t="shared" si="1528"/>
        <v>210</v>
      </c>
      <c r="AD1009" s="109">
        <v>45810</v>
      </c>
      <c r="AE1009" s="58"/>
    </row>
    <row r="1010" spans="1:31" x14ac:dyDescent="0.15">
      <c r="A1010" s="33" t="s">
        <v>36</v>
      </c>
      <c r="B1010" s="9">
        <v>1</v>
      </c>
      <c r="C1010" s="10"/>
      <c r="D1010" s="10"/>
      <c r="E1010" s="5">
        <f t="shared" si="1521"/>
        <v>1</v>
      </c>
      <c r="F1010" s="9"/>
      <c r="G1010" s="10"/>
      <c r="H1010" s="10">
        <v>1</v>
      </c>
      <c r="I1010" s="5">
        <f t="shared" si="1522"/>
        <v>1</v>
      </c>
      <c r="J1010" s="9">
        <v>1</v>
      </c>
      <c r="K1010" s="10"/>
      <c r="L1010" s="10"/>
      <c r="M1010" s="38">
        <f t="shared" si="1523"/>
        <v>1</v>
      </c>
      <c r="N1010" s="138">
        <f t="shared" si="1524"/>
        <v>3</v>
      </c>
      <c r="O1010" s="70">
        <v>45814</v>
      </c>
      <c r="P1010" s="4" t="s">
        <v>890</v>
      </c>
      <c r="Q1010" s="9"/>
      <c r="R1010" s="10"/>
      <c r="S1010" s="10">
        <v>20</v>
      </c>
      <c r="T1010" s="5">
        <f t="shared" si="1525"/>
        <v>20</v>
      </c>
      <c r="U1010" s="9"/>
      <c r="V1010" s="10"/>
      <c r="W1010" s="10">
        <v>20</v>
      </c>
      <c r="X1010" s="5">
        <f t="shared" si="1526"/>
        <v>20</v>
      </c>
      <c r="Y1010" s="9"/>
      <c r="Z1010" s="10"/>
      <c r="AA1010" s="10">
        <v>20</v>
      </c>
      <c r="AB1010" s="5">
        <f t="shared" si="1527"/>
        <v>20</v>
      </c>
      <c r="AC1010" s="86">
        <f t="shared" si="1528"/>
        <v>60</v>
      </c>
      <c r="AD1010" s="109">
        <v>45806</v>
      </c>
      <c r="AE1010" s="58"/>
    </row>
    <row r="1011" spans="1:31" x14ac:dyDescent="0.15">
      <c r="A1011" s="4" t="s">
        <v>925</v>
      </c>
      <c r="B1011" s="9">
        <v>1</v>
      </c>
      <c r="C1011" s="10">
        <v>3</v>
      </c>
      <c r="D1011" s="10"/>
      <c r="E1011" s="8">
        <f t="shared" si="1521"/>
        <v>4</v>
      </c>
      <c r="F1011" s="9">
        <v>1</v>
      </c>
      <c r="G1011" s="10">
        <v>3</v>
      </c>
      <c r="H1011" s="10"/>
      <c r="I1011" s="8">
        <f t="shared" si="1522"/>
        <v>4</v>
      </c>
      <c r="J1011" s="9">
        <v>1</v>
      </c>
      <c r="K1011" s="10">
        <v>3</v>
      </c>
      <c r="L1011" s="10"/>
      <c r="M1011" s="39">
        <f t="shared" si="1523"/>
        <v>4</v>
      </c>
      <c r="N1011" s="138">
        <f t="shared" si="1524"/>
        <v>12</v>
      </c>
      <c r="O1011" s="24">
        <v>45819</v>
      </c>
      <c r="P1011" s="4" t="s">
        <v>893</v>
      </c>
      <c r="Q1011" s="9"/>
      <c r="R1011" s="10">
        <v>10</v>
      </c>
      <c r="S1011" s="10"/>
      <c r="T1011" s="8">
        <f t="shared" si="1525"/>
        <v>10</v>
      </c>
      <c r="U1011" s="9"/>
      <c r="V1011" s="10">
        <v>10</v>
      </c>
      <c r="W1011" s="10"/>
      <c r="X1011" s="8">
        <f t="shared" si="1526"/>
        <v>10</v>
      </c>
      <c r="Y1011" s="9"/>
      <c r="Z1011" s="10">
        <v>10</v>
      </c>
      <c r="AA1011" s="10"/>
      <c r="AB1011" s="8">
        <f t="shared" si="1527"/>
        <v>10</v>
      </c>
      <c r="AC1011" s="86">
        <f t="shared" si="1528"/>
        <v>30</v>
      </c>
      <c r="AD1011" s="109">
        <v>45807</v>
      </c>
      <c r="AE1011" s="58"/>
    </row>
    <row r="1012" spans="1:31" x14ac:dyDescent="0.15">
      <c r="A1012" s="4" t="s">
        <v>928</v>
      </c>
      <c r="B1012" s="9">
        <v>1</v>
      </c>
      <c r="C1012" s="10"/>
      <c r="D1012" s="10">
        <v>2</v>
      </c>
      <c r="E1012" s="8">
        <f t="shared" si="1521"/>
        <v>3</v>
      </c>
      <c r="F1012" s="9">
        <v>1</v>
      </c>
      <c r="G1012" s="10"/>
      <c r="H1012" s="10">
        <v>2</v>
      </c>
      <c r="I1012" s="8">
        <f t="shared" si="1522"/>
        <v>3</v>
      </c>
      <c r="J1012" s="9">
        <v>1</v>
      </c>
      <c r="K1012" s="10"/>
      <c r="L1012" s="10">
        <v>2</v>
      </c>
      <c r="M1012" s="39">
        <f t="shared" si="1523"/>
        <v>3</v>
      </c>
      <c r="N1012" s="138">
        <f t="shared" si="1524"/>
        <v>9</v>
      </c>
      <c r="O1012" s="24">
        <v>45820</v>
      </c>
      <c r="P1012" s="11" t="s">
        <v>894</v>
      </c>
      <c r="Q1012" s="9">
        <v>10</v>
      </c>
      <c r="R1012" s="10"/>
      <c r="S1012" s="10"/>
      <c r="T1012" s="8">
        <f t="shared" si="1525"/>
        <v>10</v>
      </c>
      <c r="U1012" s="9">
        <v>10</v>
      </c>
      <c r="V1012" s="10"/>
      <c r="W1012" s="10"/>
      <c r="X1012" s="8">
        <f t="shared" si="1526"/>
        <v>10</v>
      </c>
      <c r="Y1012" s="9">
        <v>10</v>
      </c>
      <c r="Z1012" s="10"/>
      <c r="AA1012" s="10"/>
      <c r="AB1012" s="8">
        <f t="shared" si="1527"/>
        <v>10</v>
      </c>
      <c r="AC1012" s="86">
        <f t="shared" si="1528"/>
        <v>30</v>
      </c>
      <c r="AD1012" s="109">
        <v>45814</v>
      </c>
      <c r="AE1012" s="58"/>
    </row>
    <row r="1013" spans="1:31" x14ac:dyDescent="0.15">
      <c r="A1013" s="33" t="s">
        <v>36</v>
      </c>
      <c r="B1013" s="9">
        <v>1</v>
      </c>
      <c r="C1013" s="10">
        <v>1</v>
      </c>
      <c r="D1013" s="10"/>
      <c r="E1013" s="8">
        <f t="shared" si="1521"/>
        <v>2</v>
      </c>
      <c r="F1013" s="9">
        <v>1</v>
      </c>
      <c r="G1013" s="10">
        <v>1</v>
      </c>
      <c r="H1013" s="10"/>
      <c r="I1013" s="8">
        <f t="shared" si="1522"/>
        <v>2</v>
      </c>
      <c r="J1013" s="9">
        <v>1</v>
      </c>
      <c r="K1013" s="10">
        <v>1</v>
      </c>
      <c r="L1013" s="10"/>
      <c r="M1013" s="39">
        <f t="shared" si="1523"/>
        <v>2</v>
      </c>
      <c r="N1013" s="138">
        <f t="shared" si="1524"/>
        <v>6</v>
      </c>
      <c r="O1013" s="24">
        <v>45818</v>
      </c>
      <c r="P1013" s="4" t="s">
        <v>27</v>
      </c>
      <c r="Q1013" s="9">
        <v>5</v>
      </c>
      <c r="R1013" s="10">
        <v>10</v>
      </c>
      <c r="S1013" s="10">
        <v>5</v>
      </c>
      <c r="T1013" s="8">
        <f t="shared" ref="T1013" si="1547">SUM(Q1013:S1013)</f>
        <v>20</v>
      </c>
      <c r="U1013" s="9">
        <v>5</v>
      </c>
      <c r="V1013" s="10">
        <v>10</v>
      </c>
      <c r="W1013" s="10">
        <v>10</v>
      </c>
      <c r="X1013" s="8">
        <f t="shared" ref="X1013" si="1548">SUM(U1013:W1013)</f>
        <v>25</v>
      </c>
      <c r="Y1013" s="9">
        <v>5</v>
      </c>
      <c r="Z1013" s="10">
        <v>10</v>
      </c>
      <c r="AA1013" s="10">
        <v>10</v>
      </c>
      <c r="AB1013" s="8">
        <f t="shared" ref="AB1013" si="1549">SUM(Y1013:AA1013)</f>
        <v>25</v>
      </c>
      <c r="AC1013" s="145">
        <f t="shared" si="1528"/>
        <v>70</v>
      </c>
      <c r="AD1013" s="109">
        <v>45808</v>
      </c>
    </row>
    <row r="1014" spans="1:31" x14ac:dyDescent="0.15">
      <c r="A1014" s="33"/>
      <c r="B1014" s="9"/>
      <c r="C1014" s="10"/>
      <c r="D1014" s="10"/>
      <c r="E1014" s="8">
        <f t="shared" si="1521"/>
        <v>0</v>
      </c>
      <c r="F1014" s="9"/>
      <c r="G1014" s="10"/>
      <c r="H1014" s="10"/>
      <c r="I1014" s="8">
        <f t="shared" si="1522"/>
        <v>0</v>
      </c>
      <c r="J1014" s="9"/>
      <c r="K1014" s="10"/>
      <c r="L1014" s="10"/>
      <c r="M1014" s="39">
        <f t="shared" si="1523"/>
        <v>0</v>
      </c>
      <c r="N1014" s="138">
        <f t="shared" si="1524"/>
        <v>0</v>
      </c>
      <c r="O1014" s="58"/>
      <c r="P1014" s="4" t="s">
        <v>900</v>
      </c>
      <c r="Q1014" s="9"/>
      <c r="R1014" s="10">
        <v>8</v>
      </c>
      <c r="S1014" s="10">
        <v>1</v>
      </c>
      <c r="T1014" s="8">
        <f t="shared" si="1525"/>
        <v>9</v>
      </c>
      <c r="U1014" s="9"/>
      <c r="V1014" s="10">
        <v>8</v>
      </c>
      <c r="W1014" s="10">
        <v>1</v>
      </c>
      <c r="X1014" s="8">
        <f t="shared" si="1526"/>
        <v>9</v>
      </c>
      <c r="Y1014" s="9"/>
      <c r="Z1014" s="10">
        <v>8</v>
      </c>
      <c r="AA1014" s="10">
        <v>1</v>
      </c>
      <c r="AB1014" s="8">
        <f t="shared" si="1527"/>
        <v>9</v>
      </c>
      <c r="AC1014" s="86">
        <f t="shared" si="1528"/>
        <v>27</v>
      </c>
      <c r="AD1014" s="109">
        <v>45812</v>
      </c>
      <c r="AE1014" s="58"/>
    </row>
    <row r="1015" spans="1:31" x14ac:dyDescent="0.15">
      <c r="A1015" s="33"/>
      <c r="B1015" s="9"/>
      <c r="C1015" s="10"/>
      <c r="D1015" s="10"/>
      <c r="E1015" s="8">
        <f t="shared" si="1521"/>
        <v>0</v>
      </c>
      <c r="F1015" s="9"/>
      <c r="G1015" s="10"/>
      <c r="H1015" s="10"/>
      <c r="I1015" s="8">
        <f t="shared" si="1522"/>
        <v>0</v>
      </c>
      <c r="J1015" s="9"/>
      <c r="K1015" s="10"/>
      <c r="L1015" s="10"/>
      <c r="M1015" s="39">
        <f t="shared" si="1523"/>
        <v>0</v>
      </c>
      <c r="N1015" s="138">
        <f t="shared" si="1524"/>
        <v>0</v>
      </c>
      <c r="O1015" s="58"/>
      <c r="P1015" s="11" t="s">
        <v>901</v>
      </c>
      <c r="Q1015" s="9">
        <v>17</v>
      </c>
      <c r="R1015" s="10">
        <v>20</v>
      </c>
      <c r="S1015" s="10">
        <v>17</v>
      </c>
      <c r="T1015" s="8">
        <f t="shared" si="1525"/>
        <v>54</v>
      </c>
      <c r="U1015" s="9">
        <v>17</v>
      </c>
      <c r="V1015" s="10">
        <v>20</v>
      </c>
      <c r="W1015" s="10">
        <v>17</v>
      </c>
      <c r="X1015" s="8">
        <f t="shared" si="1526"/>
        <v>54</v>
      </c>
      <c r="Y1015" s="9">
        <v>17</v>
      </c>
      <c r="Z1015" s="10">
        <v>20</v>
      </c>
      <c r="AA1015" s="10">
        <v>17</v>
      </c>
      <c r="AB1015" s="8">
        <f t="shared" si="1527"/>
        <v>54</v>
      </c>
      <c r="AC1015" s="86">
        <f t="shared" si="1528"/>
        <v>162</v>
      </c>
      <c r="AD1015" s="109">
        <v>45813</v>
      </c>
      <c r="AE1015" s="58"/>
    </row>
    <row r="1016" spans="1:31" x14ac:dyDescent="0.15">
      <c r="A1016" s="33"/>
      <c r="B1016" s="9"/>
      <c r="C1016" s="10"/>
      <c r="D1016" s="10"/>
      <c r="E1016" s="8">
        <f t="shared" si="1521"/>
        <v>0</v>
      </c>
      <c r="F1016" s="9"/>
      <c r="G1016" s="10"/>
      <c r="H1016" s="10"/>
      <c r="I1016" s="8">
        <f t="shared" si="1522"/>
        <v>0</v>
      </c>
      <c r="J1016" s="9"/>
      <c r="K1016" s="10"/>
      <c r="L1016" s="10"/>
      <c r="M1016" s="39">
        <f t="shared" si="1523"/>
        <v>0</v>
      </c>
      <c r="N1016" s="138">
        <f t="shared" si="1524"/>
        <v>0</v>
      </c>
      <c r="O1016" s="58"/>
      <c r="P1016" s="4" t="s">
        <v>907</v>
      </c>
      <c r="Q1016" s="9">
        <v>20</v>
      </c>
      <c r="R1016" s="10">
        <v>20</v>
      </c>
      <c r="S1016" s="10">
        <v>20</v>
      </c>
      <c r="T1016" s="8">
        <f t="shared" si="1525"/>
        <v>60</v>
      </c>
      <c r="U1016" s="9">
        <v>20</v>
      </c>
      <c r="V1016" s="10">
        <v>20</v>
      </c>
      <c r="W1016" s="10">
        <v>20</v>
      </c>
      <c r="X1016" s="8">
        <f t="shared" si="1526"/>
        <v>60</v>
      </c>
      <c r="Y1016" s="9">
        <v>20</v>
      </c>
      <c r="Z1016" s="10">
        <v>20</v>
      </c>
      <c r="AA1016" s="10">
        <v>20</v>
      </c>
      <c r="AB1016" s="8">
        <f t="shared" si="1527"/>
        <v>60</v>
      </c>
      <c r="AC1016" s="86">
        <f t="shared" si="1528"/>
        <v>180</v>
      </c>
      <c r="AD1016" s="109">
        <v>45814</v>
      </c>
      <c r="AE1016" s="58"/>
    </row>
    <row r="1017" spans="1:31" x14ac:dyDescent="0.15">
      <c r="A1017" s="33"/>
      <c r="B1017" s="9"/>
      <c r="C1017" s="10"/>
      <c r="D1017" s="10"/>
      <c r="E1017" s="8">
        <f t="shared" si="1521"/>
        <v>0</v>
      </c>
      <c r="F1017" s="9"/>
      <c r="G1017" s="10"/>
      <c r="H1017" s="10"/>
      <c r="I1017" s="8">
        <f t="shared" si="1522"/>
        <v>0</v>
      </c>
      <c r="J1017" s="9"/>
      <c r="K1017" s="10"/>
      <c r="L1017" s="10"/>
      <c r="M1017" s="39">
        <f t="shared" si="1523"/>
        <v>0</v>
      </c>
      <c r="N1017" s="138">
        <f t="shared" si="1524"/>
        <v>0</v>
      </c>
      <c r="O1017" s="58"/>
      <c r="P1017" s="4" t="s">
        <v>27</v>
      </c>
      <c r="Q1017" s="9">
        <v>5</v>
      </c>
      <c r="R1017" s="10">
        <v>10</v>
      </c>
      <c r="S1017" s="10"/>
      <c r="T1017" s="8">
        <f t="shared" ref="T1017" si="1550">SUM(Q1017:S1017)</f>
        <v>15</v>
      </c>
      <c r="U1017" s="9">
        <v>5</v>
      </c>
      <c r="V1017" s="10">
        <v>10</v>
      </c>
      <c r="W1017" s="10"/>
      <c r="X1017" s="8">
        <f t="shared" ref="X1017" si="1551">SUM(U1017:W1017)</f>
        <v>15</v>
      </c>
      <c r="Y1017" s="9">
        <v>5</v>
      </c>
      <c r="Z1017" s="10">
        <v>10</v>
      </c>
      <c r="AA1017" s="10"/>
      <c r="AB1017" s="8">
        <f t="shared" ref="AB1017" si="1552">SUM(Y1017:AA1017)</f>
        <v>15</v>
      </c>
      <c r="AC1017" s="145">
        <f t="shared" si="1528"/>
        <v>45</v>
      </c>
      <c r="AD1017" s="109">
        <v>45813</v>
      </c>
      <c r="AE1017" s="58"/>
    </row>
    <row r="1018" spans="1:31" x14ac:dyDescent="0.15">
      <c r="A1018" s="33"/>
      <c r="B1018" s="9"/>
      <c r="C1018" s="10"/>
      <c r="D1018" s="10"/>
      <c r="E1018" s="8">
        <f t="shared" si="1521"/>
        <v>0</v>
      </c>
      <c r="F1018" s="9"/>
      <c r="G1018" s="10"/>
      <c r="H1018" s="10"/>
      <c r="I1018" s="8">
        <f t="shared" si="1522"/>
        <v>0</v>
      </c>
      <c r="J1018" s="9"/>
      <c r="K1018" s="10"/>
      <c r="L1018" s="10"/>
      <c r="M1018" s="39">
        <f t="shared" si="1523"/>
        <v>0</v>
      </c>
      <c r="N1018" s="138">
        <f t="shared" si="1524"/>
        <v>0</v>
      </c>
      <c r="P1018" s="4" t="s">
        <v>908</v>
      </c>
      <c r="Q1018" s="9">
        <v>2</v>
      </c>
      <c r="R1018" s="10"/>
      <c r="S1018" s="10"/>
      <c r="T1018" s="8">
        <f t="shared" ref="T1018" si="1553">SUM(Q1018:S1018)</f>
        <v>2</v>
      </c>
      <c r="U1018" s="9">
        <v>2</v>
      </c>
      <c r="V1018" s="10"/>
      <c r="W1018" s="10"/>
      <c r="X1018" s="8">
        <f t="shared" ref="X1018" si="1554">SUM(U1018:W1018)</f>
        <v>2</v>
      </c>
      <c r="Y1018" s="9">
        <v>2</v>
      </c>
      <c r="Z1018" s="10"/>
      <c r="AA1018" s="10"/>
      <c r="AB1018" s="8">
        <f t="shared" ref="AB1018" si="1555">SUM(Y1018:AA1018)</f>
        <v>2</v>
      </c>
      <c r="AC1018" s="86">
        <f t="shared" ref="AC1018" si="1556">T1018+X1018+AB1018</f>
        <v>6</v>
      </c>
      <c r="AD1018" s="109">
        <v>45825</v>
      </c>
    </row>
    <row r="1019" spans="1:31" x14ac:dyDescent="0.15">
      <c r="A1019" s="33"/>
      <c r="B1019" s="9"/>
      <c r="C1019" s="10"/>
      <c r="D1019" s="10"/>
      <c r="E1019" s="8">
        <f t="shared" si="1521"/>
        <v>0</v>
      </c>
      <c r="F1019" s="9"/>
      <c r="G1019" s="10"/>
      <c r="H1019" s="10"/>
      <c r="I1019" s="8">
        <f t="shared" si="1522"/>
        <v>0</v>
      </c>
      <c r="J1019" s="9"/>
      <c r="K1019" s="10"/>
      <c r="L1019" s="10"/>
      <c r="M1019" s="39">
        <f t="shared" si="1523"/>
        <v>0</v>
      </c>
      <c r="N1019" s="138">
        <f t="shared" si="1524"/>
        <v>0</v>
      </c>
      <c r="P1019" s="11" t="s">
        <v>909</v>
      </c>
      <c r="Q1019" s="9"/>
      <c r="R1019" s="10"/>
      <c r="S1019" s="10">
        <v>5</v>
      </c>
      <c r="T1019" s="8">
        <f t="shared" ref="T1019" si="1557">SUM(Q1019:S1019)</f>
        <v>5</v>
      </c>
      <c r="U1019" s="9"/>
      <c r="V1019" s="10"/>
      <c r="W1019" s="10">
        <v>5</v>
      </c>
      <c r="X1019" s="8">
        <f t="shared" ref="X1019" si="1558">SUM(U1019:W1019)</f>
        <v>5</v>
      </c>
      <c r="Y1019" s="9"/>
      <c r="Z1019" s="10"/>
      <c r="AA1019" s="10">
        <v>5</v>
      </c>
      <c r="AB1019" s="8">
        <f t="shared" ref="AB1019" si="1559">SUM(Y1019:AA1019)</f>
        <v>5</v>
      </c>
      <c r="AC1019" s="86">
        <f t="shared" ref="AC1019:AC1020" si="1560">T1019+X1019+AB1019</f>
        <v>15</v>
      </c>
      <c r="AD1019" s="109">
        <v>45821</v>
      </c>
    </row>
    <row r="1020" spans="1:31" x14ac:dyDescent="0.15">
      <c r="A1020" s="33"/>
      <c r="B1020" s="9"/>
      <c r="C1020" s="10"/>
      <c r="D1020" s="10"/>
      <c r="E1020" s="8">
        <f t="shared" si="1521"/>
        <v>0</v>
      </c>
      <c r="F1020" s="9"/>
      <c r="G1020" s="10"/>
      <c r="H1020" s="10"/>
      <c r="I1020" s="8">
        <f t="shared" si="1522"/>
        <v>0</v>
      </c>
      <c r="J1020" s="9"/>
      <c r="K1020" s="10"/>
      <c r="L1020" s="10"/>
      <c r="M1020" s="39">
        <f t="shared" si="1523"/>
        <v>0</v>
      </c>
      <c r="N1020" s="138">
        <f t="shared" si="1524"/>
        <v>0</v>
      </c>
      <c r="P1020" s="4" t="s">
        <v>27</v>
      </c>
      <c r="Q1020" s="9">
        <v>10</v>
      </c>
      <c r="R1020" s="10">
        <v>10</v>
      </c>
      <c r="S1020" s="10">
        <v>16</v>
      </c>
      <c r="T1020" s="8">
        <f t="shared" ref="T1020" si="1561">SUM(Q1020:S1020)</f>
        <v>36</v>
      </c>
      <c r="U1020" s="9">
        <v>10</v>
      </c>
      <c r="V1020" s="10">
        <v>10</v>
      </c>
      <c r="W1020" s="10">
        <v>10</v>
      </c>
      <c r="X1020" s="8">
        <f t="shared" ref="X1020" si="1562">SUM(U1020:W1020)</f>
        <v>30</v>
      </c>
      <c r="Y1020" s="9">
        <v>10</v>
      </c>
      <c r="Z1020" s="10">
        <v>10</v>
      </c>
      <c r="AA1020" s="10">
        <v>10</v>
      </c>
      <c r="AB1020" s="8">
        <f t="shared" ref="AB1020" si="1563">SUM(Y1020:AA1020)</f>
        <v>30</v>
      </c>
      <c r="AC1020" s="145">
        <f t="shared" si="1560"/>
        <v>96</v>
      </c>
      <c r="AD1020" s="109">
        <v>45815</v>
      </c>
      <c r="AE1020" s="58"/>
    </row>
    <row r="1021" spans="1:31" x14ac:dyDescent="0.15">
      <c r="A1021" s="63"/>
      <c r="B1021" s="9"/>
      <c r="C1021" s="10"/>
      <c r="D1021" s="10"/>
      <c r="E1021" s="8">
        <f t="shared" si="1521"/>
        <v>0</v>
      </c>
      <c r="F1021" s="9"/>
      <c r="G1021" s="10"/>
      <c r="H1021" s="10"/>
      <c r="I1021" s="8">
        <f t="shared" si="1522"/>
        <v>0</v>
      </c>
      <c r="J1021" s="9"/>
      <c r="K1021" s="10"/>
      <c r="L1021" s="10"/>
      <c r="M1021" s="39">
        <f t="shared" si="1523"/>
        <v>0</v>
      </c>
      <c r="N1021" s="138">
        <f t="shared" si="1524"/>
        <v>0</v>
      </c>
      <c r="P1021" s="11" t="s">
        <v>920</v>
      </c>
      <c r="Q1021" s="9">
        <v>5</v>
      </c>
      <c r="R1021" s="10"/>
      <c r="S1021" s="10"/>
      <c r="T1021" s="8">
        <f t="shared" ref="T1021:T1022" si="1564">SUM(Q1021:S1021)</f>
        <v>5</v>
      </c>
      <c r="U1021" s="9">
        <v>5</v>
      </c>
      <c r="V1021" s="10"/>
      <c r="W1021" s="10"/>
      <c r="X1021" s="8">
        <f t="shared" ref="X1021:X1022" si="1565">SUM(U1021:W1021)</f>
        <v>5</v>
      </c>
      <c r="Y1021" s="9">
        <v>5</v>
      </c>
      <c r="Z1021" s="10"/>
      <c r="AA1021" s="10"/>
      <c r="AB1021" s="8">
        <f t="shared" ref="AB1021:AB1022" si="1566">SUM(Y1021:AA1021)</f>
        <v>5</v>
      </c>
      <c r="AC1021" s="86">
        <f t="shared" ref="AC1021:AC1022" si="1567">T1021+X1021+AB1021</f>
        <v>15</v>
      </c>
      <c r="AD1021" s="109">
        <v>45818</v>
      </c>
      <c r="AE1021" s="58"/>
    </row>
    <row r="1022" spans="1:31" x14ac:dyDescent="0.15">
      <c r="A1022" s="33"/>
      <c r="B1022" s="9"/>
      <c r="C1022" s="10"/>
      <c r="D1022" s="10"/>
      <c r="E1022" s="8">
        <f t="shared" si="1521"/>
        <v>0</v>
      </c>
      <c r="F1022" s="9"/>
      <c r="G1022" s="10"/>
      <c r="H1022" s="10"/>
      <c r="I1022" s="8">
        <f t="shared" si="1522"/>
        <v>0</v>
      </c>
      <c r="J1022" s="9"/>
      <c r="K1022" s="10"/>
      <c r="L1022" s="10"/>
      <c r="M1022" s="39">
        <f t="shared" si="1523"/>
        <v>0</v>
      </c>
      <c r="N1022" s="138">
        <f t="shared" si="1524"/>
        <v>0</v>
      </c>
      <c r="P1022" s="4" t="s">
        <v>921</v>
      </c>
      <c r="Q1022" s="9">
        <v>1</v>
      </c>
      <c r="R1022" s="10"/>
      <c r="S1022" s="10"/>
      <c r="T1022" s="8">
        <f t="shared" si="1564"/>
        <v>1</v>
      </c>
      <c r="U1022" s="9">
        <v>1</v>
      </c>
      <c r="V1022" s="10"/>
      <c r="W1022" s="10"/>
      <c r="X1022" s="8">
        <f t="shared" si="1565"/>
        <v>1</v>
      </c>
      <c r="Y1022" s="9">
        <v>1</v>
      </c>
      <c r="Z1022" s="10"/>
      <c r="AA1022" s="10"/>
      <c r="AB1022" s="8">
        <f t="shared" si="1566"/>
        <v>1</v>
      </c>
      <c r="AC1022" s="86">
        <f t="shared" si="1567"/>
        <v>3</v>
      </c>
      <c r="AD1022" s="109">
        <v>45817</v>
      </c>
      <c r="AE1022" s="58"/>
    </row>
    <row r="1023" spans="1:31" x14ac:dyDescent="0.15">
      <c r="A1023" s="33"/>
      <c r="B1023" s="9"/>
      <c r="C1023" s="10"/>
      <c r="D1023" s="10"/>
      <c r="E1023" s="8">
        <f t="shared" si="1521"/>
        <v>0</v>
      </c>
      <c r="F1023" s="9"/>
      <c r="G1023" s="10"/>
      <c r="H1023" s="10"/>
      <c r="I1023" s="8">
        <f t="shared" si="1522"/>
        <v>0</v>
      </c>
      <c r="J1023" s="9"/>
      <c r="K1023" s="10"/>
      <c r="L1023" s="10"/>
      <c r="M1023" s="39">
        <f t="shared" si="1523"/>
        <v>0</v>
      </c>
      <c r="N1023" s="138">
        <f t="shared" si="1524"/>
        <v>0</v>
      </c>
      <c r="P1023" s="4"/>
      <c r="Q1023" s="9"/>
      <c r="R1023" s="10"/>
      <c r="S1023" s="10"/>
      <c r="T1023" s="8">
        <f t="shared" ref="T1023" si="1568">SUM(Q1023:S1023)</f>
        <v>0</v>
      </c>
      <c r="U1023" s="9"/>
      <c r="V1023" s="10"/>
      <c r="W1023" s="10"/>
      <c r="X1023" s="8">
        <f t="shared" ref="X1023" si="1569">SUM(U1023:W1023)</f>
        <v>0</v>
      </c>
      <c r="Y1023" s="9"/>
      <c r="Z1023" s="10"/>
      <c r="AA1023" s="10"/>
      <c r="AB1023" s="8">
        <f t="shared" ref="AB1023" si="1570">SUM(Y1023:AA1023)</f>
        <v>0</v>
      </c>
      <c r="AC1023" s="86">
        <f t="shared" ref="AC1023" si="1571">T1023+X1023+AB1023</f>
        <v>0</v>
      </c>
      <c r="AD1023" s="116"/>
      <c r="AE1023" s="58"/>
    </row>
    <row r="1024" spans="1:31" x14ac:dyDescent="0.15">
      <c r="A1024" s="33"/>
      <c r="B1024" s="9"/>
      <c r="C1024" s="10"/>
      <c r="D1024" s="10"/>
      <c r="E1024" s="8">
        <f t="shared" si="1521"/>
        <v>0</v>
      </c>
      <c r="F1024" s="9"/>
      <c r="G1024" s="10"/>
      <c r="H1024" s="10"/>
      <c r="I1024" s="8">
        <f t="shared" si="1522"/>
        <v>0</v>
      </c>
      <c r="J1024" s="9"/>
      <c r="K1024" s="10"/>
      <c r="L1024" s="10"/>
      <c r="M1024" s="39">
        <f t="shared" si="1523"/>
        <v>0</v>
      </c>
      <c r="N1024" s="138">
        <f t="shared" si="1524"/>
        <v>0</v>
      </c>
      <c r="P1024" s="11" t="s">
        <v>834</v>
      </c>
      <c r="Q1024" s="9"/>
      <c r="R1024" s="10"/>
      <c r="S1024" s="10"/>
      <c r="T1024" s="8">
        <f t="shared" ref="T1024:T1027" si="1572">SUM(Q1024:S1024)</f>
        <v>0</v>
      </c>
      <c r="U1024" s="9"/>
      <c r="V1024" s="10"/>
      <c r="W1024" s="10"/>
      <c r="X1024" s="8">
        <f t="shared" ref="X1024:X1027" si="1573">SUM(U1024:W1024)</f>
        <v>0</v>
      </c>
      <c r="Y1024" s="9"/>
      <c r="Z1024" s="10"/>
      <c r="AA1024" s="10"/>
      <c r="AB1024" s="8">
        <f t="shared" ref="AB1024:AB1027" si="1574">SUM(Y1024:AA1024)</f>
        <v>0</v>
      </c>
      <c r="AC1024" s="86">
        <f t="shared" ref="AC1024:AC1027" si="1575">T1024+X1024+AB1024</f>
        <v>0</v>
      </c>
      <c r="AD1024" s="109" t="s">
        <v>835</v>
      </c>
    </row>
    <row r="1025" spans="1:30" x14ac:dyDescent="0.15">
      <c r="A1025" s="33"/>
      <c r="B1025" s="9"/>
      <c r="C1025" s="10"/>
      <c r="D1025" s="10"/>
      <c r="E1025" s="8">
        <f t="shared" si="1521"/>
        <v>0</v>
      </c>
      <c r="F1025" s="9"/>
      <c r="G1025" s="10"/>
      <c r="H1025" s="10"/>
      <c r="I1025" s="8">
        <f t="shared" si="1522"/>
        <v>0</v>
      </c>
      <c r="J1025" s="9"/>
      <c r="K1025" s="10"/>
      <c r="L1025" s="10"/>
      <c r="M1025" s="39">
        <f t="shared" si="1523"/>
        <v>0</v>
      </c>
      <c r="N1025" s="138">
        <f t="shared" si="1524"/>
        <v>0</v>
      </c>
      <c r="P1025" s="81" t="s">
        <v>917</v>
      </c>
      <c r="Q1025" s="71"/>
      <c r="R1025" s="72"/>
      <c r="S1025" s="72"/>
      <c r="T1025" s="73">
        <f t="shared" si="1572"/>
        <v>0</v>
      </c>
      <c r="U1025" s="71"/>
      <c r="V1025" s="72"/>
      <c r="W1025" s="72"/>
      <c r="X1025" s="73">
        <f t="shared" si="1573"/>
        <v>0</v>
      </c>
      <c r="Y1025" s="71"/>
      <c r="Z1025" s="72"/>
      <c r="AA1025" s="72"/>
      <c r="AB1025" s="73">
        <f t="shared" si="1574"/>
        <v>0</v>
      </c>
      <c r="AC1025" s="92">
        <f t="shared" si="1575"/>
        <v>0</v>
      </c>
      <c r="AD1025" s="120"/>
    </row>
    <row r="1026" spans="1:30" x14ac:dyDescent="0.15">
      <c r="A1026" s="33"/>
      <c r="B1026" s="9"/>
      <c r="C1026" s="10"/>
      <c r="D1026" s="10"/>
      <c r="E1026" s="8">
        <f t="shared" si="1521"/>
        <v>0</v>
      </c>
      <c r="F1026" s="9"/>
      <c r="G1026" s="10"/>
      <c r="H1026" s="10"/>
      <c r="I1026" s="8">
        <f t="shared" si="1522"/>
        <v>0</v>
      </c>
      <c r="J1026" s="9"/>
      <c r="K1026" s="10"/>
      <c r="L1026" s="10"/>
      <c r="M1026" s="39">
        <f t="shared" si="1523"/>
        <v>0</v>
      </c>
      <c r="N1026" s="138">
        <f t="shared" si="1524"/>
        <v>0</v>
      </c>
      <c r="P1026" s="4" t="s">
        <v>823</v>
      </c>
      <c r="Q1026" s="9"/>
      <c r="R1026" s="10"/>
      <c r="S1026" s="10"/>
      <c r="T1026" s="8">
        <f t="shared" si="1572"/>
        <v>0</v>
      </c>
      <c r="U1026" s="9"/>
      <c r="V1026" s="10"/>
      <c r="W1026" s="10"/>
      <c r="X1026" s="8">
        <f t="shared" si="1573"/>
        <v>0</v>
      </c>
      <c r="Y1026" s="9"/>
      <c r="Z1026" s="10"/>
      <c r="AA1026" s="10"/>
      <c r="AB1026" s="8">
        <f t="shared" si="1574"/>
        <v>0</v>
      </c>
      <c r="AC1026" s="86">
        <f t="shared" si="1575"/>
        <v>0</v>
      </c>
      <c r="AD1026" s="116" t="s">
        <v>824</v>
      </c>
    </row>
    <row r="1027" spans="1:30" x14ac:dyDescent="0.15">
      <c r="A1027" s="33"/>
      <c r="B1027" s="9"/>
      <c r="C1027" s="10"/>
      <c r="D1027" s="10"/>
      <c r="E1027" s="8">
        <f t="shared" si="1521"/>
        <v>0</v>
      </c>
      <c r="F1027" s="9"/>
      <c r="G1027" s="10"/>
      <c r="H1027" s="10"/>
      <c r="I1027" s="8">
        <f t="shared" si="1522"/>
        <v>0</v>
      </c>
      <c r="J1027" s="9"/>
      <c r="K1027" s="10"/>
      <c r="L1027" s="10"/>
      <c r="M1027" s="39">
        <f t="shared" si="1523"/>
        <v>0</v>
      </c>
      <c r="N1027" s="138">
        <f t="shared" si="1524"/>
        <v>0</v>
      </c>
      <c r="P1027" s="4" t="s">
        <v>899</v>
      </c>
      <c r="Q1027" s="9"/>
      <c r="R1027" s="10"/>
      <c r="S1027" s="10"/>
      <c r="T1027" s="8">
        <f t="shared" si="1572"/>
        <v>0</v>
      </c>
      <c r="U1027" s="9"/>
      <c r="V1027" s="10"/>
      <c r="W1027" s="10"/>
      <c r="X1027" s="8">
        <f t="shared" si="1573"/>
        <v>0</v>
      </c>
      <c r="Y1027" s="9"/>
      <c r="Z1027" s="10"/>
      <c r="AA1027" s="10"/>
      <c r="AB1027" s="8">
        <f t="shared" si="1574"/>
        <v>0</v>
      </c>
      <c r="AC1027" s="86">
        <f t="shared" si="1575"/>
        <v>0</v>
      </c>
      <c r="AD1027" s="116" t="s">
        <v>804</v>
      </c>
    </row>
    <row r="1028" spans="1:30" x14ac:dyDescent="0.15">
      <c r="A1028" s="33"/>
      <c r="B1028" s="9"/>
      <c r="C1028" s="10"/>
      <c r="D1028" s="10"/>
      <c r="E1028" s="8">
        <f t="shared" si="1521"/>
        <v>0</v>
      </c>
      <c r="F1028" s="9"/>
      <c r="G1028" s="10"/>
      <c r="H1028" s="10"/>
      <c r="I1028" s="8">
        <f t="shared" si="1522"/>
        <v>0</v>
      </c>
      <c r="J1028" s="9"/>
      <c r="K1028" s="10"/>
      <c r="L1028" s="10"/>
      <c r="M1028" s="39">
        <f t="shared" si="1523"/>
        <v>0</v>
      </c>
      <c r="N1028" s="138">
        <f t="shared" si="1524"/>
        <v>0</v>
      </c>
      <c r="P1028" s="6" t="s">
        <v>918</v>
      </c>
      <c r="Q1028" s="71"/>
      <c r="R1028" s="72"/>
      <c r="S1028" s="72"/>
      <c r="T1028" s="73">
        <f t="shared" ref="T1028" si="1576">SUM(Q1028:S1028)</f>
        <v>0</v>
      </c>
      <c r="U1028" s="71"/>
      <c r="V1028" s="72"/>
      <c r="W1028" s="72"/>
      <c r="X1028" s="73">
        <f t="shared" ref="X1028" si="1577">SUM(U1028:W1028)</f>
        <v>0</v>
      </c>
      <c r="Y1028" s="71"/>
      <c r="Z1028" s="72"/>
      <c r="AA1028" s="72"/>
      <c r="AB1028" s="73">
        <f t="shared" ref="AB1028" si="1578">SUM(Y1028:AA1028)</f>
        <v>0</v>
      </c>
      <c r="AC1028" s="92">
        <f t="shared" ref="AC1028" si="1579">T1028+X1028+AB1028</f>
        <v>0</v>
      </c>
      <c r="AD1028" s="117"/>
    </row>
    <row r="1029" spans="1:30" ht="14.25" thickBot="1" x14ac:dyDescent="0.2">
      <c r="A1029" s="63"/>
      <c r="B1029" s="9"/>
      <c r="C1029" s="10"/>
      <c r="D1029" s="22"/>
      <c r="E1029" s="8">
        <f t="shared" si="1521"/>
        <v>0</v>
      </c>
      <c r="F1029" s="9"/>
      <c r="G1029" s="10"/>
      <c r="H1029" s="22"/>
      <c r="I1029" s="8">
        <f t="shared" si="1522"/>
        <v>0</v>
      </c>
      <c r="J1029" s="9"/>
      <c r="K1029" s="10"/>
      <c r="L1029" s="22"/>
      <c r="M1029" s="39">
        <f t="shared" si="1523"/>
        <v>0</v>
      </c>
      <c r="N1029" s="139">
        <f t="shared" si="1524"/>
        <v>0</v>
      </c>
      <c r="P1029" s="11" t="s">
        <v>763</v>
      </c>
      <c r="Q1029" s="9"/>
      <c r="R1029" s="10"/>
      <c r="S1029" s="10"/>
      <c r="T1029" s="8">
        <f t="shared" si="1525"/>
        <v>0</v>
      </c>
      <c r="U1029" s="9"/>
      <c r="V1029" s="10"/>
      <c r="W1029" s="10"/>
      <c r="X1029" s="8">
        <f t="shared" si="1526"/>
        <v>0</v>
      </c>
      <c r="Y1029" s="9"/>
      <c r="Z1029" s="10"/>
      <c r="AA1029" s="10"/>
      <c r="AB1029" s="8">
        <f t="shared" si="1527"/>
        <v>0</v>
      </c>
      <c r="AC1029" s="86">
        <f t="shared" si="1528"/>
        <v>0</v>
      </c>
      <c r="AD1029" s="116" t="s">
        <v>764</v>
      </c>
    </row>
    <row r="1030" spans="1:30" ht="14.25" thickBot="1" x14ac:dyDescent="0.2">
      <c r="A1030" s="104" t="s">
        <v>5</v>
      </c>
      <c r="B1030" s="12">
        <f>SUM(B1006:B1029)</f>
        <v>8</v>
      </c>
      <c r="C1030" s="12">
        <f>SUM(C1006:C1029)</f>
        <v>14</v>
      </c>
      <c r="D1030" s="12">
        <f>SUM(D1006:D1029)</f>
        <v>5</v>
      </c>
      <c r="E1030" s="13">
        <f t="shared" si="1521"/>
        <v>27</v>
      </c>
      <c r="F1030" s="12">
        <f>SUM(F1006:F1029)</f>
        <v>7</v>
      </c>
      <c r="G1030" s="12">
        <f>SUM(G1006:G1029)</f>
        <v>14</v>
      </c>
      <c r="H1030" s="12">
        <f>SUM(H1006:H1029)</f>
        <v>6</v>
      </c>
      <c r="I1030" s="13">
        <f t="shared" si="1522"/>
        <v>27</v>
      </c>
      <c r="J1030" s="12">
        <f>SUM(J1006:J1029)</f>
        <v>8</v>
      </c>
      <c r="K1030" s="12">
        <f>SUM(K1006:K1029)</f>
        <v>14</v>
      </c>
      <c r="L1030" s="12">
        <f>SUM(L1006:L1029)</f>
        <v>5</v>
      </c>
      <c r="M1030" s="12">
        <f t="shared" si="1523"/>
        <v>27</v>
      </c>
      <c r="N1030" s="142">
        <f t="shared" si="1524"/>
        <v>81</v>
      </c>
      <c r="P1030" s="3" t="s">
        <v>5</v>
      </c>
      <c r="Q1030" s="12">
        <f>SUM(Q1006:Q1029)</f>
        <v>95</v>
      </c>
      <c r="R1030" s="12">
        <f t="shared" ref="R1030" si="1580">SUM(R1006:R1029)</f>
        <v>133</v>
      </c>
      <c r="S1030" s="12">
        <f t="shared" ref="S1030" si="1581">SUM(S1006:S1029)</f>
        <v>129</v>
      </c>
      <c r="T1030" s="13">
        <f t="shared" ref="T1030" si="1582">SUM(T1006:T1029)</f>
        <v>357</v>
      </c>
      <c r="U1030" s="12">
        <f t="shared" ref="U1030" si="1583">SUM(U1006:U1029)</f>
        <v>95</v>
      </c>
      <c r="V1030" s="12">
        <f t="shared" ref="V1030" si="1584">SUM(V1006:V1029)</f>
        <v>133</v>
      </c>
      <c r="W1030" s="12">
        <f t="shared" ref="W1030" si="1585">SUM(W1006:W1029)</f>
        <v>128</v>
      </c>
      <c r="X1030" s="13">
        <f t="shared" ref="X1030" si="1586">SUM(X1006:X1029)</f>
        <v>356</v>
      </c>
      <c r="Y1030" s="12">
        <f t="shared" ref="Y1030" si="1587">SUM(Y1006:Y1029)</f>
        <v>95</v>
      </c>
      <c r="Z1030" s="12">
        <f t="shared" ref="Z1030" si="1588">SUM(Z1006:Z1029)</f>
        <v>133</v>
      </c>
      <c r="AA1030" s="12">
        <f t="shared" ref="AA1030" si="1589">SUM(AA1006:AA1029)</f>
        <v>128</v>
      </c>
      <c r="AB1030" s="13">
        <f t="shared" ref="AB1030" si="1590">SUM(AB1006:AB1029)</f>
        <v>356</v>
      </c>
      <c r="AC1030" s="155">
        <f t="shared" ref="AC1030" si="1591">SUM(AC1006:AC1029)</f>
        <v>1069</v>
      </c>
    </row>
    <row r="1031" spans="1:30" ht="14.25" thickBot="1" x14ac:dyDescent="0.2">
      <c r="A1031" s="105" t="s">
        <v>6</v>
      </c>
      <c r="B1031" s="20">
        <f>B1005-B1030</f>
        <v>20</v>
      </c>
      <c r="C1031" s="20">
        <f t="shared" ref="C1031:E1031" si="1592">C1005-C1030</f>
        <v>18</v>
      </c>
      <c r="D1031" s="20">
        <f t="shared" si="1592"/>
        <v>27</v>
      </c>
      <c r="E1031" s="18">
        <f t="shared" si="1592"/>
        <v>65</v>
      </c>
      <c r="F1031" s="20">
        <f>F1005-F1030</f>
        <v>24</v>
      </c>
      <c r="G1031" s="20">
        <f t="shared" ref="G1031:I1031" si="1593">G1005-G1030</f>
        <v>17</v>
      </c>
      <c r="H1031" s="20">
        <f t="shared" si="1593"/>
        <v>23</v>
      </c>
      <c r="I1031" s="18">
        <f t="shared" si="1593"/>
        <v>64</v>
      </c>
      <c r="J1031" s="20">
        <f>J1005-J1030</f>
        <v>20</v>
      </c>
      <c r="K1031" s="20">
        <f t="shared" ref="K1031:M1031" si="1594">K1005-K1030</f>
        <v>19</v>
      </c>
      <c r="L1031" s="20">
        <f t="shared" si="1594"/>
        <v>22</v>
      </c>
      <c r="M1031" s="20">
        <f t="shared" si="1594"/>
        <v>61</v>
      </c>
      <c r="N1031" s="140">
        <f t="shared" si="1524"/>
        <v>190</v>
      </c>
      <c r="P1031" s="19" t="s">
        <v>6</v>
      </c>
      <c r="Q1031" s="20">
        <f>Q1005-Q1030</f>
        <v>742</v>
      </c>
      <c r="R1031" s="20">
        <f t="shared" ref="R1031" si="1595">R1005-R1030</f>
        <v>1133</v>
      </c>
      <c r="S1031" s="20">
        <f t="shared" ref="S1031" si="1596">S1005-S1030</f>
        <v>937</v>
      </c>
      <c r="T1031" s="18">
        <f t="shared" ref="T1031" si="1597">T1005-T1030</f>
        <v>2812</v>
      </c>
      <c r="U1031" s="20">
        <f t="shared" ref="U1031" si="1598">U1005-U1030</f>
        <v>707</v>
      </c>
      <c r="V1031" s="20">
        <f t="shared" ref="V1031" si="1599">V1005-V1030</f>
        <v>1253</v>
      </c>
      <c r="W1031" s="20">
        <f t="shared" ref="W1031" si="1600">W1005-W1030</f>
        <v>973</v>
      </c>
      <c r="X1031" s="18">
        <f t="shared" ref="X1031" si="1601">X1005-X1030</f>
        <v>2933</v>
      </c>
      <c r="Y1031" s="20">
        <f t="shared" ref="Y1031" si="1602">Y1005-Y1030</f>
        <v>680</v>
      </c>
      <c r="Z1031" s="20">
        <f t="shared" ref="Z1031" si="1603">Z1005-Z1030</f>
        <v>1149</v>
      </c>
      <c r="AA1031" s="20">
        <f t="shared" ref="AA1031" si="1604">AA1005-AA1030</f>
        <v>868</v>
      </c>
      <c r="AB1031" s="18">
        <f t="shared" ref="AB1031" si="1605">AB1005-AB1030</f>
        <v>2697</v>
      </c>
      <c r="AC1031" s="88">
        <f t="shared" ref="AC1031" si="1606">AC1005-AC1030</f>
        <v>8442</v>
      </c>
    </row>
    <row r="1034" spans="1:30" ht="19.5" thickBot="1" x14ac:dyDescent="0.25">
      <c r="A1034" s="108" t="s">
        <v>264</v>
      </c>
      <c r="B1034" s="47"/>
      <c r="C1034" s="47"/>
      <c r="D1034" s="47"/>
      <c r="E1034" s="47"/>
      <c r="F1034" s="48"/>
      <c r="G1034" s="48"/>
      <c r="H1034" s="48"/>
      <c r="I1034" s="48"/>
      <c r="J1034" s="48"/>
      <c r="K1034" s="48"/>
      <c r="L1034" s="1"/>
      <c r="M1034" s="1"/>
      <c r="N1034" s="137"/>
      <c r="P1034" s="43" t="s">
        <v>263</v>
      </c>
      <c r="Q1034" s="44"/>
      <c r="R1034" s="44"/>
      <c r="S1034" s="44"/>
      <c r="T1034" s="44"/>
      <c r="U1034" s="45"/>
      <c r="V1034" s="45"/>
      <c r="W1034" s="45"/>
      <c r="X1034" s="45"/>
      <c r="Y1034" s="46"/>
      <c r="Z1034" s="53"/>
      <c r="AA1034" s="1"/>
      <c r="AB1034" s="1"/>
    </row>
    <row r="1035" spans="1:30" ht="14.25" thickBot="1" x14ac:dyDescent="0.2">
      <c r="A1035" s="100" t="s">
        <v>0</v>
      </c>
      <c r="B1035" s="337" t="s">
        <v>11</v>
      </c>
      <c r="C1035" s="337"/>
      <c r="D1035" s="337"/>
      <c r="E1035" s="338"/>
      <c r="F1035" s="339" t="s">
        <v>9</v>
      </c>
      <c r="G1035" s="340"/>
      <c r="H1035" s="340"/>
      <c r="I1035" s="341"/>
      <c r="J1035" s="342" t="s">
        <v>12</v>
      </c>
      <c r="K1035" s="343"/>
      <c r="L1035" s="343"/>
      <c r="M1035" s="343"/>
      <c r="N1035" s="347" t="s">
        <v>13</v>
      </c>
      <c r="P1035" s="2" t="s">
        <v>0</v>
      </c>
      <c r="Q1035" s="336" t="s">
        <v>11</v>
      </c>
      <c r="R1035" s="337"/>
      <c r="S1035" s="337"/>
      <c r="T1035" s="338"/>
      <c r="U1035" s="339" t="s">
        <v>9</v>
      </c>
      <c r="V1035" s="340"/>
      <c r="W1035" s="340"/>
      <c r="X1035" s="341"/>
      <c r="Y1035" s="342" t="s">
        <v>12</v>
      </c>
      <c r="Z1035" s="343"/>
      <c r="AA1035" s="343"/>
      <c r="AB1035" s="344"/>
      <c r="AC1035" s="133" t="s">
        <v>13</v>
      </c>
    </row>
    <row r="1036" spans="1:30" ht="14.25" thickBot="1" x14ac:dyDescent="0.2">
      <c r="A1036" s="100" t="s">
        <v>1</v>
      </c>
      <c r="B1036" s="3" t="s">
        <v>7</v>
      </c>
      <c r="C1036" s="2" t="s">
        <v>10</v>
      </c>
      <c r="D1036" s="2" t="s">
        <v>8</v>
      </c>
      <c r="E1036" s="2" t="s">
        <v>2</v>
      </c>
      <c r="F1036" s="3" t="s">
        <v>7</v>
      </c>
      <c r="G1036" s="2" t="s">
        <v>10</v>
      </c>
      <c r="H1036" s="2" t="s">
        <v>8</v>
      </c>
      <c r="I1036" s="2" t="s">
        <v>2</v>
      </c>
      <c r="J1036" s="3" t="s">
        <v>7</v>
      </c>
      <c r="K1036" s="2" t="s">
        <v>10</v>
      </c>
      <c r="L1036" s="2" t="s">
        <v>8</v>
      </c>
      <c r="M1036" s="3" t="s">
        <v>2</v>
      </c>
      <c r="N1036" s="348"/>
      <c r="P1036" s="2" t="s">
        <v>1</v>
      </c>
      <c r="Q1036" s="3" t="s">
        <v>7</v>
      </c>
      <c r="R1036" s="2" t="s">
        <v>10</v>
      </c>
      <c r="S1036" s="2" t="s">
        <v>8</v>
      </c>
      <c r="T1036" s="2" t="s">
        <v>2</v>
      </c>
      <c r="U1036" s="3" t="s">
        <v>7</v>
      </c>
      <c r="V1036" s="2" t="s">
        <v>10</v>
      </c>
      <c r="W1036" s="2" t="s">
        <v>8</v>
      </c>
      <c r="X1036" s="2" t="s">
        <v>2</v>
      </c>
      <c r="Y1036" s="3" t="s">
        <v>7</v>
      </c>
      <c r="Z1036" s="2" t="s">
        <v>10</v>
      </c>
      <c r="AA1036" s="2" t="s">
        <v>8</v>
      </c>
      <c r="AB1036" s="2" t="s">
        <v>2</v>
      </c>
      <c r="AC1036" s="134"/>
    </row>
    <row r="1037" spans="1:30" x14ac:dyDescent="0.15">
      <c r="A1037" s="106" t="s">
        <v>6</v>
      </c>
      <c r="B1037" s="41">
        <f>B1031</f>
        <v>20</v>
      </c>
      <c r="C1037" s="41">
        <f t="shared" ref="C1037:E1037" si="1607">C1031</f>
        <v>18</v>
      </c>
      <c r="D1037" s="41">
        <f t="shared" si="1607"/>
        <v>27</v>
      </c>
      <c r="E1037" s="42">
        <f t="shared" si="1607"/>
        <v>65</v>
      </c>
      <c r="F1037" s="41">
        <f>F1031</f>
        <v>24</v>
      </c>
      <c r="G1037" s="41">
        <f t="shared" ref="G1037:I1037" si="1608">G1031</f>
        <v>17</v>
      </c>
      <c r="H1037" s="41">
        <f t="shared" si="1608"/>
        <v>23</v>
      </c>
      <c r="I1037" s="42">
        <f t="shared" si="1608"/>
        <v>64</v>
      </c>
      <c r="J1037" s="41">
        <f>J1031</f>
        <v>20</v>
      </c>
      <c r="K1037" s="41">
        <f t="shared" ref="K1037:M1037" si="1609">K1031</f>
        <v>19</v>
      </c>
      <c r="L1037" s="41">
        <f t="shared" si="1609"/>
        <v>22</v>
      </c>
      <c r="M1037" s="42">
        <f t="shared" si="1609"/>
        <v>61</v>
      </c>
      <c r="N1037" s="143">
        <f>E1037+I1037+M1037</f>
        <v>190</v>
      </c>
      <c r="P1037" s="36" t="s">
        <v>6</v>
      </c>
      <c r="Q1037" s="41">
        <f>Q1031</f>
        <v>742</v>
      </c>
      <c r="R1037" s="41">
        <f t="shared" ref="R1037:AC1037" si="1610">R1031</f>
        <v>1133</v>
      </c>
      <c r="S1037" s="41">
        <f t="shared" si="1610"/>
        <v>937</v>
      </c>
      <c r="T1037" s="42">
        <f t="shared" si="1610"/>
        <v>2812</v>
      </c>
      <c r="U1037" s="41">
        <f t="shared" si="1610"/>
        <v>707</v>
      </c>
      <c r="V1037" s="41">
        <f t="shared" si="1610"/>
        <v>1253</v>
      </c>
      <c r="W1037" s="41">
        <f t="shared" si="1610"/>
        <v>973</v>
      </c>
      <c r="X1037" s="42">
        <f t="shared" si="1610"/>
        <v>2933</v>
      </c>
      <c r="Y1037" s="41">
        <f t="shared" si="1610"/>
        <v>680</v>
      </c>
      <c r="Z1037" s="41">
        <f t="shared" si="1610"/>
        <v>1149</v>
      </c>
      <c r="AA1037" s="41">
        <f t="shared" si="1610"/>
        <v>868</v>
      </c>
      <c r="AB1037" s="42">
        <f t="shared" si="1610"/>
        <v>2697</v>
      </c>
      <c r="AC1037" s="90">
        <f t="shared" si="1610"/>
        <v>8442</v>
      </c>
    </row>
    <row r="1038" spans="1:30" x14ac:dyDescent="0.15">
      <c r="A1038" s="102" t="s">
        <v>249</v>
      </c>
      <c r="B1038" s="25">
        <v>1</v>
      </c>
      <c r="C1038" s="26"/>
      <c r="D1038" s="26"/>
      <c r="E1038" s="5">
        <f t="shared" ref="E1038:E1073" si="1611">SUM(B1038:D1038)</f>
        <v>1</v>
      </c>
      <c r="F1038" s="25">
        <v>1</v>
      </c>
      <c r="G1038" s="26">
        <v>3</v>
      </c>
      <c r="H1038" s="26"/>
      <c r="I1038" s="5">
        <f t="shared" ref="I1038:I1073" si="1612">SUM(F1038:H1038)</f>
        <v>4</v>
      </c>
      <c r="J1038" s="25"/>
      <c r="K1038" s="26"/>
      <c r="L1038" s="26">
        <v>2</v>
      </c>
      <c r="M1038" s="38">
        <f t="shared" ref="M1038:M1073" si="1613">SUM(J1038:L1038)</f>
        <v>2</v>
      </c>
      <c r="N1038" s="138">
        <f t="shared" ref="N1038:N1074" si="1614">E1038+I1038+M1038</f>
        <v>7</v>
      </c>
      <c r="O1038" s="24">
        <v>45826</v>
      </c>
      <c r="P1038" s="6" t="s">
        <v>3</v>
      </c>
      <c r="Q1038" s="14"/>
      <c r="R1038" s="11"/>
      <c r="S1038" s="11"/>
      <c r="T1038" s="5">
        <f t="shared" ref="T1038:T1072" si="1615">SUM(Q1038:S1038)</f>
        <v>0</v>
      </c>
      <c r="U1038" s="14"/>
      <c r="V1038" s="11"/>
      <c r="W1038" s="11"/>
      <c r="X1038" s="5">
        <f t="shared" ref="X1038:X1072" si="1616">SUM(U1038:W1038)</f>
        <v>0</v>
      </c>
      <c r="Y1038" s="25"/>
      <c r="Z1038" s="26"/>
      <c r="AA1038" s="26"/>
      <c r="AB1038" s="5">
        <f t="shared" ref="AB1038:AB1072" si="1617">SUM(Y1038:AA1038)</f>
        <v>0</v>
      </c>
      <c r="AC1038" s="86">
        <f t="shared" ref="AC1038:AC1072" si="1618">T1038+X1038+AB1038</f>
        <v>0</v>
      </c>
    </row>
    <row r="1039" spans="1:30" x14ac:dyDescent="0.15">
      <c r="A1039" s="101" t="s">
        <v>3</v>
      </c>
      <c r="B1039" s="14">
        <v>10</v>
      </c>
      <c r="C1039" s="11">
        <v>10</v>
      </c>
      <c r="D1039" s="11"/>
      <c r="E1039" s="5">
        <f t="shared" ref="E1039" si="1619">SUM(B1039:D1039)</f>
        <v>20</v>
      </c>
      <c r="F1039" s="34">
        <v>10</v>
      </c>
      <c r="G1039" s="11">
        <v>10</v>
      </c>
      <c r="H1039" s="11">
        <v>10</v>
      </c>
      <c r="I1039" s="5">
        <f t="shared" ref="I1039" si="1620">SUM(F1039:H1039)</f>
        <v>30</v>
      </c>
      <c r="J1039" s="34">
        <v>10</v>
      </c>
      <c r="K1039" s="11">
        <v>10</v>
      </c>
      <c r="L1039" s="11"/>
      <c r="M1039" s="38">
        <f t="shared" ref="M1039" si="1621">SUM(J1039:L1039)</f>
        <v>20</v>
      </c>
      <c r="N1039" s="138">
        <f t="shared" ref="N1039:N1041" si="1622">E1039+I1039+M1039</f>
        <v>70</v>
      </c>
      <c r="O1039" s="24">
        <v>45824</v>
      </c>
      <c r="P1039" s="6" t="s">
        <v>3</v>
      </c>
      <c r="Q1039" s="14"/>
      <c r="R1039" s="11"/>
      <c r="S1039" s="11"/>
      <c r="T1039" s="5">
        <f t="shared" si="1615"/>
        <v>0</v>
      </c>
      <c r="U1039" s="14"/>
      <c r="V1039" s="11"/>
      <c r="W1039" s="11"/>
      <c r="X1039" s="5">
        <f t="shared" si="1616"/>
        <v>0</v>
      </c>
      <c r="Y1039" s="25"/>
      <c r="Z1039" s="26"/>
      <c r="AA1039" s="26"/>
      <c r="AB1039" s="5">
        <f t="shared" si="1617"/>
        <v>0</v>
      </c>
      <c r="AC1039" s="86">
        <f t="shared" si="1618"/>
        <v>0</v>
      </c>
    </row>
    <row r="1040" spans="1:30" x14ac:dyDescent="0.15">
      <c r="A1040" s="33" t="s">
        <v>946</v>
      </c>
      <c r="B1040" s="34">
        <v>1</v>
      </c>
      <c r="C1040" s="10"/>
      <c r="D1040" s="10"/>
      <c r="E1040" s="8">
        <f t="shared" ref="E1040" si="1623">SUM(B1040:D1040)</f>
        <v>1</v>
      </c>
      <c r="F1040" s="9"/>
      <c r="G1040" s="10"/>
      <c r="H1040" s="10"/>
      <c r="I1040" s="8">
        <f t="shared" ref="I1040" si="1624">SUM(F1040:H1040)</f>
        <v>0</v>
      </c>
      <c r="J1040" s="9"/>
      <c r="K1040" s="10"/>
      <c r="L1040" s="10"/>
      <c r="M1040" s="39">
        <f t="shared" ref="M1040" si="1625">SUM(J1040:L1040)</f>
        <v>0</v>
      </c>
      <c r="N1040" s="138">
        <f t="shared" si="1622"/>
        <v>1</v>
      </c>
      <c r="O1040" s="70">
        <v>45826</v>
      </c>
      <c r="P1040" s="6" t="s">
        <v>3</v>
      </c>
      <c r="Q1040" s="14"/>
      <c r="R1040" s="11"/>
      <c r="S1040" s="11"/>
      <c r="T1040" s="5">
        <f t="shared" si="1615"/>
        <v>0</v>
      </c>
      <c r="U1040" s="14"/>
      <c r="V1040" s="11"/>
      <c r="W1040" s="11"/>
      <c r="X1040" s="5">
        <f t="shared" si="1616"/>
        <v>0</v>
      </c>
      <c r="Y1040" s="25"/>
      <c r="Z1040" s="26"/>
      <c r="AA1040" s="26"/>
      <c r="AB1040" s="5">
        <f t="shared" si="1617"/>
        <v>0</v>
      </c>
      <c r="AC1040" s="86">
        <f t="shared" si="1618"/>
        <v>0</v>
      </c>
    </row>
    <row r="1041" spans="1:32" x14ac:dyDescent="0.15">
      <c r="A1041" s="33" t="s">
        <v>947</v>
      </c>
      <c r="B1041" s="34">
        <v>1</v>
      </c>
      <c r="C1041" s="10"/>
      <c r="D1041" s="10"/>
      <c r="E1041" s="8">
        <f t="shared" ref="E1041" si="1626">SUM(B1041:D1041)</f>
        <v>1</v>
      </c>
      <c r="F1041" s="34">
        <v>1</v>
      </c>
      <c r="G1041" s="10"/>
      <c r="H1041" s="10"/>
      <c r="I1041" s="5">
        <f t="shared" ref="I1041" si="1627">SUM(F1041:H1041)</f>
        <v>1</v>
      </c>
      <c r="J1041" s="34">
        <v>1</v>
      </c>
      <c r="K1041" s="10"/>
      <c r="L1041" s="10"/>
      <c r="M1041" s="38">
        <f t="shared" ref="M1041" si="1628">SUM(J1041:L1041)</f>
        <v>1</v>
      </c>
      <c r="N1041" s="138">
        <f t="shared" si="1622"/>
        <v>3</v>
      </c>
      <c r="O1041" s="24">
        <v>45826</v>
      </c>
      <c r="P1041" s="6" t="s">
        <v>3</v>
      </c>
      <c r="Q1041" s="14"/>
      <c r="R1041" s="11"/>
      <c r="S1041" s="11"/>
      <c r="T1041" s="5">
        <f t="shared" si="1615"/>
        <v>0</v>
      </c>
      <c r="U1041" s="14"/>
      <c r="V1041" s="11"/>
      <c r="W1041" s="11"/>
      <c r="X1041" s="5">
        <f t="shared" si="1616"/>
        <v>0</v>
      </c>
      <c r="Y1041" s="25"/>
      <c r="Z1041" s="26"/>
      <c r="AA1041" s="26"/>
      <c r="AB1041" s="5">
        <f t="shared" si="1617"/>
        <v>0</v>
      </c>
      <c r="AC1041" s="86">
        <f t="shared" si="1618"/>
        <v>0</v>
      </c>
    </row>
    <row r="1042" spans="1:32" x14ac:dyDescent="0.15">
      <c r="A1042" s="102" t="s">
        <v>319</v>
      </c>
      <c r="B1042" s="14">
        <v>4</v>
      </c>
      <c r="C1042" s="11">
        <v>2</v>
      </c>
      <c r="D1042" s="11">
        <v>4</v>
      </c>
      <c r="E1042" s="5">
        <f t="shared" si="1611"/>
        <v>10</v>
      </c>
      <c r="F1042" s="14">
        <v>4</v>
      </c>
      <c r="G1042" s="11">
        <v>2</v>
      </c>
      <c r="H1042" s="11">
        <v>4</v>
      </c>
      <c r="I1042" s="5">
        <f t="shared" si="1612"/>
        <v>10</v>
      </c>
      <c r="J1042" s="14">
        <v>4</v>
      </c>
      <c r="K1042" s="11">
        <v>2</v>
      </c>
      <c r="L1042" s="11">
        <v>4</v>
      </c>
      <c r="M1042" s="38">
        <f t="shared" si="1613"/>
        <v>10</v>
      </c>
      <c r="N1042" s="138">
        <f t="shared" si="1614"/>
        <v>30</v>
      </c>
      <c r="O1042" s="70">
        <v>45825</v>
      </c>
      <c r="P1042" s="6" t="s">
        <v>3</v>
      </c>
      <c r="Q1042" s="14"/>
      <c r="R1042" s="11"/>
      <c r="S1042" s="11"/>
      <c r="T1042" s="5">
        <f t="shared" si="1615"/>
        <v>0</v>
      </c>
      <c r="U1042" s="14"/>
      <c r="V1042" s="11"/>
      <c r="W1042" s="11"/>
      <c r="X1042" s="5">
        <f t="shared" si="1616"/>
        <v>0</v>
      </c>
      <c r="Y1042" s="25"/>
      <c r="Z1042" s="26"/>
      <c r="AA1042" s="26"/>
      <c r="AB1042" s="5">
        <f t="shared" si="1617"/>
        <v>0</v>
      </c>
      <c r="AC1042" s="86">
        <f t="shared" si="1618"/>
        <v>0</v>
      </c>
    </row>
    <row r="1043" spans="1:32" x14ac:dyDescent="0.15">
      <c r="A1043" s="102" t="s">
        <v>57</v>
      </c>
      <c r="B1043" s="25"/>
      <c r="C1043" s="26"/>
      <c r="D1043" s="26">
        <v>1</v>
      </c>
      <c r="E1043" s="8">
        <f t="shared" si="1611"/>
        <v>1</v>
      </c>
      <c r="F1043" s="25"/>
      <c r="G1043" s="26"/>
      <c r="H1043" s="26">
        <v>1</v>
      </c>
      <c r="I1043" s="8">
        <f t="shared" si="1612"/>
        <v>1</v>
      </c>
      <c r="J1043" s="25"/>
      <c r="K1043" s="26"/>
      <c r="L1043" s="26">
        <v>1</v>
      </c>
      <c r="M1043" s="39">
        <f t="shared" si="1613"/>
        <v>1</v>
      </c>
      <c r="N1043" s="138">
        <f t="shared" si="1614"/>
        <v>3</v>
      </c>
      <c r="O1043" s="70">
        <v>45832</v>
      </c>
      <c r="P1043" s="6" t="s">
        <v>3</v>
      </c>
      <c r="Q1043" s="14"/>
      <c r="R1043" s="11"/>
      <c r="S1043" s="11"/>
      <c r="T1043" s="5">
        <f t="shared" si="1615"/>
        <v>0</v>
      </c>
      <c r="U1043" s="14"/>
      <c r="V1043" s="11"/>
      <c r="W1043" s="11"/>
      <c r="X1043" s="5">
        <f t="shared" si="1616"/>
        <v>0</v>
      </c>
      <c r="Y1043" s="25"/>
      <c r="Z1043" s="26"/>
      <c r="AA1043" s="26"/>
      <c r="AB1043" s="8">
        <f t="shared" si="1617"/>
        <v>0</v>
      </c>
      <c r="AC1043" s="86">
        <f t="shared" si="1618"/>
        <v>0</v>
      </c>
    </row>
    <row r="1044" spans="1:32" x14ac:dyDescent="0.15">
      <c r="A1044" s="102" t="s">
        <v>3</v>
      </c>
      <c r="B1044" s="27"/>
      <c r="C1044" s="26">
        <v>10</v>
      </c>
      <c r="D1044" s="26"/>
      <c r="E1044" s="5">
        <f t="shared" si="1611"/>
        <v>10</v>
      </c>
      <c r="F1044" s="25"/>
      <c r="G1044" s="26">
        <v>10</v>
      </c>
      <c r="H1044" s="26"/>
      <c r="I1044" s="5">
        <f t="shared" si="1612"/>
        <v>10</v>
      </c>
      <c r="J1044" s="25"/>
      <c r="K1044" s="26">
        <v>10</v>
      </c>
      <c r="L1044" s="26"/>
      <c r="M1044" s="38">
        <f t="shared" si="1613"/>
        <v>10</v>
      </c>
      <c r="N1044" s="138">
        <f t="shared" si="1614"/>
        <v>30</v>
      </c>
      <c r="O1044" s="24">
        <v>45835</v>
      </c>
      <c r="P1044" s="6" t="s">
        <v>3</v>
      </c>
      <c r="Q1044" s="27"/>
      <c r="R1044" s="26"/>
      <c r="S1044" s="26"/>
      <c r="T1044" s="5">
        <f t="shared" si="1615"/>
        <v>0</v>
      </c>
      <c r="U1044" s="27"/>
      <c r="V1044" s="26"/>
      <c r="W1044" s="26"/>
      <c r="X1044" s="5">
        <f t="shared" si="1616"/>
        <v>0</v>
      </c>
      <c r="Y1044" s="25"/>
      <c r="Z1044" s="26"/>
      <c r="AA1044" s="26"/>
      <c r="AB1044" s="5">
        <f t="shared" si="1617"/>
        <v>0</v>
      </c>
      <c r="AC1044" s="86">
        <f t="shared" si="1618"/>
        <v>0</v>
      </c>
    </row>
    <row r="1045" spans="1:32" x14ac:dyDescent="0.15">
      <c r="A1045" s="102" t="s">
        <v>3</v>
      </c>
      <c r="B1045" s="27"/>
      <c r="C1045" s="26"/>
      <c r="D1045" s="26"/>
      <c r="E1045" s="5">
        <f t="shared" si="1611"/>
        <v>0</v>
      </c>
      <c r="F1045" s="25"/>
      <c r="G1045" s="26"/>
      <c r="H1045" s="26"/>
      <c r="I1045" s="5">
        <f t="shared" si="1612"/>
        <v>0</v>
      </c>
      <c r="J1045" s="25"/>
      <c r="K1045" s="26"/>
      <c r="L1045" s="26"/>
      <c r="M1045" s="38">
        <f t="shared" si="1613"/>
        <v>0</v>
      </c>
      <c r="N1045" s="138">
        <f t="shared" si="1614"/>
        <v>0</v>
      </c>
      <c r="P1045" s="6" t="s">
        <v>3</v>
      </c>
      <c r="Q1045" s="14"/>
      <c r="R1045" s="11"/>
      <c r="S1045" s="11"/>
      <c r="T1045" s="5">
        <f t="shared" si="1615"/>
        <v>0</v>
      </c>
      <c r="U1045" s="14"/>
      <c r="V1045" s="11"/>
      <c r="W1045" s="11"/>
      <c r="X1045" s="5">
        <f t="shared" si="1616"/>
        <v>0</v>
      </c>
      <c r="Y1045" s="25"/>
      <c r="Z1045" s="26"/>
      <c r="AA1045" s="26"/>
      <c r="AB1045" s="8">
        <f t="shared" si="1617"/>
        <v>0</v>
      </c>
      <c r="AC1045" s="86">
        <f t="shared" si="1618"/>
        <v>0</v>
      </c>
    </row>
    <row r="1046" spans="1:32" x14ac:dyDescent="0.15">
      <c r="A1046" s="102" t="s">
        <v>3</v>
      </c>
      <c r="B1046" s="27"/>
      <c r="C1046" s="26"/>
      <c r="D1046" s="26"/>
      <c r="E1046" s="5">
        <f t="shared" si="1611"/>
        <v>0</v>
      </c>
      <c r="F1046" s="25"/>
      <c r="G1046" s="26"/>
      <c r="H1046" s="26"/>
      <c r="I1046" s="5">
        <f t="shared" si="1612"/>
        <v>0</v>
      </c>
      <c r="J1046" s="25"/>
      <c r="K1046" s="26"/>
      <c r="L1046" s="26"/>
      <c r="M1046" s="38">
        <f t="shared" si="1613"/>
        <v>0</v>
      </c>
      <c r="N1046" s="138">
        <f t="shared" si="1614"/>
        <v>0</v>
      </c>
      <c r="P1046" s="6" t="s">
        <v>3</v>
      </c>
      <c r="Q1046" s="27"/>
      <c r="R1046" s="26"/>
      <c r="S1046" s="26"/>
      <c r="T1046" s="5">
        <f t="shared" si="1615"/>
        <v>0</v>
      </c>
      <c r="U1046" s="27"/>
      <c r="V1046" s="26"/>
      <c r="W1046" s="26"/>
      <c r="X1046" s="5">
        <f t="shared" si="1616"/>
        <v>0</v>
      </c>
      <c r="Y1046" s="25"/>
      <c r="Z1046" s="26"/>
      <c r="AA1046" s="26"/>
      <c r="AB1046" s="5">
        <f t="shared" si="1617"/>
        <v>0</v>
      </c>
      <c r="AC1046" s="86">
        <f t="shared" si="1618"/>
        <v>0</v>
      </c>
    </row>
    <row r="1047" spans="1:32" ht="14.25" thickBot="1" x14ac:dyDescent="0.2">
      <c r="A1047" s="102" t="s">
        <v>3</v>
      </c>
      <c r="B1047" s="28"/>
      <c r="C1047" s="29"/>
      <c r="D1047" s="32">
        <v>11</v>
      </c>
      <c r="E1047" s="15">
        <f t="shared" ref="E1047" si="1629">SUM(B1047:D1047)</f>
        <v>11</v>
      </c>
      <c r="F1047" s="35"/>
      <c r="G1047" s="29">
        <v>1</v>
      </c>
      <c r="H1047" s="32">
        <v>1</v>
      </c>
      <c r="I1047" s="15">
        <f t="shared" si="1612"/>
        <v>2</v>
      </c>
      <c r="J1047" s="35">
        <v>1</v>
      </c>
      <c r="K1047" s="29"/>
      <c r="L1047" s="32">
        <v>-6</v>
      </c>
      <c r="M1047" s="40">
        <f t="shared" si="1613"/>
        <v>-5</v>
      </c>
      <c r="N1047" s="139">
        <f t="shared" si="1614"/>
        <v>8</v>
      </c>
      <c r="P1047" s="7" t="s">
        <v>3</v>
      </c>
      <c r="Q1047" s="28"/>
      <c r="R1047" s="29"/>
      <c r="S1047" s="29"/>
      <c r="T1047" s="15">
        <f t="shared" si="1615"/>
        <v>0</v>
      </c>
      <c r="U1047" s="28"/>
      <c r="V1047" s="29"/>
      <c r="W1047" s="29"/>
      <c r="X1047" s="15">
        <f t="shared" si="1616"/>
        <v>0</v>
      </c>
      <c r="Y1047" s="35"/>
      <c r="Z1047" s="29"/>
      <c r="AA1047" s="32"/>
      <c r="AB1047" s="15">
        <f t="shared" si="1617"/>
        <v>0</v>
      </c>
      <c r="AC1047" s="87">
        <f t="shared" si="1618"/>
        <v>0</v>
      </c>
    </row>
    <row r="1048" spans="1:32" ht="14.25" thickBot="1" x14ac:dyDescent="0.2">
      <c r="A1048" s="103" t="s">
        <v>4</v>
      </c>
      <c r="B1048" s="17">
        <f>SUM(B1037:B1047)</f>
        <v>37</v>
      </c>
      <c r="C1048" s="17">
        <f>SUM(C1037:C1047)</f>
        <v>40</v>
      </c>
      <c r="D1048" s="17">
        <f>SUM(D1037:D1047)</f>
        <v>43</v>
      </c>
      <c r="E1048" s="18">
        <f t="shared" si="1611"/>
        <v>120</v>
      </c>
      <c r="F1048" s="17">
        <f>SUM(F1037:F1047)</f>
        <v>40</v>
      </c>
      <c r="G1048" s="17">
        <f>SUM(G1037:G1047)</f>
        <v>43</v>
      </c>
      <c r="H1048" s="17">
        <f>SUM(H1037:H1047)</f>
        <v>39</v>
      </c>
      <c r="I1048" s="18">
        <f t="shared" si="1612"/>
        <v>122</v>
      </c>
      <c r="J1048" s="17">
        <f>SUM(J1037:J1047)</f>
        <v>36</v>
      </c>
      <c r="K1048" s="17">
        <f>SUM(K1037:K1047)</f>
        <v>41</v>
      </c>
      <c r="L1048" s="17">
        <f>SUM(L1037:L1047)</f>
        <v>23</v>
      </c>
      <c r="M1048" s="20">
        <f t="shared" si="1613"/>
        <v>100</v>
      </c>
      <c r="N1048" s="140">
        <f t="shared" si="1614"/>
        <v>342</v>
      </c>
      <c r="P1048" s="16" t="s">
        <v>4</v>
      </c>
      <c r="Q1048" s="17">
        <f>SUM(Q1037:Q1047)</f>
        <v>742</v>
      </c>
      <c r="R1048" s="17">
        <f t="shared" ref="R1048" si="1630">SUM(R1037:R1047)</f>
        <v>1133</v>
      </c>
      <c r="S1048" s="17">
        <f t="shared" ref="S1048" si="1631">SUM(S1037:S1047)</f>
        <v>937</v>
      </c>
      <c r="T1048" s="18">
        <f t="shared" ref="T1048" si="1632">SUM(T1037:T1047)</f>
        <v>2812</v>
      </c>
      <c r="U1048" s="17">
        <f t="shared" ref="U1048" si="1633">SUM(U1037:U1047)</f>
        <v>707</v>
      </c>
      <c r="V1048" s="17">
        <f t="shared" ref="V1048" si="1634">SUM(V1037:V1047)</f>
        <v>1253</v>
      </c>
      <c r="W1048" s="17">
        <f t="shared" ref="W1048" si="1635">SUM(W1037:W1047)</f>
        <v>973</v>
      </c>
      <c r="X1048" s="18">
        <f t="shared" ref="X1048" si="1636">SUM(X1037:X1047)</f>
        <v>2933</v>
      </c>
      <c r="Y1048" s="17">
        <f t="shared" ref="Y1048" si="1637">SUM(Y1037:Y1047)</f>
        <v>680</v>
      </c>
      <c r="Z1048" s="17">
        <f t="shared" ref="Z1048" si="1638">SUM(Z1037:Z1047)</f>
        <v>1149</v>
      </c>
      <c r="AA1048" s="17">
        <f t="shared" ref="AA1048" si="1639">SUM(AA1037:AA1047)</f>
        <v>868</v>
      </c>
      <c r="AB1048" s="18">
        <f t="shared" ref="AB1048" si="1640">SUM(AB1037:AB1047)</f>
        <v>2697</v>
      </c>
      <c r="AC1048" s="88">
        <f t="shared" ref="AC1048" si="1641">SUM(AC1037:AC1047)</f>
        <v>8442</v>
      </c>
    </row>
    <row r="1049" spans="1:32" x14ac:dyDescent="0.15">
      <c r="A1049" s="4" t="s">
        <v>934</v>
      </c>
      <c r="B1049" s="9">
        <v>1</v>
      </c>
      <c r="C1049" s="10">
        <v>1</v>
      </c>
      <c r="D1049" s="31"/>
      <c r="E1049" s="5">
        <f t="shared" si="1611"/>
        <v>2</v>
      </c>
      <c r="F1049" s="9">
        <v>1</v>
      </c>
      <c r="G1049" s="10">
        <v>1</v>
      </c>
      <c r="H1049" s="31"/>
      <c r="I1049" s="5">
        <f t="shared" si="1612"/>
        <v>2</v>
      </c>
      <c r="J1049" s="9">
        <v>1</v>
      </c>
      <c r="K1049" s="10">
        <v>1</v>
      </c>
      <c r="L1049" s="31"/>
      <c r="M1049" s="38">
        <f t="shared" si="1613"/>
        <v>2</v>
      </c>
      <c r="N1049" s="141">
        <f t="shared" si="1614"/>
        <v>6</v>
      </c>
      <c r="O1049" s="24">
        <v>45821</v>
      </c>
      <c r="P1049" s="4" t="s">
        <v>926</v>
      </c>
      <c r="Q1049" s="9">
        <v>6</v>
      </c>
      <c r="R1049" s="10">
        <v>13</v>
      </c>
      <c r="S1049" s="31"/>
      <c r="T1049" s="5">
        <f t="shared" si="1615"/>
        <v>19</v>
      </c>
      <c r="U1049" s="9">
        <v>6</v>
      </c>
      <c r="V1049" s="10">
        <v>13</v>
      </c>
      <c r="W1049" s="31"/>
      <c r="X1049" s="5">
        <f t="shared" si="1616"/>
        <v>19</v>
      </c>
      <c r="Y1049" s="9">
        <v>6</v>
      </c>
      <c r="Z1049" s="10">
        <v>13</v>
      </c>
      <c r="AA1049" s="31"/>
      <c r="AB1049" s="5">
        <f t="shared" si="1617"/>
        <v>19</v>
      </c>
      <c r="AC1049" s="91">
        <f t="shared" si="1618"/>
        <v>57</v>
      </c>
      <c r="AD1049" s="109">
        <v>45819</v>
      </c>
      <c r="AE1049" s="58"/>
    </row>
    <row r="1050" spans="1:32" x14ac:dyDescent="0.15">
      <c r="A1050" s="33" t="s">
        <v>36</v>
      </c>
      <c r="B1050" s="9"/>
      <c r="C1050" s="10"/>
      <c r="D1050" s="10">
        <v>1</v>
      </c>
      <c r="E1050" s="5">
        <f t="shared" si="1611"/>
        <v>1</v>
      </c>
      <c r="F1050" s="9"/>
      <c r="G1050" s="10"/>
      <c r="H1050" s="10">
        <v>1</v>
      </c>
      <c r="I1050" s="5">
        <f t="shared" si="1612"/>
        <v>1</v>
      </c>
      <c r="J1050" s="9"/>
      <c r="K1050" s="10"/>
      <c r="L1050" s="10">
        <v>1</v>
      </c>
      <c r="M1050" s="38">
        <f t="shared" si="1613"/>
        <v>1</v>
      </c>
      <c r="N1050" s="138">
        <f t="shared" si="1614"/>
        <v>3</v>
      </c>
      <c r="O1050" s="24">
        <v>45819</v>
      </c>
      <c r="P1050" s="4" t="s">
        <v>927</v>
      </c>
      <c r="Q1050" s="9"/>
      <c r="R1050" s="10"/>
      <c r="S1050" s="10">
        <v>20</v>
      </c>
      <c r="T1050" s="5">
        <f t="shared" si="1615"/>
        <v>20</v>
      </c>
      <c r="U1050" s="9"/>
      <c r="V1050" s="10"/>
      <c r="W1050" s="10">
        <v>20</v>
      </c>
      <c r="X1050" s="5">
        <f t="shared" si="1616"/>
        <v>20</v>
      </c>
      <c r="Y1050" s="9"/>
      <c r="Z1050" s="10"/>
      <c r="AA1050" s="10">
        <v>20</v>
      </c>
      <c r="AB1050" s="5">
        <f t="shared" si="1617"/>
        <v>20</v>
      </c>
      <c r="AC1050" s="86">
        <f t="shared" si="1618"/>
        <v>60</v>
      </c>
      <c r="AD1050" s="109">
        <v>45820</v>
      </c>
    </row>
    <row r="1051" spans="1:32" x14ac:dyDescent="0.15">
      <c r="A1051" s="4" t="s">
        <v>935</v>
      </c>
      <c r="B1051" s="9">
        <v>1</v>
      </c>
      <c r="C1051" s="10">
        <v>1</v>
      </c>
      <c r="D1051" s="10"/>
      <c r="E1051" s="5">
        <f t="shared" si="1611"/>
        <v>2</v>
      </c>
      <c r="F1051" s="9">
        <v>1</v>
      </c>
      <c r="G1051" s="10">
        <v>1</v>
      </c>
      <c r="H1051" s="10"/>
      <c r="I1051" s="5">
        <f t="shared" si="1612"/>
        <v>2</v>
      </c>
      <c r="J1051" s="9">
        <v>1</v>
      </c>
      <c r="K1051" s="10">
        <v>1</v>
      </c>
      <c r="L1051" s="10"/>
      <c r="M1051" s="38">
        <f t="shared" si="1613"/>
        <v>2</v>
      </c>
      <c r="N1051" s="138">
        <f t="shared" si="1614"/>
        <v>6</v>
      </c>
      <c r="O1051" s="24">
        <v>45821</v>
      </c>
      <c r="P1051" s="11" t="s">
        <v>929</v>
      </c>
      <c r="Q1051" s="9"/>
      <c r="R1051" s="10">
        <v>10</v>
      </c>
      <c r="S1051" s="10"/>
      <c r="T1051" s="5">
        <f t="shared" si="1615"/>
        <v>10</v>
      </c>
      <c r="U1051" s="9"/>
      <c r="V1051" s="10">
        <v>10</v>
      </c>
      <c r="W1051" s="10"/>
      <c r="X1051" s="5">
        <f t="shared" si="1616"/>
        <v>10</v>
      </c>
      <c r="Y1051" s="9"/>
      <c r="Z1051" s="10">
        <v>10</v>
      </c>
      <c r="AA1051" s="10"/>
      <c r="AB1051" s="5">
        <f t="shared" si="1617"/>
        <v>10</v>
      </c>
      <c r="AC1051" s="86">
        <f t="shared" si="1618"/>
        <v>30</v>
      </c>
      <c r="AD1051" s="109">
        <v>45821</v>
      </c>
      <c r="AE1051" s="58"/>
    </row>
    <row r="1052" spans="1:32" x14ac:dyDescent="0.15">
      <c r="A1052" s="4" t="s">
        <v>937</v>
      </c>
      <c r="B1052" s="9">
        <v>1</v>
      </c>
      <c r="C1052" s="10">
        <v>1</v>
      </c>
      <c r="D1052" s="10"/>
      <c r="E1052" s="5">
        <f t="shared" si="1611"/>
        <v>2</v>
      </c>
      <c r="F1052" s="9">
        <v>1</v>
      </c>
      <c r="G1052" s="10">
        <v>1</v>
      </c>
      <c r="H1052" s="10"/>
      <c r="I1052" s="5">
        <f t="shared" si="1612"/>
        <v>2</v>
      </c>
      <c r="J1052" s="9">
        <v>1</v>
      </c>
      <c r="K1052" s="10">
        <v>1</v>
      </c>
      <c r="L1052" s="10"/>
      <c r="M1052" s="38">
        <f t="shared" si="1613"/>
        <v>2</v>
      </c>
      <c r="N1052" s="138">
        <f t="shared" si="1614"/>
        <v>6</v>
      </c>
      <c r="O1052" s="24">
        <v>45824</v>
      </c>
      <c r="P1052" s="4" t="s">
        <v>930</v>
      </c>
      <c r="Q1052" s="9">
        <v>5</v>
      </c>
      <c r="R1052" s="10"/>
      <c r="S1052" s="10"/>
      <c r="T1052" s="5">
        <f t="shared" si="1615"/>
        <v>5</v>
      </c>
      <c r="U1052" s="9">
        <v>5</v>
      </c>
      <c r="V1052" s="10"/>
      <c r="W1052" s="10"/>
      <c r="X1052" s="5">
        <f t="shared" si="1616"/>
        <v>5</v>
      </c>
      <c r="Y1052" s="9">
        <v>5</v>
      </c>
      <c r="Z1052" s="10"/>
      <c r="AA1052" s="10"/>
      <c r="AB1052" s="5">
        <f t="shared" si="1617"/>
        <v>5</v>
      </c>
      <c r="AC1052" s="86">
        <f t="shared" si="1618"/>
        <v>15</v>
      </c>
      <c r="AD1052" s="109">
        <v>45824</v>
      </c>
      <c r="AE1052" s="58"/>
    </row>
    <row r="1053" spans="1:32" x14ac:dyDescent="0.15">
      <c r="A1053" s="4" t="s">
        <v>939</v>
      </c>
      <c r="B1053" s="9"/>
      <c r="C1053" s="10">
        <v>2</v>
      </c>
      <c r="D1053" s="10"/>
      <c r="E1053" s="5">
        <f t="shared" si="1611"/>
        <v>2</v>
      </c>
      <c r="F1053" s="9"/>
      <c r="G1053" s="10">
        <v>2</v>
      </c>
      <c r="H1053" s="10"/>
      <c r="I1053" s="5">
        <f t="shared" si="1612"/>
        <v>2</v>
      </c>
      <c r="J1053" s="9"/>
      <c r="K1053" s="10">
        <v>2</v>
      </c>
      <c r="L1053" s="10"/>
      <c r="M1053" s="38">
        <f t="shared" si="1613"/>
        <v>2</v>
      </c>
      <c r="N1053" s="138">
        <f t="shared" si="1614"/>
        <v>6</v>
      </c>
      <c r="O1053" s="24">
        <v>45826</v>
      </c>
      <c r="P1053" s="4" t="s">
        <v>936</v>
      </c>
      <c r="Q1053" s="9"/>
      <c r="R1053" s="10">
        <v>10</v>
      </c>
      <c r="S1053" s="10"/>
      <c r="T1053" s="5">
        <f t="shared" si="1615"/>
        <v>10</v>
      </c>
      <c r="U1053" s="9"/>
      <c r="V1053" s="10">
        <v>10</v>
      </c>
      <c r="W1053" s="10"/>
      <c r="X1053" s="5">
        <f t="shared" si="1616"/>
        <v>10</v>
      </c>
      <c r="Y1053" s="9"/>
      <c r="Z1053" s="10">
        <v>10</v>
      </c>
      <c r="AA1053" s="10"/>
      <c r="AB1053" s="5">
        <f t="shared" si="1617"/>
        <v>10</v>
      </c>
      <c r="AC1053" s="86">
        <f t="shared" si="1618"/>
        <v>30</v>
      </c>
      <c r="AD1053" s="109">
        <v>45824</v>
      </c>
    </row>
    <row r="1054" spans="1:32" x14ac:dyDescent="0.15">
      <c r="A1054" s="33" t="s">
        <v>36</v>
      </c>
      <c r="B1054" s="9">
        <f>1+1</f>
        <v>2</v>
      </c>
      <c r="C1054" s="10">
        <v>1</v>
      </c>
      <c r="D1054" s="10">
        <v>1</v>
      </c>
      <c r="E1054" s="8">
        <f t="shared" si="1611"/>
        <v>4</v>
      </c>
      <c r="F1054" s="9">
        <f>1+1</f>
        <v>2</v>
      </c>
      <c r="G1054" s="10"/>
      <c r="H1054" s="10">
        <v>1</v>
      </c>
      <c r="I1054" s="8">
        <f t="shared" si="1612"/>
        <v>3</v>
      </c>
      <c r="J1054" s="9">
        <f>1+1</f>
        <v>2</v>
      </c>
      <c r="K1054" s="10"/>
      <c r="L1054" s="10">
        <v>1</v>
      </c>
      <c r="M1054" s="39">
        <f t="shared" si="1613"/>
        <v>3</v>
      </c>
      <c r="N1054" s="138">
        <f t="shared" si="1614"/>
        <v>10</v>
      </c>
      <c r="O1054" s="24">
        <v>45824</v>
      </c>
      <c r="P1054" s="4" t="s">
        <v>27</v>
      </c>
      <c r="Q1054" s="9">
        <v>10</v>
      </c>
      <c r="R1054" s="10">
        <v>10</v>
      </c>
      <c r="S1054" s="10"/>
      <c r="T1054" s="8">
        <f t="shared" si="1615"/>
        <v>20</v>
      </c>
      <c r="U1054" s="9">
        <v>10</v>
      </c>
      <c r="V1054" s="10">
        <v>10</v>
      </c>
      <c r="W1054" s="10">
        <v>10</v>
      </c>
      <c r="X1054" s="8">
        <f t="shared" si="1616"/>
        <v>30</v>
      </c>
      <c r="Y1054" s="9">
        <v>10</v>
      </c>
      <c r="Z1054" s="10">
        <v>10</v>
      </c>
      <c r="AA1054" s="10"/>
      <c r="AB1054" s="8">
        <f t="shared" si="1617"/>
        <v>20</v>
      </c>
      <c r="AC1054" s="145">
        <f t="shared" si="1618"/>
        <v>70</v>
      </c>
      <c r="AD1054" s="109">
        <v>45824</v>
      </c>
      <c r="AE1054" s="58"/>
      <c r="AF1054" s="58"/>
    </row>
    <row r="1055" spans="1:32" x14ac:dyDescent="0.15">
      <c r="A1055" s="4" t="s">
        <v>944</v>
      </c>
      <c r="B1055" s="9"/>
      <c r="C1055" s="10">
        <v>3</v>
      </c>
      <c r="D1055" s="10"/>
      <c r="E1055" s="8">
        <f t="shared" si="1611"/>
        <v>3</v>
      </c>
      <c r="F1055" s="9"/>
      <c r="G1055" s="10">
        <v>3</v>
      </c>
      <c r="H1055" s="10"/>
      <c r="I1055" s="8">
        <f t="shared" si="1612"/>
        <v>3</v>
      </c>
      <c r="J1055" s="9"/>
      <c r="K1055" s="10">
        <v>3</v>
      </c>
      <c r="L1055" s="10"/>
      <c r="M1055" s="39">
        <f t="shared" si="1613"/>
        <v>3</v>
      </c>
      <c r="N1055" s="138">
        <f t="shared" si="1614"/>
        <v>9</v>
      </c>
      <c r="O1055" s="24">
        <v>45828</v>
      </c>
      <c r="P1055" s="4" t="s">
        <v>941</v>
      </c>
      <c r="Q1055" s="9">
        <v>12</v>
      </c>
      <c r="R1055" s="10">
        <v>10</v>
      </c>
      <c r="S1055" s="10">
        <v>10</v>
      </c>
      <c r="T1055" s="8">
        <f t="shared" si="1615"/>
        <v>32</v>
      </c>
      <c r="U1055" s="9">
        <v>12</v>
      </c>
      <c r="V1055" s="10">
        <v>10</v>
      </c>
      <c r="W1055" s="10">
        <v>10</v>
      </c>
      <c r="X1055" s="8">
        <f t="shared" si="1616"/>
        <v>32</v>
      </c>
      <c r="Y1055" s="9">
        <v>12</v>
      </c>
      <c r="Z1055" s="10">
        <v>10</v>
      </c>
      <c r="AA1055" s="10">
        <v>10</v>
      </c>
      <c r="AB1055" s="8">
        <f t="shared" si="1617"/>
        <v>32</v>
      </c>
      <c r="AC1055" s="86">
        <f t="shared" si="1618"/>
        <v>96</v>
      </c>
      <c r="AD1055" s="109">
        <v>45827</v>
      </c>
      <c r="AE1055" s="58"/>
      <c r="AF1055" s="58"/>
    </row>
    <row r="1056" spans="1:32" x14ac:dyDescent="0.15">
      <c r="A1056" s="33" t="s">
        <v>36</v>
      </c>
      <c r="B1056" s="9"/>
      <c r="C1056" s="10">
        <v>1</v>
      </c>
      <c r="D1056" s="10"/>
      <c r="E1056" s="8">
        <f t="shared" si="1611"/>
        <v>1</v>
      </c>
      <c r="F1056" s="9"/>
      <c r="G1056" s="10">
        <v>1</v>
      </c>
      <c r="H1056" s="10"/>
      <c r="I1056" s="8">
        <f t="shared" si="1612"/>
        <v>1</v>
      </c>
      <c r="J1056" s="9"/>
      <c r="K1056" s="10"/>
      <c r="L1056" s="10"/>
      <c r="M1056" s="39">
        <f t="shared" si="1613"/>
        <v>0</v>
      </c>
      <c r="N1056" s="138">
        <f t="shared" si="1614"/>
        <v>2</v>
      </c>
      <c r="O1056" s="24">
        <v>45826</v>
      </c>
      <c r="P1056" s="4" t="s">
        <v>942</v>
      </c>
      <c r="Q1056" s="9">
        <v>4</v>
      </c>
      <c r="R1056" s="10">
        <v>5</v>
      </c>
      <c r="S1056" s="10">
        <v>4</v>
      </c>
      <c r="T1056" s="8">
        <f t="shared" si="1615"/>
        <v>13</v>
      </c>
      <c r="U1056" s="9">
        <v>4</v>
      </c>
      <c r="V1056" s="10">
        <v>5</v>
      </c>
      <c r="W1056" s="10">
        <v>4</v>
      </c>
      <c r="X1056" s="8">
        <f t="shared" si="1616"/>
        <v>13</v>
      </c>
      <c r="Y1056" s="9">
        <v>4</v>
      </c>
      <c r="Z1056" s="10">
        <v>5</v>
      </c>
      <c r="AA1056" s="10">
        <v>4</v>
      </c>
      <c r="AB1056" s="8">
        <f t="shared" si="1617"/>
        <v>13</v>
      </c>
      <c r="AC1056" s="86">
        <f t="shared" si="1618"/>
        <v>39</v>
      </c>
      <c r="AD1056" s="109">
        <v>45827</v>
      </c>
    </row>
    <row r="1057" spans="1:32" x14ac:dyDescent="0.15">
      <c r="A1057" s="4" t="s">
        <v>949</v>
      </c>
      <c r="B1057" s="9">
        <v>3</v>
      </c>
      <c r="C1057" s="10">
        <v>1</v>
      </c>
      <c r="D1057" s="10"/>
      <c r="E1057" s="8">
        <f t="shared" si="1611"/>
        <v>4</v>
      </c>
      <c r="F1057" s="9">
        <v>3</v>
      </c>
      <c r="G1057" s="10">
        <v>1</v>
      </c>
      <c r="H1057" s="10"/>
      <c r="I1057" s="8">
        <f t="shared" si="1612"/>
        <v>4</v>
      </c>
      <c r="J1057" s="9">
        <v>3</v>
      </c>
      <c r="K1057" s="10">
        <v>1</v>
      </c>
      <c r="L1057" s="10"/>
      <c r="M1057" s="39">
        <f t="shared" si="1613"/>
        <v>4</v>
      </c>
      <c r="N1057" s="138">
        <f t="shared" si="1614"/>
        <v>12</v>
      </c>
      <c r="O1057" s="24">
        <v>45828</v>
      </c>
      <c r="P1057" s="4" t="s">
        <v>943</v>
      </c>
      <c r="Q1057" s="9">
        <v>16</v>
      </c>
      <c r="R1057" s="10">
        <v>30</v>
      </c>
      <c r="S1057" s="10">
        <v>30</v>
      </c>
      <c r="T1057" s="8">
        <f t="shared" si="1615"/>
        <v>76</v>
      </c>
      <c r="U1057" s="9">
        <v>16</v>
      </c>
      <c r="V1057" s="10">
        <v>30</v>
      </c>
      <c r="W1057" s="10">
        <v>30</v>
      </c>
      <c r="X1057" s="8">
        <f t="shared" si="1616"/>
        <v>76</v>
      </c>
      <c r="Y1057" s="9">
        <v>16</v>
      </c>
      <c r="Z1057" s="10">
        <v>30</v>
      </c>
      <c r="AA1057" s="10">
        <v>30</v>
      </c>
      <c r="AB1057" s="8">
        <f t="shared" si="1617"/>
        <v>76</v>
      </c>
      <c r="AC1057" s="86">
        <f t="shared" si="1618"/>
        <v>228</v>
      </c>
      <c r="AD1057" s="109">
        <v>45828</v>
      </c>
    </row>
    <row r="1058" spans="1:32" x14ac:dyDescent="0.15">
      <c r="A1058" s="4" t="s">
        <v>954</v>
      </c>
      <c r="B1058" s="9">
        <v>1</v>
      </c>
      <c r="C1058" s="10">
        <v>2</v>
      </c>
      <c r="D1058" s="10"/>
      <c r="E1058" s="8">
        <f t="shared" si="1611"/>
        <v>3</v>
      </c>
      <c r="F1058" s="9">
        <v>1</v>
      </c>
      <c r="G1058" s="10">
        <v>2</v>
      </c>
      <c r="H1058" s="10"/>
      <c r="I1058" s="8">
        <f t="shared" si="1612"/>
        <v>3</v>
      </c>
      <c r="J1058" s="9">
        <v>1</v>
      </c>
      <c r="K1058" s="10">
        <v>2</v>
      </c>
      <c r="L1058" s="10"/>
      <c r="M1058" s="39">
        <f t="shared" si="1613"/>
        <v>3</v>
      </c>
      <c r="N1058" s="138">
        <f t="shared" si="1614"/>
        <v>9</v>
      </c>
      <c r="O1058" s="24">
        <v>45831</v>
      </c>
      <c r="P1058" s="4" t="s">
        <v>945</v>
      </c>
      <c r="Q1058" s="9"/>
      <c r="R1058" s="10">
        <v>35</v>
      </c>
      <c r="S1058" s="10">
        <v>25</v>
      </c>
      <c r="T1058" s="8">
        <f t="shared" si="1615"/>
        <v>60</v>
      </c>
      <c r="U1058" s="9"/>
      <c r="V1058" s="10">
        <v>35</v>
      </c>
      <c r="W1058" s="10">
        <v>25</v>
      </c>
      <c r="X1058" s="8">
        <f t="shared" si="1616"/>
        <v>60</v>
      </c>
      <c r="Y1058" s="9"/>
      <c r="Z1058" s="10">
        <v>35</v>
      </c>
      <c r="AA1058" s="10">
        <v>25</v>
      </c>
      <c r="AB1058" s="8">
        <f t="shared" si="1617"/>
        <v>60</v>
      </c>
      <c r="AC1058" s="86">
        <f t="shared" si="1618"/>
        <v>180</v>
      </c>
      <c r="AD1058" s="109">
        <v>45827</v>
      </c>
    </row>
    <row r="1059" spans="1:32" x14ac:dyDescent="0.15">
      <c r="A1059" s="33" t="s">
        <v>950</v>
      </c>
      <c r="B1059" s="9">
        <v>2</v>
      </c>
      <c r="C1059" s="10">
        <v>5</v>
      </c>
      <c r="D1059" s="10"/>
      <c r="E1059" s="8">
        <f t="shared" si="1611"/>
        <v>7</v>
      </c>
      <c r="F1059" s="9">
        <v>2</v>
      </c>
      <c r="G1059" s="10">
        <v>5</v>
      </c>
      <c r="H1059" s="10"/>
      <c r="I1059" s="8">
        <f t="shared" si="1612"/>
        <v>7</v>
      </c>
      <c r="J1059" s="9">
        <v>2</v>
      </c>
      <c r="K1059" s="10">
        <v>5</v>
      </c>
      <c r="L1059" s="10"/>
      <c r="M1059" s="39">
        <f t="shared" si="1613"/>
        <v>7</v>
      </c>
      <c r="N1059" s="138">
        <f t="shared" si="1614"/>
        <v>21</v>
      </c>
      <c r="O1059" s="24">
        <v>45829</v>
      </c>
      <c r="P1059" s="11" t="s">
        <v>948</v>
      </c>
      <c r="Q1059" s="9"/>
      <c r="R1059" s="10">
        <v>10</v>
      </c>
      <c r="S1059" s="10"/>
      <c r="T1059" s="8">
        <f t="shared" si="1615"/>
        <v>10</v>
      </c>
      <c r="U1059" s="9"/>
      <c r="V1059" s="10">
        <v>10</v>
      </c>
      <c r="W1059" s="10"/>
      <c r="X1059" s="8">
        <f t="shared" si="1616"/>
        <v>10</v>
      </c>
      <c r="Y1059" s="9"/>
      <c r="Z1059" s="10">
        <v>10</v>
      </c>
      <c r="AA1059" s="10"/>
      <c r="AB1059" s="8">
        <f t="shared" si="1617"/>
        <v>10</v>
      </c>
      <c r="AC1059" s="86">
        <f t="shared" si="1618"/>
        <v>30</v>
      </c>
      <c r="AD1059" s="109">
        <v>45833</v>
      </c>
    </row>
    <row r="1060" spans="1:32" x14ac:dyDescent="0.15">
      <c r="A1060" s="33" t="s">
        <v>36</v>
      </c>
      <c r="B1060" s="9"/>
      <c r="C1060" s="10"/>
      <c r="D1060" s="10"/>
      <c r="E1060" s="8">
        <f t="shared" si="1611"/>
        <v>0</v>
      </c>
      <c r="F1060" s="9"/>
      <c r="G1060" s="10">
        <v>1</v>
      </c>
      <c r="H1060" s="10"/>
      <c r="I1060" s="8">
        <f t="shared" si="1612"/>
        <v>1</v>
      </c>
      <c r="J1060" s="9"/>
      <c r="K1060" s="10">
        <v>2</v>
      </c>
      <c r="L1060" s="10"/>
      <c r="M1060" s="39">
        <f t="shared" si="1613"/>
        <v>2</v>
      </c>
      <c r="N1060" s="138">
        <f t="shared" si="1614"/>
        <v>3</v>
      </c>
      <c r="O1060" s="24">
        <v>45828</v>
      </c>
      <c r="P1060" s="4" t="s">
        <v>950</v>
      </c>
      <c r="Q1060" s="9"/>
      <c r="R1060" s="10">
        <v>20</v>
      </c>
      <c r="S1060" s="10">
        <v>15</v>
      </c>
      <c r="T1060" s="8">
        <f t="shared" si="1615"/>
        <v>35</v>
      </c>
      <c r="U1060" s="9"/>
      <c r="V1060" s="10">
        <v>20</v>
      </c>
      <c r="W1060" s="10">
        <v>15</v>
      </c>
      <c r="X1060" s="8">
        <f t="shared" si="1616"/>
        <v>35</v>
      </c>
      <c r="Y1060" s="9"/>
      <c r="Z1060" s="10">
        <v>20</v>
      </c>
      <c r="AA1060" s="10">
        <v>15</v>
      </c>
      <c r="AB1060" s="8">
        <f t="shared" si="1617"/>
        <v>35</v>
      </c>
      <c r="AC1060" s="86">
        <f t="shared" si="1618"/>
        <v>105</v>
      </c>
      <c r="AD1060" s="109">
        <v>45828</v>
      </c>
    </row>
    <row r="1061" spans="1:32" x14ac:dyDescent="0.15">
      <c r="A1061" s="4" t="s">
        <v>955</v>
      </c>
      <c r="B1061" s="9"/>
      <c r="C1061" s="10"/>
      <c r="D1061" s="10">
        <v>1</v>
      </c>
      <c r="E1061" s="8">
        <f t="shared" si="1611"/>
        <v>1</v>
      </c>
      <c r="F1061" s="9"/>
      <c r="G1061" s="10"/>
      <c r="H1061" s="10">
        <v>1</v>
      </c>
      <c r="I1061" s="8">
        <f t="shared" si="1612"/>
        <v>1</v>
      </c>
      <c r="J1061" s="9"/>
      <c r="K1061" s="10"/>
      <c r="L1061" s="10">
        <v>1</v>
      </c>
      <c r="M1061" s="39">
        <f t="shared" si="1613"/>
        <v>1</v>
      </c>
      <c r="N1061" s="138">
        <f t="shared" si="1614"/>
        <v>3</v>
      </c>
      <c r="O1061" s="24">
        <v>45833</v>
      </c>
      <c r="P1061" s="4" t="s">
        <v>956</v>
      </c>
      <c r="Q1061" s="9">
        <v>20</v>
      </c>
      <c r="R1061" s="10">
        <v>20</v>
      </c>
      <c r="S1061" s="10">
        <v>10</v>
      </c>
      <c r="T1061" s="8">
        <f t="shared" si="1615"/>
        <v>50</v>
      </c>
      <c r="U1061" s="9">
        <v>20</v>
      </c>
      <c r="V1061" s="10">
        <v>20</v>
      </c>
      <c r="W1061" s="10">
        <v>10</v>
      </c>
      <c r="X1061" s="8">
        <f t="shared" si="1616"/>
        <v>50</v>
      </c>
      <c r="Y1061" s="9">
        <v>20</v>
      </c>
      <c r="Z1061" s="10">
        <v>20</v>
      </c>
      <c r="AA1061" s="10">
        <v>10</v>
      </c>
      <c r="AB1061" s="8">
        <f t="shared" si="1617"/>
        <v>50</v>
      </c>
      <c r="AC1061" s="86">
        <f t="shared" si="1618"/>
        <v>150</v>
      </c>
      <c r="AD1061" s="109">
        <v>45833</v>
      </c>
      <c r="AE1061" s="58"/>
      <c r="AF1061" s="58"/>
    </row>
    <row r="1062" spans="1:32" x14ac:dyDescent="0.15">
      <c r="A1062" s="33" t="s">
        <v>36</v>
      </c>
      <c r="B1062" s="9">
        <v>1</v>
      </c>
      <c r="C1062" s="10"/>
      <c r="D1062" s="10"/>
      <c r="E1062" s="8">
        <f t="shared" si="1611"/>
        <v>1</v>
      </c>
      <c r="F1062" s="9">
        <v>1</v>
      </c>
      <c r="G1062" s="10"/>
      <c r="H1062" s="10"/>
      <c r="I1062" s="8">
        <f t="shared" si="1612"/>
        <v>1</v>
      </c>
      <c r="J1062" s="9">
        <v>1</v>
      </c>
      <c r="K1062" s="10"/>
      <c r="L1062" s="10"/>
      <c r="M1062" s="39">
        <f t="shared" si="1613"/>
        <v>1</v>
      </c>
      <c r="N1062" s="138">
        <f t="shared" si="1614"/>
        <v>3</v>
      </c>
      <c r="O1062" s="24">
        <v>45831</v>
      </c>
      <c r="P1062" s="11" t="s">
        <v>957</v>
      </c>
      <c r="Q1062" s="9"/>
      <c r="R1062" s="10">
        <v>8</v>
      </c>
      <c r="S1062" s="10"/>
      <c r="T1062" s="8">
        <f t="shared" si="1615"/>
        <v>8</v>
      </c>
      <c r="U1062" s="9"/>
      <c r="V1062" s="10">
        <v>8</v>
      </c>
      <c r="W1062" s="10"/>
      <c r="X1062" s="8">
        <f t="shared" si="1616"/>
        <v>8</v>
      </c>
      <c r="Y1062" s="9"/>
      <c r="Z1062" s="10">
        <v>8</v>
      </c>
      <c r="AA1062" s="10"/>
      <c r="AB1062" s="8">
        <f t="shared" si="1617"/>
        <v>8</v>
      </c>
      <c r="AC1062" s="86">
        <f t="shared" si="1618"/>
        <v>24</v>
      </c>
      <c r="AD1062" s="109">
        <v>45834</v>
      </c>
    </row>
    <row r="1063" spans="1:32" x14ac:dyDescent="0.15">
      <c r="A1063" s="33" t="s">
        <v>960</v>
      </c>
      <c r="B1063" s="9"/>
      <c r="C1063" s="10"/>
      <c r="D1063" s="10"/>
      <c r="E1063" s="8">
        <f t="shared" si="1611"/>
        <v>0</v>
      </c>
      <c r="F1063" s="9"/>
      <c r="G1063" s="10"/>
      <c r="H1063" s="10"/>
      <c r="I1063" s="8">
        <f t="shared" si="1612"/>
        <v>0</v>
      </c>
      <c r="J1063" s="9"/>
      <c r="K1063" s="10">
        <v>1</v>
      </c>
      <c r="L1063" s="10"/>
      <c r="M1063" s="39">
        <f t="shared" si="1613"/>
        <v>1</v>
      </c>
      <c r="N1063" s="138">
        <f t="shared" si="1614"/>
        <v>1</v>
      </c>
      <c r="O1063" s="24">
        <v>45833</v>
      </c>
      <c r="P1063" s="4" t="s">
        <v>958</v>
      </c>
      <c r="Q1063" s="9">
        <v>6</v>
      </c>
      <c r="R1063" s="10">
        <v>5</v>
      </c>
      <c r="S1063" s="10">
        <v>3</v>
      </c>
      <c r="T1063" s="8">
        <f t="shared" ref="T1063:T1065" si="1642">SUM(Q1063:S1063)</f>
        <v>14</v>
      </c>
      <c r="U1063" s="9">
        <v>6</v>
      </c>
      <c r="V1063" s="10">
        <v>5</v>
      </c>
      <c r="W1063" s="10">
        <v>3</v>
      </c>
      <c r="X1063" s="8">
        <f t="shared" ref="X1063:X1065" si="1643">SUM(U1063:W1063)</f>
        <v>14</v>
      </c>
      <c r="Y1063" s="9">
        <v>6</v>
      </c>
      <c r="Z1063" s="10">
        <v>5</v>
      </c>
      <c r="AA1063" s="10">
        <v>3</v>
      </c>
      <c r="AB1063" s="8">
        <f t="shared" ref="AB1063:AB1065" si="1644">SUM(Y1063:AA1063)</f>
        <v>14</v>
      </c>
      <c r="AC1063" s="86">
        <f t="shared" ref="AC1063:AC1065" si="1645">T1063+X1063+AB1063</f>
        <v>42</v>
      </c>
      <c r="AD1063" s="109">
        <v>45834</v>
      </c>
    </row>
    <row r="1064" spans="1:32" x14ac:dyDescent="0.15">
      <c r="A1064" s="33" t="s">
        <v>36</v>
      </c>
      <c r="B1064" s="9"/>
      <c r="C1064" s="10"/>
      <c r="D1064" s="10"/>
      <c r="E1064" s="8">
        <f t="shared" si="1611"/>
        <v>0</v>
      </c>
      <c r="F1064" s="9"/>
      <c r="G1064" s="10"/>
      <c r="H1064" s="10"/>
      <c r="I1064" s="8">
        <f t="shared" si="1612"/>
        <v>0</v>
      </c>
      <c r="J1064" s="9"/>
      <c r="K1064" s="10">
        <v>1</v>
      </c>
      <c r="L1064" s="10"/>
      <c r="M1064" s="39">
        <f t="shared" si="1613"/>
        <v>1</v>
      </c>
      <c r="N1064" s="138">
        <f t="shared" si="1614"/>
        <v>1</v>
      </c>
      <c r="O1064" s="24">
        <v>45834</v>
      </c>
      <c r="P1064" s="11"/>
      <c r="Q1064" s="9"/>
      <c r="R1064" s="10"/>
      <c r="S1064" s="10"/>
      <c r="T1064" s="8">
        <f t="shared" si="1642"/>
        <v>0</v>
      </c>
      <c r="U1064" s="9"/>
      <c r="V1064" s="10"/>
      <c r="W1064" s="10"/>
      <c r="X1064" s="8">
        <f t="shared" si="1643"/>
        <v>0</v>
      </c>
      <c r="Y1064" s="9"/>
      <c r="Z1064" s="10"/>
      <c r="AA1064" s="10"/>
      <c r="AB1064" s="8">
        <f t="shared" si="1644"/>
        <v>0</v>
      </c>
      <c r="AC1064" s="86">
        <f t="shared" si="1645"/>
        <v>0</v>
      </c>
      <c r="AD1064" s="116"/>
    </row>
    <row r="1065" spans="1:32" x14ac:dyDescent="0.15">
      <c r="A1065" s="33" t="s">
        <v>36</v>
      </c>
      <c r="B1065" s="9"/>
      <c r="C1065" s="10"/>
      <c r="D1065" s="10">
        <v>1</v>
      </c>
      <c r="E1065" s="8">
        <f t="shared" si="1611"/>
        <v>1</v>
      </c>
      <c r="F1065" s="9"/>
      <c r="G1065" s="10">
        <v>1</v>
      </c>
      <c r="H1065" s="10">
        <v>1</v>
      </c>
      <c r="I1065" s="8">
        <f t="shared" si="1612"/>
        <v>2</v>
      </c>
      <c r="J1065" s="9"/>
      <c r="K1065" s="10">
        <v>1</v>
      </c>
      <c r="L1065" s="10">
        <v>1</v>
      </c>
      <c r="M1065" s="39">
        <f t="shared" si="1613"/>
        <v>2</v>
      </c>
      <c r="N1065" s="138">
        <f t="shared" si="1614"/>
        <v>5</v>
      </c>
      <c r="O1065" s="24">
        <v>45835</v>
      </c>
      <c r="P1065" s="81" t="s">
        <v>919</v>
      </c>
      <c r="Q1065" s="71"/>
      <c r="R1065" s="72"/>
      <c r="S1065" s="72"/>
      <c r="T1065" s="73">
        <f t="shared" si="1642"/>
        <v>0</v>
      </c>
      <c r="U1065" s="71"/>
      <c r="V1065" s="72"/>
      <c r="W1065" s="72"/>
      <c r="X1065" s="73">
        <f t="shared" si="1643"/>
        <v>0</v>
      </c>
      <c r="Y1065" s="71"/>
      <c r="Z1065" s="72"/>
      <c r="AA1065" s="72"/>
      <c r="AB1065" s="73">
        <f t="shared" si="1644"/>
        <v>0</v>
      </c>
      <c r="AC1065" s="92">
        <f t="shared" si="1645"/>
        <v>0</v>
      </c>
      <c r="AD1065" s="117"/>
    </row>
    <row r="1066" spans="1:32" x14ac:dyDescent="0.15">
      <c r="A1066" s="33"/>
      <c r="B1066" s="9"/>
      <c r="C1066" s="10"/>
      <c r="D1066" s="10"/>
      <c r="E1066" s="8">
        <f t="shared" si="1611"/>
        <v>0</v>
      </c>
      <c r="F1066" s="9"/>
      <c r="G1066" s="10"/>
      <c r="H1066" s="10"/>
      <c r="I1066" s="8">
        <f t="shared" si="1612"/>
        <v>0</v>
      </c>
      <c r="J1066" s="9"/>
      <c r="K1066" s="10"/>
      <c r="L1066" s="10"/>
      <c r="M1066" s="39">
        <f t="shared" si="1613"/>
        <v>0</v>
      </c>
      <c r="N1066" s="138">
        <f t="shared" si="1614"/>
        <v>0</v>
      </c>
      <c r="O1066" s="58"/>
      <c r="P1066" s="4" t="s">
        <v>841</v>
      </c>
      <c r="Q1066" s="9"/>
      <c r="R1066" s="10"/>
      <c r="S1066" s="10"/>
      <c r="T1066" s="8">
        <f t="shared" ref="T1066:T1067" si="1646">SUM(Q1066:S1066)</f>
        <v>0</v>
      </c>
      <c r="U1066" s="9"/>
      <c r="V1066" s="10"/>
      <c r="W1066" s="10"/>
      <c r="X1066" s="8">
        <f t="shared" ref="X1066:X1067" si="1647">SUM(U1066:W1066)</f>
        <v>0</v>
      </c>
      <c r="Y1066" s="9"/>
      <c r="Z1066" s="10"/>
      <c r="AA1066" s="10"/>
      <c r="AB1066" s="8">
        <f t="shared" ref="AB1066:AB1067" si="1648">SUM(Y1066:AA1066)</f>
        <v>0</v>
      </c>
      <c r="AC1066" s="86">
        <f t="shared" ref="AC1066:AC1067" si="1649">T1066+X1066+AB1066</f>
        <v>0</v>
      </c>
      <c r="AD1066" s="116" t="s">
        <v>735</v>
      </c>
    </row>
    <row r="1067" spans="1:32" x14ac:dyDescent="0.15">
      <c r="A1067" s="33"/>
      <c r="B1067" s="9"/>
      <c r="C1067" s="10"/>
      <c r="D1067" s="10"/>
      <c r="E1067" s="8">
        <f t="shared" si="1611"/>
        <v>0</v>
      </c>
      <c r="F1067" s="9"/>
      <c r="G1067" s="10"/>
      <c r="H1067" s="10"/>
      <c r="I1067" s="8">
        <f t="shared" si="1612"/>
        <v>0</v>
      </c>
      <c r="J1067" s="9"/>
      <c r="K1067" s="10"/>
      <c r="L1067" s="10"/>
      <c r="M1067" s="39">
        <f t="shared" si="1613"/>
        <v>0</v>
      </c>
      <c r="N1067" s="138">
        <f t="shared" si="1614"/>
        <v>0</v>
      </c>
      <c r="P1067" s="11" t="s">
        <v>842</v>
      </c>
      <c r="Q1067" s="9"/>
      <c r="R1067" s="10"/>
      <c r="S1067" s="10"/>
      <c r="T1067" s="8">
        <f t="shared" si="1646"/>
        <v>0</v>
      </c>
      <c r="U1067" s="9"/>
      <c r="V1067" s="10"/>
      <c r="W1067" s="10"/>
      <c r="X1067" s="8">
        <f t="shared" si="1647"/>
        <v>0</v>
      </c>
      <c r="Y1067" s="9"/>
      <c r="Z1067" s="10"/>
      <c r="AA1067" s="10"/>
      <c r="AB1067" s="8">
        <f t="shared" si="1648"/>
        <v>0</v>
      </c>
      <c r="AC1067" s="86">
        <f t="shared" si="1649"/>
        <v>0</v>
      </c>
      <c r="AD1067" s="109" t="s">
        <v>843</v>
      </c>
    </row>
    <row r="1068" spans="1:32" x14ac:dyDescent="0.15">
      <c r="A1068" s="33"/>
      <c r="B1068" s="9"/>
      <c r="C1068" s="10"/>
      <c r="D1068" s="10"/>
      <c r="E1068" s="8">
        <f t="shared" si="1611"/>
        <v>0</v>
      </c>
      <c r="F1068" s="9"/>
      <c r="G1068" s="10"/>
      <c r="H1068" s="10"/>
      <c r="I1068" s="8">
        <f t="shared" si="1612"/>
        <v>0</v>
      </c>
      <c r="J1068" s="9"/>
      <c r="K1068" s="10"/>
      <c r="L1068" s="10"/>
      <c r="M1068" s="39">
        <f t="shared" si="1613"/>
        <v>0</v>
      </c>
      <c r="N1068" s="138">
        <f t="shared" si="1614"/>
        <v>0</v>
      </c>
      <c r="P1068" s="11" t="s">
        <v>879</v>
      </c>
      <c r="Q1068" s="9"/>
      <c r="R1068" s="10"/>
      <c r="S1068" s="10"/>
      <c r="T1068" s="8">
        <f t="shared" ref="T1068:T1070" si="1650">SUM(Q1068:S1068)</f>
        <v>0</v>
      </c>
      <c r="U1068" s="9"/>
      <c r="V1068" s="10"/>
      <c r="W1068" s="10"/>
      <c r="X1068" s="8">
        <f t="shared" ref="X1068:X1070" si="1651">SUM(U1068:W1068)</f>
        <v>0</v>
      </c>
      <c r="Y1068" s="9"/>
      <c r="Z1068" s="10"/>
      <c r="AA1068" s="10"/>
      <c r="AB1068" s="8">
        <f t="shared" ref="AB1068:AB1070" si="1652">SUM(Y1068:AA1068)</f>
        <v>0</v>
      </c>
      <c r="AC1068" s="86">
        <f t="shared" ref="AC1068:AC1070" si="1653">T1068+X1068+AB1068</f>
        <v>0</v>
      </c>
      <c r="AD1068" s="109" t="s">
        <v>880</v>
      </c>
    </row>
    <row r="1069" spans="1:32" x14ac:dyDescent="0.15">
      <c r="A1069" s="33"/>
      <c r="B1069" s="9"/>
      <c r="C1069" s="10"/>
      <c r="D1069" s="10"/>
      <c r="E1069" s="8">
        <f t="shared" si="1611"/>
        <v>0</v>
      </c>
      <c r="F1069" s="9"/>
      <c r="G1069" s="10"/>
      <c r="H1069" s="10"/>
      <c r="I1069" s="8">
        <f t="shared" si="1612"/>
        <v>0</v>
      </c>
      <c r="J1069" s="9"/>
      <c r="K1069" s="10"/>
      <c r="L1069" s="10"/>
      <c r="M1069" s="39">
        <f t="shared" si="1613"/>
        <v>0</v>
      </c>
      <c r="N1069" s="138">
        <f t="shared" si="1614"/>
        <v>0</v>
      </c>
      <c r="P1069" s="81" t="s">
        <v>816</v>
      </c>
      <c r="Q1069" s="71"/>
      <c r="R1069" s="72"/>
      <c r="S1069" s="72"/>
      <c r="T1069" s="73">
        <f t="shared" si="1650"/>
        <v>0</v>
      </c>
      <c r="U1069" s="71"/>
      <c r="V1069" s="72"/>
      <c r="W1069" s="72"/>
      <c r="X1069" s="73">
        <f t="shared" si="1651"/>
        <v>0</v>
      </c>
      <c r="Y1069" s="71"/>
      <c r="Z1069" s="72"/>
      <c r="AA1069" s="72"/>
      <c r="AB1069" s="73">
        <f t="shared" si="1652"/>
        <v>0</v>
      </c>
      <c r="AC1069" s="92">
        <f t="shared" si="1653"/>
        <v>0</v>
      </c>
      <c r="AD1069" s="117"/>
    </row>
    <row r="1070" spans="1:32" x14ac:dyDescent="0.15">
      <c r="A1070" s="33"/>
      <c r="B1070" s="9"/>
      <c r="C1070" s="10"/>
      <c r="D1070" s="10"/>
      <c r="E1070" s="8">
        <f t="shared" si="1611"/>
        <v>0</v>
      </c>
      <c r="F1070" s="9"/>
      <c r="G1070" s="10"/>
      <c r="H1070" s="10"/>
      <c r="I1070" s="8">
        <f t="shared" si="1612"/>
        <v>0</v>
      </c>
      <c r="J1070" s="9"/>
      <c r="K1070" s="10"/>
      <c r="L1070" s="10"/>
      <c r="M1070" s="39">
        <f t="shared" si="1613"/>
        <v>0</v>
      </c>
      <c r="N1070" s="138">
        <f t="shared" si="1614"/>
        <v>0</v>
      </c>
      <c r="P1070" s="4" t="s">
        <v>782</v>
      </c>
      <c r="Q1070" s="9"/>
      <c r="R1070" s="10"/>
      <c r="S1070" s="10"/>
      <c r="T1070" s="8">
        <f t="shared" si="1650"/>
        <v>0</v>
      </c>
      <c r="U1070" s="9"/>
      <c r="V1070" s="10"/>
      <c r="W1070" s="10"/>
      <c r="X1070" s="8">
        <f t="shared" si="1651"/>
        <v>0</v>
      </c>
      <c r="Y1070" s="9"/>
      <c r="Z1070" s="10"/>
      <c r="AA1070" s="10"/>
      <c r="AB1070" s="8">
        <f t="shared" si="1652"/>
        <v>0</v>
      </c>
      <c r="AC1070" s="86">
        <f t="shared" si="1653"/>
        <v>0</v>
      </c>
      <c r="AD1070" s="116" t="s">
        <v>781</v>
      </c>
    </row>
    <row r="1071" spans="1:32" x14ac:dyDescent="0.15">
      <c r="A1071" s="33"/>
      <c r="B1071" s="9"/>
      <c r="C1071" s="10"/>
      <c r="D1071" s="10"/>
      <c r="E1071" s="8">
        <f t="shared" si="1611"/>
        <v>0</v>
      </c>
      <c r="F1071" s="9"/>
      <c r="G1071" s="10"/>
      <c r="H1071" s="10"/>
      <c r="I1071" s="8">
        <f t="shared" si="1612"/>
        <v>0</v>
      </c>
      <c r="J1071" s="9"/>
      <c r="K1071" s="10"/>
      <c r="L1071" s="10"/>
      <c r="M1071" s="39">
        <f t="shared" si="1613"/>
        <v>0</v>
      </c>
      <c r="N1071" s="138">
        <f t="shared" si="1614"/>
        <v>0</v>
      </c>
      <c r="P1071" s="81" t="s">
        <v>601</v>
      </c>
      <c r="Q1071" s="71"/>
      <c r="R1071" s="72"/>
      <c r="S1071" s="72"/>
      <c r="T1071" s="73">
        <f t="shared" si="1615"/>
        <v>0</v>
      </c>
      <c r="U1071" s="71"/>
      <c r="V1071" s="72"/>
      <c r="W1071" s="72"/>
      <c r="X1071" s="73">
        <f t="shared" si="1616"/>
        <v>0</v>
      </c>
      <c r="Y1071" s="71"/>
      <c r="Z1071" s="72"/>
      <c r="AA1071" s="72"/>
      <c r="AB1071" s="73">
        <f t="shared" si="1617"/>
        <v>0</v>
      </c>
      <c r="AC1071" s="92">
        <f t="shared" si="1618"/>
        <v>0</v>
      </c>
      <c r="AD1071" s="116"/>
      <c r="AE1071" s="58"/>
    </row>
    <row r="1072" spans="1:32" ht="14.25" thickBot="1" x14ac:dyDescent="0.2">
      <c r="A1072" s="63"/>
      <c r="B1072" s="9"/>
      <c r="C1072" s="10"/>
      <c r="D1072" s="22"/>
      <c r="E1072" s="8">
        <f t="shared" si="1611"/>
        <v>0</v>
      </c>
      <c r="F1072" s="9"/>
      <c r="G1072" s="10"/>
      <c r="H1072" s="22"/>
      <c r="I1072" s="8">
        <f t="shared" si="1612"/>
        <v>0</v>
      </c>
      <c r="J1072" s="9"/>
      <c r="K1072" s="10"/>
      <c r="L1072" s="22"/>
      <c r="M1072" s="39">
        <f t="shared" si="1613"/>
        <v>0</v>
      </c>
      <c r="N1072" s="139">
        <f t="shared" si="1614"/>
        <v>0</v>
      </c>
      <c r="P1072" s="4" t="s">
        <v>774</v>
      </c>
      <c r="Q1072" s="9"/>
      <c r="R1072" s="10"/>
      <c r="S1072" s="10"/>
      <c r="T1072" s="8">
        <f t="shared" si="1615"/>
        <v>0</v>
      </c>
      <c r="U1072" s="9"/>
      <c r="V1072" s="10"/>
      <c r="W1072" s="10"/>
      <c r="X1072" s="8">
        <f t="shared" si="1616"/>
        <v>0</v>
      </c>
      <c r="Y1072" s="9"/>
      <c r="Z1072" s="10"/>
      <c r="AA1072" s="10"/>
      <c r="AB1072" s="8">
        <f t="shared" si="1617"/>
        <v>0</v>
      </c>
      <c r="AC1072" s="86">
        <f t="shared" si="1618"/>
        <v>0</v>
      </c>
      <c r="AD1072" s="116" t="s">
        <v>775</v>
      </c>
      <c r="AE1072" s="58"/>
    </row>
    <row r="1073" spans="1:29" ht="14.25" thickBot="1" x14ac:dyDescent="0.2">
      <c r="A1073" s="104" t="s">
        <v>5</v>
      </c>
      <c r="B1073" s="12">
        <f>SUM(B1049:B1072)</f>
        <v>12</v>
      </c>
      <c r="C1073" s="12">
        <f>SUM(C1049:C1072)</f>
        <v>18</v>
      </c>
      <c r="D1073" s="12">
        <f>SUM(D1049:D1072)</f>
        <v>4</v>
      </c>
      <c r="E1073" s="13">
        <f t="shared" si="1611"/>
        <v>34</v>
      </c>
      <c r="F1073" s="12">
        <f>SUM(F1049:F1072)</f>
        <v>12</v>
      </c>
      <c r="G1073" s="12">
        <f>SUM(G1049:G1072)</f>
        <v>19</v>
      </c>
      <c r="H1073" s="12">
        <f>SUM(H1049:H1072)</f>
        <v>4</v>
      </c>
      <c r="I1073" s="13">
        <f t="shared" si="1612"/>
        <v>35</v>
      </c>
      <c r="J1073" s="12">
        <f>SUM(J1049:J1072)</f>
        <v>12</v>
      </c>
      <c r="K1073" s="12">
        <f>SUM(K1049:K1072)</f>
        <v>21</v>
      </c>
      <c r="L1073" s="12">
        <f>SUM(L1049:L1072)</f>
        <v>4</v>
      </c>
      <c r="M1073" s="12">
        <f t="shared" si="1613"/>
        <v>37</v>
      </c>
      <c r="N1073" s="142">
        <f t="shared" si="1614"/>
        <v>106</v>
      </c>
      <c r="P1073" s="3" t="s">
        <v>5</v>
      </c>
      <c r="Q1073" s="12">
        <f>SUM(Q1049:Q1072)</f>
        <v>79</v>
      </c>
      <c r="R1073" s="12">
        <f t="shared" ref="R1073" si="1654">SUM(R1049:R1072)</f>
        <v>186</v>
      </c>
      <c r="S1073" s="12">
        <f t="shared" ref="S1073" si="1655">SUM(S1049:S1072)</f>
        <v>117</v>
      </c>
      <c r="T1073" s="13">
        <f t="shared" ref="T1073" si="1656">SUM(T1049:T1072)</f>
        <v>382</v>
      </c>
      <c r="U1073" s="12">
        <f t="shared" ref="U1073" si="1657">SUM(U1049:U1072)</f>
        <v>79</v>
      </c>
      <c r="V1073" s="12">
        <f t="shared" ref="V1073" si="1658">SUM(V1049:V1072)</f>
        <v>186</v>
      </c>
      <c r="W1073" s="12">
        <f t="shared" ref="W1073" si="1659">SUM(W1049:W1072)</f>
        <v>127</v>
      </c>
      <c r="X1073" s="13">
        <f t="shared" ref="X1073" si="1660">SUM(X1049:X1072)</f>
        <v>392</v>
      </c>
      <c r="Y1073" s="12">
        <f t="shared" ref="Y1073" si="1661">SUM(Y1049:Y1072)</f>
        <v>79</v>
      </c>
      <c r="Z1073" s="12">
        <f t="shared" ref="Z1073" si="1662">SUM(Z1049:Z1072)</f>
        <v>186</v>
      </c>
      <c r="AA1073" s="12">
        <f t="shared" ref="AA1073" si="1663">SUM(AA1049:AA1072)</f>
        <v>117</v>
      </c>
      <c r="AB1073" s="13">
        <f t="shared" ref="AB1073" si="1664">SUM(AB1049:AB1072)</f>
        <v>382</v>
      </c>
      <c r="AC1073" s="155">
        <f t="shared" ref="AC1073" si="1665">SUM(AC1049:AC1072)</f>
        <v>1156</v>
      </c>
    </row>
    <row r="1074" spans="1:29" ht="14.25" thickBot="1" x14ac:dyDescent="0.2">
      <c r="A1074" s="105" t="s">
        <v>6</v>
      </c>
      <c r="B1074" s="20">
        <f>B1048-B1073</f>
        <v>25</v>
      </c>
      <c r="C1074" s="20">
        <f t="shared" ref="C1074:E1074" si="1666">C1048-C1073</f>
        <v>22</v>
      </c>
      <c r="D1074" s="20">
        <f t="shared" si="1666"/>
        <v>39</v>
      </c>
      <c r="E1074" s="18">
        <f t="shared" si="1666"/>
        <v>86</v>
      </c>
      <c r="F1074" s="20">
        <f>F1048-F1073</f>
        <v>28</v>
      </c>
      <c r="G1074" s="20">
        <f t="shared" ref="G1074:I1074" si="1667">G1048-G1073</f>
        <v>24</v>
      </c>
      <c r="H1074" s="20">
        <f t="shared" si="1667"/>
        <v>35</v>
      </c>
      <c r="I1074" s="18">
        <f t="shared" si="1667"/>
        <v>87</v>
      </c>
      <c r="J1074" s="20">
        <f>J1048-J1073</f>
        <v>24</v>
      </c>
      <c r="K1074" s="20">
        <f t="shared" ref="K1074:M1074" si="1668">K1048-K1073</f>
        <v>20</v>
      </c>
      <c r="L1074" s="20">
        <f t="shared" si="1668"/>
        <v>19</v>
      </c>
      <c r="M1074" s="20">
        <f t="shared" si="1668"/>
        <v>63</v>
      </c>
      <c r="N1074" s="140">
        <f t="shared" si="1614"/>
        <v>236</v>
      </c>
      <c r="P1074" s="19" t="s">
        <v>6</v>
      </c>
      <c r="Q1074" s="20">
        <f>Q1048-Q1073</f>
        <v>663</v>
      </c>
      <c r="R1074" s="20">
        <f t="shared" ref="R1074" si="1669">R1048-R1073</f>
        <v>947</v>
      </c>
      <c r="S1074" s="20">
        <f t="shared" ref="S1074" si="1670">S1048-S1073</f>
        <v>820</v>
      </c>
      <c r="T1074" s="18">
        <f t="shared" ref="T1074" si="1671">T1048-T1073</f>
        <v>2430</v>
      </c>
      <c r="U1074" s="20">
        <f t="shared" ref="U1074" si="1672">U1048-U1073</f>
        <v>628</v>
      </c>
      <c r="V1074" s="20">
        <f t="shared" ref="V1074" si="1673">V1048-V1073</f>
        <v>1067</v>
      </c>
      <c r="W1074" s="20">
        <f t="shared" ref="W1074" si="1674">W1048-W1073</f>
        <v>846</v>
      </c>
      <c r="X1074" s="18">
        <f t="shared" ref="X1074" si="1675">X1048-X1073</f>
        <v>2541</v>
      </c>
      <c r="Y1074" s="20">
        <f t="shared" ref="Y1074" si="1676">Y1048-Y1073</f>
        <v>601</v>
      </c>
      <c r="Z1074" s="20">
        <f t="shared" ref="Z1074" si="1677">Z1048-Z1073</f>
        <v>963</v>
      </c>
      <c r="AA1074" s="20">
        <f t="shared" ref="AA1074" si="1678">AA1048-AA1073</f>
        <v>751</v>
      </c>
      <c r="AB1074" s="18">
        <f t="shared" ref="AB1074" si="1679">AB1048-AB1073</f>
        <v>2315</v>
      </c>
      <c r="AC1074" s="88">
        <f t="shared" ref="AC1074" si="1680">AC1048-AC1073</f>
        <v>7286</v>
      </c>
    </row>
    <row r="1077" spans="1:29" ht="19.5" thickBot="1" x14ac:dyDescent="0.25">
      <c r="A1077" s="108" t="s">
        <v>264</v>
      </c>
      <c r="B1077" s="47"/>
      <c r="C1077" s="47"/>
      <c r="D1077" s="47"/>
      <c r="E1077" s="47"/>
      <c r="F1077" s="48"/>
      <c r="G1077" s="48"/>
      <c r="H1077" s="48"/>
      <c r="I1077" s="48"/>
      <c r="J1077" s="48"/>
      <c r="K1077" s="48"/>
      <c r="L1077" s="1"/>
      <c r="M1077" s="1"/>
      <c r="N1077" s="137"/>
      <c r="P1077" s="43" t="s">
        <v>263</v>
      </c>
      <c r="Q1077" s="44"/>
      <c r="R1077" s="44"/>
      <c r="S1077" s="44"/>
      <c r="T1077" s="44"/>
      <c r="U1077" s="45"/>
      <c r="V1077" s="45"/>
      <c r="W1077" s="45"/>
      <c r="X1077" s="45"/>
      <c r="Y1077" s="46"/>
      <c r="Z1077" s="53"/>
      <c r="AA1077" s="1"/>
      <c r="AB1077" s="1"/>
    </row>
    <row r="1078" spans="1:29" ht="14.25" thickBot="1" x14ac:dyDescent="0.2">
      <c r="A1078" s="100" t="s">
        <v>0</v>
      </c>
      <c r="B1078" s="337" t="s">
        <v>11</v>
      </c>
      <c r="C1078" s="337"/>
      <c r="D1078" s="337"/>
      <c r="E1078" s="338"/>
      <c r="F1078" s="339" t="s">
        <v>9</v>
      </c>
      <c r="G1078" s="340"/>
      <c r="H1078" s="340"/>
      <c r="I1078" s="341"/>
      <c r="J1078" s="342" t="s">
        <v>12</v>
      </c>
      <c r="K1078" s="343"/>
      <c r="L1078" s="343"/>
      <c r="M1078" s="343"/>
      <c r="N1078" s="347" t="s">
        <v>13</v>
      </c>
      <c r="P1078" s="2" t="s">
        <v>0</v>
      </c>
      <c r="Q1078" s="336" t="s">
        <v>11</v>
      </c>
      <c r="R1078" s="337"/>
      <c r="S1078" s="337"/>
      <c r="T1078" s="338"/>
      <c r="U1078" s="339" t="s">
        <v>9</v>
      </c>
      <c r="V1078" s="340"/>
      <c r="W1078" s="340"/>
      <c r="X1078" s="341"/>
      <c r="Y1078" s="342" t="s">
        <v>12</v>
      </c>
      <c r="Z1078" s="343"/>
      <c r="AA1078" s="343"/>
      <c r="AB1078" s="344"/>
      <c r="AC1078" s="133" t="s">
        <v>13</v>
      </c>
    </row>
    <row r="1079" spans="1:29" ht="14.25" thickBot="1" x14ac:dyDescent="0.2">
      <c r="A1079" s="100" t="s">
        <v>1</v>
      </c>
      <c r="B1079" s="3" t="s">
        <v>7</v>
      </c>
      <c r="C1079" s="2" t="s">
        <v>10</v>
      </c>
      <c r="D1079" s="2" t="s">
        <v>8</v>
      </c>
      <c r="E1079" s="2" t="s">
        <v>2</v>
      </c>
      <c r="F1079" s="3" t="s">
        <v>7</v>
      </c>
      <c r="G1079" s="2" t="s">
        <v>10</v>
      </c>
      <c r="H1079" s="2" t="s">
        <v>8</v>
      </c>
      <c r="I1079" s="2" t="s">
        <v>2</v>
      </c>
      <c r="J1079" s="3" t="s">
        <v>7</v>
      </c>
      <c r="K1079" s="2" t="s">
        <v>10</v>
      </c>
      <c r="L1079" s="2" t="s">
        <v>8</v>
      </c>
      <c r="M1079" s="3" t="s">
        <v>2</v>
      </c>
      <c r="N1079" s="348"/>
      <c r="P1079" s="2" t="s">
        <v>1</v>
      </c>
      <c r="Q1079" s="3" t="s">
        <v>7</v>
      </c>
      <c r="R1079" s="2" t="s">
        <v>10</v>
      </c>
      <c r="S1079" s="2" t="s">
        <v>8</v>
      </c>
      <c r="T1079" s="2" t="s">
        <v>2</v>
      </c>
      <c r="U1079" s="3" t="s">
        <v>7</v>
      </c>
      <c r="V1079" s="2" t="s">
        <v>10</v>
      </c>
      <c r="W1079" s="2" t="s">
        <v>8</v>
      </c>
      <c r="X1079" s="2" t="s">
        <v>2</v>
      </c>
      <c r="Y1079" s="3" t="s">
        <v>7</v>
      </c>
      <c r="Z1079" s="2" t="s">
        <v>10</v>
      </c>
      <c r="AA1079" s="2" t="s">
        <v>8</v>
      </c>
      <c r="AB1079" s="2" t="s">
        <v>2</v>
      </c>
      <c r="AC1079" s="134"/>
    </row>
    <row r="1080" spans="1:29" x14ac:dyDescent="0.15">
      <c r="A1080" s="106" t="s">
        <v>6</v>
      </c>
      <c r="B1080" s="41">
        <f>B1074</f>
        <v>25</v>
      </c>
      <c r="C1080" s="41">
        <f t="shared" ref="C1080:E1080" si="1681">C1074</f>
        <v>22</v>
      </c>
      <c r="D1080" s="41">
        <f t="shared" si="1681"/>
        <v>39</v>
      </c>
      <c r="E1080" s="42">
        <f t="shared" si="1681"/>
        <v>86</v>
      </c>
      <c r="F1080" s="41">
        <f>F1074</f>
        <v>28</v>
      </c>
      <c r="G1080" s="41">
        <f t="shared" ref="G1080:I1080" si="1682">G1074</f>
        <v>24</v>
      </c>
      <c r="H1080" s="41">
        <f t="shared" si="1682"/>
        <v>35</v>
      </c>
      <c r="I1080" s="42">
        <f t="shared" si="1682"/>
        <v>87</v>
      </c>
      <c r="J1080" s="41">
        <f>J1074</f>
        <v>24</v>
      </c>
      <c r="K1080" s="41">
        <f t="shared" ref="K1080:M1080" si="1683">K1074</f>
        <v>20</v>
      </c>
      <c r="L1080" s="41">
        <f t="shared" si="1683"/>
        <v>19</v>
      </c>
      <c r="M1080" s="42">
        <f t="shared" si="1683"/>
        <v>63</v>
      </c>
      <c r="N1080" s="143">
        <f>E1080+I1080+M1080</f>
        <v>236</v>
      </c>
      <c r="P1080" s="36" t="s">
        <v>6</v>
      </c>
      <c r="Q1080" s="41">
        <f>Q1074</f>
        <v>663</v>
      </c>
      <c r="R1080" s="41">
        <f t="shared" ref="R1080:AC1080" si="1684">R1074</f>
        <v>947</v>
      </c>
      <c r="S1080" s="41">
        <f t="shared" si="1684"/>
        <v>820</v>
      </c>
      <c r="T1080" s="42">
        <f t="shared" si="1684"/>
        <v>2430</v>
      </c>
      <c r="U1080" s="41">
        <f t="shared" si="1684"/>
        <v>628</v>
      </c>
      <c r="V1080" s="41">
        <f t="shared" si="1684"/>
        <v>1067</v>
      </c>
      <c r="W1080" s="41">
        <f t="shared" si="1684"/>
        <v>846</v>
      </c>
      <c r="X1080" s="42">
        <f t="shared" si="1684"/>
        <v>2541</v>
      </c>
      <c r="Y1080" s="41">
        <f t="shared" si="1684"/>
        <v>601</v>
      </c>
      <c r="Z1080" s="41">
        <f t="shared" si="1684"/>
        <v>963</v>
      </c>
      <c r="AA1080" s="41">
        <f t="shared" si="1684"/>
        <v>751</v>
      </c>
      <c r="AB1080" s="42">
        <f t="shared" si="1684"/>
        <v>2315</v>
      </c>
      <c r="AC1080" s="90">
        <f t="shared" si="1684"/>
        <v>7286</v>
      </c>
    </row>
    <row r="1081" spans="1:29" x14ac:dyDescent="0.15">
      <c r="A1081" s="102" t="s">
        <v>3</v>
      </c>
      <c r="B1081" s="25">
        <v>20</v>
      </c>
      <c r="C1081" s="26">
        <v>20</v>
      </c>
      <c r="D1081" s="26">
        <v>10</v>
      </c>
      <c r="E1081" s="5">
        <f t="shared" ref="E1081:E1116" si="1685">SUM(B1081:D1081)</f>
        <v>50</v>
      </c>
      <c r="F1081" s="25">
        <v>10</v>
      </c>
      <c r="G1081" s="26">
        <v>20</v>
      </c>
      <c r="H1081" s="26"/>
      <c r="I1081" s="5">
        <f t="shared" ref="I1081:I1116" si="1686">SUM(F1081:H1081)</f>
        <v>30</v>
      </c>
      <c r="J1081" s="25">
        <v>20</v>
      </c>
      <c r="K1081" s="26">
        <v>20</v>
      </c>
      <c r="L1081" s="26">
        <v>10</v>
      </c>
      <c r="M1081" s="38">
        <f t="shared" ref="M1081:M1116" si="1687">SUM(J1081:L1081)</f>
        <v>50</v>
      </c>
      <c r="N1081" s="138">
        <f t="shared" ref="N1081:N1117" si="1688">E1081+I1081+M1081</f>
        <v>130</v>
      </c>
      <c r="O1081" s="24">
        <v>45843</v>
      </c>
      <c r="P1081" s="6" t="s">
        <v>3</v>
      </c>
      <c r="Q1081" s="14"/>
      <c r="R1081" s="11"/>
      <c r="S1081" s="11"/>
      <c r="T1081" s="5">
        <f t="shared" ref="T1081:T1115" si="1689">SUM(Q1081:S1081)</f>
        <v>0</v>
      </c>
      <c r="U1081" s="14"/>
      <c r="V1081" s="11"/>
      <c r="W1081" s="11"/>
      <c r="X1081" s="5">
        <f t="shared" ref="X1081:X1115" si="1690">SUM(U1081:W1081)</f>
        <v>0</v>
      </c>
      <c r="Y1081" s="25"/>
      <c r="Z1081" s="26"/>
      <c r="AA1081" s="26"/>
      <c r="AB1081" s="5">
        <f t="shared" ref="AB1081:AB1115" si="1691">SUM(Y1081:AA1081)</f>
        <v>0</v>
      </c>
      <c r="AC1081" s="86">
        <f t="shared" ref="AC1081:AC1115" si="1692">T1081+X1081+AB1081</f>
        <v>0</v>
      </c>
    </row>
    <row r="1082" spans="1:29" x14ac:dyDescent="0.15">
      <c r="A1082" s="101" t="s">
        <v>57</v>
      </c>
      <c r="B1082" s="14"/>
      <c r="C1082" s="11">
        <v>2</v>
      </c>
      <c r="D1082" s="11">
        <v>1</v>
      </c>
      <c r="E1082" s="5">
        <f t="shared" si="1685"/>
        <v>3</v>
      </c>
      <c r="F1082" s="34"/>
      <c r="G1082" s="11">
        <v>2</v>
      </c>
      <c r="H1082" s="11">
        <v>1</v>
      </c>
      <c r="I1082" s="5">
        <f t="shared" si="1686"/>
        <v>3</v>
      </c>
      <c r="J1082" s="34"/>
      <c r="K1082" s="11">
        <v>2</v>
      </c>
      <c r="L1082" s="11">
        <v>1</v>
      </c>
      <c r="M1082" s="38">
        <f t="shared" si="1687"/>
        <v>3</v>
      </c>
      <c r="N1082" s="138">
        <f t="shared" si="1688"/>
        <v>9</v>
      </c>
      <c r="O1082" s="24">
        <v>45840</v>
      </c>
      <c r="P1082" s="6" t="s">
        <v>3</v>
      </c>
      <c r="Q1082" s="14"/>
      <c r="R1082" s="11"/>
      <c r="S1082" s="11"/>
      <c r="T1082" s="5">
        <f t="shared" si="1689"/>
        <v>0</v>
      </c>
      <c r="U1082" s="14"/>
      <c r="V1082" s="11"/>
      <c r="W1082" s="11"/>
      <c r="X1082" s="5">
        <f t="shared" si="1690"/>
        <v>0</v>
      </c>
      <c r="Y1082" s="25"/>
      <c r="Z1082" s="26"/>
      <c r="AA1082" s="26"/>
      <c r="AB1082" s="5">
        <f t="shared" si="1691"/>
        <v>0</v>
      </c>
      <c r="AC1082" s="86">
        <f t="shared" si="1692"/>
        <v>0</v>
      </c>
    </row>
    <row r="1083" spans="1:29" x14ac:dyDescent="0.15">
      <c r="A1083" s="33" t="s">
        <v>985</v>
      </c>
      <c r="B1083" s="9"/>
      <c r="C1083" s="10">
        <v>1</v>
      </c>
      <c r="D1083" s="10"/>
      <c r="E1083" s="5">
        <f t="shared" ref="E1083" si="1693">SUM(B1083:D1083)</f>
        <v>1</v>
      </c>
      <c r="F1083" s="9">
        <v>1</v>
      </c>
      <c r="G1083" s="10"/>
      <c r="H1083" s="10"/>
      <c r="I1083" s="5">
        <f t="shared" ref="I1083" si="1694">SUM(F1083:H1083)</f>
        <v>1</v>
      </c>
      <c r="J1083" s="9"/>
      <c r="K1083" s="10"/>
      <c r="L1083" s="10">
        <v>1</v>
      </c>
      <c r="M1083" s="38">
        <f t="shared" ref="M1083" si="1695">SUM(J1083:L1083)</f>
        <v>1</v>
      </c>
      <c r="N1083" s="138">
        <f t="shared" si="1688"/>
        <v>3</v>
      </c>
      <c r="O1083" s="21">
        <v>45843</v>
      </c>
      <c r="P1083" s="6" t="s">
        <v>3</v>
      </c>
      <c r="Q1083" s="14"/>
      <c r="R1083" s="11"/>
      <c r="S1083" s="11"/>
      <c r="T1083" s="5">
        <f t="shared" ref="T1083" si="1696">SUM(Q1083:S1083)</f>
        <v>0</v>
      </c>
      <c r="U1083" s="14"/>
      <c r="V1083" s="11"/>
      <c r="W1083" s="11"/>
      <c r="X1083" s="5">
        <f t="shared" ref="X1083" si="1697">SUM(U1083:W1083)</f>
        <v>0</v>
      </c>
      <c r="Y1083" s="25"/>
      <c r="Z1083" s="26"/>
      <c r="AA1083" s="26"/>
      <c r="AB1083" s="5">
        <f t="shared" ref="AB1083" si="1698">SUM(Y1083:AA1083)</f>
        <v>0</v>
      </c>
      <c r="AC1083" s="86">
        <f t="shared" ref="AC1083" si="1699">T1083+X1083+AB1083</f>
        <v>0</v>
      </c>
    </row>
    <row r="1084" spans="1:29" x14ac:dyDescent="0.15">
      <c r="A1084" s="102" t="s">
        <v>3</v>
      </c>
      <c r="B1084" s="14"/>
      <c r="C1084" s="11"/>
      <c r="D1084" s="11">
        <v>10</v>
      </c>
      <c r="E1084" s="5">
        <f t="shared" si="1685"/>
        <v>10</v>
      </c>
      <c r="F1084" s="34">
        <v>10</v>
      </c>
      <c r="G1084" s="11"/>
      <c r="H1084" s="11">
        <v>10</v>
      </c>
      <c r="I1084" s="5">
        <f t="shared" si="1686"/>
        <v>20</v>
      </c>
      <c r="J1084" s="34"/>
      <c r="K1084" s="11"/>
      <c r="L1084" s="11">
        <v>10</v>
      </c>
      <c r="M1084" s="38">
        <f t="shared" si="1687"/>
        <v>10</v>
      </c>
      <c r="N1084" s="138">
        <f t="shared" si="1688"/>
        <v>40</v>
      </c>
      <c r="O1084" s="24">
        <v>45852</v>
      </c>
      <c r="P1084" s="6" t="s">
        <v>3</v>
      </c>
      <c r="Q1084" s="14"/>
      <c r="R1084" s="11"/>
      <c r="S1084" s="11"/>
      <c r="T1084" s="5">
        <f t="shared" si="1689"/>
        <v>0</v>
      </c>
      <c r="U1084" s="14"/>
      <c r="V1084" s="11"/>
      <c r="W1084" s="11"/>
      <c r="X1084" s="5">
        <f t="shared" si="1690"/>
        <v>0</v>
      </c>
      <c r="Y1084" s="25"/>
      <c r="Z1084" s="26"/>
      <c r="AA1084" s="26"/>
      <c r="AB1084" s="5">
        <f t="shared" si="1691"/>
        <v>0</v>
      </c>
      <c r="AC1084" s="86">
        <f t="shared" si="1692"/>
        <v>0</v>
      </c>
    </row>
    <row r="1085" spans="1:29" x14ac:dyDescent="0.15">
      <c r="A1085" s="102" t="s">
        <v>319</v>
      </c>
      <c r="B1085" s="14">
        <v>1</v>
      </c>
      <c r="C1085" s="11">
        <v>5</v>
      </c>
      <c r="D1085" s="11">
        <v>2</v>
      </c>
      <c r="E1085" s="5">
        <f t="shared" si="1685"/>
        <v>8</v>
      </c>
      <c r="F1085" s="14">
        <v>1</v>
      </c>
      <c r="G1085" s="11">
        <v>5</v>
      </c>
      <c r="H1085" s="11">
        <v>2</v>
      </c>
      <c r="I1085" s="5">
        <f t="shared" si="1686"/>
        <v>8</v>
      </c>
      <c r="J1085" s="14">
        <v>1</v>
      </c>
      <c r="K1085" s="11">
        <v>5</v>
      </c>
      <c r="L1085" s="11">
        <v>2</v>
      </c>
      <c r="M1085" s="38">
        <f t="shared" si="1687"/>
        <v>8</v>
      </c>
      <c r="N1085" s="138">
        <f t="shared" si="1688"/>
        <v>24</v>
      </c>
      <c r="O1085" s="24">
        <v>45853</v>
      </c>
      <c r="P1085" s="6" t="s">
        <v>3</v>
      </c>
      <c r="Q1085" s="14"/>
      <c r="R1085" s="11"/>
      <c r="S1085" s="11"/>
      <c r="T1085" s="5">
        <f t="shared" si="1689"/>
        <v>0</v>
      </c>
      <c r="U1085" s="14"/>
      <c r="V1085" s="11"/>
      <c r="W1085" s="11"/>
      <c r="X1085" s="5">
        <f t="shared" si="1690"/>
        <v>0</v>
      </c>
      <c r="Y1085" s="25"/>
      <c r="Z1085" s="26"/>
      <c r="AA1085" s="26"/>
      <c r="AB1085" s="5">
        <f t="shared" si="1691"/>
        <v>0</v>
      </c>
      <c r="AC1085" s="86">
        <f t="shared" si="1692"/>
        <v>0</v>
      </c>
    </row>
    <row r="1086" spans="1:29" x14ac:dyDescent="0.15">
      <c r="A1086" s="102" t="s">
        <v>3</v>
      </c>
      <c r="B1086" s="25"/>
      <c r="C1086" s="26"/>
      <c r="D1086" s="26"/>
      <c r="E1086" s="8">
        <f t="shared" si="1685"/>
        <v>0</v>
      </c>
      <c r="F1086" s="25"/>
      <c r="G1086" s="26"/>
      <c r="H1086" s="26">
        <v>10</v>
      </c>
      <c r="I1086" s="8">
        <f t="shared" si="1686"/>
        <v>10</v>
      </c>
      <c r="J1086" s="25">
        <v>10</v>
      </c>
      <c r="K1086" s="26"/>
      <c r="L1086" s="26">
        <v>10</v>
      </c>
      <c r="M1086" s="39">
        <f t="shared" si="1687"/>
        <v>20</v>
      </c>
      <c r="N1086" s="138">
        <f t="shared" si="1688"/>
        <v>30</v>
      </c>
      <c r="O1086" s="24">
        <v>45857</v>
      </c>
      <c r="P1086" s="6" t="s">
        <v>3</v>
      </c>
      <c r="Q1086" s="14"/>
      <c r="R1086" s="11"/>
      <c r="S1086" s="11"/>
      <c r="T1086" s="5">
        <f t="shared" si="1689"/>
        <v>0</v>
      </c>
      <c r="U1086" s="14"/>
      <c r="V1086" s="11"/>
      <c r="W1086" s="11"/>
      <c r="X1086" s="5">
        <f t="shared" si="1690"/>
        <v>0</v>
      </c>
      <c r="Y1086" s="25"/>
      <c r="Z1086" s="26"/>
      <c r="AA1086" s="26"/>
      <c r="AB1086" s="8">
        <f t="shared" si="1691"/>
        <v>0</v>
      </c>
      <c r="AC1086" s="86">
        <f t="shared" si="1692"/>
        <v>0</v>
      </c>
    </row>
    <row r="1087" spans="1:29" x14ac:dyDescent="0.15">
      <c r="A1087" s="102" t="s">
        <v>1016</v>
      </c>
      <c r="B1087" s="27"/>
      <c r="C1087" s="26">
        <v>2</v>
      </c>
      <c r="D1087" s="26">
        <v>3</v>
      </c>
      <c r="E1087" s="5">
        <f t="shared" si="1685"/>
        <v>5</v>
      </c>
      <c r="F1087" s="25"/>
      <c r="G1087" s="26">
        <v>2</v>
      </c>
      <c r="H1087" s="26">
        <v>3</v>
      </c>
      <c r="I1087" s="5">
        <f t="shared" si="1686"/>
        <v>5</v>
      </c>
      <c r="J1087" s="25"/>
      <c r="K1087" s="26">
        <v>2</v>
      </c>
      <c r="L1087" s="26">
        <v>3</v>
      </c>
      <c r="M1087" s="38">
        <f t="shared" si="1687"/>
        <v>5</v>
      </c>
      <c r="N1087" s="138">
        <f t="shared" si="1688"/>
        <v>15</v>
      </c>
      <c r="O1087" s="24">
        <v>45860</v>
      </c>
      <c r="P1087" s="6" t="s">
        <v>3</v>
      </c>
      <c r="Q1087" s="27"/>
      <c r="R1087" s="26"/>
      <c r="S1087" s="26"/>
      <c r="T1087" s="5">
        <f t="shared" si="1689"/>
        <v>0</v>
      </c>
      <c r="U1087" s="27"/>
      <c r="V1087" s="26"/>
      <c r="W1087" s="26"/>
      <c r="X1087" s="5">
        <f t="shared" si="1690"/>
        <v>0</v>
      </c>
      <c r="Y1087" s="25"/>
      <c r="Z1087" s="26"/>
      <c r="AA1087" s="26"/>
      <c r="AB1087" s="5">
        <f t="shared" si="1691"/>
        <v>0</v>
      </c>
      <c r="AC1087" s="86">
        <f t="shared" si="1692"/>
        <v>0</v>
      </c>
    </row>
    <row r="1088" spans="1:29" x14ac:dyDescent="0.15">
      <c r="A1088" s="102" t="s">
        <v>3</v>
      </c>
      <c r="B1088" s="27"/>
      <c r="C1088" s="26"/>
      <c r="D1088" s="26"/>
      <c r="E1088" s="5">
        <f t="shared" si="1685"/>
        <v>0</v>
      </c>
      <c r="F1088" s="25"/>
      <c r="G1088" s="26"/>
      <c r="H1088" s="26"/>
      <c r="I1088" s="5">
        <f t="shared" si="1686"/>
        <v>0</v>
      </c>
      <c r="J1088" s="25"/>
      <c r="K1088" s="26"/>
      <c r="L1088" s="26"/>
      <c r="M1088" s="38">
        <f t="shared" si="1687"/>
        <v>0</v>
      </c>
      <c r="N1088" s="138">
        <f t="shared" si="1688"/>
        <v>0</v>
      </c>
      <c r="P1088" s="6" t="s">
        <v>3</v>
      </c>
      <c r="Q1088" s="14"/>
      <c r="R1088" s="11"/>
      <c r="S1088" s="11"/>
      <c r="T1088" s="5">
        <f t="shared" si="1689"/>
        <v>0</v>
      </c>
      <c r="U1088" s="14"/>
      <c r="V1088" s="11"/>
      <c r="W1088" s="11"/>
      <c r="X1088" s="5">
        <f t="shared" si="1690"/>
        <v>0</v>
      </c>
      <c r="Y1088" s="25"/>
      <c r="Z1088" s="26"/>
      <c r="AA1088" s="26"/>
      <c r="AB1088" s="8">
        <f t="shared" si="1691"/>
        <v>0</v>
      </c>
      <c r="AC1088" s="86">
        <f t="shared" si="1692"/>
        <v>0</v>
      </c>
    </row>
    <row r="1089" spans="1:31" x14ac:dyDescent="0.15">
      <c r="A1089" s="102" t="s">
        <v>3</v>
      </c>
      <c r="B1089" s="27"/>
      <c r="C1089" s="26"/>
      <c r="D1089" s="26"/>
      <c r="E1089" s="5">
        <f t="shared" si="1685"/>
        <v>0</v>
      </c>
      <c r="F1089" s="25"/>
      <c r="G1089" s="26"/>
      <c r="H1089" s="26"/>
      <c r="I1089" s="5">
        <f t="shared" si="1686"/>
        <v>0</v>
      </c>
      <c r="J1089" s="25"/>
      <c r="K1089" s="26"/>
      <c r="L1089" s="26"/>
      <c r="M1089" s="38">
        <f t="shared" si="1687"/>
        <v>0</v>
      </c>
      <c r="N1089" s="138">
        <f t="shared" si="1688"/>
        <v>0</v>
      </c>
      <c r="P1089" s="6" t="s">
        <v>3</v>
      </c>
      <c r="Q1089" s="27"/>
      <c r="R1089" s="26"/>
      <c r="S1089" s="26"/>
      <c r="T1089" s="5">
        <f t="shared" si="1689"/>
        <v>0</v>
      </c>
      <c r="U1089" s="27"/>
      <c r="V1089" s="26"/>
      <c r="W1089" s="26"/>
      <c r="X1089" s="5">
        <f t="shared" si="1690"/>
        <v>0</v>
      </c>
      <c r="Y1089" s="25"/>
      <c r="Z1089" s="26"/>
      <c r="AA1089" s="26"/>
      <c r="AB1089" s="5">
        <f t="shared" si="1691"/>
        <v>0</v>
      </c>
      <c r="AC1089" s="86">
        <f t="shared" si="1692"/>
        <v>0</v>
      </c>
    </row>
    <row r="1090" spans="1:31" ht="14.25" thickBot="1" x14ac:dyDescent="0.2">
      <c r="A1090" s="102" t="s">
        <v>3</v>
      </c>
      <c r="B1090" s="28"/>
      <c r="C1090" s="29"/>
      <c r="D1090" s="32"/>
      <c r="E1090" s="15">
        <f t="shared" si="1685"/>
        <v>0</v>
      </c>
      <c r="F1090" s="35"/>
      <c r="G1090" s="29"/>
      <c r="H1090" s="32"/>
      <c r="I1090" s="15">
        <f t="shared" si="1686"/>
        <v>0</v>
      </c>
      <c r="J1090" s="35"/>
      <c r="K1090" s="29"/>
      <c r="L1090" s="32"/>
      <c r="M1090" s="40">
        <f t="shared" si="1687"/>
        <v>0</v>
      </c>
      <c r="N1090" s="139">
        <f t="shared" si="1688"/>
        <v>0</v>
      </c>
      <c r="P1090" s="7" t="s">
        <v>3</v>
      </c>
      <c r="Q1090" s="28"/>
      <c r="R1090" s="29"/>
      <c r="S1090" s="29"/>
      <c r="T1090" s="15">
        <f t="shared" si="1689"/>
        <v>0</v>
      </c>
      <c r="U1090" s="28"/>
      <c r="V1090" s="29"/>
      <c r="W1090" s="29"/>
      <c r="X1090" s="15">
        <f t="shared" si="1690"/>
        <v>0</v>
      </c>
      <c r="Y1090" s="35"/>
      <c r="Z1090" s="29"/>
      <c r="AA1090" s="32"/>
      <c r="AB1090" s="15">
        <f t="shared" si="1691"/>
        <v>0</v>
      </c>
      <c r="AC1090" s="87">
        <f t="shared" si="1692"/>
        <v>0</v>
      </c>
    </row>
    <row r="1091" spans="1:31" ht="14.25" thickBot="1" x14ac:dyDescent="0.2">
      <c r="A1091" s="103" t="s">
        <v>4</v>
      </c>
      <c r="B1091" s="17">
        <f>SUM(B1080:B1090)</f>
        <v>46</v>
      </c>
      <c r="C1091" s="17">
        <f>SUM(C1080:C1090)</f>
        <v>52</v>
      </c>
      <c r="D1091" s="17">
        <f>SUM(D1080:D1090)</f>
        <v>65</v>
      </c>
      <c r="E1091" s="18">
        <f t="shared" si="1685"/>
        <v>163</v>
      </c>
      <c r="F1091" s="17">
        <f>SUM(F1080:F1090)</f>
        <v>50</v>
      </c>
      <c r="G1091" s="17">
        <f>SUM(G1080:G1090)</f>
        <v>53</v>
      </c>
      <c r="H1091" s="17">
        <f>SUM(H1080:H1090)</f>
        <v>61</v>
      </c>
      <c r="I1091" s="18">
        <f t="shared" si="1686"/>
        <v>164</v>
      </c>
      <c r="J1091" s="17">
        <f>SUM(J1080:J1090)</f>
        <v>55</v>
      </c>
      <c r="K1091" s="17">
        <f>SUM(K1080:K1090)</f>
        <v>49</v>
      </c>
      <c r="L1091" s="17">
        <f>SUM(L1080:L1090)</f>
        <v>56</v>
      </c>
      <c r="M1091" s="20">
        <f t="shared" si="1687"/>
        <v>160</v>
      </c>
      <c r="N1091" s="140">
        <f t="shared" si="1688"/>
        <v>487</v>
      </c>
      <c r="P1091" s="16" t="s">
        <v>4</v>
      </c>
      <c r="Q1091" s="17">
        <f>SUM(Q1080:Q1090)</f>
        <v>663</v>
      </c>
      <c r="R1091" s="17">
        <f t="shared" ref="R1091" si="1700">SUM(R1080:R1090)</f>
        <v>947</v>
      </c>
      <c r="S1091" s="17">
        <f t="shared" ref="S1091" si="1701">SUM(S1080:S1090)</f>
        <v>820</v>
      </c>
      <c r="T1091" s="18">
        <f t="shared" ref="T1091" si="1702">SUM(T1080:T1090)</f>
        <v>2430</v>
      </c>
      <c r="U1091" s="17">
        <f t="shared" ref="U1091" si="1703">SUM(U1080:U1090)</f>
        <v>628</v>
      </c>
      <c r="V1091" s="17">
        <f t="shared" ref="V1091" si="1704">SUM(V1080:V1090)</f>
        <v>1067</v>
      </c>
      <c r="W1091" s="17">
        <f t="shared" ref="W1091" si="1705">SUM(W1080:W1090)</f>
        <v>846</v>
      </c>
      <c r="X1091" s="18">
        <f t="shared" ref="X1091" si="1706">SUM(X1080:X1090)</f>
        <v>2541</v>
      </c>
      <c r="Y1091" s="17">
        <f t="shared" ref="Y1091" si="1707">SUM(Y1080:Y1090)</f>
        <v>601</v>
      </c>
      <c r="Z1091" s="17">
        <f t="shared" ref="Z1091" si="1708">SUM(Z1080:Z1090)</f>
        <v>963</v>
      </c>
      <c r="AA1091" s="17">
        <f t="shared" ref="AA1091" si="1709">SUM(AA1080:AA1090)</f>
        <v>751</v>
      </c>
      <c r="AB1091" s="18">
        <f t="shared" ref="AB1091" si="1710">SUM(AB1080:AB1090)</f>
        <v>2315</v>
      </c>
      <c r="AC1091" s="88">
        <f t="shared" ref="AC1091" si="1711">SUM(AC1080:AC1090)</f>
        <v>7286</v>
      </c>
    </row>
    <row r="1092" spans="1:31" x14ac:dyDescent="0.15">
      <c r="A1092" s="4" t="s">
        <v>963</v>
      </c>
      <c r="B1092" s="9">
        <v>2</v>
      </c>
      <c r="C1092" s="10"/>
      <c r="D1092" s="31">
        <v>2</v>
      </c>
      <c r="E1092" s="5">
        <f t="shared" si="1685"/>
        <v>4</v>
      </c>
      <c r="F1092" s="9">
        <v>2</v>
      </c>
      <c r="G1092" s="10"/>
      <c r="H1092" s="31">
        <v>2</v>
      </c>
      <c r="I1092" s="5">
        <f t="shared" si="1686"/>
        <v>4</v>
      </c>
      <c r="J1092" s="9">
        <v>2</v>
      </c>
      <c r="K1092" s="10"/>
      <c r="L1092" s="31">
        <v>2</v>
      </c>
      <c r="M1092" s="38">
        <f t="shared" si="1687"/>
        <v>4</v>
      </c>
      <c r="N1092" s="141">
        <f t="shared" si="1688"/>
        <v>12</v>
      </c>
      <c r="O1092" s="24">
        <v>45835</v>
      </c>
      <c r="P1092" s="4" t="s">
        <v>959</v>
      </c>
      <c r="Q1092" s="9">
        <v>30</v>
      </c>
      <c r="R1092" s="10">
        <v>100</v>
      </c>
      <c r="S1092" s="31">
        <v>70</v>
      </c>
      <c r="T1092" s="5">
        <f t="shared" si="1689"/>
        <v>200</v>
      </c>
      <c r="U1092" s="9">
        <v>30</v>
      </c>
      <c r="V1092" s="10">
        <v>100</v>
      </c>
      <c r="W1092" s="31">
        <v>70</v>
      </c>
      <c r="X1092" s="5">
        <f t="shared" si="1690"/>
        <v>200</v>
      </c>
      <c r="Y1092" s="9">
        <v>30</v>
      </c>
      <c r="Z1092" s="10">
        <v>100</v>
      </c>
      <c r="AA1092" s="31">
        <v>70</v>
      </c>
      <c r="AB1092" s="5">
        <f t="shared" si="1691"/>
        <v>200</v>
      </c>
      <c r="AC1092" s="91">
        <f t="shared" si="1692"/>
        <v>600</v>
      </c>
      <c r="AD1092" s="109">
        <v>45834</v>
      </c>
      <c r="AE1092" s="58"/>
    </row>
    <row r="1093" spans="1:31" x14ac:dyDescent="0.15">
      <c r="A1093" s="4" t="s">
        <v>967</v>
      </c>
      <c r="B1093" s="9">
        <v>3</v>
      </c>
      <c r="C1093" s="10">
        <v>1</v>
      </c>
      <c r="D1093" s="10">
        <v>1</v>
      </c>
      <c r="E1093" s="5">
        <f t="shared" si="1685"/>
        <v>5</v>
      </c>
      <c r="F1093" s="9">
        <v>3</v>
      </c>
      <c r="G1093" s="10">
        <v>1</v>
      </c>
      <c r="H1093" s="10">
        <v>1</v>
      </c>
      <c r="I1093" s="5">
        <f t="shared" si="1686"/>
        <v>5</v>
      </c>
      <c r="J1093" s="9">
        <v>3</v>
      </c>
      <c r="K1093" s="10">
        <v>1</v>
      </c>
      <c r="L1093" s="10">
        <v>1</v>
      </c>
      <c r="M1093" s="38">
        <f t="shared" si="1687"/>
        <v>5</v>
      </c>
      <c r="N1093" s="138">
        <f t="shared" si="1688"/>
        <v>15</v>
      </c>
      <c r="O1093" s="24">
        <v>45840</v>
      </c>
      <c r="P1093" s="4" t="s">
        <v>961</v>
      </c>
      <c r="Q1093" s="9"/>
      <c r="R1093" s="10"/>
      <c r="S1093" s="10">
        <v>2</v>
      </c>
      <c r="T1093" s="5">
        <f t="shared" si="1689"/>
        <v>2</v>
      </c>
      <c r="U1093" s="9"/>
      <c r="V1093" s="10"/>
      <c r="W1093" s="10">
        <v>2</v>
      </c>
      <c r="X1093" s="5">
        <f t="shared" si="1690"/>
        <v>2</v>
      </c>
      <c r="Y1093" s="9"/>
      <c r="Z1093" s="10"/>
      <c r="AA1093" s="10">
        <v>2</v>
      </c>
      <c r="AB1093" s="5">
        <f t="shared" si="1691"/>
        <v>2</v>
      </c>
      <c r="AC1093" s="86">
        <f t="shared" si="1692"/>
        <v>6</v>
      </c>
      <c r="AD1093" s="109">
        <v>45834</v>
      </c>
    </row>
    <row r="1094" spans="1:31" x14ac:dyDescent="0.15">
      <c r="A1094" s="4" t="s">
        <v>975</v>
      </c>
      <c r="B1094" s="9">
        <v>4</v>
      </c>
      <c r="C1094" s="10">
        <v>5</v>
      </c>
      <c r="D1094" s="10">
        <v>4</v>
      </c>
      <c r="E1094" s="5">
        <f t="shared" si="1685"/>
        <v>13</v>
      </c>
      <c r="F1094" s="9">
        <v>4</v>
      </c>
      <c r="G1094" s="10">
        <v>5</v>
      </c>
      <c r="H1094" s="10">
        <v>4</v>
      </c>
      <c r="I1094" s="5">
        <f t="shared" si="1686"/>
        <v>13</v>
      </c>
      <c r="J1094" s="9">
        <v>4</v>
      </c>
      <c r="K1094" s="10">
        <v>5</v>
      </c>
      <c r="L1094" s="10">
        <v>4</v>
      </c>
      <c r="M1094" s="38">
        <f t="shared" si="1687"/>
        <v>13</v>
      </c>
      <c r="N1094" s="138">
        <f t="shared" si="1688"/>
        <v>39</v>
      </c>
      <c r="O1094" s="24">
        <v>45841</v>
      </c>
      <c r="P1094" s="4" t="s">
        <v>962</v>
      </c>
      <c r="Q1094" s="9">
        <v>2</v>
      </c>
      <c r="R1094" s="10">
        <v>7</v>
      </c>
      <c r="S1094" s="10">
        <v>2</v>
      </c>
      <c r="T1094" s="5">
        <f t="shared" si="1689"/>
        <v>11</v>
      </c>
      <c r="U1094" s="9">
        <v>2</v>
      </c>
      <c r="V1094" s="10">
        <v>7</v>
      </c>
      <c r="W1094" s="10">
        <v>2</v>
      </c>
      <c r="X1094" s="5">
        <f t="shared" si="1690"/>
        <v>11</v>
      </c>
      <c r="Y1094" s="9">
        <v>2</v>
      </c>
      <c r="Z1094" s="10">
        <v>7</v>
      </c>
      <c r="AA1094" s="10">
        <v>2</v>
      </c>
      <c r="AB1094" s="5">
        <f t="shared" si="1691"/>
        <v>11</v>
      </c>
      <c r="AC1094" s="86">
        <f t="shared" si="1692"/>
        <v>33</v>
      </c>
      <c r="AD1094" s="109">
        <v>45835</v>
      </c>
    </row>
    <row r="1095" spans="1:31" x14ac:dyDescent="0.15">
      <c r="A1095" s="4" t="s">
        <v>976</v>
      </c>
      <c r="B1095" s="9"/>
      <c r="C1095" s="10">
        <v>4</v>
      </c>
      <c r="D1095" s="10"/>
      <c r="E1095" s="5">
        <f t="shared" si="1685"/>
        <v>4</v>
      </c>
      <c r="F1095" s="9"/>
      <c r="G1095" s="10">
        <v>4</v>
      </c>
      <c r="H1095" s="10"/>
      <c r="I1095" s="5">
        <f t="shared" si="1686"/>
        <v>4</v>
      </c>
      <c r="J1095" s="9"/>
      <c r="K1095" s="10">
        <v>4</v>
      </c>
      <c r="L1095" s="10"/>
      <c r="M1095" s="38">
        <f t="shared" si="1687"/>
        <v>4</v>
      </c>
      <c r="N1095" s="138">
        <f t="shared" si="1688"/>
        <v>12</v>
      </c>
      <c r="O1095" s="24">
        <v>45842</v>
      </c>
      <c r="P1095" s="4" t="s">
        <v>964</v>
      </c>
      <c r="Q1095" s="9">
        <v>20</v>
      </c>
      <c r="R1095" s="10"/>
      <c r="S1095" s="10">
        <v>20</v>
      </c>
      <c r="T1095" s="5">
        <f t="shared" si="1689"/>
        <v>40</v>
      </c>
      <c r="U1095" s="9">
        <v>20</v>
      </c>
      <c r="V1095" s="10"/>
      <c r="W1095" s="10">
        <v>20</v>
      </c>
      <c r="X1095" s="5">
        <f t="shared" si="1690"/>
        <v>40</v>
      </c>
      <c r="Y1095" s="9">
        <v>20</v>
      </c>
      <c r="Z1095" s="10"/>
      <c r="AA1095" s="10">
        <v>20</v>
      </c>
      <c r="AB1095" s="5">
        <f t="shared" si="1691"/>
        <v>40</v>
      </c>
      <c r="AC1095" s="86">
        <f t="shared" si="1692"/>
        <v>120</v>
      </c>
      <c r="AD1095" s="109">
        <v>45836</v>
      </c>
      <c r="AE1095" s="58"/>
    </row>
    <row r="1096" spans="1:31" x14ac:dyDescent="0.15">
      <c r="A1096" s="33" t="s">
        <v>36</v>
      </c>
      <c r="B1096" s="9">
        <v>1</v>
      </c>
      <c r="C1096" s="10"/>
      <c r="D1096" s="10"/>
      <c r="E1096" s="5">
        <f t="shared" si="1685"/>
        <v>1</v>
      </c>
      <c r="F1096" s="9">
        <v>1</v>
      </c>
      <c r="G1096" s="10"/>
      <c r="H1096" s="10"/>
      <c r="I1096" s="5">
        <f t="shared" si="1686"/>
        <v>1</v>
      </c>
      <c r="J1096" s="9">
        <v>1</v>
      </c>
      <c r="K1096" s="10"/>
      <c r="L1096" s="10"/>
      <c r="M1096" s="38">
        <f t="shared" si="1687"/>
        <v>1</v>
      </c>
      <c r="N1096" s="138">
        <f t="shared" si="1688"/>
        <v>3</v>
      </c>
      <c r="O1096" s="70">
        <v>45840</v>
      </c>
      <c r="P1096" s="4" t="s">
        <v>27</v>
      </c>
      <c r="Q1096" s="9"/>
      <c r="R1096" s="10">
        <v>10</v>
      </c>
      <c r="S1096" s="10"/>
      <c r="T1096" s="5">
        <f t="shared" ref="T1096" si="1712">SUM(Q1096:S1096)</f>
        <v>10</v>
      </c>
      <c r="U1096" s="9"/>
      <c r="V1096" s="10">
        <v>10</v>
      </c>
      <c r="W1096" s="10"/>
      <c r="X1096" s="5">
        <f t="shared" ref="X1096" si="1713">SUM(U1096:W1096)</f>
        <v>10</v>
      </c>
      <c r="Y1096" s="9"/>
      <c r="Z1096" s="10">
        <v>10</v>
      </c>
      <c r="AA1096" s="10"/>
      <c r="AB1096" s="5">
        <f t="shared" ref="AB1096" si="1714">SUM(Y1096:AA1096)</f>
        <v>10</v>
      </c>
      <c r="AC1096" s="145">
        <f t="shared" si="1692"/>
        <v>30</v>
      </c>
      <c r="AD1096" s="109">
        <v>45835</v>
      </c>
      <c r="AE1096" s="58"/>
    </row>
    <row r="1097" spans="1:31" x14ac:dyDescent="0.15">
      <c r="A1097" s="4" t="s">
        <v>978</v>
      </c>
      <c r="B1097" s="9">
        <v>3</v>
      </c>
      <c r="C1097" s="10">
        <v>3</v>
      </c>
      <c r="D1097" s="10">
        <v>1</v>
      </c>
      <c r="E1097" s="8">
        <f t="shared" si="1685"/>
        <v>7</v>
      </c>
      <c r="F1097" s="9">
        <v>3</v>
      </c>
      <c r="G1097" s="10">
        <v>3</v>
      </c>
      <c r="H1097" s="10">
        <v>1</v>
      </c>
      <c r="I1097" s="8">
        <f t="shared" si="1686"/>
        <v>7</v>
      </c>
      <c r="J1097" s="9">
        <v>3</v>
      </c>
      <c r="K1097" s="10">
        <v>3</v>
      </c>
      <c r="L1097" s="10">
        <v>1</v>
      </c>
      <c r="M1097" s="39">
        <f t="shared" si="1687"/>
        <v>7</v>
      </c>
      <c r="N1097" s="138">
        <f t="shared" si="1688"/>
        <v>21</v>
      </c>
      <c r="O1097" s="24">
        <v>45842</v>
      </c>
      <c r="P1097" s="4" t="s">
        <v>965</v>
      </c>
      <c r="Q1097" s="9">
        <v>14</v>
      </c>
      <c r="R1097" s="10">
        <v>20</v>
      </c>
      <c r="S1097" s="10">
        <v>14</v>
      </c>
      <c r="T1097" s="8">
        <f t="shared" si="1689"/>
        <v>48</v>
      </c>
      <c r="U1097" s="9">
        <v>14</v>
      </c>
      <c r="V1097" s="10">
        <v>20</v>
      </c>
      <c r="W1097" s="10">
        <v>14</v>
      </c>
      <c r="X1097" s="8">
        <f t="shared" si="1690"/>
        <v>48</v>
      </c>
      <c r="Y1097" s="9">
        <v>14</v>
      </c>
      <c r="Z1097" s="10">
        <v>20</v>
      </c>
      <c r="AA1097" s="10">
        <v>14</v>
      </c>
      <c r="AB1097" s="8">
        <f t="shared" si="1691"/>
        <v>48</v>
      </c>
      <c r="AC1097" s="86">
        <f t="shared" si="1692"/>
        <v>144</v>
      </c>
      <c r="AD1097" s="109">
        <v>45839</v>
      </c>
    </row>
    <row r="1098" spans="1:31" x14ac:dyDescent="0.15">
      <c r="A1098" s="4" t="s">
        <v>979</v>
      </c>
      <c r="B1098" s="9">
        <v>1</v>
      </c>
      <c r="C1098" s="10">
        <v>1</v>
      </c>
      <c r="D1098" s="10"/>
      <c r="E1098" s="8">
        <f t="shared" si="1685"/>
        <v>2</v>
      </c>
      <c r="F1098" s="9">
        <v>1</v>
      </c>
      <c r="G1098" s="10">
        <v>1</v>
      </c>
      <c r="H1098" s="10"/>
      <c r="I1098" s="8">
        <f t="shared" si="1686"/>
        <v>2</v>
      </c>
      <c r="J1098" s="9">
        <v>1</v>
      </c>
      <c r="K1098" s="10">
        <v>1</v>
      </c>
      <c r="L1098" s="10"/>
      <c r="M1098" s="39">
        <f t="shared" si="1687"/>
        <v>2</v>
      </c>
      <c r="N1098" s="138">
        <f t="shared" si="1688"/>
        <v>6</v>
      </c>
      <c r="O1098" s="24">
        <v>45845</v>
      </c>
      <c r="P1098" s="11" t="s">
        <v>966</v>
      </c>
      <c r="Q1098" s="9">
        <v>5</v>
      </c>
      <c r="R1098" s="10">
        <v>3</v>
      </c>
      <c r="S1098" s="10"/>
      <c r="T1098" s="8">
        <f t="shared" si="1689"/>
        <v>8</v>
      </c>
      <c r="U1098" s="9">
        <v>5</v>
      </c>
      <c r="V1098" s="10">
        <v>3</v>
      </c>
      <c r="W1098" s="10"/>
      <c r="X1098" s="8">
        <f t="shared" si="1690"/>
        <v>8</v>
      </c>
      <c r="Y1098" s="9">
        <v>5</v>
      </c>
      <c r="Z1098" s="10">
        <v>3</v>
      </c>
      <c r="AA1098" s="10"/>
      <c r="AB1098" s="8">
        <f t="shared" si="1691"/>
        <v>8</v>
      </c>
      <c r="AC1098" s="86">
        <f t="shared" si="1692"/>
        <v>24</v>
      </c>
      <c r="AD1098" s="109">
        <v>45840</v>
      </c>
    </row>
    <row r="1099" spans="1:31" x14ac:dyDescent="0.15">
      <c r="A1099" s="33" t="s">
        <v>36</v>
      </c>
      <c r="B1099" s="9"/>
      <c r="C1099" s="10"/>
      <c r="D1099" s="10">
        <v>1</v>
      </c>
      <c r="E1099" s="8">
        <f t="shared" si="1685"/>
        <v>1</v>
      </c>
      <c r="F1099" s="9"/>
      <c r="G1099" s="10"/>
      <c r="H1099" s="10">
        <v>1</v>
      </c>
      <c r="I1099" s="8">
        <f t="shared" si="1686"/>
        <v>1</v>
      </c>
      <c r="J1099" s="9"/>
      <c r="K1099" s="10">
        <v>3</v>
      </c>
      <c r="L1099" s="10">
        <v>1</v>
      </c>
      <c r="M1099" s="39">
        <f t="shared" si="1687"/>
        <v>4</v>
      </c>
      <c r="N1099" s="138">
        <f t="shared" si="1688"/>
        <v>6</v>
      </c>
      <c r="O1099" s="24">
        <v>45842</v>
      </c>
      <c r="P1099" s="4" t="s">
        <v>921</v>
      </c>
      <c r="Q1099" s="9"/>
      <c r="R1099" s="10">
        <v>3</v>
      </c>
      <c r="S1099" s="10"/>
      <c r="T1099" s="8">
        <f t="shared" si="1689"/>
        <v>3</v>
      </c>
      <c r="U1099" s="9"/>
      <c r="V1099" s="10">
        <v>3</v>
      </c>
      <c r="W1099" s="10"/>
      <c r="X1099" s="8">
        <f t="shared" si="1690"/>
        <v>3</v>
      </c>
      <c r="Y1099" s="9"/>
      <c r="Z1099" s="10">
        <v>3</v>
      </c>
      <c r="AA1099" s="10"/>
      <c r="AB1099" s="8">
        <f t="shared" si="1691"/>
        <v>3</v>
      </c>
      <c r="AC1099" s="86">
        <f t="shared" si="1692"/>
        <v>9</v>
      </c>
      <c r="AD1099" s="109">
        <v>45842</v>
      </c>
    </row>
    <row r="1100" spans="1:31" x14ac:dyDescent="0.15">
      <c r="A1100" s="4" t="s">
        <v>986</v>
      </c>
      <c r="B1100" s="9">
        <v>2</v>
      </c>
      <c r="C1100" s="10"/>
      <c r="D1100" s="10">
        <v>4</v>
      </c>
      <c r="E1100" s="8">
        <f t="shared" si="1685"/>
        <v>6</v>
      </c>
      <c r="F1100" s="9">
        <v>2</v>
      </c>
      <c r="G1100" s="10"/>
      <c r="H1100" s="10">
        <v>4</v>
      </c>
      <c r="I1100" s="8">
        <f t="shared" si="1686"/>
        <v>6</v>
      </c>
      <c r="J1100" s="9">
        <v>2</v>
      </c>
      <c r="K1100" s="10"/>
      <c r="L1100" s="10">
        <v>4</v>
      </c>
      <c r="M1100" s="39">
        <f t="shared" si="1687"/>
        <v>6</v>
      </c>
      <c r="N1100" s="138">
        <f t="shared" si="1688"/>
        <v>18</v>
      </c>
      <c r="O1100" s="24">
        <v>45847</v>
      </c>
      <c r="P1100" s="4" t="s">
        <v>27</v>
      </c>
      <c r="Q1100" s="9">
        <v>20</v>
      </c>
      <c r="R1100" s="10">
        <v>20</v>
      </c>
      <c r="S1100" s="10">
        <v>10</v>
      </c>
      <c r="T1100" s="8">
        <f t="shared" ref="T1100" si="1715">SUM(Q1100:S1100)</f>
        <v>50</v>
      </c>
      <c r="U1100" s="9">
        <v>10</v>
      </c>
      <c r="V1100" s="10">
        <v>20</v>
      </c>
      <c r="W1100" s="10"/>
      <c r="X1100" s="8">
        <f t="shared" ref="X1100" si="1716">SUM(U1100:W1100)</f>
        <v>30</v>
      </c>
      <c r="Y1100" s="9">
        <v>20</v>
      </c>
      <c r="Z1100" s="10">
        <v>20</v>
      </c>
      <c r="AA1100" s="10">
        <v>10</v>
      </c>
      <c r="AB1100" s="8">
        <f t="shared" ref="AB1100" si="1717">SUM(Y1100:AA1100)</f>
        <v>50</v>
      </c>
      <c r="AC1100" s="145">
        <f t="shared" si="1692"/>
        <v>130</v>
      </c>
      <c r="AD1100" s="109">
        <v>45843</v>
      </c>
    </row>
    <row r="1101" spans="1:31" x14ac:dyDescent="0.15">
      <c r="A1101" s="33" t="s">
        <v>36</v>
      </c>
      <c r="B1101" s="9">
        <v>1</v>
      </c>
      <c r="C1101" s="10"/>
      <c r="D1101" s="10"/>
      <c r="E1101" s="8">
        <f t="shared" si="1685"/>
        <v>1</v>
      </c>
      <c r="F1101" s="9">
        <v>1</v>
      </c>
      <c r="G1101" s="10"/>
      <c r="H1101" s="10"/>
      <c r="I1101" s="8">
        <f t="shared" si="1686"/>
        <v>1</v>
      </c>
      <c r="J1101" s="9">
        <v>1</v>
      </c>
      <c r="K1101" s="10"/>
      <c r="L1101" s="10"/>
      <c r="M1101" s="39">
        <f t="shared" si="1687"/>
        <v>1</v>
      </c>
      <c r="N1101" s="138">
        <f t="shared" si="1688"/>
        <v>3</v>
      </c>
      <c r="O1101" s="24">
        <v>45843</v>
      </c>
      <c r="P1101" s="11" t="s">
        <v>987</v>
      </c>
      <c r="Q1101" s="9">
        <v>3</v>
      </c>
      <c r="R1101" s="10">
        <v>5</v>
      </c>
      <c r="S1101" s="10">
        <v>8</v>
      </c>
      <c r="T1101" s="8">
        <f t="shared" si="1689"/>
        <v>16</v>
      </c>
      <c r="U1101" s="9">
        <v>3</v>
      </c>
      <c r="V1101" s="10">
        <v>5</v>
      </c>
      <c r="W1101" s="10">
        <v>8</v>
      </c>
      <c r="X1101" s="8">
        <f t="shared" si="1690"/>
        <v>16</v>
      </c>
      <c r="Y1101" s="9">
        <v>3</v>
      </c>
      <c r="Z1101" s="10">
        <v>5</v>
      </c>
      <c r="AA1101" s="10">
        <v>8</v>
      </c>
      <c r="AB1101" s="8">
        <f t="shared" si="1691"/>
        <v>16</v>
      </c>
      <c r="AC1101" s="86">
        <f t="shared" si="1692"/>
        <v>48</v>
      </c>
      <c r="AD1101" s="109">
        <v>45848</v>
      </c>
    </row>
    <row r="1102" spans="1:31" x14ac:dyDescent="0.15">
      <c r="A1102" s="4" t="s">
        <v>988</v>
      </c>
      <c r="B1102" s="9"/>
      <c r="C1102" s="10">
        <v>1</v>
      </c>
      <c r="D1102" s="10">
        <v>1</v>
      </c>
      <c r="E1102" s="8">
        <f t="shared" si="1685"/>
        <v>2</v>
      </c>
      <c r="F1102" s="9"/>
      <c r="G1102" s="10">
        <v>1</v>
      </c>
      <c r="H1102" s="10">
        <v>1</v>
      </c>
      <c r="I1102" s="8">
        <f t="shared" si="1686"/>
        <v>2</v>
      </c>
      <c r="J1102" s="9"/>
      <c r="K1102" s="10">
        <v>1</v>
      </c>
      <c r="L1102" s="10">
        <v>1</v>
      </c>
      <c r="M1102" s="39">
        <f t="shared" si="1687"/>
        <v>2</v>
      </c>
      <c r="N1102" s="138">
        <f t="shared" si="1688"/>
        <v>6</v>
      </c>
      <c r="O1102" s="24">
        <v>45848</v>
      </c>
      <c r="P1102" s="4" t="s">
        <v>990</v>
      </c>
      <c r="Q1102" s="9">
        <v>1</v>
      </c>
      <c r="R1102" s="10"/>
      <c r="S1102" s="10">
        <v>10</v>
      </c>
      <c r="T1102" s="8">
        <f t="shared" si="1689"/>
        <v>11</v>
      </c>
      <c r="U1102" s="9">
        <v>1</v>
      </c>
      <c r="V1102" s="10"/>
      <c r="W1102" s="10">
        <v>10</v>
      </c>
      <c r="X1102" s="8">
        <f t="shared" si="1690"/>
        <v>11</v>
      </c>
      <c r="Y1102" s="9">
        <v>1</v>
      </c>
      <c r="Z1102" s="10"/>
      <c r="AA1102" s="10">
        <v>10</v>
      </c>
      <c r="AB1102" s="8">
        <f t="shared" si="1691"/>
        <v>11</v>
      </c>
      <c r="AC1102" s="86">
        <f t="shared" si="1692"/>
        <v>33</v>
      </c>
      <c r="AD1102" s="109">
        <v>45849</v>
      </c>
    </row>
    <row r="1103" spans="1:31" x14ac:dyDescent="0.15">
      <c r="A1103" s="4" t="s">
        <v>989</v>
      </c>
      <c r="B1103" s="9">
        <v>1</v>
      </c>
      <c r="C1103" s="10">
        <v>1</v>
      </c>
      <c r="D1103" s="10">
        <v>1</v>
      </c>
      <c r="E1103" s="8">
        <f t="shared" si="1685"/>
        <v>3</v>
      </c>
      <c r="F1103" s="9">
        <v>1</v>
      </c>
      <c r="G1103" s="10">
        <v>1</v>
      </c>
      <c r="H1103" s="10">
        <v>1</v>
      </c>
      <c r="I1103" s="8">
        <f t="shared" si="1686"/>
        <v>3</v>
      </c>
      <c r="J1103" s="9">
        <v>1</v>
      </c>
      <c r="K1103" s="10">
        <v>1</v>
      </c>
      <c r="L1103" s="10">
        <v>1</v>
      </c>
      <c r="M1103" s="39">
        <f t="shared" si="1687"/>
        <v>3</v>
      </c>
      <c r="N1103" s="138">
        <f t="shared" si="1688"/>
        <v>9</v>
      </c>
      <c r="O1103" s="24">
        <v>45849</v>
      </c>
      <c r="P1103" s="4" t="s">
        <v>991</v>
      </c>
      <c r="Q1103" s="9">
        <v>10</v>
      </c>
      <c r="R1103" s="10">
        <v>10</v>
      </c>
      <c r="S1103" s="10">
        <v>20</v>
      </c>
      <c r="T1103" s="8">
        <f t="shared" si="1689"/>
        <v>40</v>
      </c>
      <c r="U1103" s="9">
        <v>10</v>
      </c>
      <c r="V1103" s="10">
        <v>10</v>
      </c>
      <c r="W1103" s="10">
        <v>20</v>
      </c>
      <c r="X1103" s="8">
        <f t="shared" si="1690"/>
        <v>40</v>
      </c>
      <c r="Y1103" s="9">
        <v>10</v>
      </c>
      <c r="Z1103" s="10">
        <v>10</v>
      </c>
      <c r="AA1103" s="10">
        <v>20</v>
      </c>
      <c r="AB1103" s="8">
        <f t="shared" si="1691"/>
        <v>40</v>
      </c>
      <c r="AC1103" s="86">
        <f t="shared" si="1692"/>
        <v>120</v>
      </c>
      <c r="AD1103" s="109">
        <v>45852</v>
      </c>
    </row>
    <row r="1104" spans="1:31" x14ac:dyDescent="0.15">
      <c r="A1104" s="33" t="s">
        <v>36</v>
      </c>
      <c r="B1104" s="9"/>
      <c r="C1104" s="10">
        <v>1</v>
      </c>
      <c r="D1104" s="10">
        <v>1</v>
      </c>
      <c r="E1104" s="8">
        <f t="shared" si="1685"/>
        <v>2</v>
      </c>
      <c r="F1104" s="9"/>
      <c r="G1104" s="10">
        <v>1</v>
      </c>
      <c r="H1104" s="10">
        <f>1+2</f>
        <v>3</v>
      </c>
      <c r="I1104" s="8">
        <f t="shared" si="1686"/>
        <v>4</v>
      </c>
      <c r="J1104" s="9"/>
      <c r="K1104" s="10">
        <v>1</v>
      </c>
      <c r="L1104" s="10">
        <f>1+2</f>
        <v>3</v>
      </c>
      <c r="M1104" s="39">
        <f t="shared" si="1687"/>
        <v>4</v>
      </c>
      <c r="N1104" s="138">
        <f t="shared" si="1688"/>
        <v>10</v>
      </c>
      <c r="O1104" s="24">
        <v>45848</v>
      </c>
      <c r="P1104" s="4" t="s">
        <v>27</v>
      </c>
      <c r="Q1104" s="9"/>
      <c r="R1104" s="10"/>
      <c r="S1104" s="10">
        <v>10</v>
      </c>
      <c r="T1104" s="8">
        <f t="shared" ref="T1104" si="1718">SUM(Q1104:S1104)</f>
        <v>10</v>
      </c>
      <c r="U1104" s="9">
        <v>10</v>
      </c>
      <c r="V1104" s="10"/>
      <c r="W1104" s="10">
        <v>10</v>
      </c>
      <c r="X1104" s="8">
        <f t="shared" ref="X1104" si="1719">SUM(U1104:W1104)</f>
        <v>20</v>
      </c>
      <c r="Y1104" s="9"/>
      <c r="Z1104" s="10"/>
      <c r="AA1104" s="10">
        <v>10</v>
      </c>
      <c r="AB1104" s="8">
        <f t="shared" ref="AB1104" si="1720">SUM(Y1104:AA1104)</f>
        <v>10</v>
      </c>
      <c r="AC1104" s="145">
        <f t="shared" si="1692"/>
        <v>40</v>
      </c>
      <c r="AD1104" s="109">
        <v>45852</v>
      </c>
    </row>
    <row r="1105" spans="1:30" x14ac:dyDescent="0.15">
      <c r="A1105" s="4" t="s">
        <v>992</v>
      </c>
      <c r="B1105" s="9">
        <v>1</v>
      </c>
      <c r="C1105" s="10">
        <v>1</v>
      </c>
      <c r="D1105" s="10">
        <v>4</v>
      </c>
      <c r="E1105" s="8">
        <f t="shared" si="1685"/>
        <v>6</v>
      </c>
      <c r="F1105" s="9">
        <v>1</v>
      </c>
      <c r="G1105" s="10">
        <v>1</v>
      </c>
      <c r="H1105" s="10">
        <v>4</v>
      </c>
      <c r="I1105" s="8">
        <f t="shared" si="1686"/>
        <v>6</v>
      </c>
      <c r="J1105" s="9">
        <v>1</v>
      </c>
      <c r="K1105" s="10">
        <v>1</v>
      </c>
      <c r="L1105" s="10">
        <v>4</v>
      </c>
      <c r="M1105" s="39">
        <f t="shared" si="1687"/>
        <v>6</v>
      </c>
      <c r="N1105" s="138">
        <f t="shared" si="1688"/>
        <v>18</v>
      </c>
      <c r="O1105" s="24">
        <v>45852</v>
      </c>
      <c r="P1105" s="4" t="s">
        <v>994</v>
      </c>
      <c r="Q1105" s="9">
        <v>5</v>
      </c>
      <c r="R1105" s="10">
        <v>10</v>
      </c>
      <c r="S1105" s="10">
        <v>1</v>
      </c>
      <c r="T1105" s="8">
        <f t="shared" si="1689"/>
        <v>16</v>
      </c>
      <c r="U1105" s="9">
        <v>5</v>
      </c>
      <c r="V1105" s="10">
        <v>10</v>
      </c>
      <c r="W1105" s="10">
        <v>1</v>
      </c>
      <c r="X1105" s="8">
        <f t="shared" si="1690"/>
        <v>16</v>
      </c>
      <c r="Y1105" s="9">
        <v>5</v>
      </c>
      <c r="Z1105" s="10">
        <v>10</v>
      </c>
      <c r="AA1105" s="10">
        <v>1</v>
      </c>
      <c r="AB1105" s="8">
        <f t="shared" si="1691"/>
        <v>16</v>
      </c>
      <c r="AC1105" s="86">
        <f t="shared" si="1692"/>
        <v>48</v>
      </c>
      <c r="AD1105" s="109">
        <v>45854</v>
      </c>
    </row>
    <row r="1106" spans="1:30" x14ac:dyDescent="0.15">
      <c r="A1106" s="33" t="s">
        <v>993</v>
      </c>
      <c r="B1106" s="9"/>
      <c r="C1106" s="10"/>
      <c r="D1106" s="10"/>
      <c r="E1106" s="8">
        <f t="shared" si="1685"/>
        <v>0</v>
      </c>
      <c r="F1106" s="9">
        <v>1</v>
      </c>
      <c r="G1106" s="10"/>
      <c r="H1106" s="10"/>
      <c r="I1106" s="8">
        <f t="shared" si="1686"/>
        <v>1</v>
      </c>
      <c r="J1106" s="9">
        <v>1</v>
      </c>
      <c r="K1106" s="10"/>
      <c r="L1106" s="10"/>
      <c r="M1106" s="39">
        <f t="shared" si="1687"/>
        <v>1</v>
      </c>
      <c r="N1106" s="138">
        <f t="shared" si="1688"/>
        <v>2</v>
      </c>
      <c r="O1106" s="24">
        <v>45852</v>
      </c>
      <c r="P1106" s="4" t="s">
        <v>997</v>
      </c>
      <c r="Q1106" s="9">
        <v>2</v>
      </c>
      <c r="R1106" s="10">
        <v>14</v>
      </c>
      <c r="S1106" s="10"/>
      <c r="T1106" s="8">
        <f t="shared" si="1689"/>
        <v>16</v>
      </c>
      <c r="U1106" s="9">
        <v>2</v>
      </c>
      <c r="V1106" s="10">
        <v>14</v>
      </c>
      <c r="W1106" s="10"/>
      <c r="X1106" s="8">
        <f t="shared" si="1690"/>
        <v>16</v>
      </c>
      <c r="Y1106" s="9">
        <v>2</v>
      </c>
      <c r="Z1106" s="10">
        <v>14</v>
      </c>
      <c r="AA1106" s="10"/>
      <c r="AB1106" s="8">
        <f t="shared" si="1691"/>
        <v>16</v>
      </c>
      <c r="AC1106" s="86">
        <f t="shared" si="1692"/>
        <v>48</v>
      </c>
      <c r="AD1106" s="109">
        <v>45855</v>
      </c>
    </row>
    <row r="1107" spans="1:30" x14ac:dyDescent="0.15">
      <c r="A1107" s="11" t="s">
        <v>996</v>
      </c>
      <c r="B1107" s="9">
        <v>3</v>
      </c>
      <c r="C1107" s="10"/>
      <c r="D1107" s="10">
        <v>4</v>
      </c>
      <c r="E1107" s="8">
        <f t="shared" si="1685"/>
        <v>7</v>
      </c>
      <c r="F1107" s="9">
        <v>3</v>
      </c>
      <c r="G1107" s="10"/>
      <c r="H1107" s="10">
        <v>4</v>
      </c>
      <c r="I1107" s="8">
        <f t="shared" si="1686"/>
        <v>7</v>
      </c>
      <c r="J1107" s="9">
        <v>3</v>
      </c>
      <c r="K1107" s="10"/>
      <c r="L1107" s="10">
        <v>4</v>
      </c>
      <c r="M1107" s="39">
        <f t="shared" si="1687"/>
        <v>7</v>
      </c>
      <c r="N1107" s="138">
        <f t="shared" si="1688"/>
        <v>21</v>
      </c>
      <c r="O1107" s="24">
        <v>45855</v>
      </c>
      <c r="P1107" s="4" t="s">
        <v>1006</v>
      </c>
      <c r="Q1107" s="9">
        <v>2</v>
      </c>
      <c r="R1107" s="10"/>
      <c r="S1107" s="10">
        <v>4</v>
      </c>
      <c r="T1107" s="8">
        <f t="shared" si="1689"/>
        <v>6</v>
      </c>
      <c r="U1107" s="9">
        <v>2</v>
      </c>
      <c r="V1107" s="10"/>
      <c r="W1107" s="10">
        <v>4</v>
      </c>
      <c r="X1107" s="8">
        <f t="shared" si="1690"/>
        <v>6</v>
      </c>
      <c r="Y1107" s="9">
        <v>2</v>
      </c>
      <c r="Z1107" s="10"/>
      <c r="AA1107" s="10">
        <v>4</v>
      </c>
      <c r="AB1107" s="8">
        <f t="shared" si="1691"/>
        <v>6</v>
      </c>
      <c r="AC1107" s="86">
        <f t="shared" si="1692"/>
        <v>18</v>
      </c>
      <c r="AD1107" s="109">
        <v>45856</v>
      </c>
    </row>
    <row r="1108" spans="1:30" x14ac:dyDescent="0.15">
      <c r="A1108" s="33" t="s">
        <v>998</v>
      </c>
      <c r="B1108" s="9">
        <v>2</v>
      </c>
      <c r="C1108" s="10"/>
      <c r="D1108" s="10"/>
      <c r="E1108" s="8">
        <f t="shared" si="1685"/>
        <v>2</v>
      </c>
      <c r="F1108" s="9">
        <v>2</v>
      </c>
      <c r="G1108" s="10"/>
      <c r="H1108" s="10"/>
      <c r="I1108" s="8">
        <f t="shared" si="1686"/>
        <v>2</v>
      </c>
      <c r="J1108" s="9">
        <v>2</v>
      </c>
      <c r="K1108" s="10"/>
      <c r="L1108" s="10"/>
      <c r="M1108" s="39">
        <f t="shared" si="1687"/>
        <v>2</v>
      </c>
      <c r="N1108" s="138">
        <f t="shared" si="1688"/>
        <v>6</v>
      </c>
      <c r="O1108" s="24">
        <v>45852</v>
      </c>
      <c r="P1108" s="4" t="s">
        <v>27</v>
      </c>
      <c r="Q1108" s="9"/>
      <c r="R1108" s="10"/>
      <c r="S1108" s="10"/>
      <c r="T1108" s="8">
        <f t="shared" ref="T1108" si="1721">SUM(Q1108:S1108)</f>
        <v>0</v>
      </c>
      <c r="U1108" s="9"/>
      <c r="V1108" s="10"/>
      <c r="W1108" s="10">
        <v>10</v>
      </c>
      <c r="X1108" s="8">
        <f t="shared" ref="X1108" si="1722">SUM(U1108:W1108)</f>
        <v>10</v>
      </c>
      <c r="Y1108" s="9">
        <v>10</v>
      </c>
      <c r="Z1108" s="10"/>
      <c r="AA1108" s="10">
        <v>10</v>
      </c>
      <c r="AB1108" s="8">
        <f t="shared" ref="AB1108" si="1723">SUM(Y1108:AA1108)</f>
        <v>20</v>
      </c>
      <c r="AC1108" s="145">
        <f t="shared" si="1692"/>
        <v>30</v>
      </c>
      <c r="AD1108" s="109">
        <v>45857</v>
      </c>
    </row>
    <row r="1109" spans="1:30" x14ac:dyDescent="0.15">
      <c r="A1109" s="33" t="s">
        <v>36</v>
      </c>
      <c r="B1109" s="9"/>
      <c r="C1109" s="10"/>
      <c r="D1109" s="10"/>
      <c r="E1109" s="8">
        <f t="shared" si="1685"/>
        <v>0</v>
      </c>
      <c r="F1109" s="9"/>
      <c r="G1109" s="10"/>
      <c r="H1109" s="10"/>
      <c r="I1109" s="8">
        <f t="shared" si="1686"/>
        <v>0</v>
      </c>
      <c r="J1109" s="9"/>
      <c r="K1109" s="10">
        <v>1</v>
      </c>
      <c r="L1109" s="10"/>
      <c r="M1109" s="39">
        <f t="shared" si="1687"/>
        <v>1</v>
      </c>
      <c r="N1109" s="138">
        <f t="shared" si="1688"/>
        <v>1</v>
      </c>
      <c r="O1109" s="70">
        <v>45854</v>
      </c>
      <c r="P1109" s="11" t="s">
        <v>1009</v>
      </c>
      <c r="Q1109" s="9">
        <v>3</v>
      </c>
      <c r="R1109" s="10">
        <v>3</v>
      </c>
      <c r="S1109" s="10"/>
      <c r="T1109" s="8">
        <f t="shared" ref="T1109:T1111" si="1724">SUM(Q1109:S1109)</f>
        <v>6</v>
      </c>
      <c r="U1109" s="9">
        <v>3</v>
      </c>
      <c r="V1109" s="10">
        <v>3</v>
      </c>
      <c r="W1109" s="10"/>
      <c r="X1109" s="8">
        <f t="shared" ref="X1109:X1111" si="1725">SUM(U1109:W1109)</f>
        <v>6</v>
      </c>
      <c r="Y1109" s="9">
        <v>3</v>
      </c>
      <c r="Z1109" s="10">
        <v>3</v>
      </c>
      <c r="AA1109" s="10"/>
      <c r="AB1109" s="8">
        <f t="shared" ref="AB1109:AB1111" si="1726">SUM(Y1109:AA1109)</f>
        <v>6</v>
      </c>
      <c r="AC1109" s="86">
        <f t="shared" ref="AC1109:AC1111" si="1727">T1109+X1109+AB1109</f>
        <v>18</v>
      </c>
      <c r="AD1109" s="109">
        <v>45863</v>
      </c>
    </row>
    <row r="1110" spans="1:30" x14ac:dyDescent="0.15">
      <c r="A1110" s="4" t="s">
        <v>1007</v>
      </c>
      <c r="B1110" s="9"/>
      <c r="C1110" s="10">
        <v>1</v>
      </c>
      <c r="D1110" s="10">
        <v>1</v>
      </c>
      <c r="E1110" s="8">
        <f t="shared" si="1685"/>
        <v>2</v>
      </c>
      <c r="F1110" s="9"/>
      <c r="G1110" s="10">
        <v>1</v>
      </c>
      <c r="H1110" s="10">
        <v>1</v>
      </c>
      <c r="I1110" s="8">
        <f t="shared" si="1686"/>
        <v>2</v>
      </c>
      <c r="J1110" s="9"/>
      <c r="K1110" s="10">
        <v>1</v>
      </c>
      <c r="L1110" s="10">
        <v>1</v>
      </c>
      <c r="M1110" s="39">
        <f t="shared" si="1687"/>
        <v>2</v>
      </c>
      <c r="N1110" s="138">
        <f t="shared" si="1688"/>
        <v>6</v>
      </c>
      <c r="O1110" s="24">
        <v>45856</v>
      </c>
      <c r="P1110" s="4"/>
      <c r="Q1110" s="9"/>
      <c r="R1110" s="10"/>
      <c r="S1110" s="10"/>
      <c r="T1110" s="8">
        <f t="shared" si="1724"/>
        <v>0</v>
      </c>
      <c r="U1110" s="9"/>
      <c r="V1110" s="10"/>
      <c r="W1110" s="10"/>
      <c r="X1110" s="8">
        <f t="shared" si="1725"/>
        <v>0</v>
      </c>
      <c r="Y1110" s="9"/>
      <c r="Z1110" s="10"/>
      <c r="AA1110" s="10"/>
      <c r="AB1110" s="8">
        <f t="shared" si="1726"/>
        <v>0</v>
      </c>
      <c r="AC1110" s="86">
        <f t="shared" si="1727"/>
        <v>0</v>
      </c>
      <c r="AD1110" s="116"/>
    </row>
    <row r="1111" spans="1:30" x14ac:dyDescent="0.15">
      <c r="A1111" s="33" t="s">
        <v>36</v>
      </c>
      <c r="B1111" s="9"/>
      <c r="C1111" s="10"/>
      <c r="D1111" s="10">
        <v>2</v>
      </c>
      <c r="E1111" s="8">
        <f t="shared" si="1685"/>
        <v>2</v>
      </c>
      <c r="F1111" s="9"/>
      <c r="G1111" s="10"/>
      <c r="H1111" s="10">
        <v>2</v>
      </c>
      <c r="I1111" s="8">
        <f t="shared" si="1686"/>
        <v>2</v>
      </c>
      <c r="J1111" s="9"/>
      <c r="K1111" s="10"/>
      <c r="L1111" s="10">
        <v>2</v>
      </c>
      <c r="M1111" s="39">
        <f t="shared" si="1687"/>
        <v>2</v>
      </c>
      <c r="N1111" s="138">
        <f t="shared" si="1688"/>
        <v>6</v>
      </c>
      <c r="O1111" s="24">
        <v>45855</v>
      </c>
      <c r="P1111" s="4" t="s">
        <v>815</v>
      </c>
      <c r="Q1111" s="9">
        <f>3-3</f>
        <v>0</v>
      </c>
      <c r="R1111" s="10">
        <f>3-3</f>
        <v>0</v>
      </c>
      <c r="S1111" s="10">
        <f>3-2-1</f>
        <v>0</v>
      </c>
      <c r="T1111" s="8">
        <f t="shared" si="1724"/>
        <v>0</v>
      </c>
      <c r="U1111" s="9">
        <f>3-3</f>
        <v>0</v>
      </c>
      <c r="V1111" s="10">
        <f>3-3</f>
        <v>0</v>
      </c>
      <c r="W1111" s="10">
        <f>3-2-1</f>
        <v>0</v>
      </c>
      <c r="X1111" s="8">
        <f t="shared" si="1725"/>
        <v>0</v>
      </c>
      <c r="Y1111" s="9">
        <f>3-3</f>
        <v>0</v>
      </c>
      <c r="Z1111" s="10">
        <f>3-3</f>
        <v>0</v>
      </c>
      <c r="AA1111" s="10">
        <f>3-2-1</f>
        <v>0</v>
      </c>
      <c r="AB1111" s="8">
        <f t="shared" si="1726"/>
        <v>0</v>
      </c>
      <c r="AC1111" s="86">
        <f t="shared" si="1727"/>
        <v>0</v>
      </c>
      <c r="AD1111" s="116" t="s">
        <v>813</v>
      </c>
    </row>
    <row r="1112" spans="1:30" x14ac:dyDescent="0.15">
      <c r="A1112" s="33" t="s">
        <v>36</v>
      </c>
      <c r="B1112" s="9"/>
      <c r="C1112" s="10">
        <v>1</v>
      </c>
      <c r="D1112" s="10"/>
      <c r="E1112" s="8">
        <f t="shared" si="1685"/>
        <v>1</v>
      </c>
      <c r="F1112" s="9"/>
      <c r="G1112" s="10">
        <v>1</v>
      </c>
      <c r="H1112" s="10"/>
      <c r="I1112" s="8">
        <f t="shared" si="1686"/>
        <v>1</v>
      </c>
      <c r="J1112" s="9"/>
      <c r="K1112" s="10">
        <v>1</v>
      </c>
      <c r="L1112" s="10"/>
      <c r="M1112" s="39">
        <f t="shared" si="1687"/>
        <v>1</v>
      </c>
      <c r="N1112" s="138">
        <f t="shared" si="1688"/>
        <v>3</v>
      </c>
      <c r="O1112" s="24">
        <v>45856</v>
      </c>
      <c r="P1112" s="11" t="s">
        <v>902</v>
      </c>
      <c r="Q1112" s="9"/>
      <c r="R1112" s="10"/>
      <c r="S1112" s="10"/>
      <c r="T1112" s="8">
        <f t="shared" si="1689"/>
        <v>0</v>
      </c>
      <c r="U1112" s="9"/>
      <c r="V1112" s="10"/>
      <c r="W1112" s="10"/>
      <c r="X1112" s="8">
        <f t="shared" si="1690"/>
        <v>0</v>
      </c>
      <c r="Y1112" s="9"/>
      <c r="Z1112" s="10"/>
      <c r="AA1112" s="10"/>
      <c r="AB1112" s="8">
        <f t="shared" si="1691"/>
        <v>0</v>
      </c>
      <c r="AC1112" s="86">
        <f t="shared" si="1692"/>
        <v>0</v>
      </c>
      <c r="AD1112" s="109" t="s">
        <v>903</v>
      </c>
    </row>
    <row r="1113" spans="1:30" x14ac:dyDescent="0.15">
      <c r="A1113" s="4" t="s">
        <v>1008</v>
      </c>
      <c r="B1113" s="9">
        <v>1</v>
      </c>
      <c r="C1113" s="10">
        <v>2</v>
      </c>
      <c r="D1113" s="10"/>
      <c r="E1113" s="8">
        <f t="shared" si="1685"/>
        <v>3</v>
      </c>
      <c r="F1113" s="9">
        <v>1</v>
      </c>
      <c r="G1113" s="10">
        <v>2</v>
      </c>
      <c r="H1113" s="10"/>
      <c r="I1113" s="8">
        <f t="shared" si="1686"/>
        <v>3</v>
      </c>
      <c r="J1113" s="9">
        <v>1</v>
      </c>
      <c r="K1113" s="10">
        <v>2</v>
      </c>
      <c r="L1113" s="10"/>
      <c r="M1113" s="39">
        <f t="shared" si="1687"/>
        <v>3</v>
      </c>
      <c r="N1113" s="138">
        <f t="shared" si="1688"/>
        <v>9</v>
      </c>
      <c r="O1113" s="24">
        <v>45862</v>
      </c>
      <c r="P1113" s="4" t="s">
        <v>896</v>
      </c>
      <c r="Q1113" s="9"/>
      <c r="R1113" s="10"/>
      <c r="S1113" s="10"/>
      <c r="T1113" s="8">
        <f t="shared" si="1689"/>
        <v>0</v>
      </c>
      <c r="U1113" s="9"/>
      <c r="V1113" s="10"/>
      <c r="W1113" s="10"/>
      <c r="X1113" s="8">
        <f t="shared" si="1690"/>
        <v>0</v>
      </c>
      <c r="Y1113" s="9"/>
      <c r="Z1113" s="10"/>
      <c r="AA1113" s="10"/>
      <c r="AB1113" s="8">
        <f t="shared" si="1691"/>
        <v>0</v>
      </c>
      <c r="AC1113" s="86">
        <f t="shared" si="1692"/>
        <v>0</v>
      </c>
      <c r="AD1113" s="116" t="s">
        <v>897</v>
      </c>
    </row>
    <row r="1114" spans="1:30" x14ac:dyDescent="0.15">
      <c r="A1114" s="33" t="s">
        <v>170</v>
      </c>
      <c r="B1114" s="9">
        <v>1</v>
      </c>
      <c r="C1114" s="10"/>
      <c r="D1114" s="10"/>
      <c r="E1114" s="8">
        <f t="shared" si="1685"/>
        <v>1</v>
      </c>
      <c r="F1114" s="9">
        <v>1</v>
      </c>
      <c r="G1114" s="10"/>
      <c r="H1114" s="10"/>
      <c r="I1114" s="8">
        <f t="shared" si="1686"/>
        <v>1</v>
      </c>
      <c r="J1114" s="9">
        <v>1</v>
      </c>
      <c r="K1114" s="10"/>
      <c r="L1114" s="10"/>
      <c r="M1114" s="39">
        <f t="shared" si="1687"/>
        <v>1</v>
      </c>
      <c r="N1114" s="138">
        <f t="shared" si="1688"/>
        <v>3</v>
      </c>
      <c r="O1114" s="70">
        <v>45860</v>
      </c>
      <c r="P1114" s="81" t="s">
        <v>887</v>
      </c>
      <c r="Q1114" s="71"/>
      <c r="R1114" s="72"/>
      <c r="S1114" s="72"/>
      <c r="T1114" s="73">
        <f t="shared" si="1689"/>
        <v>0</v>
      </c>
      <c r="U1114" s="71"/>
      <c r="V1114" s="72"/>
      <c r="W1114" s="72"/>
      <c r="X1114" s="73">
        <f t="shared" si="1690"/>
        <v>0</v>
      </c>
      <c r="Y1114" s="71"/>
      <c r="Z1114" s="72"/>
      <c r="AA1114" s="72"/>
      <c r="AB1114" s="73">
        <f t="shared" si="1691"/>
        <v>0</v>
      </c>
      <c r="AC1114" s="110">
        <f t="shared" si="1692"/>
        <v>0</v>
      </c>
      <c r="AD1114" s="116"/>
    </row>
    <row r="1115" spans="1:30" ht="14.25" thickBot="1" x14ac:dyDescent="0.2">
      <c r="A1115" s="33" t="s">
        <v>36</v>
      </c>
      <c r="B1115" s="9">
        <v>1</v>
      </c>
      <c r="C1115" s="10">
        <v>2</v>
      </c>
      <c r="D1115" s="22"/>
      <c r="E1115" s="8">
        <f t="shared" si="1685"/>
        <v>3</v>
      </c>
      <c r="F1115" s="9">
        <v>1</v>
      </c>
      <c r="G1115" s="10">
        <v>2</v>
      </c>
      <c r="H1115" s="22"/>
      <c r="I1115" s="8">
        <f t="shared" si="1686"/>
        <v>3</v>
      </c>
      <c r="J1115" s="9">
        <v>1</v>
      </c>
      <c r="K1115" s="10">
        <v>2</v>
      </c>
      <c r="L1115" s="22"/>
      <c r="M1115" s="39">
        <f t="shared" si="1687"/>
        <v>3</v>
      </c>
      <c r="N1115" s="139">
        <f t="shared" si="1688"/>
        <v>9</v>
      </c>
      <c r="O1115" s="70">
        <v>45860</v>
      </c>
      <c r="P1115" s="4" t="s">
        <v>886</v>
      </c>
      <c r="Q1115" s="9"/>
      <c r="R1115" s="10"/>
      <c r="S1115" s="10"/>
      <c r="T1115" s="8">
        <f t="shared" si="1689"/>
        <v>0</v>
      </c>
      <c r="U1115" s="9"/>
      <c r="V1115" s="10"/>
      <c r="W1115" s="10"/>
      <c r="X1115" s="8">
        <f t="shared" si="1690"/>
        <v>0</v>
      </c>
      <c r="Y1115" s="9"/>
      <c r="Z1115" s="10"/>
      <c r="AA1115" s="10"/>
      <c r="AB1115" s="8">
        <f t="shared" si="1691"/>
        <v>0</v>
      </c>
      <c r="AC1115" s="86">
        <f t="shared" si="1692"/>
        <v>0</v>
      </c>
      <c r="AD1115" s="116" t="s">
        <v>888</v>
      </c>
    </row>
    <row r="1116" spans="1:30" ht="14.25" thickBot="1" x14ac:dyDescent="0.2">
      <c r="A1116" s="104" t="s">
        <v>5</v>
      </c>
      <c r="B1116" s="12">
        <f>SUM(B1092:B1115)</f>
        <v>27</v>
      </c>
      <c r="C1116" s="12">
        <f>SUM(C1092:C1115)</f>
        <v>24</v>
      </c>
      <c r="D1116" s="12">
        <f>SUM(D1092:D1115)</f>
        <v>27</v>
      </c>
      <c r="E1116" s="13">
        <f t="shared" si="1685"/>
        <v>78</v>
      </c>
      <c r="F1116" s="12">
        <f>SUM(F1092:F1115)</f>
        <v>28</v>
      </c>
      <c r="G1116" s="12">
        <f>SUM(G1092:G1115)</f>
        <v>24</v>
      </c>
      <c r="H1116" s="12">
        <f>SUM(H1092:H1115)</f>
        <v>29</v>
      </c>
      <c r="I1116" s="13">
        <f t="shared" si="1686"/>
        <v>81</v>
      </c>
      <c r="J1116" s="12">
        <f>SUM(J1092:J1115)</f>
        <v>28</v>
      </c>
      <c r="K1116" s="12">
        <f>SUM(K1092:K1115)</f>
        <v>28</v>
      </c>
      <c r="L1116" s="12">
        <f>SUM(L1092:L1115)</f>
        <v>29</v>
      </c>
      <c r="M1116" s="12">
        <f t="shared" si="1687"/>
        <v>85</v>
      </c>
      <c r="N1116" s="142">
        <f t="shared" si="1688"/>
        <v>244</v>
      </c>
      <c r="P1116" s="3" t="s">
        <v>5</v>
      </c>
      <c r="Q1116" s="12">
        <f>SUM(Q1092:Q1115)</f>
        <v>117</v>
      </c>
      <c r="R1116" s="12">
        <f t="shared" ref="R1116" si="1728">SUM(R1092:R1115)</f>
        <v>205</v>
      </c>
      <c r="S1116" s="12">
        <f t="shared" ref="S1116" si="1729">SUM(S1092:S1115)</f>
        <v>171</v>
      </c>
      <c r="T1116" s="13">
        <f t="shared" ref="T1116" si="1730">SUM(T1092:T1115)</f>
        <v>493</v>
      </c>
      <c r="U1116" s="12">
        <f t="shared" ref="U1116" si="1731">SUM(U1092:U1115)</f>
        <v>117</v>
      </c>
      <c r="V1116" s="12">
        <f t="shared" ref="V1116" si="1732">SUM(V1092:V1115)</f>
        <v>205</v>
      </c>
      <c r="W1116" s="12">
        <f t="shared" ref="W1116" si="1733">SUM(W1092:W1115)</f>
        <v>171</v>
      </c>
      <c r="X1116" s="13">
        <f t="shared" ref="X1116" si="1734">SUM(X1092:X1115)</f>
        <v>493</v>
      </c>
      <c r="Y1116" s="12">
        <f t="shared" ref="Y1116" si="1735">SUM(Y1092:Y1115)</f>
        <v>127</v>
      </c>
      <c r="Z1116" s="12">
        <f t="shared" ref="Z1116" si="1736">SUM(Z1092:Z1115)</f>
        <v>205</v>
      </c>
      <c r="AA1116" s="12">
        <f t="shared" ref="AA1116" si="1737">SUM(AA1092:AA1115)</f>
        <v>181</v>
      </c>
      <c r="AB1116" s="13">
        <f t="shared" ref="AB1116" si="1738">SUM(AB1092:AB1115)</f>
        <v>513</v>
      </c>
      <c r="AC1116" s="155">
        <f t="shared" ref="AC1116" si="1739">SUM(AC1092:AC1115)</f>
        <v>1499</v>
      </c>
    </row>
    <row r="1117" spans="1:30" ht="14.25" thickBot="1" x14ac:dyDescent="0.2">
      <c r="A1117" s="105" t="s">
        <v>6</v>
      </c>
      <c r="B1117" s="20">
        <f>B1091-B1116</f>
        <v>19</v>
      </c>
      <c r="C1117" s="20">
        <f t="shared" ref="C1117:E1117" si="1740">C1091-C1116</f>
        <v>28</v>
      </c>
      <c r="D1117" s="20">
        <f t="shared" si="1740"/>
        <v>38</v>
      </c>
      <c r="E1117" s="18">
        <f t="shared" si="1740"/>
        <v>85</v>
      </c>
      <c r="F1117" s="20">
        <f>F1091-F1116</f>
        <v>22</v>
      </c>
      <c r="G1117" s="20">
        <f t="shared" ref="G1117:I1117" si="1741">G1091-G1116</f>
        <v>29</v>
      </c>
      <c r="H1117" s="20">
        <f t="shared" si="1741"/>
        <v>32</v>
      </c>
      <c r="I1117" s="18">
        <f t="shared" si="1741"/>
        <v>83</v>
      </c>
      <c r="J1117" s="20">
        <f>J1091-J1116</f>
        <v>27</v>
      </c>
      <c r="K1117" s="20">
        <f t="shared" ref="K1117:M1117" si="1742">K1091-K1116</f>
        <v>21</v>
      </c>
      <c r="L1117" s="20">
        <f t="shared" si="1742"/>
        <v>27</v>
      </c>
      <c r="M1117" s="20">
        <f t="shared" si="1742"/>
        <v>75</v>
      </c>
      <c r="N1117" s="140">
        <f t="shared" si="1688"/>
        <v>243</v>
      </c>
      <c r="P1117" s="19" t="s">
        <v>6</v>
      </c>
      <c r="Q1117" s="20">
        <f>Q1091-Q1116</f>
        <v>546</v>
      </c>
      <c r="R1117" s="20">
        <f t="shared" ref="R1117" si="1743">R1091-R1116</f>
        <v>742</v>
      </c>
      <c r="S1117" s="20">
        <f t="shared" ref="S1117" si="1744">S1091-S1116</f>
        <v>649</v>
      </c>
      <c r="T1117" s="18">
        <f t="shared" ref="T1117" si="1745">T1091-T1116</f>
        <v>1937</v>
      </c>
      <c r="U1117" s="20">
        <f t="shared" ref="U1117" si="1746">U1091-U1116</f>
        <v>511</v>
      </c>
      <c r="V1117" s="20">
        <f t="shared" ref="V1117" si="1747">V1091-V1116</f>
        <v>862</v>
      </c>
      <c r="W1117" s="20">
        <f t="shared" ref="W1117" si="1748">W1091-W1116</f>
        <v>675</v>
      </c>
      <c r="X1117" s="18">
        <f t="shared" ref="X1117" si="1749">X1091-X1116</f>
        <v>2048</v>
      </c>
      <c r="Y1117" s="20">
        <f t="shared" ref="Y1117" si="1750">Y1091-Y1116</f>
        <v>474</v>
      </c>
      <c r="Z1117" s="20">
        <f t="shared" ref="Z1117" si="1751">Z1091-Z1116</f>
        <v>758</v>
      </c>
      <c r="AA1117" s="20">
        <f t="shared" ref="AA1117" si="1752">AA1091-AA1116</f>
        <v>570</v>
      </c>
      <c r="AB1117" s="18">
        <f t="shared" ref="AB1117" si="1753">AB1091-AB1116</f>
        <v>1802</v>
      </c>
      <c r="AC1117" s="88">
        <f t="shared" ref="AC1117" si="1754">AC1091-AC1116</f>
        <v>5787</v>
      </c>
    </row>
    <row r="1120" spans="1:30" ht="19.5" thickBot="1" x14ac:dyDescent="0.25">
      <c r="A1120" s="108" t="s">
        <v>264</v>
      </c>
      <c r="B1120" s="47"/>
      <c r="C1120" s="47"/>
      <c r="D1120" s="47"/>
      <c r="E1120" s="47"/>
      <c r="F1120" s="48"/>
      <c r="G1120" s="48"/>
      <c r="H1120" s="48"/>
      <c r="I1120" s="48"/>
      <c r="J1120" s="48"/>
      <c r="K1120" s="48"/>
      <c r="L1120" s="1"/>
      <c r="M1120" s="1"/>
      <c r="N1120" s="137"/>
      <c r="P1120" s="43" t="s">
        <v>263</v>
      </c>
      <c r="Q1120" s="44"/>
      <c r="R1120" s="44"/>
      <c r="S1120" s="44"/>
      <c r="T1120" s="44"/>
      <c r="U1120" s="45"/>
      <c r="V1120" s="45"/>
      <c r="W1120" s="45"/>
      <c r="X1120" s="45"/>
      <c r="Y1120" s="46"/>
      <c r="Z1120" s="53"/>
      <c r="AA1120" s="1"/>
      <c r="AB1120" s="1"/>
    </row>
    <row r="1121" spans="1:30" ht="14.25" thickBot="1" x14ac:dyDescent="0.2">
      <c r="A1121" s="100" t="s">
        <v>0</v>
      </c>
      <c r="B1121" s="337" t="s">
        <v>11</v>
      </c>
      <c r="C1121" s="337"/>
      <c r="D1121" s="337"/>
      <c r="E1121" s="338"/>
      <c r="F1121" s="339" t="s">
        <v>9</v>
      </c>
      <c r="G1121" s="340"/>
      <c r="H1121" s="340"/>
      <c r="I1121" s="341"/>
      <c r="J1121" s="342" t="s">
        <v>12</v>
      </c>
      <c r="K1121" s="343"/>
      <c r="L1121" s="343"/>
      <c r="M1121" s="343"/>
      <c r="N1121" s="347" t="s">
        <v>13</v>
      </c>
      <c r="P1121" s="2" t="s">
        <v>0</v>
      </c>
      <c r="Q1121" s="336" t="s">
        <v>11</v>
      </c>
      <c r="R1121" s="337"/>
      <c r="S1121" s="337"/>
      <c r="T1121" s="338"/>
      <c r="U1121" s="339" t="s">
        <v>9</v>
      </c>
      <c r="V1121" s="340"/>
      <c r="W1121" s="340"/>
      <c r="X1121" s="341"/>
      <c r="Y1121" s="342" t="s">
        <v>12</v>
      </c>
      <c r="Z1121" s="343"/>
      <c r="AA1121" s="343"/>
      <c r="AB1121" s="344"/>
      <c r="AC1121" s="133" t="s">
        <v>13</v>
      </c>
    </row>
    <row r="1122" spans="1:30" ht="14.25" thickBot="1" x14ac:dyDescent="0.2">
      <c r="A1122" s="100" t="s">
        <v>1</v>
      </c>
      <c r="B1122" s="3" t="s">
        <v>7</v>
      </c>
      <c r="C1122" s="2" t="s">
        <v>10</v>
      </c>
      <c r="D1122" s="2" t="s">
        <v>8</v>
      </c>
      <c r="E1122" s="2" t="s">
        <v>2</v>
      </c>
      <c r="F1122" s="3" t="s">
        <v>7</v>
      </c>
      <c r="G1122" s="2" t="s">
        <v>10</v>
      </c>
      <c r="H1122" s="2" t="s">
        <v>8</v>
      </c>
      <c r="I1122" s="2" t="s">
        <v>2</v>
      </c>
      <c r="J1122" s="3" t="s">
        <v>7</v>
      </c>
      <c r="K1122" s="2" t="s">
        <v>10</v>
      </c>
      <c r="L1122" s="2" t="s">
        <v>8</v>
      </c>
      <c r="M1122" s="3" t="s">
        <v>2</v>
      </c>
      <c r="N1122" s="348"/>
      <c r="P1122" s="2" t="s">
        <v>1</v>
      </c>
      <c r="Q1122" s="3" t="s">
        <v>7</v>
      </c>
      <c r="R1122" s="2" t="s">
        <v>10</v>
      </c>
      <c r="S1122" s="2" t="s">
        <v>8</v>
      </c>
      <c r="T1122" s="2" t="s">
        <v>2</v>
      </c>
      <c r="U1122" s="3" t="s">
        <v>7</v>
      </c>
      <c r="V1122" s="2" t="s">
        <v>10</v>
      </c>
      <c r="W1122" s="2" t="s">
        <v>8</v>
      </c>
      <c r="X1122" s="2" t="s">
        <v>2</v>
      </c>
      <c r="Y1122" s="3" t="s">
        <v>7</v>
      </c>
      <c r="Z1122" s="2" t="s">
        <v>10</v>
      </c>
      <c r="AA1122" s="2" t="s">
        <v>8</v>
      </c>
      <c r="AB1122" s="2" t="s">
        <v>2</v>
      </c>
      <c r="AC1122" s="134"/>
    </row>
    <row r="1123" spans="1:30" x14ac:dyDescent="0.15">
      <c r="A1123" s="106" t="s">
        <v>6</v>
      </c>
      <c r="B1123" s="41">
        <f>B1117</f>
        <v>19</v>
      </c>
      <c r="C1123" s="41">
        <f t="shared" ref="C1123:E1123" si="1755">C1117</f>
        <v>28</v>
      </c>
      <c r="D1123" s="41">
        <f t="shared" si="1755"/>
        <v>38</v>
      </c>
      <c r="E1123" s="42">
        <f t="shared" si="1755"/>
        <v>85</v>
      </c>
      <c r="F1123" s="41">
        <f>F1117</f>
        <v>22</v>
      </c>
      <c r="G1123" s="41">
        <f t="shared" ref="G1123:I1123" si="1756">G1117</f>
        <v>29</v>
      </c>
      <c r="H1123" s="41">
        <f t="shared" si="1756"/>
        <v>32</v>
      </c>
      <c r="I1123" s="42">
        <f t="shared" si="1756"/>
        <v>83</v>
      </c>
      <c r="J1123" s="41">
        <f>J1117</f>
        <v>27</v>
      </c>
      <c r="K1123" s="41">
        <f t="shared" ref="K1123:M1123" si="1757">K1117</f>
        <v>21</v>
      </c>
      <c r="L1123" s="41">
        <f t="shared" si="1757"/>
        <v>27</v>
      </c>
      <c r="M1123" s="42">
        <f t="shared" si="1757"/>
        <v>75</v>
      </c>
      <c r="N1123" s="143">
        <f>E1123+I1123+M1123</f>
        <v>243</v>
      </c>
      <c r="P1123" s="36" t="s">
        <v>6</v>
      </c>
      <c r="Q1123" s="41">
        <f>Q1117</f>
        <v>546</v>
      </c>
      <c r="R1123" s="41">
        <f t="shared" ref="R1123:AC1123" si="1758">R1117</f>
        <v>742</v>
      </c>
      <c r="S1123" s="41">
        <f t="shared" si="1758"/>
        <v>649</v>
      </c>
      <c r="T1123" s="42">
        <f t="shared" si="1758"/>
        <v>1937</v>
      </c>
      <c r="U1123" s="41">
        <f t="shared" si="1758"/>
        <v>511</v>
      </c>
      <c r="V1123" s="41">
        <f t="shared" si="1758"/>
        <v>862</v>
      </c>
      <c r="W1123" s="41">
        <f t="shared" si="1758"/>
        <v>675</v>
      </c>
      <c r="X1123" s="42">
        <f t="shared" si="1758"/>
        <v>2048</v>
      </c>
      <c r="Y1123" s="41">
        <f t="shared" si="1758"/>
        <v>474</v>
      </c>
      <c r="Z1123" s="41">
        <f t="shared" si="1758"/>
        <v>758</v>
      </c>
      <c r="AA1123" s="41">
        <f t="shared" si="1758"/>
        <v>570</v>
      </c>
      <c r="AB1123" s="42">
        <f t="shared" si="1758"/>
        <v>1802</v>
      </c>
      <c r="AC1123" s="90">
        <f t="shared" si="1758"/>
        <v>5787</v>
      </c>
    </row>
    <row r="1124" spans="1:30" x14ac:dyDescent="0.15">
      <c r="A1124" s="102" t="s">
        <v>492</v>
      </c>
      <c r="B1124" s="25"/>
      <c r="C1124" s="26">
        <v>1</v>
      </c>
      <c r="D1124" s="26"/>
      <c r="E1124" s="5">
        <f t="shared" ref="E1124:E1159" si="1759">SUM(B1124:D1124)</f>
        <v>1</v>
      </c>
      <c r="F1124" s="25"/>
      <c r="G1124" s="26">
        <v>1</v>
      </c>
      <c r="H1124" s="26"/>
      <c r="I1124" s="5">
        <f t="shared" ref="I1124:I1159" si="1760">SUM(F1124:H1124)</f>
        <v>1</v>
      </c>
      <c r="J1124" s="25"/>
      <c r="K1124" s="26">
        <v>1</v>
      </c>
      <c r="L1124" s="26"/>
      <c r="M1124" s="38">
        <f t="shared" ref="M1124:M1159" si="1761">SUM(J1124:L1124)</f>
        <v>1</v>
      </c>
      <c r="N1124" s="138">
        <f t="shared" ref="N1124:N1160" si="1762">E1124+I1124+M1124</f>
        <v>3</v>
      </c>
      <c r="O1124" s="70">
        <v>45863</v>
      </c>
      <c r="P1124" s="6" t="s">
        <v>3</v>
      </c>
      <c r="Q1124" s="14"/>
      <c r="R1124" s="11"/>
      <c r="S1124" s="11"/>
      <c r="T1124" s="5">
        <f t="shared" ref="T1124:T1147" si="1763">SUM(Q1124:S1124)</f>
        <v>0</v>
      </c>
      <c r="U1124" s="14"/>
      <c r="V1124" s="11"/>
      <c r="W1124" s="11"/>
      <c r="X1124" s="5">
        <f t="shared" ref="X1124:X1147" si="1764">SUM(U1124:W1124)</f>
        <v>0</v>
      </c>
      <c r="Y1124" s="25"/>
      <c r="Z1124" s="26"/>
      <c r="AA1124" s="26"/>
      <c r="AB1124" s="5">
        <f t="shared" ref="AB1124:AB1147" si="1765">SUM(Y1124:AA1124)</f>
        <v>0</v>
      </c>
      <c r="AC1124" s="86">
        <f t="shared" ref="AC1124:AC1147" si="1766">T1124+X1124+AB1124</f>
        <v>0</v>
      </c>
    </row>
    <row r="1125" spans="1:30" x14ac:dyDescent="0.15">
      <c r="A1125" s="102" t="s">
        <v>57</v>
      </c>
      <c r="B1125" s="14">
        <v>1</v>
      </c>
      <c r="C1125" s="11"/>
      <c r="D1125" s="11"/>
      <c r="E1125" s="5">
        <f t="shared" si="1759"/>
        <v>1</v>
      </c>
      <c r="F1125" s="34">
        <v>1</v>
      </c>
      <c r="G1125" s="11"/>
      <c r="H1125" s="11"/>
      <c r="I1125" s="5">
        <f t="shared" si="1760"/>
        <v>1</v>
      </c>
      <c r="J1125" s="34">
        <v>1</v>
      </c>
      <c r="K1125" s="11"/>
      <c r="L1125" s="11"/>
      <c r="M1125" s="38">
        <f t="shared" si="1761"/>
        <v>1</v>
      </c>
      <c r="N1125" s="138">
        <f t="shared" si="1762"/>
        <v>3</v>
      </c>
      <c r="O1125" s="70">
        <v>45861</v>
      </c>
      <c r="P1125" s="6" t="s">
        <v>3</v>
      </c>
      <c r="Q1125" s="14"/>
      <c r="R1125" s="11"/>
      <c r="S1125" s="11"/>
      <c r="T1125" s="5">
        <f t="shared" si="1763"/>
        <v>0</v>
      </c>
      <c r="U1125" s="14"/>
      <c r="V1125" s="11"/>
      <c r="W1125" s="11"/>
      <c r="X1125" s="5">
        <f t="shared" si="1764"/>
        <v>0</v>
      </c>
      <c r="Y1125" s="25"/>
      <c r="Z1125" s="26"/>
      <c r="AA1125" s="26"/>
      <c r="AB1125" s="5">
        <f t="shared" si="1765"/>
        <v>0</v>
      </c>
      <c r="AC1125" s="86">
        <f t="shared" si="1766"/>
        <v>0</v>
      </c>
    </row>
    <row r="1126" spans="1:30" x14ac:dyDescent="0.15">
      <c r="A1126" s="102" t="s">
        <v>3</v>
      </c>
      <c r="B1126" s="14">
        <v>20</v>
      </c>
      <c r="C1126" s="11">
        <v>20</v>
      </c>
      <c r="D1126" s="11">
        <v>10</v>
      </c>
      <c r="E1126" s="5">
        <f t="shared" si="1759"/>
        <v>50</v>
      </c>
      <c r="F1126" s="34">
        <v>20</v>
      </c>
      <c r="G1126" s="11">
        <v>10</v>
      </c>
      <c r="H1126" s="11">
        <v>10</v>
      </c>
      <c r="I1126" s="5">
        <f t="shared" si="1760"/>
        <v>40</v>
      </c>
      <c r="J1126" s="34">
        <v>10</v>
      </c>
      <c r="K1126" s="11">
        <v>20</v>
      </c>
      <c r="L1126" s="11">
        <v>10</v>
      </c>
      <c r="M1126" s="38">
        <f t="shared" si="1761"/>
        <v>40</v>
      </c>
      <c r="N1126" s="138">
        <f t="shared" si="1762"/>
        <v>130</v>
      </c>
      <c r="O1126" s="24">
        <v>45871</v>
      </c>
      <c r="P1126" s="6" t="s">
        <v>3</v>
      </c>
      <c r="Q1126" s="14"/>
      <c r="R1126" s="11"/>
      <c r="S1126" s="11"/>
      <c r="T1126" s="5">
        <f t="shared" ref="T1126" si="1767">SUM(Q1126:S1126)</f>
        <v>0</v>
      </c>
      <c r="U1126" s="14"/>
      <c r="V1126" s="11"/>
      <c r="W1126" s="11"/>
      <c r="X1126" s="5">
        <f t="shared" ref="X1126" si="1768">SUM(U1126:W1126)</f>
        <v>0</v>
      </c>
      <c r="Y1126" s="25"/>
      <c r="Z1126" s="26"/>
      <c r="AA1126" s="26"/>
      <c r="AB1126" s="5">
        <f t="shared" ref="AB1126" si="1769">SUM(Y1126:AA1126)</f>
        <v>0</v>
      </c>
      <c r="AC1126" s="86">
        <f t="shared" ref="AC1126" si="1770">T1126+X1126+AB1126</f>
        <v>0</v>
      </c>
    </row>
    <row r="1127" spans="1:30" x14ac:dyDescent="0.15">
      <c r="A1127" s="102" t="s">
        <v>57</v>
      </c>
      <c r="B1127" s="14"/>
      <c r="C1127" s="11">
        <v>1</v>
      </c>
      <c r="D1127" s="11"/>
      <c r="E1127" s="5">
        <f t="shared" si="1759"/>
        <v>1</v>
      </c>
      <c r="F1127" s="34"/>
      <c r="G1127" s="11">
        <v>1</v>
      </c>
      <c r="H1127" s="11"/>
      <c r="I1127" s="5">
        <f t="shared" si="1760"/>
        <v>1</v>
      </c>
      <c r="J1127" s="34"/>
      <c r="K1127" s="11">
        <v>1</v>
      </c>
      <c r="L1127" s="11"/>
      <c r="M1127" s="38">
        <f t="shared" si="1761"/>
        <v>1</v>
      </c>
      <c r="N1127" s="138">
        <f t="shared" si="1762"/>
        <v>3</v>
      </c>
      <c r="O1127" s="24">
        <v>45874</v>
      </c>
      <c r="P1127" s="6" t="s">
        <v>3</v>
      </c>
      <c r="Q1127" s="14"/>
      <c r="R1127" s="11"/>
      <c r="S1127" s="11"/>
      <c r="T1127" s="5">
        <f t="shared" si="1763"/>
        <v>0</v>
      </c>
      <c r="U1127" s="14"/>
      <c r="V1127" s="11"/>
      <c r="W1127" s="11"/>
      <c r="X1127" s="5">
        <f t="shared" si="1764"/>
        <v>0</v>
      </c>
      <c r="Y1127" s="25"/>
      <c r="Z1127" s="26"/>
      <c r="AA1127" s="26"/>
      <c r="AB1127" s="5">
        <f t="shared" si="1765"/>
        <v>0</v>
      </c>
      <c r="AC1127" s="86">
        <f t="shared" si="1766"/>
        <v>0</v>
      </c>
    </row>
    <row r="1128" spans="1:30" x14ac:dyDescent="0.15">
      <c r="A1128" s="102" t="s">
        <v>372</v>
      </c>
      <c r="B1128" s="14">
        <v>0</v>
      </c>
      <c r="C1128" s="11">
        <v>0</v>
      </c>
      <c r="D1128" s="11">
        <v>0</v>
      </c>
      <c r="E1128" s="5">
        <f t="shared" si="1759"/>
        <v>0</v>
      </c>
      <c r="F1128" s="34">
        <v>0</v>
      </c>
      <c r="G1128" s="11">
        <v>0</v>
      </c>
      <c r="H1128" s="11">
        <v>0</v>
      </c>
      <c r="I1128" s="5">
        <f t="shared" si="1760"/>
        <v>0</v>
      </c>
      <c r="J1128" s="34">
        <v>0</v>
      </c>
      <c r="K1128" s="11">
        <v>0</v>
      </c>
      <c r="L1128" s="11">
        <v>0</v>
      </c>
      <c r="M1128" s="38">
        <f t="shared" si="1761"/>
        <v>0</v>
      </c>
      <c r="N1128" s="138">
        <f t="shared" si="1762"/>
        <v>0</v>
      </c>
      <c r="O1128" s="24">
        <v>45888</v>
      </c>
      <c r="P1128" s="6" t="s">
        <v>3</v>
      </c>
      <c r="Q1128" s="14"/>
      <c r="R1128" s="11"/>
      <c r="S1128" s="11"/>
      <c r="T1128" s="5">
        <f t="shared" si="1763"/>
        <v>0</v>
      </c>
      <c r="U1128" s="14"/>
      <c r="V1128" s="11"/>
      <c r="W1128" s="11"/>
      <c r="X1128" s="5">
        <f t="shared" si="1764"/>
        <v>0</v>
      </c>
      <c r="Y1128" s="25"/>
      <c r="Z1128" s="26"/>
      <c r="AA1128" s="26"/>
      <c r="AB1128" s="5">
        <f t="shared" si="1765"/>
        <v>0</v>
      </c>
      <c r="AC1128" s="86">
        <f t="shared" si="1766"/>
        <v>0</v>
      </c>
    </row>
    <row r="1129" spans="1:30" x14ac:dyDescent="0.15">
      <c r="A1129" s="102" t="s">
        <v>319</v>
      </c>
      <c r="B1129" s="25"/>
      <c r="C1129" s="26">
        <v>1</v>
      </c>
      <c r="D1129" s="26"/>
      <c r="E1129" s="8">
        <f t="shared" si="1759"/>
        <v>1</v>
      </c>
      <c r="F1129" s="25"/>
      <c r="G1129" s="26">
        <v>1</v>
      </c>
      <c r="H1129" s="26"/>
      <c r="I1129" s="8">
        <f t="shared" si="1760"/>
        <v>1</v>
      </c>
      <c r="J1129" s="25"/>
      <c r="K1129" s="26">
        <v>1</v>
      </c>
      <c r="L1129" s="26"/>
      <c r="M1129" s="39">
        <f t="shared" si="1761"/>
        <v>1</v>
      </c>
      <c r="N1129" s="138">
        <f t="shared" si="1762"/>
        <v>3</v>
      </c>
      <c r="O1129" s="24">
        <v>45887</v>
      </c>
      <c r="P1129" s="6" t="s">
        <v>3</v>
      </c>
      <c r="Q1129" s="14"/>
      <c r="R1129" s="11"/>
      <c r="S1129" s="11"/>
      <c r="T1129" s="5">
        <f t="shared" si="1763"/>
        <v>0</v>
      </c>
      <c r="U1129" s="14"/>
      <c r="V1129" s="11"/>
      <c r="W1129" s="11"/>
      <c r="X1129" s="5">
        <f t="shared" si="1764"/>
        <v>0</v>
      </c>
      <c r="Y1129" s="25"/>
      <c r="Z1129" s="26"/>
      <c r="AA1129" s="26"/>
      <c r="AB1129" s="8">
        <f t="shared" si="1765"/>
        <v>0</v>
      </c>
      <c r="AC1129" s="86">
        <f t="shared" si="1766"/>
        <v>0</v>
      </c>
    </row>
    <row r="1130" spans="1:30" x14ac:dyDescent="0.15">
      <c r="A1130" s="102" t="s">
        <v>3</v>
      </c>
      <c r="B1130" s="27"/>
      <c r="C1130" s="26"/>
      <c r="D1130" s="26"/>
      <c r="E1130" s="5">
        <f t="shared" si="1759"/>
        <v>0</v>
      </c>
      <c r="F1130" s="25"/>
      <c r="G1130" s="26"/>
      <c r="H1130" s="26"/>
      <c r="I1130" s="5">
        <f t="shared" si="1760"/>
        <v>0</v>
      </c>
      <c r="J1130" s="25"/>
      <c r="K1130" s="26"/>
      <c r="L1130" s="26"/>
      <c r="M1130" s="38">
        <f t="shared" si="1761"/>
        <v>0</v>
      </c>
      <c r="N1130" s="138">
        <f t="shared" si="1762"/>
        <v>0</v>
      </c>
      <c r="O1130" s="58"/>
      <c r="P1130" s="6" t="s">
        <v>3</v>
      </c>
      <c r="Q1130" s="27"/>
      <c r="R1130" s="26"/>
      <c r="S1130" s="26"/>
      <c r="T1130" s="5">
        <f t="shared" si="1763"/>
        <v>0</v>
      </c>
      <c r="U1130" s="27"/>
      <c r="V1130" s="26"/>
      <c r="W1130" s="26"/>
      <c r="X1130" s="5">
        <f t="shared" si="1764"/>
        <v>0</v>
      </c>
      <c r="Y1130" s="25"/>
      <c r="Z1130" s="26"/>
      <c r="AA1130" s="26"/>
      <c r="AB1130" s="5">
        <f t="shared" si="1765"/>
        <v>0</v>
      </c>
      <c r="AC1130" s="86">
        <f t="shared" si="1766"/>
        <v>0</v>
      </c>
    </row>
    <row r="1131" spans="1:30" x14ac:dyDescent="0.15">
      <c r="A1131" s="102" t="s">
        <v>3</v>
      </c>
      <c r="B1131" s="27"/>
      <c r="C1131" s="26"/>
      <c r="D1131" s="26"/>
      <c r="E1131" s="5">
        <f t="shared" si="1759"/>
        <v>0</v>
      </c>
      <c r="F1131" s="25"/>
      <c r="G1131" s="26"/>
      <c r="H1131" s="26"/>
      <c r="I1131" s="5">
        <f t="shared" si="1760"/>
        <v>0</v>
      </c>
      <c r="J1131" s="25"/>
      <c r="K1131" s="26"/>
      <c r="L1131" s="26"/>
      <c r="M1131" s="38">
        <f t="shared" si="1761"/>
        <v>0</v>
      </c>
      <c r="N1131" s="138">
        <f t="shared" si="1762"/>
        <v>0</v>
      </c>
      <c r="O1131" s="58"/>
      <c r="P1131" s="6" t="s">
        <v>3</v>
      </c>
      <c r="Q1131" s="14"/>
      <c r="R1131" s="11"/>
      <c r="S1131" s="11"/>
      <c r="T1131" s="5">
        <f t="shared" si="1763"/>
        <v>0</v>
      </c>
      <c r="U1131" s="14"/>
      <c r="V1131" s="11"/>
      <c r="W1131" s="11"/>
      <c r="X1131" s="5">
        <f t="shared" si="1764"/>
        <v>0</v>
      </c>
      <c r="Y1131" s="25"/>
      <c r="Z1131" s="26"/>
      <c r="AA1131" s="26"/>
      <c r="AB1131" s="8">
        <f t="shared" si="1765"/>
        <v>0</v>
      </c>
      <c r="AC1131" s="86">
        <f t="shared" si="1766"/>
        <v>0</v>
      </c>
    </row>
    <row r="1132" spans="1:30" x14ac:dyDescent="0.15">
      <c r="A1132" s="102" t="s">
        <v>3</v>
      </c>
      <c r="B1132" s="27"/>
      <c r="C1132" s="26"/>
      <c r="D1132" s="26"/>
      <c r="E1132" s="5">
        <f t="shared" si="1759"/>
        <v>0</v>
      </c>
      <c r="F1132" s="25"/>
      <c r="G1132" s="26"/>
      <c r="H1132" s="26"/>
      <c r="I1132" s="5">
        <f t="shared" si="1760"/>
        <v>0</v>
      </c>
      <c r="J1132" s="25"/>
      <c r="K1132" s="26"/>
      <c r="L1132" s="26"/>
      <c r="M1132" s="38">
        <f t="shared" si="1761"/>
        <v>0</v>
      </c>
      <c r="N1132" s="138">
        <f t="shared" si="1762"/>
        <v>0</v>
      </c>
      <c r="P1132" s="6" t="s">
        <v>3</v>
      </c>
      <c r="Q1132" s="27"/>
      <c r="R1132" s="26"/>
      <c r="S1132" s="26"/>
      <c r="T1132" s="5">
        <f t="shared" si="1763"/>
        <v>0</v>
      </c>
      <c r="U1132" s="27"/>
      <c r="V1132" s="26"/>
      <c r="W1132" s="26"/>
      <c r="X1132" s="5">
        <f t="shared" si="1764"/>
        <v>0</v>
      </c>
      <c r="Y1132" s="25"/>
      <c r="Z1132" s="26"/>
      <c r="AA1132" s="26"/>
      <c r="AB1132" s="5">
        <f t="shared" si="1765"/>
        <v>0</v>
      </c>
      <c r="AC1132" s="86">
        <f t="shared" si="1766"/>
        <v>0</v>
      </c>
    </row>
    <row r="1133" spans="1:30" ht="14.25" thickBot="1" x14ac:dyDescent="0.2">
      <c r="A1133" s="102" t="s">
        <v>372</v>
      </c>
      <c r="B1133" s="27"/>
      <c r="C1133" s="26">
        <v>-2</v>
      </c>
      <c r="D1133" s="26">
        <v>-8</v>
      </c>
      <c r="E1133" s="5">
        <f t="shared" ref="E1133" si="1771">SUM(B1133:D1133)</f>
        <v>-10</v>
      </c>
      <c r="F1133" s="25"/>
      <c r="G1133" s="26">
        <v>-1</v>
      </c>
      <c r="H1133" s="26">
        <v>2</v>
      </c>
      <c r="I1133" s="5">
        <f t="shared" si="1760"/>
        <v>1</v>
      </c>
      <c r="J1133" s="25">
        <v>-12</v>
      </c>
      <c r="K1133" s="26">
        <v>7</v>
      </c>
      <c r="L1133" s="26">
        <v>12</v>
      </c>
      <c r="M1133" s="38">
        <f t="shared" ref="M1133" si="1772">SUM(J1133:L1133)</f>
        <v>7</v>
      </c>
      <c r="N1133" s="138">
        <f t="shared" ref="N1133" si="1773">E1133+I1133+M1133</f>
        <v>-2</v>
      </c>
      <c r="P1133" s="7" t="s">
        <v>3</v>
      </c>
      <c r="Q1133" s="28"/>
      <c r="R1133" s="29"/>
      <c r="S1133" s="29"/>
      <c r="T1133" s="15">
        <f t="shared" si="1763"/>
        <v>0</v>
      </c>
      <c r="U1133" s="28"/>
      <c r="V1133" s="29"/>
      <c r="W1133" s="29"/>
      <c r="X1133" s="15">
        <f t="shared" si="1764"/>
        <v>0</v>
      </c>
      <c r="Y1133" s="35"/>
      <c r="Z1133" s="29"/>
      <c r="AA1133" s="32"/>
      <c r="AB1133" s="15">
        <f t="shared" si="1765"/>
        <v>0</v>
      </c>
      <c r="AC1133" s="87">
        <f t="shared" si="1766"/>
        <v>0</v>
      </c>
    </row>
    <row r="1134" spans="1:30" ht="14.25" thickBot="1" x14ac:dyDescent="0.2">
      <c r="A1134" s="103" t="s">
        <v>4</v>
      </c>
      <c r="B1134" s="17">
        <f>SUM(B1123:B1133)</f>
        <v>40</v>
      </c>
      <c r="C1134" s="17">
        <f>SUM(C1123:C1133)</f>
        <v>49</v>
      </c>
      <c r="D1134" s="17">
        <f>SUM(D1123:D1133)</f>
        <v>40</v>
      </c>
      <c r="E1134" s="18">
        <f t="shared" si="1759"/>
        <v>129</v>
      </c>
      <c r="F1134" s="17">
        <f>SUM(F1123:F1133)</f>
        <v>43</v>
      </c>
      <c r="G1134" s="17">
        <f>SUM(G1123:G1133)</f>
        <v>41</v>
      </c>
      <c r="H1134" s="17">
        <f>SUM(H1123:H1133)</f>
        <v>44</v>
      </c>
      <c r="I1134" s="18">
        <f t="shared" si="1760"/>
        <v>128</v>
      </c>
      <c r="J1134" s="17">
        <f>SUM(J1123:J1133)</f>
        <v>26</v>
      </c>
      <c r="K1134" s="17">
        <f>SUM(K1123:K1133)</f>
        <v>51</v>
      </c>
      <c r="L1134" s="17">
        <f>SUM(L1123:L1133)</f>
        <v>49</v>
      </c>
      <c r="M1134" s="20">
        <f t="shared" si="1761"/>
        <v>126</v>
      </c>
      <c r="N1134" s="140">
        <f t="shared" si="1762"/>
        <v>383</v>
      </c>
      <c r="P1134" s="16" t="s">
        <v>4</v>
      </c>
      <c r="Q1134" s="17">
        <f>SUM(Q1123:Q1133)</f>
        <v>546</v>
      </c>
      <c r="R1134" s="17">
        <f t="shared" ref="R1134" si="1774">SUM(R1123:R1133)</f>
        <v>742</v>
      </c>
      <c r="S1134" s="17">
        <f t="shared" ref="S1134" si="1775">SUM(S1123:S1133)</f>
        <v>649</v>
      </c>
      <c r="T1134" s="18">
        <f t="shared" ref="T1134" si="1776">SUM(T1123:T1133)</f>
        <v>1937</v>
      </c>
      <c r="U1134" s="17">
        <f t="shared" ref="U1134" si="1777">SUM(U1123:U1133)</f>
        <v>511</v>
      </c>
      <c r="V1134" s="17">
        <f t="shared" ref="V1134" si="1778">SUM(V1123:V1133)</f>
        <v>862</v>
      </c>
      <c r="W1134" s="17">
        <f t="shared" ref="W1134" si="1779">SUM(W1123:W1133)</f>
        <v>675</v>
      </c>
      <c r="X1134" s="18">
        <f t="shared" ref="X1134" si="1780">SUM(X1123:X1133)</f>
        <v>2048</v>
      </c>
      <c r="Y1134" s="17">
        <f t="shared" ref="Y1134" si="1781">SUM(Y1123:Y1133)</f>
        <v>474</v>
      </c>
      <c r="Z1134" s="17">
        <f t="shared" ref="Z1134" si="1782">SUM(Z1123:Z1133)</f>
        <v>758</v>
      </c>
      <c r="AA1134" s="17">
        <f t="shared" ref="AA1134" si="1783">SUM(AA1123:AA1133)</f>
        <v>570</v>
      </c>
      <c r="AB1134" s="18">
        <f t="shared" ref="AB1134" si="1784">SUM(AB1123:AB1133)</f>
        <v>1802</v>
      </c>
      <c r="AC1134" s="88">
        <f t="shared" ref="AC1134" si="1785">SUM(AC1123:AC1133)</f>
        <v>5787</v>
      </c>
    </row>
    <row r="1135" spans="1:30" x14ac:dyDescent="0.15">
      <c r="A1135" s="33" t="s">
        <v>1013</v>
      </c>
      <c r="B1135" s="9"/>
      <c r="C1135" s="10"/>
      <c r="D1135" s="31">
        <v>1</v>
      </c>
      <c r="E1135" s="5">
        <f t="shared" si="1759"/>
        <v>1</v>
      </c>
      <c r="F1135" s="9"/>
      <c r="G1135" s="10"/>
      <c r="H1135" s="31">
        <v>1</v>
      </c>
      <c r="I1135" s="5">
        <f t="shared" si="1760"/>
        <v>1</v>
      </c>
      <c r="J1135" s="9"/>
      <c r="K1135" s="10"/>
      <c r="L1135" s="31">
        <v>1</v>
      </c>
      <c r="M1135" s="38">
        <f t="shared" si="1761"/>
        <v>1</v>
      </c>
      <c r="N1135" s="141">
        <f t="shared" si="1762"/>
        <v>3</v>
      </c>
      <c r="O1135" s="24">
        <v>45860</v>
      </c>
      <c r="P1135" s="4" t="s">
        <v>1010</v>
      </c>
      <c r="Q1135" s="9"/>
      <c r="R1135" s="10">
        <v>3</v>
      </c>
      <c r="S1135" s="31"/>
      <c r="T1135" s="5">
        <f t="shared" si="1763"/>
        <v>3</v>
      </c>
      <c r="U1135" s="9"/>
      <c r="V1135" s="10">
        <v>3</v>
      </c>
      <c r="W1135" s="31"/>
      <c r="X1135" s="5">
        <f t="shared" si="1764"/>
        <v>3</v>
      </c>
      <c r="Y1135" s="9"/>
      <c r="Z1135" s="10">
        <v>3</v>
      </c>
      <c r="AA1135" s="31"/>
      <c r="AB1135" s="5">
        <f t="shared" si="1765"/>
        <v>3</v>
      </c>
      <c r="AC1135" s="91">
        <f t="shared" si="1766"/>
        <v>9</v>
      </c>
      <c r="AD1135" s="109">
        <v>45866</v>
      </c>
    </row>
    <row r="1136" spans="1:30" x14ac:dyDescent="0.15">
      <c r="A1136" s="4" t="s">
        <v>1018</v>
      </c>
      <c r="B1136" s="9">
        <v>1</v>
      </c>
      <c r="C1136" s="10">
        <v>3</v>
      </c>
      <c r="D1136" s="10">
        <v>3</v>
      </c>
      <c r="E1136" s="5">
        <f t="shared" si="1759"/>
        <v>7</v>
      </c>
      <c r="F1136" s="9">
        <v>1</v>
      </c>
      <c r="G1136" s="10">
        <v>3</v>
      </c>
      <c r="H1136" s="10">
        <v>3</v>
      </c>
      <c r="I1136" s="5">
        <f t="shared" si="1760"/>
        <v>7</v>
      </c>
      <c r="J1136" s="9">
        <v>1</v>
      </c>
      <c r="K1136" s="10">
        <v>3</v>
      </c>
      <c r="L1136" s="10">
        <v>3</v>
      </c>
      <c r="M1136" s="38">
        <f t="shared" si="1761"/>
        <v>7</v>
      </c>
      <c r="N1136" s="138">
        <f t="shared" si="1762"/>
        <v>21</v>
      </c>
      <c r="O1136" s="24">
        <v>45868</v>
      </c>
      <c r="P1136" s="4" t="s">
        <v>1015</v>
      </c>
      <c r="Q1136" s="9"/>
      <c r="R1136" s="10">
        <v>5</v>
      </c>
      <c r="S1136" s="10">
        <v>5</v>
      </c>
      <c r="T1136" s="5">
        <f t="shared" si="1763"/>
        <v>10</v>
      </c>
      <c r="U1136" s="9"/>
      <c r="V1136" s="10">
        <v>5</v>
      </c>
      <c r="W1136" s="10">
        <v>5</v>
      </c>
      <c r="X1136" s="5">
        <f t="shared" si="1764"/>
        <v>10</v>
      </c>
      <c r="Y1136" s="9"/>
      <c r="Z1136" s="10">
        <v>5</v>
      </c>
      <c r="AA1136" s="10">
        <v>5</v>
      </c>
      <c r="AB1136" s="5">
        <f t="shared" si="1765"/>
        <v>10</v>
      </c>
      <c r="AC1136" s="86">
        <f t="shared" si="1766"/>
        <v>30</v>
      </c>
      <c r="AD1136" s="109">
        <v>45863</v>
      </c>
    </row>
    <row r="1137" spans="1:31" x14ac:dyDescent="0.15">
      <c r="A1137" s="4" t="s">
        <v>1019</v>
      </c>
      <c r="B1137" s="9"/>
      <c r="C1137" s="10">
        <v>3</v>
      </c>
      <c r="D1137" s="10"/>
      <c r="E1137" s="5">
        <f t="shared" si="1759"/>
        <v>3</v>
      </c>
      <c r="F1137" s="9"/>
      <c r="G1137" s="10">
        <v>3</v>
      </c>
      <c r="H1137" s="10"/>
      <c r="I1137" s="5">
        <f t="shared" si="1760"/>
        <v>3</v>
      </c>
      <c r="J1137" s="9"/>
      <c r="K1137" s="10">
        <v>3</v>
      </c>
      <c r="L1137" s="10"/>
      <c r="M1137" s="38">
        <f t="shared" si="1761"/>
        <v>3</v>
      </c>
      <c r="N1137" s="138">
        <f t="shared" si="1762"/>
        <v>9</v>
      </c>
      <c r="O1137" s="24">
        <v>45870</v>
      </c>
      <c r="P1137" s="11" t="s">
        <v>1017</v>
      </c>
      <c r="Q1137" s="9">
        <v>40</v>
      </c>
      <c r="R1137" s="10">
        <v>60</v>
      </c>
      <c r="S1137" s="10">
        <v>40</v>
      </c>
      <c r="T1137" s="5">
        <f t="shared" si="1763"/>
        <v>140</v>
      </c>
      <c r="U1137" s="9">
        <v>40</v>
      </c>
      <c r="V1137" s="10">
        <v>60</v>
      </c>
      <c r="W1137" s="10">
        <v>40</v>
      </c>
      <c r="X1137" s="5">
        <f t="shared" si="1764"/>
        <v>140</v>
      </c>
      <c r="Y1137" s="9">
        <v>40</v>
      </c>
      <c r="Z1137" s="10">
        <v>60</v>
      </c>
      <c r="AA1137" s="10">
        <v>40</v>
      </c>
      <c r="AB1137" s="5">
        <f t="shared" si="1765"/>
        <v>140</v>
      </c>
      <c r="AC1137" s="86">
        <f t="shared" si="1766"/>
        <v>420</v>
      </c>
      <c r="AD1137" s="109">
        <v>45874</v>
      </c>
      <c r="AE1137" s="58"/>
    </row>
    <row r="1138" spans="1:31" x14ac:dyDescent="0.15">
      <c r="A1138" s="33" t="s">
        <v>36</v>
      </c>
      <c r="B1138" s="9">
        <v>1</v>
      </c>
      <c r="C1138" s="10">
        <v>4</v>
      </c>
      <c r="D1138" s="10">
        <v>1</v>
      </c>
      <c r="E1138" s="5">
        <f t="shared" si="1759"/>
        <v>6</v>
      </c>
      <c r="F1138" s="9">
        <v>2</v>
      </c>
      <c r="G1138" s="10">
        <v>1</v>
      </c>
      <c r="H1138" s="10">
        <v>3</v>
      </c>
      <c r="I1138" s="5">
        <f t="shared" si="1760"/>
        <v>6</v>
      </c>
      <c r="J1138" s="9">
        <v>1</v>
      </c>
      <c r="K1138" s="10">
        <v>2</v>
      </c>
      <c r="L1138" s="10">
        <v>3</v>
      </c>
      <c r="M1138" s="38">
        <f t="shared" si="1761"/>
        <v>6</v>
      </c>
      <c r="N1138" s="138">
        <f t="shared" si="1762"/>
        <v>18</v>
      </c>
      <c r="O1138" s="24">
        <v>45866</v>
      </c>
      <c r="P1138" s="4" t="s">
        <v>1021</v>
      </c>
      <c r="Q1138" s="9"/>
      <c r="R1138" s="10">
        <v>3</v>
      </c>
      <c r="S1138" s="10"/>
      <c r="T1138" s="5">
        <f t="shared" si="1763"/>
        <v>3</v>
      </c>
      <c r="U1138" s="9"/>
      <c r="V1138" s="10">
        <v>3</v>
      </c>
      <c r="W1138" s="10"/>
      <c r="X1138" s="5">
        <f t="shared" si="1764"/>
        <v>3</v>
      </c>
      <c r="Y1138" s="9"/>
      <c r="Z1138" s="10">
        <v>3</v>
      </c>
      <c r="AA1138" s="10"/>
      <c r="AB1138" s="5">
        <f t="shared" si="1765"/>
        <v>3</v>
      </c>
      <c r="AC1138" s="86">
        <f t="shared" si="1766"/>
        <v>9</v>
      </c>
      <c r="AD1138" s="109">
        <v>45873</v>
      </c>
      <c r="AE1138" s="58"/>
    </row>
    <row r="1139" spans="1:31" x14ac:dyDescent="0.15">
      <c r="A1139" s="4" t="s">
        <v>1020</v>
      </c>
      <c r="B1139" s="9">
        <v>2</v>
      </c>
      <c r="C1139" s="10"/>
      <c r="D1139" s="10">
        <v>1</v>
      </c>
      <c r="E1139" s="5">
        <f t="shared" si="1759"/>
        <v>3</v>
      </c>
      <c r="F1139" s="9">
        <v>2</v>
      </c>
      <c r="G1139" s="10"/>
      <c r="H1139" s="10">
        <v>1</v>
      </c>
      <c r="I1139" s="5">
        <f t="shared" si="1760"/>
        <v>3</v>
      </c>
      <c r="J1139" s="9">
        <v>2</v>
      </c>
      <c r="K1139" s="10"/>
      <c r="L1139" s="10">
        <v>1</v>
      </c>
      <c r="M1139" s="38">
        <f t="shared" si="1761"/>
        <v>3</v>
      </c>
      <c r="N1139" s="138">
        <f t="shared" si="1762"/>
        <v>9</v>
      </c>
      <c r="O1139" s="24">
        <v>45869</v>
      </c>
      <c r="P1139" s="11" t="s">
        <v>1022</v>
      </c>
      <c r="Q1139" s="9"/>
      <c r="R1139" s="10">
        <v>1</v>
      </c>
      <c r="S1139" s="10">
        <v>2</v>
      </c>
      <c r="T1139" s="5">
        <f t="shared" si="1763"/>
        <v>3</v>
      </c>
      <c r="U1139" s="9"/>
      <c r="V1139" s="10">
        <v>1</v>
      </c>
      <c r="W1139" s="10">
        <v>2</v>
      </c>
      <c r="X1139" s="5">
        <f t="shared" si="1764"/>
        <v>3</v>
      </c>
      <c r="Y1139" s="9"/>
      <c r="Z1139" s="10">
        <v>1</v>
      </c>
      <c r="AA1139" s="10">
        <v>2</v>
      </c>
      <c r="AB1139" s="5">
        <f t="shared" si="1765"/>
        <v>3</v>
      </c>
      <c r="AC1139" s="86">
        <f t="shared" si="1766"/>
        <v>9</v>
      </c>
      <c r="AD1139" s="109">
        <v>45874</v>
      </c>
    </row>
    <row r="1140" spans="1:31" x14ac:dyDescent="0.15">
      <c r="A1140" s="4" t="s">
        <v>1026</v>
      </c>
      <c r="B1140" s="9"/>
      <c r="C1140" s="10">
        <v>1</v>
      </c>
      <c r="D1140" s="10"/>
      <c r="E1140" s="8">
        <f t="shared" si="1759"/>
        <v>1</v>
      </c>
      <c r="F1140" s="9"/>
      <c r="G1140" s="10">
        <v>1</v>
      </c>
      <c r="H1140" s="10"/>
      <c r="I1140" s="8">
        <f t="shared" si="1760"/>
        <v>1</v>
      </c>
      <c r="J1140" s="9"/>
      <c r="K1140" s="10">
        <v>1</v>
      </c>
      <c r="L1140" s="10"/>
      <c r="M1140" s="39">
        <f t="shared" si="1761"/>
        <v>1</v>
      </c>
      <c r="N1140" s="138">
        <f t="shared" si="1762"/>
        <v>3</v>
      </c>
      <c r="O1140" s="24">
        <v>45870</v>
      </c>
      <c r="P1140" s="4" t="s">
        <v>1031</v>
      </c>
      <c r="Q1140" s="9">
        <v>10</v>
      </c>
      <c r="R1140" s="10">
        <v>30</v>
      </c>
      <c r="S1140" s="10">
        <v>10</v>
      </c>
      <c r="T1140" s="8">
        <f t="shared" si="1763"/>
        <v>50</v>
      </c>
      <c r="U1140" s="9">
        <v>10</v>
      </c>
      <c r="V1140" s="10">
        <v>30</v>
      </c>
      <c r="W1140" s="10">
        <v>10</v>
      </c>
      <c r="X1140" s="8">
        <f t="shared" si="1764"/>
        <v>50</v>
      </c>
      <c r="Y1140" s="9">
        <v>10</v>
      </c>
      <c r="Z1140" s="10">
        <v>30</v>
      </c>
      <c r="AA1140" s="10">
        <v>10</v>
      </c>
      <c r="AB1140" s="8">
        <f t="shared" si="1765"/>
        <v>50</v>
      </c>
      <c r="AC1140" s="86">
        <f t="shared" si="1766"/>
        <v>150</v>
      </c>
      <c r="AD1140" s="109">
        <v>45873</v>
      </c>
    </row>
    <row r="1141" spans="1:31" x14ac:dyDescent="0.15">
      <c r="A1141" s="4" t="s">
        <v>1027</v>
      </c>
      <c r="B1141" s="9">
        <v>1</v>
      </c>
      <c r="C1141" s="10">
        <v>2</v>
      </c>
      <c r="D1141" s="10"/>
      <c r="E1141" s="8">
        <f t="shared" si="1759"/>
        <v>3</v>
      </c>
      <c r="F1141" s="9">
        <v>1</v>
      </c>
      <c r="G1141" s="10">
        <v>2</v>
      </c>
      <c r="H1141" s="10"/>
      <c r="I1141" s="8">
        <f t="shared" si="1760"/>
        <v>3</v>
      </c>
      <c r="J1141" s="9">
        <v>1</v>
      </c>
      <c r="K1141" s="10">
        <v>2</v>
      </c>
      <c r="L1141" s="10"/>
      <c r="M1141" s="39">
        <f t="shared" si="1761"/>
        <v>3</v>
      </c>
      <c r="N1141" s="138">
        <f t="shared" si="1762"/>
        <v>9</v>
      </c>
      <c r="O1141" s="24">
        <v>45870</v>
      </c>
      <c r="P1141" s="4" t="s">
        <v>1037</v>
      </c>
      <c r="Q1141" s="9"/>
      <c r="R1141" s="10">
        <v>10</v>
      </c>
      <c r="S1141" s="10"/>
      <c r="T1141" s="8">
        <f t="shared" si="1763"/>
        <v>10</v>
      </c>
      <c r="U1141" s="9"/>
      <c r="V1141" s="10">
        <v>10</v>
      </c>
      <c r="W1141" s="10"/>
      <c r="X1141" s="8">
        <f t="shared" si="1764"/>
        <v>10</v>
      </c>
      <c r="Y1141" s="9"/>
      <c r="Z1141" s="10">
        <v>10</v>
      </c>
      <c r="AA1141" s="10"/>
      <c r="AB1141" s="8">
        <f t="shared" si="1765"/>
        <v>10</v>
      </c>
      <c r="AC1141" s="86">
        <f t="shared" si="1766"/>
        <v>30</v>
      </c>
      <c r="AD1141" s="109">
        <v>45875</v>
      </c>
    </row>
    <row r="1142" spans="1:31" x14ac:dyDescent="0.15">
      <c r="A1142" s="4" t="s">
        <v>1035</v>
      </c>
      <c r="B1142" s="9">
        <v>2</v>
      </c>
      <c r="C1142" s="10"/>
      <c r="D1142" s="10"/>
      <c r="E1142" s="8">
        <f t="shared" si="1759"/>
        <v>2</v>
      </c>
      <c r="F1142" s="9">
        <v>2</v>
      </c>
      <c r="G1142" s="10"/>
      <c r="H1142" s="10"/>
      <c r="I1142" s="8">
        <f t="shared" si="1760"/>
        <v>2</v>
      </c>
      <c r="J1142" s="9">
        <v>2</v>
      </c>
      <c r="K1142" s="10"/>
      <c r="L1142" s="10"/>
      <c r="M1142" s="39">
        <f t="shared" si="1761"/>
        <v>2</v>
      </c>
      <c r="N1142" s="138">
        <f t="shared" si="1762"/>
        <v>6</v>
      </c>
      <c r="O1142" s="24">
        <v>45873</v>
      </c>
      <c r="P1142" s="4" t="s">
        <v>27</v>
      </c>
      <c r="Q1142" s="9">
        <v>20</v>
      </c>
      <c r="R1142" s="10">
        <v>20</v>
      </c>
      <c r="S1142" s="10">
        <v>10</v>
      </c>
      <c r="T1142" s="8">
        <f t="shared" ref="T1142" si="1786">SUM(Q1142:S1142)</f>
        <v>50</v>
      </c>
      <c r="U1142" s="9">
        <v>20</v>
      </c>
      <c r="V1142" s="10">
        <v>10</v>
      </c>
      <c r="W1142" s="10">
        <v>10</v>
      </c>
      <c r="X1142" s="8">
        <f t="shared" ref="X1142" si="1787">SUM(U1142:W1142)</f>
        <v>40</v>
      </c>
      <c r="Y1142" s="9">
        <v>10</v>
      </c>
      <c r="Z1142" s="10">
        <v>20</v>
      </c>
      <c r="AA1142" s="10">
        <v>10</v>
      </c>
      <c r="AB1142" s="8">
        <f t="shared" ref="AB1142" si="1788">SUM(Y1142:AA1142)</f>
        <v>40</v>
      </c>
      <c r="AC1142" s="145">
        <f t="shared" si="1766"/>
        <v>130</v>
      </c>
      <c r="AD1142" s="109">
        <v>45871</v>
      </c>
    </row>
    <row r="1143" spans="1:31" x14ac:dyDescent="0.15">
      <c r="A1143" s="11" t="s">
        <v>1036</v>
      </c>
      <c r="B1143" s="9"/>
      <c r="C1143" s="10">
        <v>1</v>
      </c>
      <c r="D1143" s="10">
        <v>1</v>
      </c>
      <c r="E1143" s="8">
        <f t="shared" si="1759"/>
        <v>2</v>
      </c>
      <c r="F1143" s="9"/>
      <c r="G1143" s="10">
        <v>1</v>
      </c>
      <c r="H1143" s="10">
        <v>1</v>
      </c>
      <c r="I1143" s="8">
        <f t="shared" si="1760"/>
        <v>2</v>
      </c>
      <c r="J1143" s="9"/>
      <c r="K1143" s="10">
        <v>1</v>
      </c>
      <c r="L1143" s="10">
        <v>1</v>
      </c>
      <c r="M1143" s="39">
        <f t="shared" si="1761"/>
        <v>2</v>
      </c>
      <c r="N1143" s="138">
        <f t="shared" si="1762"/>
        <v>6</v>
      </c>
      <c r="O1143" s="24">
        <v>45875</v>
      </c>
      <c r="P1143" s="4" t="s">
        <v>1039</v>
      </c>
      <c r="Q1143" s="9">
        <v>25</v>
      </c>
      <c r="R1143" s="10">
        <v>35</v>
      </c>
      <c r="S1143" s="10">
        <v>25</v>
      </c>
      <c r="T1143" s="8">
        <f t="shared" si="1763"/>
        <v>85</v>
      </c>
      <c r="U1143" s="9">
        <v>25</v>
      </c>
      <c r="V1143" s="10">
        <v>35</v>
      </c>
      <c r="W1143" s="10">
        <v>25</v>
      </c>
      <c r="X1143" s="8">
        <f t="shared" si="1764"/>
        <v>85</v>
      </c>
      <c r="Y1143" s="9">
        <v>25</v>
      </c>
      <c r="Z1143" s="10">
        <v>35</v>
      </c>
      <c r="AA1143" s="10">
        <v>25</v>
      </c>
      <c r="AB1143" s="8">
        <f t="shared" si="1765"/>
        <v>85</v>
      </c>
      <c r="AC1143" s="86">
        <f t="shared" si="1766"/>
        <v>255</v>
      </c>
      <c r="AD1143" s="109">
        <v>45875</v>
      </c>
    </row>
    <row r="1144" spans="1:31" x14ac:dyDescent="0.15">
      <c r="A1144" s="11" t="s">
        <v>1038</v>
      </c>
      <c r="B1144" s="9"/>
      <c r="C1144" s="10">
        <v>2</v>
      </c>
      <c r="D1144" s="10"/>
      <c r="E1144" s="8">
        <f t="shared" si="1759"/>
        <v>2</v>
      </c>
      <c r="F1144" s="9"/>
      <c r="G1144" s="10">
        <v>2</v>
      </c>
      <c r="H1144" s="10"/>
      <c r="I1144" s="8">
        <f t="shared" si="1760"/>
        <v>2</v>
      </c>
      <c r="J1144" s="9"/>
      <c r="K1144" s="10">
        <v>2</v>
      </c>
      <c r="L1144" s="10"/>
      <c r="M1144" s="39">
        <f t="shared" si="1761"/>
        <v>2</v>
      </c>
      <c r="N1144" s="138">
        <f t="shared" si="1762"/>
        <v>6</v>
      </c>
      <c r="O1144" s="24">
        <v>45875</v>
      </c>
      <c r="P1144" s="4" t="s">
        <v>1042</v>
      </c>
      <c r="Q1144" s="9">
        <v>4</v>
      </c>
      <c r="R1144" s="10">
        <v>7</v>
      </c>
      <c r="S1144" s="10">
        <v>6</v>
      </c>
      <c r="T1144" s="8">
        <f t="shared" si="1763"/>
        <v>17</v>
      </c>
      <c r="U1144" s="9">
        <v>4</v>
      </c>
      <c r="V1144" s="10">
        <v>7</v>
      </c>
      <c r="W1144" s="10">
        <v>6</v>
      </c>
      <c r="X1144" s="8">
        <f t="shared" si="1764"/>
        <v>17</v>
      </c>
      <c r="Y1144" s="9">
        <v>4</v>
      </c>
      <c r="Z1144" s="10">
        <v>7</v>
      </c>
      <c r="AA1144" s="10">
        <v>6</v>
      </c>
      <c r="AB1144" s="8">
        <f t="shared" si="1765"/>
        <v>17</v>
      </c>
      <c r="AC1144" s="86">
        <f t="shared" si="1766"/>
        <v>51</v>
      </c>
      <c r="AD1144" s="109">
        <v>45875</v>
      </c>
    </row>
    <row r="1145" spans="1:31" x14ac:dyDescent="0.15">
      <c r="A1145" s="33" t="s">
        <v>1043</v>
      </c>
      <c r="B1145" s="9"/>
      <c r="C1145" s="10">
        <v>-1</v>
      </c>
      <c r="D1145" s="10"/>
      <c r="E1145" s="8">
        <f t="shared" si="1759"/>
        <v>-1</v>
      </c>
      <c r="F1145" s="9"/>
      <c r="G1145" s="10">
        <v>-1</v>
      </c>
      <c r="H1145" s="10"/>
      <c r="I1145" s="8">
        <f t="shared" si="1760"/>
        <v>-1</v>
      </c>
      <c r="J1145" s="9"/>
      <c r="K1145" s="10">
        <v>-1</v>
      </c>
      <c r="L1145" s="10"/>
      <c r="M1145" s="39">
        <f t="shared" si="1761"/>
        <v>-1</v>
      </c>
      <c r="N1145" s="154">
        <f t="shared" si="1762"/>
        <v>-3</v>
      </c>
      <c r="O1145" s="70">
        <v>45869</v>
      </c>
      <c r="P1145" s="11" t="s">
        <v>1044</v>
      </c>
      <c r="Q1145" s="9"/>
      <c r="R1145" s="10"/>
      <c r="S1145" s="10">
        <v>20</v>
      </c>
      <c r="T1145" s="8">
        <f t="shared" si="1763"/>
        <v>20</v>
      </c>
      <c r="U1145" s="9"/>
      <c r="V1145" s="10"/>
      <c r="W1145" s="10">
        <v>20</v>
      </c>
      <c r="X1145" s="8">
        <f t="shared" si="1764"/>
        <v>20</v>
      </c>
      <c r="Y1145" s="9"/>
      <c r="Z1145" s="10"/>
      <c r="AA1145" s="10">
        <v>20</v>
      </c>
      <c r="AB1145" s="8">
        <f t="shared" si="1765"/>
        <v>20</v>
      </c>
      <c r="AC1145" s="86">
        <f t="shared" si="1766"/>
        <v>60</v>
      </c>
      <c r="AD1145" s="109">
        <v>45877</v>
      </c>
      <c r="AE1145" s="70"/>
    </row>
    <row r="1146" spans="1:31" x14ac:dyDescent="0.15">
      <c r="A1146" s="33" t="s">
        <v>36</v>
      </c>
      <c r="B1146" s="9">
        <f>1+1</f>
        <v>2</v>
      </c>
      <c r="C1146" s="10">
        <v>2</v>
      </c>
      <c r="D1146" s="10"/>
      <c r="E1146" s="8">
        <f t="shared" si="1759"/>
        <v>4</v>
      </c>
      <c r="F1146" s="9">
        <f>1+1</f>
        <v>2</v>
      </c>
      <c r="G1146" s="10">
        <v>2</v>
      </c>
      <c r="H1146" s="10"/>
      <c r="I1146" s="8">
        <f t="shared" si="1760"/>
        <v>4</v>
      </c>
      <c r="J1146" s="9">
        <f>1+1</f>
        <v>2</v>
      </c>
      <c r="K1146" s="10">
        <v>2</v>
      </c>
      <c r="L1146" s="10"/>
      <c r="M1146" s="39">
        <f t="shared" si="1761"/>
        <v>4</v>
      </c>
      <c r="N1146" s="138">
        <f t="shared" si="1762"/>
        <v>12</v>
      </c>
      <c r="O1146" s="70">
        <v>45873</v>
      </c>
      <c r="P1146" s="4" t="s">
        <v>1045</v>
      </c>
      <c r="Q1146" s="9">
        <v>22</v>
      </c>
      <c r="R1146" s="10">
        <v>12</v>
      </c>
      <c r="S1146" s="10">
        <v>19</v>
      </c>
      <c r="T1146" s="8">
        <f t="shared" si="1763"/>
        <v>53</v>
      </c>
      <c r="U1146" s="9">
        <v>22</v>
      </c>
      <c r="V1146" s="10">
        <v>12</v>
      </c>
      <c r="W1146" s="10">
        <v>19</v>
      </c>
      <c r="X1146" s="8">
        <f t="shared" si="1764"/>
        <v>53</v>
      </c>
      <c r="Y1146" s="9">
        <v>22</v>
      </c>
      <c r="Z1146" s="10">
        <v>12</v>
      </c>
      <c r="AA1146" s="10">
        <v>19</v>
      </c>
      <c r="AB1146" s="8">
        <f t="shared" si="1765"/>
        <v>53</v>
      </c>
      <c r="AC1146" s="86">
        <f t="shared" si="1766"/>
        <v>159</v>
      </c>
      <c r="AD1146" s="109">
        <v>45889</v>
      </c>
    </row>
    <row r="1147" spans="1:31" x14ac:dyDescent="0.15">
      <c r="A1147" s="11" t="s">
        <v>1046</v>
      </c>
      <c r="B1147" s="9"/>
      <c r="C1147" s="10">
        <v>2</v>
      </c>
      <c r="D1147" s="10">
        <v>3</v>
      </c>
      <c r="E1147" s="8">
        <f t="shared" si="1759"/>
        <v>5</v>
      </c>
      <c r="F1147" s="9"/>
      <c r="G1147" s="10">
        <v>2</v>
      </c>
      <c r="H1147" s="10">
        <v>3</v>
      </c>
      <c r="I1147" s="8">
        <f t="shared" si="1760"/>
        <v>5</v>
      </c>
      <c r="J1147" s="9"/>
      <c r="K1147" s="10">
        <v>2</v>
      </c>
      <c r="L1147" s="10">
        <v>3</v>
      </c>
      <c r="M1147" s="39">
        <f t="shared" si="1761"/>
        <v>5</v>
      </c>
      <c r="N1147" s="138">
        <f t="shared" si="1762"/>
        <v>15</v>
      </c>
      <c r="O1147" s="24">
        <v>45881</v>
      </c>
      <c r="P1147" s="4" t="s">
        <v>1047</v>
      </c>
      <c r="Q1147" s="9">
        <v>18</v>
      </c>
      <c r="R1147" s="10">
        <v>25</v>
      </c>
      <c r="S1147" s="10">
        <v>10</v>
      </c>
      <c r="T1147" s="8">
        <f t="shared" si="1763"/>
        <v>53</v>
      </c>
      <c r="U1147" s="9">
        <v>18</v>
      </c>
      <c r="V1147" s="10">
        <v>25</v>
      </c>
      <c r="W1147" s="10">
        <v>10</v>
      </c>
      <c r="X1147" s="8">
        <f t="shared" si="1764"/>
        <v>53</v>
      </c>
      <c r="Y1147" s="9">
        <v>18</v>
      </c>
      <c r="Z1147" s="10">
        <v>25</v>
      </c>
      <c r="AA1147" s="10">
        <v>10</v>
      </c>
      <c r="AB1147" s="8">
        <f t="shared" si="1765"/>
        <v>53</v>
      </c>
      <c r="AC1147" s="86">
        <f t="shared" si="1766"/>
        <v>159</v>
      </c>
      <c r="AD1147" s="109">
        <v>45888</v>
      </c>
    </row>
    <row r="1148" spans="1:31" x14ac:dyDescent="0.15">
      <c r="A1148" s="11" t="s">
        <v>1050</v>
      </c>
      <c r="B1148" s="9">
        <v>2</v>
      </c>
      <c r="C1148" s="10">
        <v>5</v>
      </c>
      <c r="D1148" s="10">
        <v>2</v>
      </c>
      <c r="E1148" s="8">
        <f t="shared" si="1759"/>
        <v>9</v>
      </c>
      <c r="F1148" s="9">
        <v>2</v>
      </c>
      <c r="G1148" s="10">
        <v>5</v>
      </c>
      <c r="H1148" s="10">
        <v>2</v>
      </c>
      <c r="I1148" s="8">
        <f t="shared" si="1760"/>
        <v>9</v>
      </c>
      <c r="J1148" s="9">
        <v>2</v>
      </c>
      <c r="K1148" s="10">
        <v>5</v>
      </c>
      <c r="L1148" s="10">
        <v>2</v>
      </c>
      <c r="M1148" s="39">
        <f t="shared" si="1761"/>
        <v>9</v>
      </c>
      <c r="N1148" s="138">
        <f t="shared" si="1762"/>
        <v>27</v>
      </c>
      <c r="O1148" s="24">
        <v>45890</v>
      </c>
      <c r="P1148" s="4" t="s">
        <v>1048</v>
      </c>
      <c r="Q1148" s="9">
        <v>8</v>
      </c>
      <c r="R1148" s="10">
        <v>6</v>
      </c>
      <c r="S1148" s="10">
        <v>4</v>
      </c>
      <c r="T1148" s="8">
        <f t="shared" ref="T1148" si="1789">SUM(Q1148:S1148)</f>
        <v>18</v>
      </c>
      <c r="U1148" s="9">
        <v>8</v>
      </c>
      <c r="V1148" s="10">
        <v>6</v>
      </c>
      <c r="W1148" s="10">
        <v>4</v>
      </c>
      <c r="X1148" s="8">
        <f t="shared" ref="X1148" si="1790">SUM(U1148:W1148)</f>
        <v>18</v>
      </c>
      <c r="Y1148" s="9">
        <v>8</v>
      </c>
      <c r="Z1148" s="10">
        <v>6</v>
      </c>
      <c r="AA1148" s="10">
        <v>4</v>
      </c>
      <c r="AB1148" s="8">
        <f t="shared" ref="AB1148" si="1791">SUM(Y1148:AA1148)</f>
        <v>18</v>
      </c>
      <c r="AC1148" s="86">
        <f t="shared" ref="AC1148" si="1792">T1148+X1148+AB1148</f>
        <v>54</v>
      </c>
      <c r="AD1148" s="109">
        <v>45889</v>
      </c>
    </row>
    <row r="1149" spans="1:31" x14ac:dyDescent="0.15">
      <c r="A1149" s="33" t="s">
        <v>36</v>
      </c>
      <c r="B1149" s="9">
        <v>1</v>
      </c>
      <c r="C1149" s="10"/>
      <c r="D1149" s="10">
        <v>1</v>
      </c>
      <c r="E1149" s="8">
        <f t="shared" si="1759"/>
        <v>2</v>
      </c>
      <c r="F1149" s="9">
        <v>1</v>
      </c>
      <c r="G1149" s="10">
        <v>1</v>
      </c>
      <c r="H1149" s="10">
        <v>2</v>
      </c>
      <c r="I1149" s="8">
        <f t="shared" si="1760"/>
        <v>4</v>
      </c>
      <c r="J1149" s="9">
        <v>1</v>
      </c>
      <c r="K1149" s="10"/>
      <c r="L1149" s="10"/>
      <c r="M1149" s="39">
        <f t="shared" si="1761"/>
        <v>1</v>
      </c>
      <c r="N1149" s="138">
        <f t="shared" si="1762"/>
        <v>7</v>
      </c>
      <c r="O1149" s="24">
        <v>45887</v>
      </c>
      <c r="P1149" s="4" t="s">
        <v>1049</v>
      </c>
      <c r="Q1149" s="9">
        <v>30</v>
      </c>
      <c r="R1149" s="10">
        <v>50</v>
      </c>
      <c r="S1149" s="10">
        <v>30</v>
      </c>
      <c r="T1149" s="8">
        <f t="shared" ref="T1149:T1150" si="1793">SUM(Q1149:S1149)</f>
        <v>110</v>
      </c>
      <c r="U1149" s="9">
        <v>20</v>
      </c>
      <c r="V1149" s="10">
        <v>30</v>
      </c>
      <c r="W1149" s="10">
        <v>30</v>
      </c>
      <c r="X1149" s="8">
        <f t="shared" ref="X1149:X1150" si="1794">SUM(U1149:W1149)</f>
        <v>80</v>
      </c>
      <c r="Y1149" s="9">
        <v>30</v>
      </c>
      <c r="Z1149" s="10">
        <v>45</v>
      </c>
      <c r="AA1149" s="10">
        <v>40</v>
      </c>
      <c r="AB1149" s="8">
        <f t="shared" ref="AB1149:AB1150" si="1795">SUM(Y1149:AA1149)</f>
        <v>115</v>
      </c>
      <c r="AC1149" s="86">
        <f t="shared" ref="AC1149:AC1150" si="1796">T1149+X1149+AB1149</f>
        <v>305</v>
      </c>
      <c r="AD1149" s="109">
        <v>45890</v>
      </c>
    </row>
    <row r="1150" spans="1:31" x14ac:dyDescent="0.15">
      <c r="A1150" s="4" t="s">
        <v>1053</v>
      </c>
      <c r="B1150" s="9"/>
      <c r="C1150" s="10">
        <v>1</v>
      </c>
      <c r="D1150" s="10"/>
      <c r="E1150" s="8">
        <f t="shared" si="1759"/>
        <v>1</v>
      </c>
      <c r="F1150" s="9"/>
      <c r="G1150" s="10">
        <v>1</v>
      </c>
      <c r="H1150" s="10"/>
      <c r="I1150" s="8">
        <f t="shared" si="1760"/>
        <v>1</v>
      </c>
      <c r="J1150" s="9"/>
      <c r="K1150" s="10">
        <v>1</v>
      </c>
      <c r="L1150" s="10"/>
      <c r="M1150" s="39">
        <f t="shared" si="1761"/>
        <v>1</v>
      </c>
      <c r="N1150" s="138">
        <f t="shared" si="1762"/>
        <v>3</v>
      </c>
      <c r="O1150" s="24">
        <v>45890</v>
      </c>
      <c r="P1150" s="4"/>
      <c r="Q1150" s="9"/>
      <c r="R1150" s="10"/>
      <c r="S1150" s="10"/>
      <c r="T1150" s="8">
        <f t="shared" si="1793"/>
        <v>0</v>
      </c>
      <c r="U1150" s="9"/>
      <c r="V1150" s="10"/>
      <c r="W1150" s="10"/>
      <c r="X1150" s="8">
        <f t="shared" si="1794"/>
        <v>0</v>
      </c>
      <c r="Y1150" s="9"/>
      <c r="Z1150" s="10"/>
      <c r="AA1150" s="10"/>
      <c r="AB1150" s="8">
        <f t="shared" si="1795"/>
        <v>0</v>
      </c>
      <c r="AC1150" s="86">
        <f t="shared" si="1796"/>
        <v>0</v>
      </c>
      <c r="AD1150" s="116"/>
    </row>
    <row r="1151" spans="1:31" x14ac:dyDescent="0.15">
      <c r="A1151" s="33" t="s">
        <v>36</v>
      </c>
      <c r="B1151" s="9">
        <v>3</v>
      </c>
      <c r="C1151" s="10"/>
      <c r="D1151" s="10"/>
      <c r="E1151" s="8">
        <f t="shared" si="1759"/>
        <v>3</v>
      </c>
      <c r="F1151" s="9"/>
      <c r="G1151" s="10"/>
      <c r="H1151" s="10"/>
      <c r="I1151" s="8">
        <f t="shared" si="1760"/>
        <v>0</v>
      </c>
      <c r="J1151" s="9"/>
      <c r="K1151" s="10"/>
      <c r="L1151" s="10"/>
      <c r="M1151" s="39">
        <f t="shared" si="1761"/>
        <v>0</v>
      </c>
      <c r="N1151" s="138">
        <f t="shared" si="1762"/>
        <v>3</v>
      </c>
      <c r="O1151" s="24">
        <v>45888</v>
      </c>
      <c r="P1151" s="4"/>
      <c r="Q1151" s="9"/>
      <c r="R1151" s="10"/>
      <c r="S1151" s="10"/>
      <c r="T1151" s="8">
        <f t="shared" ref="T1151" si="1797">SUM(Q1151:S1151)</f>
        <v>0</v>
      </c>
      <c r="U1151" s="9"/>
      <c r="V1151" s="10"/>
      <c r="W1151" s="10"/>
      <c r="X1151" s="8">
        <f t="shared" ref="X1151" si="1798">SUM(U1151:W1151)</f>
        <v>0</v>
      </c>
      <c r="Y1151" s="9"/>
      <c r="Z1151" s="10"/>
      <c r="AA1151" s="10"/>
      <c r="AB1151" s="8">
        <f t="shared" ref="AB1151" si="1799">SUM(Y1151:AA1151)</f>
        <v>0</v>
      </c>
      <c r="AC1151" s="86">
        <f t="shared" ref="AC1151" si="1800">T1151+X1151+AB1151</f>
        <v>0</v>
      </c>
    </row>
    <row r="1152" spans="1:31" x14ac:dyDescent="0.15">
      <c r="A1152" s="4" t="s">
        <v>1056</v>
      </c>
      <c r="B1152" s="9"/>
      <c r="C1152" s="10"/>
      <c r="D1152" s="10">
        <v>2</v>
      </c>
      <c r="E1152" s="8">
        <f t="shared" si="1759"/>
        <v>2</v>
      </c>
      <c r="F1152" s="9"/>
      <c r="G1152" s="10"/>
      <c r="H1152" s="10">
        <v>2</v>
      </c>
      <c r="I1152" s="8">
        <f t="shared" si="1760"/>
        <v>2</v>
      </c>
      <c r="J1152" s="9"/>
      <c r="K1152" s="10"/>
      <c r="L1152" s="10">
        <v>2</v>
      </c>
      <c r="M1152" s="39">
        <f t="shared" si="1761"/>
        <v>2</v>
      </c>
      <c r="N1152" s="138">
        <f t="shared" si="1762"/>
        <v>6</v>
      </c>
      <c r="O1152" s="24">
        <v>45891</v>
      </c>
      <c r="P1152" s="11" t="s">
        <v>971</v>
      </c>
      <c r="Q1152" s="9"/>
      <c r="R1152" s="10"/>
      <c r="S1152" s="10"/>
      <c r="T1152" s="8">
        <f t="shared" ref="T1152:T1158" si="1801">SUM(Q1152:S1152)</f>
        <v>0</v>
      </c>
      <c r="U1152" s="9"/>
      <c r="V1152" s="10"/>
      <c r="W1152" s="10"/>
      <c r="X1152" s="8">
        <f t="shared" ref="X1152:X1158" si="1802">SUM(U1152:W1152)</f>
        <v>0</v>
      </c>
      <c r="Y1152" s="9"/>
      <c r="Z1152" s="10"/>
      <c r="AA1152" s="10"/>
      <c r="AB1152" s="8">
        <f t="shared" ref="AB1152:AB1158" si="1803">SUM(Y1152:AA1152)</f>
        <v>0</v>
      </c>
      <c r="AC1152" s="86">
        <f t="shared" ref="AC1152:AC1158" si="1804">T1152+X1152+AB1152</f>
        <v>0</v>
      </c>
      <c r="AD1152" s="109" t="s">
        <v>972</v>
      </c>
    </row>
    <row r="1153" spans="1:31" x14ac:dyDescent="0.15">
      <c r="A1153" s="33" t="s">
        <v>1058</v>
      </c>
      <c r="B1153" s="9">
        <v>10</v>
      </c>
      <c r="C1153" s="10"/>
      <c r="D1153" s="10">
        <v>5</v>
      </c>
      <c r="E1153" s="8">
        <f t="shared" si="1759"/>
        <v>15</v>
      </c>
      <c r="F1153" s="9">
        <v>10</v>
      </c>
      <c r="G1153" s="10"/>
      <c r="H1153" s="10">
        <v>5</v>
      </c>
      <c r="I1153" s="8">
        <f t="shared" si="1760"/>
        <v>15</v>
      </c>
      <c r="J1153" s="9">
        <v>10</v>
      </c>
      <c r="K1153" s="10"/>
      <c r="L1153" s="10">
        <v>5</v>
      </c>
      <c r="M1153" s="39">
        <f t="shared" si="1761"/>
        <v>15</v>
      </c>
      <c r="N1153" s="138">
        <f t="shared" si="1762"/>
        <v>45</v>
      </c>
      <c r="O1153" s="24">
        <v>45890</v>
      </c>
      <c r="P1153" s="11" t="s">
        <v>973</v>
      </c>
      <c r="Q1153" s="9"/>
      <c r="R1153" s="10"/>
      <c r="S1153" s="10"/>
      <c r="T1153" s="8">
        <f t="shared" si="1801"/>
        <v>0</v>
      </c>
      <c r="U1153" s="9"/>
      <c r="V1153" s="10"/>
      <c r="W1153" s="10"/>
      <c r="X1153" s="8">
        <f t="shared" si="1802"/>
        <v>0</v>
      </c>
      <c r="Y1153" s="9"/>
      <c r="Z1153" s="10"/>
      <c r="AA1153" s="10"/>
      <c r="AB1153" s="8">
        <f t="shared" si="1803"/>
        <v>0</v>
      </c>
      <c r="AC1153" s="86">
        <f t="shared" si="1804"/>
        <v>0</v>
      </c>
      <c r="AD1153" s="109" t="s">
        <v>974</v>
      </c>
    </row>
    <row r="1154" spans="1:31" x14ac:dyDescent="0.15">
      <c r="A1154" s="33" t="s">
        <v>36</v>
      </c>
      <c r="B1154" s="9">
        <v>2</v>
      </c>
      <c r="C1154" s="10">
        <v>1</v>
      </c>
      <c r="D1154" s="10"/>
      <c r="E1154" s="8">
        <f t="shared" si="1759"/>
        <v>3</v>
      </c>
      <c r="F1154" s="9"/>
      <c r="G1154" s="10">
        <v>1</v>
      </c>
      <c r="H1154" s="10"/>
      <c r="I1154" s="8">
        <f t="shared" si="1760"/>
        <v>1</v>
      </c>
      <c r="J1154" s="9"/>
      <c r="K1154" s="10">
        <v>1</v>
      </c>
      <c r="L1154" s="10"/>
      <c r="M1154" s="39">
        <f t="shared" si="1761"/>
        <v>1</v>
      </c>
      <c r="N1154" s="138">
        <f t="shared" si="1762"/>
        <v>5</v>
      </c>
      <c r="O1154" s="24">
        <v>45889</v>
      </c>
      <c r="P1154" s="81" t="s">
        <v>915</v>
      </c>
      <c r="Q1154" s="71"/>
      <c r="R1154" s="72"/>
      <c r="S1154" s="72"/>
      <c r="T1154" s="73">
        <f t="shared" si="1801"/>
        <v>0</v>
      </c>
      <c r="U1154" s="71"/>
      <c r="V1154" s="72"/>
      <c r="W1154" s="72"/>
      <c r="X1154" s="73">
        <f t="shared" si="1802"/>
        <v>0</v>
      </c>
      <c r="Y1154" s="71"/>
      <c r="Z1154" s="72"/>
      <c r="AA1154" s="72"/>
      <c r="AB1154" s="73">
        <f t="shared" si="1803"/>
        <v>0</v>
      </c>
      <c r="AC1154" s="92">
        <f t="shared" si="1804"/>
        <v>0</v>
      </c>
      <c r="AD1154" s="116"/>
    </row>
    <row r="1155" spans="1:31" x14ac:dyDescent="0.15">
      <c r="A1155" s="33" t="s">
        <v>1060</v>
      </c>
      <c r="B1155" s="9">
        <v>3</v>
      </c>
      <c r="C1155" s="10">
        <v>3</v>
      </c>
      <c r="D1155" s="10">
        <v>5</v>
      </c>
      <c r="E1155" s="8">
        <f t="shared" si="1759"/>
        <v>11</v>
      </c>
      <c r="F1155" s="9">
        <v>3</v>
      </c>
      <c r="G1155" s="10">
        <v>3</v>
      </c>
      <c r="H1155" s="10">
        <v>5</v>
      </c>
      <c r="I1155" s="8">
        <f t="shared" si="1760"/>
        <v>11</v>
      </c>
      <c r="J1155" s="9">
        <v>3</v>
      </c>
      <c r="K1155" s="10">
        <v>3</v>
      </c>
      <c r="L1155" s="10">
        <v>5</v>
      </c>
      <c r="M1155" s="39">
        <f t="shared" si="1761"/>
        <v>11</v>
      </c>
      <c r="N1155" s="138">
        <f t="shared" si="1762"/>
        <v>33</v>
      </c>
      <c r="O1155" s="24">
        <v>45891</v>
      </c>
      <c r="P1155" s="4" t="s">
        <v>913</v>
      </c>
      <c r="Q1155" s="9"/>
      <c r="R1155" s="10"/>
      <c r="S1155" s="10"/>
      <c r="T1155" s="8">
        <f t="shared" si="1801"/>
        <v>0</v>
      </c>
      <c r="U1155" s="9"/>
      <c r="V1155" s="10"/>
      <c r="W1155" s="10"/>
      <c r="X1155" s="8">
        <f t="shared" si="1802"/>
        <v>0</v>
      </c>
      <c r="Y1155" s="9"/>
      <c r="Z1155" s="10"/>
      <c r="AA1155" s="10"/>
      <c r="AB1155" s="8">
        <f t="shared" si="1803"/>
        <v>0</v>
      </c>
      <c r="AC1155" s="86">
        <f t="shared" si="1804"/>
        <v>0</v>
      </c>
      <c r="AD1155" s="116" t="s">
        <v>914</v>
      </c>
    </row>
    <row r="1156" spans="1:31" x14ac:dyDescent="0.15">
      <c r="A1156" s="33"/>
      <c r="B1156" s="9"/>
      <c r="C1156" s="10"/>
      <c r="D1156" s="10"/>
      <c r="E1156" s="8">
        <f t="shared" si="1759"/>
        <v>0</v>
      </c>
      <c r="F1156" s="9"/>
      <c r="G1156" s="10"/>
      <c r="H1156" s="10"/>
      <c r="I1156" s="8">
        <f t="shared" si="1760"/>
        <v>0</v>
      </c>
      <c r="J1156" s="9"/>
      <c r="K1156" s="10"/>
      <c r="L1156" s="10"/>
      <c r="M1156" s="39">
        <f t="shared" si="1761"/>
        <v>0</v>
      </c>
      <c r="N1156" s="138">
        <f t="shared" si="1762"/>
        <v>0</v>
      </c>
      <c r="O1156" s="58"/>
      <c r="P1156" s="4" t="s">
        <v>898</v>
      </c>
      <c r="Q1156" s="9"/>
      <c r="R1156" s="10"/>
      <c r="S1156" s="10"/>
      <c r="T1156" s="8">
        <f t="shared" si="1801"/>
        <v>0</v>
      </c>
      <c r="U1156" s="9"/>
      <c r="V1156" s="10"/>
      <c r="W1156" s="10"/>
      <c r="X1156" s="8">
        <f t="shared" si="1802"/>
        <v>0</v>
      </c>
      <c r="Y1156" s="9"/>
      <c r="Z1156" s="10"/>
      <c r="AA1156" s="10"/>
      <c r="AB1156" s="8">
        <f t="shared" si="1803"/>
        <v>0</v>
      </c>
      <c r="AC1156" s="86">
        <f t="shared" si="1804"/>
        <v>0</v>
      </c>
      <c r="AD1156" s="116" t="s">
        <v>891</v>
      </c>
    </row>
    <row r="1157" spans="1:31" x14ac:dyDescent="0.15">
      <c r="A1157" s="33"/>
      <c r="B1157" s="9"/>
      <c r="C1157" s="10"/>
      <c r="D1157" s="10"/>
      <c r="E1157" s="8">
        <f t="shared" si="1759"/>
        <v>0</v>
      </c>
      <c r="F1157" s="9"/>
      <c r="G1157" s="10"/>
      <c r="H1157" s="10"/>
      <c r="I1157" s="8">
        <f t="shared" si="1760"/>
        <v>0</v>
      </c>
      <c r="J1157" s="9"/>
      <c r="K1157" s="10"/>
      <c r="L1157" s="10"/>
      <c r="M1157" s="39">
        <f t="shared" si="1761"/>
        <v>0</v>
      </c>
      <c r="N1157" s="138">
        <f t="shared" si="1762"/>
        <v>0</v>
      </c>
      <c r="P1157" s="81" t="s">
        <v>980</v>
      </c>
      <c r="Q1157" s="71"/>
      <c r="R1157" s="72"/>
      <c r="S1157" s="72"/>
      <c r="T1157" s="73">
        <f t="shared" si="1801"/>
        <v>0</v>
      </c>
      <c r="U1157" s="71"/>
      <c r="V1157" s="72"/>
      <c r="W1157" s="72"/>
      <c r="X1157" s="73">
        <f t="shared" si="1802"/>
        <v>0</v>
      </c>
      <c r="Y1157" s="71"/>
      <c r="Z1157" s="72"/>
      <c r="AA1157" s="72"/>
      <c r="AB1157" s="73">
        <f t="shared" si="1803"/>
        <v>0</v>
      </c>
      <c r="AC1157" s="98">
        <f t="shared" si="1804"/>
        <v>0</v>
      </c>
      <c r="AD1157" s="117"/>
      <c r="AE1157" s="58"/>
    </row>
    <row r="1158" spans="1:31" ht="14.25" thickBot="1" x14ac:dyDescent="0.2">
      <c r="A1158" s="63"/>
      <c r="B1158" s="9"/>
      <c r="C1158" s="10"/>
      <c r="D1158" s="22"/>
      <c r="E1158" s="8">
        <f t="shared" si="1759"/>
        <v>0</v>
      </c>
      <c r="F1158" s="9"/>
      <c r="G1158" s="10"/>
      <c r="H1158" s="22"/>
      <c r="I1158" s="8">
        <f t="shared" si="1760"/>
        <v>0</v>
      </c>
      <c r="J1158" s="9"/>
      <c r="K1158" s="10"/>
      <c r="L1158" s="22"/>
      <c r="M1158" s="39">
        <f t="shared" si="1761"/>
        <v>0</v>
      </c>
      <c r="N1158" s="139">
        <f t="shared" si="1762"/>
        <v>0</v>
      </c>
      <c r="P1158" s="11" t="s">
        <v>981</v>
      </c>
      <c r="Q1158" s="9"/>
      <c r="R1158" s="10"/>
      <c r="S1158" s="10"/>
      <c r="T1158" s="8">
        <f t="shared" si="1801"/>
        <v>0</v>
      </c>
      <c r="U1158" s="9"/>
      <c r="V1158" s="10"/>
      <c r="W1158" s="10"/>
      <c r="X1158" s="8">
        <f t="shared" si="1802"/>
        <v>0</v>
      </c>
      <c r="Y1158" s="9"/>
      <c r="Z1158" s="10"/>
      <c r="AA1158" s="10"/>
      <c r="AB1158" s="8">
        <f t="shared" si="1803"/>
        <v>0</v>
      </c>
      <c r="AC1158" s="86">
        <f t="shared" si="1804"/>
        <v>0</v>
      </c>
      <c r="AD1158" s="116" t="s">
        <v>982</v>
      </c>
      <c r="AE1158" s="58"/>
    </row>
    <row r="1159" spans="1:31" ht="14.25" thickBot="1" x14ac:dyDescent="0.2">
      <c r="A1159" s="104" t="s">
        <v>5</v>
      </c>
      <c r="B1159" s="12">
        <f>SUM(B1135:B1158)</f>
        <v>30</v>
      </c>
      <c r="C1159" s="12">
        <f>SUM(C1135:C1158)</f>
        <v>29</v>
      </c>
      <c r="D1159" s="12">
        <f>SUM(D1135:D1158)</f>
        <v>25</v>
      </c>
      <c r="E1159" s="13">
        <f t="shared" si="1759"/>
        <v>84</v>
      </c>
      <c r="F1159" s="12">
        <f>SUM(F1135:F1158)</f>
        <v>26</v>
      </c>
      <c r="G1159" s="12">
        <f>SUM(G1135:G1158)</f>
        <v>27</v>
      </c>
      <c r="H1159" s="12">
        <f>SUM(H1135:H1158)</f>
        <v>28</v>
      </c>
      <c r="I1159" s="13">
        <f t="shared" si="1760"/>
        <v>81</v>
      </c>
      <c r="J1159" s="12">
        <f>SUM(J1135:J1158)</f>
        <v>25</v>
      </c>
      <c r="K1159" s="12">
        <f>SUM(K1135:K1158)</f>
        <v>27</v>
      </c>
      <c r="L1159" s="12">
        <f>SUM(L1135:L1158)</f>
        <v>26</v>
      </c>
      <c r="M1159" s="12">
        <f t="shared" si="1761"/>
        <v>78</v>
      </c>
      <c r="N1159" s="142">
        <f t="shared" si="1762"/>
        <v>243</v>
      </c>
      <c r="P1159" s="3" t="s">
        <v>5</v>
      </c>
      <c r="Q1159" s="12">
        <f>SUM(Q1135:Q1158)</f>
        <v>177</v>
      </c>
      <c r="R1159" s="12">
        <f t="shared" ref="R1159" si="1805">SUM(R1135:R1158)</f>
        <v>267</v>
      </c>
      <c r="S1159" s="12">
        <f t="shared" ref="S1159" si="1806">SUM(S1135:S1158)</f>
        <v>181</v>
      </c>
      <c r="T1159" s="13">
        <f t="shared" ref="T1159" si="1807">SUM(T1135:T1158)</f>
        <v>625</v>
      </c>
      <c r="U1159" s="12">
        <f t="shared" ref="U1159" si="1808">SUM(U1135:U1158)</f>
        <v>167</v>
      </c>
      <c r="V1159" s="12">
        <f t="shared" ref="V1159" si="1809">SUM(V1135:V1158)</f>
        <v>237</v>
      </c>
      <c r="W1159" s="12">
        <f t="shared" ref="W1159" si="1810">SUM(W1135:W1158)</f>
        <v>181</v>
      </c>
      <c r="X1159" s="13">
        <f t="shared" ref="X1159" si="1811">SUM(X1135:X1158)</f>
        <v>585</v>
      </c>
      <c r="Y1159" s="12">
        <f t="shared" ref="Y1159" si="1812">SUM(Y1135:Y1158)</f>
        <v>167</v>
      </c>
      <c r="Z1159" s="12">
        <f t="shared" ref="Z1159" si="1813">SUM(Z1135:Z1158)</f>
        <v>262</v>
      </c>
      <c r="AA1159" s="12">
        <f t="shared" ref="AA1159" si="1814">SUM(AA1135:AA1158)</f>
        <v>191</v>
      </c>
      <c r="AB1159" s="13">
        <f t="shared" ref="AB1159" si="1815">SUM(AB1135:AB1158)</f>
        <v>620</v>
      </c>
      <c r="AC1159" s="155">
        <f t="shared" ref="AC1159" si="1816">SUM(AC1135:AC1158)</f>
        <v>1830</v>
      </c>
    </row>
    <row r="1160" spans="1:31" ht="14.25" thickBot="1" x14ac:dyDescent="0.2">
      <c r="A1160" s="105" t="s">
        <v>6</v>
      </c>
      <c r="B1160" s="20">
        <f>B1134-B1159</f>
        <v>10</v>
      </c>
      <c r="C1160" s="20">
        <f t="shared" ref="C1160:E1160" si="1817">C1134-C1159</f>
        <v>20</v>
      </c>
      <c r="D1160" s="20">
        <f t="shared" si="1817"/>
        <v>15</v>
      </c>
      <c r="E1160" s="18">
        <f t="shared" si="1817"/>
        <v>45</v>
      </c>
      <c r="F1160" s="20">
        <f>F1134-F1159</f>
        <v>17</v>
      </c>
      <c r="G1160" s="20">
        <f t="shared" ref="G1160:I1160" si="1818">G1134-G1159</f>
        <v>14</v>
      </c>
      <c r="H1160" s="20">
        <f t="shared" si="1818"/>
        <v>16</v>
      </c>
      <c r="I1160" s="18">
        <f t="shared" si="1818"/>
        <v>47</v>
      </c>
      <c r="J1160" s="20">
        <f>J1134-J1159</f>
        <v>1</v>
      </c>
      <c r="K1160" s="20">
        <f t="shared" ref="K1160:M1160" si="1819">K1134-K1159</f>
        <v>24</v>
      </c>
      <c r="L1160" s="20">
        <f t="shared" si="1819"/>
        <v>23</v>
      </c>
      <c r="M1160" s="20">
        <f t="shared" si="1819"/>
        <v>48</v>
      </c>
      <c r="N1160" s="140">
        <f t="shared" si="1762"/>
        <v>140</v>
      </c>
      <c r="P1160" s="19" t="s">
        <v>6</v>
      </c>
      <c r="Q1160" s="20">
        <f>Q1134-Q1159</f>
        <v>369</v>
      </c>
      <c r="R1160" s="20">
        <f t="shared" ref="R1160" si="1820">R1134-R1159</f>
        <v>475</v>
      </c>
      <c r="S1160" s="20">
        <f t="shared" ref="S1160" si="1821">S1134-S1159</f>
        <v>468</v>
      </c>
      <c r="T1160" s="18">
        <f t="shared" ref="T1160" si="1822">T1134-T1159</f>
        <v>1312</v>
      </c>
      <c r="U1160" s="20">
        <f t="shared" ref="U1160" si="1823">U1134-U1159</f>
        <v>344</v>
      </c>
      <c r="V1160" s="20">
        <f t="shared" ref="V1160" si="1824">V1134-V1159</f>
        <v>625</v>
      </c>
      <c r="W1160" s="20">
        <f t="shared" ref="W1160" si="1825">W1134-W1159</f>
        <v>494</v>
      </c>
      <c r="X1160" s="18">
        <f t="shared" ref="X1160" si="1826">X1134-X1159</f>
        <v>1463</v>
      </c>
      <c r="Y1160" s="20">
        <f t="shared" ref="Y1160" si="1827">Y1134-Y1159</f>
        <v>307</v>
      </c>
      <c r="Z1160" s="20">
        <f t="shared" ref="Z1160" si="1828">Z1134-Z1159</f>
        <v>496</v>
      </c>
      <c r="AA1160" s="20">
        <f t="shared" ref="AA1160" si="1829">AA1134-AA1159</f>
        <v>379</v>
      </c>
      <c r="AB1160" s="18">
        <f t="shared" ref="AB1160" si="1830">AB1134-AB1159</f>
        <v>1182</v>
      </c>
      <c r="AC1160" s="88">
        <f t="shared" ref="AC1160" si="1831">AC1134-AC1159</f>
        <v>3957</v>
      </c>
    </row>
    <row r="1163" spans="1:31" ht="19.5" thickBot="1" x14ac:dyDescent="0.25">
      <c r="A1163" s="108" t="s">
        <v>264</v>
      </c>
      <c r="B1163" s="47"/>
      <c r="C1163" s="47"/>
      <c r="D1163" s="47"/>
      <c r="E1163" s="47"/>
      <c r="F1163" s="48"/>
      <c r="G1163" s="48"/>
      <c r="H1163" s="48"/>
      <c r="I1163" s="48"/>
      <c r="J1163" s="48"/>
      <c r="K1163" s="48"/>
      <c r="L1163" s="1"/>
      <c r="M1163" s="1"/>
      <c r="N1163" s="137"/>
      <c r="P1163" s="43" t="s">
        <v>263</v>
      </c>
      <c r="Q1163" s="44"/>
      <c r="R1163" s="44"/>
      <c r="S1163" s="44"/>
      <c r="T1163" s="44"/>
      <c r="U1163" s="45"/>
      <c r="V1163" s="45"/>
      <c r="W1163" s="45"/>
      <c r="X1163" s="45"/>
      <c r="Y1163" s="46"/>
      <c r="Z1163" s="53"/>
      <c r="AA1163" s="1"/>
      <c r="AB1163" s="1"/>
    </row>
    <row r="1164" spans="1:31" ht="14.25" thickBot="1" x14ac:dyDescent="0.2">
      <c r="A1164" s="100" t="s">
        <v>0</v>
      </c>
      <c r="B1164" s="337" t="s">
        <v>11</v>
      </c>
      <c r="C1164" s="337"/>
      <c r="D1164" s="337"/>
      <c r="E1164" s="338"/>
      <c r="F1164" s="339" t="s">
        <v>9</v>
      </c>
      <c r="G1164" s="340"/>
      <c r="H1164" s="340"/>
      <c r="I1164" s="341"/>
      <c r="J1164" s="342" t="s">
        <v>12</v>
      </c>
      <c r="K1164" s="343"/>
      <c r="L1164" s="343"/>
      <c r="M1164" s="343"/>
      <c r="N1164" s="347" t="s">
        <v>13</v>
      </c>
      <c r="P1164" s="2" t="s">
        <v>0</v>
      </c>
      <c r="Q1164" s="336" t="s">
        <v>11</v>
      </c>
      <c r="R1164" s="337"/>
      <c r="S1164" s="337"/>
      <c r="T1164" s="338"/>
      <c r="U1164" s="339" t="s">
        <v>9</v>
      </c>
      <c r="V1164" s="340"/>
      <c r="W1164" s="340"/>
      <c r="X1164" s="341"/>
      <c r="Y1164" s="342" t="s">
        <v>12</v>
      </c>
      <c r="Z1164" s="343"/>
      <c r="AA1164" s="343"/>
      <c r="AB1164" s="344"/>
      <c r="AC1164" s="133" t="s">
        <v>13</v>
      </c>
    </row>
    <row r="1165" spans="1:31" ht="14.25" thickBot="1" x14ac:dyDescent="0.2">
      <c r="A1165" s="100" t="s">
        <v>1</v>
      </c>
      <c r="B1165" s="3" t="s">
        <v>7</v>
      </c>
      <c r="C1165" s="2" t="s">
        <v>10</v>
      </c>
      <c r="D1165" s="2" t="s">
        <v>8</v>
      </c>
      <c r="E1165" s="2" t="s">
        <v>2</v>
      </c>
      <c r="F1165" s="3" t="s">
        <v>7</v>
      </c>
      <c r="G1165" s="2" t="s">
        <v>10</v>
      </c>
      <c r="H1165" s="2" t="s">
        <v>8</v>
      </c>
      <c r="I1165" s="2" t="s">
        <v>2</v>
      </c>
      <c r="J1165" s="3" t="s">
        <v>7</v>
      </c>
      <c r="K1165" s="2" t="s">
        <v>10</v>
      </c>
      <c r="L1165" s="2" t="s">
        <v>8</v>
      </c>
      <c r="M1165" s="3" t="s">
        <v>2</v>
      </c>
      <c r="N1165" s="348"/>
      <c r="P1165" s="2" t="s">
        <v>1</v>
      </c>
      <c r="Q1165" s="3" t="s">
        <v>7</v>
      </c>
      <c r="R1165" s="2" t="s">
        <v>10</v>
      </c>
      <c r="S1165" s="2" t="s">
        <v>8</v>
      </c>
      <c r="T1165" s="2" t="s">
        <v>2</v>
      </c>
      <c r="U1165" s="3" t="s">
        <v>7</v>
      </c>
      <c r="V1165" s="2" t="s">
        <v>10</v>
      </c>
      <c r="W1165" s="2" t="s">
        <v>8</v>
      </c>
      <c r="X1165" s="2" t="s">
        <v>2</v>
      </c>
      <c r="Y1165" s="3" t="s">
        <v>7</v>
      </c>
      <c r="Z1165" s="2" t="s">
        <v>10</v>
      </c>
      <c r="AA1165" s="2" t="s">
        <v>8</v>
      </c>
      <c r="AB1165" s="2" t="s">
        <v>2</v>
      </c>
      <c r="AC1165" s="134"/>
    </row>
    <row r="1166" spans="1:31" x14ac:dyDescent="0.15">
      <c r="A1166" s="106" t="s">
        <v>6</v>
      </c>
      <c r="B1166" s="41">
        <f>B1160</f>
        <v>10</v>
      </c>
      <c r="C1166" s="41">
        <f t="shared" ref="C1166:E1166" si="1832">C1160</f>
        <v>20</v>
      </c>
      <c r="D1166" s="41">
        <f t="shared" si="1832"/>
        <v>15</v>
      </c>
      <c r="E1166" s="42">
        <f t="shared" si="1832"/>
        <v>45</v>
      </c>
      <c r="F1166" s="41">
        <f>F1160</f>
        <v>17</v>
      </c>
      <c r="G1166" s="41">
        <f t="shared" ref="G1166:I1166" si="1833">G1160</f>
        <v>14</v>
      </c>
      <c r="H1166" s="41">
        <f t="shared" si="1833"/>
        <v>16</v>
      </c>
      <c r="I1166" s="42">
        <f t="shared" si="1833"/>
        <v>47</v>
      </c>
      <c r="J1166" s="41">
        <f>J1160</f>
        <v>1</v>
      </c>
      <c r="K1166" s="41">
        <f t="shared" ref="K1166:M1166" si="1834">K1160</f>
        <v>24</v>
      </c>
      <c r="L1166" s="41">
        <f t="shared" si="1834"/>
        <v>23</v>
      </c>
      <c r="M1166" s="42">
        <f t="shared" si="1834"/>
        <v>48</v>
      </c>
      <c r="N1166" s="143">
        <f>E1166+I1166+M1166</f>
        <v>140</v>
      </c>
      <c r="P1166" s="36" t="s">
        <v>6</v>
      </c>
      <c r="Q1166" s="41">
        <f>Q1160</f>
        <v>369</v>
      </c>
      <c r="R1166" s="41">
        <f t="shared" ref="R1166:AC1166" si="1835">R1160</f>
        <v>475</v>
      </c>
      <c r="S1166" s="41">
        <f t="shared" si="1835"/>
        <v>468</v>
      </c>
      <c r="T1166" s="42">
        <f t="shared" si="1835"/>
        <v>1312</v>
      </c>
      <c r="U1166" s="41">
        <f t="shared" si="1835"/>
        <v>344</v>
      </c>
      <c r="V1166" s="41">
        <f t="shared" si="1835"/>
        <v>625</v>
      </c>
      <c r="W1166" s="41">
        <f t="shared" si="1835"/>
        <v>494</v>
      </c>
      <c r="X1166" s="42">
        <f t="shared" si="1835"/>
        <v>1463</v>
      </c>
      <c r="Y1166" s="41">
        <f t="shared" si="1835"/>
        <v>307</v>
      </c>
      <c r="Z1166" s="41">
        <f t="shared" si="1835"/>
        <v>496</v>
      </c>
      <c r="AA1166" s="41">
        <f t="shared" si="1835"/>
        <v>379</v>
      </c>
      <c r="AB1166" s="42">
        <f t="shared" si="1835"/>
        <v>1182</v>
      </c>
      <c r="AC1166" s="90">
        <f t="shared" si="1835"/>
        <v>3957</v>
      </c>
    </row>
    <row r="1167" spans="1:31" x14ac:dyDescent="0.15">
      <c r="A1167" s="102" t="s">
        <v>3</v>
      </c>
      <c r="B1167" s="25">
        <v>10</v>
      </c>
      <c r="C1167" s="26"/>
      <c r="D1167" s="26"/>
      <c r="E1167" s="5">
        <f t="shared" ref="E1167:E1202" si="1836">SUM(B1167:D1167)</f>
        <v>10</v>
      </c>
      <c r="F1167" s="25"/>
      <c r="G1167" s="26"/>
      <c r="H1167" s="26">
        <v>10</v>
      </c>
      <c r="I1167" s="5">
        <f t="shared" ref="I1167:I1202" si="1837">SUM(F1167:H1167)</f>
        <v>10</v>
      </c>
      <c r="J1167" s="25"/>
      <c r="K1167" s="26"/>
      <c r="L1167" s="26">
        <v>10</v>
      </c>
      <c r="M1167" s="38">
        <f t="shared" ref="M1167:M1202" si="1838">SUM(J1167:L1167)</f>
        <v>10</v>
      </c>
      <c r="N1167" s="138">
        <f t="shared" ref="N1167:N1203" si="1839">E1167+I1167+M1167</f>
        <v>30</v>
      </c>
      <c r="O1167" s="24">
        <v>45895</v>
      </c>
      <c r="P1167" s="6" t="s">
        <v>3</v>
      </c>
      <c r="Q1167" s="14"/>
      <c r="R1167" s="11"/>
      <c r="S1167" s="11"/>
      <c r="T1167" s="5">
        <f t="shared" ref="T1167:T1196" si="1840">SUM(Q1167:S1167)</f>
        <v>0</v>
      </c>
      <c r="U1167" s="14"/>
      <c r="V1167" s="11"/>
      <c r="W1167" s="11"/>
      <c r="X1167" s="5">
        <f t="shared" ref="X1167:X1196" si="1841">SUM(U1167:W1167)</f>
        <v>0</v>
      </c>
      <c r="Y1167" s="25"/>
      <c r="Z1167" s="26"/>
      <c r="AA1167" s="26"/>
      <c r="AB1167" s="5">
        <f t="shared" ref="AB1167:AB1196" si="1842">SUM(Y1167:AA1167)</f>
        <v>0</v>
      </c>
      <c r="AC1167" s="86">
        <f t="shared" ref="AC1167:AC1196" si="1843">T1167+X1167+AB1167</f>
        <v>0</v>
      </c>
    </row>
    <row r="1168" spans="1:31" x14ac:dyDescent="0.15">
      <c r="A1168" s="102" t="s">
        <v>3</v>
      </c>
      <c r="B1168" s="14">
        <v>10</v>
      </c>
      <c r="C1168" s="11">
        <v>10</v>
      </c>
      <c r="D1168" s="11">
        <v>10</v>
      </c>
      <c r="E1168" s="5">
        <f t="shared" si="1836"/>
        <v>30</v>
      </c>
      <c r="F1168" s="34">
        <v>10</v>
      </c>
      <c r="G1168" s="11">
        <v>20</v>
      </c>
      <c r="H1168" s="11">
        <v>10</v>
      </c>
      <c r="I1168" s="5">
        <f t="shared" si="1837"/>
        <v>40</v>
      </c>
      <c r="J1168" s="34">
        <v>10</v>
      </c>
      <c r="K1168" s="11">
        <v>20</v>
      </c>
      <c r="L1168" s="11">
        <v>10</v>
      </c>
      <c r="M1168" s="38">
        <f t="shared" si="1838"/>
        <v>40</v>
      </c>
      <c r="N1168" s="138">
        <f t="shared" si="1839"/>
        <v>110</v>
      </c>
      <c r="O1168" s="24">
        <v>45899</v>
      </c>
      <c r="P1168" s="6" t="s">
        <v>3</v>
      </c>
      <c r="Q1168" s="14"/>
      <c r="R1168" s="11"/>
      <c r="S1168" s="11"/>
      <c r="T1168" s="5">
        <f t="shared" si="1840"/>
        <v>0</v>
      </c>
      <c r="U1168" s="14"/>
      <c r="V1168" s="11"/>
      <c r="W1168" s="11"/>
      <c r="X1168" s="5">
        <f t="shared" si="1841"/>
        <v>0</v>
      </c>
      <c r="Y1168" s="25"/>
      <c r="Z1168" s="26"/>
      <c r="AA1168" s="26"/>
      <c r="AB1168" s="5">
        <f t="shared" si="1842"/>
        <v>0</v>
      </c>
      <c r="AC1168" s="86">
        <f t="shared" si="1843"/>
        <v>0</v>
      </c>
    </row>
    <row r="1169" spans="1:31" x14ac:dyDescent="0.15">
      <c r="A1169" s="102" t="s">
        <v>3</v>
      </c>
      <c r="B1169" s="14"/>
      <c r="C1169" s="11">
        <v>20</v>
      </c>
      <c r="D1169" s="11">
        <v>20</v>
      </c>
      <c r="E1169" s="5">
        <f t="shared" si="1836"/>
        <v>40</v>
      </c>
      <c r="F1169" s="34"/>
      <c r="G1169" s="11">
        <v>10</v>
      </c>
      <c r="H1169" s="11">
        <v>10</v>
      </c>
      <c r="I1169" s="5">
        <f t="shared" si="1837"/>
        <v>20</v>
      </c>
      <c r="J1169" s="34">
        <v>30</v>
      </c>
      <c r="K1169" s="11"/>
      <c r="L1169" s="11">
        <v>10</v>
      </c>
      <c r="M1169" s="38">
        <f t="shared" si="1838"/>
        <v>40</v>
      </c>
      <c r="N1169" s="138">
        <f t="shared" si="1839"/>
        <v>100</v>
      </c>
      <c r="O1169" s="24">
        <v>45906</v>
      </c>
      <c r="P1169" s="6" t="s">
        <v>3</v>
      </c>
      <c r="Q1169" s="14"/>
      <c r="R1169" s="11"/>
      <c r="S1169" s="11"/>
      <c r="T1169" s="5">
        <f t="shared" ref="T1169" si="1844">SUM(Q1169:S1169)</f>
        <v>0</v>
      </c>
      <c r="U1169" s="14"/>
      <c r="V1169" s="11"/>
      <c r="W1169" s="11"/>
      <c r="X1169" s="5">
        <f t="shared" ref="X1169" si="1845">SUM(U1169:W1169)</f>
        <v>0</v>
      </c>
      <c r="Y1169" s="25"/>
      <c r="Z1169" s="26"/>
      <c r="AA1169" s="26"/>
      <c r="AB1169" s="5">
        <f t="shared" ref="AB1169" si="1846">SUM(Y1169:AA1169)</f>
        <v>0</v>
      </c>
      <c r="AC1169" s="86">
        <f t="shared" ref="AC1169" si="1847">T1169+X1169+AB1169</f>
        <v>0</v>
      </c>
    </row>
    <row r="1170" spans="1:31" x14ac:dyDescent="0.15">
      <c r="A1170" s="102" t="s">
        <v>3</v>
      </c>
      <c r="B1170" s="14"/>
      <c r="C1170" s="11"/>
      <c r="D1170" s="11"/>
      <c r="E1170" s="5">
        <f t="shared" si="1836"/>
        <v>0</v>
      </c>
      <c r="F1170" s="34"/>
      <c r="G1170" s="11"/>
      <c r="H1170" s="11"/>
      <c r="I1170" s="5">
        <f t="shared" si="1837"/>
        <v>0</v>
      </c>
      <c r="J1170" s="34"/>
      <c r="K1170" s="11"/>
      <c r="L1170" s="11"/>
      <c r="M1170" s="38">
        <f t="shared" si="1838"/>
        <v>0</v>
      </c>
      <c r="N1170" s="138">
        <f t="shared" si="1839"/>
        <v>0</v>
      </c>
      <c r="O1170" s="58"/>
      <c r="P1170" s="6" t="s">
        <v>3</v>
      </c>
      <c r="Q1170" s="14"/>
      <c r="R1170" s="11"/>
      <c r="S1170" s="11"/>
      <c r="T1170" s="5">
        <f t="shared" si="1840"/>
        <v>0</v>
      </c>
      <c r="U1170" s="14"/>
      <c r="V1170" s="11"/>
      <c r="W1170" s="11"/>
      <c r="X1170" s="5">
        <f t="shared" si="1841"/>
        <v>0</v>
      </c>
      <c r="Y1170" s="25"/>
      <c r="Z1170" s="26"/>
      <c r="AA1170" s="26"/>
      <c r="AB1170" s="5">
        <f t="shared" si="1842"/>
        <v>0</v>
      </c>
      <c r="AC1170" s="86">
        <f t="shared" si="1843"/>
        <v>0</v>
      </c>
    </row>
    <row r="1171" spans="1:31" x14ac:dyDescent="0.15">
      <c r="A1171" s="102" t="s">
        <v>3</v>
      </c>
      <c r="B1171" s="14"/>
      <c r="C1171" s="11"/>
      <c r="D1171" s="11"/>
      <c r="E1171" s="5">
        <f t="shared" si="1836"/>
        <v>0</v>
      </c>
      <c r="F1171" s="34"/>
      <c r="G1171" s="11"/>
      <c r="H1171" s="11"/>
      <c r="I1171" s="5">
        <f t="shared" si="1837"/>
        <v>0</v>
      </c>
      <c r="J1171" s="34"/>
      <c r="K1171" s="11"/>
      <c r="L1171" s="11"/>
      <c r="M1171" s="38">
        <f t="shared" si="1838"/>
        <v>0</v>
      </c>
      <c r="N1171" s="138">
        <f t="shared" si="1839"/>
        <v>0</v>
      </c>
      <c r="P1171" s="6" t="s">
        <v>3</v>
      </c>
      <c r="Q1171" s="14"/>
      <c r="R1171" s="11"/>
      <c r="S1171" s="11"/>
      <c r="T1171" s="5">
        <f t="shared" si="1840"/>
        <v>0</v>
      </c>
      <c r="U1171" s="14"/>
      <c r="V1171" s="11"/>
      <c r="W1171" s="11"/>
      <c r="X1171" s="5">
        <f t="shared" si="1841"/>
        <v>0</v>
      </c>
      <c r="Y1171" s="25"/>
      <c r="Z1171" s="26"/>
      <c r="AA1171" s="26"/>
      <c r="AB1171" s="5">
        <f t="shared" si="1842"/>
        <v>0</v>
      </c>
      <c r="AC1171" s="86">
        <f t="shared" si="1843"/>
        <v>0</v>
      </c>
    </row>
    <row r="1172" spans="1:31" x14ac:dyDescent="0.15">
      <c r="A1172" s="102" t="s">
        <v>3</v>
      </c>
      <c r="B1172" s="25"/>
      <c r="C1172" s="26"/>
      <c r="D1172" s="26"/>
      <c r="E1172" s="8">
        <f t="shared" si="1836"/>
        <v>0</v>
      </c>
      <c r="F1172" s="25"/>
      <c r="G1172" s="26"/>
      <c r="H1172" s="26"/>
      <c r="I1172" s="8">
        <f t="shared" si="1837"/>
        <v>0</v>
      </c>
      <c r="J1172" s="25"/>
      <c r="K1172" s="26"/>
      <c r="L1172" s="26"/>
      <c r="M1172" s="39">
        <f t="shared" si="1838"/>
        <v>0</v>
      </c>
      <c r="N1172" s="138">
        <f t="shared" si="1839"/>
        <v>0</v>
      </c>
      <c r="P1172" s="6" t="s">
        <v>3</v>
      </c>
      <c r="Q1172" s="14"/>
      <c r="R1172" s="11"/>
      <c r="S1172" s="11"/>
      <c r="T1172" s="5">
        <f t="shared" si="1840"/>
        <v>0</v>
      </c>
      <c r="U1172" s="14"/>
      <c r="V1172" s="11"/>
      <c r="W1172" s="11"/>
      <c r="X1172" s="5">
        <f t="shared" si="1841"/>
        <v>0</v>
      </c>
      <c r="Y1172" s="25"/>
      <c r="Z1172" s="26"/>
      <c r="AA1172" s="26"/>
      <c r="AB1172" s="8">
        <f t="shared" si="1842"/>
        <v>0</v>
      </c>
      <c r="AC1172" s="86">
        <f t="shared" si="1843"/>
        <v>0</v>
      </c>
    </row>
    <row r="1173" spans="1:31" x14ac:dyDescent="0.15">
      <c r="A1173" s="102" t="s">
        <v>3</v>
      </c>
      <c r="B1173" s="27"/>
      <c r="C1173" s="26"/>
      <c r="D1173" s="26"/>
      <c r="E1173" s="5">
        <f t="shared" si="1836"/>
        <v>0</v>
      </c>
      <c r="F1173" s="25"/>
      <c r="G1173" s="26"/>
      <c r="H1173" s="26"/>
      <c r="I1173" s="5">
        <f t="shared" si="1837"/>
        <v>0</v>
      </c>
      <c r="J1173" s="25"/>
      <c r="K1173" s="26"/>
      <c r="L1173" s="26"/>
      <c r="M1173" s="38">
        <f t="shared" si="1838"/>
        <v>0</v>
      </c>
      <c r="N1173" s="138">
        <f t="shared" si="1839"/>
        <v>0</v>
      </c>
      <c r="P1173" s="6" t="s">
        <v>3</v>
      </c>
      <c r="Q1173" s="27"/>
      <c r="R1173" s="26"/>
      <c r="S1173" s="26"/>
      <c r="T1173" s="5">
        <f t="shared" si="1840"/>
        <v>0</v>
      </c>
      <c r="U1173" s="27"/>
      <c r="V1173" s="26"/>
      <c r="W1173" s="26"/>
      <c r="X1173" s="5">
        <f t="shared" si="1841"/>
        <v>0</v>
      </c>
      <c r="Y1173" s="25"/>
      <c r="Z1173" s="26"/>
      <c r="AA1173" s="26"/>
      <c r="AB1173" s="5">
        <f t="shared" si="1842"/>
        <v>0</v>
      </c>
      <c r="AC1173" s="86">
        <f t="shared" si="1843"/>
        <v>0</v>
      </c>
    </row>
    <row r="1174" spans="1:31" x14ac:dyDescent="0.15">
      <c r="A1174" s="102" t="s">
        <v>3</v>
      </c>
      <c r="B1174" s="27"/>
      <c r="C1174" s="26"/>
      <c r="D1174" s="26"/>
      <c r="E1174" s="5">
        <f t="shared" si="1836"/>
        <v>0</v>
      </c>
      <c r="F1174" s="25"/>
      <c r="G1174" s="26"/>
      <c r="H1174" s="26"/>
      <c r="I1174" s="5">
        <f t="shared" si="1837"/>
        <v>0</v>
      </c>
      <c r="J1174" s="25"/>
      <c r="K1174" s="26"/>
      <c r="L1174" s="26"/>
      <c r="M1174" s="38">
        <f t="shared" si="1838"/>
        <v>0</v>
      </c>
      <c r="N1174" s="138">
        <f t="shared" si="1839"/>
        <v>0</v>
      </c>
      <c r="P1174" s="6" t="s">
        <v>3</v>
      </c>
      <c r="Q1174" s="14"/>
      <c r="R1174" s="11"/>
      <c r="S1174" s="11"/>
      <c r="T1174" s="5">
        <f t="shared" si="1840"/>
        <v>0</v>
      </c>
      <c r="U1174" s="14"/>
      <c r="V1174" s="11"/>
      <c r="W1174" s="11"/>
      <c r="X1174" s="5">
        <f t="shared" si="1841"/>
        <v>0</v>
      </c>
      <c r="Y1174" s="25"/>
      <c r="Z1174" s="26"/>
      <c r="AA1174" s="26"/>
      <c r="AB1174" s="8">
        <f t="shared" si="1842"/>
        <v>0</v>
      </c>
      <c r="AC1174" s="86">
        <f t="shared" si="1843"/>
        <v>0</v>
      </c>
    </row>
    <row r="1175" spans="1:31" x14ac:dyDescent="0.15">
      <c r="A1175" s="102" t="s">
        <v>3</v>
      </c>
      <c r="B1175" s="27"/>
      <c r="C1175" s="26"/>
      <c r="D1175" s="26"/>
      <c r="E1175" s="5">
        <f t="shared" si="1836"/>
        <v>0</v>
      </c>
      <c r="F1175" s="25"/>
      <c r="G1175" s="26"/>
      <c r="H1175" s="26"/>
      <c r="I1175" s="5">
        <f t="shared" si="1837"/>
        <v>0</v>
      </c>
      <c r="J1175" s="25"/>
      <c r="K1175" s="26"/>
      <c r="L1175" s="26"/>
      <c r="M1175" s="38">
        <f t="shared" si="1838"/>
        <v>0</v>
      </c>
      <c r="N1175" s="138">
        <f t="shared" si="1839"/>
        <v>0</v>
      </c>
      <c r="P1175" s="6" t="s">
        <v>3</v>
      </c>
      <c r="Q1175" s="27"/>
      <c r="R1175" s="26"/>
      <c r="S1175" s="26"/>
      <c r="T1175" s="5">
        <f t="shared" si="1840"/>
        <v>0</v>
      </c>
      <c r="U1175" s="27"/>
      <c r="V1175" s="26"/>
      <c r="W1175" s="26"/>
      <c r="X1175" s="5">
        <f t="shared" si="1841"/>
        <v>0</v>
      </c>
      <c r="Y1175" s="25"/>
      <c r="Z1175" s="26"/>
      <c r="AA1175" s="26"/>
      <c r="AB1175" s="5">
        <f t="shared" si="1842"/>
        <v>0</v>
      </c>
      <c r="AC1175" s="86">
        <f t="shared" si="1843"/>
        <v>0</v>
      </c>
    </row>
    <row r="1176" spans="1:31" ht="14.25" thickBot="1" x14ac:dyDescent="0.2">
      <c r="A1176" s="102" t="s">
        <v>3</v>
      </c>
      <c r="B1176" s="27"/>
      <c r="C1176" s="26"/>
      <c r="D1176" s="26"/>
      <c r="E1176" s="5">
        <f t="shared" ref="E1176" si="1848">SUM(B1176:D1176)</f>
        <v>0</v>
      </c>
      <c r="F1176" s="25"/>
      <c r="G1176" s="26"/>
      <c r="H1176" s="26"/>
      <c r="I1176" s="5">
        <f t="shared" ref="I1176" si="1849">SUM(F1176:H1176)</f>
        <v>0</v>
      </c>
      <c r="J1176" s="25"/>
      <c r="K1176" s="26"/>
      <c r="L1176" s="26"/>
      <c r="M1176" s="40">
        <f t="shared" si="1838"/>
        <v>0</v>
      </c>
      <c r="N1176" s="139">
        <f t="shared" si="1839"/>
        <v>0</v>
      </c>
      <c r="P1176" s="7" t="s">
        <v>3</v>
      </c>
      <c r="Q1176" s="28"/>
      <c r="R1176" s="29"/>
      <c r="S1176" s="29"/>
      <c r="T1176" s="15">
        <f t="shared" si="1840"/>
        <v>0</v>
      </c>
      <c r="U1176" s="28"/>
      <c r="V1176" s="29"/>
      <c r="W1176" s="29"/>
      <c r="X1176" s="15">
        <f t="shared" si="1841"/>
        <v>0</v>
      </c>
      <c r="Y1176" s="35"/>
      <c r="Z1176" s="29"/>
      <c r="AA1176" s="32"/>
      <c r="AB1176" s="15">
        <f t="shared" si="1842"/>
        <v>0</v>
      </c>
      <c r="AC1176" s="87">
        <f t="shared" si="1843"/>
        <v>0</v>
      </c>
    </row>
    <row r="1177" spans="1:31" ht="14.25" thickBot="1" x14ac:dyDescent="0.2">
      <c r="A1177" s="103" t="s">
        <v>4</v>
      </c>
      <c r="B1177" s="17">
        <f>SUM(B1166:B1176)</f>
        <v>30</v>
      </c>
      <c r="C1177" s="17">
        <f>SUM(C1166:C1176)</f>
        <v>50</v>
      </c>
      <c r="D1177" s="17">
        <f>SUM(D1166:D1176)</f>
        <v>45</v>
      </c>
      <c r="E1177" s="18">
        <f t="shared" si="1836"/>
        <v>125</v>
      </c>
      <c r="F1177" s="17">
        <f>SUM(F1166:F1176)</f>
        <v>27</v>
      </c>
      <c r="G1177" s="17">
        <f>SUM(G1166:G1176)</f>
        <v>44</v>
      </c>
      <c r="H1177" s="17">
        <f>SUM(H1166:H1176)</f>
        <v>46</v>
      </c>
      <c r="I1177" s="18">
        <f t="shared" si="1837"/>
        <v>117</v>
      </c>
      <c r="J1177" s="17">
        <f>SUM(J1166:J1176)</f>
        <v>41</v>
      </c>
      <c r="K1177" s="17">
        <f>SUM(K1166:K1176)</f>
        <v>44</v>
      </c>
      <c r="L1177" s="17">
        <f>SUM(L1166:L1176)</f>
        <v>53</v>
      </c>
      <c r="M1177" s="20">
        <f t="shared" si="1838"/>
        <v>138</v>
      </c>
      <c r="N1177" s="140">
        <f t="shared" si="1839"/>
        <v>380</v>
      </c>
      <c r="P1177" s="16" t="s">
        <v>4</v>
      </c>
      <c r="Q1177" s="17">
        <f>SUM(Q1166:Q1176)</f>
        <v>369</v>
      </c>
      <c r="R1177" s="17">
        <f t="shared" ref="R1177" si="1850">SUM(R1166:R1176)</f>
        <v>475</v>
      </c>
      <c r="S1177" s="17">
        <f t="shared" ref="S1177" si="1851">SUM(S1166:S1176)</f>
        <v>468</v>
      </c>
      <c r="T1177" s="18">
        <f t="shared" ref="T1177" si="1852">SUM(T1166:T1176)</f>
        <v>1312</v>
      </c>
      <c r="U1177" s="17">
        <f t="shared" ref="U1177" si="1853">SUM(U1166:U1176)</f>
        <v>344</v>
      </c>
      <c r="V1177" s="17">
        <f t="shared" ref="V1177" si="1854">SUM(V1166:V1176)</f>
        <v>625</v>
      </c>
      <c r="W1177" s="17">
        <f t="shared" ref="W1177" si="1855">SUM(W1166:W1176)</f>
        <v>494</v>
      </c>
      <c r="X1177" s="18">
        <f t="shared" ref="X1177" si="1856">SUM(X1166:X1176)</f>
        <v>1463</v>
      </c>
      <c r="Y1177" s="17">
        <f t="shared" ref="Y1177" si="1857">SUM(Y1166:Y1176)</f>
        <v>307</v>
      </c>
      <c r="Z1177" s="17">
        <f t="shared" ref="Z1177" si="1858">SUM(Z1166:Z1176)</f>
        <v>496</v>
      </c>
      <c r="AA1177" s="17">
        <f t="shared" ref="AA1177" si="1859">SUM(AA1166:AA1176)</f>
        <v>379</v>
      </c>
      <c r="AB1177" s="18">
        <f t="shared" ref="AB1177" si="1860">SUM(AB1166:AB1176)</f>
        <v>1182</v>
      </c>
      <c r="AC1177" s="88">
        <f t="shared" ref="AC1177" si="1861">SUM(AC1166:AC1176)</f>
        <v>3957</v>
      </c>
    </row>
    <row r="1178" spans="1:31" x14ac:dyDescent="0.15">
      <c r="A1178" s="4" t="s">
        <v>1061</v>
      </c>
      <c r="B1178" s="9"/>
      <c r="C1178" s="10"/>
      <c r="D1178" s="31">
        <v>3</v>
      </c>
      <c r="E1178" s="5">
        <f t="shared" si="1836"/>
        <v>3</v>
      </c>
      <c r="F1178" s="9"/>
      <c r="G1178" s="10"/>
      <c r="H1178" s="31">
        <v>3</v>
      </c>
      <c r="I1178" s="5">
        <f t="shared" si="1837"/>
        <v>3</v>
      </c>
      <c r="J1178" s="9"/>
      <c r="K1178" s="10"/>
      <c r="L1178" s="31">
        <v>3</v>
      </c>
      <c r="M1178" s="38">
        <f t="shared" si="1838"/>
        <v>3</v>
      </c>
      <c r="N1178" s="141">
        <f t="shared" si="1839"/>
        <v>9</v>
      </c>
      <c r="O1178" s="24">
        <v>45894</v>
      </c>
      <c r="P1178" s="4" t="s">
        <v>1057</v>
      </c>
      <c r="Q1178" s="9">
        <v>54</v>
      </c>
      <c r="R1178" s="10">
        <v>41</v>
      </c>
      <c r="S1178" s="31">
        <v>16</v>
      </c>
      <c r="T1178" s="5">
        <f t="shared" si="1840"/>
        <v>111</v>
      </c>
      <c r="U1178" s="9">
        <v>54</v>
      </c>
      <c r="V1178" s="10">
        <v>41</v>
      </c>
      <c r="W1178" s="31">
        <v>16</v>
      </c>
      <c r="X1178" s="5">
        <f t="shared" si="1841"/>
        <v>111</v>
      </c>
      <c r="Y1178" s="9">
        <v>54</v>
      </c>
      <c r="Z1178" s="10">
        <v>41</v>
      </c>
      <c r="AA1178" s="31">
        <v>16</v>
      </c>
      <c r="AB1178" s="5">
        <f t="shared" si="1842"/>
        <v>111</v>
      </c>
      <c r="AC1178" s="148">
        <f t="shared" si="1843"/>
        <v>333</v>
      </c>
      <c r="AD1178" s="109">
        <v>45891</v>
      </c>
    </row>
    <row r="1179" spans="1:31" x14ac:dyDescent="0.15">
      <c r="A1179" s="11" t="s">
        <v>1062</v>
      </c>
      <c r="B1179" s="9"/>
      <c r="C1179" s="10"/>
      <c r="D1179" s="10">
        <v>1</v>
      </c>
      <c r="E1179" s="5">
        <f t="shared" si="1836"/>
        <v>1</v>
      </c>
      <c r="F1179" s="9"/>
      <c r="G1179" s="10"/>
      <c r="H1179" s="10">
        <v>1</v>
      </c>
      <c r="I1179" s="5">
        <f t="shared" si="1837"/>
        <v>1</v>
      </c>
      <c r="J1179" s="9"/>
      <c r="K1179" s="10"/>
      <c r="L1179" s="10">
        <v>1</v>
      </c>
      <c r="M1179" s="38">
        <f t="shared" si="1838"/>
        <v>1</v>
      </c>
      <c r="N1179" s="138">
        <f t="shared" si="1839"/>
        <v>3</v>
      </c>
      <c r="O1179" s="24">
        <v>45894</v>
      </c>
      <c r="P1179" s="4" t="s">
        <v>1059</v>
      </c>
      <c r="Q1179" s="9">
        <v>2</v>
      </c>
      <c r="R1179" s="10">
        <v>3</v>
      </c>
      <c r="S1179" s="10">
        <v>5</v>
      </c>
      <c r="T1179" s="5">
        <f t="shared" si="1840"/>
        <v>10</v>
      </c>
      <c r="U1179" s="9">
        <v>2</v>
      </c>
      <c r="V1179" s="10">
        <v>3</v>
      </c>
      <c r="W1179" s="10">
        <v>5</v>
      </c>
      <c r="X1179" s="5">
        <f t="shared" si="1841"/>
        <v>10</v>
      </c>
      <c r="Y1179" s="9">
        <v>2</v>
      </c>
      <c r="Z1179" s="10">
        <v>3</v>
      </c>
      <c r="AA1179" s="10">
        <v>5</v>
      </c>
      <c r="AB1179" s="5">
        <f t="shared" si="1842"/>
        <v>10</v>
      </c>
      <c r="AC1179" s="93">
        <f t="shared" si="1843"/>
        <v>30</v>
      </c>
      <c r="AD1179" s="109">
        <v>45891</v>
      </c>
    </row>
    <row r="1180" spans="1:31" x14ac:dyDescent="0.15">
      <c r="A1180" s="33" t="s">
        <v>36</v>
      </c>
      <c r="B1180" s="9"/>
      <c r="C1180" s="10"/>
      <c r="D1180" s="10"/>
      <c r="E1180" s="5">
        <f t="shared" si="1836"/>
        <v>0</v>
      </c>
      <c r="F1180" s="9">
        <v>-1</v>
      </c>
      <c r="G1180" s="10">
        <v>1</v>
      </c>
      <c r="H1180" s="10">
        <v>2</v>
      </c>
      <c r="I1180" s="5">
        <f t="shared" si="1837"/>
        <v>2</v>
      </c>
      <c r="J1180" s="9">
        <v>-1</v>
      </c>
      <c r="K1180" s="10">
        <v>1</v>
      </c>
      <c r="L1180" s="10">
        <v>1</v>
      </c>
      <c r="M1180" s="38">
        <f t="shared" si="1838"/>
        <v>1</v>
      </c>
      <c r="N1180" s="138">
        <f t="shared" si="1839"/>
        <v>3</v>
      </c>
      <c r="O1180" s="24">
        <v>45894</v>
      </c>
      <c r="P1180" s="4" t="s">
        <v>1063</v>
      </c>
      <c r="Q1180" s="9">
        <v>2</v>
      </c>
      <c r="R1180" s="10">
        <v>5</v>
      </c>
      <c r="S1180" s="10">
        <v>16</v>
      </c>
      <c r="T1180" s="5">
        <f t="shared" si="1840"/>
        <v>23</v>
      </c>
      <c r="U1180" s="9">
        <v>2</v>
      </c>
      <c r="V1180" s="10">
        <v>5</v>
      </c>
      <c r="W1180" s="10">
        <v>16</v>
      </c>
      <c r="X1180" s="5">
        <f t="shared" si="1841"/>
        <v>23</v>
      </c>
      <c r="Y1180" s="9">
        <v>2</v>
      </c>
      <c r="Z1180" s="10">
        <v>5</v>
      </c>
      <c r="AA1180" s="10">
        <v>16</v>
      </c>
      <c r="AB1180" s="5">
        <f t="shared" si="1842"/>
        <v>23</v>
      </c>
      <c r="AC1180" s="93">
        <f t="shared" si="1843"/>
        <v>69</v>
      </c>
      <c r="AD1180" s="109">
        <v>45896</v>
      </c>
    </row>
    <row r="1181" spans="1:31" x14ac:dyDescent="0.15">
      <c r="A1181" s="4" t="s">
        <v>1066</v>
      </c>
      <c r="B1181" s="9"/>
      <c r="C1181" s="10">
        <v>3</v>
      </c>
      <c r="D1181" s="10">
        <v>2</v>
      </c>
      <c r="E1181" s="5">
        <f t="shared" si="1836"/>
        <v>5</v>
      </c>
      <c r="F1181" s="9"/>
      <c r="G1181" s="10">
        <v>3</v>
      </c>
      <c r="H1181" s="10">
        <v>2</v>
      </c>
      <c r="I1181" s="5">
        <f t="shared" si="1837"/>
        <v>5</v>
      </c>
      <c r="J1181" s="9"/>
      <c r="K1181" s="10">
        <v>3</v>
      </c>
      <c r="L1181" s="10">
        <v>2</v>
      </c>
      <c r="M1181" s="38">
        <f t="shared" si="1838"/>
        <v>5</v>
      </c>
      <c r="N1181" s="138">
        <f t="shared" si="1839"/>
        <v>15</v>
      </c>
      <c r="O1181" s="24">
        <v>45897</v>
      </c>
      <c r="P1181" s="4" t="s">
        <v>1064</v>
      </c>
      <c r="Q1181" s="9"/>
      <c r="R1181" s="10">
        <v>30</v>
      </c>
      <c r="S1181" s="10">
        <v>19</v>
      </c>
      <c r="T1181" s="5">
        <f t="shared" si="1840"/>
        <v>49</v>
      </c>
      <c r="U1181" s="9"/>
      <c r="V1181" s="10">
        <v>30</v>
      </c>
      <c r="W1181" s="10">
        <v>19</v>
      </c>
      <c r="X1181" s="5">
        <f t="shared" si="1841"/>
        <v>49</v>
      </c>
      <c r="Y1181" s="9"/>
      <c r="Z1181" s="10">
        <v>30</v>
      </c>
      <c r="AA1181" s="10">
        <v>19</v>
      </c>
      <c r="AB1181" s="5">
        <f t="shared" si="1842"/>
        <v>49</v>
      </c>
      <c r="AC1181" s="93">
        <f t="shared" si="1843"/>
        <v>147</v>
      </c>
      <c r="AD1181" s="109">
        <v>45896</v>
      </c>
    </row>
    <row r="1182" spans="1:31" x14ac:dyDescent="0.15">
      <c r="A1182" s="33" t="s">
        <v>36</v>
      </c>
      <c r="B1182" s="9">
        <v>1</v>
      </c>
      <c r="C1182" s="10"/>
      <c r="D1182" s="10"/>
      <c r="E1182" s="5">
        <f t="shared" si="1836"/>
        <v>1</v>
      </c>
      <c r="F1182" s="9">
        <v>1</v>
      </c>
      <c r="G1182" s="10"/>
      <c r="H1182" s="10"/>
      <c r="I1182" s="5">
        <f t="shared" si="1837"/>
        <v>1</v>
      </c>
      <c r="J1182" s="9">
        <v>1</v>
      </c>
      <c r="K1182" s="10"/>
      <c r="L1182" s="10"/>
      <c r="M1182" s="38">
        <f t="shared" si="1838"/>
        <v>1</v>
      </c>
      <c r="N1182" s="138">
        <f t="shared" si="1839"/>
        <v>3</v>
      </c>
      <c r="O1182" s="24">
        <v>45895</v>
      </c>
      <c r="P1182" s="4" t="s">
        <v>27</v>
      </c>
      <c r="Q1182" s="9">
        <v>10</v>
      </c>
      <c r="R1182" s="10"/>
      <c r="S1182" s="10"/>
      <c r="T1182" s="5">
        <f t="shared" ref="T1182" si="1862">SUM(Q1182:S1182)</f>
        <v>10</v>
      </c>
      <c r="U1182" s="9"/>
      <c r="V1182" s="10"/>
      <c r="W1182" s="10">
        <v>10</v>
      </c>
      <c r="X1182" s="5">
        <f t="shared" ref="X1182" si="1863">SUM(U1182:W1182)</f>
        <v>10</v>
      </c>
      <c r="Y1182" s="9"/>
      <c r="Z1182" s="10"/>
      <c r="AA1182" s="10">
        <v>10</v>
      </c>
      <c r="AB1182" s="5">
        <f t="shared" ref="AB1182" si="1864">SUM(Y1182:AA1182)</f>
        <v>10</v>
      </c>
      <c r="AC1182" s="145">
        <f t="shared" si="1843"/>
        <v>30</v>
      </c>
      <c r="AD1182" s="109">
        <v>45895</v>
      </c>
    </row>
    <row r="1183" spans="1:31" x14ac:dyDescent="0.15">
      <c r="A1183" s="11" t="s">
        <v>1075</v>
      </c>
      <c r="B1183" s="9"/>
      <c r="C1183" s="10"/>
      <c r="D1183" s="10">
        <v>2</v>
      </c>
      <c r="E1183" s="8">
        <f t="shared" si="1836"/>
        <v>2</v>
      </c>
      <c r="F1183" s="9"/>
      <c r="G1183" s="10"/>
      <c r="H1183" s="10">
        <v>2</v>
      </c>
      <c r="I1183" s="8">
        <f t="shared" si="1837"/>
        <v>2</v>
      </c>
      <c r="J1183" s="9"/>
      <c r="K1183" s="10"/>
      <c r="L1183" s="10">
        <v>2</v>
      </c>
      <c r="M1183" s="39">
        <f t="shared" si="1838"/>
        <v>2</v>
      </c>
      <c r="N1183" s="138">
        <f t="shared" si="1839"/>
        <v>6</v>
      </c>
      <c r="O1183" s="24">
        <v>45898</v>
      </c>
      <c r="P1183" s="4" t="s">
        <v>1065</v>
      </c>
      <c r="Q1183" s="9">
        <v>11</v>
      </c>
      <c r="R1183" s="10"/>
      <c r="S1183" s="10">
        <v>11</v>
      </c>
      <c r="T1183" s="8">
        <f t="shared" si="1840"/>
        <v>22</v>
      </c>
      <c r="U1183" s="9">
        <v>11</v>
      </c>
      <c r="V1183" s="10"/>
      <c r="W1183" s="10">
        <v>11</v>
      </c>
      <c r="X1183" s="8">
        <f t="shared" si="1841"/>
        <v>22</v>
      </c>
      <c r="Y1183" s="9">
        <v>11</v>
      </c>
      <c r="Z1183" s="10"/>
      <c r="AA1183" s="10">
        <v>11</v>
      </c>
      <c r="AB1183" s="8">
        <f t="shared" si="1842"/>
        <v>22</v>
      </c>
      <c r="AC1183" s="93">
        <f t="shared" si="1843"/>
        <v>66</v>
      </c>
      <c r="AD1183" s="109">
        <v>45898</v>
      </c>
    </row>
    <row r="1184" spans="1:31" x14ac:dyDescent="0.15">
      <c r="A1184" s="33" t="s">
        <v>36</v>
      </c>
      <c r="B1184" s="9"/>
      <c r="C1184" s="10"/>
      <c r="D1184" s="10"/>
      <c r="E1184" s="8">
        <f t="shared" si="1836"/>
        <v>0</v>
      </c>
      <c r="F1184" s="9"/>
      <c r="G1184" s="10">
        <v>1</v>
      </c>
      <c r="H1184" s="10"/>
      <c r="I1184" s="8">
        <f t="shared" si="1837"/>
        <v>1</v>
      </c>
      <c r="J1184" s="9"/>
      <c r="K1184" s="10"/>
      <c r="L1184" s="10"/>
      <c r="M1184" s="39">
        <f t="shared" si="1838"/>
        <v>0</v>
      </c>
      <c r="N1184" s="138">
        <f t="shared" si="1839"/>
        <v>1</v>
      </c>
      <c r="O1184" s="70">
        <v>45896</v>
      </c>
      <c r="P1184" s="4" t="s">
        <v>1074</v>
      </c>
      <c r="Q1184" s="9">
        <v>3</v>
      </c>
      <c r="R1184" s="10">
        <v>4</v>
      </c>
      <c r="S1184" s="10"/>
      <c r="T1184" s="8">
        <f t="shared" si="1840"/>
        <v>7</v>
      </c>
      <c r="U1184" s="9">
        <v>3</v>
      </c>
      <c r="V1184" s="10">
        <v>4</v>
      </c>
      <c r="W1184" s="10"/>
      <c r="X1184" s="8">
        <f t="shared" si="1841"/>
        <v>7</v>
      </c>
      <c r="Y1184" s="9">
        <v>3</v>
      </c>
      <c r="Z1184" s="10">
        <v>4</v>
      </c>
      <c r="AA1184" s="10"/>
      <c r="AB1184" s="8">
        <f t="shared" si="1842"/>
        <v>7</v>
      </c>
      <c r="AC1184" s="93">
        <f t="shared" si="1843"/>
        <v>21</v>
      </c>
      <c r="AD1184" s="109">
        <v>45898</v>
      </c>
      <c r="AE1184" s="58"/>
    </row>
    <row r="1185" spans="1:31" x14ac:dyDescent="0.15">
      <c r="A1185" s="4" t="s">
        <v>1076</v>
      </c>
      <c r="B1185" s="9">
        <v>1</v>
      </c>
      <c r="C1185" s="10">
        <v>3</v>
      </c>
      <c r="D1185" s="10">
        <v>1</v>
      </c>
      <c r="E1185" s="8">
        <f t="shared" si="1836"/>
        <v>5</v>
      </c>
      <c r="F1185" s="9">
        <v>1</v>
      </c>
      <c r="G1185" s="10">
        <v>3</v>
      </c>
      <c r="H1185" s="10">
        <v>1</v>
      </c>
      <c r="I1185" s="8">
        <f t="shared" si="1837"/>
        <v>5</v>
      </c>
      <c r="J1185" s="9">
        <v>1</v>
      </c>
      <c r="K1185" s="10">
        <v>3</v>
      </c>
      <c r="L1185" s="10">
        <v>1</v>
      </c>
      <c r="M1185" s="39">
        <f t="shared" si="1838"/>
        <v>5</v>
      </c>
      <c r="N1185" s="138">
        <f t="shared" si="1839"/>
        <v>15</v>
      </c>
      <c r="O1185" s="24">
        <v>45898</v>
      </c>
      <c r="P1185" s="4" t="s">
        <v>27</v>
      </c>
      <c r="Q1185" s="9">
        <v>10</v>
      </c>
      <c r="R1185" s="10">
        <v>10</v>
      </c>
      <c r="S1185" s="10">
        <v>10</v>
      </c>
      <c r="T1185" s="8">
        <f t="shared" ref="T1185" si="1865">SUM(Q1185:S1185)</f>
        <v>30</v>
      </c>
      <c r="U1185" s="9">
        <v>10</v>
      </c>
      <c r="V1185" s="10">
        <v>20</v>
      </c>
      <c r="W1185" s="10">
        <v>10</v>
      </c>
      <c r="X1185" s="8">
        <f t="shared" ref="X1185" si="1866">SUM(U1185:W1185)</f>
        <v>40</v>
      </c>
      <c r="Y1185" s="9">
        <v>10</v>
      </c>
      <c r="Z1185" s="10">
        <v>20</v>
      </c>
      <c r="AA1185" s="10">
        <v>10</v>
      </c>
      <c r="AB1185" s="8">
        <f t="shared" ref="AB1185" si="1867">SUM(Y1185:AA1185)</f>
        <v>40</v>
      </c>
      <c r="AC1185" s="145">
        <f t="shared" si="1843"/>
        <v>110</v>
      </c>
      <c r="AD1185" s="109">
        <v>45899</v>
      </c>
    </row>
    <row r="1186" spans="1:31" x14ac:dyDescent="0.15">
      <c r="A1186" s="33" t="s">
        <v>36</v>
      </c>
      <c r="B1186" s="9"/>
      <c r="C1186" s="10"/>
      <c r="D1186" s="10"/>
      <c r="E1186" s="8">
        <f t="shared" si="1836"/>
        <v>0</v>
      </c>
      <c r="F1186" s="9"/>
      <c r="G1186" s="10">
        <v>1</v>
      </c>
      <c r="H1186" s="10"/>
      <c r="I1186" s="8">
        <f t="shared" si="1837"/>
        <v>1</v>
      </c>
      <c r="J1186" s="9"/>
      <c r="K1186" s="10"/>
      <c r="L1186" s="10"/>
      <c r="M1186" s="39">
        <f t="shared" si="1838"/>
        <v>0</v>
      </c>
      <c r="N1186" s="138">
        <f t="shared" si="1839"/>
        <v>1</v>
      </c>
      <c r="O1186" s="24">
        <v>45897</v>
      </c>
      <c r="P1186" s="4" t="s">
        <v>1081</v>
      </c>
      <c r="Q1186" s="9">
        <v>60</v>
      </c>
      <c r="R1186" s="10"/>
      <c r="S1186" s="10">
        <v>40</v>
      </c>
      <c r="T1186" s="8">
        <f t="shared" si="1840"/>
        <v>100</v>
      </c>
      <c r="U1186" s="9"/>
      <c r="V1186" s="10"/>
      <c r="W1186" s="10"/>
      <c r="X1186" s="8">
        <f t="shared" si="1841"/>
        <v>0</v>
      </c>
      <c r="Y1186" s="9">
        <v>30</v>
      </c>
      <c r="Z1186" s="10"/>
      <c r="AA1186" s="10">
        <v>30</v>
      </c>
      <c r="AB1186" s="8">
        <f t="shared" si="1842"/>
        <v>60</v>
      </c>
      <c r="AC1186" s="93">
        <f t="shared" si="1843"/>
        <v>160</v>
      </c>
      <c r="AD1186" s="109">
        <v>45904</v>
      </c>
    </row>
    <row r="1187" spans="1:31" x14ac:dyDescent="0.15">
      <c r="A1187" s="33" t="s">
        <v>36</v>
      </c>
      <c r="B1187" s="9"/>
      <c r="C1187" s="10">
        <v>1</v>
      </c>
      <c r="D1187" s="10"/>
      <c r="E1187" s="8">
        <f t="shared" ref="E1187:E1188" si="1868">SUM(B1187:D1187)</f>
        <v>1</v>
      </c>
      <c r="F1187" s="9"/>
      <c r="G1187" s="10">
        <v>1</v>
      </c>
      <c r="H1187" s="10"/>
      <c r="I1187" s="8">
        <f t="shared" ref="I1187" si="1869">SUM(F1187:H1187)</f>
        <v>1</v>
      </c>
      <c r="J1187" s="9"/>
      <c r="K1187" s="10">
        <v>1</v>
      </c>
      <c r="L1187" s="10"/>
      <c r="M1187" s="39">
        <f t="shared" ref="M1187" si="1870">SUM(J1187:L1187)</f>
        <v>1</v>
      </c>
      <c r="N1187" s="138">
        <f t="shared" ref="N1187:N1188" si="1871">E1187+I1187+M1187</f>
        <v>3</v>
      </c>
      <c r="O1187" s="24">
        <v>45898</v>
      </c>
      <c r="P1187" s="4" t="s">
        <v>1084</v>
      </c>
      <c r="Q1187" s="9">
        <v>20</v>
      </c>
      <c r="R1187" s="10">
        <v>20</v>
      </c>
      <c r="S1187" s="10">
        <v>20</v>
      </c>
      <c r="T1187" s="8">
        <f t="shared" si="1840"/>
        <v>60</v>
      </c>
      <c r="U1187" s="9">
        <v>20</v>
      </c>
      <c r="V1187" s="10">
        <v>20</v>
      </c>
      <c r="W1187" s="10">
        <v>20</v>
      </c>
      <c r="X1187" s="8">
        <f t="shared" si="1841"/>
        <v>60</v>
      </c>
      <c r="Y1187" s="9">
        <v>20</v>
      </c>
      <c r="Z1187" s="10">
        <v>20</v>
      </c>
      <c r="AA1187" s="10">
        <v>20</v>
      </c>
      <c r="AB1187" s="8">
        <f t="shared" si="1842"/>
        <v>60</v>
      </c>
      <c r="AC1187" s="93">
        <f t="shared" si="1843"/>
        <v>180</v>
      </c>
      <c r="AD1187" s="109">
        <v>45905</v>
      </c>
    </row>
    <row r="1188" spans="1:31" x14ac:dyDescent="0.15">
      <c r="A1188" s="4" t="s">
        <v>1078</v>
      </c>
      <c r="B1188" s="9">
        <v>1</v>
      </c>
      <c r="C1188" s="10">
        <v>3</v>
      </c>
      <c r="D1188" s="10">
        <v>2</v>
      </c>
      <c r="E1188" s="8">
        <f t="shared" si="1868"/>
        <v>6</v>
      </c>
      <c r="F1188" s="9">
        <v>1</v>
      </c>
      <c r="G1188" s="10">
        <v>3</v>
      </c>
      <c r="H1188" s="10">
        <v>2</v>
      </c>
      <c r="I1188" s="8">
        <f t="shared" ref="I1188" si="1872">SUM(F1188:H1188)</f>
        <v>6</v>
      </c>
      <c r="J1188" s="9">
        <v>1</v>
      </c>
      <c r="K1188" s="10">
        <v>3</v>
      </c>
      <c r="L1188" s="10">
        <v>2</v>
      </c>
      <c r="M1188" s="39">
        <f t="shared" ref="M1188" si="1873">SUM(J1188:L1188)</f>
        <v>6</v>
      </c>
      <c r="N1188" s="138">
        <f t="shared" si="1871"/>
        <v>18</v>
      </c>
      <c r="O1188" s="24">
        <v>45901</v>
      </c>
      <c r="P1188" s="4" t="s">
        <v>1086</v>
      </c>
      <c r="Q1188" s="9">
        <v>10</v>
      </c>
      <c r="R1188" s="10">
        <v>15</v>
      </c>
      <c r="S1188" s="10">
        <v>10</v>
      </c>
      <c r="T1188" s="8">
        <f t="shared" si="1840"/>
        <v>35</v>
      </c>
      <c r="U1188" s="9">
        <v>25</v>
      </c>
      <c r="V1188" s="10"/>
      <c r="W1188" s="10">
        <v>10</v>
      </c>
      <c r="X1188" s="8">
        <f t="shared" si="1841"/>
        <v>35</v>
      </c>
      <c r="Y1188" s="9">
        <v>25</v>
      </c>
      <c r="Z1188" s="10">
        <v>35</v>
      </c>
      <c r="AA1188" s="10"/>
      <c r="AB1188" s="8">
        <f t="shared" si="1842"/>
        <v>60</v>
      </c>
      <c r="AC1188" s="93">
        <f t="shared" si="1843"/>
        <v>130</v>
      </c>
      <c r="AD1188" s="109">
        <v>45905</v>
      </c>
    </row>
    <row r="1189" spans="1:31" x14ac:dyDescent="0.15">
      <c r="A1189" s="4" t="s">
        <v>1082</v>
      </c>
      <c r="B1189" s="9"/>
      <c r="C1189" s="10">
        <v>1</v>
      </c>
      <c r="D1189" s="10"/>
      <c r="E1189" s="8">
        <f t="shared" ref="E1189" si="1874">SUM(B1189:D1189)</f>
        <v>1</v>
      </c>
      <c r="F1189" s="9"/>
      <c r="G1189" s="10">
        <v>1</v>
      </c>
      <c r="H1189" s="10"/>
      <c r="I1189" s="8">
        <f t="shared" ref="I1189" si="1875">SUM(F1189:H1189)</f>
        <v>1</v>
      </c>
      <c r="J1189" s="9"/>
      <c r="K1189" s="10">
        <v>1</v>
      </c>
      <c r="L1189" s="10"/>
      <c r="M1189" s="39">
        <f t="shared" ref="M1189" si="1876">SUM(J1189:L1189)</f>
        <v>1</v>
      </c>
      <c r="N1189" s="138">
        <f t="shared" ref="N1189" si="1877">E1189+I1189+M1189</f>
        <v>3</v>
      </c>
      <c r="O1189" s="24">
        <v>45903</v>
      </c>
      <c r="P1189" s="4" t="s">
        <v>27</v>
      </c>
      <c r="Q1189" s="9"/>
      <c r="R1189" s="10">
        <v>20</v>
      </c>
      <c r="S1189" s="10">
        <v>20</v>
      </c>
      <c r="T1189" s="8">
        <f t="shared" ref="T1189" si="1878">SUM(Q1189:S1189)</f>
        <v>40</v>
      </c>
      <c r="U1189" s="9"/>
      <c r="V1189" s="10">
        <v>10</v>
      </c>
      <c r="W1189" s="10">
        <v>10</v>
      </c>
      <c r="X1189" s="8">
        <f t="shared" ref="X1189" si="1879">SUM(U1189:W1189)</f>
        <v>20</v>
      </c>
      <c r="Y1189" s="9">
        <v>30</v>
      </c>
      <c r="Z1189" s="10">
        <v>5</v>
      </c>
      <c r="AA1189" s="10">
        <v>10</v>
      </c>
      <c r="AB1189" s="8">
        <f t="shared" ref="AB1189" si="1880">SUM(Y1189:AA1189)</f>
        <v>45</v>
      </c>
      <c r="AC1189" s="145">
        <f t="shared" si="1843"/>
        <v>105</v>
      </c>
      <c r="AD1189" s="109">
        <v>45906</v>
      </c>
    </row>
    <row r="1190" spans="1:31" x14ac:dyDescent="0.15">
      <c r="A1190" s="11" t="s">
        <v>1080</v>
      </c>
      <c r="B1190" s="9"/>
      <c r="C1190" s="10"/>
      <c r="D1190" s="10">
        <v>3</v>
      </c>
      <c r="E1190" s="8">
        <f t="shared" si="1836"/>
        <v>3</v>
      </c>
      <c r="F1190" s="9"/>
      <c r="G1190" s="10"/>
      <c r="H1190" s="10">
        <v>3</v>
      </c>
      <c r="I1190" s="8">
        <f t="shared" si="1837"/>
        <v>3</v>
      </c>
      <c r="J1190" s="9"/>
      <c r="K1190" s="10"/>
      <c r="L1190" s="10">
        <v>3</v>
      </c>
      <c r="M1190" s="39">
        <f t="shared" si="1838"/>
        <v>3</v>
      </c>
      <c r="N1190" s="138">
        <f t="shared" si="1839"/>
        <v>9</v>
      </c>
      <c r="O1190" s="24">
        <v>45903</v>
      </c>
      <c r="P1190" s="4" t="s">
        <v>1093</v>
      </c>
      <c r="Q1190" s="9"/>
      <c r="R1190" s="10">
        <v>15</v>
      </c>
      <c r="S1190" s="10"/>
      <c r="T1190" s="8">
        <f t="shared" si="1840"/>
        <v>15</v>
      </c>
      <c r="U1190" s="9"/>
      <c r="V1190" s="10">
        <v>15</v>
      </c>
      <c r="W1190" s="10"/>
      <c r="X1190" s="8">
        <f t="shared" si="1841"/>
        <v>15</v>
      </c>
      <c r="Y1190" s="9"/>
      <c r="Z1190" s="10">
        <v>15</v>
      </c>
      <c r="AA1190" s="10"/>
      <c r="AB1190" s="8">
        <f t="shared" si="1842"/>
        <v>15</v>
      </c>
      <c r="AC1190" s="93">
        <f t="shared" si="1843"/>
        <v>45</v>
      </c>
      <c r="AD1190" s="109">
        <v>45912</v>
      </c>
    </row>
    <row r="1191" spans="1:31" x14ac:dyDescent="0.15">
      <c r="A1191" s="33" t="s">
        <v>36</v>
      </c>
      <c r="B1191" s="9">
        <v>1</v>
      </c>
      <c r="C1191" s="10">
        <v>1</v>
      </c>
      <c r="D1191" s="10">
        <v>1</v>
      </c>
      <c r="E1191" s="8">
        <f t="shared" si="1836"/>
        <v>3</v>
      </c>
      <c r="F1191" s="9"/>
      <c r="G1191" s="10">
        <v>1</v>
      </c>
      <c r="H1191" s="10">
        <v>1</v>
      </c>
      <c r="I1191" s="8">
        <f t="shared" si="1837"/>
        <v>2</v>
      </c>
      <c r="J1191" s="9">
        <v>1</v>
      </c>
      <c r="K1191" s="10">
        <v>1</v>
      </c>
      <c r="L1191" s="10">
        <v>1</v>
      </c>
      <c r="M1191" s="39">
        <f t="shared" si="1838"/>
        <v>3</v>
      </c>
      <c r="N1191" s="138">
        <f t="shared" si="1839"/>
        <v>8</v>
      </c>
      <c r="O1191" s="24">
        <v>45901</v>
      </c>
      <c r="P1191" s="11" t="s">
        <v>1106</v>
      </c>
      <c r="Q1191" s="9"/>
      <c r="R1191" s="10">
        <v>20</v>
      </c>
      <c r="S1191" s="10"/>
      <c r="T1191" s="8">
        <f t="shared" si="1840"/>
        <v>20</v>
      </c>
      <c r="U1191" s="9"/>
      <c r="V1191" s="10"/>
      <c r="W1191" s="10"/>
      <c r="X1191" s="8">
        <f t="shared" si="1841"/>
        <v>0</v>
      </c>
      <c r="Y1191" s="9">
        <v>3</v>
      </c>
      <c r="Z1191" s="10">
        <v>3</v>
      </c>
      <c r="AA1191" s="10"/>
      <c r="AB1191" s="8">
        <f t="shared" si="1842"/>
        <v>6</v>
      </c>
      <c r="AC1191" s="93">
        <f t="shared" si="1843"/>
        <v>26</v>
      </c>
      <c r="AD1191" s="109">
        <v>45912</v>
      </c>
    </row>
    <row r="1192" spans="1:31" x14ac:dyDescent="0.15">
      <c r="A1192" s="4" t="s">
        <v>1083</v>
      </c>
      <c r="B1192" s="9"/>
      <c r="C1192" s="10">
        <v>1</v>
      </c>
      <c r="D1192" s="10"/>
      <c r="E1192" s="8">
        <f t="shared" si="1836"/>
        <v>1</v>
      </c>
      <c r="F1192" s="9"/>
      <c r="G1192" s="10">
        <v>1</v>
      </c>
      <c r="H1192" s="10"/>
      <c r="I1192" s="8">
        <f t="shared" si="1837"/>
        <v>1</v>
      </c>
      <c r="J1192" s="9"/>
      <c r="K1192" s="10">
        <v>1</v>
      </c>
      <c r="L1192" s="10"/>
      <c r="M1192" s="39">
        <f t="shared" si="1838"/>
        <v>1</v>
      </c>
      <c r="N1192" s="138">
        <f t="shared" si="1839"/>
        <v>3</v>
      </c>
      <c r="O1192" s="24">
        <v>45905</v>
      </c>
      <c r="P1192" s="4" t="s">
        <v>1104</v>
      </c>
      <c r="Q1192" s="77">
        <v>8</v>
      </c>
      <c r="R1192" s="78">
        <v>25</v>
      </c>
      <c r="S1192" s="78">
        <v>10</v>
      </c>
      <c r="T1192" s="5">
        <f t="shared" si="1840"/>
        <v>43</v>
      </c>
      <c r="U1192" s="77">
        <v>8</v>
      </c>
      <c r="V1192" s="78">
        <v>25</v>
      </c>
      <c r="W1192" s="78">
        <v>10</v>
      </c>
      <c r="X1192" s="5">
        <f t="shared" si="1841"/>
        <v>43</v>
      </c>
      <c r="Y1192" s="77">
        <v>8</v>
      </c>
      <c r="Z1192" s="78">
        <v>25</v>
      </c>
      <c r="AA1192" s="78">
        <v>10</v>
      </c>
      <c r="AB1192" s="5">
        <f t="shared" si="1842"/>
        <v>43</v>
      </c>
      <c r="AC1192" s="148">
        <f t="shared" si="1843"/>
        <v>129</v>
      </c>
      <c r="AD1192" s="109">
        <v>45917</v>
      </c>
    </row>
    <row r="1193" spans="1:31" x14ac:dyDescent="0.15">
      <c r="A1193" s="4" t="s">
        <v>1085</v>
      </c>
      <c r="B1193" s="9">
        <v>1</v>
      </c>
      <c r="C1193" s="10">
        <v>3</v>
      </c>
      <c r="D1193" s="10">
        <v>1</v>
      </c>
      <c r="E1193" s="8">
        <f t="shared" si="1836"/>
        <v>5</v>
      </c>
      <c r="F1193" s="9">
        <v>1</v>
      </c>
      <c r="G1193" s="10">
        <v>3</v>
      </c>
      <c r="H1193" s="10">
        <v>1</v>
      </c>
      <c r="I1193" s="8">
        <f t="shared" si="1837"/>
        <v>5</v>
      </c>
      <c r="J1193" s="9">
        <v>1</v>
      </c>
      <c r="K1193" s="10">
        <v>3</v>
      </c>
      <c r="L1193" s="10">
        <v>1</v>
      </c>
      <c r="M1193" s="39">
        <f t="shared" si="1838"/>
        <v>5</v>
      </c>
      <c r="N1193" s="138">
        <f t="shared" si="1839"/>
        <v>15</v>
      </c>
      <c r="O1193" s="24">
        <v>45905</v>
      </c>
      <c r="P1193" s="4" t="s">
        <v>1105</v>
      </c>
      <c r="Q1193" s="9"/>
      <c r="R1193" s="10">
        <v>1</v>
      </c>
      <c r="S1193" s="10"/>
      <c r="T1193" s="5">
        <f t="shared" si="1840"/>
        <v>1</v>
      </c>
      <c r="U1193" s="9"/>
      <c r="V1193" s="10">
        <v>1</v>
      </c>
      <c r="W1193" s="10"/>
      <c r="X1193" s="5">
        <f t="shared" si="1841"/>
        <v>1</v>
      </c>
      <c r="Y1193" s="9"/>
      <c r="Z1193" s="10">
        <v>1</v>
      </c>
      <c r="AA1193" s="10"/>
      <c r="AB1193" s="5">
        <f t="shared" si="1842"/>
        <v>1</v>
      </c>
      <c r="AC1193" s="93">
        <f t="shared" si="1843"/>
        <v>3</v>
      </c>
      <c r="AD1193" s="109">
        <v>45917</v>
      </c>
    </row>
    <row r="1194" spans="1:31" x14ac:dyDescent="0.15">
      <c r="A1194" s="33" t="s">
        <v>36</v>
      </c>
      <c r="B1194" s="9">
        <v>1</v>
      </c>
      <c r="C1194" s="10">
        <v>1</v>
      </c>
      <c r="D1194" s="10">
        <v>1</v>
      </c>
      <c r="E1194" s="8">
        <f t="shared" si="1836"/>
        <v>3</v>
      </c>
      <c r="F1194" s="9">
        <v>1</v>
      </c>
      <c r="G1194" s="10">
        <v>1</v>
      </c>
      <c r="H1194" s="10">
        <v>1</v>
      </c>
      <c r="I1194" s="8">
        <f t="shared" si="1837"/>
        <v>3</v>
      </c>
      <c r="J1194" s="9">
        <v>1</v>
      </c>
      <c r="K1194" s="10">
        <v>1</v>
      </c>
      <c r="L1194" s="10">
        <v>1</v>
      </c>
      <c r="M1194" s="39">
        <f t="shared" si="1838"/>
        <v>3</v>
      </c>
      <c r="N1194" s="138">
        <f t="shared" si="1839"/>
        <v>9</v>
      </c>
      <c r="O1194" s="24">
        <v>45904</v>
      </c>
      <c r="P1194" s="4"/>
      <c r="Q1194" s="9"/>
      <c r="R1194" s="10"/>
      <c r="S1194" s="10"/>
      <c r="T1194" s="8">
        <f t="shared" si="1840"/>
        <v>0</v>
      </c>
      <c r="U1194" s="9"/>
      <c r="V1194" s="10"/>
      <c r="W1194" s="10"/>
      <c r="X1194" s="8">
        <f t="shared" si="1841"/>
        <v>0</v>
      </c>
      <c r="Y1194" s="9"/>
      <c r="Z1194" s="10"/>
      <c r="AA1194" s="10"/>
      <c r="AB1194" s="8">
        <f t="shared" si="1842"/>
        <v>0</v>
      </c>
      <c r="AC1194" s="93">
        <f t="shared" si="1843"/>
        <v>0</v>
      </c>
    </row>
    <row r="1195" spans="1:31" x14ac:dyDescent="0.15">
      <c r="A1195" s="4" t="s">
        <v>1089</v>
      </c>
      <c r="B1195" s="9"/>
      <c r="C1195" s="10"/>
      <c r="D1195" s="10">
        <v>1</v>
      </c>
      <c r="E1195" s="8">
        <f t="shared" si="1836"/>
        <v>1</v>
      </c>
      <c r="F1195" s="9"/>
      <c r="G1195" s="10"/>
      <c r="H1195" s="10">
        <v>1</v>
      </c>
      <c r="I1195" s="8">
        <f t="shared" si="1837"/>
        <v>1</v>
      </c>
      <c r="J1195" s="9"/>
      <c r="K1195" s="10"/>
      <c r="L1195" s="10">
        <v>1</v>
      </c>
      <c r="M1195" s="39">
        <f t="shared" si="1838"/>
        <v>1</v>
      </c>
      <c r="N1195" s="138">
        <f t="shared" si="1839"/>
        <v>3</v>
      </c>
      <c r="O1195" s="24">
        <v>45908</v>
      </c>
      <c r="P1195" s="81" t="s">
        <v>969</v>
      </c>
      <c r="Q1195" s="71"/>
      <c r="R1195" s="72"/>
      <c r="S1195" s="72"/>
      <c r="T1195" s="73">
        <f t="shared" si="1840"/>
        <v>0</v>
      </c>
      <c r="U1195" s="71"/>
      <c r="V1195" s="72"/>
      <c r="W1195" s="72"/>
      <c r="X1195" s="73">
        <f t="shared" si="1841"/>
        <v>0</v>
      </c>
      <c r="Y1195" s="71"/>
      <c r="Z1195" s="72"/>
      <c r="AA1195" s="72"/>
      <c r="AB1195" s="73">
        <f t="shared" si="1842"/>
        <v>0</v>
      </c>
      <c r="AC1195" s="92">
        <f t="shared" si="1843"/>
        <v>0</v>
      </c>
      <c r="AD1195" s="116"/>
      <c r="AE1195" s="58"/>
    </row>
    <row r="1196" spans="1:31" x14ac:dyDescent="0.15">
      <c r="A1196" s="4" t="s">
        <v>1090</v>
      </c>
      <c r="B1196" s="9"/>
      <c r="C1196" s="10">
        <v>10</v>
      </c>
      <c r="D1196" s="10"/>
      <c r="E1196" s="8">
        <f t="shared" si="1836"/>
        <v>10</v>
      </c>
      <c r="F1196" s="9"/>
      <c r="G1196" s="10"/>
      <c r="H1196" s="10"/>
      <c r="I1196" s="8">
        <f t="shared" si="1837"/>
        <v>0</v>
      </c>
      <c r="J1196" s="9"/>
      <c r="K1196" s="10">
        <v>10</v>
      </c>
      <c r="L1196" s="10">
        <v>10</v>
      </c>
      <c r="M1196" s="39">
        <f t="shared" si="1838"/>
        <v>20</v>
      </c>
      <c r="N1196" s="138">
        <f t="shared" si="1839"/>
        <v>30</v>
      </c>
      <c r="O1196" s="24">
        <v>45906</v>
      </c>
      <c r="P1196" s="4" t="s">
        <v>968</v>
      </c>
      <c r="Q1196" s="9"/>
      <c r="R1196" s="10"/>
      <c r="S1196" s="10"/>
      <c r="T1196" s="8">
        <f t="shared" si="1840"/>
        <v>0</v>
      </c>
      <c r="U1196" s="9"/>
      <c r="V1196" s="10"/>
      <c r="W1196" s="10"/>
      <c r="X1196" s="8">
        <f t="shared" si="1841"/>
        <v>0</v>
      </c>
      <c r="Y1196" s="9"/>
      <c r="Z1196" s="10"/>
      <c r="AA1196" s="10"/>
      <c r="AB1196" s="8">
        <f t="shared" si="1842"/>
        <v>0</v>
      </c>
      <c r="AC1196" s="93">
        <f t="shared" si="1843"/>
        <v>0</v>
      </c>
      <c r="AD1196" s="116" t="s">
        <v>970</v>
      </c>
      <c r="AE1196" s="58"/>
    </row>
    <row r="1197" spans="1:31" x14ac:dyDescent="0.15">
      <c r="A1197" s="33" t="s">
        <v>36</v>
      </c>
      <c r="B1197" s="9"/>
      <c r="C1197" s="10">
        <v>1</v>
      </c>
      <c r="D1197" s="10">
        <v>1</v>
      </c>
      <c r="E1197" s="8">
        <f t="shared" si="1836"/>
        <v>2</v>
      </c>
      <c r="F1197" s="9"/>
      <c r="G1197" s="10">
        <v>1</v>
      </c>
      <c r="H1197" s="10">
        <v>1</v>
      </c>
      <c r="I1197" s="8">
        <f t="shared" si="1837"/>
        <v>2</v>
      </c>
      <c r="J1197" s="9"/>
      <c r="K1197" s="10">
        <v>1</v>
      </c>
      <c r="L1197" s="10">
        <v>1</v>
      </c>
      <c r="M1197" s="39">
        <f t="shared" si="1838"/>
        <v>2</v>
      </c>
      <c r="N1197" s="138">
        <f t="shared" si="1839"/>
        <v>6</v>
      </c>
      <c r="O1197" s="24">
        <v>45905</v>
      </c>
      <c r="P1197" s="81" t="s">
        <v>932</v>
      </c>
      <c r="Q1197" s="71"/>
      <c r="R1197" s="72"/>
      <c r="S1197" s="72"/>
      <c r="T1197" s="73">
        <f t="shared" ref="T1197:T1200" si="1881">SUM(Q1197:S1197)</f>
        <v>0</v>
      </c>
      <c r="U1197" s="71"/>
      <c r="V1197" s="72"/>
      <c r="W1197" s="72"/>
      <c r="X1197" s="73">
        <f t="shared" ref="X1197:X1200" si="1882">SUM(U1197:W1197)</f>
        <v>0</v>
      </c>
      <c r="Y1197" s="71"/>
      <c r="Z1197" s="72"/>
      <c r="AA1197" s="72"/>
      <c r="AB1197" s="73">
        <f t="shared" ref="AB1197:AB1200" si="1883">SUM(Y1197:AA1197)</f>
        <v>0</v>
      </c>
      <c r="AC1197" s="110">
        <f t="shared" ref="AC1197:AC1200" si="1884">T1197+X1197+AB1197</f>
        <v>0</v>
      </c>
      <c r="AD1197" s="116"/>
    </row>
    <row r="1198" spans="1:31" x14ac:dyDescent="0.15">
      <c r="A1198" s="33" t="s">
        <v>36</v>
      </c>
      <c r="B1198" s="9">
        <v>1</v>
      </c>
      <c r="C1198" s="10"/>
      <c r="D1198" s="10"/>
      <c r="E1198" s="8">
        <f t="shared" si="1836"/>
        <v>1</v>
      </c>
      <c r="F1198" s="9">
        <v>2</v>
      </c>
      <c r="G1198" s="10"/>
      <c r="H1198" s="10"/>
      <c r="I1198" s="8">
        <f t="shared" si="1837"/>
        <v>2</v>
      </c>
      <c r="J1198" s="9">
        <v>1</v>
      </c>
      <c r="K1198" s="10"/>
      <c r="L1198" s="10"/>
      <c r="M1198" s="39">
        <f t="shared" si="1838"/>
        <v>1</v>
      </c>
      <c r="N1198" s="138">
        <f t="shared" si="1839"/>
        <v>4</v>
      </c>
      <c r="O1198" s="24">
        <v>45906</v>
      </c>
      <c r="P1198" s="4" t="s">
        <v>931</v>
      </c>
      <c r="Q1198" s="9"/>
      <c r="R1198" s="10"/>
      <c r="S1198" s="10"/>
      <c r="T1198" s="8">
        <f t="shared" si="1881"/>
        <v>0</v>
      </c>
      <c r="U1198" s="9"/>
      <c r="V1198" s="10"/>
      <c r="W1198" s="10"/>
      <c r="X1198" s="8">
        <f t="shared" si="1882"/>
        <v>0</v>
      </c>
      <c r="Y1198" s="9"/>
      <c r="Z1198" s="10"/>
      <c r="AA1198" s="10"/>
      <c r="AB1198" s="8">
        <f t="shared" si="1883"/>
        <v>0</v>
      </c>
      <c r="AC1198" s="86">
        <f t="shared" si="1884"/>
        <v>0</v>
      </c>
      <c r="AD1198" s="116" t="s">
        <v>933</v>
      </c>
    </row>
    <row r="1199" spans="1:31" x14ac:dyDescent="0.15">
      <c r="A1199" s="4" t="s">
        <v>1091</v>
      </c>
      <c r="B1199" s="9"/>
      <c r="C1199" s="10">
        <v>1</v>
      </c>
      <c r="D1199" s="10">
        <v>1</v>
      </c>
      <c r="E1199" s="8">
        <f t="shared" si="1836"/>
        <v>2</v>
      </c>
      <c r="F1199" s="9"/>
      <c r="G1199" s="10">
        <v>1</v>
      </c>
      <c r="H1199" s="10">
        <v>1</v>
      </c>
      <c r="I1199" s="8">
        <f t="shared" si="1837"/>
        <v>2</v>
      </c>
      <c r="J1199" s="9"/>
      <c r="K1199" s="10">
        <v>1</v>
      </c>
      <c r="L1199" s="10">
        <v>1</v>
      </c>
      <c r="M1199" s="39">
        <f t="shared" si="1838"/>
        <v>2</v>
      </c>
      <c r="N1199" s="138">
        <f t="shared" si="1839"/>
        <v>6</v>
      </c>
      <c r="O1199" s="24">
        <v>45910</v>
      </c>
      <c r="P1199" s="81" t="s">
        <v>873</v>
      </c>
      <c r="Q1199" s="71"/>
      <c r="R1199" s="72"/>
      <c r="S1199" s="72"/>
      <c r="T1199" s="73">
        <f t="shared" si="1881"/>
        <v>0</v>
      </c>
      <c r="U1199" s="71"/>
      <c r="V1199" s="72"/>
      <c r="W1199" s="72"/>
      <c r="X1199" s="73">
        <f t="shared" si="1882"/>
        <v>0</v>
      </c>
      <c r="Y1199" s="71"/>
      <c r="Z1199" s="72"/>
      <c r="AA1199" s="72"/>
      <c r="AB1199" s="73">
        <f t="shared" si="1883"/>
        <v>0</v>
      </c>
      <c r="AC1199" s="110">
        <f t="shared" si="1884"/>
        <v>0</v>
      </c>
      <c r="AD1199" s="116"/>
    </row>
    <row r="1200" spans="1:31" x14ac:dyDescent="0.15">
      <c r="A1200" s="11" t="s">
        <v>1092</v>
      </c>
      <c r="B1200" s="9"/>
      <c r="C1200" s="10">
        <v>1</v>
      </c>
      <c r="D1200" s="10"/>
      <c r="E1200" s="8">
        <f t="shared" si="1836"/>
        <v>1</v>
      </c>
      <c r="F1200" s="9"/>
      <c r="G1200" s="10">
        <v>1</v>
      </c>
      <c r="H1200" s="10"/>
      <c r="I1200" s="8">
        <f t="shared" si="1837"/>
        <v>1</v>
      </c>
      <c r="J1200" s="9"/>
      <c r="K1200" s="10">
        <v>1</v>
      </c>
      <c r="L1200" s="10"/>
      <c r="M1200" s="39">
        <f t="shared" si="1838"/>
        <v>1</v>
      </c>
      <c r="N1200" s="138">
        <f t="shared" si="1839"/>
        <v>3</v>
      </c>
      <c r="O1200" s="24">
        <v>45911</v>
      </c>
      <c r="P1200" s="4" t="s">
        <v>872</v>
      </c>
      <c r="Q1200" s="9"/>
      <c r="R1200" s="10"/>
      <c r="S1200" s="10"/>
      <c r="T1200" s="8">
        <f t="shared" si="1881"/>
        <v>0</v>
      </c>
      <c r="U1200" s="9"/>
      <c r="V1200" s="10"/>
      <c r="W1200" s="10"/>
      <c r="X1200" s="8">
        <f t="shared" si="1882"/>
        <v>0</v>
      </c>
      <c r="Y1200" s="9"/>
      <c r="Z1200" s="10"/>
      <c r="AA1200" s="10"/>
      <c r="AB1200" s="8">
        <f t="shared" si="1883"/>
        <v>0</v>
      </c>
      <c r="AC1200" s="86">
        <f t="shared" si="1884"/>
        <v>0</v>
      </c>
      <c r="AD1200" s="116" t="s">
        <v>871</v>
      </c>
    </row>
    <row r="1201" spans="1:30" ht="14.25" thickBot="1" x14ac:dyDescent="0.2">
      <c r="A1201" s="33" t="s">
        <v>36</v>
      </c>
      <c r="B1201" s="9"/>
      <c r="C1201" s="10">
        <v>1</v>
      </c>
      <c r="D1201" s="22"/>
      <c r="E1201" s="8">
        <f t="shared" si="1836"/>
        <v>1</v>
      </c>
      <c r="F1201" s="9">
        <v>1</v>
      </c>
      <c r="G1201" s="10">
        <v>1</v>
      </c>
      <c r="H1201" s="22"/>
      <c r="I1201" s="8">
        <f t="shared" si="1837"/>
        <v>2</v>
      </c>
      <c r="J1201" s="9"/>
      <c r="K1201" s="10">
        <v>1</v>
      </c>
      <c r="L1201" s="22"/>
      <c r="M1201" s="39">
        <f t="shared" si="1838"/>
        <v>1</v>
      </c>
      <c r="N1201" s="139">
        <f t="shared" si="1839"/>
        <v>4</v>
      </c>
      <c r="O1201" s="70">
        <v>45908</v>
      </c>
      <c r="P1201" s="11" t="s">
        <v>808</v>
      </c>
      <c r="Q1201" s="9"/>
      <c r="R1201" s="10"/>
      <c r="S1201" s="10"/>
      <c r="T1201" s="8">
        <f t="shared" ref="T1201" si="1885">SUM(Q1201:S1201)</f>
        <v>0</v>
      </c>
      <c r="U1201" s="9"/>
      <c r="V1201" s="10"/>
      <c r="W1201" s="10"/>
      <c r="X1201" s="8">
        <f t="shared" ref="X1201" si="1886">SUM(U1201:W1201)</f>
        <v>0</v>
      </c>
      <c r="Y1201" s="9"/>
      <c r="Z1201" s="10"/>
      <c r="AA1201" s="10"/>
      <c r="AB1201" s="8">
        <f t="shared" ref="AB1201" si="1887">SUM(Y1201:AA1201)</f>
        <v>0</v>
      </c>
      <c r="AC1201" s="86">
        <f t="shared" ref="AC1201" si="1888">T1201+X1201+AB1201</f>
        <v>0</v>
      </c>
      <c r="AD1201" s="116" t="s">
        <v>807</v>
      </c>
    </row>
    <row r="1202" spans="1:30" ht="14.25" thickBot="1" x14ac:dyDescent="0.2">
      <c r="A1202" s="104" t="s">
        <v>5</v>
      </c>
      <c r="B1202" s="12">
        <f>SUM(B1178:B1201)</f>
        <v>7</v>
      </c>
      <c r="C1202" s="12">
        <f>SUM(C1178:C1201)</f>
        <v>31</v>
      </c>
      <c r="D1202" s="12">
        <f>SUM(D1178:D1201)</f>
        <v>20</v>
      </c>
      <c r="E1202" s="13">
        <f t="shared" si="1836"/>
        <v>58</v>
      </c>
      <c r="F1202" s="12">
        <f>SUM(F1178:F1201)</f>
        <v>7</v>
      </c>
      <c r="G1202" s="12">
        <f>SUM(G1178:G1201)</f>
        <v>24</v>
      </c>
      <c r="H1202" s="12">
        <f>SUM(H1178:H1201)</f>
        <v>22</v>
      </c>
      <c r="I1202" s="13">
        <f t="shared" si="1837"/>
        <v>53</v>
      </c>
      <c r="J1202" s="12">
        <f>SUM(J1178:J1201)</f>
        <v>6</v>
      </c>
      <c r="K1202" s="12">
        <f>SUM(K1178:K1201)</f>
        <v>32</v>
      </c>
      <c r="L1202" s="12">
        <f>SUM(L1178:L1201)</f>
        <v>31</v>
      </c>
      <c r="M1202" s="12">
        <f t="shared" si="1838"/>
        <v>69</v>
      </c>
      <c r="N1202" s="142">
        <f t="shared" si="1839"/>
        <v>180</v>
      </c>
      <c r="P1202" s="3" t="s">
        <v>5</v>
      </c>
      <c r="Q1202" s="12">
        <f>SUM(Q1178:Q1201)</f>
        <v>190</v>
      </c>
      <c r="R1202" s="12">
        <f t="shared" ref="R1202" si="1889">SUM(R1178:R1201)</f>
        <v>209</v>
      </c>
      <c r="S1202" s="12">
        <f t="shared" ref="S1202" si="1890">SUM(S1178:S1201)</f>
        <v>177</v>
      </c>
      <c r="T1202" s="13">
        <f t="shared" ref="T1202" si="1891">SUM(T1178:T1201)</f>
        <v>576</v>
      </c>
      <c r="U1202" s="12">
        <f t="shared" ref="U1202" si="1892">SUM(U1178:U1201)</f>
        <v>135</v>
      </c>
      <c r="V1202" s="12">
        <f t="shared" ref="V1202" si="1893">SUM(V1178:V1201)</f>
        <v>174</v>
      </c>
      <c r="W1202" s="12">
        <f t="shared" ref="W1202" si="1894">SUM(W1178:W1201)</f>
        <v>137</v>
      </c>
      <c r="X1202" s="13">
        <f t="shared" ref="X1202" si="1895">SUM(X1178:X1201)</f>
        <v>446</v>
      </c>
      <c r="Y1202" s="12">
        <f t="shared" ref="Y1202" si="1896">SUM(Y1178:Y1201)</f>
        <v>198</v>
      </c>
      <c r="Z1202" s="12">
        <f t="shared" ref="Z1202" si="1897">SUM(Z1178:Z1201)</f>
        <v>207</v>
      </c>
      <c r="AA1202" s="12">
        <f t="shared" ref="AA1202" si="1898">SUM(AA1178:AA1201)</f>
        <v>157</v>
      </c>
      <c r="AB1202" s="13">
        <f t="shared" ref="AB1202" si="1899">SUM(AB1178:AB1201)</f>
        <v>562</v>
      </c>
      <c r="AC1202" s="155">
        <f t="shared" ref="AC1202" si="1900">SUM(AC1178:AC1201)</f>
        <v>1584</v>
      </c>
    </row>
    <row r="1203" spans="1:30" ht="14.25" thickBot="1" x14ac:dyDescent="0.2">
      <c r="A1203" s="105" t="s">
        <v>6</v>
      </c>
      <c r="B1203" s="20">
        <f>B1177-B1202</f>
        <v>23</v>
      </c>
      <c r="C1203" s="20">
        <f t="shared" ref="C1203:E1203" si="1901">C1177-C1202</f>
        <v>19</v>
      </c>
      <c r="D1203" s="20">
        <f t="shared" si="1901"/>
        <v>25</v>
      </c>
      <c r="E1203" s="18">
        <f t="shared" si="1901"/>
        <v>67</v>
      </c>
      <c r="F1203" s="20">
        <f>F1177-F1202</f>
        <v>20</v>
      </c>
      <c r="G1203" s="20">
        <f t="shared" ref="G1203:I1203" si="1902">G1177-G1202</f>
        <v>20</v>
      </c>
      <c r="H1203" s="20">
        <f t="shared" si="1902"/>
        <v>24</v>
      </c>
      <c r="I1203" s="18">
        <f t="shared" si="1902"/>
        <v>64</v>
      </c>
      <c r="J1203" s="20">
        <f>J1177-J1202</f>
        <v>35</v>
      </c>
      <c r="K1203" s="20">
        <f t="shared" ref="K1203:M1203" si="1903">K1177-K1202</f>
        <v>12</v>
      </c>
      <c r="L1203" s="20">
        <f t="shared" si="1903"/>
        <v>22</v>
      </c>
      <c r="M1203" s="20">
        <f t="shared" si="1903"/>
        <v>69</v>
      </c>
      <c r="N1203" s="140">
        <f t="shared" si="1839"/>
        <v>200</v>
      </c>
      <c r="P1203" s="19" t="s">
        <v>6</v>
      </c>
      <c r="Q1203" s="20">
        <f>Q1177-Q1202</f>
        <v>179</v>
      </c>
      <c r="R1203" s="20">
        <f t="shared" ref="R1203" si="1904">R1177-R1202</f>
        <v>266</v>
      </c>
      <c r="S1203" s="20">
        <f t="shared" ref="S1203" si="1905">S1177-S1202</f>
        <v>291</v>
      </c>
      <c r="T1203" s="18">
        <f t="shared" ref="T1203" si="1906">T1177-T1202</f>
        <v>736</v>
      </c>
      <c r="U1203" s="20">
        <f t="shared" ref="U1203" si="1907">U1177-U1202</f>
        <v>209</v>
      </c>
      <c r="V1203" s="20">
        <f t="shared" ref="V1203" si="1908">V1177-V1202</f>
        <v>451</v>
      </c>
      <c r="W1203" s="20">
        <f t="shared" ref="W1203" si="1909">W1177-W1202</f>
        <v>357</v>
      </c>
      <c r="X1203" s="18">
        <f t="shared" ref="X1203" si="1910">X1177-X1202</f>
        <v>1017</v>
      </c>
      <c r="Y1203" s="20">
        <f t="shared" ref="Y1203" si="1911">Y1177-Y1202</f>
        <v>109</v>
      </c>
      <c r="Z1203" s="20">
        <f t="shared" ref="Z1203" si="1912">Z1177-Z1202</f>
        <v>289</v>
      </c>
      <c r="AA1203" s="20">
        <f t="shared" ref="AA1203" si="1913">AA1177-AA1202</f>
        <v>222</v>
      </c>
      <c r="AB1203" s="18">
        <f t="shared" ref="AB1203" si="1914">AB1177-AB1202</f>
        <v>620</v>
      </c>
      <c r="AC1203" s="88">
        <f t="shared" ref="AC1203" si="1915">AC1177-AC1202</f>
        <v>2373</v>
      </c>
    </row>
    <row r="1204" spans="1:30" x14ac:dyDescent="0.15">
      <c r="Q1204" s="80">
        <f>Q1202+Q1159+Q1116+Q1073+Q1030+Q987+Q944+Q901+Q858+Q815+Q772+Q729+Q686+Q643+Q602</f>
        <v>3351</v>
      </c>
      <c r="R1204" s="80">
        <f t="shared" ref="R1204:AC1204" si="1916">R1202+R1159+R1116+R1073+R1030+R987+R944+R901+R858+R815+R772+R729+R686+R643+R602</f>
        <v>5035</v>
      </c>
      <c r="S1204" s="80">
        <f t="shared" si="1916"/>
        <v>3512</v>
      </c>
      <c r="T1204" s="80">
        <f t="shared" si="1916"/>
        <v>11898</v>
      </c>
      <c r="U1204" s="80">
        <f t="shared" si="1916"/>
        <v>3261</v>
      </c>
      <c r="V1204" s="80">
        <f t="shared" si="1916"/>
        <v>4885</v>
      </c>
      <c r="W1204" s="80">
        <f t="shared" si="1916"/>
        <v>3460</v>
      </c>
      <c r="X1204" s="80">
        <f t="shared" si="1916"/>
        <v>11606</v>
      </c>
      <c r="Y1204" s="80">
        <f t="shared" si="1916"/>
        <v>3359</v>
      </c>
      <c r="Z1204" s="80">
        <f t="shared" si="1916"/>
        <v>5023</v>
      </c>
      <c r="AA1204" s="80">
        <f t="shared" si="1916"/>
        <v>3524</v>
      </c>
      <c r="AB1204" s="80">
        <f t="shared" si="1916"/>
        <v>11906</v>
      </c>
      <c r="AC1204" s="80">
        <f t="shared" si="1916"/>
        <v>35410</v>
      </c>
    </row>
    <row r="1205" spans="1:30" x14ac:dyDescent="0.15">
      <c r="Q1205" s="65">
        <f>Q1204/$T$1204*100</f>
        <v>28.164397377710536</v>
      </c>
      <c r="R1205" s="65">
        <f t="shared" ref="R1205:T1205" si="1917">R1204/$T$1204*100</f>
        <v>42.318036644814256</v>
      </c>
      <c r="S1205" s="65">
        <f t="shared" si="1917"/>
        <v>29.517565977475208</v>
      </c>
      <c r="T1205" s="65">
        <f t="shared" si="1917"/>
        <v>100</v>
      </c>
      <c r="U1205" s="65">
        <f>U1204/$X$1204*100</f>
        <v>28.097535757366881</v>
      </c>
      <c r="V1205" s="65">
        <f t="shared" ref="V1205:X1205" si="1918">V1204/$X$1204*100</f>
        <v>42.090298121661206</v>
      </c>
      <c r="W1205" s="65">
        <f t="shared" si="1918"/>
        <v>29.812166120971913</v>
      </c>
      <c r="X1205" s="65">
        <f t="shared" si="1918"/>
        <v>100</v>
      </c>
      <c r="Y1205" s="65">
        <f>Y1204/$AB$1204*100</f>
        <v>28.212665882748194</v>
      </c>
      <c r="Z1205" s="65">
        <f t="shared" ref="Z1205:AB1205" si="1919">Z1204/$AB$1204*100</f>
        <v>42.188812363514195</v>
      </c>
      <c r="AA1205" s="65">
        <f t="shared" si="1919"/>
        <v>29.598521753737611</v>
      </c>
      <c r="AB1205" s="65">
        <f t="shared" si="1919"/>
        <v>100</v>
      </c>
    </row>
    <row r="1206" spans="1:30" ht="19.5" thickBot="1" x14ac:dyDescent="0.25">
      <c r="A1206" s="108" t="s">
        <v>264</v>
      </c>
      <c r="B1206" s="47"/>
      <c r="C1206" s="47"/>
      <c r="D1206" s="47"/>
      <c r="E1206" s="47"/>
      <c r="F1206" s="48"/>
      <c r="G1206" s="48"/>
      <c r="H1206" s="48"/>
      <c r="I1206" s="48"/>
      <c r="J1206" s="48"/>
      <c r="K1206" s="48"/>
      <c r="L1206" s="1"/>
      <c r="M1206" s="1"/>
      <c r="N1206" s="137"/>
      <c r="P1206" s="43" t="s">
        <v>263</v>
      </c>
      <c r="Q1206" s="44"/>
      <c r="R1206" s="44"/>
      <c r="S1206" s="44"/>
      <c r="T1206" s="44"/>
      <c r="U1206" s="45"/>
      <c r="V1206" s="45"/>
      <c r="W1206" s="45"/>
      <c r="X1206" s="45"/>
      <c r="Y1206" s="46"/>
      <c r="Z1206" s="53"/>
      <c r="AA1206" s="1"/>
      <c r="AB1206" s="1"/>
    </row>
    <row r="1207" spans="1:30" ht="14.25" thickBot="1" x14ac:dyDescent="0.2">
      <c r="A1207" s="100" t="s">
        <v>0</v>
      </c>
      <c r="B1207" s="337" t="s">
        <v>11</v>
      </c>
      <c r="C1207" s="337"/>
      <c r="D1207" s="337"/>
      <c r="E1207" s="338"/>
      <c r="F1207" s="339" t="s">
        <v>9</v>
      </c>
      <c r="G1207" s="340"/>
      <c r="H1207" s="340"/>
      <c r="I1207" s="341"/>
      <c r="J1207" s="342" t="s">
        <v>12</v>
      </c>
      <c r="K1207" s="343"/>
      <c r="L1207" s="343"/>
      <c r="M1207" s="343"/>
      <c r="N1207" s="347" t="s">
        <v>13</v>
      </c>
      <c r="P1207" s="2" t="s">
        <v>0</v>
      </c>
      <c r="Q1207" s="336" t="s">
        <v>11</v>
      </c>
      <c r="R1207" s="337"/>
      <c r="S1207" s="337"/>
      <c r="T1207" s="338"/>
      <c r="U1207" s="339" t="s">
        <v>9</v>
      </c>
      <c r="V1207" s="340"/>
      <c r="W1207" s="340"/>
      <c r="X1207" s="341"/>
      <c r="Y1207" s="342" t="s">
        <v>12</v>
      </c>
      <c r="Z1207" s="343"/>
      <c r="AA1207" s="343"/>
      <c r="AB1207" s="344"/>
      <c r="AC1207" s="133" t="s">
        <v>13</v>
      </c>
    </row>
    <row r="1208" spans="1:30" ht="14.25" thickBot="1" x14ac:dyDescent="0.2">
      <c r="A1208" s="100" t="s">
        <v>1</v>
      </c>
      <c r="B1208" s="3" t="s">
        <v>7</v>
      </c>
      <c r="C1208" s="2" t="s">
        <v>10</v>
      </c>
      <c r="D1208" s="2" t="s">
        <v>8</v>
      </c>
      <c r="E1208" s="2" t="s">
        <v>2</v>
      </c>
      <c r="F1208" s="3" t="s">
        <v>7</v>
      </c>
      <c r="G1208" s="2" t="s">
        <v>10</v>
      </c>
      <c r="H1208" s="2" t="s">
        <v>8</v>
      </c>
      <c r="I1208" s="2" t="s">
        <v>2</v>
      </c>
      <c r="J1208" s="3" t="s">
        <v>7</v>
      </c>
      <c r="K1208" s="2" t="s">
        <v>10</v>
      </c>
      <c r="L1208" s="2" t="s">
        <v>8</v>
      </c>
      <c r="M1208" s="3" t="s">
        <v>2</v>
      </c>
      <c r="N1208" s="348"/>
      <c r="P1208" s="2" t="s">
        <v>1</v>
      </c>
      <c r="Q1208" s="3" t="s">
        <v>7</v>
      </c>
      <c r="R1208" s="2" t="s">
        <v>10</v>
      </c>
      <c r="S1208" s="2" t="s">
        <v>8</v>
      </c>
      <c r="T1208" s="2" t="s">
        <v>2</v>
      </c>
      <c r="U1208" s="3" t="s">
        <v>7</v>
      </c>
      <c r="V1208" s="2" t="s">
        <v>10</v>
      </c>
      <c r="W1208" s="2" t="s">
        <v>8</v>
      </c>
      <c r="X1208" s="2" t="s">
        <v>2</v>
      </c>
      <c r="Y1208" s="3" t="s">
        <v>7</v>
      </c>
      <c r="Z1208" s="2" t="s">
        <v>10</v>
      </c>
      <c r="AA1208" s="2" t="s">
        <v>8</v>
      </c>
      <c r="AB1208" s="2" t="s">
        <v>2</v>
      </c>
      <c r="AC1208" s="134"/>
    </row>
    <row r="1209" spans="1:30" x14ac:dyDescent="0.15">
      <c r="A1209" s="106" t="s">
        <v>6</v>
      </c>
      <c r="B1209" s="41">
        <f>B1203</f>
        <v>23</v>
      </c>
      <c r="C1209" s="41">
        <f t="shared" ref="C1209:E1209" si="1920">C1203</f>
        <v>19</v>
      </c>
      <c r="D1209" s="41">
        <f t="shared" si="1920"/>
        <v>25</v>
      </c>
      <c r="E1209" s="42">
        <f t="shared" si="1920"/>
        <v>67</v>
      </c>
      <c r="F1209" s="41">
        <f>F1203</f>
        <v>20</v>
      </c>
      <c r="G1209" s="41">
        <f t="shared" ref="G1209:I1209" si="1921">G1203</f>
        <v>20</v>
      </c>
      <c r="H1209" s="41">
        <f t="shared" si="1921"/>
        <v>24</v>
      </c>
      <c r="I1209" s="42">
        <f t="shared" si="1921"/>
        <v>64</v>
      </c>
      <c r="J1209" s="41">
        <f>J1203</f>
        <v>35</v>
      </c>
      <c r="K1209" s="41">
        <f t="shared" ref="K1209:M1209" si="1922">K1203</f>
        <v>12</v>
      </c>
      <c r="L1209" s="41">
        <f t="shared" si="1922"/>
        <v>22</v>
      </c>
      <c r="M1209" s="42">
        <f t="shared" si="1922"/>
        <v>69</v>
      </c>
      <c r="N1209" s="143">
        <f>E1209+I1209+M1209</f>
        <v>200</v>
      </c>
      <c r="P1209" s="36" t="s">
        <v>6</v>
      </c>
      <c r="Q1209" s="41">
        <f>Q1203</f>
        <v>179</v>
      </c>
      <c r="R1209" s="41">
        <f t="shared" ref="R1209:AC1209" si="1923">R1203</f>
        <v>266</v>
      </c>
      <c r="S1209" s="41">
        <f t="shared" si="1923"/>
        <v>291</v>
      </c>
      <c r="T1209" s="42">
        <f t="shared" si="1923"/>
        <v>736</v>
      </c>
      <c r="U1209" s="41">
        <f t="shared" si="1923"/>
        <v>209</v>
      </c>
      <c r="V1209" s="41">
        <f t="shared" si="1923"/>
        <v>451</v>
      </c>
      <c r="W1209" s="41">
        <f t="shared" si="1923"/>
        <v>357</v>
      </c>
      <c r="X1209" s="42">
        <f t="shared" si="1923"/>
        <v>1017</v>
      </c>
      <c r="Y1209" s="41">
        <f t="shared" si="1923"/>
        <v>109</v>
      </c>
      <c r="Z1209" s="41">
        <f t="shared" si="1923"/>
        <v>289</v>
      </c>
      <c r="AA1209" s="41">
        <f t="shared" si="1923"/>
        <v>222</v>
      </c>
      <c r="AB1209" s="42">
        <f t="shared" si="1923"/>
        <v>620</v>
      </c>
      <c r="AC1209" s="90">
        <f t="shared" si="1923"/>
        <v>2373</v>
      </c>
    </row>
    <row r="1210" spans="1:30" x14ac:dyDescent="0.15">
      <c r="A1210" s="102" t="s">
        <v>57</v>
      </c>
      <c r="B1210" s="25"/>
      <c r="C1210" s="26"/>
      <c r="D1210" s="26">
        <v>1</v>
      </c>
      <c r="E1210" s="5">
        <f t="shared" ref="E1210:E1245" si="1924">SUM(B1210:D1210)</f>
        <v>1</v>
      </c>
      <c r="F1210" s="25"/>
      <c r="G1210" s="26"/>
      <c r="H1210" s="26">
        <v>1</v>
      </c>
      <c r="I1210" s="5">
        <f t="shared" ref="I1210:I1245" si="1925">SUM(F1210:H1210)</f>
        <v>1</v>
      </c>
      <c r="J1210" s="25"/>
      <c r="K1210" s="26"/>
      <c r="L1210" s="26">
        <v>1</v>
      </c>
      <c r="M1210" s="38">
        <f t="shared" ref="M1210:M1245" si="1926">SUM(J1210:L1210)</f>
        <v>1</v>
      </c>
      <c r="N1210" s="138">
        <f t="shared" ref="N1210:N1246" si="1927">E1210+I1210+M1210</f>
        <v>3</v>
      </c>
      <c r="O1210" s="70">
        <v>45910</v>
      </c>
      <c r="P1210" s="6" t="s">
        <v>3</v>
      </c>
      <c r="Q1210" s="14"/>
      <c r="R1210" s="11"/>
      <c r="S1210" s="11"/>
      <c r="T1210" s="5">
        <f t="shared" ref="T1210:T1219" si="1928">SUM(Q1210:S1210)</f>
        <v>0</v>
      </c>
      <c r="U1210" s="14"/>
      <c r="V1210" s="11"/>
      <c r="W1210" s="11"/>
      <c r="X1210" s="5">
        <f t="shared" ref="X1210:X1219" si="1929">SUM(U1210:W1210)</f>
        <v>0</v>
      </c>
      <c r="Y1210" s="25"/>
      <c r="Z1210" s="26"/>
      <c r="AA1210" s="26"/>
      <c r="AB1210" s="5">
        <f t="shared" ref="AB1210:AB1219" si="1930">SUM(Y1210:AA1210)</f>
        <v>0</v>
      </c>
      <c r="AC1210" s="86">
        <f t="shared" ref="AC1210:AC1219" si="1931">T1210+X1210+AB1210</f>
        <v>0</v>
      </c>
    </row>
    <row r="1211" spans="1:30" x14ac:dyDescent="0.15">
      <c r="A1211" s="102" t="s">
        <v>3</v>
      </c>
      <c r="B1211" s="14">
        <v>10</v>
      </c>
      <c r="C1211" s="11">
        <v>10</v>
      </c>
      <c r="D1211" s="11"/>
      <c r="E1211" s="5">
        <f t="shared" si="1924"/>
        <v>20</v>
      </c>
      <c r="F1211" s="34">
        <v>10</v>
      </c>
      <c r="G1211" s="11">
        <v>10</v>
      </c>
      <c r="H1211" s="11"/>
      <c r="I1211" s="5">
        <f t="shared" si="1925"/>
        <v>20</v>
      </c>
      <c r="J1211" s="34"/>
      <c r="K1211" s="11"/>
      <c r="L1211" s="11"/>
      <c r="M1211" s="38">
        <f t="shared" si="1926"/>
        <v>0</v>
      </c>
      <c r="N1211" s="138">
        <f t="shared" si="1927"/>
        <v>40</v>
      </c>
      <c r="O1211" s="24">
        <v>45918</v>
      </c>
      <c r="P1211" s="6" t="s">
        <v>3</v>
      </c>
      <c r="Q1211" s="14"/>
      <c r="R1211" s="11"/>
      <c r="S1211" s="11"/>
      <c r="T1211" s="5">
        <f t="shared" si="1928"/>
        <v>0</v>
      </c>
      <c r="U1211" s="14"/>
      <c r="V1211" s="11"/>
      <c r="W1211" s="11"/>
      <c r="X1211" s="5">
        <f t="shared" si="1929"/>
        <v>0</v>
      </c>
      <c r="Y1211" s="25"/>
      <c r="Z1211" s="26"/>
      <c r="AA1211" s="26"/>
      <c r="AB1211" s="5">
        <f t="shared" si="1930"/>
        <v>0</v>
      </c>
      <c r="AC1211" s="86">
        <f t="shared" si="1931"/>
        <v>0</v>
      </c>
    </row>
    <row r="1212" spans="1:30" x14ac:dyDescent="0.15">
      <c r="A1212" s="102" t="s">
        <v>3</v>
      </c>
      <c r="B1212" s="14">
        <v>10</v>
      </c>
      <c r="C1212" s="11"/>
      <c r="D1212" s="11"/>
      <c r="E1212" s="5">
        <f t="shared" si="1924"/>
        <v>10</v>
      </c>
      <c r="F1212" s="34"/>
      <c r="G1212" s="11"/>
      <c r="H1212" s="11"/>
      <c r="I1212" s="5">
        <f t="shared" si="1925"/>
        <v>0</v>
      </c>
      <c r="J1212" s="34"/>
      <c r="K1212" s="11">
        <v>20</v>
      </c>
      <c r="L1212" s="11">
        <v>10</v>
      </c>
      <c r="M1212" s="38">
        <f t="shared" si="1926"/>
        <v>30</v>
      </c>
      <c r="N1212" s="138">
        <f t="shared" si="1927"/>
        <v>40</v>
      </c>
      <c r="O1212" s="24">
        <v>45924</v>
      </c>
      <c r="P1212" s="6" t="s">
        <v>3</v>
      </c>
      <c r="Q1212" s="14"/>
      <c r="R1212" s="11"/>
      <c r="S1212" s="11"/>
      <c r="T1212" s="5">
        <f t="shared" ref="T1212:T1213" si="1932">SUM(Q1212:S1212)</f>
        <v>0</v>
      </c>
      <c r="U1212" s="14"/>
      <c r="V1212" s="11"/>
      <c r="W1212" s="11"/>
      <c r="X1212" s="5">
        <f t="shared" ref="X1212:X1213" si="1933">SUM(U1212:W1212)</f>
        <v>0</v>
      </c>
      <c r="Y1212" s="25"/>
      <c r="Z1212" s="26"/>
      <c r="AA1212" s="26"/>
      <c r="AB1212" s="5">
        <f t="shared" ref="AB1212:AB1213" si="1934">SUM(Y1212:AA1212)</f>
        <v>0</v>
      </c>
      <c r="AC1212" s="86">
        <f t="shared" ref="AC1212:AC1213" si="1935">T1212+X1212+AB1212</f>
        <v>0</v>
      </c>
    </row>
    <row r="1213" spans="1:30" x14ac:dyDescent="0.15">
      <c r="A1213" s="102" t="s">
        <v>3</v>
      </c>
      <c r="B1213" s="14">
        <v>10</v>
      </c>
      <c r="C1213" s="11">
        <v>10</v>
      </c>
      <c r="D1213" s="11">
        <v>10</v>
      </c>
      <c r="E1213" s="5">
        <f t="shared" si="1924"/>
        <v>30</v>
      </c>
      <c r="F1213" s="34">
        <v>10</v>
      </c>
      <c r="G1213" s="11">
        <v>10</v>
      </c>
      <c r="H1213" s="11">
        <v>10</v>
      </c>
      <c r="I1213" s="5">
        <f t="shared" si="1925"/>
        <v>30</v>
      </c>
      <c r="J1213" s="34"/>
      <c r="K1213" s="11">
        <v>10</v>
      </c>
      <c r="L1213" s="11">
        <v>10</v>
      </c>
      <c r="M1213" s="38">
        <f t="shared" si="1926"/>
        <v>20</v>
      </c>
      <c r="N1213" s="138">
        <f t="shared" si="1927"/>
        <v>80</v>
      </c>
      <c r="O1213" s="24">
        <v>45926</v>
      </c>
      <c r="P1213" s="6" t="s">
        <v>3</v>
      </c>
      <c r="Q1213" s="14"/>
      <c r="R1213" s="11"/>
      <c r="S1213" s="11"/>
      <c r="T1213" s="5">
        <f t="shared" si="1932"/>
        <v>0</v>
      </c>
      <c r="U1213" s="14"/>
      <c r="V1213" s="11"/>
      <c r="W1213" s="11"/>
      <c r="X1213" s="5">
        <f t="shared" si="1933"/>
        <v>0</v>
      </c>
      <c r="Y1213" s="25"/>
      <c r="Z1213" s="26"/>
      <c r="AA1213" s="26"/>
      <c r="AB1213" s="5">
        <f t="shared" si="1934"/>
        <v>0</v>
      </c>
      <c r="AC1213" s="86">
        <f t="shared" si="1935"/>
        <v>0</v>
      </c>
    </row>
    <row r="1214" spans="1:30" x14ac:dyDescent="0.15">
      <c r="A1214" s="102" t="s">
        <v>57</v>
      </c>
      <c r="B1214" s="14"/>
      <c r="C1214" s="11">
        <v>1</v>
      </c>
      <c r="D1214" s="11">
        <v>1</v>
      </c>
      <c r="E1214" s="5">
        <f t="shared" si="1924"/>
        <v>2</v>
      </c>
      <c r="F1214" s="34"/>
      <c r="G1214" s="11">
        <v>1</v>
      </c>
      <c r="H1214" s="11">
        <v>1</v>
      </c>
      <c r="I1214" s="5">
        <f t="shared" si="1925"/>
        <v>2</v>
      </c>
      <c r="J1214" s="34"/>
      <c r="K1214" s="11">
        <v>1</v>
      </c>
      <c r="L1214" s="11">
        <v>1</v>
      </c>
      <c r="M1214" s="38">
        <f t="shared" si="1926"/>
        <v>2</v>
      </c>
      <c r="N1214" s="138">
        <f t="shared" si="1927"/>
        <v>6</v>
      </c>
      <c r="O1214" s="24">
        <v>45924</v>
      </c>
      <c r="P1214" s="6" t="s">
        <v>3</v>
      </c>
      <c r="Q1214" s="14"/>
      <c r="R1214" s="11"/>
      <c r="S1214" s="11"/>
      <c r="T1214" s="5">
        <f t="shared" si="1928"/>
        <v>0</v>
      </c>
      <c r="U1214" s="14"/>
      <c r="V1214" s="11"/>
      <c r="W1214" s="11"/>
      <c r="X1214" s="5">
        <f t="shared" si="1929"/>
        <v>0</v>
      </c>
      <c r="Y1214" s="25"/>
      <c r="Z1214" s="26"/>
      <c r="AA1214" s="26"/>
      <c r="AB1214" s="5">
        <f t="shared" si="1930"/>
        <v>0</v>
      </c>
      <c r="AC1214" s="86">
        <f t="shared" si="1931"/>
        <v>0</v>
      </c>
    </row>
    <row r="1215" spans="1:30" x14ac:dyDescent="0.15">
      <c r="A1215" s="102" t="s">
        <v>3</v>
      </c>
      <c r="B1215" s="25"/>
      <c r="C1215" s="26"/>
      <c r="D1215" s="26"/>
      <c r="E1215" s="8">
        <f t="shared" si="1924"/>
        <v>0</v>
      </c>
      <c r="F1215" s="25"/>
      <c r="G1215" s="26"/>
      <c r="H1215" s="26"/>
      <c r="I1215" s="8">
        <f t="shared" si="1925"/>
        <v>0</v>
      </c>
      <c r="J1215" s="25"/>
      <c r="K1215" s="26"/>
      <c r="L1215" s="26"/>
      <c r="M1215" s="39">
        <f t="shared" si="1926"/>
        <v>0</v>
      </c>
      <c r="N1215" s="138">
        <f t="shared" si="1927"/>
        <v>0</v>
      </c>
      <c r="P1215" s="6" t="s">
        <v>3</v>
      </c>
      <c r="Q1215" s="14"/>
      <c r="R1215" s="11"/>
      <c r="S1215" s="11"/>
      <c r="T1215" s="5">
        <f t="shared" si="1928"/>
        <v>0</v>
      </c>
      <c r="U1215" s="14"/>
      <c r="V1215" s="11"/>
      <c r="W1215" s="11"/>
      <c r="X1215" s="5">
        <f t="shared" si="1929"/>
        <v>0</v>
      </c>
      <c r="Y1215" s="25"/>
      <c r="Z1215" s="26"/>
      <c r="AA1215" s="26"/>
      <c r="AB1215" s="8">
        <f t="shared" si="1930"/>
        <v>0</v>
      </c>
      <c r="AC1215" s="86">
        <f t="shared" si="1931"/>
        <v>0</v>
      </c>
    </row>
    <row r="1216" spans="1:30" x14ac:dyDescent="0.15">
      <c r="A1216" s="102" t="s">
        <v>3</v>
      </c>
      <c r="B1216" s="27"/>
      <c r="C1216" s="26"/>
      <c r="D1216" s="26"/>
      <c r="E1216" s="5">
        <f t="shared" si="1924"/>
        <v>0</v>
      </c>
      <c r="F1216" s="25"/>
      <c r="G1216" s="26"/>
      <c r="H1216" s="26"/>
      <c r="I1216" s="5">
        <f t="shared" si="1925"/>
        <v>0</v>
      </c>
      <c r="J1216" s="25"/>
      <c r="K1216" s="26"/>
      <c r="L1216" s="26"/>
      <c r="M1216" s="38">
        <f t="shared" si="1926"/>
        <v>0</v>
      </c>
      <c r="N1216" s="138">
        <f t="shared" si="1927"/>
        <v>0</v>
      </c>
      <c r="P1216" s="6" t="s">
        <v>3</v>
      </c>
      <c r="Q1216" s="27"/>
      <c r="R1216" s="26"/>
      <c r="S1216" s="26"/>
      <c r="T1216" s="5">
        <f t="shared" si="1928"/>
        <v>0</v>
      </c>
      <c r="U1216" s="27"/>
      <c r="V1216" s="26"/>
      <c r="W1216" s="26"/>
      <c r="X1216" s="5">
        <f t="shared" si="1929"/>
        <v>0</v>
      </c>
      <c r="Y1216" s="25"/>
      <c r="Z1216" s="26"/>
      <c r="AA1216" s="26"/>
      <c r="AB1216" s="5">
        <f t="shared" si="1930"/>
        <v>0</v>
      </c>
      <c r="AC1216" s="86">
        <f t="shared" si="1931"/>
        <v>0</v>
      </c>
    </row>
    <row r="1217" spans="1:33" x14ac:dyDescent="0.15">
      <c r="A1217" s="102" t="s">
        <v>3</v>
      </c>
      <c r="B1217" s="27"/>
      <c r="C1217" s="26"/>
      <c r="D1217" s="26"/>
      <c r="E1217" s="5">
        <f t="shared" si="1924"/>
        <v>0</v>
      </c>
      <c r="F1217" s="25"/>
      <c r="G1217" s="26"/>
      <c r="H1217" s="26"/>
      <c r="I1217" s="5">
        <f t="shared" si="1925"/>
        <v>0</v>
      </c>
      <c r="J1217" s="25"/>
      <c r="K1217" s="26"/>
      <c r="L1217" s="26"/>
      <c r="M1217" s="38">
        <f t="shared" si="1926"/>
        <v>0</v>
      </c>
      <c r="N1217" s="138">
        <f t="shared" si="1927"/>
        <v>0</v>
      </c>
      <c r="P1217" s="6" t="s">
        <v>3</v>
      </c>
      <c r="Q1217" s="14"/>
      <c r="R1217" s="11"/>
      <c r="S1217" s="11"/>
      <c r="T1217" s="5">
        <f t="shared" si="1928"/>
        <v>0</v>
      </c>
      <c r="U1217" s="14"/>
      <c r="V1217" s="11"/>
      <c r="W1217" s="11"/>
      <c r="X1217" s="5">
        <f t="shared" si="1929"/>
        <v>0</v>
      </c>
      <c r="Y1217" s="25"/>
      <c r="Z1217" s="26"/>
      <c r="AA1217" s="26"/>
      <c r="AB1217" s="8">
        <f t="shared" si="1930"/>
        <v>0</v>
      </c>
      <c r="AC1217" s="86">
        <f t="shared" si="1931"/>
        <v>0</v>
      </c>
    </row>
    <row r="1218" spans="1:33" x14ac:dyDescent="0.15">
      <c r="A1218" s="102" t="s">
        <v>3</v>
      </c>
      <c r="B1218" s="27"/>
      <c r="C1218" s="26"/>
      <c r="D1218" s="26"/>
      <c r="E1218" s="5">
        <f t="shared" si="1924"/>
        <v>0</v>
      </c>
      <c r="F1218" s="25"/>
      <c r="G1218" s="26"/>
      <c r="H1218" s="26"/>
      <c r="I1218" s="5">
        <f t="shared" si="1925"/>
        <v>0</v>
      </c>
      <c r="J1218" s="25"/>
      <c r="K1218" s="26"/>
      <c r="L1218" s="26"/>
      <c r="M1218" s="38">
        <f t="shared" si="1926"/>
        <v>0</v>
      </c>
      <c r="N1218" s="138">
        <f t="shared" si="1927"/>
        <v>0</v>
      </c>
      <c r="P1218" s="6" t="s">
        <v>3</v>
      </c>
      <c r="Q1218" s="27"/>
      <c r="R1218" s="26"/>
      <c r="S1218" s="26"/>
      <c r="T1218" s="5">
        <f t="shared" si="1928"/>
        <v>0</v>
      </c>
      <c r="U1218" s="27"/>
      <c r="V1218" s="26"/>
      <c r="W1218" s="26"/>
      <c r="X1218" s="5">
        <f t="shared" si="1929"/>
        <v>0</v>
      </c>
      <c r="Y1218" s="25"/>
      <c r="Z1218" s="26"/>
      <c r="AA1218" s="26"/>
      <c r="AB1218" s="5">
        <f t="shared" si="1930"/>
        <v>0</v>
      </c>
      <c r="AC1218" s="86">
        <f t="shared" si="1931"/>
        <v>0</v>
      </c>
    </row>
    <row r="1219" spans="1:33" ht="14.25" thickBot="1" x14ac:dyDescent="0.2">
      <c r="A1219" s="102" t="s">
        <v>3</v>
      </c>
      <c r="B1219" s="28"/>
      <c r="C1219" s="29"/>
      <c r="D1219" s="32"/>
      <c r="E1219" s="15">
        <f t="shared" si="1924"/>
        <v>0</v>
      </c>
      <c r="F1219" s="35"/>
      <c r="G1219" s="29"/>
      <c r="H1219" s="32"/>
      <c r="I1219" s="15">
        <f t="shared" si="1925"/>
        <v>0</v>
      </c>
      <c r="J1219" s="35"/>
      <c r="K1219" s="29"/>
      <c r="L1219" s="32"/>
      <c r="M1219" s="40">
        <f t="shared" si="1926"/>
        <v>0</v>
      </c>
      <c r="N1219" s="139">
        <f t="shared" si="1927"/>
        <v>0</v>
      </c>
      <c r="P1219" s="7" t="s">
        <v>3</v>
      </c>
      <c r="Q1219" s="28"/>
      <c r="R1219" s="29"/>
      <c r="S1219" s="29"/>
      <c r="T1219" s="15">
        <f t="shared" si="1928"/>
        <v>0</v>
      </c>
      <c r="U1219" s="28"/>
      <c r="V1219" s="29"/>
      <c r="W1219" s="29"/>
      <c r="X1219" s="15">
        <f t="shared" si="1929"/>
        <v>0</v>
      </c>
      <c r="Y1219" s="35"/>
      <c r="Z1219" s="29"/>
      <c r="AA1219" s="32"/>
      <c r="AB1219" s="15">
        <f t="shared" si="1930"/>
        <v>0</v>
      </c>
      <c r="AC1219" s="87">
        <f t="shared" si="1931"/>
        <v>0</v>
      </c>
    </row>
    <row r="1220" spans="1:33" ht="14.25" thickBot="1" x14ac:dyDescent="0.2">
      <c r="A1220" s="103" t="s">
        <v>4</v>
      </c>
      <c r="B1220" s="17">
        <f>SUM(B1209:B1219)</f>
        <v>53</v>
      </c>
      <c r="C1220" s="17">
        <f>SUM(C1209:C1219)</f>
        <v>40</v>
      </c>
      <c r="D1220" s="17">
        <f>SUM(D1209:D1219)</f>
        <v>37</v>
      </c>
      <c r="E1220" s="18">
        <f t="shared" si="1924"/>
        <v>130</v>
      </c>
      <c r="F1220" s="17">
        <f>SUM(F1209:F1219)</f>
        <v>40</v>
      </c>
      <c r="G1220" s="17">
        <f>SUM(G1209:G1219)</f>
        <v>41</v>
      </c>
      <c r="H1220" s="17">
        <f>SUM(H1209:H1219)</f>
        <v>36</v>
      </c>
      <c r="I1220" s="18">
        <f t="shared" si="1925"/>
        <v>117</v>
      </c>
      <c r="J1220" s="17">
        <f>SUM(J1209:J1219)</f>
        <v>35</v>
      </c>
      <c r="K1220" s="17">
        <f>SUM(K1209:K1219)</f>
        <v>43</v>
      </c>
      <c r="L1220" s="17">
        <f>SUM(L1209:L1219)</f>
        <v>44</v>
      </c>
      <c r="M1220" s="20">
        <f t="shared" si="1926"/>
        <v>122</v>
      </c>
      <c r="N1220" s="140">
        <f t="shared" si="1927"/>
        <v>369</v>
      </c>
      <c r="P1220" s="16" t="s">
        <v>4</v>
      </c>
      <c r="Q1220" s="17">
        <f>SUM(Q1209:Q1219)</f>
        <v>179</v>
      </c>
      <c r="R1220" s="17">
        <f t="shared" ref="R1220" si="1936">SUM(R1209:R1219)</f>
        <v>266</v>
      </c>
      <c r="S1220" s="17">
        <f t="shared" ref="S1220" si="1937">SUM(S1209:S1219)</f>
        <v>291</v>
      </c>
      <c r="T1220" s="18">
        <f t="shared" ref="T1220" si="1938">SUM(T1209:T1219)</f>
        <v>736</v>
      </c>
      <c r="U1220" s="17">
        <f t="shared" ref="U1220" si="1939">SUM(U1209:U1219)</f>
        <v>209</v>
      </c>
      <c r="V1220" s="17">
        <f t="shared" ref="V1220" si="1940">SUM(V1209:V1219)</f>
        <v>451</v>
      </c>
      <c r="W1220" s="17">
        <f t="shared" ref="W1220" si="1941">SUM(W1209:W1219)</f>
        <v>357</v>
      </c>
      <c r="X1220" s="18">
        <f t="shared" ref="X1220" si="1942">SUM(X1209:X1219)</f>
        <v>1017</v>
      </c>
      <c r="Y1220" s="17">
        <f t="shared" ref="Y1220" si="1943">SUM(Y1209:Y1219)</f>
        <v>109</v>
      </c>
      <c r="Z1220" s="17">
        <f t="shared" ref="Z1220" si="1944">SUM(Z1209:Z1219)</f>
        <v>289</v>
      </c>
      <c r="AA1220" s="17">
        <f t="shared" ref="AA1220" si="1945">SUM(AA1209:AA1219)</f>
        <v>222</v>
      </c>
      <c r="AB1220" s="18">
        <f t="shared" ref="AB1220" si="1946">SUM(AB1209:AB1219)</f>
        <v>620</v>
      </c>
      <c r="AC1220" s="88">
        <f t="shared" ref="AC1220" si="1947">SUM(AC1209:AC1219)</f>
        <v>2373</v>
      </c>
    </row>
    <row r="1221" spans="1:33" x14ac:dyDescent="0.15">
      <c r="A1221" s="4" t="s">
        <v>1103</v>
      </c>
      <c r="B1221" s="9">
        <v>3</v>
      </c>
      <c r="C1221" s="10"/>
      <c r="D1221" s="10">
        <v>4</v>
      </c>
      <c r="E1221" s="8">
        <f t="shared" ref="E1221" si="1948">SUM(B1221:D1221)</f>
        <v>7</v>
      </c>
      <c r="F1221" s="9">
        <v>3</v>
      </c>
      <c r="G1221" s="10"/>
      <c r="H1221" s="10">
        <v>4</v>
      </c>
      <c r="I1221" s="8">
        <f t="shared" ref="I1221" si="1949">SUM(F1221:H1221)</f>
        <v>7</v>
      </c>
      <c r="J1221" s="9">
        <v>3</v>
      </c>
      <c r="K1221" s="10"/>
      <c r="L1221" s="10">
        <v>4</v>
      </c>
      <c r="M1221" s="39">
        <f t="shared" ref="M1221" si="1950">SUM(J1221:L1221)</f>
        <v>7</v>
      </c>
      <c r="N1221" s="138">
        <f t="shared" ref="N1221" si="1951">E1221+I1221+M1221</f>
        <v>21</v>
      </c>
      <c r="O1221" s="24">
        <v>45911</v>
      </c>
      <c r="P1221" s="4" t="s">
        <v>1108</v>
      </c>
      <c r="Q1221" s="9"/>
      <c r="R1221" s="10">
        <v>3</v>
      </c>
      <c r="S1221" s="10"/>
      <c r="T1221" s="5">
        <f t="shared" ref="T1221:T1234" si="1952">SUM(Q1221:S1221)</f>
        <v>3</v>
      </c>
      <c r="U1221" s="9"/>
      <c r="V1221" s="10">
        <v>3</v>
      </c>
      <c r="W1221" s="10"/>
      <c r="X1221" s="5">
        <f t="shared" ref="X1221:X1234" si="1953">SUM(U1221:W1221)</f>
        <v>3</v>
      </c>
      <c r="Y1221" s="9"/>
      <c r="Z1221" s="10">
        <v>3</v>
      </c>
      <c r="AA1221" s="10"/>
      <c r="AB1221" s="5">
        <f t="shared" ref="AB1221:AB1234" si="1954">SUM(Y1221:AA1221)</f>
        <v>3</v>
      </c>
      <c r="AC1221" s="93">
        <f t="shared" ref="AC1221:AC1234" si="1955">T1221+X1221+AB1221</f>
        <v>9</v>
      </c>
      <c r="AD1221" s="109">
        <v>45916</v>
      </c>
    </row>
    <row r="1222" spans="1:33" x14ac:dyDescent="0.15">
      <c r="A1222" s="33" t="s">
        <v>36</v>
      </c>
      <c r="B1222" s="9"/>
      <c r="C1222" s="10">
        <v>2</v>
      </c>
      <c r="D1222" s="10"/>
      <c r="E1222" s="8">
        <f t="shared" ref="E1222:E1223" si="1956">SUM(B1222:D1222)</f>
        <v>2</v>
      </c>
      <c r="F1222" s="9"/>
      <c r="G1222" s="10"/>
      <c r="H1222" s="10"/>
      <c r="I1222" s="8">
        <f t="shared" si="1925"/>
        <v>0</v>
      </c>
      <c r="J1222" s="9"/>
      <c r="K1222" s="10">
        <v>1</v>
      </c>
      <c r="L1222" s="10"/>
      <c r="M1222" s="39">
        <f t="shared" si="1926"/>
        <v>1</v>
      </c>
      <c r="N1222" s="138">
        <f t="shared" si="1927"/>
        <v>3</v>
      </c>
      <c r="O1222" s="24">
        <v>45909</v>
      </c>
      <c r="P1222" s="4" t="s">
        <v>1109</v>
      </c>
      <c r="Q1222" s="9">
        <v>10</v>
      </c>
      <c r="R1222" s="10">
        <v>10</v>
      </c>
      <c r="S1222" s="10">
        <v>10</v>
      </c>
      <c r="T1222" s="5">
        <f t="shared" si="1952"/>
        <v>30</v>
      </c>
      <c r="U1222" s="9"/>
      <c r="V1222" s="10">
        <v>10</v>
      </c>
      <c r="W1222" s="10"/>
      <c r="X1222" s="5">
        <f t="shared" si="1953"/>
        <v>10</v>
      </c>
      <c r="Y1222" s="9"/>
      <c r="Z1222" s="10">
        <v>15</v>
      </c>
      <c r="AA1222" s="10">
        <v>10</v>
      </c>
      <c r="AB1222" s="5">
        <f t="shared" si="1954"/>
        <v>25</v>
      </c>
      <c r="AC1222" s="93">
        <f t="shared" si="1955"/>
        <v>65</v>
      </c>
      <c r="AD1222" s="109">
        <v>45913</v>
      </c>
    </row>
    <row r="1223" spans="1:33" x14ac:dyDescent="0.15">
      <c r="A1223" s="33" t="s">
        <v>36</v>
      </c>
      <c r="B1223" s="9"/>
      <c r="C1223" s="10"/>
      <c r="D1223" s="10">
        <v>2</v>
      </c>
      <c r="E1223" s="8">
        <f t="shared" si="1956"/>
        <v>2</v>
      </c>
      <c r="F1223" s="9"/>
      <c r="G1223" s="10"/>
      <c r="H1223" s="10">
        <v>2</v>
      </c>
      <c r="I1223" s="8">
        <f t="shared" si="1925"/>
        <v>2</v>
      </c>
      <c r="J1223" s="9"/>
      <c r="K1223" s="10"/>
      <c r="L1223" s="10">
        <v>2</v>
      </c>
      <c r="M1223" s="39">
        <f t="shared" si="1926"/>
        <v>2</v>
      </c>
      <c r="N1223" s="138">
        <f t="shared" si="1927"/>
        <v>6</v>
      </c>
      <c r="O1223" s="70">
        <v>45910</v>
      </c>
      <c r="P1223" s="11" t="s">
        <v>1113</v>
      </c>
      <c r="Q1223" s="9">
        <v>20</v>
      </c>
      <c r="R1223" s="10">
        <v>25</v>
      </c>
      <c r="S1223" s="10">
        <v>15</v>
      </c>
      <c r="T1223" s="5">
        <f t="shared" si="1952"/>
        <v>60</v>
      </c>
      <c r="U1223" s="9">
        <v>20</v>
      </c>
      <c r="V1223" s="10">
        <v>25</v>
      </c>
      <c r="W1223" s="10">
        <v>15</v>
      </c>
      <c r="X1223" s="5">
        <f t="shared" si="1953"/>
        <v>60</v>
      </c>
      <c r="Y1223" s="9">
        <v>20</v>
      </c>
      <c r="Z1223" s="10">
        <v>25</v>
      </c>
      <c r="AA1223" s="10">
        <v>15</v>
      </c>
      <c r="AB1223" s="5">
        <f t="shared" si="1954"/>
        <v>60</v>
      </c>
      <c r="AC1223" s="93">
        <f t="shared" si="1955"/>
        <v>180</v>
      </c>
      <c r="AD1223" s="109">
        <v>45919</v>
      </c>
    </row>
    <row r="1224" spans="1:33" x14ac:dyDescent="0.15">
      <c r="A1224" s="4" t="s">
        <v>1103</v>
      </c>
      <c r="B1224" s="9">
        <v>1</v>
      </c>
      <c r="C1224" s="10">
        <v>1</v>
      </c>
      <c r="D1224" s="10"/>
      <c r="E1224" s="5">
        <f t="shared" si="1924"/>
        <v>2</v>
      </c>
      <c r="F1224" s="9">
        <v>1</v>
      </c>
      <c r="G1224" s="10">
        <v>1</v>
      </c>
      <c r="H1224" s="10"/>
      <c r="I1224" s="5">
        <f t="shared" si="1925"/>
        <v>2</v>
      </c>
      <c r="J1224" s="9">
        <v>1</v>
      </c>
      <c r="K1224" s="10">
        <v>1</v>
      </c>
      <c r="L1224" s="10"/>
      <c r="M1224" s="38">
        <f t="shared" si="1926"/>
        <v>2</v>
      </c>
      <c r="N1224" s="138">
        <f t="shared" si="1927"/>
        <v>6</v>
      </c>
      <c r="O1224" s="24">
        <v>45916</v>
      </c>
      <c r="P1224" s="4" t="s">
        <v>1114</v>
      </c>
      <c r="Q1224" s="9">
        <v>15</v>
      </c>
      <c r="R1224" s="10">
        <v>30</v>
      </c>
      <c r="S1224" s="10">
        <v>15</v>
      </c>
      <c r="T1224" s="8">
        <f t="shared" si="1952"/>
        <v>60</v>
      </c>
      <c r="U1224" s="9">
        <v>15</v>
      </c>
      <c r="V1224" s="10">
        <v>30</v>
      </c>
      <c r="W1224" s="10">
        <v>15</v>
      </c>
      <c r="X1224" s="8">
        <f t="shared" si="1953"/>
        <v>60</v>
      </c>
      <c r="Y1224" s="9">
        <v>15</v>
      </c>
      <c r="Z1224" s="10">
        <v>30</v>
      </c>
      <c r="AA1224" s="10">
        <v>15</v>
      </c>
      <c r="AB1224" s="8">
        <f t="shared" si="1954"/>
        <v>60</v>
      </c>
      <c r="AC1224" s="93">
        <f t="shared" si="1955"/>
        <v>180</v>
      </c>
      <c r="AD1224" s="109">
        <v>45916</v>
      </c>
    </row>
    <row r="1225" spans="1:33" x14ac:dyDescent="0.15">
      <c r="A1225" s="4" t="s">
        <v>1115</v>
      </c>
      <c r="B1225" s="9">
        <v>10</v>
      </c>
      <c r="C1225" s="10"/>
      <c r="D1225" s="10"/>
      <c r="E1225" s="5">
        <f t="shared" si="1924"/>
        <v>10</v>
      </c>
      <c r="F1225" s="9"/>
      <c r="G1225" s="10">
        <v>5</v>
      </c>
      <c r="H1225" s="10"/>
      <c r="I1225" s="5">
        <f t="shared" si="1925"/>
        <v>5</v>
      </c>
      <c r="J1225" s="9"/>
      <c r="K1225" s="10"/>
      <c r="L1225" s="10"/>
      <c r="M1225" s="38">
        <f t="shared" si="1926"/>
        <v>0</v>
      </c>
      <c r="N1225" s="138">
        <f t="shared" si="1927"/>
        <v>15</v>
      </c>
      <c r="O1225" s="24">
        <v>45913</v>
      </c>
      <c r="P1225" s="4" t="s">
        <v>1116</v>
      </c>
      <c r="Q1225" s="9"/>
      <c r="R1225" s="10">
        <v>8</v>
      </c>
      <c r="S1225" s="10"/>
      <c r="T1225" s="8">
        <f t="shared" si="1952"/>
        <v>8</v>
      </c>
      <c r="U1225" s="9"/>
      <c r="V1225" s="10">
        <v>8</v>
      </c>
      <c r="W1225" s="10"/>
      <c r="X1225" s="8">
        <f t="shared" si="1953"/>
        <v>8</v>
      </c>
      <c r="Y1225" s="9"/>
      <c r="Z1225" s="10">
        <v>8</v>
      </c>
      <c r="AA1225" s="10"/>
      <c r="AB1225" s="8">
        <f t="shared" si="1954"/>
        <v>8</v>
      </c>
      <c r="AC1225" s="93">
        <f t="shared" si="1955"/>
        <v>24</v>
      </c>
      <c r="AD1225" s="109">
        <v>45918</v>
      </c>
    </row>
    <row r="1226" spans="1:33" x14ac:dyDescent="0.15">
      <c r="A1226" s="4" t="s">
        <v>1117</v>
      </c>
      <c r="B1226" s="9">
        <v>1</v>
      </c>
      <c r="C1226" s="10">
        <v>1</v>
      </c>
      <c r="D1226" s="10">
        <v>1</v>
      </c>
      <c r="E1226" s="8">
        <f t="shared" si="1924"/>
        <v>3</v>
      </c>
      <c r="F1226" s="9">
        <v>1</v>
      </c>
      <c r="G1226" s="10">
        <v>1</v>
      </c>
      <c r="H1226" s="10">
        <v>1</v>
      </c>
      <c r="I1226" s="8">
        <f t="shared" si="1925"/>
        <v>3</v>
      </c>
      <c r="J1226" s="9">
        <v>1</v>
      </c>
      <c r="K1226" s="10">
        <v>1</v>
      </c>
      <c r="L1226" s="10">
        <v>1</v>
      </c>
      <c r="M1226" s="39">
        <f t="shared" si="1926"/>
        <v>3</v>
      </c>
      <c r="N1226" s="138">
        <f t="shared" si="1927"/>
        <v>9</v>
      </c>
      <c r="O1226" s="24">
        <v>45918</v>
      </c>
      <c r="P1226" s="4" t="s">
        <v>1119</v>
      </c>
      <c r="Q1226" s="9"/>
      <c r="R1226" s="10"/>
      <c r="S1226" s="10">
        <v>15</v>
      </c>
      <c r="T1226" s="8">
        <f t="shared" si="1952"/>
        <v>15</v>
      </c>
      <c r="U1226" s="9"/>
      <c r="V1226" s="10"/>
      <c r="W1226" s="10">
        <v>15</v>
      </c>
      <c r="X1226" s="8">
        <f t="shared" si="1953"/>
        <v>15</v>
      </c>
      <c r="Y1226" s="9"/>
      <c r="Z1226" s="10"/>
      <c r="AA1226" s="10">
        <v>15</v>
      </c>
      <c r="AB1226" s="8">
        <f t="shared" si="1954"/>
        <v>15</v>
      </c>
      <c r="AC1226" s="93">
        <f t="shared" si="1955"/>
        <v>45</v>
      </c>
      <c r="AD1226" s="109">
        <v>45918</v>
      </c>
    </row>
    <row r="1227" spans="1:33" x14ac:dyDescent="0.15">
      <c r="A1227" s="11" t="s">
        <v>1118</v>
      </c>
      <c r="B1227" s="9">
        <v>2</v>
      </c>
      <c r="C1227" s="10">
        <v>2</v>
      </c>
      <c r="D1227" s="10">
        <v>2</v>
      </c>
      <c r="E1227" s="8">
        <f t="shared" si="1924"/>
        <v>6</v>
      </c>
      <c r="F1227" s="9">
        <v>2</v>
      </c>
      <c r="G1227" s="10">
        <v>2</v>
      </c>
      <c r="H1227" s="10">
        <v>2</v>
      </c>
      <c r="I1227" s="8">
        <f t="shared" si="1925"/>
        <v>6</v>
      </c>
      <c r="J1227" s="9">
        <v>2</v>
      </c>
      <c r="K1227" s="10">
        <v>2</v>
      </c>
      <c r="L1227" s="10">
        <v>2</v>
      </c>
      <c r="M1227" s="39">
        <f t="shared" si="1926"/>
        <v>6</v>
      </c>
      <c r="N1227" s="138">
        <f t="shared" si="1927"/>
        <v>18</v>
      </c>
      <c r="O1227" s="24">
        <v>45922</v>
      </c>
      <c r="P1227" s="4" t="s">
        <v>1120</v>
      </c>
      <c r="Q1227" s="9">
        <v>5</v>
      </c>
      <c r="R1227" s="10"/>
      <c r="S1227" s="10"/>
      <c r="T1227" s="8">
        <f t="shared" si="1952"/>
        <v>5</v>
      </c>
      <c r="U1227" s="9">
        <v>5</v>
      </c>
      <c r="V1227" s="10"/>
      <c r="W1227" s="10"/>
      <c r="X1227" s="8">
        <f t="shared" si="1953"/>
        <v>5</v>
      </c>
      <c r="Y1227" s="9">
        <v>5</v>
      </c>
      <c r="Z1227" s="10"/>
      <c r="AA1227" s="10"/>
      <c r="AB1227" s="8">
        <f t="shared" si="1954"/>
        <v>5</v>
      </c>
      <c r="AC1227" s="93">
        <f t="shared" si="1955"/>
        <v>15</v>
      </c>
      <c r="AD1227" s="109">
        <v>45922</v>
      </c>
      <c r="AE1227" s="58"/>
    </row>
    <row r="1228" spans="1:33" x14ac:dyDescent="0.15">
      <c r="A1228" s="11" t="s">
        <v>1121</v>
      </c>
      <c r="B1228" s="9">
        <v>5</v>
      </c>
      <c r="C1228" s="10">
        <v>6</v>
      </c>
      <c r="D1228" s="10">
        <v>3</v>
      </c>
      <c r="E1228" s="8">
        <f t="shared" si="1924"/>
        <v>14</v>
      </c>
      <c r="F1228" s="9">
        <v>5</v>
      </c>
      <c r="G1228" s="10">
        <v>6</v>
      </c>
      <c r="H1228" s="10">
        <v>3</v>
      </c>
      <c r="I1228" s="8">
        <f t="shared" si="1925"/>
        <v>14</v>
      </c>
      <c r="J1228" s="9">
        <v>5</v>
      </c>
      <c r="K1228" s="10">
        <v>6</v>
      </c>
      <c r="L1228" s="10">
        <v>3</v>
      </c>
      <c r="M1228" s="39">
        <f t="shared" si="1926"/>
        <v>14</v>
      </c>
      <c r="N1228" s="138">
        <f t="shared" si="1927"/>
        <v>42</v>
      </c>
      <c r="O1228" s="24">
        <v>45922</v>
      </c>
      <c r="P1228" s="4" t="s">
        <v>27</v>
      </c>
      <c r="Q1228" s="9">
        <v>10</v>
      </c>
      <c r="R1228" s="10">
        <v>10</v>
      </c>
      <c r="S1228" s="10"/>
      <c r="T1228" s="8">
        <f t="shared" si="1952"/>
        <v>20</v>
      </c>
      <c r="U1228" s="9">
        <v>10</v>
      </c>
      <c r="V1228" s="10">
        <v>10</v>
      </c>
      <c r="W1228" s="10"/>
      <c r="X1228" s="8">
        <f t="shared" si="1953"/>
        <v>20</v>
      </c>
      <c r="Y1228" s="9"/>
      <c r="Z1228" s="10"/>
      <c r="AA1228" s="10"/>
      <c r="AB1228" s="8">
        <f t="shared" si="1954"/>
        <v>0</v>
      </c>
      <c r="AC1228" s="145">
        <f t="shared" si="1955"/>
        <v>40</v>
      </c>
      <c r="AD1228" s="109">
        <v>45918</v>
      </c>
      <c r="AE1228" s="58"/>
    </row>
    <row r="1229" spans="1:33" x14ac:dyDescent="0.15">
      <c r="A1229" s="33" t="s">
        <v>36</v>
      </c>
      <c r="B1229" s="9"/>
      <c r="C1229" s="10"/>
      <c r="D1229" s="10"/>
      <c r="E1229" s="8">
        <f t="shared" si="1924"/>
        <v>0</v>
      </c>
      <c r="F1229" s="9"/>
      <c r="G1229" s="10"/>
      <c r="H1229" s="10"/>
      <c r="I1229" s="8">
        <f t="shared" si="1925"/>
        <v>0</v>
      </c>
      <c r="J1229" s="9"/>
      <c r="K1229" s="10">
        <v>1</v>
      </c>
      <c r="L1229" s="10"/>
      <c r="M1229" s="39">
        <f t="shared" si="1926"/>
        <v>1</v>
      </c>
      <c r="N1229" s="138">
        <f t="shared" si="1927"/>
        <v>1</v>
      </c>
      <c r="O1229" s="24">
        <v>45917</v>
      </c>
      <c r="P1229" s="4" t="s">
        <v>1126</v>
      </c>
      <c r="Q1229" s="9"/>
      <c r="R1229" s="10">
        <v>15</v>
      </c>
      <c r="S1229" s="10"/>
      <c r="T1229" s="8">
        <f t="shared" si="1952"/>
        <v>15</v>
      </c>
      <c r="U1229" s="9"/>
      <c r="V1229" s="10">
        <v>15</v>
      </c>
      <c r="W1229" s="10"/>
      <c r="X1229" s="8">
        <f t="shared" si="1953"/>
        <v>15</v>
      </c>
      <c r="Y1229" s="9"/>
      <c r="Z1229" s="10">
        <v>15</v>
      </c>
      <c r="AA1229" s="10"/>
      <c r="AB1229" s="8">
        <f t="shared" si="1954"/>
        <v>15</v>
      </c>
      <c r="AC1229" s="93">
        <f t="shared" si="1955"/>
        <v>45</v>
      </c>
      <c r="AD1229" s="109">
        <v>45919</v>
      </c>
    </row>
    <row r="1230" spans="1:33" x14ac:dyDescent="0.15">
      <c r="A1230" s="4" t="s">
        <v>1125</v>
      </c>
      <c r="B1230" s="9">
        <v>1</v>
      </c>
      <c r="C1230" s="10"/>
      <c r="D1230" s="10"/>
      <c r="E1230" s="8">
        <f t="shared" si="1924"/>
        <v>1</v>
      </c>
      <c r="F1230" s="9">
        <v>1</v>
      </c>
      <c r="G1230" s="10"/>
      <c r="H1230" s="10"/>
      <c r="I1230" s="8">
        <f t="shared" si="1925"/>
        <v>1</v>
      </c>
      <c r="J1230" s="9">
        <v>1</v>
      </c>
      <c r="K1230" s="10"/>
      <c r="L1230" s="10"/>
      <c r="M1230" s="39">
        <f t="shared" si="1926"/>
        <v>1</v>
      </c>
      <c r="N1230" s="138">
        <f t="shared" si="1927"/>
        <v>3</v>
      </c>
      <c r="O1230" s="24">
        <v>45919</v>
      </c>
      <c r="P1230" s="4" t="s">
        <v>1127</v>
      </c>
      <c r="Q1230" s="9">
        <v>5</v>
      </c>
      <c r="R1230" s="10">
        <v>12</v>
      </c>
      <c r="S1230" s="10">
        <v>8</v>
      </c>
      <c r="T1230" s="8">
        <f t="shared" si="1952"/>
        <v>25</v>
      </c>
      <c r="U1230" s="9">
        <v>5</v>
      </c>
      <c r="V1230" s="10">
        <v>12</v>
      </c>
      <c r="W1230" s="10">
        <v>8</v>
      </c>
      <c r="X1230" s="8">
        <f t="shared" si="1953"/>
        <v>25</v>
      </c>
      <c r="Y1230" s="9">
        <v>5</v>
      </c>
      <c r="Z1230" s="10">
        <v>12</v>
      </c>
      <c r="AA1230" s="10">
        <v>8</v>
      </c>
      <c r="AB1230" s="8">
        <f t="shared" si="1954"/>
        <v>25</v>
      </c>
      <c r="AC1230" s="93">
        <f t="shared" si="1955"/>
        <v>75</v>
      </c>
      <c r="AD1230" s="109">
        <v>45922</v>
      </c>
    </row>
    <row r="1231" spans="1:33" x14ac:dyDescent="0.15">
      <c r="A1231" s="4" t="s">
        <v>1128</v>
      </c>
      <c r="B1231" s="9">
        <v>1</v>
      </c>
      <c r="C1231" s="10"/>
      <c r="D1231" s="10">
        <v>1</v>
      </c>
      <c r="E1231" s="8">
        <f t="shared" si="1924"/>
        <v>2</v>
      </c>
      <c r="F1231" s="9">
        <v>1</v>
      </c>
      <c r="G1231" s="10"/>
      <c r="H1231" s="10">
        <v>1</v>
      </c>
      <c r="I1231" s="8">
        <f t="shared" si="1925"/>
        <v>2</v>
      </c>
      <c r="J1231" s="9">
        <v>1</v>
      </c>
      <c r="K1231" s="10"/>
      <c r="L1231" s="10">
        <v>1</v>
      </c>
      <c r="M1231" s="39">
        <f t="shared" si="1926"/>
        <v>2</v>
      </c>
      <c r="N1231" s="138">
        <f t="shared" si="1927"/>
        <v>6</v>
      </c>
      <c r="O1231" s="24">
        <v>45922</v>
      </c>
      <c r="P1231" s="4" t="s">
        <v>1135</v>
      </c>
      <c r="Q1231" s="9">
        <v>3</v>
      </c>
      <c r="R1231" s="10"/>
      <c r="S1231" s="10">
        <v>2</v>
      </c>
      <c r="T1231" s="8">
        <f t="shared" si="1952"/>
        <v>5</v>
      </c>
      <c r="U1231" s="9">
        <v>3</v>
      </c>
      <c r="V1231" s="10"/>
      <c r="W1231" s="10">
        <v>2</v>
      </c>
      <c r="X1231" s="8">
        <f t="shared" si="1953"/>
        <v>5</v>
      </c>
      <c r="Y1231" s="9">
        <v>3</v>
      </c>
      <c r="Z1231" s="10"/>
      <c r="AA1231" s="10">
        <v>2</v>
      </c>
      <c r="AB1231" s="8">
        <f t="shared" si="1954"/>
        <v>5</v>
      </c>
      <c r="AC1231" s="93">
        <f t="shared" si="1955"/>
        <v>15</v>
      </c>
      <c r="AD1231" s="109">
        <v>45924</v>
      </c>
      <c r="AE1231" s="58"/>
      <c r="AF1231" s="58"/>
      <c r="AG1231" s="58"/>
    </row>
    <row r="1232" spans="1:33" x14ac:dyDescent="0.15">
      <c r="A1232" s="33" t="s">
        <v>1136</v>
      </c>
      <c r="B1232" s="9"/>
      <c r="C1232" s="10">
        <v>2</v>
      </c>
      <c r="D1232" s="10"/>
      <c r="E1232" s="8">
        <f t="shared" si="1924"/>
        <v>2</v>
      </c>
      <c r="F1232" s="9"/>
      <c r="G1232" s="10">
        <v>2</v>
      </c>
      <c r="H1232" s="10"/>
      <c r="I1232" s="8">
        <f t="shared" si="1925"/>
        <v>2</v>
      </c>
      <c r="J1232" s="9"/>
      <c r="K1232" s="10">
        <v>1</v>
      </c>
      <c r="L1232" s="10">
        <v>1</v>
      </c>
      <c r="M1232" s="39">
        <f t="shared" si="1926"/>
        <v>2</v>
      </c>
      <c r="N1232" s="138">
        <f t="shared" si="1927"/>
        <v>6</v>
      </c>
      <c r="O1232" s="24">
        <v>45924</v>
      </c>
      <c r="P1232" s="11" t="s">
        <v>27</v>
      </c>
      <c r="Q1232" s="9">
        <v>10</v>
      </c>
      <c r="R1232" s="10"/>
      <c r="S1232" s="10"/>
      <c r="T1232" s="8">
        <f t="shared" si="1952"/>
        <v>10</v>
      </c>
      <c r="U1232" s="9"/>
      <c r="V1232" s="10"/>
      <c r="W1232" s="10"/>
      <c r="X1232" s="8">
        <f t="shared" si="1953"/>
        <v>0</v>
      </c>
      <c r="Y1232" s="9"/>
      <c r="Z1232" s="10">
        <v>20</v>
      </c>
      <c r="AA1232" s="10">
        <v>10</v>
      </c>
      <c r="AB1232" s="8">
        <f t="shared" si="1954"/>
        <v>30</v>
      </c>
      <c r="AC1232" s="145">
        <f t="shared" si="1955"/>
        <v>40</v>
      </c>
      <c r="AD1232" s="109">
        <v>45924</v>
      </c>
      <c r="AE1232" s="58"/>
      <c r="AF1232" s="58"/>
      <c r="AG1232" s="58"/>
    </row>
    <row r="1233" spans="1:33" x14ac:dyDescent="0.15">
      <c r="A1233" s="33" t="s">
        <v>1139</v>
      </c>
      <c r="B1233" s="9"/>
      <c r="C1233" s="10">
        <v>5</v>
      </c>
      <c r="D1233" s="10"/>
      <c r="E1233" s="8">
        <f t="shared" ref="E1233" si="1957">SUM(B1233:D1233)</f>
        <v>5</v>
      </c>
      <c r="F1233" s="9"/>
      <c r="G1233" s="10">
        <v>5</v>
      </c>
      <c r="H1233" s="10"/>
      <c r="I1233" s="8">
        <f t="shared" ref="I1233" si="1958">SUM(F1233:H1233)</f>
        <v>5</v>
      </c>
      <c r="J1233" s="9"/>
      <c r="K1233" s="10">
        <v>5</v>
      </c>
      <c r="L1233" s="10"/>
      <c r="M1233" s="39">
        <f t="shared" ref="M1233" si="1959">SUM(J1233:L1233)</f>
        <v>5</v>
      </c>
      <c r="N1233" s="138">
        <f t="shared" ref="N1233" si="1960">E1233+I1233+M1233</f>
        <v>15</v>
      </c>
      <c r="O1233" s="24">
        <v>45925</v>
      </c>
      <c r="P1233" s="4" t="s">
        <v>1137</v>
      </c>
      <c r="Q1233" s="77"/>
      <c r="R1233" s="78">
        <v>10</v>
      </c>
      <c r="S1233" s="78"/>
      <c r="T1233" s="5">
        <f t="shared" si="1952"/>
        <v>10</v>
      </c>
      <c r="U1233" s="77"/>
      <c r="V1233" s="78">
        <v>10</v>
      </c>
      <c r="W1233" s="78"/>
      <c r="X1233" s="5">
        <f t="shared" si="1953"/>
        <v>10</v>
      </c>
      <c r="Y1233" s="77"/>
      <c r="Z1233" s="78">
        <v>10</v>
      </c>
      <c r="AA1233" s="78"/>
      <c r="AB1233" s="5">
        <f t="shared" si="1954"/>
        <v>10</v>
      </c>
      <c r="AC1233" s="148">
        <f t="shared" si="1955"/>
        <v>30</v>
      </c>
      <c r="AD1233" s="109">
        <v>45926</v>
      </c>
      <c r="AE1233" s="58"/>
      <c r="AF1233" s="58"/>
      <c r="AG1233" s="58"/>
    </row>
    <row r="1234" spans="1:33" x14ac:dyDescent="0.15">
      <c r="A1234" s="33" t="s">
        <v>36</v>
      </c>
      <c r="B1234" s="9"/>
      <c r="C1234" s="10">
        <v>1</v>
      </c>
      <c r="D1234" s="10"/>
      <c r="E1234" s="8">
        <f t="shared" si="1924"/>
        <v>1</v>
      </c>
      <c r="F1234" s="9"/>
      <c r="G1234" s="10">
        <f>1+2</f>
        <v>3</v>
      </c>
      <c r="H1234" s="10"/>
      <c r="I1234" s="8">
        <f t="shared" si="1925"/>
        <v>3</v>
      </c>
      <c r="J1234" s="9"/>
      <c r="K1234" s="10">
        <v>2</v>
      </c>
      <c r="L1234" s="10"/>
      <c r="M1234" s="39">
        <f t="shared" si="1926"/>
        <v>2</v>
      </c>
      <c r="N1234" s="138">
        <f t="shared" si="1927"/>
        <v>6</v>
      </c>
      <c r="O1234" s="24">
        <v>45924</v>
      </c>
      <c r="P1234" s="4" t="s">
        <v>1138</v>
      </c>
      <c r="Q1234" s="9">
        <v>6</v>
      </c>
      <c r="R1234" s="10">
        <v>8</v>
      </c>
      <c r="S1234" s="10">
        <v>10</v>
      </c>
      <c r="T1234" s="5">
        <f t="shared" si="1952"/>
        <v>24</v>
      </c>
      <c r="U1234" s="9">
        <v>6</v>
      </c>
      <c r="V1234" s="10">
        <v>8</v>
      </c>
      <c r="W1234" s="10">
        <v>10</v>
      </c>
      <c r="X1234" s="5">
        <f t="shared" si="1953"/>
        <v>24</v>
      </c>
      <c r="Y1234" s="9">
        <v>6</v>
      </c>
      <c r="Z1234" s="10">
        <v>8</v>
      </c>
      <c r="AA1234" s="10">
        <v>10</v>
      </c>
      <c r="AB1234" s="5">
        <f t="shared" si="1954"/>
        <v>24</v>
      </c>
      <c r="AC1234" s="93">
        <f t="shared" si="1955"/>
        <v>72</v>
      </c>
      <c r="AD1234" s="109">
        <v>45926</v>
      </c>
      <c r="AE1234" s="58"/>
    </row>
    <row r="1235" spans="1:33" x14ac:dyDescent="0.15">
      <c r="A1235" s="33" t="s">
        <v>36</v>
      </c>
      <c r="B1235" s="9">
        <v>1</v>
      </c>
      <c r="C1235" s="10"/>
      <c r="D1235" s="10"/>
      <c r="E1235" s="8">
        <f t="shared" ref="E1235" si="1961">SUM(B1235:D1235)</f>
        <v>1</v>
      </c>
      <c r="F1235" s="9">
        <v>1</v>
      </c>
      <c r="G1235" s="10"/>
      <c r="H1235" s="10"/>
      <c r="I1235" s="8">
        <f t="shared" ref="I1235" si="1962">SUM(F1235:H1235)</f>
        <v>1</v>
      </c>
      <c r="J1235" s="9">
        <v>1</v>
      </c>
      <c r="K1235" s="10"/>
      <c r="L1235" s="10"/>
      <c r="M1235" s="39">
        <f t="shared" ref="M1235" si="1963">SUM(J1235:L1235)</f>
        <v>1</v>
      </c>
      <c r="N1235" s="138">
        <f t="shared" ref="N1235" si="1964">E1235+I1235+M1235</f>
        <v>3</v>
      </c>
      <c r="O1235" s="24">
        <v>45925</v>
      </c>
      <c r="P1235" s="4"/>
      <c r="Q1235" s="9"/>
      <c r="R1235" s="10"/>
      <c r="S1235" s="10"/>
      <c r="T1235" s="8">
        <f t="shared" ref="T1235" si="1965">SUM(Q1235:S1235)</f>
        <v>0</v>
      </c>
      <c r="U1235" s="9"/>
      <c r="V1235" s="10"/>
      <c r="W1235" s="10"/>
      <c r="X1235" s="8">
        <f t="shared" ref="X1235" si="1966">SUM(U1235:W1235)</f>
        <v>0</v>
      </c>
      <c r="Y1235" s="9"/>
      <c r="Z1235" s="10"/>
      <c r="AA1235" s="10"/>
      <c r="AB1235" s="8">
        <f t="shared" ref="AB1235" si="1967">SUM(Y1235:AA1235)</f>
        <v>0</v>
      </c>
      <c r="AC1235" s="93">
        <f t="shared" ref="AC1235" si="1968">T1235+X1235+AB1235</f>
        <v>0</v>
      </c>
      <c r="AD1235" s="116"/>
      <c r="AE1235" s="58"/>
    </row>
    <row r="1236" spans="1:33" x14ac:dyDescent="0.15">
      <c r="A1236" s="33" t="s">
        <v>1150</v>
      </c>
      <c r="B1236" s="9"/>
      <c r="C1236" s="10">
        <v>5</v>
      </c>
      <c r="D1236" s="10"/>
      <c r="E1236" s="8">
        <f t="shared" si="1924"/>
        <v>5</v>
      </c>
      <c r="F1236" s="9"/>
      <c r="G1236" s="10">
        <v>5</v>
      </c>
      <c r="H1236" s="10"/>
      <c r="I1236" s="8">
        <f t="shared" si="1925"/>
        <v>5</v>
      </c>
      <c r="J1236" s="9"/>
      <c r="K1236" s="10">
        <v>5</v>
      </c>
      <c r="L1236" s="10"/>
      <c r="M1236" s="39">
        <f t="shared" si="1926"/>
        <v>5</v>
      </c>
      <c r="N1236" s="138">
        <f t="shared" si="1927"/>
        <v>15</v>
      </c>
      <c r="O1236" s="24">
        <v>45927</v>
      </c>
      <c r="P1236" s="81" t="s">
        <v>912</v>
      </c>
      <c r="Q1236" s="71"/>
      <c r="R1236" s="72"/>
      <c r="S1236" s="72"/>
      <c r="T1236" s="73">
        <f t="shared" ref="T1236:T1238" si="1969">SUM(Q1236:S1236)</f>
        <v>0</v>
      </c>
      <c r="U1236" s="71"/>
      <c r="V1236" s="72"/>
      <c r="W1236" s="72"/>
      <c r="X1236" s="73">
        <f t="shared" ref="X1236:X1244" si="1970">SUM(U1236:W1236)</f>
        <v>0</v>
      </c>
      <c r="Y1236" s="71"/>
      <c r="Z1236" s="72"/>
      <c r="AA1236" s="72"/>
      <c r="AB1236" s="73">
        <f t="shared" ref="AB1236:AB1244" si="1971">SUM(Y1236:AA1236)</f>
        <v>0</v>
      </c>
      <c r="AC1236" s="92">
        <f t="shared" ref="AC1236:AC1244" si="1972">T1236+X1236+AB1236</f>
        <v>0</v>
      </c>
      <c r="AD1236" s="116"/>
    </row>
    <row r="1237" spans="1:33" x14ac:dyDescent="0.15">
      <c r="A1237" s="33"/>
      <c r="B1237" s="9"/>
      <c r="C1237" s="10"/>
      <c r="D1237" s="10"/>
      <c r="E1237" s="8">
        <f t="shared" si="1924"/>
        <v>0</v>
      </c>
      <c r="F1237" s="9"/>
      <c r="G1237" s="10"/>
      <c r="H1237" s="10"/>
      <c r="I1237" s="8">
        <f t="shared" si="1925"/>
        <v>0</v>
      </c>
      <c r="J1237" s="9"/>
      <c r="K1237" s="10"/>
      <c r="L1237" s="10"/>
      <c r="M1237" s="39">
        <f t="shared" si="1926"/>
        <v>0</v>
      </c>
      <c r="N1237" s="138">
        <f t="shared" si="1927"/>
        <v>0</v>
      </c>
      <c r="O1237" s="58"/>
      <c r="P1237" s="4" t="s">
        <v>1003</v>
      </c>
      <c r="Q1237" s="9"/>
      <c r="R1237" s="10"/>
      <c r="S1237" s="10"/>
      <c r="T1237" s="8">
        <f t="shared" si="1969"/>
        <v>0</v>
      </c>
      <c r="U1237" s="9"/>
      <c r="V1237" s="10"/>
      <c r="W1237" s="10"/>
      <c r="X1237" s="8">
        <f t="shared" si="1970"/>
        <v>0</v>
      </c>
      <c r="Y1237" s="9"/>
      <c r="Z1237" s="10"/>
      <c r="AA1237" s="10"/>
      <c r="AB1237" s="8">
        <f t="shared" si="1971"/>
        <v>0</v>
      </c>
      <c r="AC1237" s="93">
        <f t="shared" si="1972"/>
        <v>0</v>
      </c>
      <c r="AD1237" s="116" t="s">
        <v>911</v>
      </c>
    </row>
    <row r="1238" spans="1:33" x14ac:dyDescent="0.15">
      <c r="A1238" s="33"/>
      <c r="B1238" s="9"/>
      <c r="C1238" s="10"/>
      <c r="D1238" s="10"/>
      <c r="E1238" s="8">
        <f t="shared" si="1924"/>
        <v>0</v>
      </c>
      <c r="F1238" s="9"/>
      <c r="G1238" s="10"/>
      <c r="H1238" s="10"/>
      <c r="I1238" s="8">
        <f t="shared" si="1925"/>
        <v>0</v>
      </c>
      <c r="J1238" s="9"/>
      <c r="K1238" s="10"/>
      <c r="L1238" s="10"/>
      <c r="M1238" s="39">
        <f t="shared" si="1926"/>
        <v>0</v>
      </c>
      <c r="N1238" s="138">
        <f t="shared" si="1927"/>
        <v>0</v>
      </c>
      <c r="O1238" s="58"/>
      <c r="P1238" s="4" t="s">
        <v>983</v>
      </c>
      <c r="Q1238" s="9"/>
      <c r="R1238" s="10"/>
      <c r="S1238" s="10"/>
      <c r="T1238" s="8">
        <f t="shared" si="1969"/>
        <v>0</v>
      </c>
      <c r="U1238" s="9"/>
      <c r="V1238" s="10"/>
      <c r="W1238" s="10"/>
      <c r="X1238" s="8">
        <f t="shared" si="1970"/>
        <v>0</v>
      </c>
      <c r="Y1238" s="9"/>
      <c r="Z1238" s="10"/>
      <c r="AA1238" s="10"/>
      <c r="AB1238" s="8">
        <f t="shared" si="1971"/>
        <v>0</v>
      </c>
      <c r="AC1238" s="86">
        <f t="shared" si="1972"/>
        <v>0</v>
      </c>
      <c r="AD1238" s="116" t="s">
        <v>984</v>
      </c>
    </row>
    <row r="1239" spans="1:33" x14ac:dyDescent="0.15">
      <c r="A1239" s="33"/>
      <c r="B1239" s="9"/>
      <c r="C1239" s="10"/>
      <c r="D1239" s="10"/>
      <c r="E1239" s="8">
        <f t="shared" si="1924"/>
        <v>0</v>
      </c>
      <c r="F1239" s="9"/>
      <c r="G1239" s="10"/>
      <c r="H1239" s="10"/>
      <c r="I1239" s="8">
        <f t="shared" si="1925"/>
        <v>0</v>
      </c>
      <c r="J1239" s="9"/>
      <c r="K1239" s="10"/>
      <c r="L1239" s="10"/>
      <c r="M1239" s="39">
        <f t="shared" si="1926"/>
        <v>0</v>
      </c>
      <c r="N1239" s="138">
        <f t="shared" si="1927"/>
        <v>0</v>
      </c>
      <c r="P1239" s="81" t="s">
        <v>1005</v>
      </c>
      <c r="Q1239" s="71"/>
      <c r="R1239" s="72"/>
      <c r="S1239" s="72"/>
      <c r="T1239" s="73">
        <f t="shared" ref="T1239:T1244" si="1973">SUM(Q1239:S1239)</f>
        <v>0</v>
      </c>
      <c r="U1239" s="71"/>
      <c r="V1239" s="72"/>
      <c r="W1239" s="72"/>
      <c r="X1239" s="73">
        <f t="shared" si="1970"/>
        <v>0</v>
      </c>
      <c r="Y1239" s="71"/>
      <c r="Z1239" s="72"/>
      <c r="AA1239" s="72"/>
      <c r="AB1239" s="73">
        <f t="shared" si="1971"/>
        <v>0</v>
      </c>
      <c r="AC1239" s="92">
        <f t="shared" si="1972"/>
        <v>0</v>
      </c>
      <c r="AD1239" s="116"/>
    </row>
    <row r="1240" spans="1:33" x14ac:dyDescent="0.15">
      <c r="A1240" s="33"/>
      <c r="B1240" s="9"/>
      <c r="C1240" s="10"/>
      <c r="D1240" s="10"/>
      <c r="E1240" s="8">
        <f t="shared" si="1924"/>
        <v>0</v>
      </c>
      <c r="F1240" s="9"/>
      <c r="G1240" s="10"/>
      <c r="H1240" s="10"/>
      <c r="I1240" s="8">
        <f t="shared" si="1925"/>
        <v>0</v>
      </c>
      <c r="J1240" s="9"/>
      <c r="K1240" s="10"/>
      <c r="L1240" s="10"/>
      <c r="M1240" s="39">
        <f t="shared" si="1926"/>
        <v>0</v>
      </c>
      <c r="N1240" s="138">
        <f t="shared" si="1927"/>
        <v>0</v>
      </c>
      <c r="P1240" s="4" t="s">
        <v>999</v>
      </c>
      <c r="Q1240" s="9"/>
      <c r="R1240" s="10"/>
      <c r="S1240" s="10"/>
      <c r="T1240" s="8">
        <f t="shared" si="1973"/>
        <v>0</v>
      </c>
      <c r="U1240" s="9"/>
      <c r="V1240" s="10"/>
      <c r="W1240" s="10"/>
      <c r="X1240" s="8">
        <f t="shared" si="1970"/>
        <v>0</v>
      </c>
      <c r="Y1240" s="9"/>
      <c r="Z1240" s="10"/>
      <c r="AA1240" s="10"/>
      <c r="AB1240" s="8">
        <f t="shared" si="1971"/>
        <v>0</v>
      </c>
      <c r="AC1240" s="93">
        <f t="shared" si="1972"/>
        <v>0</v>
      </c>
      <c r="AD1240" s="116" t="s">
        <v>1001</v>
      </c>
    </row>
    <row r="1241" spans="1:33" x14ac:dyDescent="0.15">
      <c r="A1241" s="33"/>
      <c r="B1241" s="9"/>
      <c r="C1241" s="10"/>
      <c r="D1241" s="10"/>
      <c r="E1241" s="8">
        <f t="shared" si="1924"/>
        <v>0</v>
      </c>
      <c r="F1241" s="9"/>
      <c r="G1241" s="10"/>
      <c r="H1241" s="10"/>
      <c r="I1241" s="8">
        <f t="shared" si="1925"/>
        <v>0</v>
      </c>
      <c r="J1241" s="9"/>
      <c r="K1241" s="10"/>
      <c r="L1241" s="10"/>
      <c r="M1241" s="39">
        <f t="shared" si="1926"/>
        <v>0</v>
      </c>
      <c r="N1241" s="138">
        <f t="shared" si="1927"/>
        <v>0</v>
      </c>
      <c r="P1241" s="81" t="s">
        <v>1004</v>
      </c>
      <c r="Q1241" s="71"/>
      <c r="R1241" s="72"/>
      <c r="S1241" s="72"/>
      <c r="T1241" s="73">
        <f t="shared" si="1973"/>
        <v>0</v>
      </c>
      <c r="U1241" s="71"/>
      <c r="V1241" s="72"/>
      <c r="W1241" s="72"/>
      <c r="X1241" s="73">
        <f t="shared" si="1970"/>
        <v>0</v>
      </c>
      <c r="Y1241" s="71"/>
      <c r="Z1241" s="72"/>
      <c r="AA1241" s="72"/>
      <c r="AB1241" s="73">
        <f t="shared" si="1971"/>
        <v>0</v>
      </c>
      <c r="AC1241" s="92">
        <f t="shared" si="1972"/>
        <v>0</v>
      </c>
      <c r="AD1241" s="116"/>
    </row>
    <row r="1242" spans="1:33" x14ac:dyDescent="0.15">
      <c r="A1242" s="33"/>
      <c r="B1242" s="9"/>
      <c r="C1242" s="10"/>
      <c r="D1242" s="10"/>
      <c r="E1242" s="8">
        <f t="shared" si="1924"/>
        <v>0</v>
      </c>
      <c r="F1242" s="9"/>
      <c r="G1242" s="10"/>
      <c r="H1242" s="10"/>
      <c r="I1242" s="8">
        <f t="shared" si="1925"/>
        <v>0</v>
      </c>
      <c r="J1242" s="9"/>
      <c r="K1242" s="10"/>
      <c r="L1242" s="10"/>
      <c r="M1242" s="39">
        <f t="shared" si="1926"/>
        <v>0</v>
      </c>
      <c r="N1242" s="138">
        <f t="shared" si="1927"/>
        <v>0</v>
      </c>
      <c r="P1242" s="4" t="s">
        <v>1000</v>
      </c>
      <c r="Q1242" s="9"/>
      <c r="R1242" s="10"/>
      <c r="S1242" s="10"/>
      <c r="T1242" s="8">
        <f t="shared" si="1973"/>
        <v>0</v>
      </c>
      <c r="U1242" s="9"/>
      <c r="V1242" s="10"/>
      <c r="W1242" s="10"/>
      <c r="X1242" s="8">
        <f t="shared" si="1970"/>
        <v>0</v>
      </c>
      <c r="Y1242" s="9"/>
      <c r="Z1242" s="10"/>
      <c r="AA1242" s="10"/>
      <c r="AB1242" s="8">
        <f t="shared" si="1971"/>
        <v>0</v>
      </c>
      <c r="AC1242" s="93">
        <f t="shared" si="1972"/>
        <v>0</v>
      </c>
      <c r="AD1242" s="116" t="s">
        <v>1002</v>
      </c>
    </row>
    <row r="1243" spans="1:33" x14ac:dyDescent="0.15">
      <c r="A1243" s="33"/>
      <c r="B1243" s="9"/>
      <c r="C1243" s="10"/>
      <c r="D1243" s="10"/>
      <c r="E1243" s="8">
        <f t="shared" si="1924"/>
        <v>0</v>
      </c>
      <c r="F1243" s="9"/>
      <c r="G1243" s="10"/>
      <c r="H1243" s="10"/>
      <c r="I1243" s="8">
        <f t="shared" si="1925"/>
        <v>0</v>
      </c>
      <c r="J1243" s="9"/>
      <c r="K1243" s="10"/>
      <c r="L1243" s="10"/>
      <c r="M1243" s="39">
        <f t="shared" si="1926"/>
        <v>0</v>
      </c>
      <c r="N1243" s="138">
        <f t="shared" si="1927"/>
        <v>0</v>
      </c>
      <c r="P1243" s="81" t="s">
        <v>1034</v>
      </c>
      <c r="Q1243" s="71"/>
      <c r="R1243" s="72"/>
      <c r="S1243" s="72"/>
      <c r="T1243" s="73">
        <f t="shared" si="1973"/>
        <v>0</v>
      </c>
      <c r="U1243" s="71"/>
      <c r="V1243" s="72"/>
      <c r="W1243" s="72"/>
      <c r="X1243" s="73">
        <f t="shared" si="1970"/>
        <v>0</v>
      </c>
      <c r="Y1243" s="71"/>
      <c r="Z1243" s="72"/>
      <c r="AA1243" s="72"/>
      <c r="AB1243" s="73">
        <f t="shared" si="1971"/>
        <v>0</v>
      </c>
      <c r="AC1243" s="92">
        <f t="shared" si="1972"/>
        <v>0</v>
      </c>
      <c r="AD1243" s="116"/>
    </row>
    <row r="1244" spans="1:33" ht="14.25" thickBot="1" x14ac:dyDescent="0.2">
      <c r="A1244" s="63"/>
      <c r="B1244" s="9"/>
      <c r="C1244" s="10"/>
      <c r="D1244" s="22"/>
      <c r="E1244" s="8">
        <f t="shared" si="1924"/>
        <v>0</v>
      </c>
      <c r="F1244" s="9"/>
      <c r="G1244" s="10"/>
      <c r="H1244" s="22"/>
      <c r="I1244" s="8">
        <f t="shared" si="1925"/>
        <v>0</v>
      </c>
      <c r="J1244" s="9"/>
      <c r="K1244" s="10"/>
      <c r="L1244" s="22"/>
      <c r="M1244" s="39">
        <f t="shared" si="1926"/>
        <v>0</v>
      </c>
      <c r="N1244" s="139">
        <f t="shared" si="1927"/>
        <v>0</v>
      </c>
      <c r="P1244" s="4" t="s">
        <v>1032</v>
      </c>
      <c r="Q1244" s="9"/>
      <c r="R1244" s="10"/>
      <c r="S1244" s="10"/>
      <c r="T1244" s="8">
        <f t="shared" si="1973"/>
        <v>0</v>
      </c>
      <c r="U1244" s="9"/>
      <c r="V1244" s="10"/>
      <c r="W1244" s="10"/>
      <c r="X1244" s="8">
        <f t="shared" si="1970"/>
        <v>0</v>
      </c>
      <c r="Y1244" s="9"/>
      <c r="Z1244" s="10"/>
      <c r="AA1244" s="10"/>
      <c r="AB1244" s="8">
        <f t="shared" si="1971"/>
        <v>0</v>
      </c>
      <c r="AC1244" s="93">
        <f t="shared" si="1972"/>
        <v>0</v>
      </c>
      <c r="AD1244" s="116" t="s">
        <v>1033</v>
      </c>
    </row>
    <row r="1245" spans="1:33" ht="14.25" thickBot="1" x14ac:dyDescent="0.2">
      <c r="A1245" s="104" t="s">
        <v>5</v>
      </c>
      <c r="B1245" s="12">
        <f>SUM(B1221:B1244)</f>
        <v>25</v>
      </c>
      <c r="C1245" s="12">
        <f>SUM(C1221:C1244)</f>
        <v>25</v>
      </c>
      <c r="D1245" s="12">
        <f>SUM(D1221:D1244)</f>
        <v>13</v>
      </c>
      <c r="E1245" s="13">
        <f t="shared" si="1924"/>
        <v>63</v>
      </c>
      <c r="F1245" s="12">
        <f>SUM(F1221:F1244)</f>
        <v>15</v>
      </c>
      <c r="G1245" s="12">
        <f>SUM(G1221:G1244)</f>
        <v>30</v>
      </c>
      <c r="H1245" s="12">
        <f>SUM(H1221:H1244)</f>
        <v>13</v>
      </c>
      <c r="I1245" s="13">
        <f t="shared" si="1925"/>
        <v>58</v>
      </c>
      <c r="J1245" s="12">
        <f>SUM(J1221:J1244)</f>
        <v>15</v>
      </c>
      <c r="K1245" s="12">
        <f>SUM(K1221:K1244)</f>
        <v>25</v>
      </c>
      <c r="L1245" s="12">
        <f>SUM(L1221:L1244)</f>
        <v>14</v>
      </c>
      <c r="M1245" s="12">
        <f t="shared" si="1926"/>
        <v>54</v>
      </c>
      <c r="N1245" s="142">
        <f t="shared" si="1927"/>
        <v>175</v>
      </c>
      <c r="P1245" s="3" t="s">
        <v>5</v>
      </c>
      <c r="Q1245" s="12">
        <f>SUM(Q1221:Q1244)</f>
        <v>84</v>
      </c>
      <c r="R1245" s="12">
        <f t="shared" ref="R1245" si="1974">SUM(R1221:R1244)</f>
        <v>131</v>
      </c>
      <c r="S1245" s="12">
        <f t="shared" ref="S1245" si="1975">SUM(S1221:S1244)</f>
        <v>75</v>
      </c>
      <c r="T1245" s="13">
        <f t="shared" ref="T1245" si="1976">SUM(T1221:T1244)</f>
        <v>290</v>
      </c>
      <c r="U1245" s="12">
        <f t="shared" ref="U1245" si="1977">SUM(U1221:U1244)</f>
        <v>64</v>
      </c>
      <c r="V1245" s="12">
        <f t="shared" ref="V1245" si="1978">SUM(V1221:V1244)</f>
        <v>131</v>
      </c>
      <c r="W1245" s="12">
        <f t="shared" ref="W1245" si="1979">SUM(W1221:W1244)</f>
        <v>65</v>
      </c>
      <c r="X1245" s="13">
        <f t="shared" ref="X1245" si="1980">SUM(X1221:X1244)</f>
        <v>260</v>
      </c>
      <c r="Y1245" s="12">
        <f t="shared" ref="Y1245" si="1981">SUM(Y1221:Y1244)</f>
        <v>54</v>
      </c>
      <c r="Z1245" s="12">
        <f t="shared" ref="Z1245" si="1982">SUM(Z1221:Z1244)</f>
        <v>146</v>
      </c>
      <c r="AA1245" s="12">
        <f t="shared" ref="AA1245" si="1983">SUM(AA1221:AA1244)</f>
        <v>85</v>
      </c>
      <c r="AB1245" s="13">
        <f t="shared" ref="AB1245" si="1984">SUM(AB1221:AB1244)</f>
        <v>285</v>
      </c>
      <c r="AC1245" s="155">
        <f t="shared" ref="AC1245" si="1985">SUM(AC1221:AC1244)</f>
        <v>835</v>
      </c>
    </row>
    <row r="1246" spans="1:33" ht="14.25" thickBot="1" x14ac:dyDescent="0.2">
      <c r="A1246" s="105" t="s">
        <v>6</v>
      </c>
      <c r="B1246" s="20">
        <f>B1220-B1245</f>
        <v>28</v>
      </c>
      <c r="C1246" s="20">
        <f t="shared" ref="C1246:E1246" si="1986">C1220-C1245</f>
        <v>15</v>
      </c>
      <c r="D1246" s="20">
        <f t="shared" si="1986"/>
        <v>24</v>
      </c>
      <c r="E1246" s="18">
        <f t="shared" si="1986"/>
        <v>67</v>
      </c>
      <c r="F1246" s="20">
        <f>F1220-F1245</f>
        <v>25</v>
      </c>
      <c r="G1246" s="20">
        <f t="shared" ref="G1246:I1246" si="1987">G1220-G1245</f>
        <v>11</v>
      </c>
      <c r="H1246" s="20">
        <f t="shared" si="1987"/>
        <v>23</v>
      </c>
      <c r="I1246" s="18">
        <f t="shared" si="1987"/>
        <v>59</v>
      </c>
      <c r="J1246" s="20">
        <f>J1220-J1245</f>
        <v>20</v>
      </c>
      <c r="K1246" s="20">
        <f t="shared" ref="K1246:M1246" si="1988">K1220-K1245</f>
        <v>18</v>
      </c>
      <c r="L1246" s="20">
        <f t="shared" si="1988"/>
        <v>30</v>
      </c>
      <c r="M1246" s="20">
        <f t="shared" si="1988"/>
        <v>68</v>
      </c>
      <c r="N1246" s="140">
        <f t="shared" si="1927"/>
        <v>194</v>
      </c>
      <c r="P1246" s="19" t="s">
        <v>6</v>
      </c>
      <c r="Q1246" s="20">
        <f>Q1220-Q1245</f>
        <v>95</v>
      </c>
      <c r="R1246" s="20">
        <f t="shared" ref="R1246" si="1989">R1220-R1245</f>
        <v>135</v>
      </c>
      <c r="S1246" s="20">
        <f t="shared" ref="S1246" si="1990">S1220-S1245</f>
        <v>216</v>
      </c>
      <c r="T1246" s="18">
        <f t="shared" ref="T1246" si="1991">T1220-T1245</f>
        <v>446</v>
      </c>
      <c r="U1246" s="20">
        <f t="shared" ref="U1246" si="1992">U1220-U1245</f>
        <v>145</v>
      </c>
      <c r="V1246" s="20">
        <f t="shared" ref="V1246" si="1993">V1220-V1245</f>
        <v>320</v>
      </c>
      <c r="W1246" s="20">
        <f t="shared" ref="W1246" si="1994">W1220-W1245</f>
        <v>292</v>
      </c>
      <c r="X1246" s="18">
        <f t="shared" ref="X1246" si="1995">X1220-X1245</f>
        <v>757</v>
      </c>
      <c r="Y1246" s="20">
        <f t="shared" ref="Y1246" si="1996">Y1220-Y1245</f>
        <v>55</v>
      </c>
      <c r="Z1246" s="20">
        <f t="shared" ref="Z1246" si="1997">Z1220-Z1245</f>
        <v>143</v>
      </c>
      <c r="AA1246" s="20">
        <f t="shared" ref="AA1246" si="1998">AA1220-AA1245</f>
        <v>137</v>
      </c>
      <c r="AB1246" s="18">
        <f t="shared" ref="AB1246" si="1999">AB1220-AB1245</f>
        <v>335</v>
      </c>
      <c r="AC1246" s="88">
        <f t="shared" ref="AC1246" si="2000">AC1220-AC1245</f>
        <v>1538</v>
      </c>
    </row>
    <row r="1247" spans="1:33" x14ac:dyDescent="0.15">
      <c r="Q1247" s="64">
        <f>Q1246/$T$1246*100</f>
        <v>21.300448430493272</v>
      </c>
      <c r="R1247" s="64">
        <f t="shared" ref="R1247:T1247" si="2001">R1246/$T$1246*100</f>
        <v>30.269058295964125</v>
      </c>
      <c r="S1247" s="64">
        <f t="shared" si="2001"/>
        <v>48.430493273542602</v>
      </c>
      <c r="T1247" s="64">
        <f t="shared" si="2001"/>
        <v>100</v>
      </c>
      <c r="U1247" s="64">
        <f>U1246/$X$1246*100</f>
        <v>19.154557463672393</v>
      </c>
      <c r="V1247" s="64">
        <f t="shared" ref="V1247:X1247" si="2002">V1246/$X$1246*100</f>
        <v>42.27212681638045</v>
      </c>
      <c r="W1247" s="64">
        <f t="shared" si="2002"/>
        <v>38.573315719947161</v>
      </c>
      <c r="X1247" s="64">
        <f t="shared" si="2002"/>
        <v>100</v>
      </c>
      <c r="Y1247" s="64">
        <f>Y1246/$AB$1246*100</f>
        <v>16.417910447761194</v>
      </c>
      <c r="Z1247" s="64">
        <f t="shared" ref="Z1247:AB1247" si="2003">Z1246/$AB$1246*100</f>
        <v>42.68656716417911</v>
      </c>
      <c r="AA1247" s="64">
        <f t="shared" si="2003"/>
        <v>40.895522388059703</v>
      </c>
      <c r="AB1247" s="64">
        <f t="shared" si="2003"/>
        <v>100</v>
      </c>
    </row>
    <row r="1248" spans="1:33" x14ac:dyDescent="0.15">
      <c r="Q1248" s="66">
        <v>28.4</v>
      </c>
      <c r="R1248" s="66">
        <v>42.5</v>
      </c>
      <c r="S1248" s="66">
        <v>29.1</v>
      </c>
      <c r="T1248" s="66"/>
      <c r="U1248" s="66">
        <v>28.5</v>
      </c>
      <c r="V1248" s="66">
        <v>42.1</v>
      </c>
      <c r="W1248" s="66">
        <v>29.3</v>
      </c>
      <c r="X1248" s="66"/>
      <c r="Y1248" s="66">
        <v>28.4</v>
      </c>
      <c r="Z1248" s="66">
        <v>42.4</v>
      </c>
      <c r="AA1248" s="66">
        <v>29.3</v>
      </c>
    </row>
    <row r="1249" spans="1:31" ht="19.5" thickBot="1" x14ac:dyDescent="0.25">
      <c r="A1249" s="108" t="s">
        <v>264</v>
      </c>
      <c r="B1249" s="47"/>
      <c r="C1249" s="47"/>
      <c r="D1249" s="47"/>
      <c r="E1249" s="47"/>
      <c r="F1249" s="48"/>
      <c r="G1249" s="48"/>
      <c r="H1249" s="48"/>
      <c r="I1249" s="48"/>
      <c r="J1249" s="48"/>
      <c r="K1249" s="48"/>
      <c r="L1249" s="1"/>
      <c r="M1249" s="1"/>
      <c r="N1249" s="137"/>
      <c r="P1249" s="43" t="s">
        <v>263</v>
      </c>
      <c r="Q1249" s="44"/>
      <c r="R1249" s="44"/>
      <c r="S1249" s="44"/>
      <c r="T1249" s="44"/>
      <c r="U1249" s="45"/>
      <c r="V1249" s="45"/>
      <c r="W1249" s="45"/>
      <c r="X1249" s="45"/>
      <c r="Y1249" s="46"/>
      <c r="Z1249" s="53"/>
      <c r="AA1249" s="1"/>
      <c r="AB1249" s="1"/>
    </row>
    <row r="1250" spans="1:31" ht="14.25" thickBot="1" x14ac:dyDescent="0.2">
      <c r="A1250" s="100" t="s">
        <v>0</v>
      </c>
      <c r="B1250" s="337" t="s">
        <v>11</v>
      </c>
      <c r="C1250" s="337"/>
      <c r="D1250" s="337"/>
      <c r="E1250" s="338"/>
      <c r="F1250" s="339" t="s">
        <v>9</v>
      </c>
      <c r="G1250" s="340"/>
      <c r="H1250" s="340"/>
      <c r="I1250" s="341"/>
      <c r="J1250" s="342" t="s">
        <v>12</v>
      </c>
      <c r="K1250" s="343"/>
      <c r="L1250" s="343"/>
      <c r="M1250" s="343"/>
      <c r="N1250" s="347" t="s">
        <v>13</v>
      </c>
      <c r="P1250" s="2" t="s">
        <v>0</v>
      </c>
      <c r="Q1250" s="336" t="s">
        <v>11</v>
      </c>
      <c r="R1250" s="337"/>
      <c r="S1250" s="337"/>
      <c r="T1250" s="338"/>
      <c r="U1250" s="339" t="s">
        <v>9</v>
      </c>
      <c r="V1250" s="340"/>
      <c r="W1250" s="340"/>
      <c r="X1250" s="341"/>
      <c r="Y1250" s="342" t="s">
        <v>12</v>
      </c>
      <c r="Z1250" s="343"/>
      <c r="AA1250" s="343"/>
      <c r="AB1250" s="344"/>
      <c r="AC1250" s="133" t="s">
        <v>13</v>
      </c>
    </row>
    <row r="1251" spans="1:31" ht="14.25" thickBot="1" x14ac:dyDescent="0.2">
      <c r="A1251" s="100" t="s">
        <v>1</v>
      </c>
      <c r="B1251" s="3" t="s">
        <v>7</v>
      </c>
      <c r="C1251" s="2" t="s">
        <v>10</v>
      </c>
      <c r="D1251" s="2" t="s">
        <v>8</v>
      </c>
      <c r="E1251" s="2" t="s">
        <v>2</v>
      </c>
      <c r="F1251" s="3" t="s">
        <v>7</v>
      </c>
      <c r="G1251" s="2" t="s">
        <v>10</v>
      </c>
      <c r="H1251" s="2" t="s">
        <v>8</v>
      </c>
      <c r="I1251" s="2" t="s">
        <v>2</v>
      </c>
      <c r="J1251" s="3" t="s">
        <v>7</v>
      </c>
      <c r="K1251" s="2" t="s">
        <v>10</v>
      </c>
      <c r="L1251" s="2" t="s">
        <v>8</v>
      </c>
      <c r="M1251" s="3" t="s">
        <v>2</v>
      </c>
      <c r="N1251" s="348"/>
      <c r="P1251" s="2" t="s">
        <v>1</v>
      </c>
      <c r="Q1251" s="3" t="s">
        <v>7</v>
      </c>
      <c r="R1251" s="2" t="s">
        <v>10</v>
      </c>
      <c r="S1251" s="2" t="s">
        <v>8</v>
      </c>
      <c r="T1251" s="2" t="s">
        <v>2</v>
      </c>
      <c r="U1251" s="3" t="s">
        <v>7</v>
      </c>
      <c r="V1251" s="2" t="s">
        <v>10</v>
      </c>
      <c r="W1251" s="2" t="s">
        <v>8</v>
      </c>
      <c r="X1251" s="2" t="s">
        <v>2</v>
      </c>
      <c r="Y1251" s="3" t="s">
        <v>7</v>
      </c>
      <c r="Z1251" s="2" t="s">
        <v>10</v>
      </c>
      <c r="AA1251" s="2" t="s">
        <v>8</v>
      </c>
      <c r="AB1251" s="2" t="s">
        <v>2</v>
      </c>
      <c r="AC1251" s="134"/>
    </row>
    <row r="1252" spans="1:31" x14ac:dyDescent="0.15">
      <c r="A1252" s="106" t="s">
        <v>6</v>
      </c>
      <c r="B1252" s="41">
        <f>B1246</f>
        <v>28</v>
      </c>
      <c r="C1252" s="41">
        <f t="shared" ref="C1252:E1252" si="2004">C1246</f>
        <v>15</v>
      </c>
      <c r="D1252" s="41">
        <f t="shared" si="2004"/>
        <v>24</v>
      </c>
      <c r="E1252" s="42">
        <f t="shared" si="2004"/>
        <v>67</v>
      </c>
      <c r="F1252" s="41">
        <f>F1246</f>
        <v>25</v>
      </c>
      <c r="G1252" s="41">
        <f t="shared" ref="G1252:I1252" si="2005">G1246</f>
        <v>11</v>
      </c>
      <c r="H1252" s="41">
        <f t="shared" si="2005"/>
        <v>23</v>
      </c>
      <c r="I1252" s="42">
        <f t="shared" si="2005"/>
        <v>59</v>
      </c>
      <c r="J1252" s="41">
        <f>J1246</f>
        <v>20</v>
      </c>
      <c r="K1252" s="41">
        <f t="shared" ref="K1252:M1252" si="2006">K1246</f>
        <v>18</v>
      </c>
      <c r="L1252" s="41">
        <f t="shared" si="2006"/>
        <v>30</v>
      </c>
      <c r="M1252" s="42">
        <f t="shared" si="2006"/>
        <v>68</v>
      </c>
      <c r="N1252" s="143">
        <f>E1252+I1252+M1252</f>
        <v>194</v>
      </c>
      <c r="P1252" s="36" t="s">
        <v>6</v>
      </c>
      <c r="Q1252" s="41">
        <f>Q1246</f>
        <v>95</v>
      </c>
      <c r="R1252" s="41">
        <f t="shared" ref="R1252:AC1252" si="2007">R1246</f>
        <v>135</v>
      </c>
      <c r="S1252" s="41">
        <f t="shared" si="2007"/>
        <v>216</v>
      </c>
      <c r="T1252" s="42">
        <f t="shared" si="2007"/>
        <v>446</v>
      </c>
      <c r="U1252" s="41">
        <f t="shared" si="2007"/>
        <v>145</v>
      </c>
      <c r="V1252" s="41">
        <f t="shared" si="2007"/>
        <v>320</v>
      </c>
      <c r="W1252" s="41">
        <f t="shared" si="2007"/>
        <v>292</v>
      </c>
      <c r="X1252" s="42">
        <f t="shared" si="2007"/>
        <v>757</v>
      </c>
      <c r="Y1252" s="41">
        <f t="shared" si="2007"/>
        <v>55</v>
      </c>
      <c r="Z1252" s="41">
        <f t="shared" si="2007"/>
        <v>143</v>
      </c>
      <c r="AA1252" s="41">
        <f t="shared" si="2007"/>
        <v>137</v>
      </c>
      <c r="AB1252" s="42">
        <f t="shared" si="2007"/>
        <v>335</v>
      </c>
      <c r="AC1252" s="90">
        <f t="shared" si="2007"/>
        <v>1538</v>
      </c>
    </row>
    <row r="1253" spans="1:31" x14ac:dyDescent="0.15">
      <c r="A1253" s="102" t="s">
        <v>3</v>
      </c>
      <c r="B1253" s="25"/>
      <c r="C1253" s="26">
        <v>10</v>
      </c>
      <c r="D1253" s="26"/>
      <c r="E1253" s="5">
        <f t="shared" ref="E1253:E1288" si="2008">SUM(B1253:D1253)</f>
        <v>10</v>
      </c>
      <c r="F1253" s="25"/>
      <c r="G1253" s="26">
        <v>10</v>
      </c>
      <c r="H1253" s="26"/>
      <c r="I1253" s="5">
        <f t="shared" ref="I1253:I1288" si="2009">SUM(F1253:H1253)</f>
        <v>10</v>
      </c>
      <c r="J1253" s="25"/>
      <c r="K1253" s="26"/>
      <c r="L1253" s="26"/>
      <c r="M1253" s="38">
        <f t="shared" ref="M1253:M1288" si="2010">SUM(J1253:L1253)</f>
        <v>0</v>
      </c>
      <c r="N1253" s="138">
        <f t="shared" ref="N1253:N1289" si="2011">E1253+I1253+M1253</f>
        <v>20</v>
      </c>
      <c r="O1253" s="24">
        <v>45931</v>
      </c>
      <c r="P1253" s="6" t="s">
        <v>3</v>
      </c>
      <c r="Q1253" s="14"/>
      <c r="R1253" s="11"/>
      <c r="S1253" s="11"/>
      <c r="T1253" s="5">
        <f t="shared" ref="T1253:T1262" si="2012">SUM(Q1253:S1253)</f>
        <v>0</v>
      </c>
      <c r="U1253" s="14"/>
      <c r="V1253" s="11"/>
      <c r="W1253" s="11"/>
      <c r="X1253" s="5">
        <f t="shared" ref="X1253:X1262" si="2013">SUM(U1253:W1253)</f>
        <v>0</v>
      </c>
      <c r="Y1253" s="25"/>
      <c r="Z1253" s="26"/>
      <c r="AA1253" s="26"/>
      <c r="AB1253" s="5">
        <f t="shared" ref="AB1253:AB1262" si="2014">SUM(Y1253:AA1253)</f>
        <v>0</v>
      </c>
      <c r="AC1253" s="86">
        <f t="shared" ref="AC1253:AC1262" si="2015">T1253+X1253+AB1253</f>
        <v>0</v>
      </c>
    </row>
    <row r="1254" spans="1:31" x14ac:dyDescent="0.15">
      <c r="A1254" s="102" t="s">
        <v>3</v>
      </c>
      <c r="B1254" s="14"/>
      <c r="C1254" s="11">
        <v>5</v>
      </c>
      <c r="D1254" s="11"/>
      <c r="E1254" s="5">
        <f t="shared" si="2008"/>
        <v>5</v>
      </c>
      <c r="F1254" s="34"/>
      <c r="G1254" s="11">
        <v>10</v>
      </c>
      <c r="H1254" s="11"/>
      <c r="I1254" s="5">
        <f t="shared" si="2009"/>
        <v>10</v>
      </c>
      <c r="J1254" s="34">
        <v>5</v>
      </c>
      <c r="K1254" s="11">
        <v>5</v>
      </c>
      <c r="L1254" s="11"/>
      <c r="M1254" s="38">
        <f t="shared" si="2010"/>
        <v>10</v>
      </c>
      <c r="N1254" s="138">
        <f t="shared" si="2011"/>
        <v>25</v>
      </c>
      <c r="O1254" s="24">
        <v>45934</v>
      </c>
      <c r="P1254" s="6" t="s">
        <v>3</v>
      </c>
      <c r="Q1254" s="14"/>
      <c r="R1254" s="11"/>
      <c r="S1254" s="11"/>
      <c r="T1254" s="5">
        <f t="shared" si="2012"/>
        <v>0</v>
      </c>
      <c r="U1254" s="14"/>
      <c r="V1254" s="11"/>
      <c r="W1254" s="11"/>
      <c r="X1254" s="5">
        <f t="shared" si="2013"/>
        <v>0</v>
      </c>
      <c r="Y1254" s="25"/>
      <c r="Z1254" s="26"/>
      <c r="AA1254" s="26"/>
      <c r="AB1254" s="5">
        <f t="shared" si="2014"/>
        <v>0</v>
      </c>
      <c r="AC1254" s="86">
        <f t="shared" si="2015"/>
        <v>0</v>
      </c>
    </row>
    <row r="1255" spans="1:31" x14ac:dyDescent="0.15">
      <c r="A1255" s="102" t="s">
        <v>3</v>
      </c>
      <c r="B1255" s="14"/>
      <c r="C1255" s="11">
        <v>10</v>
      </c>
      <c r="D1255" s="11"/>
      <c r="E1255" s="5">
        <f t="shared" si="2008"/>
        <v>10</v>
      </c>
      <c r="F1255" s="34"/>
      <c r="G1255" s="11">
        <v>10</v>
      </c>
      <c r="H1255" s="11"/>
      <c r="I1255" s="5">
        <f t="shared" si="2009"/>
        <v>10</v>
      </c>
      <c r="J1255" s="34"/>
      <c r="K1255" s="11">
        <v>20</v>
      </c>
      <c r="L1255" s="11"/>
      <c r="M1255" s="38">
        <f t="shared" si="2010"/>
        <v>20</v>
      </c>
      <c r="N1255" s="138">
        <f t="shared" si="2011"/>
        <v>40</v>
      </c>
      <c r="O1255" s="24">
        <v>45940</v>
      </c>
      <c r="P1255" s="6" t="s">
        <v>377</v>
      </c>
      <c r="Q1255" s="14">
        <v>480</v>
      </c>
      <c r="R1255" s="11">
        <v>640</v>
      </c>
      <c r="S1255" s="11">
        <v>480</v>
      </c>
      <c r="T1255" s="5">
        <f t="shared" si="2012"/>
        <v>1600</v>
      </c>
      <c r="U1255" s="14">
        <v>480</v>
      </c>
      <c r="V1255" s="11">
        <v>640</v>
      </c>
      <c r="W1255" s="11">
        <v>480</v>
      </c>
      <c r="X1255" s="5">
        <f t="shared" si="2013"/>
        <v>1600</v>
      </c>
      <c r="Y1255" s="14">
        <v>480</v>
      </c>
      <c r="Z1255" s="11">
        <v>640</v>
      </c>
      <c r="AA1255" s="11">
        <v>480</v>
      </c>
      <c r="AB1255" s="5">
        <f t="shared" si="2014"/>
        <v>1600</v>
      </c>
      <c r="AC1255" s="86">
        <f t="shared" si="2015"/>
        <v>4800</v>
      </c>
      <c r="AD1255" s="109" t="s">
        <v>1152</v>
      </c>
    </row>
    <row r="1256" spans="1:31" x14ac:dyDescent="0.15">
      <c r="A1256" s="158" t="s">
        <v>3</v>
      </c>
      <c r="B1256" s="159"/>
      <c r="C1256" s="160">
        <v>10</v>
      </c>
      <c r="D1256" s="160">
        <v>5</v>
      </c>
      <c r="E1256" s="161">
        <f t="shared" si="2008"/>
        <v>15</v>
      </c>
      <c r="F1256" s="162">
        <v>5</v>
      </c>
      <c r="G1256" s="160">
        <v>5</v>
      </c>
      <c r="H1256" s="160">
        <v>5</v>
      </c>
      <c r="I1256" s="161">
        <f t="shared" si="2009"/>
        <v>15</v>
      </c>
      <c r="J1256" s="162">
        <v>5</v>
      </c>
      <c r="K1256" s="160">
        <v>5</v>
      </c>
      <c r="L1256" s="160"/>
      <c r="M1256" s="163">
        <f t="shared" si="2010"/>
        <v>10</v>
      </c>
      <c r="N1256" s="153">
        <f t="shared" si="2011"/>
        <v>40</v>
      </c>
      <c r="O1256" s="164">
        <v>45944</v>
      </c>
      <c r="P1256" s="6" t="s">
        <v>3</v>
      </c>
      <c r="Q1256" s="14"/>
      <c r="R1256" s="11"/>
      <c r="S1256" s="11"/>
      <c r="T1256" s="5">
        <f t="shared" ref="T1256" si="2016">SUM(Q1256:S1256)</f>
        <v>0</v>
      </c>
      <c r="U1256" s="14"/>
      <c r="V1256" s="11"/>
      <c r="W1256" s="11"/>
      <c r="X1256" s="5">
        <f t="shared" ref="X1256" si="2017">SUM(U1256:W1256)</f>
        <v>0</v>
      </c>
      <c r="Y1256" s="25"/>
      <c r="Z1256" s="26"/>
      <c r="AA1256" s="26"/>
      <c r="AB1256" s="5">
        <f t="shared" ref="AB1256" si="2018">SUM(Y1256:AA1256)</f>
        <v>0</v>
      </c>
      <c r="AC1256" s="86">
        <f t="shared" ref="AC1256" si="2019">T1256+X1256+AB1256</f>
        <v>0</v>
      </c>
      <c r="AD1256" s="116" t="s">
        <v>1087</v>
      </c>
    </row>
    <row r="1257" spans="1:31" x14ac:dyDescent="0.15">
      <c r="A1257" s="102" t="s">
        <v>3</v>
      </c>
      <c r="B1257" s="14"/>
      <c r="C1257" s="11"/>
      <c r="D1257" s="11"/>
      <c r="E1257" s="5">
        <f t="shared" si="2008"/>
        <v>0</v>
      </c>
      <c r="F1257" s="34"/>
      <c r="G1257" s="11"/>
      <c r="H1257" s="11"/>
      <c r="I1257" s="5">
        <f t="shared" si="2009"/>
        <v>0</v>
      </c>
      <c r="J1257" s="34"/>
      <c r="K1257" s="11"/>
      <c r="L1257" s="11"/>
      <c r="M1257" s="38">
        <f t="shared" si="2010"/>
        <v>0</v>
      </c>
      <c r="N1257" s="138">
        <f t="shared" si="2011"/>
        <v>0</v>
      </c>
      <c r="P1257" s="6" t="s">
        <v>3</v>
      </c>
      <c r="Q1257" s="14"/>
      <c r="R1257" s="11"/>
      <c r="S1257" s="11"/>
      <c r="T1257" s="5">
        <f t="shared" si="2012"/>
        <v>0</v>
      </c>
      <c r="U1257" s="14"/>
      <c r="V1257" s="11"/>
      <c r="W1257" s="11"/>
      <c r="X1257" s="5">
        <f t="shared" si="2013"/>
        <v>0</v>
      </c>
      <c r="Y1257" s="25"/>
      <c r="Z1257" s="26"/>
      <c r="AA1257" s="26"/>
      <c r="AB1257" s="5">
        <f t="shared" si="2014"/>
        <v>0</v>
      </c>
      <c r="AC1257" s="86">
        <f t="shared" si="2015"/>
        <v>0</v>
      </c>
      <c r="AD1257" s="116" t="s">
        <v>1088</v>
      </c>
    </row>
    <row r="1258" spans="1:31" x14ac:dyDescent="0.15">
      <c r="A1258" s="102" t="s">
        <v>3</v>
      </c>
      <c r="B1258" s="25"/>
      <c r="C1258" s="26"/>
      <c r="D1258" s="26"/>
      <c r="E1258" s="8">
        <f t="shared" si="2008"/>
        <v>0</v>
      </c>
      <c r="F1258" s="25"/>
      <c r="G1258" s="26"/>
      <c r="H1258" s="26"/>
      <c r="I1258" s="8">
        <f t="shared" si="2009"/>
        <v>0</v>
      </c>
      <c r="J1258" s="25"/>
      <c r="K1258" s="26"/>
      <c r="L1258" s="26"/>
      <c r="M1258" s="39">
        <f t="shared" si="2010"/>
        <v>0</v>
      </c>
      <c r="N1258" s="138">
        <f t="shared" si="2011"/>
        <v>0</v>
      </c>
      <c r="P1258" s="6" t="s">
        <v>3</v>
      </c>
      <c r="Q1258" s="14"/>
      <c r="R1258" s="11"/>
      <c r="S1258" s="11"/>
      <c r="T1258" s="5">
        <f t="shared" si="2012"/>
        <v>0</v>
      </c>
      <c r="U1258" s="14"/>
      <c r="V1258" s="11"/>
      <c r="W1258" s="11"/>
      <c r="X1258" s="5">
        <f t="shared" si="2013"/>
        <v>0</v>
      </c>
      <c r="Y1258" s="25"/>
      <c r="Z1258" s="26"/>
      <c r="AA1258" s="26"/>
      <c r="AB1258" s="8">
        <f t="shared" si="2014"/>
        <v>0</v>
      </c>
      <c r="AC1258" s="86">
        <f t="shared" si="2015"/>
        <v>0</v>
      </c>
    </row>
    <row r="1259" spans="1:31" x14ac:dyDescent="0.15">
      <c r="A1259" s="102" t="s">
        <v>3</v>
      </c>
      <c r="B1259" s="27"/>
      <c r="C1259" s="26"/>
      <c r="D1259" s="26"/>
      <c r="E1259" s="5">
        <f t="shared" si="2008"/>
        <v>0</v>
      </c>
      <c r="F1259" s="25"/>
      <c r="G1259" s="26"/>
      <c r="H1259" s="26"/>
      <c r="I1259" s="5">
        <f t="shared" si="2009"/>
        <v>0</v>
      </c>
      <c r="J1259" s="25"/>
      <c r="K1259" s="26"/>
      <c r="L1259" s="26"/>
      <c r="M1259" s="38">
        <f t="shared" si="2010"/>
        <v>0</v>
      </c>
      <c r="N1259" s="138">
        <f t="shared" si="2011"/>
        <v>0</v>
      </c>
      <c r="P1259" s="6" t="s">
        <v>3</v>
      </c>
      <c r="Q1259" s="27"/>
      <c r="R1259" s="26"/>
      <c r="S1259" s="26"/>
      <c r="T1259" s="5">
        <f t="shared" si="2012"/>
        <v>0</v>
      </c>
      <c r="U1259" s="27"/>
      <c r="V1259" s="26"/>
      <c r="W1259" s="26"/>
      <c r="X1259" s="5">
        <f t="shared" si="2013"/>
        <v>0</v>
      </c>
      <c r="Y1259" s="25"/>
      <c r="Z1259" s="26"/>
      <c r="AA1259" s="26"/>
      <c r="AB1259" s="5">
        <f t="shared" si="2014"/>
        <v>0</v>
      </c>
      <c r="AC1259" s="86">
        <f t="shared" si="2015"/>
        <v>0</v>
      </c>
    </row>
    <row r="1260" spans="1:31" x14ac:dyDescent="0.15">
      <c r="A1260" s="102" t="s">
        <v>3</v>
      </c>
      <c r="B1260" s="27"/>
      <c r="C1260" s="26"/>
      <c r="D1260" s="26"/>
      <c r="E1260" s="5">
        <f t="shared" si="2008"/>
        <v>0</v>
      </c>
      <c r="F1260" s="25"/>
      <c r="G1260" s="26"/>
      <c r="H1260" s="26"/>
      <c r="I1260" s="5">
        <f t="shared" si="2009"/>
        <v>0</v>
      </c>
      <c r="J1260" s="25"/>
      <c r="K1260" s="26"/>
      <c r="L1260" s="26"/>
      <c r="M1260" s="38">
        <f t="shared" si="2010"/>
        <v>0</v>
      </c>
      <c r="N1260" s="138">
        <f t="shared" si="2011"/>
        <v>0</v>
      </c>
      <c r="P1260" s="6" t="s">
        <v>3</v>
      </c>
      <c r="Q1260" s="14"/>
      <c r="R1260" s="11"/>
      <c r="S1260" s="11"/>
      <c r="T1260" s="5">
        <f t="shared" si="2012"/>
        <v>0</v>
      </c>
      <c r="U1260" s="14"/>
      <c r="V1260" s="11"/>
      <c r="W1260" s="11"/>
      <c r="X1260" s="5">
        <f t="shared" si="2013"/>
        <v>0</v>
      </c>
      <c r="Y1260" s="25"/>
      <c r="Z1260" s="26"/>
      <c r="AA1260" s="26"/>
      <c r="AB1260" s="8">
        <f t="shared" si="2014"/>
        <v>0</v>
      </c>
      <c r="AC1260" s="86">
        <f t="shared" si="2015"/>
        <v>0</v>
      </c>
    </row>
    <row r="1261" spans="1:31" x14ac:dyDescent="0.15">
      <c r="A1261" s="102" t="s">
        <v>3</v>
      </c>
      <c r="B1261" s="27"/>
      <c r="C1261" s="26"/>
      <c r="D1261" s="26"/>
      <c r="E1261" s="5">
        <f t="shared" si="2008"/>
        <v>0</v>
      </c>
      <c r="F1261" s="25"/>
      <c r="G1261" s="26"/>
      <c r="H1261" s="26"/>
      <c r="I1261" s="5">
        <f t="shared" si="2009"/>
        <v>0</v>
      </c>
      <c r="J1261" s="25"/>
      <c r="K1261" s="26"/>
      <c r="L1261" s="26"/>
      <c r="M1261" s="38">
        <f t="shared" si="2010"/>
        <v>0</v>
      </c>
      <c r="N1261" s="138">
        <f t="shared" si="2011"/>
        <v>0</v>
      </c>
      <c r="P1261" s="6" t="s">
        <v>3</v>
      </c>
      <c r="Q1261" s="27"/>
      <c r="R1261" s="26"/>
      <c r="S1261" s="26"/>
      <c r="T1261" s="5">
        <f t="shared" si="2012"/>
        <v>0</v>
      </c>
      <c r="U1261" s="27"/>
      <c r="V1261" s="26"/>
      <c r="W1261" s="26"/>
      <c r="X1261" s="5">
        <f t="shared" si="2013"/>
        <v>0</v>
      </c>
      <c r="Y1261" s="25"/>
      <c r="Z1261" s="26"/>
      <c r="AA1261" s="26"/>
      <c r="AB1261" s="5">
        <f t="shared" si="2014"/>
        <v>0</v>
      </c>
      <c r="AC1261" s="86">
        <f t="shared" si="2015"/>
        <v>0</v>
      </c>
    </row>
    <row r="1262" spans="1:31" ht="14.25" thickBot="1" x14ac:dyDescent="0.2">
      <c r="A1262" s="102" t="s">
        <v>3</v>
      </c>
      <c r="B1262" s="28"/>
      <c r="C1262" s="29"/>
      <c r="D1262" s="32"/>
      <c r="E1262" s="15">
        <f t="shared" si="2008"/>
        <v>0</v>
      </c>
      <c r="F1262" s="35"/>
      <c r="G1262" s="29"/>
      <c r="H1262" s="32"/>
      <c r="I1262" s="15">
        <f t="shared" si="2009"/>
        <v>0</v>
      </c>
      <c r="J1262" s="35"/>
      <c r="K1262" s="29"/>
      <c r="L1262" s="32"/>
      <c r="M1262" s="40">
        <f t="shared" si="2010"/>
        <v>0</v>
      </c>
      <c r="N1262" s="139">
        <f t="shared" si="2011"/>
        <v>0</v>
      </c>
      <c r="P1262" s="7" t="s">
        <v>3</v>
      </c>
      <c r="Q1262" s="28"/>
      <c r="R1262" s="29"/>
      <c r="S1262" s="29"/>
      <c r="T1262" s="15">
        <f t="shared" si="2012"/>
        <v>0</v>
      </c>
      <c r="U1262" s="28"/>
      <c r="V1262" s="29"/>
      <c r="W1262" s="29"/>
      <c r="X1262" s="15">
        <f t="shared" si="2013"/>
        <v>0</v>
      </c>
      <c r="Y1262" s="35"/>
      <c r="Z1262" s="29"/>
      <c r="AA1262" s="32"/>
      <c r="AB1262" s="15">
        <f t="shared" si="2014"/>
        <v>0</v>
      </c>
      <c r="AC1262" s="87">
        <f t="shared" si="2015"/>
        <v>0</v>
      </c>
    </row>
    <row r="1263" spans="1:31" ht="14.25" thickBot="1" x14ac:dyDescent="0.2">
      <c r="A1263" s="103" t="s">
        <v>4</v>
      </c>
      <c r="B1263" s="17">
        <f>SUM(B1252:B1262)</f>
        <v>28</v>
      </c>
      <c r="C1263" s="17">
        <f>SUM(C1252:C1262)</f>
        <v>50</v>
      </c>
      <c r="D1263" s="17">
        <f>SUM(D1252:D1262)</f>
        <v>29</v>
      </c>
      <c r="E1263" s="18">
        <f t="shared" si="2008"/>
        <v>107</v>
      </c>
      <c r="F1263" s="17">
        <f>SUM(F1252:F1262)</f>
        <v>30</v>
      </c>
      <c r="G1263" s="17">
        <f>SUM(G1252:G1262)</f>
        <v>46</v>
      </c>
      <c r="H1263" s="17">
        <f>SUM(H1252:H1262)</f>
        <v>28</v>
      </c>
      <c r="I1263" s="18">
        <f t="shared" si="2009"/>
        <v>104</v>
      </c>
      <c r="J1263" s="17">
        <f>SUM(J1252:J1262)</f>
        <v>30</v>
      </c>
      <c r="K1263" s="17">
        <f>SUM(K1252:K1262)</f>
        <v>48</v>
      </c>
      <c r="L1263" s="17">
        <f>SUM(L1252:L1262)</f>
        <v>30</v>
      </c>
      <c r="M1263" s="20">
        <f t="shared" si="2010"/>
        <v>108</v>
      </c>
      <c r="N1263" s="140">
        <f t="shared" si="2011"/>
        <v>319</v>
      </c>
      <c r="P1263" s="16" t="s">
        <v>4</v>
      </c>
      <c r="Q1263" s="17">
        <f>SUM(Q1252:Q1262)</f>
        <v>575</v>
      </c>
      <c r="R1263" s="17">
        <f t="shared" ref="R1263" si="2020">SUM(R1252:R1262)</f>
        <v>775</v>
      </c>
      <c r="S1263" s="17">
        <f t="shared" ref="S1263" si="2021">SUM(S1252:S1262)</f>
        <v>696</v>
      </c>
      <c r="T1263" s="18">
        <f t="shared" ref="T1263" si="2022">SUM(T1252:T1262)</f>
        <v>2046</v>
      </c>
      <c r="U1263" s="17">
        <f t="shared" ref="U1263" si="2023">SUM(U1252:U1262)</f>
        <v>625</v>
      </c>
      <c r="V1263" s="17">
        <f t="shared" ref="V1263" si="2024">SUM(V1252:V1262)</f>
        <v>960</v>
      </c>
      <c r="W1263" s="17">
        <f t="shared" ref="W1263" si="2025">SUM(W1252:W1262)</f>
        <v>772</v>
      </c>
      <c r="X1263" s="18">
        <f t="shared" ref="X1263" si="2026">SUM(X1252:X1262)</f>
        <v>2357</v>
      </c>
      <c r="Y1263" s="17">
        <f t="shared" ref="Y1263" si="2027">SUM(Y1252:Y1262)</f>
        <v>535</v>
      </c>
      <c r="Z1263" s="17">
        <f t="shared" ref="Z1263" si="2028">SUM(Z1252:Z1262)</f>
        <v>783</v>
      </c>
      <c r="AA1263" s="17">
        <f t="shared" ref="AA1263" si="2029">SUM(AA1252:AA1262)</f>
        <v>617</v>
      </c>
      <c r="AB1263" s="18">
        <f t="shared" ref="AB1263" si="2030">SUM(AB1252:AB1262)</f>
        <v>1935</v>
      </c>
      <c r="AC1263" s="88">
        <f t="shared" ref="AC1263" si="2031">SUM(AC1252:AC1262)</f>
        <v>6338</v>
      </c>
    </row>
    <row r="1264" spans="1:31" x14ac:dyDescent="0.15">
      <c r="A1264" s="33" t="s">
        <v>36</v>
      </c>
      <c r="B1264" s="9"/>
      <c r="C1264" s="10"/>
      <c r="D1264" s="31">
        <v>1</v>
      </c>
      <c r="E1264" s="5">
        <f t="shared" si="2008"/>
        <v>1</v>
      </c>
      <c r="F1264" s="9"/>
      <c r="G1264" s="10"/>
      <c r="H1264" s="31">
        <v>1</v>
      </c>
      <c r="I1264" s="5">
        <f t="shared" si="2009"/>
        <v>1</v>
      </c>
      <c r="J1264" s="9"/>
      <c r="K1264" s="10"/>
      <c r="L1264" s="31">
        <v>1</v>
      </c>
      <c r="M1264" s="38">
        <f t="shared" si="2010"/>
        <v>1</v>
      </c>
      <c r="N1264" s="141">
        <f t="shared" si="2011"/>
        <v>3</v>
      </c>
      <c r="O1264" s="70">
        <v>45929</v>
      </c>
      <c r="P1264" s="11" t="s">
        <v>27</v>
      </c>
      <c r="Q1264" s="9">
        <v>10</v>
      </c>
      <c r="R1264" s="10">
        <v>10</v>
      </c>
      <c r="S1264" s="10">
        <v>10</v>
      </c>
      <c r="T1264" s="5">
        <f t="shared" ref="T1264:T1279" si="2032">SUM(Q1264:S1264)</f>
        <v>30</v>
      </c>
      <c r="U1264" s="9">
        <v>10</v>
      </c>
      <c r="V1264" s="10">
        <v>10</v>
      </c>
      <c r="W1264" s="10">
        <v>10</v>
      </c>
      <c r="X1264" s="5">
        <f t="shared" ref="X1264:X1279" si="2033">SUM(U1264:W1264)</f>
        <v>30</v>
      </c>
      <c r="Y1264" s="9"/>
      <c r="Z1264" s="10">
        <v>10</v>
      </c>
      <c r="AA1264" s="10">
        <v>10</v>
      </c>
      <c r="AB1264" s="5">
        <f t="shared" ref="AB1264:AB1279" si="2034">SUM(Y1264:AA1264)</f>
        <v>20</v>
      </c>
      <c r="AC1264" s="145">
        <f t="shared" ref="AC1264:AC1279" si="2035">T1264+X1264+AB1264</f>
        <v>80</v>
      </c>
      <c r="AD1264" s="109">
        <v>45926</v>
      </c>
      <c r="AE1264" s="58"/>
    </row>
    <row r="1265" spans="1:30" x14ac:dyDescent="0.15">
      <c r="A1265" s="33" t="s">
        <v>36</v>
      </c>
      <c r="B1265" s="9">
        <v>1</v>
      </c>
      <c r="C1265" s="10">
        <v>1</v>
      </c>
      <c r="D1265" s="10"/>
      <c r="E1265" s="5">
        <f t="shared" si="2008"/>
        <v>2</v>
      </c>
      <c r="F1265" s="9">
        <v>1</v>
      </c>
      <c r="G1265" s="10">
        <v>1</v>
      </c>
      <c r="H1265" s="10"/>
      <c r="I1265" s="5">
        <f t="shared" si="2009"/>
        <v>2</v>
      </c>
      <c r="J1265" s="9">
        <v>1</v>
      </c>
      <c r="K1265" s="10">
        <v>1</v>
      </c>
      <c r="L1265" s="10"/>
      <c r="M1265" s="38">
        <f t="shared" si="2010"/>
        <v>2</v>
      </c>
      <c r="N1265" s="138">
        <f t="shared" si="2011"/>
        <v>6</v>
      </c>
      <c r="O1265" s="70">
        <v>45931</v>
      </c>
      <c r="P1265" s="33" t="s">
        <v>1142</v>
      </c>
      <c r="Q1265" s="9"/>
      <c r="R1265" s="10">
        <v>4</v>
      </c>
      <c r="S1265" s="10"/>
      <c r="T1265" s="8">
        <f t="shared" si="2032"/>
        <v>4</v>
      </c>
      <c r="U1265" s="9"/>
      <c r="V1265" s="10">
        <v>4</v>
      </c>
      <c r="W1265" s="10"/>
      <c r="X1265" s="8">
        <f t="shared" si="2033"/>
        <v>4</v>
      </c>
      <c r="Y1265" s="9"/>
      <c r="Z1265" s="10">
        <v>4</v>
      </c>
      <c r="AA1265" s="10"/>
      <c r="AB1265" s="39">
        <f t="shared" si="2034"/>
        <v>4</v>
      </c>
      <c r="AC1265" s="138">
        <f t="shared" si="2035"/>
        <v>12</v>
      </c>
      <c r="AD1265" s="109">
        <v>45926</v>
      </c>
    </row>
    <row r="1266" spans="1:30" x14ac:dyDescent="0.15">
      <c r="A1266" s="4" t="s">
        <v>1155</v>
      </c>
      <c r="B1266" s="9"/>
      <c r="C1266" s="10">
        <v>5</v>
      </c>
      <c r="D1266" s="10"/>
      <c r="E1266" s="5">
        <f t="shared" si="2008"/>
        <v>5</v>
      </c>
      <c r="F1266" s="9"/>
      <c r="G1266" s="10">
        <v>5</v>
      </c>
      <c r="H1266" s="10"/>
      <c r="I1266" s="5">
        <f t="shared" si="2009"/>
        <v>5</v>
      </c>
      <c r="J1266" s="9"/>
      <c r="K1266" s="10">
        <v>5</v>
      </c>
      <c r="L1266" s="10"/>
      <c r="M1266" s="38">
        <f t="shared" si="2010"/>
        <v>5</v>
      </c>
      <c r="N1266" s="138">
        <f t="shared" si="2011"/>
        <v>15</v>
      </c>
      <c r="O1266" s="24">
        <v>45933</v>
      </c>
      <c r="P1266" s="4" t="s">
        <v>1151</v>
      </c>
      <c r="Q1266" s="9">
        <v>10</v>
      </c>
      <c r="R1266" s="10"/>
      <c r="S1266" s="10">
        <v>20</v>
      </c>
      <c r="T1266" s="5">
        <f t="shared" si="2032"/>
        <v>30</v>
      </c>
      <c r="U1266" s="9">
        <v>10</v>
      </c>
      <c r="V1266" s="10"/>
      <c r="W1266" s="10">
        <v>20</v>
      </c>
      <c r="X1266" s="5">
        <f t="shared" si="2033"/>
        <v>30</v>
      </c>
      <c r="Y1266" s="9">
        <v>10</v>
      </c>
      <c r="Z1266" s="10"/>
      <c r="AA1266" s="10">
        <v>20</v>
      </c>
      <c r="AB1266" s="5">
        <f t="shared" si="2034"/>
        <v>30</v>
      </c>
      <c r="AC1266" s="93">
        <f t="shared" si="2035"/>
        <v>90</v>
      </c>
      <c r="AD1266" s="109">
        <v>45931</v>
      </c>
    </row>
    <row r="1267" spans="1:30" x14ac:dyDescent="0.15">
      <c r="A1267" s="11" t="s">
        <v>1161</v>
      </c>
      <c r="B1267" s="9">
        <v>5</v>
      </c>
      <c r="C1267" s="10">
        <v>5</v>
      </c>
      <c r="D1267" s="10"/>
      <c r="E1267" s="5">
        <f t="shared" si="2008"/>
        <v>10</v>
      </c>
      <c r="F1267" s="9">
        <v>5</v>
      </c>
      <c r="G1267" s="10">
        <v>5</v>
      </c>
      <c r="H1267" s="10"/>
      <c r="I1267" s="5">
        <f t="shared" si="2009"/>
        <v>10</v>
      </c>
      <c r="J1267" s="9">
        <v>5</v>
      </c>
      <c r="K1267" s="10">
        <v>5</v>
      </c>
      <c r="L1267" s="10"/>
      <c r="M1267" s="38">
        <f t="shared" si="2010"/>
        <v>10</v>
      </c>
      <c r="N1267" s="138">
        <f t="shared" si="2011"/>
        <v>30</v>
      </c>
      <c r="O1267" s="24">
        <v>45937</v>
      </c>
      <c r="P1267" s="4" t="s">
        <v>27</v>
      </c>
      <c r="Q1267" s="9"/>
      <c r="R1267" s="10">
        <v>10</v>
      </c>
      <c r="S1267" s="10"/>
      <c r="T1267" s="8">
        <f t="shared" si="2032"/>
        <v>10</v>
      </c>
      <c r="U1267" s="9"/>
      <c r="V1267" s="10">
        <v>10</v>
      </c>
      <c r="W1267" s="10"/>
      <c r="X1267" s="8">
        <f t="shared" si="2033"/>
        <v>10</v>
      </c>
      <c r="Y1267" s="9"/>
      <c r="Z1267" s="10"/>
      <c r="AA1267" s="10"/>
      <c r="AB1267" s="8">
        <f t="shared" si="2034"/>
        <v>0</v>
      </c>
      <c r="AC1267" s="93">
        <f t="shared" si="2035"/>
        <v>20</v>
      </c>
      <c r="AD1267" s="109">
        <v>45931</v>
      </c>
    </row>
    <row r="1268" spans="1:30" x14ac:dyDescent="0.15">
      <c r="A1268" s="33" t="s">
        <v>36</v>
      </c>
      <c r="B1268" s="9"/>
      <c r="C1268" s="10">
        <v>2</v>
      </c>
      <c r="D1268" s="10"/>
      <c r="E1268" s="5">
        <f t="shared" si="2008"/>
        <v>2</v>
      </c>
      <c r="F1268" s="9"/>
      <c r="G1268" s="10"/>
      <c r="H1268" s="10"/>
      <c r="I1268" s="5">
        <f t="shared" si="2009"/>
        <v>0</v>
      </c>
      <c r="J1268" s="9"/>
      <c r="K1268" s="10">
        <v>2</v>
      </c>
      <c r="L1268" s="10"/>
      <c r="M1268" s="38">
        <f t="shared" si="2010"/>
        <v>2</v>
      </c>
      <c r="N1268" s="138">
        <f t="shared" si="2011"/>
        <v>4</v>
      </c>
      <c r="O1268" s="24">
        <v>45936</v>
      </c>
      <c r="P1268" s="11" t="s">
        <v>1153</v>
      </c>
      <c r="Q1268" s="9">
        <v>10</v>
      </c>
      <c r="R1268" s="10">
        <v>10</v>
      </c>
      <c r="S1268" s="10"/>
      <c r="T1268" s="8">
        <f t="shared" si="2032"/>
        <v>20</v>
      </c>
      <c r="U1268" s="9">
        <v>10</v>
      </c>
      <c r="V1268" s="10">
        <v>10</v>
      </c>
      <c r="W1268" s="10"/>
      <c r="X1268" s="8">
        <f t="shared" si="2033"/>
        <v>20</v>
      </c>
      <c r="Y1268" s="9">
        <v>10</v>
      </c>
      <c r="Z1268" s="10">
        <v>10</v>
      </c>
      <c r="AA1268" s="10"/>
      <c r="AB1268" s="8">
        <f t="shared" si="2034"/>
        <v>20</v>
      </c>
      <c r="AC1268" s="93">
        <f t="shared" si="2035"/>
        <v>60</v>
      </c>
      <c r="AD1268" s="109">
        <v>45933</v>
      </c>
    </row>
    <row r="1269" spans="1:30" x14ac:dyDescent="0.15">
      <c r="A1269" s="4" t="s">
        <v>1166</v>
      </c>
      <c r="B1269" s="9"/>
      <c r="C1269" s="10">
        <v>1</v>
      </c>
      <c r="D1269" s="10">
        <v>4</v>
      </c>
      <c r="E1269" s="8">
        <f t="shared" si="2008"/>
        <v>5</v>
      </c>
      <c r="F1269" s="9"/>
      <c r="G1269" s="10">
        <v>1</v>
      </c>
      <c r="H1269" s="10">
        <v>4</v>
      </c>
      <c r="I1269" s="8">
        <f t="shared" si="2009"/>
        <v>5</v>
      </c>
      <c r="J1269" s="9"/>
      <c r="K1269" s="10">
        <v>1</v>
      </c>
      <c r="L1269" s="10">
        <v>4</v>
      </c>
      <c r="M1269" s="39">
        <f t="shared" si="2010"/>
        <v>5</v>
      </c>
      <c r="N1269" s="138">
        <f t="shared" si="2011"/>
        <v>15</v>
      </c>
      <c r="O1269" s="24">
        <v>45939</v>
      </c>
      <c r="P1269" s="4" t="s">
        <v>1156</v>
      </c>
      <c r="Q1269" s="9">
        <v>10</v>
      </c>
      <c r="R1269" s="10">
        <v>20</v>
      </c>
      <c r="S1269" s="10">
        <v>15</v>
      </c>
      <c r="T1269" s="8">
        <f t="shared" si="2032"/>
        <v>45</v>
      </c>
      <c r="U1269" s="9">
        <v>10</v>
      </c>
      <c r="V1269" s="10">
        <v>20</v>
      </c>
      <c r="W1269" s="10">
        <v>15</v>
      </c>
      <c r="X1269" s="8">
        <f t="shared" si="2033"/>
        <v>45</v>
      </c>
      <c r="Y1269" s="9">
        <v>10</v>
      </c>
      <c r="Z1269" s="10">
        <v>20</v>
      </c>
      <c r="AA1269" s="10">
        <v>15</v>
      </c>
      <c r="AB1269" s="8">
        <f t="shared" si="2034"/>
        <v>45</v>
      </c>
      <c r="AC1269" s="93">
        <f t="shared" si="2035"/>
        <v>135</v>
      </c>
      <c r="AD1269" s="109">
        <v>45937</v>
      </c>
    </row>
    <row r="1270" spans="1:30" x14ac:dyDescent="0.15">
      <c r="A1270" s="4" t="s">
        <v>1167</v>
      </c>
      <c r="B1270" s="9">
        <v>1</v>
      </c>
      <c r="C1270" s="10">
        <v>4</v>
      </c>
      <c r="D1270" s="10"/>
      <c r="E1270" s="8">
        <f t="shared" si="2008"/>
        <v>5</v>
      </c>
      <c r="F1270" s="9">
        <v>1</v>
      </c>
      <c r="G1270" s="10">
        <v>4</v>
      </c>
      <c r="H1270" s="10"/>
      <c r="I1270" s="8">
        <f t="shared" si="2009"/>
        <v>5</v>
      </c>
      <c r="J1270" s="9">
        <v>1</v>
      </c>
      <c r="K1270" s="10">
        <v>4</v>
      </c>
      <c r="L1270" s="10"/>
      <c r="M1270" s="39">
        <f t="shared" si="2010"/>
        <v>5</v>
      </c>
      <c r="N1270" s="138">
        <f t="shared" si="2011"/>
        <v>15</v>
      </c>
      <c r="O1270" s="24">
        <v>45940</v>
      </c>
      <c r="P1270" s="4" t="s">
        <v>1157</v>
      </c>
      <c r="Q1270" s="9">
        <v>10</v>
      </c>
      <c r="R1270" s="10">
        <v>20</v>
      </c>
      <c r="S1270" s="10">
        <v>15</v>
      </c>
      <c r="T1270" s="8">
        <f t="shared" si="2032"/>
        <v>45</v>
      </c>
      <c r="U1270" s="9">
        <v>10</v>
      </c>
      <c r="V1270" s="10">
        <v>20</v>
      </c>
      <c r="W1270" s="10">
        <v>15</v>
      </c>
      <c r="X1270" s="8">
        <f t="shared" si="2033"/>
        <v>45</v>
      </c>
      <c r="Y1270" s="9">
        <v>10</v>
      </c>
      <c r="Z1270" s="10">
        <v>20</v>
      </c>
      <c r="AA1270" s="10">
        <v>15</v>
      </c>
      <c r="AB1270" s="8">
        <f t="shared" si="2034"/>
        <v>45</v>
      </c>
      <c r="AC1270" s="93">
        <f t="shared" si="2035"/>
        <v>135</v>
      </c>
      <c r="AD1270" s="109">
        <v>45937</v>
      </c>
    </row>
    <row r="1271" spans="1:30" x14ac:dyDescent="0.15">
      <c r="A1271" s="4" t="s">
        <v>1170</v>
      </c>
      <c r="B1271" s="9"/>
      <c r="C1271" s="10">
        <v>2</v>
      </c>
      <c r="D1271" s="10">
        <v>1</v>
      </c>
      <c r="E1271" s="8">
        <f t="shared" si="2008"/>
        <v>3</v>
      </c>
      <c r="F1271" s="9"/>
      <c r="G1271" s="10">
        <v>2</v>
      </c>
      <c r="H1271" s="10">
        <v>1</v>
      </c>
      <c r="I1271" s="8">
        <f t="shared" si="2009"/>
        <v>3</v>
      </c>
      <c r="J1271" s="9"/>
      <c r="K1271" s="10">
        <v>2</v>
      </c>
      <c r="L1271" s="10">
        <v>1</v>
      </c>
      <c r="M1271" s="39">
        <f t="shared" si="2010"/>
        <v>3</v>
      </c>
      <c r="N1271" s="138">
        <f t="shared" si="2011"/>
        <v>9</v>
      </c>
      <c r="O1271" s="24">
        <v>45940</v>
      </c>
      <c r="P1271" s="4" t="s">
        <v>27</v>
      </c>
      <c r="Q1271" s="9"/>
      <c r="R1271" s="10">
        <v>5</v>
      </c>
      <c r="S1271" s="10"/>
      <c r="T1271" s="8">
        <f t="shared" si="2032"/>
        <v>5</v>
      </c>
      <c r="U1271" s="9"/>
      <c r="V1271" s="10">
        <v>10</v>
      </c>
      <c r="W1271" s="10"/>
      <c r="X1271" s="8">
        <f t="shared" si="2033"/>
        <v>10</v>
      </c>
      <c r="Y1271" s="9">
        <v>5</v>
      </c>
      <c r="Z1271" s="10">
        <v>5</v>
      </c>
      <c r="AA1271" s="10"/>
      <c r="AB1271" s="8">
        <f t="shared" si="2034"/>
        <v>10</v>
      </c>
      <c r="AC1271" s="93">
        <f t="shared" si="2035"/>
        <v>25</v>
      </c>
      <c r="AD1271" s="109">
        <v>45934</v>
      </c>
    </row>
    <row r="1272" spans="1:30" x14ac:dyDescent="0.15">
      <c r="A1272" s="33" t="s">
        <v>36</v>
      </c>
      <c r="B1272" s="9"/>
      <c r="C1272" s="10">
        <f>3+1</f>
        <v>4</v>
      </c>
      <c r="D1272" s="10"/>
      <c r="E1272" s="8">
        <f t="shared" si="2008"/>
        <v>4</v>
      </c>
      <c r="F1272" s="9"/>
      <c r="G1272" s="10">
        <v>1</v>
      </c>
      <c r="H1272" s="10"/>
      <c r="I1272" s="8">
        <f t="shared" si="2009"/>
        <v>1</v>
      </c>
      <c r="J1272" s="9"/>
      <c r="K1272" s="10">
        <v>1</v>
      </c>
      <c r="L1272" s="10"/>
      <c r="M1272" s="39">
        <f t="shared" si="2010"/>
        <v>1</v>
      </c>
      <c r="N1272" s="138">
        <f t="shared" si="2011"/>
        <v>6</v>
      </c>
      <c r="O1272" s="24">
        <v>45939</v>
      </c>
      <c r="P1272" s="4" t="s">
        <v>1160</v>
      </c>
      <c r="Q1272" s="9">
        <v>4</v>
      </c>
      <c r="R1272" s="10">
        <v>10</v>
      </c>
      <c r="S1272" s="10"/>
      <c r="T1272" s="8">
        <f t="shared" si="2032"/>
        <v>14</v>
      </c>
      <c r="U1272" s="9">
        <v>4</v>
      </c>
      <c r="V1272" s="10">
        <v>10</v>
      </c>
      <c r="W1272" s="10"/>
      <c r="X1272" s="8">
        <f t="shared" si="2033"/>
        <v>14</v>
      </c>
      <c r="Y1272" s="9">
        <v>4</v>
      </c>
      <c r="Z1272" s="10">
        <v>10</v>
      </c>
      <c r="AA1272" s="10"/>
      <c r="AB1272" s="8">
        <f t="shared" si="2034"/>
        <v>14</v>
      </c>
      <c r="AC1272" s="93">
        <f t="shared" si="2035"/>
        <v>42</v>
      </c>
      <c r="AD1272" s="109">
        <v>45936</v>
      </c>
    </row>
    <row r="1273" spans="1:30" x14ac:dyDescent="0.15">
      <c r="A1273" s="4" t="s">
        <v>1174</v>
      </c>
      <c r="B1273" s="9">
        <v>1</v>
      </c>
      <c r="C1273" s="10">
        <v>5</v>
      </c>
      <c r="D1273" s="10">
        <v>1</v>
      </c>
      <c r="E1273" s="8">
        <f t="shared" si="2008"/>
        <v>7</v>
      </c>
      <c r="F1273" s="9">
        <v>1</v>
      </c>
      <c r="G1273" s="10">
        <v>5</v>
      </c>
      <c r="H1273" s="10">
        <v>1</v>
      </c>
      <c r="I1273" s="8">
        <f t="shared" si="2009"/>
        <v>7</v>
      </c>
      <c r="J1273" s="9">
        <v>1</v>
      </c>
      <c r="K1273" s="10">
        <v>5</v>
      </c>
      <c r="L1273" s="10">
        <v>1</v>
      </c>
      <c r="M1273" s="39">
        <f t="shared" si="2010"/>
        <v>7</v>
      </c>
      <c r="N1273" s="138">
        <f t="shared" si="2011"/>
        <v>21</v>
      </c>
      <c r="O1273" s="24">
        <v>45944</v>
      </c>
      <c r="P1273" s="4" t="s">
        <v>1162</v>
      </c>
      <c r="Q1273" s="9">
        <v>4</v>
      </c>
      <c r="R1273" s="10"/>
      <c r="S1273" s="10">
        <v>5</v>
      </c>
      <c r="T1273" s="8">
        <f t="shared" si="2032"/>
        <v>9</v>
      </c>
      <c r="U1273" s="9">
        <v>4</v>
      </c>
      <c r="V1273" s="10"/>
      <c r="W1273" s="10">
        <v>5</v>
      </c>
      <c r="X1273" s="8">
        <f t="shared" si="2033"/>
        <v>9</v>
      </c>
      <c r="Y1273" s="9">
        <v>4</v>
      </c>
      <c r="Z1273" s="10"/>
      <c r="AA1273" s="10">
        <v>5</v>
      </c>
      <c r="AB1273" s="8">
        <f t="shared" si="2034"/>
        <v>9</v>
      </c>
      <c r="AC1273" s="93">
        <f t="shared" si="2035"/>
        <v>27</v>
      </c>
      <c r="AD1273" s="109">
        <v>45938</v>
      </c>
    </row>
    <row r="1274" spans="1:30" x14ac:dyDescent="0.15">
      <c r="A1274" s="33" t="s">
        <v>36</v>
      </c>
      <c r="B1274" s="9"/>
      <c r="C1274" s="10"/>
      <c r="D1274" s="10"/>
      <c r="E1274" s="8">
        <f t="shared" si="2008"/>
        <v>0</v>
      </c>
      <c r="F1274" s="9">
        <v>1</v>
      </c>
      <c r="G1274" s="10"/>
      <c r="H1274" s="10"/>
      <c r="I1274" s="8">
        <f t="shared" si="2009"/>
        <v>1</v>
      </c>
      <c r="J1274" s="9"/>
      <c r="K1274" s="10"/>
      <c r="L1274" s="10"/>
      <c r="M1274" s="39">
        <f t="shared" si="2010"/>
        <v>0</v>
      </c>
      <c r="N1274" s="138">
        <f t="shared" si="2011"/>
        <v>1</v>
      </c>
      <c r="O1274" s="70">
        <v>45940</v>
      </c>
      <c r="P1274" s="4" t="s">
        <v>1168</v>
      </c>
      <c r="Q1274" s="9">
        <v>20</v>
      </c>
      <c r="R1274" s="10">
        <v>20</v>
      </c>
      <c r="S1274" s="10">
        <v>15</v>
      </c>
      <c r="T1274" s="8">
        <f t="shared" si="2032"/>
        <v>55</v>
      </c>
      <c r="U1274" s="9">
        <v>20</v>
      </c>
      <c r="V1274" s="10">
        <v>20</v>
      </c>
      <c r="W1274" s="10">
        <v>15</v>
      </c>
      <c r="X1274" s="8">
        <f t="shared" si="2033"/>
        <v>55</v>
      </c>
      <c r="Y1274" s="9">
        <v>20</v>
      </c>
      <c r="Z1274" s="10">
        <v>20</v>
      </c>
      <c r="AA1274" s="10">
        <v>15</v>
      </c>
      <c r="AB1274" s="8">
        <f t="shared" si="2034"/>
        <v>55</v>
      </c>
      <c r="AC1274" s="93">
        <f t="shared" si="2035"/>
        <v>165</v>
      </c>
      <c r="AD1274" s="109">
        <v>45939</v>
      </c>
    </row>
    <row r="1275" spans="1:30" x14ac:dyDescent="0.15">
      <c r="A1275" s="33"/>
      <c r="B1275" s="9"/>
      <c r="C1275" s="10"/>
      <c r="D1275" s="10"/>
      <c r="E1275" s="8">
        <f t="shared" si="2008"/>
        <v>0</v>
      </c>
      <c r="F1275" s="9"/>
      <c r="G1275" s="10"/>
      <c r="H1275" s="10"/>
      <c r="I1275" s="8">
        <f t="shared" si="2009"/>
        <v>0</v>
      </c>
      <c r="J1275" s="9"/>
      <c r="K1275" s="10"/>
      <c r="L1275" s="10"/>
      <c r="M1275" s="39">
        <f t="shared" si="2010"/>
        <v>0</v>
      </c>
      <c r="N1275" s="138">
        <f t="shared" si="2011"/>
        <v>0</v>
      </c>
      <c r="P1275" s="4" t="s">
        <v>1169</v>
      </c>
      <c r="Q1275" s="9">
        <v>5</v>
      </c>
      <c r="R1275" s="10">
        <v>40</v>
      </c>
      <c r="S1275" s="10">
        <v>15</v>
      </c>
      <c r="T1275" s="8">
        <f t="shared" si="2032"/>
        <v>60</v>
      </c>
      <c r="U1275" s="9">
        <v>5</v>
      </c>
      <c r="V1275" s="10">
        <v>40</v>
      </c>
      <c r="W1275" s="10">
        <v>15</v>
      </c>
      <c r="X1275" s="8">
        <f t="shared" si="2033"/>
        <v>60</v>
      </c>
      <c r="Y1275" s="9">
        <v>5</v>
      </c>
      <c r="Z1275" s="10">
        <v>40</v>
      </c>
      <c r="AA1275" s="10">
        <v>15</v>
      </c>
      <c r="AB1275" s="8">
        <f t="shared" si="2034"/>
        <v>60</v>
      </c>
      <c r="AC1275" s="93">
        <f t="shared" si="2035"/>
        <v>180</v>
      </c>
      <c r="AD1275" s="109">
        <v>45939</v>
      </c>
    </row>
    <row r="1276" spans="1:30" x14ac:dyDescent="0.15">
      <c r="A1276" s="33"/>
      <c r="B1276" s="9"/>
      <c r="C1276" s="10"/>
      <c r="D1276" s="10"/>
      <c r="E1276" s="8">
        <f t="shared" si="2008"/>
        <v>0</v>
      </c>
      <c r="F1276" s="9"/>
      <c r="G1276" s="10"/>
      <c r="H1276" s="10"/>
      <c r="I1276" s="8">
        <f t="shared" si="2009"/>
        <v>0</v>
      </c>
      <c r="J1276" s="9"/>
      <c r="K1276" s="10"/>
      <c r="L1276" s="10"/>
      <c r="M1276" s="39">
        <f t="shared" si="2010"/>
        <v>0</v>
      </c>
      <c r="N1276" s="138">
        <f t="shared" si="2011"/>
        <v>0</v>
      </c>
      <c r="P1276" s="4" t="s">
        <v>1171</v>
      </c>
      <c r="Q1276" s="9">
        <v>5</v>
      </c>
      <c r="R1276" s="10">
        <v>5</v>
      </c>
      <c r="S1276" s="10">
        <v>5</v>
      </c>
      <c r="T1276" s="8">
        <f t="shared" si="2032"/>
        <v>15</v>
      </c>
      <c r="U1276" s="9">
        <v>5</v>
      </c>
      <c r="V1276" s="10">
        <v>5</v>
      </c>
      <c r="W1276" s="10">
        <v>5</v>
      </c>
      <c r="X1276" s="8">
        <f t="shared" si="2033"/>
        <v>15</v>
      </c>
      <c r="Y1276" s="9">
        <v>5</v>
      </c>
      <c r="Z1276" s="10">
        <v>5</v>
      </c>
      <c r="AA1276" s="10">
        <v>5</v>
      </c>
      <c r="AB1276" s="8">
        <f t="shared" si="2034"/>
        <v>15</v>
      </c>
      <c r="AC1276" s="93">
        <f t="shared" si="2035"/>
        <v>45</v>
      </c>
      <c r="AD1276" s="109">
        <v>45940</v>
      </c>
    </row>
    <row r="1277" spans="1:30" x14ac:dyDescent="0.15">
      <c r="A1277" s="33"/>
      <c r="B1277" s="9"/>
      <c r="C1277" s="10"/>
      <c r="D1277" s="10"/>
      <c r="E1277" s="8">
        <f t="shared" si="2008"/>
        <v>0</v>
      </c>
      <c r="F1277" s="9"/>
      <c r="G1277" s="10"/>
      <c r="H1277" s="10"/>
      <c r="I1277" s="8">
        <f t="shared" si="2009"/>
        <v>0</v>
      </c>
      <c r="J1277" s="9"/>
      <c r="K1277" s="10"/>
      <c r="L1277" s="10"/>
      <c r="M1277" s="39">
        <f t="shared" si="2010"/>
        <v>0</v>
      </c>
      <c r="N1277" s="138">
        <f t="shared" si="2011"/>
        <v>0</v>
      </c>
      <c r="P1277" s="4" t="s">
        <v>1172</v>
      </c>
      <c r="Q1277" s="9"/>
      <c r="R1277" s="10">
        <v>5</v>
      </c>
      <c r="S1277" s="10">
        <v>10</v>
      </c>
      <c r="T1277" s="8">
        <f t="shared" si="2032"/>
        <v>15</v>
      </c>
      <c r="U1277" s="9"/>
      <c r="V1277" s="10">
        <v>5</v>
      </c>
      <c r="W1277" s="10">
        <v>10</v>
      </c>
      <c r="X1277" s="8">
        <f t="shared" si="2033"/>
        <v>15</v>
      </c>
      <c r="Y1277" s="9"/>
      <c r="Z1277" s="10">
        <v>5</v>
      </c>
      <c r="AA1277" s="10">
        <v>10</v>
      </c>
      <c r="AB1277" s="8">
        <f t="shared" si="2034"/>
        <v>15</v>
      </c>
      <c r="AC1277" s="93">
        <f t="shared" si="2035"/>
        <v>45</v>
      </c>
      <c r="AD1277" s="109">
        <v>45940</v>
      </c>
    </row>
    <row r="1278" spans="1:30" x14ac:dyDescent="0.15">
      <c r="A1278" s="33"/>
      <c r="B1278" s="9"/>
      <c r="C1278" s="10"/>
      <c r="D1278" s="10"/>
      <c r="E1278" s="8">
        <f t="shared" si="2008"/>
        <v>0</v>
      </c>
      <c r="F1278" s="9"/>
      <c r="G1278" s="10"/>
      <c r="H1278" s="10"/>
      <c r="I1278" s="8">
        <f t="shared" si="2009"/>
        <v>0</v>
      </c>
      <c r="J1278" s="9"/>
      <c r="K1278" s="10"/>
      <c r="L1278" s="10"/>
      <c r="M1278" s="39">
        <f t="shared" si="2010"/>
        <v>0</v>
      </c>
      <c r="N1278" s="138">
        <f t="shared" si="2011"/>
        <v>0</v>
      </c>
      <c r="P1278" s="4" t="s">
        <v>1173</v>
      </c>
      <c r="Q1278" s="9"/>
      <c r="R1278" s="10">
        <v>10</v>
      </c>
      <c r="S1278" s="10"/>
      <c r="T1278" s="8">
        <f t="shared" si="2032"/>
        <v>10</v>
      </c>
      <c r="U1278" s="9"/>
      <c r="V1278" s="10">
        <v>10</v>
      </c>
      <c r="W1278" s="10"/>
      <c r="X1278" s="8">
        <f t="shared" si="2033"/>
        <v>10</v>
      </c>
      <c r="Y1278" s="9"/>
      <c r="Z1278" s="10">
        <v>20</v>
      </c>
      <c r="AA1278" s="10"/>
      <c r="AB1278" s="8">
        <f t="shared" si="2034"/>
        <v>20</v>
      </c>
      <c r="AC1278" s="93">
        <f t="shared" si="2035"/>
        <v>40</v>
      </c>
      <c r="AD1278" s="109">
        <v>45940</v>
      </c>
    </row>
    <row r="1279" spans="1:30" x14ac:dyDescent="0.15">
      <c r="A1279" s="63"/>
      <c r="B1279" s="9"/>
      <c r="C1279" s="10"/>
      <c r="D1279" s="10"/>
      <c r="E1279" s="8">
        <f t="shared" si="2008"/>
        <v>0</v>
      </c>
      <c r="F1279" s="9"/>
      <c r="G1279" s="10"/>
      <c r="H1279" s="10"/>
      <c r="I1279" s="8">
        <f t="shared" si="2009"/>
        <v>0</v>
      </c>
      <c r="J1279" s="9"/>
      <c r="K1279" s="10"/>
      <c r="L1279" s="10"/>
      <c r="M1279" s="39">
        <f t="shared" si="2010"/>
        <v>0</v>
      </c>
      <c r="N1279" s="138">
        <f t="shared" si="2011"/>
        <v>0</v>
      </c>
      <c r="P1279" s="165" t="s">
        <v>27</v>
      </c>
      <c r="Q1279" s="166"/>
      <c r="R1279" s="167">
        <v>10</v>
      </c>
      <c r="S1279" s="167">
        <v>5</v>
      </c>
      <c r="T1279" s="168">
        <f t="shared" si="2032"/>
        <v>15</v>
      </c>
      <c r="U1279" s="166">
        <v>5</v>
      </c>
      <c r="V1279" s="167">
        <v>5</v>
      </c>
      <c r="W1279" s="167">
        <v>5</v>
      </c>
      <c r="X1279" s="168">
        <f t="shared" si="2033"/>
        <v>15</v>
      </c>
      <c r="Y1279" s="166">
        <v>5</v>
      </c>
      <c r="Z1279" s="167">
        <v>5</v>
      </c>
      <c r="AA1279" s="167"/>
      <c r="AB1279" s="168">
        <f t="shared" si="2034"/>
        <v>10</v>
      </c>
      <c r="AC1279" s="169">
        <f t="shared" si="2035"/>
        <v>40</v>
      </c>
      <c r="AD1279" s="170">
        <v>45944</v>
      </c>
    </row>
    <row r="1280" spans="1:30" x14ac:dyDescent="0.15">
      <c r="A1280" s="33"/>
      <c r="B1280" s="9"/>
      <c r="C1280" s="10"/>
      <c r="D1280" s="10"/>
      <c r="E1280" s="8">
        <f t="shared" si="2008"/>
        <v>0</v>
      </c>
      <c r="F1280" s="9"/>
      <c r="G1280" s="10"/>
      <c r="H1280" s="10"/>
      <c r="I1280" s="8">
        <f t="shared" si="2009"/>
        <v>0</v>
      </c>
      <c r="J1280" s="9"/>
      <c r="K1280" s="10"/>
      <c r="L1280" s="10"/>
      <c r="M1280" s="39">
        <f t="shared" si="2010"/>
        <v>0</v>
      </c>
      <c r="N1280" s="138">
        <f t="shared" si="2011"/>
        <v>0</v>
      </c>
      <c r="P1280" s="4" t="s">
        <v>1180</v>
      </c>
      <c r="Q1280" s="9"/>
      <c r="R1280" s="10">
        <v>15</v>
      </c>
      <c r="S1280" s="10"/>
      <c r="T1280" s="8">
        <f t="shared" ref="T1280" si="2036">SUM(Q1280:S1280)</f>
        <v>15</v>
      </c>
      <c r="U1280" s="9"/>
      <c r="V1280" s="10">
        <v>15</v>
      </c>
      <c r="W1280" s="10"/>
      <c r="X1280" s="8">
        <f t="shared" ref="X1280" si="2037">SUM(U1280:W1280)</f>
        <v>15</v>
      </c>
      <c r="Y1280" s="9"/>
      <c r="Z1280" s="10">
        <v>15</v>
      </c>
      <c r="AA1280" s="10"/>
      <c r="AB1280" s="8">
        <f t="shared" ref="AB1280" si="2038">SUM(Y1280:AA1280)</f>
        <v>15</v>
      </c>
      <c r="AC1280" s="93">
        <f t="shared" ref="AC1280" si="2039">T1280+X1280+AB1280</f>
        <v>45</v>
      </c>
      <c r="AD1280" s="109">
        <v>45946</v>
      </c>
    </row>
    <row r="1281" spans="1:30" x14ac:dyDescent="0.15">
      <c r="A1281" s="33"/>
      <c r="B1281" s="9"/>
      <c r="C1281" s="10"/>
      <c r="D1281" s="10"/>
      <c r="E1281" s="8">
        <f t="shared" si="2008"/>
        <v>0</v>
      </c>
      <c r="F1281" s="9"/>
      <c r="G1281" s="10"/>
      <c r="H1281" s="10"/>
      <c r="I1281" s="8">
        <f t="shared" si="2009"/>
        <v>0</v>
      </c>
      <c r="J1281" s="9"/>
      <c r="K1281" s="10"/>
      <c r="L1281" s="10"/>
      <c r="M1281" s="39">
        <f t="shared" si="2010"/>
        <v>0</v>
      </c>
      <c r="N1281" s="138">
        <f t="shared" si="2011"/>
        <v>0</v>
      </c>
      <c r="P1281" s="4" t="s">
        <v>1101</v>
      </c>
      <c r="Q1281" s="9"/>
      <c r="R1281" s="10"/>
      <c r="S1281" s="10"/>
      <c r="T1281" s="8">
        <f t="shared" ref="T1281" si="2040">SUM(Q1281:S1281)</f>
        <v>0</v>
      </c>
      <c r="U1281" s="9"/>
      <c r="V1281" s="10"/>
      <c r="W1281" s="10"/>
      <c r="X1281" s="8">
        <f t="shared" ref="X1281" si="2041">SUM(U1281:W1281)</f>
        <v>0</v>
      </c>
      <c r="Y1281" s="9"/>
      <c r="Z1281" s="10"/>
      <c r="AA1281" s="10"/>
      <c r="AB1281" s="8">
        <f t="shared" ref="AB1281" si="2042">SUM(Y1281:AA1281)</f>
        <v>0</v>
      </c>
      <c r="AC1281" s="93">
        <f t="shared" ref="AC1281" si="2043">T1281+X1281+AB1281</f>
        <v>0</v>
      </c>
      <c r="AD1281" s="116" t="s">
        <v>977</v>
      </c>
    </row>
    <row r="1282" spans="1:30" x14ac:dyDescent="0.15">
      <c r="A1282" s="33"/>
      <c r="B1282" s="9"/>
      <c r="C1282" s="10"/>
      <c r="D1282" s="10"/>
      <c r="E1282" s="8">
        <f t="shared" si="2008"/>
        <v>0</v>
      </c>
      <c r="F1282" s="9"/>
      <c r="G1282" s="10"/>
      <c r="H1282" s="10"/>
      <c r="I1282" s="8">
        <f t="shared" si="2009"/>
        <v>0</v>
      </c>
      <c r="J1282" s="9"/>
      <c r="K1282" s="10"/>
      <c r="L1282" s="10"/>
      <c r="M1282" s="39">
        <f t="shared" si="2010"/>
        <v>0</v>
      </c>
      <c r="N1282" s="138">
        <f t="shared" si="2011"/>
        <v>0</v>
      </c>
      <c r="P1282" s="81" t="s">
        <v>1102</v>
      </c>
      <c r="Q1282" s="71"/>
      <c r="R1282" s="72"/>
      <c r="S1282" s="72"/>
      <c r="T1282" s="73">
        <f t="shared" ref="T1282" si="2044">SUM(Q1282:S1282)</f>
        <v>0</v>
      </c>
      <c r="U1282" s="71"/>
      <c r="V1282" s="72"/>
      <c r="W1282" s="72"/>
      <c r="X1282" s="73">
        <f t="shared" ref="X1282" si="2045">SUM(U1282:W1282)</f>
        <v>0</v>
      </c>
      <c r="Y1282" s="71"/>
      <c r="Z1282" s="72"/>
      <c r="AA1282" s="72"/>
      <c r="AB1282" s="73">
        <f t="shared" ref="AB1282" si="2046">SUM(Y1282:AA1282)</f>
        <v>0</v>
      </c>
      <c r="AC1282" s="92">
        <f t="shared" ref="AC1282" si="2047">T1282+X1282+AB1282</f>
        <v>0</v>
      </c>
      <c r="AD1282" s="116"/>
    </row>
    <row r="1283" spans="1:30" x14ac:dyDescent="0.15">
      <c r="A1283" s="33"/>
      <c r="B1283" s="9"/>
      <c r="C1283" s="10"/>
      <c r="D1283" s="10"/>
      <c r="E1283" s="8">
        <f t="shared" si="2008"/>
        <v>0</v>
      </c>
      <c r="F1283" s="9"/>
      <c r="G1283" s="10"/>
      <c r="H1283" s="10"/>
      <c r="I1283" s="8">
        <f t="shared" si="2009"/>
        <v>0</v>
      </c>
      <c r="J1283" s="9"/>
      <c r="K1283" s="10"/>
      <c r="L1283" s="10"/>
      <c r="M1283" s="39">
        <f t="shared" si="2010"/>
        <v>0</v>
      </c>
      <c r="N1283" s="138">
        <f t="shared" si="2011"/>
        <v>0</v>
      </c>
      <c r="P1283" s="4" t="s">
        <v>1100</v>
      </c>
      <c r="Q1283" s="9"/>
      <c r="R1283" s="10"/>
      <c r="S1283" s="10"/>
      <c r="T1283" s="8">
        <f t="shared" ref="T1283:T1285" si="2048">SUM(Q1283:S1283)</f>
        <v>0</v>
      </c>
      <c r="U1283" s="9"/>
      <c r="V1283" s="10"/>
      <c r="W1283" s="10"/>
      <c r="X1283" s="8">
        <f t="shared" ref="X1283:X1285" si="2049">SUM(U1283:W1283)</f>
        <v>0</v>
      </c>
      <c r="Y1283" s="9"/>
      <c r="Z1283" s="10"/>
      <c r="AA1283" s="10"/>
      <c r="AB1283" s="8">
        <f t="shared" ref="AB1283:AB1285" si="2050">SUM(Y1283:AA1283)</f>
        <v>0</v>
      </c>
      <c r="AC1283" s="93">
        <f t="shared" ref="AC1283:AC1285" si="2051">T1283+X1283+AB1283</f>
        <v>0</v>
      </c>
      <c r="AD1283" s="116" t="s">
        <v>977</v>
      </c>
    </row>
    <row r="1284" spans="1:30" x14ac:dyDescent="0.15">
      <c r="A1284" s="33"/>
      <c r="B1284" s="9"/>
      <c r="C1284" s="10"/>
      <c r="D1284" s="10"/>
      <c r="E1284" s="8">
        <f t="shared" si="2008"/>
        <v>0</v>
      </c>
      <c r="F1284" s="9"/>
      <c r="G1284" s="10"/>
      <c r="H1284" s="10"/>
      <c r="I1284" s="8">
        <f t="shared" si="2009"/>
        <v>0</v>
      </c>
      <c r="J1284" s="9"/>
      <c r="K1284" s="10"/>
      <c r="L1284" s="10"/>
      <c r="M1284" s="39">
        <f t="shared" si="2010"/>
        <v>0</v>
      </c>
      <c r="N1284" s="138">
        <f t="shared" si="2011"/>
        <v>0</v>
      </c>
      <c r="P1284" s="81" t="s">
        <v>1067</v>
      </c>
      <c r="Q1284" s="71"/>
      <c r="R1284" s="72"/>
      <c r="S1284" s="72"/>
      <c r="T1284" s="73">
        <f t="shared" si="2048"/>
        <v>0</v>
      </c>
      <c r="U1284" s="71"/>
      <c r="V1284" s="72"/>
      <c r="W1284" s="72"/>
      <c r="X1284" s="73">
        <f t="shared" si="2049"/>
        <v>0</v>
      </c>
      <c r="Y1284" s="71"/>
      <c r="Z1284" s="72"/>
      <c r="AA1284" s="72"/>
      <c r="AB1284" s="73">
        <f t="shared" si="2050"/>
        <v>0</v>
      </c>
      <c r="AC1284" s="92">
        <f t="shared" si="2051"/>
        <v>0</v>
      </c>
      <c r="AD1284" s="116"/>
    </row>
    <row r="1285" spans="1:30" x14ac:dyDescent="0.15">
      <c r="A1285" s="33"/>
      <c r="B1285" s="9"/>
      <c r="C1285" s="10"/>
      <c r="D1285" s="10"/>
      <c r="E1285" s="8">
        <f t="shared" si="2008"/>
        <v>0</v>
      </c>
      <c r="F1285" s="9"/>
      <c r="G1285" s="10"/>
      <c r="H1285" s="10"/>
      <c r="I1285" s="8">
        <f t="shared" si="2009"/>
        <v>0</v>
      </c>
      <c r="J1285" s="9"/>
      <c r="K1285" s="10"/>
      <c r="L1285" s="10"/>
      <c r="M1285" s="39">
        <f t="shared" si="2010"/>
        <v>0</v>
      </c>
      <c r="N1285" s="138">
        <f t="shared" si="2011"/>
        <v>0</v>
      </c>
      <c r="P1285" s="4" t="s">
        <v>1070</v>
      </c>
      <c r="Q1285" s="9"/>
      <c r="R1285" s="10"/>
      <c r="S1285" s="10"/>
      <c r="T1285" s="8">
        <f t="shared" si="2048"/>
        <v>0</v>
      </c>
      <c r="U1285" s="9"/>
      <c r="V1285" s="10"/>
      <c r="W1285" s="10"/>
      <c r="X1285" s="8">
        <f t="shared" si="2049"/>
        <v>0</v>
      </c>
      <c r="Y1285" s="9"/>
      <c r="Z1285" s="10"/>
      <c r="AA1285" s="10"/>
      <c r="AB1285" s="8">
        <f t="shared" si="2050"/>
        <v>0</v>
      </c>
      <c r="AC1285" s="93">
        <f t="shared" si="2051"/>
        <v>0</v>
      </c>
      <c r="AD1285" s="116" t="s">
        <v>1068</v>
      </c>
    </row>
    <row r="1286" spans="1:30" x14ac:dyDescent="0.15">
      <c r="A1286" s="33"/>
      <c r="B1286" s="9"/>
      <c r="C1286" s="10"/>
      <c r="D1286" s="10"/>
      <c r="E1286" s="8">
        <f t="shared" si="2008"/>
        <v>0</v>
      </c>
      <c r="F1286" s="9"/>
      <c r="G1286" s="10"/>
      <c r="H1286" s="10"/>
      <c r="I1286" s="8">
        <f t="shared" si="2009"/>
        <v>0</v>
      </c>
      <c r="J1286" s="9"/>
      <c r="K1286" s="10"/>
      <c r="L1286" s="10"/>
      <c r="M1286" s="39">
        <f t="shared" si="2010"/>
        <v>0</v>
      </c>
      <c r="N1286" s="138">
        <f t="shared" si="2011"/>
        <v>0</v>
      </c>
      <c r="P1286" s="6" t="s">
        <v>916</v>
      </c>
      <c r="Q1286" s="71"/>
      <c r="R1286" s="72"/>
      <c r="S1286" s="72"/>
      <c r="T1286" s="73">
        <f t="shared" ref="T1286:T1287" si="2052">SUM(Q1286:S1286)</f>
        <v>0</v>
      </c>
      <c r="U1286" s="71"/>
      <c r="V1286" s="72"/>
      <c r="W1286" s="72"/>
      <c r="X1286" s="73">
        <f t="shared" ref="X1286:X1287" si="2053">SUM(U1286:W1286)</f>
        <v>0</v>
      </c>
      <c r="Y1286" s="71"/>
      <c r="Z1286" s="72"/>
      <c r="AA1286" s="72"/>
      <c r="AB1286" s="73">
        <f t="shared" ref="AB1286:AB1287" si="2054">SUM(Y1286:AA1286)</f>
        <v>0</v>
      </c>
      <c r="AC1286" s="92">
        <f t="shared" ref="AC1286:AC1287" si="2055">T1286+X1286+AB1286</f>
        <v>0</v>
      </c>
      <c r="AD1286" s="117"/>
    </row>
    <row r="1287" spans="1:30" ht="14.25" thickBot="1" x14ac:dyDescent="0.2">
      <c r="A1287" s="63"/>
      <c r="B1287" s="9"/>
      <c r="C1287" s="10"/>
      <c r="D1287" s="22"/>
      <c r="E1287" s="8">
        <f t="shared" si="2008"/>
        <v>0</v>
      </c>
      <c r="F1287" s="9"/>
      <c r="G1287" s="10"/>
      <c r="H1287" s="22"/>
      <c r="I1287" s="8">
        <f t="shared" si="2009"/>
        <v>0</v>
      </c>
      <c r="J1287" s="9"/>
      <c r="K1287" s="10"/>
      <c r="L1287" s="22"/>
      <c r="M1287" s="39">
        <f t="shared" si="2010"/>
        <v>0</v>
      </c>
      <c r="N1287" s="139">
        <f t="shared" si="2011"/>
        <v>0</v>
      </c>
      <c r="P1287" s="11" t="s">
        <v>1147</v>
      </c>
      <c r="Q1287" s="9"/>
      <c r="R1287" s="10"/>
      <c r="S1287" s="10"/>
      <c r="T1287" s="8">
        <f t="shared" si="2052"/>
        <v>0</v>
      </c>
      <c r="U1287" s="9"/>
      <c r="V1287" s="10"/>
      <c r="W1287" s="10"/>
      <c r="X1287" s="8">
        <f t="shared" si="2053"/>
        <v>0</v>
      </c>
      <c r="Y1287" s="9"/>
      <c r="Z1287" s="10"/>
      <c r="AA1287" s="10"/>
      <c r="AB1287" s="8">
        <f t="shared" si="2054"/>
        <v>0</v>
      </c>
      <c r="AC1287" s="93">
        <f t="shared" si="2055"/>
        <v>0</v>
      </c>
      <c r="AD1287" s="116" t="s">
        <v>953</v>
      </c>
    </row>
    <row r="1288" spans="1:30" ht="14.25" thickBot="1" x14ac:dyDescent="0.2">
      <c r="A1288" s="104" t="s">
        <v>5</v>
      </c>
      <c r="B1288" s="12">
        <f>SUM(B1264:B1287)</f>
        <v>8</v>
      </c>
      <c r="C1288" s="12">
        <f>SUM(C1264:C1287)</f>
        <v>29</v>
      </c>
      <c r="D1288" s="12">
        <f>SUM(D1264:D1287)</f>
        <v>7</v>
      </c>
      <c r="E1288" s="13">
        <f t="shared" si="2008"/>
        <v>44</v>
      </c>
      <c r="F1288" s="12">
        <f>SUM(F1264:F1287)</f>
        <v>9</v>
      </c>
      <c r="G1288" s="12">
        <f>SUM(G1264:G1287)</f>
        <v>24</v>
      </c>
      <c r="H1288" s="12">
        <f>SUM(H1264:H1287)</f>
        <v>7</v>
      </c>
      <c r="I1288" s="13">
        <f t="shared" si="2009"/>
        <v>40</v>
      </c>
      <c r="J1288" s="12">
        <f>SUM(J1264:J1287)</f>
        <v>8</v>
      </c>
      <c r="K1288" s="12">
        <f>SUM(K1264:K1287)</f>
        <v>26</v>
      </c>
      <c r="L1288" s="12">
        <f>SUM(L1264:L1287)</f>
        <v>7</v>
      </c>
      <c r="M1288" s="12">
        <f t="shared" si="2010"/>
        <v>41</v>
      </c>
      <c r="N1288" s="142">
        <f t="shared" si="2011"/>
        <v>125</v>
      </c>
      <c r="P1288" s="3" t="s">
        <v>5</v>
      </c>
      <c r="Q1288" s="12">
        <f>SUM(Q1264:Q1287)</f>
        <v>88</v>
      </c>
      <c r="R1288" s="12">
        <f t="shared" ref="R1288" si="2056">SUM(R1264:R1287)</f>
        <v>194</v>
      </c>
      <c r="S1288" s="12">
        <f t="shared" ref="S1288" si="2057">SUM(S1264:S1287)</f>
        <v>115</v>
      </c>
      <c r="T1288" s="13">
        <f t="shared" ref="T1288" si="2058">SUM(T1264:T1287)</f>
        <v>397</v>
      </c>
      <c r="U1288" s="12">
        <f t="shared" ref="U1288" si="2059">SUM(U1264:U1287)</f>
        <v>93</v>
      </c>
      <c r="V1288" s="12">
        <f t="shared" ref="V1288" si="2060">SUM(V1264:V1287)</f>
        <v>194</v>
      </c>
      <c r="W1288" s="12">
        <f t="shared" ref="W1288" si="2061">SUM(W1264:W1287)</f>
        <v>115</v>
      </c>
      <c r="X1288" s="13">
        <f t="shared" ref="X1288" si="2062">SUM(X1264:X1287)</f>
        <v>402</v>
      </c>
      <c r="Y1288" s="12">
        <f t="shared" ref="Y1288" si="2063">SUM(Y1264:Y1287)</f>
        <v>88</v>
      </c>
      <c r="Z1288" s="12">
        <f t="shared" ref="Z1288" si="2064">SUM(Z1264:Z1287)</f>
        <v>189</v>
      </c>
      <c r="AA1288" s="12">
        <f t="shared" ref="AA1288" si="2065">SUM(AA1264:AA1287)</f>
        <v>110</v>
      </c>
      <c r="AB1288" s="13">
        <f t="shared" ref="AB1288" si="2066">SUM(AB1264:AB1287)</f>
        <v>387</v>
      </c>
      <c r="AC1288" s="155">
        <f t="shared" ref="AC1288" si="2067">SUM(AC1264:AC1287)</f>
        <v>1186</v>
      </c>
    </row>
    <row r="1289" spans="1:30" ht="14.25" thickBot="1" x14ac:dyDescent="0.2">
      <c r="A1289" s="105" t="s">
        <v>6</v>
      </c>
      <c r="B1289" s="20">
        <f>B1263-B1288</f>
        <v>20</v>
      </c>
      <c r="C1289" s="20">
        <f t="shared" ref="C1289:E1289" si="2068">C1263-C1288</f>
        <v>21</v>
      </c>
      <c r="D1289" s="20">
        <f t="shared" si="2068"/>
        <v>22</v>
      </c>
      <c r="E1289" s="18">
        <f t="shared" si="2068"/>
        <v>63</v>
      </c>
      <c r="F1289" s="20">
        <f>F1263-F1288</f>
        <v>21</v>
      </c>
      <c r="G1289" s="20">
        <f t="shared" ref="G1289:I1289" si="2069">G1263-G1288</f>
        <v>22</v>
      </c>
      <c r="H1289" s="20">
        <f t="shared" si="2069"/>
        <v>21</v>
      </c>
      <c r="I1289" s="18">
        <f t="shared" si="2069"/>
        <v>64</v>
      </c>
      <c r="J1289" s="20">
        <f>J1263-J1288</f>
        <v>22</v>
      </c>
      <c r="K1289" s="20">
        <f t="shared" ref="K1289:M1289" si="2070">K1263-K1288</f>
        <v>22</v>
      </c>
      <c r="L1289" s="20">
        <f t="shared" si="2070"/>
        <v>23</v>
      </c>
      <c r="M1289" s="20">
        <f t="shared" si="2070"/>
        <v>67</v>
      </c>
      <c r="N1289" s="140">
        <f t="shared" si="2011"/>
        <v>194</v>
      </c>
      <c r="P1289" s="19" t="s">
        <v>6</v>
      </c>
      <c r="Q1289" s="20">
        <f>Q1263-Q1288</f>
        <v>487</v>
      </c>
      <c r="R1289" s="20">
        <f t="shared" ref="R1289" si="2071">R1263-R1288</f>
        <v>581</v>
      </c>
      <c r="S1289" s="20">
        <f t="shared" ref="S1289" si="2072">S1263-S1288</f>
        <v>581</v>
      </c>
      <c r="T1289" s="18">
        <f t="shared" ref="T1289" si="2073">T1263-T1288</f>
        <v>1649</v>
      </c>
      <c r="U1289" s="20">
        <f t="shared" ref="U1289" si="2074">U1263-U1288</f>
        <v>532</v>
      </c>
      <c r="V1289" s="20">
        <f t="shared" ref="V1289" si="2075">V1263-V1288</f>
        <v>766</v>
      </c>
      <c r="W1289" s="20">
        <f t="shared" ref="W1289" si="2076">W1263-W1288</f>
        <v>657</v>
      </c>
      <c r="X1289" s="18">
        <f t="shared" ref="X1289" si="2077">X1263-X1288</f>
        <v>1955</v>
      </c>
      <c r="Y1289" s="20">
        <f t="shared" ref="Y1289" si="2078">Y1263-Y1288</f>
        <v>447</v>
      </c>
      <c r="Z1289" s="20">
        <f t="shared" ref="Z1289" si="2079">Z1263-Z1288</f>
        <v>594</v>
      </c>
      <c r="AA1289" s="20">
        <f t="shared" ref="AA1289" si="2080">AA1263-AA1288</f>
        <v>507</v>
      </c>
      <c r="AB1289" s="18">
        <f t="shared" ref="AB1289" si="2081">AB1263-AB1288</f>
        <v>1548</v>
      </c>
      <c r="AC1289" s="88">
        <f t="shared" ref="AC1289" si="2082">AC1263-AC1288</f>
        <v>5152</v>
      </c>
    </row>
    <row r="1290" spans="1:30" x14ac:dyDescent="0.15">
      <c r="Q1290" s="64"/>
      <c r="R1290" s="64"/>
      <c r="S1290" s="64"/>
      <c r="T1290" s="64"/>
      <c r="U1290" s="64"/>
      <c r="V1290" s="64"/>
      <c r="W1290" s="64"/>
      <c r="X1290" s="64"/>
      <c r="Y1290" s="64"/>
      <c r="Z1290" s="64"/>
      <c r="AA1290" s="64"/>
      <c r="AB1290" s="64"/>
    </row>
    <row r="1291" spans="1:30" x14ac:dyDescent="0.15">
      <c r="Q1291" s="66">
        <v>28.4</v>
      </c>
      <c r="R1291" s="66">
        <v>42.5</v>
      </c>
      <c r="S1291" s="66">
        <v>29.1</v>
      </c>
      <c r="T1291" s="66"/>
      <c r="U1291" s="66">
        <v>28.5</v>
      </c>
      <c r="V1291" s="66">
        <v>42.1</v>
      </c>
      <c r="W1291" s="66">
        <v>29.3</v>
      </c>
      <c r="X1291" s="66"/>
      <c r="Y1291" s="66">
        <v>28.4</v>
      </c>
      <c r="Z1291" s="66">
        <v>42.4</v>
      </c>
      <c r="AA1291" s="66">
        <v>29.3</v>
      </c>
    </row>
    <row r="1292" spans="1:30" ht="19.5" thickBot="1" x14ac:dyDescent="0.25">
      <c r="A1292" s="108" t="s">
        <v>264</v>
      </c>
      <c r="B1292" s="47"/>
      <c r="C1292" s="47"/>
      <c r="D1292" s="47"/>
      <c r="E1292" s="47"/>
      <c r="F1292" s="48"/>
      <c r="G1292" s="48"/>
      <c r="H1292" s="48"/>
      <c r="I1292" s="48"/>
      <c r="J1292" s="48"/>
      <c r="K1292" s="48"/>
      <c r="L1292" s="1"/>
      <c r="M1292" s="1"/>
      <c r="N1292" s="137"/>
      <c r="P1292" s="43" t="s">
        <v>263</v>
      </c>
      <c r="Q1292" s="44"/>
      <c r="R1292" s="44"/>
      <c r="S1292" s="44"/>
      <c r="T1292" s="44"/>
      <c r="U1292" s="45"/>
      <c r="V1292" s="45"/>
      <c r="W1292" s="45"/>
      <c r="X1292" s="45"/>
      <c r="Y1292" s="46"/>
      <c r="Z1292" s="53"/>
      <c r="AA1292" s="1"/>
      <c r="AB1292" s="1"/>
    </row>
    <row r="1293" spans="1:30" ht="14.25" thickBot="1" x14ac:dyDescent="0.2">
      <c r="A1293" s="100" t="s">
        <v>0</v>
      </c>
      <c r="B1293" s="337" t="s">
        <v>11</v>
      </c>
      <c r="C1293" s="337"/>
      <c r="D1293" s="337"/>
      <c r="E1293" s="338"/>
      <c r="F1293" s="339" t="s">
        <v>9</v>
      </c>
      <c r="G1293" s="340"/>
      <c r="H1293" s="340"/>
      <c r="I1293" s="341"/>
      <c r="J1293" s="342" t="s">
        <v>12</v>
      </c>
      <c r="K1293" s="343"/>
      <c r="L1293" s="343"/>
      <c r="M1293" s="343"/>
      <c r="N1293" s="347" t="s">
        <v>13</v>
      </c>
      <c r="P1293" s="2" t="s">
        <v>0</v>
      </c>
      <c r="Q1293" s="336" t="s">
        <v>11</v>
      </c>
      <c r="R1293" s="337"/>
      <c r="S1293" s="337"/>
      <c r="T1293" s="338"/>
      <c r="U1293" s="339" t="s">
        <v>9</v>
      </c>
      <c r="V1293" s="340"/>
      <c r="W1293" s="340"/>
      <c r="X1293" s="341"/>
      <c r="Y1293" s="342" t="s">
        <v>12</v>
      </c>
      <c r="Z1293" s="343"/>
      <c r="AA1293" s="343"/>
      <c r="AB1293" s="344"/>
      <c r="AC1293" s="133" t="s">
        <v>13</v>
      </c>
    </row>
    <row r="1294" spans="1:30" ht="14.25" thickBot="1" x14ac:dyDescent="0.2">
      <c r="A1294" s="100" t="s">
        <v>1</v>
      </c>
      <c r="B1294" s="3" t="s">
        <v>7</v>
      </c>
      <c r="C1294" s="2" t="s">
        <v>10</v>
      </c>
      <c r="D1294" s="2" t="s">
        <v>8</v>
      </c>
      <c r="E1294" s="2" t="s">
        <v>2</v>
      </c>
      <c r="F1294" s="3" t="s">
        <v>7</v>
      </c>
      <c r="G1294" s="2" t="s">
        <v>10</v>
      </c>
      <c r="H1294" s="2" t="s">
        <v>8</v>
      </c>
      <c r="I1294" s="2" t="s">
        <v>2</v>
      </c>
      <c r="J1294" s="3" t="s">
        <v>7</v>
      </c>
      <c r="K1294" s="2" t="s">
        <v>10</v>
      </c>
      <c r="L1294" s="2" t="s">
        <v>8</v>
      </c>
      <c r="M1294" s="3" t="s">
        <v>2</v>
      </c>
      <c r="N1294" s="348"/>
      <c r="P1294" s="2" t="s">
        <v>1</v>
      </c>
      <c r="Q1294" s="3" t="s">
        <v>7</v>
      </c>
      <c r="R1294" s="2" t="s">
        <v>10</v>
      </c>
      <c r="S1294" s="2" t="s">
        <v>8</v>
      </c>
      <c r="T1294" s="2" t="s">
        <v>2</v>
      </c>
      <c r="U1294" s="3" t="s">
        <v>7</v>
      </c>
      <c r="V1294" s="2" t="s">
        <v>10</v>
      </c>
      <c r="W1294" s="2" t="s">
        <v>8</v>
      </c>
      <c r="X1294" s="2" t="s">
        <v>2</v>
      </c>
      <c r="Y1294" s="3" t="s">
        <v>7</v>
      </c>
      <c r="Z1294" s="2" t="s">
        <v>10</v>
      </c>
      <c r="AA1294" s="2" t="s">
        <v>8</v>
      </c>
      <c r="AB1294" s="2" t="s">
        <v>2</v>
      </c>
      <c r="AC1294" s="134"/>
    </row>
    <row r="1295" spans="1:30" x14ac:dyDescent="0.15">
      <c r="A1295" s="106" t="s">
        <v>6</v>
      </c>
      <c r="B1295" s="41">
        <f>B1289</f>
        <v>20</v>
      </c>
      <c r="C1295" s="41">
        <f t="shared" ref="C1295:E1295" si="2083">C1289</f>
        <v>21</v>
      </c>
      <c r="D1295" s="41">
        <f t="shared" si="2083"/>
        <v>22</v>
      </c>
      <c r="E1295" s="42">
        <f t="shared" si="2083"/>
        <v>63</v>
      </c>
      <c r="F1295" s="41">
        <f>F1289</f>
        <v>21</v>
      </c>
      <c r="G1295" s="41">
        <f t="shared" ref="G1295:I1295" si="2084">G1289</f>
        <v>22</v>
      </c>
      <c r="H1295" s="41">
        <f t="shared" si="2084"/>
        <v>21</v>
      </c>
      <c r="I1295" s="42">
        <f t="shared" si="2084"/>
        <v>64</v>
      </c>
      <c r="J1295" s="41">
        <f>J1289</f>
        <v>22</v>
      </c>
      <c r="K1295" s="41">
        <f t="shared" ref="K1295:M1295" si="2085">K1289</f>
        <v>22</v>
      </c>
      <c r="L1295" s="41">
        <f t="shared" si="2085"/>
        <v>23</v>
      </c>
      <c r="M1295" s="42">
        <f t="shared" si="2085"/>
        <v>67</v>
      </c>
      <c r="N1295" s="143">
        <f>E1295+I1295+M1295</f>
        <v>194</v>
      </c>
      <c r="P1295" s="36" t="s">
        <v>6</v>
      </c>
      <c r="Q1295" s="41">
        <f>Q1289</f>
        <v>487</v>
      </c>
      <c r="R1295" s="41">
        <f t="shared" ref="R1295:AC1295" si="2086">R1289</f>
        <v>581</v>
      </c>
      <c r="S1295" s="41">
        <f t="shared" si="2086"/>
        <v>581</v>
      </c>
      <c r="T1295" s="42">
        <f t="shared" si="2086"/>
        <v>1649</v>
      </c>
      <c r="U1295" s="41">
        <f t="shared" si="2086"/>
        <v>532</v>
      </c>
      <c r="V1295" s="41">
        <f t="shared" si="2086"/>
        <v>766</v>
      </c>
      <c r="W1295" s="41">
        <f t="shared" si="2086"/>
        <v>657</v>
      </c>
      <c r="X1295" s="42">
        <f t="shared" si="2086"/>
        <v>1955</v>
      </c>
      <c r="Y1295" s="41">
        <f t="shared" si="2086"/>
        <v>447</v>
      </c>
      <c r="Z1295" s="41">
        <f t="shared" si="2086"/>
        <v>594</v>
      </c>
      <c r="AA1295" s="41">
        <f t="shared" si="2086"/>
        <v>507</v>
      </c>
      <c r="AB1295" s="42">
        <f t="shared" si="2086"/>
        <v>1548</v>
      </c>
      <c r="AC1295" s="90">
        <f t="shared" si="2086"/>
        <v>5152</v>
      </c>
    </row>
    <row r="1296" spans="1:30" x14ac:dyDescent="0.15">
      <c r="A1296" s="102" t="s">
        <v>3</v>
      </c>
      <c r="B1296" s="25">
        <v>10</v>
      </c>
      <c r="C1296" s="26">
        <v>5</v>
      </c>
      <c r="D1296" s="26"/>
      <c r="E1296" s="5">
        <f t="shared" ref="E1296:E1331" si="2087">SUM(B1296:D1296)</f>
        <v>15</v>
      </c>
      <c r="F1296" s="25">
        <v>10</v>
      </c>
      <c r="G1296" s="26">
        <v>5</v>
      </c>
      <c r="H1296" s="26"/>
      <c r="I1296" s="5">
        <f t="shared" ref="I1296:I1331" si="2088">SUM(F1296:H1296)</f>
        <v>15</v>
      </c>
      <c r="J1296" s="25">
        <v>10</v>
      </c>
      <c r="K1296" s="26">
        <v>5</v>
      </c>
      <c r="L1296" s="26"/>
      <c r="M1296" s="38">
        <f t="shared" ref="M1296:M1331" si="2089">SUM(J1296:L1296)</f>
        <v>15</v>
      </c>
      <c r="N1296" s="138">
        <f t="shared" ref="N1296:N1332" si="2090">E1296+I1296+M1296</f>
        <v>45</v>
      </c>
      <c r="O1296" s="24">
        <v>45946</v>
      </c>
      <c r="P1296" s="6" t="s">
        <v>3</v>
      </c>
      <c r="Q1296" s="14"/>
      <c r="R1296" s="11"/>
      <c r="S1296" s="11"/>
      <c r="T1296" s="5">
        <f t="shared" ref="T1296:T1330" si="2091">SUM(Q1296:S1296)</f>
        <v>0</v>
      </c>
      <c r="U1296" s="14"/>
      <c r="V1296" s="11"/>
      <c r="W1296" s="11"/>
      <c r="X1296" s="5">
        <f t="shared" ref="X1296:X1330" si="2092">SUM(U1296:W1296)</f>
        <v>0</v>
      </c>
      <c r="Y1296" s="25"/>
      <c r="Z1296" s="26"/>
      <c r="AA1296" s="26"/>
      <c r="AB1296" s="5">
        <f t="shared" ref="AB1296:AB1330" si="2093">SUM(Y1296:AA1296)</f>
        <v>0</v>
      </c>
      <c r="AC1296" s="86">
        <f t="shared" ref="AC1296:AC1320" si="2094">T1296+X1296+AB1296</f>
        <v>0</v>
      </c>
    </row>
    <row r="1297" spans="1:31" x14ac:dyDescent="0.15">
      <c r="A1297" s="102" t="s">
        <v>319</v>
      </c>
      <c r="B1297" s="14">
        <v>3</v>
      </c>
      <c r="C1297" s="11">
        <v>6</v>
      </c>
      <c r="D1297" s="11">
        <v>5</v>
      </c>
      <c r="E1297" s="5">
        <f t="shared" si="2087"/>
        <v>14</v>
      </c>
      <c r="F1297" s="34">
        <v>3</v>
      </c>
      <c r="G1297" s="11">
        <v>5</v>
      </c>
      <c r="H1297" s="11">
        <v>5</v>
      </c>
      <c r="I1297" s="5">
        <f t="shared" si="2088"/>
        <v>13</v>
      </c>
      <c r="J1297" s="34">
        <v>3</v>
      </c>
      <c r="K1297" s="11">
        <v>5</v>
      </c>
      <c r="L1297" s="11">
        <v>5</v>
      </c>
      <c r="M1297" s="38">
        <f t="shared" si="2089"/>
        <v>13</v>
      </c>
      <c r="N1297" s="138">
        <f t="shared" si="2090"/>
        <v>40</v>
      </c>
      <c r="O1297" s="24">
        <v>45945</v>
      </c>
      <c r="P1297" s="6" t="s">
        <v>3</v>
      </c>
      <c r="Q1297" s="14"/>
      <c r="R1297" s="11"/>
      <c r="S1297" s="11"/>
      <c r="T1297" s="5">
        <f t="shared" si="2091"/>
        <v>0</v>
      </c>
      <c r="U1297" s="14"/>
      <c r="V1297" s="11"/>
      <c r="W1297" s="11"/>
      <c r="X1297" s="5">
        <f t="shared" si="2092"/>
        <v>0</v>
      </c>
      <c r="Y1297" s="25"/>
      <c r="Z1297" s="26"/>
      <c r="AA1297" s="26"/>
      <c r="AB1297" s="5">
        <f t="shared" si="2093"/>
        <v>0</v>
      </c>
      <c r="AC1297" s="86">
        <f t="shared" si="2094"/>
        <v>0</v>
      </c>
    </row>
    <row r="1298" spans="1:31" x14ac:dyDescent="0.15">
      <c r="A1298" s="102" t="s">
        <v>3</v>
      </c>
      <c r="B1298" s="14"/>
      <c r="C1298" s="11"/>
      <c r="D1298" s="11"/>
      <c r="E1298" s="5">
        <f t="shared" si="2087"/>
        <v>0</v>
      </c>
      <c r="F1298" s="34"/>
      <c r="G1298" s="11"/>
      <c r="H1298" s="11"/>
      <c r="I1298" s="5">
        <f t="shared" si="2088"/>
        <v>0</v>
      </c>
      <c r="J1298" s="34"/>
      <c r="K1298" s="11"/>
      <c r="L1298" s="11"/>
      <c r="M1298" s="38">
        <f t="shared" si="2089"/>
        <v>0</v>
      </c>
      <c r="N1298" s="138">
        <f t="shared" si="2090"/>
        <v>0</v>
      </c>
      <c r="P1298" s="6" t="s">
        <v>3</v>
      </c>
      <c r="Q1298" s="14"/>
      <c r="R1298" s="11"/>
      <c r="S1298" s="11"/>
      <c r="T1298" s="5">
        <f t="shared" ref="T1298" si="2095">SUM(Q1298:S1298)</f>
        <v>0</v>
      </c>
      <c r="U1298" s="14"/>
      <c r="V1298" s="11"/>
      <c r="W1298" s="11"/>
      <c r="X1298" s="5">
        <f t="shared" ref="X1298" si="2096">SUM(U1298:W1298)</f>
        <v>0</v>
      </c>
      <c r="Y1298" s="25"/>
      <c r="Z1298" s="26"/>
      <c r="AA1298" s="26"/>
      <c r="AB1298" s="5">
        <f t="shared" ref="AB1298" si="2097">SUM(Y1298:AA1298)</f>
        <v>0</v>
      </c>
      <c r="AC1298" s="86">
        <f t="shared" ref="AC1298" si="2098">T1298+X1298+AB1298</f>
        <v>0</v>
      </c>
    </row>
    <row r="1299" spans="1:31" x14ac:dyDescent="0.15">
      <c r="A1299" s="102" t="s">
        <v>3</v>
      </c>
      <c r="B1299" s="14"/>
      <c r="C1299" s="11"/>
      <c r="D1299" s="11"/>
      <c r="E1299" s="5">
        <f t="shared" si="2087"/>
        <v>0</v>
      </c>
      <c r="F1299" s="34"/>
      <c r="G1299" s="11"/>
      <c r="H1299" s="11"/>
      <c r="I1299" s="5">
        <f t="shared" si="2088"/>
        <v>0</v>
      </c>
      <c r="J1299" s="34"/>
      <c r="K1299" s="11"/>
      <c r="L1299" s="11"/>
      <c r="M1299" s="38">
        <f t="shared" si="2089"/>
        <v>0</v>
      </c>
      <c r="N1299" s="138">
        <f t="shared" si="2090"/>
        <v>0</v>
      </c>
      <c r="P1299" s="6" t="s">
        <v>3</v>
      </c>
      <c r="Q1299" s="14"/>
      <c r="R1299" s="11"/>
      <c r="S1299" s="11"/>
      <c r="T1299" s="5">
        <f t="shared" ref="T1299:T1300" si="2099">SUM(Q1299:S1299)</f>
        <v>0</v>
      </c>
      <c r="U1299" s="14"/>
      <c r="V1299" s="11"/>
      <c r="W1299" s="11"/>
      <c r="X1299" s="5">
        <f t="shared" ref="X1299:X1300" si="2100">SUM(U1299:W1299)</f>
        <v>0</v>
      </c>
      <c r="Y1299" s="25"/>
      <c r="Z1299" s="26"/>
      <c r="AA1299" s="26"/>
      <c r="AB1299" s="5">
        <f t="shared" ref="AB1299:AB1300" si="2101">SUM(Y1299:AA1299)</f>
        <v>0</v>
      </c>
      <c r="AC1299" s="86">
        <f t="shared" ref="AC1299:AC1300" si="2102">T1299+X1299+AB1299</f>
        <v>0</v>
      </c>
    </row>
    <row r="1300" spans="1:31" x14ac:dyDescent="0.15">
      <c r="A1300" s="102" t="s">
        <v>3</v>
      </c>
      <c r="B1300" s="14"/>
      <c r="C1300" s="11"/>
      <c r="D1300" s="11"/>
      <c r="E1300" s="5">
        <f t="shared" si="2087"/>
        <v>0</v>
      </c>
      <c r="F1300" s="34"/>
      <c r="G1300" s="11"/>
      <c r="H1300" s="11"/>
      <c r="I1300" s="5">
        <f t="shared" si="2088"/>
        <v>0</v>
      </c>
      <c r="J1300" s="34"/>
      <c r="K1300" s="11"/>
      <c r="L1300" s="11"/>
      <c r="M1300" s="38">
        <f t="shared" si="2089"/>
        <v>0</v>
      </c>
      <c r="N1300" s="138">
        <f t="shared" si="2090"/>
        <v>0</v>
      </c>
      <c r="P1300" s="6" t="s">
        <v>3</v>
      </c>
      <c r="Q1300" s="14"/>
      <c r="R1300" s="11"/>
      <c r="S1300" s="11"/>
      <c r="T1300" s="5">
        <f t="shared" si="2099"/>
        <v>0</v>
      </c>
      <c r="U1300" s="14"/>
      <c r="V1300" s="11"/>
      <c r="W1300" s="11"/>
      <c r="X1300" s="5">
        <f t="shared" si="2100"/>
        <v>0</v>
      </c>
      <c r="Y1300" s="25"/>
      <c r="Z1300" s="26"/>
      <c r="AA1300" s="26"/>
      <c r="AB1300" s="5">
        <f t="shared" si="2101"/>
        <v>0</v>
      </c>
      <c r="AC1300" s="86">
        <f t="shared" si="2102"/>
        <v>0</v>
      </c>
    </row>
    <row r="1301" spans="1:31" x14ac:dyDescent="0.15">
      <c r="A1301" s="102" t="s">
        <v>3</v>
      </c>
      <c r="B1301" s="25"/>
      <c r="C1301" s="26"/>
      <c r="D1301" s="26"/>
      <c r="E1301" s="8">
        <f t="shared" si="2087"/>
        <v>0</v>
      </c>
      <c r="F1301" s="25"/>
      <c r="G1301" s="26"/>
      <c r="H1301" s="26"/>
      <c r="I1301" s="8">
        <f t="shared" si="2088"/>
        <v>0</v>
      </c>
      <c r="J1301" s="25"/>
      <c r="K1301" s="26"/>
      <c r="L1301" s="26"/>
      <c r="M1301" s="39">
        <f t="shared" si="2089"/>
        <v>0</v>
      </c>
      <c r="N1301" s="138">
        <f t="shared" si="2090"/>
        <v>0</v>
      </c>
      <c r="P1301" s="6" t="s">
        <v>3</v>
      </c>
      <c r="Q1301" s="14"/>
      <c r="R1301" s="11"/>
      <c r="S1301" s="11"/>
      <c r="T1301" s="5">
        <f t="shared" si="2091"/>
        <v>0</v>
      </c>
      <c r="U1301" s="14"/>
      <c r="V1301" s="11"/>
      <c r="W1301" s="11"/>
      <c r="X1301" s="5">
        <f t="shared" si="2092"/>
        <v>0</v>
      </c>
      <c r="Y1301" s="25"/>
      <c r="Z1301" s="26"/>
      <c r="AA1301" s="26"/>
      <c r="AB1301" s="8">
        <f t="shared" si="2093"/>
        <v>0</v>
      </c>
      <c r="AC1301" s="86">
        <f t="shared" si="2094"/>
        <v>0</v>
      </c>
    </row>
    <row r="1302" spans="1:31" x14ac:dyDescent="0.15">
      <c r="A1302" s="102" t="s">
        <v>3</v>
      </c>
      <c r="B1302" s="27"/>
      <c r="C1302" s="26"/>
      <c r="D1302" s="26"/>
      <c r="E1302" s="5">
        <f t="shared" si="2087"/>
        <v>0</v>
      </c>
      <c r="F1302" s="25"/>
      <c r="G1302" s="26"/>
      <c r="H1302" s="26"/>
      <c r="I1302" s="5">
        <f t="shared" si="2088"/>
        <v>0</v>
      </c>
      <c r="J1302" s="25"/>
      <c r="K1302" s="26"/>
      <c r="L1302" s="26"/>
      <c r="M1302" s="38">
        <f t="shared" si="2089"/>
        <v>0</v>
      </c>
      <c r="N1302" s="138">
        <f t="shared" si="2090"/>
        <v>0</v>
      </c>
      <c r="P1302" s="6" t="s">
        <v>3</v>
      </c>
      <c r="Q1302" s="27"/>
      <c r="R1302" s="26"/>
      <c r="S1302" s="26"/>
      <c r="T1302" s="5">
        <f t="shared" si="2091"/>
        <v>0</v>
      </c>
      <c r="U1302" s="27"/>
      <c r="V1302" s="26"/>
      <c r="W1302" s="26"/>
      <c r="X1302" s="5">
        <f t="shared" si="2092"/>
        <v>0</v>
      </c>
      <c r="Y1302" s="25"/>
      <c r="Z1302" s="26"/>
      <c r="AA1302" s="26"/>
      <c r="AB1302" s="5">
        <f t="shared" si="2093"/>
        <v>0</v>
      </c>
      <c r="AC1302" s="86">
        <f t="shared" si="2094"/>
        <v>0</v>
      </c>
    </row>
    <row r="1303" spans="1:31" x14ac:dyDescent="0.15">
      <c r="A1303" s="102" t="s">
        <v>3</v>
      </c>
      <c r="B1303" s="27"/>
      <c r="C1303" s="26"/>
      <c r="D1303" s="26"/>
      <c r="E1303" s="5">
        <f t="shared" si="2087"/>
        <v>0</v>
      </c>
      <c r="F1303" s="25"/>
      <c r="G1303" s="26"/>
      <c r="H1303" s="26"/>
      <c r="I1303" s="5">
        <f t="shared" si="2088"/>
        <v>0</v>
      </c>
      <c r="J1303" s="25"/>
      <c r="K1303" s="26"/>
      <c r="L1303" s="26"/>
      <c r="M1303" s="38">
        <f t="shared" si="2089"/>
        <v>0</v>
      </c>
      <c r="N1303" s="138">
        <f t="shared" si="2090"/>
        <v>0</v>
      </c>
      <c r="P1303" s="6" t="s">
        <v>3</v>
      </c>
      <c r="Q1303" s="14"/>
      <c r="R1303" s="11"/>
      <c r="S1303" s="11"/>
      <c r="T1303" s="5">
        <f t="shared" si="2091"/>
        <v>0</v>
      </c>
      <c r="U1303" s="14"/>
      <c r="V1303" s="11"/>
      <c r="W1303" s="11"/>
      <c r="X1303" s="5">
        <f t="shared" si="2092"/>
        <v>0</v>
      </c>
      <c r="Y1303" s="25"/>
      <c r="Z1303" s="26"/>
      <c r="AA1303" s="26"/>
      <c r="AB1303" s="8">
        <f t="shared" si="2093"/>
        <v>0</v>
      </c>
      <c r="AC1303" s="86">
        <f t="shared" si="2094"/>
        <v>0</v>
      </c>
    </row>
    <row r="1304" spans="1:31" x14ac:dyDescent="0.15">
      <c r="A1304" s="102" t="s">
        <v>3</v>
      </c>
      <c r="B1304" s="27"/>
      <c r="C1304" s="26"/>
      <c r="D1304" s="26"/>
      <c r="E1304" s="5">
        <f t="shared" si="2087"/>
        <v>0</v>
      </c>
      <c r="F1304" s="25"/>
      <c r="G1304" s="26"/>
      <c r="H1304" s="26"/>
      <c r="I1304" s="5">
        <f t="shared" si="2088"/>
        <v>0</v>
      </c>
      <c r="J1304" s="25"/>
      <c r="K1304" s="26"/>
      <c r="L1304" s="26"/>
      <c r="M1304" s="38">
        <f t="shared" si="2089"/>
        <v>0</v>
      </c>
      <c r="N1304" s="138">
        <f t="shared" si="2090"/>
        <v>0</v>
      </c>
      <c r="P1304" s="6" t="s">
        <v>3</v>
      </c>
      <c r="Q1304" s="27"/>
      <c r="R1304" s="26"/>
      <c r="S1304" s="26"/>
      <c r="T1304" s="5">
        <f t="shared" si="2091"/>
        <v>0</v>
      </c>
      <c r="U1304" s="27"/>
      <c r="V1304" s="26"/>
      <c r="W1304" s="26"/>
      <c r="X1304" s="5">
        <f t="shared" si="2092"/>
        <v>0</v>
      </c>
      <c r="Y1304" s="25"/>
      <c r="Z1304" s="26"/>
      <c r="AA1304" s="26"/>
      <c r="AB1304" s="5">
        <f t="shared" si="2093"/>
        <v>0</v>
      </c>
      <c r="AC1304" s="86">
        <f t="shared" si="2094"/>
        <v>0</v>
      </c>
    </row>
    <row r="1305" spans="1:31" ht="14.25" thickBot="1" x14ac:dyDescent="0.2">
      <c r="A1305" s="102" t="s">
        <v>3</v>
      </c>
      <c r="B1305" s="28"/>
      <c r="C1305" s="29"/>
      <c r="D1305" s="32"/>
      <c r="E1305" s="15">
        <f t="shared" si="2087"/>
        <v>0</v>
      </c>
      <c r="F1305" s="35"/>
      <c r="G1305" s="29"/>
      <c r="H1305" s="32"/>
      <c r="I1305" s="15">
        <f t="shared" si="2088"/>
        <v>0</v>
      </c>
      <c r="J1305" s="35"/>
      <c r="K1305" s="29"/>
      <c r="L1305" s="32"/>
      <c r="M1305" s="40">
        <f t="shared" si="2089"/>
        <v>0</v>
      </c>
      <c r="N1305" s="139">
        <f t="shared" si="2090"/>
        <v>0</v>
      </c>
      <c r="P1305" s="7" t="s">
        <v>3</v>
      </c>
      <c r="Q1305" s="28"/>
      <c r="R1305" s="29"/>
      <c r="S1305" s="29"/>
      <c r="T1305" s="15">
        <f t="shared" si="2091"/>
        <v>0</v>
      </c>
      <c r="U1305" s="28"/>
      <c r="V1305" s="29"/>
      <c r="W1305" s="29"/>
      <c r="X1305" s="15">
        <f t="shared" si="2092"/>
        <v>0</v>
      </c>
      <c r="Y1305" s="35"/>
      <c r="Z1305" s="29"/>
      <c r="AA1305" s="32"/>
      <c r="AB1305" s="15">
        <f t="shared" si="2093"/>
        <v>0</v>
      </c>
      <c r="AC1305" s="87">
        <f t="shared" si="2094"/>
        <v>0</v>
      </c>
    </row>
    <row r="1306" spans="1:31" ht="14.25" thickBot="1" x14ac:dyDescent="0.2">
      <c r="A1306" s="103" t="s">
        <v>4</v>
      </c>
      <c r="B1306" s="17">
        <f>SUM(B1295:B1305)</f>
        <v>33</v>
      </c>
      <c r="C1306" s="17">
        <f>SUM(C1295:C1305)</f>
        <v>32</v>
      </c>
      <c r="D1306" s="17">
        <f>SUM(D1295:D1305)</f>
        <v>27</v>
      </c>
      <c r="E1306" s="18">
        <f t="shared" si="2087"/>
        <v>92</v>
      </c>
      <c r="F1306" s="17">
        <f>SUM(F1295:F1305)</f>
        <v>34</v>
      </c>
      <c r="G1306" s="17">
        <f>SUM(G1295:G1305)</f>
        <v>32</v>
      </c>
      <c r="H1306" s="17">
        <f>SUM(H1295:H1305)</f>
        <v>26</v>
      </c>
      <c r="I1306" s="18">
        <f t="shared" si="2088"/>
        <v>92</v>
      </c>
      <c r="J1306" s="17">
        <f>SUM(J1295:J1305)</f>
        <v>35</v>
      </c>
      <c r="K1306" s="17">
        <f>SUM(K1295:K1305)</f>
        <v>32</v>
      </c>
      <c r="L1306" s="17">
        <f>SUM(L1295:L1305)</f>
        <v>28</v>
      </c>
      <c r="M1306" s="20">
        <f t="shared" si="2089"/>
        <v>95</v>
      </c>
      <c r="N1306" s="140">
        <f t="shared" si="2090"/>
        <v>279</v>
      </c>
      <c r="P1306" s="16" t="s">
        <v>4</v>
      </c>
      <c r="Q1306" s="17">
        <f>SUM(Q1295:Q1305)</f>
        <v>487</v>
      </c>
      <c r="R1306" s="17">
        <f t="shared" ref="R1306" si="2103">SUM(R1295:R1305)</f>
        <v>581</v>
      </c>
      <c r="S1306" s="17">
        <f t="shared" ref="S1306" si="2104">SUM(S1295:S1305)</f>
        <v>581</v>
      </c>
      <c r="T1306" s="18">
        <f t="shared" ref="T1306" si="2105">SUM(T1295:T1305)</f>
        <v>1649</v>
      </c>
      <c r="U1306" s="17">
        <f t="shared" ref="U1306" si="2106">SUM(U1295:U1305)</f>
        <v>532</v>
      </c>
      <c r="V1306" s="17">
        <f t="shared" ref="V1306" si="2107">SUM(V1295:V1305)</f>
        <v>766</v>
      </c>
      <c r="W1306" s="17">
        <f t="shared" ref="W1306" si="2108">SUM(W1295:W1305)</f>
        <v>657</v>
      </c>
      <c r="X1306" s="18">
        <f t="shared" ref="X1306" si="2109">SUM(X1295:X1305)</f>
        <v>1955</v>
      </c>
      <c r="Y1306" s="17">
        <f t="shared" ref="Y1306" si="2110">SUM(Y1295:Y1305)</f>
        <v>447</v>
      </c>
      <c r="Z1306" s="17">
        <f t="shared" ref="Z1306" si="2111">SUM(Z1295:Z1305)</f>
        <v>594</v>
      </c>
      <c r="AA1306" s="17">
        <f t="shared" ref="AA1306" si="2112">SUM(AA1295:AA1305)</f>
        <v>507</v>
      </c>
      <c r="AB1306" s="18">
        <f t="shared" ref="AB1306" si="2113">SUM(AB1295:AB1305)</f>
        <v>1548</v>
      </c>
      <c r="AC1306" s="88">
        <f t="shared" ref="AC1306" si="2114">SUM(AC1295:AC1305)</f>
        <v>5152</v>
      </c>
    </row>
    <row r="1307" spans="1:31" x14ac:dyDescent="0.15">
      <c r="A1307" s="33" t="s">
        <v>1179</v>
      </c>
      <c r="B1307" s="9">
        <v>4</v>
      </c>
      <c r="C1307" s="10"/>
      <c r="D1307" s="31"/>
      <c r="E1307" s="5">
        <f t="shared" si="2087"/>
        <v>4</v>
      </c>
      <c r="F1307" s="9">
        <v>4</v>
      </c>
      <c r="G1307" s="10"/>
      <c r="H1307" s="31"/>
      <c r="I1307" s="5">
        <f t="shared" si="2088"/>
        <v>4</v>
      </c>
      <c r="J1307" s="9">
        <v>4</v>
      </c>
      <c r="K1307" s="10"/>
      <c r="L1307" s="31"/>
      <c r="M1307" s="38">
        <f t="shared" si="2089"/>
        <v>4</v>
      </c>
      <c r="N1307" s="141">
        <f t="shared" si="2090"/>
        <v>12</v>
      </c>
      <c r="O1307" s="24">
        <v>45945</v>
      </c>
      <c r="P1307" s="4" t="s">
        <v>1175</v>
      </c>
      <c r="Q1307" s="9"/>
      <c r="R1307" s="10">
        <v>10</v>
      </c>
      <c r="S1307" s="31">
        <v>10</v>
      </c>
      <c r="T1307" s="5">
        <f t="shared" si="2091"/>
        <v>20</v>
      </c>
      <c r="U1307" s="9"/>
      <c r="V1307" s="10">
        <v>10</v>
      </c>
      <c r="W1307" s="31">
        <v>10</v>
      </c>
      <c r="X1307" s="5">
        <f t="shared" si="2092"/>
        <v>20</v>
      </c>
      <c r="Y1307" s="9"/>
      <c r="Z1307" s="10">
        <v>10</v>
      </c>
      <c r="AA1307" s="31">
        <v>10</v>
      </c>
      <c r="AB1307" s="5">
        <f t="shared" si="2093"/>
        <v>20</v>
      </c>
      <c r="AC1307" s="148">
        <f t="shared" si="2094"/>
        <v>60</v>
      </c>
      <c r="AD1307" s="109">
        <v>45941</v>
      </c>
    </row>
    <row r="1308" spans="1:31" x14ac:dyDescent="0.15">
      <c r="A1308" s="33" t="s">
        <v>36</v>
      </c>
      <c r="B1308" s="9"/>
      <c r="C1308" s="10">
        <v>1</v>
      </c>
      <c r="D1308" s="10">
        <v>1</v>
      </c>
      <c r="E1308" s="5">
        <f t="shared" si="2087"/>
        <v>2</v>
      </c>
      <c r="F1308" s="9"/>
      <c r="G1308" s="10">
        <v>1</v>
      </c>
      <c r="H1308" s="10"/>
      <c r="I1308" s="5">
        <f t="shared" si="2088"/>
        <v>1</v>
      </c>
      <c r="J1308" s="9"/>
      <c r="K1308" s="10">
        <v>1</v>
      </c>
      <c r="L1308" s="10"/>
      <c r="M1308" s="38">
        <f t="shared" si="2089"/>
        <v>1</v>
      </c>
      <c r="N1308" s="138">
        <f t="shared" si="2090"/>
        <v>4</v>
      </c>
      <c r="O1308" s="24">
        <v>45944</v>
      </c>
      <c r="P1308" s="4" t="s">
        <v>1357</v>
      </c>
      <c r="Q1308" s="9">
        <v>7</v>
      </c>
      <c r="R1308" s="10">
        <v>4</v>
      </c>
      <c r="S1308" s="10">
        <v>5</v>
      </c>
      <c r="T1308" s="5">
        <f t="shared" si="2091"/>
        <v>16</v>
      </c>
      <c r="U1308" s="9">
        <v>7</v>
      </c>
      <c r="V1308" s="10">
        <v>4</v>
      </c>
      <c r="W1308" s="10">
        <v>5</v>
      </c>
      <c r="X1308" s="5">
        <f t="shared" si="2092"/>
        <v>16</v>
      </c>
      <c r="Y1308" s="9">
        <v>7</v>
      </c>
      <c r="Z1308" s="10">
        <v>4</v>
      </c>
      <c r="AA1308" s="10">
        <v>5</v>
      </c>
      <c r="AB1308" s="5">
        <f t="shared" si="2093"/>
        <v>16</v>
      </c>
      <c r="AC1308" s="93">
        <f t="shared" si="2094"/>
        <v>48</v>
      </c>
      <c r="AD1308" s="109">
        <v>45941</v>
      </c>
    </row>
    <row r="1309" spans="1:31" x14ac:dyDescent="0.15">
      <c r="A1309" s="4" t="s">
        <v>1187</v>
      </c>
      <c r="B1309" s="9">
        <v>2</v>
      </c>
      <c r="C1309" s="10">
        <v>1</v>
      </c>
      <c r="D1309" s="10"/>
      <c r="E1309" s="5">
        <f t="shared" si="2087"/>
        <v>3</v>
      </c>
      <c r="F1309" s="9">
        <v>2</v>
      </c>
      <c r="G1309" s="10">
        <v>1</v>
      </c>
      <c r="H1309" s="10"/>
      <c r="I1309" s="5">
        <f t="shared" si="2088"/>
        <v>3</v>
      </c>
      <c r="J1309" s="9">
        <v>2</v>
      </c>
      <c r="K1309" s="10">
        <v>1</v>
      </c>
      <c r="L1309" s="10"/>
      <c r="M1309" s="38">
        <f t="shared" si="2089"/>
        <v>3</v>
      </c>
      <c r="N1309" s="138">
        <f t="shared" si="2090"/>
        <v>9</v>
      </c>
      <c r="O1309" s="24">
        <v>45947</v>
      </c>
      <c r="P1309" s="4" t="s">
        <v>1154</v>
      </c>
      <c r="Q1309" s="9"/>
      <c r="R1309" s="10">
        <v>17</v>
      </c>
      <c r="S1309" s="10">
        <v>3</v>
      </c>
      <c r="T1309" s="5">
        <f t="shared" si="2091"/>
        <v>20</v>
      </c>
      <c r="U1309" s="9"/>
      <c r="V1309" s="10">
        <v>17</v>
      </c>
      <c r="W1309" s="10">
        <v>3</v>
      </c>
      <c r="X1309" s="5">
        <f t="shared" si="2092"/>
        <v>20</v>
      </c>
      <c r="Y1309" s="9"/>
      <c r="Z1309" s="10">
        <v>17</v>
      </c>
      <c r="AA1309" s="10">
        <v>3</v>
      </c>
      <c r="AB1309" s="5">
        <f t="shared" si="2093"/>
        <v>20</v>
      </c>
      <c r="AC1309" s="93">
        <f t="shared" si="2094"/>
        <v>60</v>
      </c>
      <c r="AD1309" s="109">
        <v>45945</v>
      </c>
    </row>
    <row r="1310" spans="1:31" x14ac:dyDescent="0.15">
      <c r="A1310" s="4" t="s">
        <v>1189</v>
      </c>
      <c r="B1310" s="9"/>
      <c r="C1310" s="10">
        <v>2</v>
      </c>
      <c r="D1310" s="10">
        <v>1</v>
      </c>
      <c r="E1310" s="5">
        <f t="shared" si="2087"/>
        <v>3</v>
      </c>
      <c r="F1310" s="9"/>
      <c r="G1310" s="10">
        <v>2</v>
      </c>
      <c r="H1310" s="10">
        <v>1</v>
      </c>
      <c r="I1310" s="5">
        <f t="shared" si="2088"/>
        <v>3</v>
      </c>
      <c r="J1310" s="9"/>
      <c r="K1310" s="10">
        <v>2</v>
      </c>
      <c r="L1310" s="10">
        <v>1</v>
      </c>
      <c r="M1310" s="38">
        <f t="shared" si="2089"/>
        <v>3</v>
      </c>
      <c r="N1310" s="138">
        <f t="shared" si="2090"/>
        <v>9</v>
      </c>
      <c r="O1310" s="24">
        <v>45947</v>
      </c>
      <c r="P1310" s="4" t="s">
        <v>1178</v>
      </c>
      <c r="Q1310" s="9">
        <v>1</v>
      </c>
      <c r="R1310" s="10">
        <v>10</v>
      </c>
      <c r="S1310" s="10"/>
      <c r="T1310" s="5">
        <f t="shared" ref="T1310:T1311" si="2115">SUM(Q1310:S1310)</f>
        <v>11</v>
      </c>
      <c r="U1310" s="9">
        <v>1</v>
      </c>
      <c r="V1310" s="10">
        <v>10</v>
      </c>
      <c r="W1310" s="10"/>
      <c r="X1310" s="5">
        <f t="shared" ref="X1310:X1311" si="2116">SUM(U1310:W1310)</f>
        <v>11</v>
      </c>
      <c r="Y1310" s="9">
        <v>1</v>
      </c>
      <c r="Z1310" s="10">
        <v>10</v>
      </c>
      <c r="AA1310" s="10"/>
      <c r="AB1310" s="5">
        <f t="shared" ref="AB1310:AB1311" si="2117">SUM(Y1310:AA1310)</f>
        <v>11</v>
      </c>
      <c r="AC1310" s="93">
        <f t="shared" ref="AC1310:AC1311" si="2118">T1310+X1310+AB1310</f>
        <v>33</v>
      </c>
      <c r="AD1310" s="109">
        <v>45946</v>
      </c>
    </row>
    <row r="1311" spans="1:31" x14ac:dyDescent="0.15">
      <c r="A1311" s="33" t="s">
        <v>36</v>
      </c>
      <c r="B1311" s="9">
        <v>1</v>
      </c>
      <c r="C1311" s="10"/>
      <c r="D1311" s="10"/>
      <c r="E1311" s="5">
        <f t="shared" si="2087"/>
        <v>1</v>
      </c>
      <c r="F1311" s="9">
        <v>1</v>
      </c>
      <c r="G1311" s="10"/>
      <c r="H1311" s="10"/>
      <c r="I1311" s="5">
        <f t="shared" si="2088"/>
        <v>1</v>
      </c>
      <c r="J1311" s="9">
        <v>1</v>
      </c>
      <c r="K1311" s="10"/>
      <c r="L1311" s="10"/>
      <c r="M1311" s="38">
        <f t="shared" si="2089"/>
        <v>1</v>
      </c>
      <c r="N1311" s="138">
        <f t="shared" si="2090"/>
        <v>3</v>
      </c>
      <c r="O1311" s="24">
        <v>45946</v>
      </c>
      <c r="P1311" s="4" t="s">
        <v>1190</v>
      </c>
      <c r="Q1311" s="9">
        <v>3</v>
      </c>
      <c r="R1311" s="10"/>
      <c r="S1311" s="10"/>
      <c r="T1311" s="8">
        <f t="shared" si="2115"/>
        <v>3</v>
      </c>
      <c r="U1311" s="9">
        <v>3</v>
      </c>
      <c r="V1311" s="10"/>
      <c r="W1311" s="10"/>
      <c r="X1311" s="8">
        <f t="shared" si="2116"/>
        <v>3</v>
      </c>
      <c r="Y1311" s="9">
        <v>3</v>
      </c>
      <c r="Z1311" s="10"/>
      <c r="AA1311" s="10"/>
      <c r="AB1311" s="8">
        <f t="shared" si="2117"/>
        <v>3</v>
      </c>
      <c r="AC1311" s="93">
        <f t="shared" si="2118"/>
        <v>9</v>
      </c>
      <c r="AD1311" s="109">
        <v>45950</v>
      </c>
      <c r="AE1311" s="58"/>
    </row>
    <row r="1312" spans="1:31" x14ac:dyDescent="0.15">
      <c r="A1312" s="4" t="s">
        <v>1192</v>
      </c>
      <c r="B1312" s="9"/>
      <c r="C1312" s="10">
        <v>1</v>
      </c>
      <c r="D1312" s="10">
        <v>2</v>
      </c>
      <c r="E1312" s="8">
        <f t="shared" si="2087"/>
        <v>3</v>
      </c>
      <c r="F1312" s="9"/>
      <c r="G1312" s="10">
        <v>1</v>
      </c>
      <c r="H1312" s="10">
        <v>2</v>
      </c>
      <c r="I1312" s="8">
        <f t="shared" si="2088"/>
        <v>3</v>
      </c>
      <c r="J1312" s="9"/>
      <c r="K1312" s="10">
        <v>1</v>
      </c>
      <c r="L1312" s="10">
        <v>2</v>
      </c>
      <c r="M1312" s="39">
        <f t="shared" si="2089"/>
        <v>3</v>
      </c>
      <c r="N1312" s="138">
        <f t="shared" si="2090"/>
        <v>9</v>
      </c>
      <c r="O1312" s="24">
        <v>45950</v>
      </c>
      <c r="P1312" s="4" t="s">
        <v>1188</v>
      </c>
      <c r="Q1312" s="9">
        <v>10</v>
      </c>
      <c r="R1312" s="10">
        <v>5</v>
      </c>
      <c r="S1312" s="10"/>
      <c r="T1312" s="8">
        <f t="shared" si="2091"/>
        <v>15</v>
      </c>
      <c r="U1312" s="9">
        <v>10</v>
      </c>
      <c r="V1312" s="10">
        <v>5</v>
      </c>
      <c r="W1312" s="10"/>
      <c r="X1312" s="8">
        <f t="shared" si="2092"/>
        <v>15</v>
      </c>
      <c r="Y1312" s="9">
        <v>10</v>
      </c>
      <c r="Z1312" s="10">
        <v>5</v>
      </c>
      <c r="AA1312" s="10"/>
      <c r="AB1312" s="8">
        <f t="shared" si="2093"/>
        <v>15</v>
      </c>
      <c r="AC1312" s="93">
        <f t="shared" si="2094"/>
        <v>45</v>
      </c>
      <c r="AD1312" s="109">
        <v>45946</v>
      </c>
    </row>
    <row r="1313" spans="1:31" x14ac:dyDescent="0.15">
      <c r="A1313" s="4" t="s">
        <v>1194</v>
      </c>
      <c r="B1313" s="9"/>
      <c r="C1313" s="10">
        <v>1</v>
      </c>
      <c r="D1313" s="10">
        <v>1</v>
      </c>
      <c r="E1313" s="8">
        <f t="shared" si="2087"/>
        <v>2</v>
      </c>
      <c r="F1313" s="9"/>
      <c r="G1313" s="10">
        <v>1</v>
      </c>
      <c r="H1313" s="10">
        <v>1</v>
      </c>
      <c r="I1313" s="8">
        <f t="shared" si="2088"/>
        <v>2</v>
      </c>
      <c r="J1313" s="9"/>
      <c r="K1313" s="10">
        <v>1</v>
      </c>
      <c r="L1313" s="10">
        <v>1</v>
      </c>
      <c r="M1313" s="39">
        <f t="shared" si="2089"/>
        <v>2</v>
      </c>
      <c r="N1313" s="138">
        <f t="shared" si="2090"/>
        <v>6</v>
      </c>
      <c r="O1313" s="24">
        <v>45952</v>
      </c>
      <c r="P1313" s="4" t="s">
        <v>1191</v>
      </c>
      <c r="Q1313" s="9"/>
      <c r="R1313" s="10"/>
      <c r="S1313" s="10">
        <v>10</v>
      </c>
      <c r="T1313" s="8">
        <f t="shared" si="2091"/>
        <v>10</v>
      </c>
      <c r="U1313" s="9"/>
      <c r="V1313" s="10"/>
      <c r="W1313" s="10">
        <v>10</v>
      </c>
      <c r="X1313" s="8">
        <f t="shared" si="2092"/>
        <v>10</v>
      </c>
      <c r="Y1313" s="9"/>
      <c r="Z1313" s="10"/>
      <c r="AA1313" s="10">
        <v>10</v>
      </c>
      <c r="AB1313" s="8">
        <f t="shared" si="2093"/>
        <v>10</v>
      </c>
      <c r="AC1313" s="93">
        <f t="shared" si="2094"/>
        <v>30</v>
      </c>
      <c r="AD1313" s="109">
        <v>45950</v>
      </c>
    </row>
    <row r="1314" spans="1:31" x14ac:dyDescent="0.15">
      <c r="A1314" s="4" t="s">
        <v>1197</v>
      </c>
      <c r="B1314" s="9"/>
      <c r="C1314" s="10">
        <v>5</v>
      </c>
      <c r="D1314" s="10"/>
      <c r="E1314" s="8">
        <f t="shared" si="2087"/>
        <v>5</v>
      </c>
      <c r="F1314" s="9"/>
      <c r="G1314" s="10">
        <v>5</v>
      </c>
      <c r="H1314" s="10"/>
      <c r="I1314" s="8">
        <f t="shared" si="2088"/>
        <v>5</v>
      </c>
      <c r="J1314" s="9"/>
      <c r="K1314" s="10">
        <v>5</v>
      </c>
      <c r="L1314" s="10"/>
      <c r="M1314" s="39">
        <f t="shared" si="2089"/>
        <v>5</v>
      </c>
      <c r="N1314" s="138">
        <f t="shared" si="2090"/>
        <v>15</v>
      </c>
      <c r="O1314" s="24">
        <v>45954</v>
      </c>
      <c r="P1314" s="4" t="s">
        <v>1193</v>
      </c>
      <c r="Q1314" s="9">
        <v>5</v>
      </c>
      <c r="R1314" s="10">
        <v>10</v>
      </c>
      <c r="S1314" s="10"/>
      <c r="T1314" s="8">
        <f t="shared" si="2091"/>
        <v>15</v>
      </c>
      <c r="U1314" s="9">
        <v>5</v>
      </c>
      <c r="V1314" s="10">
        <v>10</v>
      </c>
      <c r="W1314" s="10"/>
      <c r="X1314" s="8">
        <f t="shared" si="2092"/>
        <v>15</v>
      </c>
      <c r="Y1314" s="9">
        <v>5</v>
      </c>
      <c r="Z1314" s="10">
        <v>10</v>
      </c>
      <c r="AA1314" s="10"/>
      <c r="AB1314" s="8">
        <f t="shared" si="2093"/>
        <v>15</v>
      </c>
      <c r="AC1314" s="93">
        <f t="shared" si="2094"/>
        <v>45</v>
      </c>
      <c r="AD1314" s="109">
        <v>45952</v>
      </c>
    </row>
    <row r="1315" spans="1:31" x14ac:dyDescent="0.15">
      <c r="A1315" s="33" t="s">
        <v>36</v>
      </c>
      <c r="B1315" s="9"/>
      <c r="C1315" s="10"/>
      <c r="D1315" s="10">
        <v>1</v>
      </c>
      <c r="E1315" s="8">
        <f t="shared" si="2087"/>
        <v>1</v>
      </c>
      <c r="F1315" s="9"/>
      <c r="G1315" s="10"/>
      <c r="H1315" s="10">
        <v>1</v>
      </c>
      <c r="I1315" s="8">
        <f t="shared" si="2088"/>
        <v>1</v>
      </c>
      <c r="J1315" s="9"/>
      <c r="K1315" s="10"/>
      <c r="L1315" s="10">
        <v>1</v>
      </c>
      <c r="M1315" s="39">
        <f t="shared" si="2089"/>
        <v>1</v>
      </c>
      <c r="N1315" s="138">
        <f t="shared" si="2090"/>
        <v>3</v>
      </c>
      <c r="O1315" s="70">
        <v>45952</v>
      </c>
      <c r="P1315" s="4" t="s">
        <v>1196</v>
      </c>
      <c r="Q1315" s="9">
        <v>6</v>
      </c>
      <c r="R1315" s="10">
        <v>13</v>
      </c>
      <c r="S1315" s="10">
        <v>7</v>
      </c>
      <c r="T1315" s="8">
        <f t="shared" si="2091"/>
        <v>26</v>
      </c>
      <c r="U1315" s="9">
        <v>6</v>
      </c>
      <c r="V1315" s="10">
        <v>13</v>
      </c>
      <c r="W1315" s="10">
        <v>7</v>
      </c>
      <c r="X1315" s="8">
        <f t="shared" si="2092"/>
        <v>26</v>
      </c>
      <c r="Y1315" s="9">
        <v>6</v>
      </c>
      <c r="Z1315" s="10">
        <v>13</v>
      </c>
      <c r="AA1315" s="10">
        <v>7</v>
      </c>
      <c r="AB1315" s="8">
        <f t="shared" si="2093"/>
        <v>26</v>
      </c>
      <c r="AC1315" s="93">
        <f t="shared" si="2094"/>
        <v>78</v>
      </c>
      <c r="AD1315" s="109">
        <v>45953</v>
      </c>
    </row>
    <row r="1316" spans="1:31" x14ac:dyDescent="0.15">
      <c r="A1316" s="33" t="s">
        <v>36</v>
      </c>
      <c r="B1316" s="9"/>
      <c r="C1316" s="10">
        <v>1</v>
      </c>
      <c r="D1316" s="10"/>
      <c r="E1316" s="8">
        <f t="shared" si="2087"/>
        <v>1</v>
      </c>
      <c r="F1316" s="9"/>
      <c r="G1316" s="10">
        <v>1</v>
      </c>
      <c r="H1316" s="10"/>
      <c r="I1316" s="8">
        <f t="shared" si="2088"/>
        <v>1</v>
      </c>
      <c r="J1316" s="9"/>
      <c r="K1316" s="10">
        <v>1</v>
      </c>
      <c r="L1316" s="10"/>
      <c r="M1316" s="39">
        <f t="shared" si="2089"/>
        <v>1</v>
      </c>
      <c r="N1316" s="138">
        <f t="shared" si="2090"/>
        <v>3</v>
      </c>
      <c r="O1316" s="70">
        <v>45953</v>
      </c>
      <c r="P1316" s="4" t="s">
        <v>1206</v>
      </c>
      <c r="Q1316" s="9">
        <v>5</v>
      </c>
      <c r="R1316" s="10">
        <v>5</v>
      </c>
      <c r="S1316" s="10">
        <v>5</v>
      </c>
      <c r="T1316" s="8">
        <f t="shared" si="2091"/>
        <v>15</v>
      </c>
      <c r="U1316" s="9">
        <v>5</v>
      </c>
      <c r="V1316" s="10">
        <v>5</v>
      </c>
      <c r="W1316" s="10">
        <v>5</v>
      </c>
      <c r="X1316" s="8">
        <f t="shared" si="2092"/>
        <v>15</v>
      </c>
      <c r="Y1316" s="9">
        <v>5</v>
      </c>
      <c r="Z1316" s="10">
        <v>5</v>
      </c>
      <c r="AA1316" s="10">
        <v>5</v>
      </c>
      <c r="AB1316" s="8">
        <f t="shared" si="2093"/>
        <v>15</v>
      </c>
      <c r="AC1316" s="93">
        <f t="shared" si="2094"/>
        <v>45</v>
      </c>
      <c r="AD1316" s="109">
        <v>45953</v>
      </c>
    </row>
    <row r="1317" spans="1:31" x14ac:dyDescent="0.15">
      <c r="A1317" s="33" t="s">
        <v>1211</v>
      </c>
      <c r="B1317" s="9">
        <v>1</v>
      </c>
      <c r="C1317" s="10"/>
      <c r="D1317" s="10"/>
      <c r="E1317" s="8">
        <f t="shared" si="2087"/>
        <v>1</v>
      </c>
      <c r="F1317" s="9">
        <v>1</v>
      </c>
      <c r="G1317" s="10"/>
      <c r="H1317" s="10"/>
      <c r="I1317" s="8">
        <f t="shared" si="2088"/>
        <v>1</v>
      </c>
      <c r="J1317" s="9">
        <v>1</v>
      </c>
      <c r="K1317" s="10"/>
      <c r="L1317" s="10"/>
      <c r="M1317" s="39">
        <f t="shared" si="2089"/>
        <v>1</v>
      </c>
      <c r="N1317" s="138">
        <f t="shared" si="2090"/>
        <v>3</v>
      </c>
      <c r="O1317" s="24">
        <v>45955</v>
      </c>
      <c r="P1317" s="165" t="s">
        <v>1207</v>
      </c>
      <c r="Q1317" s="166">
        <v>10</v>
      </c>
      <c r="R1317" s="167">
        <v>20</v>
      </c>
      <c r="S1317" s="167">
        <v>20</v>
      </c>
      <c r="T1317" s="168">
        <f t="shared" si="2091"/>
        <v>50</v>
      </c>
      <c r="U1317" s="166">
        <v>10</v>
      </c>
      <c r="V1317" s="167">
        <v>20</v>
      </c>
      <c r="W1317" s="167">
        <v>20</v>
      </c>
      <c r="X1317" s="168">
        <f t="shared" si="2092"/>
        <v>50</v>
      </c>
      <c r="Y1317" s="166">
        <v>10</v>
      </c>
      <c r="Z1317" s="167">
        <v>20</v>
      </c>
      <c r="AA1317" s="167">
        <v>20</v>
      </c>
      <c r="AB1317" s="168">
        <f t="shared" si="2093"/>
        <v>50</v>
      </c>
      <c r="AC1317" s="169">
        <f t="shared" si="2094"/>
        <v>150</v>
      </c>
      <c r="AD1317" s="170">
        <v>45954</v>
      </c>
    </row>
    <row r="1318" spans="1:31" x14ac:dyDescent="0.15">
      <c r="A1318" s="33" t="s">
        <v>1221</v>
      </c>
      <c r="B1318" s="9"/>
      <c r="C1318" s="10">
        <v>1</v>
      </c>
      <c r="D1318" s="10"/>
      <c r="E1318" s="8">
        <f t="shared" si="2087"/>
        <v>1</v>
      </c>
      <c r="F1318" s="9"/>
      <c r="G1318" s="10">
        <v>1</v>
      </c>
      <c r="H1318" s="10"/>
      <c r="I1318" s="8">
        <f t="shared" si="2088"/>
        <v>1</v>
      </c>
      <c r="J1318" s="9"/>
      <c r="K1318" s="10">
        <v>1</v>
      </c>
      <c r="L1318" s="10"/>
      <c r="M1318" s="39">
        <f t="shared" si="2089"/>
        <v>1</v>
      </c>
      <c r="N1318" s="138">
        <f t="shared" si="2090"/>
        <v>3</v>
      </c>
      <c r="O1318" s="70">
        <v>45957</v>
      </c>
      <c r="P1318" s="4" t="s">
        <v>1208</v>
      </c>
      <c r="Q1318" s="9">
        <v>5</v>
      </c>
      <c r="R1318" s="10">
        <v>15</v>
      </c>
      <c r="S1318" s="10">
        <v>3</v>
      </c>
      <c r="T1318" s="8">
        <f t="shared" si="2091"/>
        <v>23</v>
      </c>
      <c r="U1318" s="9">
        <v>5</v>
      </c>
      <c r="V1318" s="10">
        <v>15</v>
      </c>
      <c r="W1318" s="10">
        <v>3</v>
      </c>
      <c r="X1318" s="8">
        <f t="shared" si="2092"/>
        <v>23</v>
      </c>
      <c r="Y1318" s="9">
        <v>5</v>
      </c>
      <c r="Z1318" s="10">
        <v>15</v>
      </c>
      <c r="AA1318" s="10">
        <v>3</v>
      </c>
      <c r="AB1318" s="8">
        <f t="shared" si="2093"/>
        <v>23</v>
      </c>
      <c r="AC1318" s="93">
        <f t="shared" si="2094"/>
        <v>69</v>
      </c>
      <c r="AD1318" s="109">
        <v>45957</v>
      </c>
    </row>
    <row r="1319" spans="1:31" x14ac:dyDescent="0.15">
      <c r="A1319" s="33" t="s">
        <v>1222</v>
      </c>
      <c r="B1319" s="9">
        <v>1</v>
      </c>
      <c r="C1319" s="10"/>
      <c r="D1319" s="10"/>
      <c r="E1319" s="8">
        <f t="shared" si="2087"/>
        <v>1</v>
      </c>
      <c r="F1319" s="9">
        <v>1</v>
      </c>
      <c r="G1319" s="10"/>
      <c r="H1319" s="10"/>
      <c r="I1319" s="8">
        <f t="shared" si="2088"/>
        <v>1</v>
      </c>
      <c r="J1319" s="9">
        <v>1</v>
      </c>
      <c r="K1319" s="10"/>
      <c r="L1319" s="10"/>
      <c r="M1319" s="39">
        <f t="shared" si="2089"/>
        <v>1</v>
      </c>
      <c r="N1319" s="138">
        <f t="shared" si="2090"/>
        <v>3</v>
      </c>
      <c r="O1319" s="24">
        <v>45959</v>
      </c>
      <c r="P1319" s="4" t="s">
        <v>1209</v>
      </c>
      <c r="Q1319" s="9">
        <v>20</v>
      </c>
      <c r="R1319" s="10">
        <v>25</v>
      </c>
      <c r="S1319" s="10">
        <v>15</v>
      </c>
      <c r="T1319" s="8">
        <f t="shared" si="2091"/>
        <v>60</v>
      </c>
      <c r="U1319" s="9">
        <v>20</v>
      </c>
      <c r="V1319" s="10">
        <v>25</v>
      </c>
      <c r="W1319" s="10">
        <v>15</v>
      </c>
      <c r="X1319" s="8">
        <f t="shared" si="2092"/>
        <v>60</v>
      </c>
      <c r="Y1319" s="9">
        <v>20</v>
      </c>
      <c r="Z1319" s="10">
        <v>25</v>
      </c>
      <c r="AA1319" s="10">
        <v>15</v>
      </c>
      <c r="AB1319" s="8">
        <f t="shared" si="2093"/>
        <v>60</v>
      </c>
      <c r="AC1319" s="93">
        <f t="shared" si="2094"/>
        <v>180</v>
      </c>
      <c r="AD1319" s="109">
        <v>45957</v>
      </c>
    </row>
    <row r="1320" spans="1:31" x14ac:dyDescent="0.15">
      <c r="A1320" s="4" t="s">
        <v>1223</v>
      </c>
      <c r="B1320" s="9"/>
      <c r="C1320" s="10"/>
      <c r="D1320" s="10">
        <v>4</v>
      </c>
      <c r="E1320" s="8">
        <f t="shared" si="2087"/>
        <v>4</v>
      </c>
      <c r="F1320" s="9"/>
      <c r="G1320" s="10"/>
      <c r="H1320" s="10">
        <v>4</v>
      </c>
      <c r="I1320" s="8">
        <f t="shared" si="2088"/>
        <v>4</v>
      </c>
      <c r="J1320" s="9"/>
      <c r="K1320" s="10"/>
      <c r="L1320" s="10">
        <v>4</v>
      </c>
      <c r="M1320" s="39">
        <f t="shared" si="2089"/>
        <v>4</v>
      </c>
      <c r="N1320" s="138">
        <f t="shared" si="2090"/>
        <v>12</v>
      </c>
      <c r="O1320" s="24">
        <v>45960</v>
      </c>
      <c r="P1320" s="11" t="s">
        <v>1210</v>
      </c>
      <c r="Q1320" s="9">
        <v>10</v>
      </c>
      <c r="R1320" s="10">
        <v>10</v>
      </c>
      <c r="S1320" s="10">
        <v>10</v>
      </c>
      <c r="T1320" s="8">
        <f t="shared" si="2091"/>
        <v>30</v>
      </c>
      <c r="U1320" s="9">
        <v>10</v>
      </c>
      <c r="V1320" s="10">
        <v>10</v>
      </c>
      <c r="W1320" s="10">
        <v>10</v>
      </c>
      <c r="X1320" s="8">
        <f t="shared" si="2092"/>
        <v>30</v>
      </c>
      <c r="Y1320" s="9">
        <v>10</v>
      </c>
      <c r="Z1320" s="10">
        <v>10</v>
      </c>
      <c r="AA1320" s="10">
        <v>10</v>
      </c>
      <c r="AB1320" s="8">
        <f t="shared" si="2093"/>
        <v>30</v>
      </c>
      <c r="AC1320" s="93">
        <f t="shared" si="2094"/>
        <v>90</v>
      </c>
      <c r="AD1320" s="109">
        <v>45957</v>
      </c>
    </row>
    <row r="1321" spans="1:31" x14ac:dyDescent="0.15">
      <c r="A1321" s="4" t="s">
        <v>1227</v>
      </c>
      <c r="B1321" s="9"/>
      <c r="C1321" s="10"/>
      <c r="D1321" s="10">
        <v>4</v>
      </c>
      <c r="E1321" s="8">
        <f t="shared" si="2087"/>
        <v>4</v>
      </c>
      <c r="F1321" s="9"/>
      <c r="G1321" s="10"/>
      <c r="H1321" s="10">
        <v>4</v>
      </c>
      <c r="I1321" s="8">
        <f t="shared" si="2088"/>
        <v>4</v>
      </c>
      <c r="J1321" s="9"/>
      <c r="K1321" s="10"/>
      <c r="L1321" s="10">
        <v>4</v>
      </c>
      <c r="M1321" s="39">
        <f t="shared" si="2089"/>
        <v>4</v>
      </c>
      <c r="N1321" s="138">
        <f t="shared" si="2090"/>
        <v>12</v>
      </c>
      <c r="O1321" s="24">
        <v>45961</v>
      </c>
      <c r="P1321" s="11"/>
      <c r="Q1321" s="9"/>
      <c r="R1321" s="10"/>
      <c r="S1321" s="10"/>
      <c r="T1321" s="8">
        <f t="shared" ref="T1321:T1323" si="2119">SUM(Q1321:S1321)</f>
        <v>0</v>
      </c>
      <c r="U1321" s="9"/>
      <c r="V1321" s="10"/>
      <c r="W1321" s="10"/>
      <c r="X1321" s="8">
        <f t="shared" ref="X1321:X1323" si="2120">SUM(U1321:W1321)</f>
        <v>0</v>
      </c>
      <c r="Y1321" s="9"/>
      <c r="Z1321" s="10"/>
      <c r="AA1321" s="10"/>
      <c r="AB1321" s="8">
        <f t="shared" ref="AB1321:AB1323" si="2121">SUM(Y1321:AA1321)</f>
        <v>0</v>
      </c>
      <c r="AC1321" s="93">
        <f t="shared" ref="AC1321:AC1323" si="2122">T1321+X1321+AB1321</f>
        <v>0</v>
      </c>
    </row>
    <row r="1322" spans="1:31" x14ac:dyDescent="0.15">
      <c r="A1322" s="4" t="s">
        <v>1233</v>
      </c>
      <c r="B1322" s="9"/>
      <c r="C1322" s="10"/>
      <c r="D1322" s="10">
        <v>1</v>
      </c>
      <c r="E1322" s="8">
        <f t="shared" si="2087"/>
        <v>1</v>
      </c>
      <c r="F1322" s="9"/>
      <c r="G1322" s="10"/>
      <c r="H1322" s="10">
        <v>1</v>
      </c>
      <c r="I1322" s="8">
        <f t="shared" si="2088"/>
        <v>1</v>
      </c>
      <c r="J1322" s="9"/>
      <c r="K1322" s="10"/>
      <c r="L1322" s="10">
        <v>1</v>
      </c>
      <c r="M1322" s="39">
        <f t="shared" si="2089"/>
        <v>1</v>
      </c>
      <c r="N1322" s="138">
        <f t="shared" si="2090"/>
        <v>3</v>
      </c>
      <c r="O1322" s="24">
        <v>45961</v>
      </c>
      <c r="P1322" s="11" t="s">
        <v>1110</v>
      </c>
      <c r="Q1322" s="9"/>
      <c r="R1322" s="10"/>
      <c r="S1322" s="10"/>
      <c r="T1322" s="8">
        <f t="shared" si="2119"/>
        <v>0</v>
      </c>
      <c r="U1322" s="9"/>
      <c r="V1322" s="10"/>
      <c r="W1322" s="10"/>
      <c r="X1322" s="8">
        <f t="shared" si="2120"/>
        <v>0</v>
      </c>
      <c r="Y1322" s="9"/>
      <c r="Z1322" s="10"/>
      <c r="AA1322" s="10"/>
      <c r="AB1322" s="8">
        <f t="shared" si="2121"/>
        <v>0</v>
      </c>
      <c r="AC1322" s="93">
        <f t="shared" si="2122"/>
        <v>0</v>
      </c>
      <c r="AD1322" s="116" t="s">
        <v>1111</v>
      </c>
    </row>
    <row r="1323" spans="1:31" x14ac:dyDescent="0.15">
      <c r="A1323" s="33"/>
      <c r="B1323" s="9"/>
      <c r="C1323" s="10"/>
      <c r="D1323" s="10"/>
      <c r="E1323" s="8">
        <f t="shared" si="2087"/>
        <v>0</v>
      </c>
      <c r="F1323" s="9"/>
      <c r="G1323" s="10"/>
      <c r="H1323" s="10"/>
      <c r="I1323" s="8">
        <f t="shared" si="2088"/>
        <v>0</v>
      </c>
      <c r="J1323" s="9"/>
      <c r="K1323" s="10"/>
      <c r="L1323" s="10"/>
      <c r="M1323" s="39">
        <f t="shared" si="2089"/>
        <v>0</v>
      </c>
      <c r="N1323" s="138">
        <f t="shared" si="2090"/>
        <v>0</v>
      </c>
      <c r="P1323" s="6" t="s">
        <v>1072</v>
      </c>
      <c r="Q1323" s="71"/>
      <c r="R1323" s="72"/>
      <c r="S1323" s="72"/>
      <c r="T1323" s="73">
        <f t="shared" si="2119"/>
        <v>0</v>
      </c>
      <c r="U1323" s="71"/>
      <c r="V1323" s="72"/>
      <c r="W1323" s="72"/>
      <c r="X1323" s="73">
        <f t="shared" si="2120"/>
        <v>0</v>
      </c>
      <c r="Y1323" s="71"/>
      <c r="Z1323" s="72"/>
      <c r="AA1323" s="72"/>
      <c r="AB1323" s="73">
        <f t="shared" si="2121"/>
        <v>0</v>
      </c>
      <c r="AC1323" s="92">
        <f t="shared" si="2122"/>
        <v>0</v>
      </c>
      <c r="AD1323" s="117"/>
      <c r="AE1323" s="58"/>
    </row>
    <row r="1324" spans="1:31" x14ac:dyDescent="0.15">
      <c r="A1324" s="33"/>
      <c r="B1324" s="9"/>
      <c r="C1324" s="10"/>
      <c r="D1324" s="10"/>
      <c r="E1324" s="8">
        <f t="shared" si="2087"/>
        <v>0</v>
      </c>
      <c r="F1324" s="9"/>
      <c r="G1324" s="10"/>
      <c r="H1324" s="10"/>
      <c r="I1324" s="8">
        <f t="shared" si="2088"/>
        <v>0</v>
      </c>
      <c r="J1324" s="9"/>
      <c r="K1324" s="10"/>
      <c r="L1324" s="10"/>
      <c r="M1324" s="39">
        <f t="shared" si="2089"/>
        <v>0</v>
      </c>
      <c r="N1324" s="138">
        <f t="shared" si="2090"/>
        <v>0</v>
      </c>
      <c r="P1324" s="11" t="s">
        <v>1071</v>
      </c>
      <c r="Q1324" s="9"/>
      <c r="R1324" s="10"/>
      <c r="S1324" s="10"/>
      <c r="T1324" s="8">
        <f t="shared" ref="T1324" si="2123">SUM(Q1324:S1324)</f>
        <v>0</v>
      </c>
      <c r="U1324" s="9"/>
      <c r="V1324" s="10"/>
      <c r="W1324" s="10"/>
      <c r="X1324" s="8">
        <f t="shared" ref="X1324" si="2124">SUM(U1324:W1324)</f>
        <v>0</v>
      </c>
      <c r="Y1324" s="9"/>
      <c r="Z1324" s="10"/>
      <c r="AA1324" s="10"/>
      <c r="AB1324" s="8">
        <f t="shared" ref="AB1324" si="2125">SUM(Y1324:AA1324)</f>
        <v>0</v>
      </c>
      <c r="AC1324" s="93">
        <f t="shared" ref="AC1324" si="2126">T1324+X1324+AB1324</f>
        <v>0</v>
      </c>
      <c r="AD1324" s="116" t="s">
        <v>1069</v>
      </c>
      <c r="AE1324" s="58"/>
    </row>
    <row r="1325" spans="1:31" x14ac:dyDescent="0.15">
      <c r="A1325" s="33"/>
      <c r="B1325" s="9"/>
      <c r="C1325" s="10"/>
      <c r="D1325" s="10"/>
      <c r="E1325" s="8">
        <f t="shared" si="2087"/>
        <v>0</v>
      </c>
      <c r="F1325" s="9"/>
      <c r="G1325" s="10"/>
      <c r="H1325" s="10"/>
      <c r="I1325" s="8">
        <f t="shared" si="2088"/>
        <v>0</v>
      </c>
      <c r="J1325" s="9"/>
      <c r="K1325" s="10"/>
      <c r="L1325" s="10"/>
      <c r="M1325" s="39">
        <f t="shared" si="2089"/>
        <v>0</v>
      </c>
      <c r="N1325" s="138">
        <f t="shared" si="2090"/>
        <v>0</v>
      </c>
      <c r="P1325" s="4" t="s">
        <v>1051</v>
      </c>
      <c r="Q1325" s="9"/>
      <c r="R1325" s="9"/>
      <c r="S1325" s="9"/>
      <c r="T1325" s="8">
        <f t="shared" ref="T1325:T1326" si="2127">SUM(Q1325:S1325)</f>
        <v>0</v>
      </c>
      <c r="U1325" s="9"/>
      <c r="V1325" s="9"/>
      <c r="W1325" s="9"/>
      <c r="X1325" s="8">
        <f t="shared" ref="X1325:X1326" si="2128">SUM(U1325:W1325)</f>
        <v>0</v>
      </c>
      <c r="Y1325" s="9"/>
      <c r="Z1325" s="9"/>
      <c r="AA1325" s="9"/>
      <c r="AB1325" s="8">
        <f t="shared" ref="AB1325:AB1326" si="2129">SUM(Y1325:AA1325)</f>
        <v>0</v>
      </c>
      <c r="AC1325" s="93">
        <f t="shared" ref="AC1325:AC1328" si="2130">T1325+X1325+AB1325</f>
        <v>0</v>
      </c>
      <c r="AD1325" s="116" t="s">
        <v>1052</v>
      </c>
      <c r="AE1325" s="58"/>
    </row>
    <row r="1326" spans="1:31" x14ac:dyDescent="0.15">
      <c r="A1326" s="33"/>
      <c r="B1326" s="9"/>
      <c r="C1326" s="10"/>
      <c r="D1326" s="10"/>
      <c r="E1326" s="8">
        <f t="shared" si="2087"/>
        <v>0</v>
      </c>
      <c r="F1326" s="9"/>
      <c r="G1326" s="10"/>
      <c r="H1326" s="10"/>
      <c r="I1326" s="8">
        <f t="shared" si="2088"/>
        <v>0</v>
      </c>
      <c r="J1326" s="9"/>
      <c r="K1326" s="10"/>
      <c r="L1326" s="10"/>
      <c r="M1326" s="39">
        <f t="shared" si="2089"/>
        <v>0</v>
      </c>
      <c r="N1326" s="138">
        <f t="shared" si="2090"/>
        <v>0</v>
      </c>
      <c r="P1326" s="4" t="s">
        <v>1040</v>
      </c>
      <c r="Q1326" s="9"/>
      <c r="R1326" s="10"/>
      <c r="S1326" s="10"/>
      <c r="T1326" s="8">
        <f t="shared" si="2127"/>
        <v>0</v>
      </c>
      <c r="U1326" s="9"/>
      <c r="V1326" s="10"/>
      <c r="W1326" s="10"/>
      <c r="X1326" s="8">
        <f t="shared" si="2128"/>
        <v>0</v>
      </c>
      <c r="Y1326" s="9"/>
      <c r="Z1326" s="10"/>
      <c r="AA1326" s="10"/>
      <c r="AB1326" s="8">
        <f t="shared" si="2129"/>
        <v>0</v>
      </c>
      <c r="AC1326" s="86">
        <f t="shared" si="2130"/>
        <v>0</v>
      </c>
      <c r="AD1326" s="116" t="s">
        <v>1041</v>
      </c>
    </row>
    <row r="1327" spans="1:31" x14ac:dyDescent="0.15">
      <c r="A1327" s="33"/>
      <c r="B1327" s="9"/>
      <c r="C1327" s="10"/>
      <c r="D1327" s="10"/>
      <c r="E1327" s="8">
        <f t="shared" si="2087"/>
        <v>0</v>
      </c>
      <c r="F1327" s="9"/>
      <c r="G1327" s="10"/>
      <c r="H1327" s="10"/>
      <c r="I1327" s="8">
        <f t="shared" si="2088"/>
        <v>0</v>
      </c>
      <c r="J1327" s="9"/>
      <c r="K1327" s="10"/>
      <c r="L1327" s="10"/>
      <c r="M1327" s="39">
        <f t="shared" si="2089"/>
        <v>0</v>
      </c>
      <c r="N1327" s="138">
        <f t="shared" si="2090"/>
        <v>0</v>
      </c>
      <c r="P1327" s="81" t="s">
        <v>1025</v>
      </c>
      <c r="Q1327" s="71"/>
      <c r="R1327" s="72"/>
      <c r="S1327" s="72"/>
      <c r="T1327" s="73">
        <f t="shared" si="2091"/>
        <v>0</v>
      </c>
      <c r="U1327" s="71"/>
      <c r="V1327" s="72"/>
      <c r="W1327" s="72"/>
      <c r="X1327" s="73">
        <f t="shared" si="2092"/>
        <v>0</v>
      </c>
      <c r="Y1327" s="71"/>
      <c r="Z1327" s="72"/>
      <c r="AA1327" s="72"/>
      <c r="AB1327" s="73">
        <f t="shared" si="2093"/>
        <v>0</v>
      </c>
      <c r="AC1327" s="92">
        <f t="shared" si="2130"/>
        <v>0</v>
      </c>
      <c r="AD1327" s="117"/>
    </row>
    <row r="1328" spans="1:31" x14ac:dyDescent="0.15">
      <c r="A1328" s="33"/>
      <c r="B1328" s="9"/>
      <c r="C1328" s="10"/>
      <c r="D1328" s="10"/>
      <c r="E1328" s="8">
        <f t="shared" si="2087"/>
        <v>0</v>
      </c>
      <c r="F1328" s="9"/>
      <c r="G1328" s="10"/>
      <c r="H1328" s="10"/>
      <c r="I1328" s="8">
        <f t="shared" si="2088"/>
        <v>0</v>
      </c>
      <c r="J1328" s="9"/>
      <c r="K1328" s="10"/>
      <c r="L1328" s="10"/>
      <c r="M1328" s="39">
        <f t="shared" si="2089"/>
        <v>0</v>
      </c>
      <c r="N1328" s="138">
        <f t="shared" si="2090"/>
        <v>0</v>
      </c>
      <c r="P1328" s="4" t="s">
        <v>1024</v>
      </c>
      <c r="Q1328" s="9"/>
      <c r="R1328" s="10"/>
      <c r="S1328" s="10"/>
      <c r="T1328" s="8">
        <f t="shared" si="2091"/>
        <v>0</v>
      </c>
      <c r="U1328" s="9"/>
      <c r="V1328" s="10"/>
      <c r="W1328" s="10"/>
      <c r="X1328" s="8">
        <f t="shared" si="2092"/>
        <v>0</v>
      </c>
      <c r="Y1328" s="9"/>
      <c r="Z1328" s="10"/>
      <c r="AA1328" s="10"/>
      <c r="AB1328" s="8">
        <f t="shared" si="2093"/>
        <v>0</v>
      </c>
      <c r="AC1328" s="93">
        <f t="shared" si="2130"/>
        <v>0</v>
      </c>
      <c r="AD1328" s="116" t="s">
        <v>1023</v>
      </c>
    </row>
    <row r="1329" spans="1:30" x14ac:dyDescent="0.15">
      <c r="A1329" s="33"/>
      <c r="B1329" s="9"/>
      <c r="C1329" s="10"/>
      <c r="D1329" s="10"/>
      <c r="E1329" s="8">
        <f t="shared" si="2087"/>
        <v>0</v>
      </c>
      <c r="F1329" s="9"/>
      <c r="G1329" s="10"/>
      <c r="H1329" s="10"/>
      <c r="I1329" s="8">
        <f t="shared" si="2088"/>
        <v>0</v>
      </c>
      <c r="J1329" s="9"/>
      <c r="K1329" s="10"/>
      <c r="L1329" s="10"/>
      <c r="M1329" s="39">
        <f t="shared" si="2089"/>
        <v>0</v>
      </c>
      <c r="N1329" s="138">
        <f t="shared" si="2090"/>
        <v>0</v>
      </c>
      <c r="P1329" s="81" t="s">
        <v>1014</v>
      </c>
      <c r="Q1329" s="71"/>
      <c r="R1329" s="72"/>
      <c r="S1329" s="72"/>
      <c r="T1329" s="73">
        <f t="shared" si="2091"/>
        <v>0</v>
      </c>
      <c r="U1329" s="71"/>
      <c r="V1329" s="72"/>
      <c r="W1329" s="72"/>
      <c r="X1329" s="73">
        <f t="shared" si="2092"/>
        <v>0</v>
      </c>
      <c r="Y1329" s="71"/>
      <c r="Z1329" s="72"/>
      <c r="AA1329" s="72"/>
      <c r="AB1329" s="73">
        <f t="shared" si="2093"/>
        <v>0</v>
      </c>
      <c r="AC1329" s="92">
        <f>T1329+X1329+AB1329</f>
        <v>0</v>
      </c>
      <c r="AD1329" s="117"/>
    </row>
    <row r="1330" spans="1:30" ht="14.25" thickBot="1" x14ac:dyDescent="0.2">
      <c r="A1330" s="63"/>
      <c r="B1330" s="9"/>
      <c r="C1330" s="10"/>
      <c r="D1330" s="22"/>
      <c r="E1330" s="8">
        <f t="shared" si="2087"/>
        <v>0</v>
      </c>
      <c r="F1330" s="9"/>
      <c r="G1330" s="10"/>
      <c r="H1330" s="22"/>
      <c r="I1330" s="8">
        <f t="shared" si="2088"/>
        <v>0</v>
      </c>
      <c r="J1330" s="9"/>
      <c r="K1330" s="10"/>
      <c r="L1330" s="22"/>
      <c r="M1330" s="39">
        <f t="shared" si="2089"/>
        <v>0</v>
      </c>
      <c r="N1330" s="139">
        <f t="shared" si="2090"/>
        <v>0</v>
      </c>
      <c r="P1330" s="4" t="s">
        <v>1011</v>
      </c>
      <c r="Q1330" s="9"/>
      <c r="R1330" s="10"/>
      <c r="S1330" s="10"/>
      <c r="T1330" s="8">
        <f t="shared" si="2091"/>
        <v>0</v>
      </c>
      <c r="U1330" s="9"/>
      <c r="V1330" s="10"/>
      <c r="W1330" s="10"/>
      <c r="X1330" s="8">
        <f t="shared" si="2092"/>
        <v>0</v>
      </c>
      <c r="Y1330" s="9"/>
      <c r="Z1330" s="10"/>
      <c r="AA1330" s="10"/>
      <c r="AB1330" s="8">
        <f t="shared" si="2093"/>
        <v>0</v>
      </c>
      <c r="AC1330" s="93">
        <f t="shared" ref="AC1330" si="2131">T1330+X1330+AB1330</f>
        <v>0</v>
      </c>
      <c r="AD1330" s="116" t="s">
        <v>1012</v>
      </c>
    </row>
    <row r="1331" spans="1:30" ht="14.25" thickBot="1" x14ac:dyDescent="0.2">
      <c r="A1331" s="104" t="s">
        <v>5</v>
      </c>
      <c r="B1331" s="12">
        <f>SUM(B1307:B1330)</f>
        <v>9</v>
      </c>
      <c r="C1331" s="12">
        <f>SUM(C1307:C1330)</f>
        <v>13</v>
      </c>
      <c r="D1331" s="12">
        <f>SUM(D1307:D1330)</f>
        <v>15</v>
      </c>
      <c r="E1331" s="13">
        <f t="shared" si="2087"/>
        <v>37</v>
      </c>
      <c r="F1331" s="12">
        <f>SUM(F1307:F1330)</f>
        <v>9</v>
      </c>
      <c r="G1331" s="12">
        <f>SUM(G1307:G1330)</f>
        <v>13</v>
      </c>
      <c r="H1331" s="12">
        <f>SUM(H1307:H1330)</f>
        <v>14</v>
      </c>
      <c r="I1331" s="13">
        <f t="shared" si="2088"/>
        <v>36</v>
      </c>
      <c r="J1331" s="12">
        <f>SUM(J1307:J1330)</f>
        <v>9</v>
      </c>
      <c r="K1331" s="12">
        <f>SUM(K1307:K1330)</f>
        <v>13</v>
      </c>
      <c r="L1331" s="12">
        <f>SUM(L1307:L1330)</f>
        <v>14</v>
      </c>
      <c r="M1331" s="12">
        <f t="shared" si="2089"/>
        <v>36</v>
      </c>
      <c r="N1331" s="142">
        <f t="shared" si="2090"/>
        <v>109</v>
      </c>
      <c r="P1331" s="3" t="s">
        <v>5</v>
      </c>
      <c r="Q1331" s="12">
        <f>SUM(Q1307:Q1330)</f>
        <v>82</v>
      </c>
      <c r="R1331" s="12">
        <f t="shared" ref="R1331" si="2132">SUM(R1307:R1330)</f>
        <v>144</v>
      </c>
      <c r="S1331" s="12">
        <f t="shared" ref="S1331" si="2133">SUM(S1307:S1330)</f>
        <v>88</v>
      </c>
      <c r="T1331" s="13">
        <f t="shared" ref="T1331" si="2134">SUM(T1307:T1330)</f>
        <v>314</v>
      </c>
      <c r="U1331" s="12">
        <f t="shared" ref="U1331" si="2135">SUM(U1307:U1330)</f>
        <v>82</v>
      </c>
      <c r="V1331" s="12">
        <f t="shared" ref="V1331" si="2136">SUM(V1307:V1330)</f>
        <v>144</v>
      </c>
      <c r="W1331" s="12">
        <f t="shared" ref="W1331" si="2137">SUM(W1307:W1330)</f>
        <v>88</v>
      </c>
      <c r="X1331" s="13">
        <f t="shared" ref="X1331" si="2138">SUM(X1307:X1330)</f>
        <v>314</v>
      </c>
      <c r="Y1331" s="12">
        <f t="shared" ref="Y1331" si="2139">SUM(Y1307:Y1330)</f>
        <v>82</v>
      </c>
      <c r="Z1331" s="12">
        <f t="shared" ref="Z1331" si="2140">SUM(Z1307:Z1330)</f>
        <v>144</v>
      </c>
      <c r="AA1331" s="12">
        <f t="shared" ref="AA1331" si="2141">SUM(AA1307:AA1330)</f>
        <v>88</v>
      </c>
      <c r="AB1331" s="13">
        <f t="shared" ref="AB1331" si="2142">SUM(AB1307:AB1330)</f>
        <v>314</v>
      </c>
      <c r="AC1331" s="155">
        <f t="shared" ref="AC1331" si="2143">SUM(AC1307:AC1330)</f>
        <v>942</v>
      </c>
    </row>
    <row r="1332" spans="1:30" ht="14.25" thickBot="1" x14ac:dyDescent="0.2">
      <c r="A1332" s="105" t="s">
        <v>6</v>
      </c>
      <c r="B1332" s="20">
        <f>B1306-B1331</f>
        <v>24</v>
      </c>
      <c r="C1332" s="20">
        <f t="shared" ref="C1332:E1332" si="2144">C1306-C1331</f>
        <v>19</v>
      </c>
      <c r="D1332" s="20">
        <f t="shared" si="2144"/>
        <v>12</v>
      </c>
      <c r="E1332" s="18">
        <f t="shared" si="2144"/>
        <v>55</v>
      </c>
      <c r="F1332" s="20">
        <f>F1306-F1331</f>
        <v>25</v>
      </c>
      <c r="G1332" s="20">
        <f t="shared" ref="G1332:I1332" si="2145">G1306-G1331</f>
        <v>19</v>
      </c>
      <c r="H1332" s="20">
        <f t="shared" si="2145"/>
        <v>12</v>
      </c>
      <c r="I1332" s="18">
        <f t="shared" si="2145"/>
        <v>56</v>
      </c>
      <c r="J1332" s="20">
        <f>J1306-J1331</f>
        <v>26</v>
      </c>
      <c r="K1332" s="20">
        <f t="shared" ref="K1332:M1332" si="2146">K1306-K1331</f>
        <v>19</v>
      </c>
      <c r="L1332" s="20">
        <f t="shared" si="2146"/>
        <v>14</v>
      </c>
      <c r="M1332" s="20">
        <f t="shared" si="2146"/>
        <v>59</v>
      </c>
      <c r="N1332" s="140">
        <f t="shared" si="2090"/>
        <v>170</v>
      </c>
      <c r="P1332" s="19" t="s">
        <v>6</v>
      </c>
      <c r="Q1332" s="20">
        <f>Q1306-Q1331</f>
        <v>405</v>
      </c>
      <c r="R1332" s="20">
        <f t="shared" ref="R1332" si="2147">R1306-R1331</f>
        <v>437</v>
      </c>
      <c r="S1332" s="20">
        <f t="shared" ref="S1332" si="2148">S1306-S1331</f>
        <v>493</v>
      </c>
      <c r="T1332" s="18">
        <f t="shared" ref="T1332" si="2149">T1306-T1331</f>
        <v>1335</v>
      </c>
      <c r="U1332" s="20">
        <f t="shared" ref="U1332" si="2150">U1306-U1331</f>
        <v>450</v>
      </c>
      <c r="V1332" s="20">
        <f t="shared" ref="V1332" si="2151">V1306-V1331</f>
        <v>622</v>
      </c>
      <c r="W1332" s="20">
        <f t="shared" ref="W1332" si="2152">W1306-W1331</f>
        <v>569</v>
      </c>
      <c r="X1332" s="18">
        <f t="shared" ref="X1332" si="2153">X1306-X1331</f>
        <v>1641</v>
      </c>
      <c r="Y1332" s="20">
        <f t="shared" ref="Y1332" si="2154">Y1306-Y1331</f>
        <v>365</v>
      </c>
      <c r="Z1332" s="20">
        <f t="shared" ref="Z1332" si="2155">Z1306-Z1331</f>
        <v>450</v>
      </c>
      <c r="AA1332" s="20">
        <f t="shared" ref="AA1332" si="2156">AA1306-AA1331</f>
        <v>419</v>
      </c>
      <c r="AB1332" s="18">
        <f t="shared" ref="AB1332" si="2157">AB1306-AB1331</f>
        <v>1234</v>
      </c>
      <c r="AC1332" s="88">
        <f t="shared" ref="AC1332" si="2158">AC1306-AC1331</f>
        <v>4210</v>
      </c>
    </row>
    <row r="1335" spans="1:30" ht="19.5" thickBot="1" x14ac:dyDescent="0.25">
      <c r="A1335" s="108" t="s">
        <v>264</v>
      </c>
      <c r="B1335" s="47"/>
      <c r="C1335" s="47"/>
      <c r="D1335" s="47"/>
      <c r="E1335" s="47"/>
      <c r="F1335" s="48"/>
      <c r="G1335" s="48"/>
      <c r="H1335" s="48"/>
      <c r="I1335" s="48"/>
      <c r="J1335" s="48"/>
      <c r="K1335" s="48"/>
      <c r="L1335" s="1"/>
      <c r="M1335" s="1"/>
      <c r="N1335" s="137"/>
      <c r="P1335" s="43" t="s">
        <v>263</v>
      </c>
      <c r="Q1335" s="44"/>
      <c r="R1335" s="44"/>
      <c r="S1335" s="44"/>
      <c r="T1335" s="44"/>
      <c r="U1335" s="45"/>
      <c r="V1335" s="45"/>
      <c r="W1335" s="45"/>
      <c r="X1335" s="45"/>
      <c r="Y1335" s="46"/>
      <c r="Z1335" s="53"/>
      <c r="AA1335" s="1"/>
      <c r="AB1335" s="1"/>
    </row>
    <row r="1336" spans="1:30" ht="14.25" thickBot="1" x14ac:dyDescent="0.2">
      <c r="A1336" s="100" t="s">
        <v>0</v>
      </c>
      <c r="B1336" s="337" t="s">
        <v>11</v>
      </c>
      <c r="C1336" s="337"/>
      <c r="D1336" s="337"/>
      <c r="E1336" s="338"/>
      <c r="F1336" s="339" t="s">
        <v>9</v>
      </c>
      <c r="G1336" s="340"/>
      <c r="H1336" s="340"/>
      <c r="I1336" s="341"/>
      <c r="J1336" s="342" t="s">
        <v>12</v>
      </c>
      <c r="K1336" s="343"/>
      <c r="L1336" s="343"/>
      <c r="M1336" s="343"/>
      <c r="N1336" s="347" t="s">
        <v>13</v>
      </c>
      <c r="P1336" s="2" t="s">
        <v>0</v>
      </c>
      <c r="Q1336" s="336" t="s">
        <v>11</v>
      </c>
      <c r="R1336" s="337"/>
      <c r="S1336" s="337"/>
      <c r="T1336" s="338"/>
      <c r="U1336" s="339" t="s">
        <v>9</v>
      </c>
      <c r="V1336" s="340"/>
      <c r="W1336" s="340"/>
      <c r="X1336" s="341"/>
      <c r="Y1336" s="342" t="s">
        <v>12</v>
      </c>
      <c r="Z1336" s="343"/>
      <c r="AA1336" s="343"/>
      <c r="AB1336" s="344"/>
      <c r="AC1336" s="133" t="s">
        <v>13</v>
      </c>
    </row>
    <row r="1337" spans="1:30" ht="14.25" thickBot="1" x14ac:dyDescent="0.2">
      <c r="A1337" s="100" t="s">
        <v>1</v>
      </c>
      <c r="B1337" s="3" t="s">
        <v>7</v>
      </c>
      <c r="C1337" s="2" t="s">
        <v>10</v>
      </c>
      <c r="D1337" s="2" t="s">
        <v>8</v>
      </c>
      <c r="E1337" s="2" t="s">
        <v>2</v>
      </c>
      <c r="F1337" s="3" t="s">
        <v>7</v>
      </c>
      <c r="G1337" s="2" t="s">
        <v>10</v>
      </c>
      <c r="H1337" s="2" t="s">
        <v>8</v>
      </c>
      <c r="I1337" s="2" t="s">
        <v>2</v>
      </c>
      <c r="J1337" s="3" t="s">
        <v>7</v>
      </c>
      <c r="K1337" s="2" t="s">
        <v>10</v>
      </c>
      <c r="L1337" s="2" t="s">
        <v>8</v>
      </c>
      <c r="M1337" s="3" t="s">
        <v>2</v>
      </c>
      <c r="N1337" s="348"/>
      <c r="P1337" s="2" t="s">
        <v>1</v>
      </c>
      <c r="Q1337" s="3" t="s">
        <v>7</v>
      </c>
      <c r="R1337" s="2" t="s">
        <v>10</v>
      </c>
      <c r="S1337" s="2" t="s">
        <v>8</v>
      </c>
      <c r="T1337" s="2" t="s">
        <v>2</v>
      </c>
      <c r="U1337" s="3" t="s">
        <v>7</v>
      </c>
      <c r="V1337" s="2" t="s">
        <v>10</v>
      </c>
      <c r="W1337" s="2" t="s">
        <v>8</v>
      </c>
      <c r="X1337" s="2" t="s">
        <v>2</v>
      </c>
      <c r="Y1337" s="3" t="s">
        <v>7</v>
      </c>
      <c r="Z1337" s="2" t="s">
        <v>10</v>
      </c>
      <c r="AA1337" s="2" t="s">
        <v>8</v>
      </c>
      <c r="AB1337" s="2" t="s">
        <v>2</v>
      </c>
      <c r="AC1337" s="134"/>
    </row>
    <row r="1338" spans="1:30" x14ac:dyDescent="0.15">
      <c r="A1338" s="106" t="s">
        <v>6</v>
      </c>
      <c r="B1338" s="41">
        <f>B1332</f>
        <v>24</v>
      </c>
      <c r="C1338" s="41">
        <f t="shared" ref="C1338:E1338" si="2159">C1332</f>
        <v>19</v>
      </c>
      <c r="D1338" s="41">
        <f t="shared" si="2159"/>
        <v>12</v>
      </c>
      <c r="E1338" s="42">
        <f t="shared" si="2159"/>
        <v>55</v>
      </c>
      <c r="F1338" s="41">
        <f>F1332</f>
        <v>25</v>
      </c>
      <c r="G1338" s="41">
        <f t="shared" ref="G1338:I1338" si="2160">G1332</f>
        <v>19</v>
      </c>
      <c r="H1338" s="41">
        <f t="shared" si="2160"/>
        <v>12</v>
      </c>
      <c r="I1338" s="42">
        <f t="shared" si="2160"/>
        <v>56</v>
      </c>
      <c r="J1338" s="41">
        <f>J1332</f>
        <v>26</v>
      </c>
      <c r="K1338" s="41">
        <f t="shared" ref="K1338:M1338" si="2161">K1332</f>
        <v>19</v>
      </c>
      <c r="L1338" s="41">
        <f t="shared" si="2161"/>
        <v>14</v>
      </c>
      <c r="M1338" s="42">
        <f t="shared" si="2161"/>
        <v>59</v>
      </c>
      <c r="N1338" s="143">
        <f>E1338+I1338+M1338</f>
        <v>170</v>
      </c>
      <c r="P1338" s="36" t="s">
        <v>6</v>
      </c>
      <c r="Q1338" s="41">
        <f>Q1332</f>
        <v>405</v>
      </c>
      <c r="R1338" s="41">
        <f t="shared" ref="R1338:AC1338" si="2162">R1332</f>
        <v>437</v>
      </c>
      <c r="S1338" s="41">
        <f t="shared" si="2162"/>
        <v>493</v>
      </c>
      <c r="T1338" s="42">
        <f t="shared" si="2162"/>
        <v>1335</v>
      </c>
      <c r="U1338" s="41">
        <f t="shared" si="2162"/>
        <v>450</v>
      </c>
      <c r="V1338" s="41">
        <f t="shared" si="2162"/>
        <v>622</v>
      </c>
      <c r="W1338" s="41">
        <f t="shared" si="2162"/>
        <v>569</v>
      </c>
      <c r="X1338" s="42">
        <f t="shared" si="2162"/>
        <v>1641</v>
      </c>
      <c r="Y1338" s="41">
        <f t="shared" si="2162"/>
        <v>365</v>
      </c>
      <c r="Z1338" s="41">
        <f t="shared" si="2162"/>
        <v>450</v>
      </c>
      <c r="AA1338" s="41">
        <f t="shared" si="2162"/>
        <v>419</v>
      </c>
      <c r="AB1338" s="42">
        <f t="shared" si="2162"/>
        <v>1234</v>
      </c>
      <c r="AC1338" s="90">
        <f t="shared" si="2162"/>
        <v>4210</v>
      </c>
    </row>
    <row r="1339" spans="1:30" x14ac:dyDescent="0.15">
      <c r="A1339" s="158" t="s">
        <v>3</v>
      </c>
      <c r="B1339" s="237"/>
      <c r="C1339" s="238">
        <v>5</v>
      </c>
      <c r="D1339" s="238">
        <v>10</v>
      </c>
      <c r="E1339" s="161">
        <f t="shared" ref="E1339:E1374" si="2163">SUM(B1339:D1339)</f>
        <v>15</v>
      </c>
      <c r="F1339" s="237"/>
      <c r="G1339" s="238">
        <v>5</v>
      </c>
      <c r="H1339" s="238">
        <v>10</v>
      </c>
      <c r="I1339" s="161">
        <f t="shared" ref="I1339:I1374" si="2164">SUM(F1339:H1339)</f>
        <v>15</v>
      </c>
      <c r="J1339" s="237"/>
      <c r="K1339" s="238">
        <v>5</v>
      </c>
      <c r="L1339" s="238">
        <v>10</v>
      </c>
      <c r="M1339" s="163">
        <f t="shared" ref="M1339:M1374" si="2165">SUM(J1339:L1339)</f>
        <v>15</v>
      </c>
      <c r="N1339" s="153">
        <f t="shared" ref="N1339:N1375" si="2166">E1339+I1339+M1339</f>
        <v>45</v>
      </c>
      <c r="O1339" s="164">
        <v>45960</v>
      </c>
      <c r="P1339" s="6" t="s">
        <v>3</v>
      </c>
      <c r="Q1339" s="14"/>
      <c r="R1339" s="11"/>
      <c r="S1339" s="11"/>
      <c r="T1339" s="5">
        <f t="shared" ref="T1339:T1362" si="2167">SUM(Q1339:S1339)</f>
        <v>0</v>
      </c>
      <c r="U1339" s="14"/>
      <c r="V1339" s="11"/>
      <c r="W1339" s="11"/>
      <c r="X1339" s="5">
        <f t="shared" ref="X1339:X1362" si="2168">SUM(U1339:W1339)</f>
        <v>0</v>
      </c>
      <c r="Y1339" s="25"/>
      <c r="Z1339" s="26"/>
      <c r="AA1339" s="26"/>
      <c r="AB1339" s="5">
        <f t="shared" ref="AB1339:AB1362" si="2169">SUM(Y1339:AA1339)</f>
        <v>0</v>
      </c>
      <c r="AC1339" s="86">
        <f t="shared" ref="AC1339:AC1362" si="2170">T1339+X1339+AB1339</f>
        <v>0</v>
      </c>
    </row>
    <row r="1340" spans="1:30" x14ac:dyDescent="0.15">
      <c r="A1340" s="102" t="s">
        <v>3</v>
      </c>
      <c r="B1340" s="14">
        <v>10</v>
      </c>
      <c r="C1340" s="11">
        <v>10</v>
      </c>
      <c r="D1340" s="11">
        <v>5</v>
      </c>
      <c r="E1340" s="5">
        <f t="shared" si="2163"/>
        <v>25</v>
      </c>
      <c r="F1340" s="34">
        <v>10</v>
      </c>
      <c r="G1340" s="11">
        <v>10</v>
      </c>
      <c r="H1340" s="11">
        <v>5</v>
      </c>
      <c r="I1340" s="5">
        <f t="shared" si="2164"/>
        <v>25</v>
      </c>
      <c r="J1340" s="34">
        <v>10</v>
      </c>
      <c r="K1340" s="11">
        <v>10</v>
      </c>
      <c r="L1340" s="11">
        <v>5</v>
      </c>
      <c r="M1340" s="38">
        <f t="shared" si="2165"/>
        <v>25</v>
      </c>
      <c r="N1340" s="138">
        <f t="shared" si="2166"/>
        <v>75</v>
      </c>
      <c r="O1340" s="24">
        <v>45968</v>
      </c>
      <c r="P1340" s="6" t="s">
        <v>195</v>
      </c>
      <c r="Q1340" s="14">
        <v>20</v>
      </c>
      <c r="R1340" s="11">
        <v>3</v>
      </c>
      <c r="S1340" s="11">
        <v>19</v>
      </c>
      <c r="T1340" s="5">
        <f t="shared" si="2167"/>
        <v>42</v>
      </c>
      <c r="U1340" s="14">
        <v>15</v>
      </c>
      <c r="V1340" s="11">
        <v>1</v>
      </c>
      <c r="W1340" s="11">
        <v>18</v>
      </c>
      <c r="X1340" s="5">
        <f t="shared" si="2168"/>
        <v>34</v>
      </c>
      <c r="Y1340" s="25">
        <v>21</v>
      </c>
      <c r="Z1340" s="26">
        <v>3</v>
      </c>
      <c r="AA1340" s="26">
        <v>9</v>
      </c>
      <c r="AB1340" s="5">
        <f t="shared" si="2169"/>
        <v>33</v>
      </c>
      <c r="AC1340" s="86">
        <f t="shared" si="2170"/>
        <v>109</v>
      </c>
      <c r="AD1340" s="109">
        <v>45975</v>
      </c>
    </row>
    <row r="1341" spans="1:30" x14ac:dyDescent="0.15">
      <c r="A1341" s="102" t="s">
        <v>57</v>
      </c>
      <c r="B1341" s="14"/>
      <c r="C1341" s="11"/>
      <c r="D1341" s="11">
        <v>1</v>
      </c>
      <c r="E1341" s="5">
        <f t="shared" si="2163"/>
        <v>1</v>
      </c>
      <c r="F1341" s="34"/>
      <c r="G1341" s="11"/>
      <c r="H1341" s="11">
        <v>1</v>
      </c>
      <c r="I1341" s="5">
        <f t="shared" si="2164"/>
        <v>1</v>
      </c>
      <c r="J1341" s="34"/>
      <c r="K1341" s="11"/>
      <c r="L1341" s="11">
        <v>1</v>
      </c>
      <c r="M1341" s="38">
        <f t="shared" si="2165"/>
        <v>1</v>
      </c>
      <c r="N1341" s="138">
        <f t="shared" si="2166"/>
        <v>3</v>
      </c>
      <c r="O1341" s="70">
        <v>45973</v>
      </c>
      <c r="P1341" s="6" t="s">
        <v>3</v>
      </c>
      <c r="Q1341" s="14"/>
      <c r="R1341" s="11"/>
      <c r="S1341" s="11"/>
      <c r="T1341" s="5">
        <f t="shared" si="2167"/>
        <v>0</v>
      </c>
      <c r="U1341" s="14"/>
      <c r="V1341" s="11"/>
      <c r="W1341" s="11"/>
      <c r="X1341" s="5">
        <f t="shared" si="2168"/>
        <v>0</v>
      </c>
      <c r="Y1341" s="25"/>
      <c r="Z1341" s="26"/>
      <c r="AA1341" s="26"/>
      <c r="AB1341" s="5">
        <f t="shared" si="2169"/>
        <v>0</v>
      </c>
      <c r="AC1341" s="86">
        <f t="shared" si="2170"/>
        <v>0</v>
      </c>
    </row>
    <row r="1342" spans="1:30" x14ac:dyDescent="0.15">
      <c r="A1342" s="102" t="s">
        <v>139</v>
      </c>
      <c r="B1342" s="14"/>
      <c r="C1342" s="11"/>
      <c r="D1342" s="11">
        <v>1</v>
      </c>
      <c r="E1342" s="5">
        <f t="shared" si="2163"/>
        <v>1</v>
      </c>
      <c r="F1342" s="34"/>
      <c r="G1342" s="11"/>
      <c r="H1342" s="11">
        <v>1</v>
      </c>
      <c r="I1342" s="5">
        <f t="shared" si="2164"/>
        <v>1</v>
      </c>
      <c r="J1342" s="34"/>
      <c r="K1342" s="11"/>
      <c r="L1342" s="11">
        <v>1</v>
      </c>
      <c r="M1342" s="38">
        <f t="shared" si="2165"/>
        <v>1</v>
      </c>
      <c r="N1342" s="138">
        <f t="shared" si="2166"/>
        <v>3</v>
      </c>
      <c r="O1342" s="70">
        <v>45974</v>
      </c>
      <c r="P1342" s="6" t="s">
        <v>3</v>
      </c>
      <c r="Q1342" s="14"/>
      <c r="R1342" s="11"/>
      <c r="S1342" s="11"/>
      <c r="T1342" s="5">
        <f t="shared" ref="T1342" si="2171">SUM(Q1342:S1342)</f>
        <v>0</v>
      </c>
      <c r="U1342" s="14"/>
      <c r="V1342" s="11"/>
      <c r="W1342" s="11"/>
      <c r="X1342" s="5">
        <f t="shared" ref="X1342" si="2172">SUM(U1342:W1342)</f>
        <v>0</v>
      </c>
      <c r="Y1342" s="25"/>
      <c r="Z1342" s="26"/>
      <c r="AA1342" s="26"/>
      <c r="AB1342" s="5">
        <f t="shared" ref="AB1342" si="2173">SUM(Y1342:AA1342)</f>
        <v>0</v>
      </c>
      <c r="AC1342" s="86">
        <f t="shared" ref="AC1342" si="2174">T1342+X1342+AB1342</f>
        <v>0</v>
      </c>
    </row>
    <row r="1343" spans="1:30" x14ac:dyDescent="0.15">
      <c r="A1343" s="102" t="s">
        <v>3</v>
      </c>
      <c r="B1343" s="14"/>
      <c r="C1343" s="11"/>
      <c r="D1343" s="11"/>
      <c r="E1343" s="5">
        <f t="shared" si="2163"/>
        <v>0</v>
      </c>
      <c r="F1343" s="34"/>
      <c r="G1343" s="11"/>
      <c r="H1343" s="11"/>
      <c r="I1343" s="5">
        <f t="shared" si="2164"/>
        <v>0</v>
      </c>
      <c r="J1343" s="34"/>
      <c r="K1343" s="11"/>
      <c r="L1343" s="11"/>
      <c r="M1343" s="38">
        <f t="shared" si="2165"/>
        <v>0</v>
      </c>
      <c r="N1343" s="138">
        <f t="shared" si="2166"/>
        <v>0</v>
      </c>
      <c r="P1343" s="6" t="s">
        <v>3</v>
      </c>
      <c r="Q1343" s="14"/>
      <c r="R1343" s="11"/>
      <c r="S1343" s="11"/>
      <c r="T1343" s="5">
        <f t="shared" si="2167"/>
        <v>0</v>
      </c>
      <c r="U1343" s="14"/>
      <c r="V1343" s="11"/>
      <c r="W1343" s="11"/>
      <c r="X1343" s="5">
        <f t="shared" si="2168"/>
        <v>0</v>
      </c>
      <c r="Y1343" s="25"/>
      <c r="Z1343" s="26"/>
      <c r="AA1343" s="26"/>
      <c r="AB1343" s="5">
        <f t="shared" si="2169"/>
        <v>0</v>
      </c>
      <c r="AC1343" s="86">
        <f t="shared" si="2170"/>
        <v>0</v>
      </c>
    </row>
    <row r="1344" spans="1:30" x14ac:dyDescent="0.15">
      <c r="A1344" s="102" t="s">
        <v>3</v>
      </c>
      <c r="B1344" s="25"/>
      <c r="C1344" s="26"/>
      <c r="D1344" s="26"/>
      <c r="E1344" s="8">
        <f t="shared" si="2163"/>
        <v>0</v>
      </c>
      <c r="F1344" s="25"/>
      <c r="G1344" s="26"/>
      <c r="H1344" s="26"/>
      <c r="I1344" s="8">
        <f t="shared" si="2164"/>
        <v>0</v>
      </c>
      <c r="J1344" s="25"/>
      <c r="K1344" s="26"/>
      <c r="L1344" s="26"/>
      <c r="M1344" s="39">
        <f t="shared" si="2165"/>
        <v>0</v>
      </c>
      <c r="N1344" s="138">
        <f t="shared" si="2166"/>
        <v>0</v>
      </c>
      <c r="P1344" s="6" t="s">
        <v>3</v>
      </c>
      <c r="Q1344" s="14"/>
      <c r="R1344" s="11"/>
      <c r="S1344" s="11"/>
      <c r="T1344" s="5">
        <f t="shared" si="2167"/>
        <v>0</v>
      </c>
      <c r="U1344" s="14"/>
      <c r="V1344" s="11"/>
      <c r="W1344" s="11"/>
      <c r="X1344" s="5">
        <f t="shared" si="2168"/>
        <v>0</v>
      </c>
      <c r="Y1344" s="25"/>
      <c r="Z1344" s="26"/>
      <c r="AA1344" s="26"/>
      <c r="AB1344" s="8">
        <f t="shared" si="2169"/>
        <v>0</v>
      </c>
      <c r="AC1344" s="86">
        <f t="shared" si="2170"/>
        <v>0</v>
      </c>
    </row>
    <row r="1345" spans="1:30" x14ac:dyDescent="0.15">
      <c r="A1345" s="102" t="s">
        <v>3</v>
      </c>
      <c r="B1345" s="27"/>
      <c r="C1345" s="26"/>
      <c r="D1345" s="26"/>
      <c r="E1345" s="5">
        <f t="shared" si="2163"/>
        <v>0</v>
      </c>
      <c r="F1345" s="25"/>
      <c r="G1345" s="26"/>
      <c r="H1345" s="26"/>
      <c r="I1345" s="5">
        <f t="shared" si="2164"/>
        <v>0</v>
      </c>
      <c r="J1345" s="25"/>
      <c r="K1345" s="26"/>
      <c r="L1345" s="26"/>
      <c r="M1345" s="38">
        <f t="shared" si="2165"/>
        <v>0</v>
      </c>
      <c r="N1345" s="138">
        <f t="shared" si="2166"/>
        <v>0</v>
      </c>
      <c r="P1345" s="6" t="s">
        <v>3</v>
      </c>
      <c r="Q1345" s="27"/>
      <c r="R1345" s="26"/>
      <c r="S1345" s="26"/>
      <c r="T1345" s="5">
        <f t="shared" si="2167"/>
        <v>0</v>
      </c>
      <c r="U1345" s="27"/>
      <c r="V1345" s="26"/>
      <c r="W1345" s="26"/>
      <c r="X1345" s="5">
        <f t="shared" si="2168"/>
        <v>0</v>
      </c>
      <c r="Y1345" s="25"/>
      <c r="Z1345" s="26"/>
      <c r="AA1345" s="26"/>
      <c r="AB1345" s="5">
        <f t="shared" si="2169"/>
        <v>0</v>
      </c>
      <c r="AC1345" s="86">
        <f t="shared" si="2170"/>
        <v>0</v>
      </c>
    </row>
    <row r="1346" spans="1:30" x14ac:dyDescent="0.15">
      <c r="A1346" s="102" t="s">
        <v>3</v>
      </c>
      <c r="B1346" s="27"/>
      <c r="C1346" s="26"/>
      <c r="D1346" s="26"/>
      <c r="E1346" s="5">
        <f t="shared" si="2163"/>
        <v>0</v>
      </c>
      <c r="F1346" s="25"/>
      <c r="G1346" s="26"/>
      <c r="H1346" s="26"/>
      <c r="I1346" s="5">
        <f t="shared" si="2164"/>
        <v>0</v>
      </c>
      <c r="J1346" s="25"/>
      <c r="K1346" s="26"/>
      <c r="L1346" s="26"/>
      <c r="M1346" s="38">
        <f t="shared" si="2165"/>
        <v>0</v>
      </c>
      <c r="N1346" s="138">
        <f t="shared" si="2166"/>
        <v>0</v>
      </c>
      <c r="P1346" s="6" t="s">
        <v>3</v>
      </c>
      <c r="Q1346" s="14"/>
      <c r="R1346" s="11"/>
      <c r="S1346" s="11"/>
      <c r="T1346" s="5">
        <f t="shared" si="2167"/>
        <v>0</v>
      </c>
      <c r="U1346" s="14"/>
      <c r="V1346" s="11"/>
      <c r="W1346" s="11"/>
      <c r="X1346" s="5">
        <f t="shared" si="2168"/>
        <v>0</v>
      </c>
      <c r="Y1346" s="25"/>
      <c r="Z1346" s="26"/>
      <c r="AA1346" s="26"/>
      <c r="AB1346" s="8">
        <f t="shared" si="2169"/>
        <v>0</v>
      </c>
      <c r="AC1346" s="86">
        <f t="shared" si="2170"/>
        <v>0</v>
      </c>
    </row>
    <row r="1347" spans="1:30" x14ac:dyDescent="0.15">
      <c r="A1347" s="102" t="s">
        <v>3</v>
      </c>
      <c r="B1347" s="27"/>
      <c r="C1347" s="26"/>
      <c r="D1347" s="26"/>
      <c r="E1347" s="5">
        <f t="shared" si="2163"/>
        <v>0</v>
      </c>
      <c r="F1347" s="25"/>
      <c r="G1347" s="26"/>
      <c r="H1347" s="26"/>
      <c r="I1347" s="5">
        <f t="shared" si="2164"/>
        <v>0</v>
      </c>
      <c r="J1347" s="25"/>
      <c r="K1347" s="26"/>
      <c r="L1347" s="26"/>
      <c r="M1347" s="38">
        <f t="shared" si="2165"/>
        <v>0</v>
      </c>
      <c r="N1347" s="138">
        <f t="shared" si="2166"/>
        <v>0</v>
      </c>
      <c r="P1347" s="6" t="s">
        <v>3</v>
      </c>
      <c r="Q1347" s="27"/>
      <c r="R1347" s="26"/>
      <c r="S1347" s="26"/>
      <c r="T1347" s="5">
        <f t="shared" si="2167"/>
        <v>0</v>
      </c>
      <c r="U1347" s="27"/>
      <c r="V1347" s="26"/>
      <c r="W1347" s="26"/>
      <c r="X1347" s="5">
        <f t="shared" si="2168"/>
        <v>0</v>
      </c>
      <c r="Y1347" s="25"/>
      <c r="Z1347" s="26"/>
      <c r="AA1347" s="26"/>
      <c r="AB1347" s="5">
        <f t="shared" si="2169"/>
        <v>0</v>
      </c>
      <c r="AC1347" s="86">
        <f t="shared" si="2170"/>
        <v>0</v>
      </c>
    </row>
    <row r="1348" spans="1:30" ht="14.25" thickBot="1" x14ac:dyDescent="0.2">
      <c r="A1348" s="102" t="s">
        <v>3</v>
      </c>
      <c r="B1348" s="28"/>
      <c r="C1348" s="29"/>
      <c r="D1348" s="32"/>
      <c r="E1348" s="15">
        <f t="shared" si="2163"/>
        <v>0</v>
      </c>
      <c r="F1348" s="35"/>
      <c r="G1348" s="29"/>
      <c r="H1348" s="32"/>
      <c r="I1348" s="15">
        <f t="shared" si="2164"/>
        <v>0</v>
      </c>
      <c r="J1348" s="35"/>
      <c r="K1348" s="29"/>
      <c r="L1348" s="32"/>
      <c r="M1348" s="40">
        <f t="shared" si="2165"/>
        <v>0</v>
      </c>
      <c r="N1348" s="139">
        <f t="shared" si="2166"/>
        <v>0</v>
      </c>
      <c r="P1348" s="7" t="s">
        <v>3</v>
      </c>
      <c r="Q1348" s="28"/>
      <c r="R1348" s="29"/>
      <c r="S1348" s="29"/>
      <c r="T1348" s="15">
        <f t="shared" si="2167"/>
        <v>0</v>
      </c>
      <c r="U1348" s="28"/>
      <c r="V1348" s="29"/>
      <c r="W1348" s="29"/>
      <c r="X1348" s="15">
        <f t="shared" si="2168"/>
        <v>0</v>
      </c>
      <c r="Y1348" s="35"/>
      <c r="Z1348" s="29"/>
      <c r="AA1348" s="32"/>
      <c r="AB1348" s="15">
        <f t="shared" si="2169"/>
        <v>0</v>
      </c>
      <c r="AC1348" s="87">
        <f t="shared" si="2170"/>
        <v>0</v>
      </c>
    </row>
    <row r="1349" spans="1:30" ht="14.25" thickBot="1" x14ac:dyDescent="0.2">
      <c r="A1349" s="103" t="s">
        <v>4</v>
      </c>
      <c r="B1349" s="17">
        <f>SUM(B1338:B1348)</f>
        <v>34</v>
      </c>
      <c r="C1349" s="17">
        <f>SUM(C1338:C1348)</f>
        <v>34</v>
      </c>
      <c r="D1349" s="17">
        <f>SUM(D1338:D1348)</f>
        <v>29</v>
      </c>
      <c r="E1349" s="18">
        <f t="shared" si="2163"/>
        <v>97</v>
      </c>
      <c r="F1349" s="17">
        <f>SUM(F1338:F1348)</f>
        <v>35</v>
      </c>
      <c r="G1349" s="17">
        <f>SUM(G1338:G1348)</f>
        <v>34</v>
      </c>
      <c r="H1349" s="17">
        <f>SUM(H1338:H1348)</f>
        <v>29</v>
      </c>
      <c r="I1349" s="18">
        <f t="shared" si="2164"/>
        <v>98</v>
      </c>
      <c r="J1349" s="17">
        <f>SUM(J1338:J1348)</f>
        <v>36</v>
      </c>
      <c r="K1349" s="17">
        <f>SUM(K1338:K1348)</f>
        <v>34</v>
      </c>
      <c r="L1349" s="17">
        <f>SUM(L1338:L1348)</f>
        <v>31</v>
      </c>
      <c r="M1349" s="20">
        <f t="shared" si="2165"/>
        <v>101</v>
      </c>
      <c r="N1349" s="140">
        <f t="shared" si="2166"/>
        <v>296</v>
      </c>
      <c r="P1349" s="16" t="s">
        <v>4</v>
      </c>
      <c r="Q1349" s="17">
        <f>SUM(Q1338:Q1348)</f>
        <v>425</v>
      </c>
      <c r="R1349" s="17">
        <f t="shared" ref="R1349" si="2175">SUM(R1338:R1348)</f>
        <v>440</v>
      </c>
      <c r="S1349" s="17">
        <f t="shared" ref="S1349" si="2176">SUM(S1338:S1348)</f>
        <v>512</v>
      </c>
      <c r="T1349" s="18">
        <f t="shared" ref="T1349" si="2177">SUM(T1338:T1348)</f>
        <v>1377</v>
      </c>
      <c r="U1349" s="17">
        <f t="shared" ref="U1349" si="2178">SUM(U1338:U1348)</f>
        <v>465</v>
      </c>
      <c r="V1349" s="17">
        <f t="shared" ref="V1349" si="2179">SUM(V1338:V1348)</f>
        <v>623</v>
      </c>
      <c r="W1349" s="17">
        <f t="shared" ref="W1349" si="2180">SUM(W1338:W1348)</f>
        <v>587</v>
      </c>
      <c r="X1349" s="18">
        <f t="shared" ref="X1349" si="2181">SUM(X1338:X1348)</f>
        <v>1675</v>
      </c>
      <c r="Y1349" s="17">
        <f t="shared" ref="Y1349" si="2182">SUM(Y1338:Y1348)</f>
        <v>386</v>
      </c>
      <c r="Z1349" s="17">
        <f t="shared" ref="Z1349" si="2183">SUM(Z1338:Z1348)</f>
        <v>453</v>
      </c>
      <c r="AA1349" s="17">
        <f t="shared" ref="AA1349" si="2184">SUM(AA1338:AA1348)</f>
        <v>428</v>
      </c>
      <c r="AB1349" s="18">
        <f t="shared" ref="AB1349" si="2185">SUM(AB1338:AB1348)</f>
        <v>1267</v>
      </c>
      <c r="AC1349" s="88">
        <f t="shared" ref="AC1349" si="2186">SUM(AC1338:AC1348)</f>
        <v>4319</v>
      </c>
    </row>
    <row r="1350" spans="1:30" x14ac:dyDescent="0.15">
      <c r="A1350" s="4" t="s">
        <v>1234</v>
      </c>
      <c r="B1350" s="9"/>
      <c r="C1350" s="10"/>
      <c r="D1350" s="31">
        <v>1</v>
      </c>
      <c r="E1350" s="5">
        <f t="shared" si="2163"/>
        <v>1</v>
      </c>
      <c r="F1350" s="9"/>
      <c r="G1350" s="10"/>
      <c r="H1350" s="31">
        <v>1</v>
      </c>
      <c r="I1350" s="5">
        <f t="shared" si="2164"/>
        <v>1</v>
      </c>
      <c r="J1350" s="9"/>
      <c r="K1350" s="10"/>
      <c r="L1350" s="31">
        <v>1</v>
      </c>
      <c r="M1350" s="38">
        <f t="shared" si="2165"/>
        <v>1</v>
      </c>
      <c r="N1350" s="141">
        <f t="shared" si="2166"/>
        <v>3</v>
      </c>
      <c r="O1350" s="24">
        <v>45965</v>
      </c>
      <c r="P1350" s="4" t="s">
        <v>1220</v>
      </c>
      <c r="Q1350" s="9"/>
      <c r="R1350" s="10">
        <v>5</v>
      </c>
      <c r="S1350" s="31">
        <v>2</v>
      </c>
      <c r="T1350" s="5">
        <f t="shared" si="2167"/>
        <v>7</v>
      </c>
      <c r="U1350" s="9"/>
      <c r="V1350" s="10">
        <v>5</v>
      </c>
      <c r="W1350" s="31">
        <v>2</v>
      </c>
      <c r="X1350" s="5">
        <f t="shared" si="2168"/>
        <v>7</v>
      </c>
      <c r="Y1350" s="9"/>
      <c r="Z1350" s="10">
        <v>5</v>
      </c>
      <c r="AA1350" s="31">
        <v>2</v>
      </c>
      <c r="AB1350" s="5">
        <f t="shared" si="2169"/>
        <v>7</v>
      </c>
      <c r="AC1350" s="148">
        <f t="shared" si="2170"/>
        <v>21</v>
      </c>
      <c r="AD1350" s="109">
        <v>45959</v>
      </c>
    </row>
    <row r="1351" spans="1:30" x14ac:dyDescent="0.15">
      <c r="A1351" s="33" t="s">
        <v>1235</v>
      </c>
      <c r="B1351" s="9"/>
      <c r="C1351" s="10"/>
      <c r="D1351" s="10"/>
      <c r="E1351" s="5">
        <f t="shared" si="2163"/>
        <v>0</v>
      </c>
      <c r="F1351" s="9"/>
      <c r="G1351" s="10"/>
      <c r="H1351" s="10"/>
      <c r="I1351" s="5">
        <f t="shared" si="2164"/>
        <v>0</v>
      </c>
      <c r="J1351" s="9"/>
      <c r="K1351" s="10">
        <v>1</v>
      </c>
      <c r="L1351" s="10"/>
      <c r="M1351" s="38">
        <f t="shared" si="2165"/>
        <v>1</v>
      </c>
      <c r="N1351" s="138">
        <f t="shared" si="2166"/>
        <v>1</v>
      </c>
      <c r="O1351" s="70">
        <v>45961</v>
      </c>
      <c r="P1351" s="4" t="s">
        <v>1224</v>
      </c>
      <c r="Q1351" s="9">
        <v>5</v>
      </c>
      <c r="R1351" s="10">
        <v>7</v>
      </c>
      <c r="S1351" s="10">
        <v>3</v>
      </c>
      <c r="T1351" s="5">
        <f t="shared" si="2167"/>
        <v>15</v>
      </c>
      <c r="U1351" s="9">
        <v>5</v>
      </c>
      <c r="V1351" s="10">
        <v>7</v>
      </c>
      <c r="W1351" s="10">
        <v>3</v>
      </c>
      <c r="X1351" s="5">
        <f t="shared" si="2168"/>
        <v>15</v>
      </c>
      <c r="Y1351" s="9">
        <v>5</v>
      </c>
      <c r="Z1351" s="10">
        <v>7</v>
      </c>
      <c r="AA1351" s="10">
        <v>3</v>
      </c>
      <c r="AB1351" s="5">
        <f t="shared" si="2169"/>
        <v>15</v>
      </c>
      <c r="AC1351" s="93">
        <f t="shared" si="2170"/>
        <v>45</v>
      </c>
      <c r="AD1351" s="109">
        <v>45965</v>
      </c>
    </row>
    <row r="1352" spans="1:30" x14ac:dyDescent="0.15">
      <c r="A1352" s="33" t="s">
        <v>36</v>
      </c>
      <c r="B1352" s="9"/>
      <c r="C1352" s="10">
        <v>2</v>
      </c>
      <c r="D1352" s="10">
        <v>2</v>
      </c>
      <c r="E1352" s="5">
        <f t="shared" si="2163"/>
        <v>4</v>
      </c>
      <c r="F1352" s="9"/>
      <c r="G1352" s="10">
        <v>2</v>
      </c>
      <c r="H1352" s="10">
        <v>2</v>
      </c>
      <c r="I1352" s="5">
        <f t="shared" si="2164"/>
        <v>4</v>
      </c>
      <c r="J1352" s="9"/>
      <c r="K1352" s="10">
        <v>2</v>
      </c>
      <c r="L1352" s="10">
        <v>2</v>
      </c>
      <c r="M1352" s="38">
        <f t="shared" si="2165"/>
        <v>4</v>
      </c>
      <c r="N1352" s="138">
        <f t="shared" si="2166"/>
        <v>12</v>
      </c>
      <c r="O1352" s="24">
        <v>45965</v>
      </c>
      <c r="P1352" s="160" t="s">
        <v>1225</v>
      </c>
      <c r="Q1352" s="166">
        <v>5</v>
      </c>
      <c r="R1352" s="167">
        <v>10</v>
      </c>
      <c r="S1352" s="167">
        <v>10</v>
      </c>
      <c r="T1352" s="161">
        <f t="shared" si="2167"/>
        <v>25</v>
      </c>
      <c r="U1352" s="166">
        <v>5</v>
      </c>
      <c r="V1352" s="167">
        <v>10</v>
      </c>
      <c r="W1352" s="167">
        <v>10</v>
      </c>
      <c r="X1352" s="161">
        <f t="shared" si="2168"/>
        <v>25</v>
      </c>
      <c r="Y1352" s="166">
        <v>5</v>
      </c>
      <c r="Z1352" s="167">
        <v>10</v>
      </c>
      <c r="AA1352" s="167">
        <v>10</v>
      </c>
      <c r="AB1352" s="161">
        <f t="shared" si="2169"/>
        <v>25</v>
      </c>
      <c r="AC1352" s="169">
        <f t="shared" si="2170"/>
        <v>75</v>
      </c>
      <c r="AD1352" s="170">
        <v>45960</v>
      </c>
    </row>
    <row r="1353" spans="1:30" x14ac:dyDescent="0.15">
      <c r="A1353" s="4" t="s">
        <v>1245</v>
      </c>
      <c r="B1353" s="9">
        <v>3</v>
      </c>
      <c r="C1353" s="10">
        <v>2</v>
      </c>
      <c r="D1353" s="10"/>
      <c r="E1353" s="5">
        <f t="shared" si="2163"/>
        <v>5</v>
      </c>
      <c r="F1353" s="9">
        <v>3</v>
      </c>
      <c r="G1353" s="10">
        <v>2</v>
      </c>
      <c r="H1353" s="10"/>
      <c r="I1353" s="5">
        <f t="shared" si="2164"/>
        <v>5</v>
      </c>
      <c r="J1353" s="9">
        <v>3</v>
      </c>
      <c r="K1353" s="10">
        <v>2</v>
      </c>
      <c r="L1353" s="10"/>
      <c r="M1353" s="38">
        <f t="shared" si="2165"/>
        <v>5</v>
      </c>
      <c r="N1353" s="138">
        <f t="shared" si="2166"/>
        <v>15</v>
      </c>
      <c r="O1353" s="24">
        <v>45968</v>
      </c>
      <c r="P1353" s="11" t="s">
        <v>1226</v>
      </c>
      <c r="Q1353" s="9"/>
      <c r="R1353" s="10"/>
      <c r="S1353" s="10">
        <v>5</v>
      </c>
      <c r="T1353" s="5">
        <f t="shared" si="2167"/>
        <v>5</v>
      </c>
      <c r="U1353" s="9"/>
      <c r="V1353" s="10"/>
      <c r="W1353" s="10">
        <v>5</v>
      </c>
      <c r="X1353" s="5">
        <f t="shared" si="2168"/>
        <v>5</v>
      </c>
      <c r="Y1353" s="9"/>
      <c r="Z1353" s="10"/>
      <c r="AA1353" s="10">
        <v>5</v>
      </c>
      <c r="AB1353" s="5">
        <f t="shared" si="2169"/>
        <v>5</v>
      </c>
      <c r="AC1353" s="93">
        <f t="shared" si="2170"/>
        <v>15</v>
      </c>
      <c r="AD1353" s="109">
        <v>45967</v>
      </c>
    </row>
    <row r="1354" spans="1:30" x14ac:dyDescent="0.15">
      <c r="A1354" s="33" t="s">
        <v>1247</v>
      </c>
      <c r="B1354" s="9"/>
      <c r="C1354" s="10"/>
      <c r="D1354" s="10"/>
      <c r="E1354" s="5">
        <f t="shared" si="2163"/>
        <v>0</v>
      </c>
      <c r="F1354" s="9">
        <v>1</v>
      </c>
      <c r="G1354" s="10"/>
      <c r="H1354" s="10"/>
      <c r="I1354" s="5">
        <f t="shared" si="2164"/>
        <v>1</v>
      </c>
      <c r="J1354" s="9"/>
      <c r="K1354" s="10"/>
      <c r="L1354" s="10"/>
      <c r="M1354" s="38">
        <f t="shared" si="2165"/>
        <v>0</v>
      </c>
      <c r="N1354" s="138">
        <f t="shared" si="2166"/>
        <v>1</v>
      </c>
      <c r="O1354" s="24">
        <v>45967</v>
      </c>
      <c r="P1354" s="11" t="s">
        <v>1230</v>
      </c>
      <c r="Q1354" s="9"/>
      <c r="R1354" s="10">
        <v>5</v>
      </c>
      <c r="S1354" s="10">
        <v>10</v>
      </c>
      <c r="T1354" s="5">
        <f t="shared" si="2167"/>
        <v>15</v>
      </c>
      <c r="U1354" s="9"/>
      <c r="V1354" s="10">
        <v>5</v>
      </c>
      <c r="W1354" s="10">
        <v>10</v>
      </c>
      <c r="X1354" s="5">
        <f t="shared" si="2168"/>
        <v>15</v>
      </c>
      <c r="Y1354" s="9"/>
      <c r="Z1354" s="10">
        <v>5</v>
      </c>
      <c r="AA1354" s="10">
        <v>10</v>
      </c>
      <c r="AB1354" s="5">
        <f t="shared" si="2169"/>
        <v>15</v>
      </c>
      <c r="AC1354" s="93">
        <f t="shared" si="2170"/>
        <v>45</v>
      </c>
      <c r="AD1354" s="109">
        <v>45960</v>
      </c>
    </row>
    <row r="1355" spans="1:30" x14ac:dyDescent="0.15">
      <c r="A1355" s="4" t="s">
        <v>1252</v>
      </c>
      <c r="B1355" s="9">
        <v>3</v>
      </c>
      <c r="C1355" s="10"/>
      <c r="D1355" s="10"/>
      <c r="E1355" s="8">
        <f t="shared" si="2163"/>
        <v>3</v>
      </c>
      <c r="F1355" s="9">
        <v>3</v>
      </c>
      <c r="G1355" s="10"/>
      <c r="H1355" s="10"/>
      <c r="I1355" s="8">
        <f t="shared" si="2164"/>
        <v>3</v>
      </c>
      <c r="J1355" s="9">
        <v>3</v>
      </c>
      <c r="K1355" s="10"/>
      <c r="L1355" s="10"/>
      <c r="M1355" s="39">
        <f t="shared" si="2165"/>
        <v>3</v>
      </c>
      <c r="N1355" s="138">
        <f t="shared" si="2166"/>
        <v>9</v>
      </c>
      <c r="O1355" s="24">
        <v>45968</v>
      </c>
      <c r="P1355" s="11" t="s">
        <v>1231</v>
      </c>
      <c r="Q1355" s="9"/>
      <c r="R1355" s="10">
        <v>15</v>
      </c>
      <c r="S1355" s="10"/>
      <c r="T1355" s="8">
        <f t="shared" si="2167"/>
        <v>15</v>
      </c>
      <c r="U1355" s="9"/>
      <c r="V1355" s="10">
        <v>15</v>
      </c>
      <c r="W1355" s="10"/>
      <c r="X1355" s="8">
        <f t="shared" si="2168"/>
        <v>15</v>
      </c>
      <c r="Y1355" s="9"/>
      <c r="Z1355" s="10">
        <v>15</v>
      </c>
      <c r="AA1355" s="10"/>
      <c r="AB1355" s="8">
        <f t="shared" si="2169"/>
        <v>15</v>
      </c>
      <c r="AC1355" s="93">
        <f t="shared" si="2170"/>
        <v>45</v>
      </c>
      <c r="AD1355" s="109">
        <v>45961</v>
      </c>
    </row>
    <row r="1356" spans="1:30" x14ac:dyDescent="0.15">
      <c r="A1356" s="4" t="s">
        <v>1248</v>
      </c>
      <c r="B1356" s="9">
        <v>4</v>
      </c>
      <c r="C1356" s="10">
        <v>2</v>
      </c>
      <c r="D1356" s="10"/>
      <c r="E1356" s="8">
        <f t="shared" ref="E1356" si="2187">SUM(B1356:D1356)</f>
        <v>6</v>
      </c>
      <c r="F1356" s="9">
        <v>4</v>
      </c>
      <c r="G1356" s="10">
        <v>2</v>
      </c>
      <c r="H1356" s="10"/>
      <c r="I1356" s="8">
        <f t="shared" ref="I1356" si="2188">SUM(F1356:H1356)</f>
        <v>6</v>
      </c>
      <c r="J1356" s="9">
        <v>4</v>
      </c>
      <c r="K1356" s="10">
        <v>2</v>
      </c>
      <c r="L1356" s="10"/>
      <c r="M1356" s="39">
        <f t="shared" ref="M1356" si="2189">SUM(J1356:L1356)</f>
        <v>6</v>
      </c>
      <c r="N1356" s="138">
        <f t="shared" ref="N1356" si="2190">E1356+I1356+M1356</f>
        <v>18</v>
      </c>
      <c r="O1356" s="24">
        <v>45968</v>
      </c>
      <c r="P1356" s="4" t="s">
        <v>1241</v>
      </c>
      <c r="Q1356" s="9">
        <v>2</v>
      </c>
      <c r="R1356" s="10">
        <v>1</v>
      </c>
      <c r="S1356" s="10"/>
      <c r="T1356" s="8">
        <f t="shared" si="2167"/>
        <v>3</v>
      </c>
      <c r="U1356" s="9">
        <v>2</v>
      </c>
      <c r="V1356" s="10">
        <v>1</v>
      </c>
      <c r="W1356" s="10"/>
      <c r="X1356" s="8">
        <f t="shared" si="2168"/>
        <v>3</v>
      </c>
      <c r="Y1356" s="9">
        <v>2</v>
      </c>
      <c r="Z1356" s="10">
        <v>1</v>
      </c>
      <c r="AA1356" s="10"/>
      <c r="AB1356" s="8">
        <f t="shared" si="2169"/>
        <v>3</v>
      </c>
      <c r="AC1356" s="93">
        <f t="shared" si="2170"/>
        <v>9</v>
      </c>
      <c r="AD1356" s="109">
        <v>45967</v>
      </c>
    </row>
    <row r="1357" spans="1:30" x14ac:dyDescent="0.15">
      <c r="A1357" s="4" t="s">
        <v>1254</v>
      </c>
      <c r="B1357" s="9">
        <v>1</v>
      </c>
      <c r="C1357" s="10">
        <v>1</v>
      </c>
      <c r="D1357" s="10">
        <v>2</v>
      </c>
      <c r="E1357" s="8">
        <f t="shared" si="2163"/>
        <v>4</v>
      </c>
      <c r="F1357" s="9">
        <v>1</v>
      </c>
      <c r="G1357" s="10">
        <v>1</v>
      </c>
      <c r="H1357" s="10">
        <v>2</v>
      </c>
      <c r="I1357" s="8">
        <f t="shared" si="2164"/>
        <v>4</v>
      </c>
      <c r="J1357" s="9">
        <v>1</v>
      </c>
      <c r="K1357" s="10">
        <v>1</v>
      </c>
      <c r="L1357" s="10">
        <v>2</v>
      </c>
      <c r="M1357" s="39">
        <f t="shared" si="2165"/>
        <v>4</v>
      </c>
      <c r="N1357" s="138">
        <f t="shared" si="2166"/>
        <v>12</v>
      </c>
      <c r="O1357" s="24">
        <v>45971</v>
      </c>
      <c r="P1357" s="4" t="s">
        <v>1242</v>
      </c>
      <c r="Q1357" s="9">
        <v>20</v>
      </c>
      <c r="R1357" s="10">
        <v>120</v>
      </c>
      <c r="S1357" s="10">
        <v>60</v>
      </c>
      <c r="T1357" s="8">
        <f t="shared" si="2167"/>
        <v>200</v>
      </c>
      <c r="U1357" s="9">
        <v>20</v>
      </c>
      <c r="V1357" s="10">
        <v>120</v>
      </c>
      <c r="W1357" s="10">
        <v>60</v>
      </c>
      <c r="X1357" s="8">
        <f t="shared" si="2168"/>
        <v>200</v>
      </c>
      <c r="Y1357" s="9">
        <v>20</v>
      </c>
      <c r="Z1357" s="10">
        <v>120</v>
      </c>
      <c r="AA1357" s="10">
        <v>60</v>
      </c>
      <c r="AB1357" s="8">
        <f t="shared" si="2169"/>
        <v>200</v>
      </c>
      <c r="AC1357" s="93">
        <f t="shared" si="2170"/>
        <v>600</v>
      </c>
      <c r="AD1357" s="109">
        <v>45966</v>
      </c>
    </row>
    <row r="1358" spans="1:30" x14ac:dyDescent="0.15">
      <c r="A1358" s="33" t="s">
        <v>36</v>
      </c>
      <c r="B1358" s="9"/>
      <c r="C1358" s="10"/>
      <c r="D1358" s="10">
        <v>1</v>
      </c>
      <c r="E1358" s="8">
        <f t="shared" si="2163"/>
        <v>1</v>
      </c>
      <c r="F1358" s="9"/>
      <c r="G1358" s="10"/>
      <c r="H1358" s="10">
        <v>1</v>
      </c>
      <c r="I1358" s="8">
        <f t="shared" si="2164"/>
        <v>1</v>
      </c>
      <c r="J1358" s="9"/>
      <c r="K1358" s="10"/>
      <c r="L1358" s="10">
        <v>1</v>
      </c>
      <c r="M1358" s="39">
        <f t="shared" si="2165"/>
        <v>1</v>
      </c>
      <c r="N1358" s="138">
        <f t="shared" si="2166"/>
        <v>3</v>
      </c>
      <c r="O1358" s="70">
        <v>45968</v>
      </c>
      <c r="P1358" s="4" t="s">
        <v>1244</v>
      </c>
      <c r="Q1358" s="9">
        <v>10</v>
      </c>
      <c r="R1358" s="10"/>
      <c r="S1358" s="10"/>
      <c r="T1358" s="8">
        <f t="shared" si="2167"/>
        <v>10</v>
      </c>
      <c r="U1358" s="9">
        <v>10</v>
      </c>
      <c r="V1358" s="10"/>
      <c r="W1358" s="10"/>
      <c r="X1358" s="8">
        <f t="shared" si="2168"/>
        <v>10</v>
      </c>
      <c r="Y1358" s="9">
        <v>10</v>
      </c>
      <c r="Z1358" s="10"/>
      <c r="AA1358" s="10"/>
      <c r="AB1358" s="8">
        <f t="shared" si="2169"/>
        <v>10</v>
      </c>
      <c r="AC1358" s="93">
        <f t="shared" si="2170"/>
        <v>30</v>
      </c>
      <c r="AD1358" s="109">
        <v>45968</v>
      </c>
    </row>
    <row r="1359" spans="1:30" x14ac:dyDescent="0.15">
      <c r="A1359" s="33" t="s">
        <v>36</v>
      </c>
      <c r="B1359" s="9"/>
      <c r="C1359" s="10">
        <v>3</v>
      </c>
      <c r="D1359" s="10"/>
      <c r="E1359" s="8">
        <f t="shared" si="2163"/>
        <v>3</v>
      </c>
      <c r="F1359" s="9"/>
      <c r="G1359" s="10">
        <v>3</v>
      </c>
      <c r="H1359" s="10"/>
      <c r="I1359" s="8">
        <f t="shared" si="2164"/>
        <v>3</v>
      </c>
      <c r="J1359" s="9"/>
      <c r="K1359" s="10">
        <v>3</v>
      </c>
      <c r="L1359" s="10"/>
      <c r="M1359" s="39">
        <f t="shared" si="2165"/>
        <v>3</v>
      </c>
      <c r="N1359" s="138">
        <f t="shared" si="2166"/>
        <v>9</v>
      </c>
      <c r="O1359" s="24">
        <v>45971</v>
      </c>
      <c r="P1359" s="4" t="s">
        <v>1246</v>
      </c>
      <c r="Q1359" s="9">
        <v>20</v>
      </c>
      <c r="R1359" s="10"/>
      <c r="S1359" s="10"/>
      <c r="T1359" s="8">
        <f t="shared" si="2167"/>
        <v>20</v>
      </c>
      <c r="U1359" s="9">
        <v>20</v>
      </c>
      <c r="V1359" s="10"/>
      <c r="W1359" s="10"/>
      <c r="X1359" s="8">
        <f t="shared" si="2168"/>
        <v>20</v>
      </c>
      <c r="Y1359" s="9">
        <v>20</v>
      </c>
      <c r="Z1359" s="10"/>
      <c r="AA1359" s="10"/>
      <c r="AB1359" s="8">
        <f t="shared" si="2169"/>
        <v>20</v>
      </c>
      <c r="AC1359" s="93">
        <f t="shared" si="2170"/>
        <v>60</v>
      </c>
      <c r="AD1359" s="109">
        <v>45968</v>
      </c>
    </row>
    <row r="1360" spans="1:30" x14ac:dyDescent="0.15">
      <c r="A1360" s="4" t="s">
        <v>1261</v>
      </c>
      <c r="B1360" s="9">
        <v>3</v>
      </c>
      <c r="C1360" s="10">
        <v>2</v>
      </c>
      <c r="D1360" s="10">
        <v>1</v>
      </c>
      <c r="E1360" s="8">
        <f t="shared" si="2163"/>
        <v>6</v>
      </c>
      <c r="F1360" s="9">
        <v>3</v>
      </c>
      <c r="G1360" s="10">
        <v>2</v>
      </c>
      <c r="H1360" s="10">
        <v>1</v>
      </c>
      <c r="I1360" s="8">
        <f t="shared" si="2164"/>
        <v>6</v>
      </c>
      <c r="J1360" s="9">
        <v>3</v>
      </c>
      <c r="K1360" s="10">
        <v>2</v>
      </c>
      <c r="L1360" s="10">
        <v>1</v>
      </c>
      <c r="M1360" s="39">
        <f t="shared" si="2165"/>
        <v>6</v>
      </c>
      <c r="N1360" s="138">
        <f t="shared" si="2166"/>
        <v>18</v>
      </c>
      <c r="O1360" s="24">
        <v>45974</v>
      </c>
      <c r="P1360" s="4" t="s">
        <v>1249</v>
      </c>
      <c r="Q1360" s="9">
        <v>10</v>
      </c>
      <c r="R1360" s="10">
        <v>10</v>
      </c>
      <c r="S1360" s="10"/>
      <c r="T1360" s="8">
        <f t="shared" si="2167"/>
        <v>20</v>
      </c>
      <c r="U1360" s="9">
        <v>10</v>
      </c>
      <c r="V1360" s="10">
        <v>10</v>
      </c>
      <c r="W1360" s="10"/>
      <c r="X1360" s="8">
        <f t="shared" si="2168"/>
        <v>20</v>
      </c>
      <c r="Y1360" s="9">
        <v>10</v>
      </c>
      <c r="Z1360" s="10">
        <v>10</v>
      </c>
      <c r="AA1360" s="10"/>
      <c r="AB1360" s="8">
        <f t="shared" si="2169"/>
        <v>20</v>
      </c>
      <c r="AC1360" s="93">
        <f t="shared" si="2170"/>
        <v>60</v>
      </c>
      <c r="AD1360" s="109">
        <v>45972</v>
      </c>
    </row>
    <row r="1361" spans="1:31" x14ac:dyDescent="0.15">
      <c r="A1361" s="33" t="s">
        <v>36</v>
      </c>
      <c r="B1361" s="9"/>
      <c r="C1361" s="10">
        <v>3</v>
      </c>
      <c r="D1361" s="10">
        <v>1</v>
      </c>
      <c r="E1361" s="8">
        <f t="shared" si="2163"/>
        <v>4</v>
      </c>
      <c r="F1361" s="9"/>
      <c r="G1361" s="10">
        <v>3</v>
      </c>
      <c r="H1361" s="10">
        <v>1</v>
      </c>
      <c r="I1361" s="8">
        <f t="shared" si="2164"/>
        <v>4</v>
      </c>
      <c r="J1361" s="9"/>
      <c r="K1361" s="10">
        <v>3</v>
      </c>
      <c r="L1361" s="10">
        <v>1</v>
      </c>
      <c r="M1361" s="39">
        <f t="shared" si="2165"/>
        <v>4</v>
      </c>
      <c r="N1361" s="138">
        <f t="shared" si="2166"/>
        <v>12</v>
      </c>
      <c r="O1361" s="70">
        <v>45973</v>
      </c>
      <c r="P1361" s="4" t="s">
        <v>1250</v>
      </c>
      <c r="Q1361" s="9">
        <v>30</v>
      </c>
      <c r="R1361" s="10">
        <v>40</v>
      </c>
      <c r="S1361" s="10">
        <v>20</v>
      </c>
      <c r="T1361" s="8">
        <f t="shared" si="2167"/>
        <v>90</v>
      </c>
      <c r="U1361" s="9">
        <v>30</v>
      </c>
      <c r="V1361" s="10">
        <v>40</v>
      </c>
      <c r="W1361" s="10">
        <v>20</v>
      </c>
      <c r="X1361" s="8">
        <f t="shared" si="2168"/>
        <v>90</v>
      </c>
      <c r="Y1361" s="9">
        <v>30</v>
      </c>
      <c r="Z1361" s="10">
        <v>40</v>
      </c>
      <c r="AA1361" s="10">
        <v>20</v>
      </c>
      <c r="AB1361" s="8">
        <f t="shared" si="2169"/>
        <v>90</v>
      </c>
      <c r="AC1361" s="93">
        <f t="shared" si="2170"/>
        <v>270</v>
      </c>
      <c r="AD1361" s="109">
        <v>45969</v>
      </c>
    </row>
    <row r="1362" spans="1:31" x14ac:dyDescent="0.15">
      <c r="A1362" s="33"/>
      <c r="B1362" s="9"/>
      <c r="C1362" s="10"/>
      <c r="D1362" s="10"/>
      <c r="E1362" s="8">
        <f t="shared" si="2163"/>
        <v>0</v>
      </c>
      <c r="F1362" s="9"/>
      <c r="G1362" s="10"/>
      <c r="H1362" s="10"/>
      <c r="I1362" s="8">
        <f t="shared" si="2164"/>
        <v>0</v>
      </c>
      <c r="J1362" s="9"/>
      <c r="K1362" s="10"/>
      <c r="L1362" s="10"/>
      <c r="M1362" s="39">
        <f t="shared" si="2165"/>
        <v>0</v>
      </c>
      <c r="N1362" s="138">
        <f t="shared" si="2166"/>
        <v>0</v>
      </c>
      <c r="P1362" s="4" t="s">
        <v>1251</v>
      </c>
      <c r="Q1362" s="9">
        <v>10</v>
      </c>
      <c r="R1362" s="10">
        <v>10</v>
      </c>
      <c r="S1362" s="10">
        <v>5</v>
      </c>
      <c r="T1362" s="8">
        <f t="shared" si="2167"/>
        <v>25</v>
      </c>
      <c r="U1362" s="9">
        <v>10</v>
      </c>
      <c r="V1362" s="10">
        <v>10</v>
      </c>
      <c r="W1362" s="10">
        <v>5</v>
      </c>
      <c r="X1362" s="8">
        <f t="shared" si="2168"/>
        <v>25</v>
      </c>
      <c r="Y1362" s="9">
        <v>10</v>
      </c>
      <c r="Z1362" s="10">
        <v>10</v>
      </c>
      <c r="AA1362" s="10">
        <v>5</v>
      </c>
      <c r="AB1362" s="8">
        <f t="shared" si="2169"/>
        <v>25</v>
      </c>
      <c r="AC1362" s="93">
        <f t="shared" si="2170"/>
        <v>75</v>
      </c>
      <c r="AD1362" s="109">
        <v>45968</v>
      </c>
    </row>
    <row r="1363" spans="1:31" x14ac:dyDescent="0.15">
      <c r="A1363" s="33"/>
      <c r="B1363" s="9"/>
      <c r="C1363" s="10"/>
      <c r="D1363" s="10"/>
      <c r="E1363" s="8">
        <f t="shared" si="2163"/>
        <v>0</v>
      </c>
      <c r="F1363" s="9"/>
      <c r="G1363" s="10"/>
      <c r="H1363" s="10"/>
      <c r="I1363" s="8">
        <f t="shared" si="2164"/>
        <v>0</v>
      </c>
      <c r="J1363" s="9"/>
      <c r="K1363" s="10"/>
      <c r="L1363" s="10"/>
      <c r="M1363" s="39">
        <f t="shared" si="2165"/>
        <v>0</v>
      </c>
      <c r="N1363" s="138">
        <f t="shared" si="2166"/>
        <v>0</v>
      </c>
      <c r="P1363" s="4" t="s">
        <v>1253</v>
      </c>
      <c r="Q1363" s="9">
        <v>5</v>
      </c>
      <c r="R1363" s="10">
        <v>5</v>
      </c>
      <c r="S1363" s="10">
        <v>5</v>
      </c>
      <c r="T1363" s="8">
        <f t="shared" ref="T1363:T1364" si="2191">SUM(Q1363:S1363)</f>
        <v>15</v>
      </c>
      <c r="U1363" s="9">
        <v>5</v>
      </c>
      <c r="V1363" s="10">
        <v>5</v>
      </c>
      <c r="W1363" s="10">
        <v>5</v>
      </c>
      <c r="X1363" s="8">
        <f t="shared" ref="X1363:X1364" si="2192">SUM(U1363:W1363)</f>
        <v>15</v>
      </c>
      <c r="Y1363" s="9">
        <v>5</v>
      </c>
      <c r="Z1363" s="10">
        <v>5</v>
      </c>
      <c r="AA1363" s="10">
        <v>5</v>
      </c>
      <c r="AB1363" s="8">
        <f t="shared" ref="AB1363:AB1364" si="2193">SUM(Y1363:AA1363)</f>
        <v>15</v>
      </c>
      <c r="AC1363" s="93">
        <f t="shared" ref="AC1363:AC1364" si="2194">T1363+X1363+AB1363</f>
        <v>45</v>
      </c>
      <c r="AD1363" s="109">
        <v>45971</v>
      </c>
      <c r="AE1363" s="58"/>
    </row>
    <row r="1364" spans="1:31" x14ac:dyDescent="0.15">
      <c r="A1364" s="33"/>
      <c r="B1364" s="9"/>
      <c r="C1364" s="10"/>
      <c r="D1364" s="10"/>
      <c r="E1364" s="8">
        <f t="shared" si="2163"/>
        <v>0</v>
      </c>
      <c r="F1364" s="9"/>
      <c r="G1364" s="10"/>
      <c r="H1364" s="10"/>
      <c r="I1364" s="8">
        <f t="shared" si="2164"/>
        <v>0</v>
      </c>
      <c r="J1364" s="9"/>
      <c r="K1364" s="10"/>
      <c r="L1364" s="10"/>
      <c r="M1364" s="39">
        <f t="shared" si="2165"/>
        <v>0</v>
      </c>
      <c r="N1364" s="138">
        <f t="shared" si="2166"/>
        <v>0</v>
      </c>
      <c r="P1364" s="11" t="s">
        <v>1255</v>
      </c>
      <c r="Q1364" s="9">
        <v>5</v>
      </c>
      <c r="R1364" s="10">
        <v>5</v>
      </c>
      <c r="S1364" s="10"/>
      <c r="T1364" s="8">
        <f t="shared" si="2191"/>
        <v>10</v>
      </c>
      <c r="U1364" s="9">
        <v>5</v>
      </c>
      <c r="V1364" s="10">
        <v>5</v>
      </c>
      <c r="W1364" s="10"/>
      <c r="X1364" s="8">
        <f t="shared" si="2192"/>
        <v>10</v>
      </c>
      <c r="Y1364" s="9">
        <v>5</v>
      </c>
      <c r="Z1364" s="10">
        <v>5</v>
      </c>
      <c r="AA1364" s="10"/>
      <c r="AB1364" s="8">
        <f t="shared" si="2193"/>
        <v>10</v>
      </c>
      <c r="AC1364" s="93">
        <f t="shared" si="2194"/>
        <v>30</v>
      </c>
      <c r="AD1364" s="109">
        <v>45975</v>
      </c>
    </row>
    <row r="1365" spans="1:31" x14ac:dyDescent="0.15">
      <c r="A1365" s="63"/>
      <c r="B1365" s="9"/>
      <c r="C1365" s="10"/>
      <c r="D1365" s="10"/>
      <c r="E1365" s="8">
        <f t="shared" si="2163"/>
        <v>0</v>
      </c>
      <c r="F1365" s="9"/>
      <c r="G1365" s="10"/>
      <c r="H1365" s="10"/>
      <c r="I1365" s="8">
        <f t="shared" si="2164"/>
        <v>0</v>
      </c>
      <c r="J1365" s="9"/>
      <c r="K1365" s="10"/>
      <c r="L1365" s="10"/>
      <c r="M1365" s="39">
        <f t="shared" si="2165"/>
        <v>0</v>
      </c>
      <c r="N1365" s="138">
        <f t="shared" si="2166"/>
        <v>0</v>
      </c>
      <c r="P1365" s="11" t="s">
        <v>1262</v>
      </c>
      <c r="Q1365" s="9">
        <v>5</v>
      </c>
      <c r="R1365" s="10">
        <v>5</v>
      </c>
      <c r="S1365" s="10">
        <v>5</v>
      </c>
      <c r="T1365" s="8">
        <f t="shared" ref="T1365:T1366" si="2195">SUM(Q1365:S1365)</f>
        <v>15</v>
      </c>
      <c r="U1365" s="9">
        <v>5</v>
      </c>
      <c r="V1365" s="10">
        <v>5</v>
      </c>
      <c r="W1365" s="10">
        <v>5</v>
      </c>
      <c r="X1365" s="8">
        <f t="shared" ref="X1365:X1366" si="2196">SUM(U1365:W1365)</f>
        <v>15</v>
      </c>
      <c r="Y1365" s="9">
        <v>5</v>
      </c>
      <c r="Z1365" s="10">
        <v>5</v>
      </c>
      <c r="AA1365" s="10">
        <v>5</v>
      </c>
      <c r="AB1365" s="8">
        <f t="shared" ref="AB1365:AB1366" si="2197">SUM(Y1365:AA1365)</f>
        <v>15</v>
      </c>
      <c r="AC1365" s="93">
        <f t="shared" ref="AC1365:AC1366" si="2198">T1365+X1365+AB1365</f>
        <v>45</v>
      </c>
      <c r="AD1365" s="109">
        <v>45974</v>
      </c>
    </row>
    <row r="1366" spans="1:31" x14ac:dyDescent="0.15">
      <c r="A1366" s="33"/>
      <c r="B1366" s="9"/>
      <c r="C1366" s="10"/>
      <c r="D1366" s="10"/>
      <c r="E1366" s="8">
        <f t="shared" si="2163"/>
        <v>0</v>
      </c>
      <c r="F1366" s="9"/>
      <c r="G1366" s="10"/>
      <c r="H1366" s="10"/>
      <c r="I1366" s="8">
        <f t="shared" si="2164"/>
        <v>0</v>
      </c>
      <c r="J1366" s="9"/>
      <c r="K1366" s="10"/>
      <c r="L1366" s="10"/>
      <c r="M1366" s="39">
        <f t="shared" si="2165"/>
        <v>0</v>
      </c>
      <c r="N1366" s="138">
        <f t="shared" si="2166"/>
        <v>0</v>
      </c>
      <c r="P1366" s="4"/>
      <c r="Q1366" s="9"/>
      <c r="R1366" s="10"/>
      <c r="S1366" s="10"/>
      <c r="T1366" s="8">
        <f t="shared" si="2195"/>
        <v>0</v>
      </c>
      <c r="U1366" s="9"/>
      <c r="V1366" s="10"/>
      <c r="W1366" s="10"/>
      <c r="X1366" s="8">
        <f t="shared" si="2196"/>
        <v>0</v>
      </c>
      <c r="Y1366" s="9"/>
      <c r="Z1366" s="10"/>
      <c r="AA1366" s="10"/>
      <c r="AB1366" s="8">
        <f t="shared" si="2197"/>
        <v>0</v>
      </c>
      <c r="AC1366" s="93">
        <f t="shared" si="2198"/>
        <v>0</v>
      </c>
    </row>
    <row r="1367" spans="1:31" x14ac:dyDescent="0.15">
      <c r="A1367" s="33"/>
      <c r="B1367" s="9"/>
      <c r="C1367" s="10"/>
      <c r="D1367" s="10"/>
      <c r="E1367" s="8">
        <f t="shared" si="2163"/>
        <v>0</v>
      </c>
      <c r="F1367" s="9"/>
      <c r="G1367" s="10"/>
      <c r="H1367" s="10"/>
      <c r="I1367" s="8">
        <f t="shared" si="2164"/>
        <v>0</v>
      </c>
      <c r="J1367" s="9"/>
      <c r="K1367" s="10"/>
      <c r="L1367" s="10"/>
      <c r="M1367" s="39">
        <f t="shared" si="2165"/>
        <v>0</v>
      </c>
      <c r="N1367" s="138">
        <f t="shared" si="2166"/>
        <v>0</v>
      </c>
      <c r="P1367" s="11" t="s">
        <v>1163</v>
      </c>
      <c r="Q1367" s="9"/>
      <c r="R1367" s="10"/>
      <c r="S1367" s="10"/>
      <c r="T1367" s="8">
        <f t="shared" ref="T1367:T1369" si="2199">SUM(Q1367:S1367)</f>
        <v>0</v>
      </c>
      <c r="U1367" s="9"/>
      <c r="V1367" s="10"/>
      <c r="W1367" s="10"/>
      <c r="X1367" s="8">
        <f t="shared" ref="X1367:X1369" si="2200">SUM(U1367:W1367)</f>
        <v>0</v>
      </c>
      <c r="Y1367" s="9"/>
      <c r="Z1367" s="10"/>
      <c r="AA1367" s="10"/>
      <c r="AB1367" s="8">
        <f t="shared" ref="AB1367:AB1369" si="2201">SUM(Y1367:AA1367)</f>
        <v>0</v>
      </c>
      <c r="AC1367" s="93">
        <f t="shared" ref="AC1367:AC1369" si="2202">T1367+X1367+AB1367</f>
        <v>0</v>
      </c>
      <c r="AD1367" s="116" t="s">
        <v>1164</v>
      </c>
    </row>
    <row r="1368" spans="1:31" x14ac:dyDescent="0.15">
      <c r="A1368" s="33"/>
      <c r="B1368" s="9"/>
      <c r="C1368" s="10"/>
      <c r="D1368" s="10"/>
      <c r="E1368" s="8">
        <f t="shared" si="2163"/>
        <v>0</v>
      </c>
      <c r="F1368" s="9"/>
      <c r="G1368" s="10"/>
      <c r="H1368" s="10"/>
      <c r="I1368" s="8">
        <f t="shared" si="2164"/>
        <v>0</v>
      </c>
      <c r="J1368" s="9"/>
      <c r="K1368" s="10"/>
      <c r="L1368" s="10"/>
      <c r="M1368" s="39">
        <f t="shared" si="2165"/>
        <v>0</v>
      </c>
      <c r="N1368" s="138">
        <f t="shared" si="2166"/>
        <v>0</v>
      </c>
      <c r="P1368" s="81" t="s">
        <v>1123</v>
      </c>
      <c r="Q1368" s="9"/>
      <c r="R1368" s="10"/>
      <c r="S1368" s="10"/>
      <c r="T1368" s="8">
        <f t="shared" si="2199"/>
        <v>0</v>
      </c>
      <c r="U1368" s="9"/>
      <c r="V1368" s="10"/>
      <c r="W1368" s="10"/>
      <c r="X1368" s="8">
        <f t="shared" si="2200"/>
        <v>0</v>
      </c>
      <c r="Y1368" s="9"/>
      <c r="Z1368" s="10"/>
      <c r="AA1368" s="10"/>
      <c r="AB1368" s="8">
        <f t="shared" si="2201"/>
        <v>0</v>
      </c>
      <c r="AC1368" s="93">
        <f t="shared" si="2202"/>
        <v>0</v>
      </c>
      <c r="AD1368" s="116"/>
    </row>
    <row r="1369" spans="1:31" x14ac:dyDescent="0.15">
      <c r="A1369" s="33"/>
      <c r="B1369" s="9"/>
      <c r="C1369" s="10"/>
      <c r="D1369" s="10"/>
      <c r="E1369" s="8">
        <f t="shared" si="2163"/>
        <v>0</v>
      </c>
      <c r="F1369" s="9"/>
      <c r="G1369" s="10"/>
      <c r="H1369" s="10"/>
      <c r="I1369" s="8">
        <f t="shared" si="2164"/>
        <v>0</v>
      </c>
      <c r="J1369" s="9"/>
      <c r="K1369" s="10"/>
      <c r="L1369" s="10"/>
      <c r="M1369" s="39">
        <f t="shared" si="2165"/>
        <v>0</v>
      </c>
      <c r="N1369" s="138">
        <f t="shared" si="2166"/>
        <v>0</v>
      </c>
      <c r="P1369" s="4" t="s">
        <v>1122</v>
      </c>
      <c r="Q1369" s="9"/>
      <c r="R1369" s="10"/>
      <c r="S1369" s="10"/>
      <c r="T1369" s="8">
        <f t="shared" si="2199"/>
        <v>0</v>
      </c>
      <c r="U1369" s="9"/>
      <c r="V1369" s="10"/>
      <c r="W1369" s="10"/>
      <c r="X1369" s="8">
        <f t="shared" si="2200"/>
        <v>0</v>
      </c>
      <c r="Y1369" s="9"/>
      <c r="Z1369" s="10"/>
      <c r="AA1369" s="10"/>
      <c r="AB1369" s="8">
        <f t="shared" si="2201"/>
        <v>0</v>
      </c>
      <c r="AC1369" s="93">
        <f t="shared" si="2202"/>
        <v>0</v>
      </c>
      <c r="AD1369" s="109" t="s">
        <v>1124</v>
      </c>
    </row>
    <row r="1370" spans="1:31" x14ac:dyDescent="0.15">
      <c r="A1370" s="33"/>
      <c r="B1370" s="9"/>
      <c r="C1370" s="10"/>
      <c r="D1370" s="10"/>
      <c r="E1370" s="8">
        <f t="shared" si="2163"/>
        <v>0</v>
      </c>
      <c r="F1370" s="9"/>
      <c r="G1370" s="10"/>
      <c r="H1370" s="10"/>
      <c r="I1370" s="8">
        <f t="shared" si="2164"/>
        <v>0</v>
      </c>
      <c r="J1370" s="9"/>
      <c r="K1370" s="10"/>
      <c r="L1370" s="10"/>
      <c r="M1370" s="39">
        <f t="shared" si="2165"/>
        <v>0</v>
      </c>
      <c r="N1370" s="138">
        <f t="shared" si="2166"/>
        <v>0</v>
      </c>
      <c r="P1370" s="81" t="s">
        <v>1028</v>
      </c>
      <c r="Q1370" s="71"/>
      <c r="R1370" s="72"/>
      <c r="S1370" s="72"/>
      <c r="T1370" s="73">
        <f t="shared" ref="T1370:T1373" si="2203">SUM(Q1370:S1370)</f>
        <v>0</v>
      </c>
      <c r="U1370" s="71"/>
      <c r="V1370" s="72"/>
      <c r="W1370" s="72"/>
      <c r="X1370" s="73">
        <f t="shared" ref="X1370:X1373" si="2204">SUM(U1370:W1370)</f>
        <v>0</v>
      </c>
      <c r="Y1370" s="71"/>
      <c r="Z1370" s="72"/>
      <c r="AA1370" s="72"/>
      <c r="AB1370" s="73">
        <f t="shared" ref="AB1370:AB1373" si="2205">SUM(Y1370:AA1370)</f>
        <v>0</v>
      </c>
      <c r="AC1370" s="92">
        <f t="shared" ref="AC1370:AC1373" si="2206">T1370+X1370+AB1370</f>
        <v>0</v>
      </c>
      <c r="AD1370" s="117"/>
    </row>
    <row r="1371" spans="1:31" x14ac:dyDescent="0.15">
      <c r="A1371" s="33"/>
      <c r="B1371" s="9"/>
      <c r="C1371" s="10"/>
      <c r="D1371" s="10"/>
      <c r="E1371" s="8">
        <f t="shared" si="2163"/>
        <v>0</v>
      </c>
      <c r="F1371" s="9"/>
      <c r="G1371" s="10"/>
      <c r="H1371" s="10"/>
      <c r="I1371" s="8">
        <f t="shared" si="2164"/>
        <v>0</v>
      </c>
      <c r="J1371" s="9"/>
      <c r="K1371" s="10"/>
      <c r="L1371" s="10"/>
      <c r="M1371" s="39">
        <f t="shared" si="2165"/>
        <v>0</v>
      </c>
      <c r="N1371" s="138">
        <f t="shared" si="2166"/>
        <v>0</v>
      </c>
      <c r="P1371" s="4" t="s">
        <v>1029</v>
      </c>
      <c r="Q1371" s="9"/>
      <c r="R1371" s="10"/>
      <c r="S1371" s="10"/>
      <c r="T1371" s="8">
        <f t="shared" si="2203"/>
        <v>0</v>
      </c>
      <c r="U1371" s="9"/>
      <c r="V1371" s="10"/>
      <c r="W1371" s="10"/>
      <c r="X1371" s="8">
        <f t="shared" si="2204"/>
        <v>0</v>
      </c>
      <c r="Y1371" s="9"/>
      <c r="Z1371" s="10"/>
      <c r="AA1371" s="10"/>
      <c r="AB1371" s="8">
        <f t="shared" si="2205"/>
        <v>0</v>
      </c>
      <c r="AC1371" s="93">
        <f t="shared" si="2206"/>
        <v>0</v>
      </c>
      <c r="AD1371" s="116" t="s">
        <v>1030</v>
      </c>
    </row>
    <row r="1372" spans="1:31" x14ac:dyDescent="0.15">
      <c r="A1372" s="33"/>
      <c r="B1372" s="9"/>
      <c r="C1372" s="10"/>
      <c r="D1372" s="10"/>
      <c r="E1372" s="8">
        <f t="shared" si="2163"/>
        <v>0</v>
      </c>
      <c r="F1372" s="9"/>
      <c r="G1372" s="10"/>
      <c r="H1372" s="10"/>
      <c r="I1372" s="8">
        <f t="shared" si="2164"/>
        <v>0</v>
      </c>
      <c r="J1372" s="9"/>
      <c r="K1372" s="10"/>
      <c r="L1372" s="10"/>
      <c r="M1372" s="39">
        <f t="shared" si="2165"/>
        <v>0</v>
      </c>
      <c r="N1372" s="138">
        <f t="shared" si="2166"/>
        <v>0</v>
      </c>
      <c r="P1372" s="6" t="s">
        <v>938</v>
      </c>
      <c r="Q1372" s="71"/>
      <c r="R1372" s="72"/>
      <c r="S1372" s="72"/>
      <c r="T1372" s="73">
        <f t="shared" si="2203"/>
        <v>0</v>
      </c>
      <c r="U1372" s="71"/>
      <c r="V1372" s="72"/>
      <c r="W1372" s="72"/>
      <c r="X1372" s="73">
        <f t="shared" si="2204"/>
        <v>0</v>
      </c>
      <c r="Y1372" s="71"/>
      <c r="Z1372" s="72"/>
      <c r="AA1372" s="72"/>
      <c r="AB1372" s="73">
        <f t="shared" si="2205"/>
        <v>0</v>
      </c>
      <c r="AC1372" s="92">
        <f t="shared" si="2206"/>
        <v>0</v>
      </c>
      <c r="AD1372" s="117"/>
    </row>
    <row r="1373" spans="1:31" ht="14.25" thickBot="1" x14ac:dyDescent="0.2">
      <c r="A1373" s="63"/>
      <c r="B1373" s="9"/>
      <c r="C1373" s="10"/>
      <c r="D1373" s="22"/>
      <c r="E1373" s="8">
        <f t="shared" si="2163"/>
        <v>0</v>
      </c>
      <c r="F1373" s="9"/>
      <c r="G1373" s="10"/>
      <c r="H1373" s="22"/>
      <c r="I1373" s="8">
        <f t="shared" si="2164"/>
        <v>0</v>
      </c>
      <c r="J1373" s="9"/>
      <c r="K1373" s="10"/>
      <c r="L1373" s="22"/>
      <c r="M1373" s="39">
        <f t="shared" si="2165"/>
        <v>0</v>
      </c>
      <c r="N1373" s="139">
        <f t="shared" si="2166"/>
        <v>0</v>
      </c>
      <c r="P1373" s="11" t="s">
        <v>1144</v>
      </c>
      <c r="Q1373" s="9"/>
      <c r="R1373" s="10"/>
      <c r="S1373" s="10"/>
      <c r="T1373" s="8">
        <f t="shared" si="2203"/>
        <v>0</v>
      </c>
      <c r="U1373" s="9"/>
      <c r="V1373" s="10"/>
      <c r="W1373" s="10"/>
      <c r="X1373" s="8">
        <f t="shared" si="2204"/>
        <v>0</v>
      </c>
      <c r="Y1373" s="9"/>
      <c r="Z1373" s="10"/>
      <c r="AA1373" s="10"/>
      <c r="AB1373" s="8">
        <f t="shared" si="2205"/>
        <v>0</v>
      </c>
      <c r="AC1373" s="93">
        <f t="shared" si="2206"/>
        <v>0</v>
      </c>
      <c r="AD1373" s="116" t="s">
        <v>951</v>
      </c>
    </row>
    <row r="1374" spans="1:31" ht="14.25" thickBot="1" x14ac:dyDescent="0.2">
      <c r="A1374" s="104" t="s">
        <v>5</v>
      </c>
      <c r="B1374" s="12">
        <f>SUM(B1350:B1373)</f>
        <v>14</v>
      </c>
      <c r="C1374" s="12">
        <f>SUM(C1350:C1373)</f>
        <v>15</v>
      </c>
      <c r="D1374" s="12">
        <f>SUM(D1350:D1373)</f>
        <v>8</v>
      </c>
      <c r="E1374" s="13">
        <f t="shared" si="2163"/>
        <v>37</v>
      </c>
      <c r="F1374" s="12">
        <f>SUM(F1350:F1373)</f>
        <v>15</v>
      </c>
      <c r="G1374" s="12">
        <f>SUM(G1350:G1373)</f>
        <v>15</v>
      </c>
      <c r="H1374" s="12">
        <f>SUM(H1350:H1373)</f>
        <v>8</v>
      </c>
      <c r="I1374" s="13">
        <f t="shared" si="2164"/>
        <v>38</v>
      </c>
      <c r="J1374" s="12">
        <f>SUM(J1350:J1373)</f>
        <v>14</v>
      </c>
      <c r="K1374" s="12">
        <f>SUM(K1350:K1373)</f>
        <v>16</v>
      </c>
      <c r="L1374" s="12">
        <f>SUM(L1350:L1373)</f>
        <v>8</v>
      </c>
      <c r="M1374" s="12">
        <f t="shared" si="2165"/>
        <v>38</v>
      </c>
      <c r="N1374" s="142">
        <f t="shared" si="2166"/>
        <v>113</v>
      </c>
      <c r="P1374" s="3" t="s">
        <v>5</v>
      </c>
      <c r="Q1374" s="12">
        <f>SUM(Q1350:Q1373)</f>
        <v>127</v>
      </c>
      <c r="R1374" s="12">
        <f t="shared" ref="R1374" si="2207">SUM(R1350:R1373)</f>
        <v>238</v>
      </c>
      <c r="S1374" s="12">
        <f t="shared" ref="S1374" si="2208">SUM(S1350:S1373)</f>
        <v>125</v>
      </c>
      <c r="T1374" s="13">
        <f t="shared" ref="T1374" si="2209">SUM(T1350:T1373)</f>
        <v>490</v>
      </c>
      <c r="U1374" s="12">
        <f t="shared" ref="U1374" si="2210">SUM(U1350:U1373)</f>
        <v>127</v>
      </c>
      <c r="V1374" s="12">
        <f t="shared" ref="V1374" si="2211">SUM(V1350:V1373)</f>
        <v>238</v>
      </c>
      <c r="W1374" s="12">
        <f t="shared" ref="W1374" si="2212">SUM(W1350:W1373)</f>
        <v>125</v>
      </c>
      <c r="X1374" s="13">
        <f t="shared" ref="X1374" si="2213">SUM(X1350:X1373)</f>
        <v>490</v>
      </c>
      <c r="Y1374" s="12">
        <f t="shared" ref="Y1374" si="2214">SUM(Y1350:Y1373)</f>
        <v>127</v>
      </c>
      <c r="Z1374" s="12">
        <f t="shared" ref="Z1374" si="2215">SUM(Z1350:Z1373)</f>
        <v>238</v>
      </c>
      <c r="AA1374" s="12">
        <f t="shared" ref="AA1374" si="2216">SUM(AA1350:AA1373)</f>
        <v>125</v>
      </c>
      <c r="AB1374" s="13">
        <f t="shared" ref="AB1374" si="2217">SUM(AB1350:AB1373)</f>
        <v>490</v>
      </c>
      <c r="AC1374" s="155">
        <f t="shared" ref="AC1374" si="2218">SUM(AC1350:AC1373)</f>
        <v>1470</v>
      </c>
    </row>
    <row r="1375" spans="1:31" ht="14.25" thickBot="1" x14ac:dyDescent="0.2">
      <c r="A1375" s="105" t="s">
        <v>6</v>
      </c>
      <c r="B1375" s="20">
        <f>B1349-B1374</f>
        <v>20</v>
      </c>
      <c r="C1375" s="20">
        <f t="shared" ref="C1375:E1375" si="2219">C1349-C1374</f>
        <v>19</v>
      </c>
      <c r="D1375" s="20">
        <f t="shared" si="2219"/>
        <v>21</v>
      </c>
      <c r="E1375" s="18">
        <f t="shared" si="2219"/>
        <v>60</v>
      </c>
      <c r="F1375" s="20">
        <f>F1349-F1374</f>
        <v>20</v>
      </c>
      <c r="G1375" s="20">
        <f t="shared" ref="G1375:I1375" si="2220">G1349-G1374</f>
        <v>19</v>
      </c>
      <c r="H1375" s="20">
        <f t="shared" si="2220"/>
        <v>21</v>
      </c>
      <c r="I1375" s="18">
        <f t="shared" si="2220"/>
        <v>60</v>
      </c>
      <c r="J1375" s="20">
        <f>J1349-J1374</f>
        <v>22</v>
      </c>
      <c r="K1375" s="20">
        <f t="shared" ref="K1375:M1375" si="2221">K1349-K1374</f>
        <v>18</v>
      </c>
      <c r="L1375" s="20">
        <f t="shared" si="2221"/>
        <v>23</v>
      </c>
      <c r="M1375" s="20">
        <f t="shared" si="2221"/>
        <v>63</v>
      </c>
      <c r="N1375" s="140">
        <f t="shared" si="2166"/>
        <v>183</v>
      </c>
      <c r="P1375" s="19" t="s">
        <v>6</v>
      </c>
      <c r="Q1375" s="20">
        <f>Q1349-Q1374</f>
        <v>298</v>
      </c>
      <c r="R1375" s="20">
        <f t="shared" ref="R1375" si="2222">R1349-R1374</f>
        <v>202</v>
      </c>
      <c r="S1375" s="20">
        <f t="shared" ref="S1375" si="2223">S1349-S1374</f>
        <v>387</v>
      </c>
      <c r="T1375" s="18">
        <f t="shared" ref="T1375" si="2224">T1349-T1374</f>
        <v>887</v>
      </c>
      <c r="U1375" s="20">
        <f t="shared" ref="U1375" si="2225">U1349-U1374</f>
        <v>338</v>
      </c>
      <c r="V1375" s="20">
        <f t="shared" ref="V1375" si="2226">V1349-V1374</f>
        <v>385</v>
      </c>
      <c r="W1375" s="20">
        <f t="shared" ref="W1375" si="2227">W1349-W1374</f>
        <v>462</v>
      </c>
      <c r="X1375" s="18">
        <f t="shared" ref="X1375" si="2228">X1349-X1374</f>
        <v>1185</v>
      </c>
      <c r="Y1375" s="20">
        <f t="shared" ref="Y1375" si="2229">Y1349-Y1374</f>
        <v>259</v>
      </c>
      <c r="Z1375" s="20">
        <f t="shared" ref="Z1375" si="2230">Z1349-Z1374</f>
        <v>215</v>
      </c>
      <c r="AA1375" s="20">
        <f t="shared" ref="AA1375" si="2231">AA1349-AA1374</f>
        <v>303</v>
      </c>
      <c r="AB1375" s="18">
        <f t="shared" ref="AB1375" si="2232">AB1349-AB1374</f>
        <v>777</v>
      </c>
      <c r="AC1375" s="88">
        <f t="shared" ref="AC1375" si="2233">AC1349-AC1374</f>
        <v>2849</v>
      </c>
    </row>
    <row r="1378" spans="1:29" ht="19.5" thickBot="1" x14ac:dyDescent="0.25">
      <c r="A1378" s="108" t="s">
        <v>264</v>
      </c>
      <c r="B1378" s="47"/>
      <c r="C1378" s="47"/>
      <c r="D1378" s="47"/>
      <c r="E1378" s="47"/>
      <c r="F1378" s="48"/>
      <c r="G1378" s="48"/>
      <c r="H1378" s="48"/>
      <c r="I1378" s="48"/>
      <c r="J1378" s="48"/>
      <c r="K1378" s="48"/>
      <c r="L1378" s="1"/>
      <c r="M1378" s="1"/>
      <c r="N1378" s="137"/>
      <c r="P1378" s="43" t="s">
        <v>263</v>
      </c>
      <c r="Q1378" s="44"/>
      <c r="R1378" s="44"/>
      <c r="S1378" s="44"/>
      <c r="T1378" s="44"/>
      <c r="U1378" s="45"/>
      <c r="V1378" s="45"/>
      <c r="W1378" s="45"/>
      <c r="X1378" s="45"/>
      <c r="Y1378" s="46"/>
      <c r="Z1378" s="53"/>
      <c r="AA1378" s="1"/>
      <c r="AB1378" s="1"/>
    </row>
    <row r="1379" spans="1:29" ht="14.25" thickBot="1" x14ac:dyDescent="0.2">
      <c r="A1379" s="100" t="s">
        <v>0</v>
      </c>
      <c r="B1379" s="337" t="s">
        <v>11</v>
      </c>
      <c r="C1379" s="337"/>
      <c r="D1379" s="337"/>
      <c r="E1379" s="338"/>
      <c r="F1379" s="339" t="s">
        <v>9</v>
      </c>
      <c r="G1379" s="340"/>
      <c r="H1379" s="340"/>
      <c r="I1379" s="341"/>
      <c r="J1379" s="342" t="s">
        <v>12</v>
      </c>
      <c r="K1379" s="343"/>
      <c r="L1379" s="343"/>
      <c r="M1379" s="343"/>
      <c r="N1379" s="347" t="s">
        <v>13</v>
      </c>
      <c r="P1379" s="2" t="s">
        <v>0</v>
      </c>
      <c r="Q1379" s="336" t="s">
        <v>11</v>
      </c>
      <c r="R1379" s="337"/>
      <c r="S1379" s="337"/>
      <c r="T1379" s="338"/>
      <c r="U1379" s="339" t="s">
        <v>9</v>
      </c>
      <c r="V1379" s="340"/>
      <c r="W1379" s="340"/>
      <c r="X1379" s="341"/>
      <c r="Y1379" s="342" t="s">
        <v>12</v>
      </c>
      <c r="Z1379" s="343"/>
      <c r="AA1379" s="343"/>
      <c r="AB1379" s="344"/>
      <c r="AC1379" s="133" t="s">
        <v>13</v>
      </c>
    </row>
    <row r="1380" spans="1:29" ht="14.25" thickBot="1" x14ac:dyDescent="0.2">
      <c r="A1380" s="100" t="s">
        <v>1</v>
      </c>
      <c r="B1380" s="3" t="s">
        <v>7</v>
      </c>
      <c r="C1380" s="2" t="s">
        <v>10</v>
      </c>
      <c r="D1380" s="2" t="s">
        <v>8</v>
      </c>
      <c r="E1380" s="2" t="s">
        <v>2</v>
      </c>
      <c r="F1380" s="3" t="s">
        <v>7</v>
      </c>
      <c r="G1380" s="2" t="s">
        <v>10</v>
      </c>
      <c r="H1380" s="2" t="s">
        <v>8</v>
      </c>
      <c r="I1380" s="2" t="s">
        <v>2</v>
      </c>
      <c r="J1380" s="3" t="s">
        <v>7</v>
      </c>
      <c r="K1380" s="2" t="s">
        <v>10</v>
      </c>
      <c r="L1380" s="2" t="s">
        <v>8</v>
      </c>
      <c r="M1380" s="3" t="s">
        <v>2</v>
      </c>
      <c r="N1380" s="348"/>
      <c r="P1380" s="2" t="s">
        <v>1</v>
      </c>
      <c r="Q1380" s="3" t="s">
        <v>7</v>
      </c>
      <c r="R1380" s="2" t="s">
        <v>10</v>
      </c>
      <c r="S1380" s="2" t="s">
        <v>8</v>
      </c>
      <c r="T1380" s="2" t="s">
        <v>2</v>
      </c>
      <c r="U1380" s="3" t="s">
        <v>7</v>
      </c>
      <c r="V1380" s="2" t="s">
        <v>10</v>
      </c>
      <c r="W1380" s="2" t="s">
        <v>8</v>
      </c>
      <c r="X1380" s="2" t="s">
        <v>2</v>
      </c>
      <c r="Y1380" s="3" t="s">
        <v>7</v>
      </c>
      <c r="Z1380" s="2" t="s">
        <v>10</v>
      </c>
      <c r="AA1380" s="2" t="s">
        <v>8</v>
      </c>
      <c r="AB1380" s="2" t="s">
        <v>2</v>
      </c>
      <c r="AC1380" s="134"/>
    </row>
    <row r="1381" spans="1:29" x14ac:dyDescent="0.15">
      <c r="A1381" s="106" t="s">
        <v>6</v>
      </c>
      <c r="B1381" s="41">
        <f>B1375</f>
        <v>20</v>
      </c>
      <c r="C1381" s="41">
        <f t="shared" ref="C1381:E1381" si="2234">C1375</f>
        <v>19</v>
      </c>
      <c r="D1381" s="41">
        <f t="shared" si="2234"/>
        <v>21</v>
      </c>
      <c r="E1381" s="42">
        <f t="shared" si="2234"/>
        <v>60</v>
      </c>
      <c r="F1381" s="41">
        <f>F1375</f>
        <v>20</v>
      </c>
      <c r="G1381" s="41">
        <f t="shared" ref="G1381:I1381" si="2235">G1375</f>
        <v>19</v>
      </c>
      <c r="H1381" s="41">
        <f t="shared" si="2235"/>
        <v>21</v>
      </c>
      <c r="I1381" s="42">
        <f t="shared" si="2235"/>
        <v>60</v>
      </c>
      <c r="J1381" s="41">
        <f>J1375</f>
        <v>22</v>
      </c>
      <c r="K1381" s="41">
        <f t="shared" ref="K1381:M1381" si="2236">K1375</f>
        <v>18</v>
      </c>
      <c r="L1381" s="41">
        <f t="shared" si="2236"/>
        <v>23</v>
      </c>
      <c r="M1381" s="42">
        <f t="shared" si="2236"/>
        <v>63</v>
      </c>
      <c r="N1381" s="143">
        <f>E1381+I1381+M1381</f>
        <v>183</v>
      </c>
      <c r="P1381" s="36" t="s">
        <v>6</v>
      </c>
      <c r="Q1381" s="41">
        <f>Q1375</f>
        <v>298</v>
      </c>
      <c r="R1381" s="41">
        <f t="shared" ref="R1381:AC1381" si="2237">R1375</f>
        <v>202</v>
      </c>
      <c r="S1381" s="41">
        <f t="shared" si="2237"/>
        <v>387</v>
      </c>
      <c r="T1381" s="42">
        <f t="shared" si="2237"/>
        <v>887</v>
      </c>
      <c r="U1381" s="41">
        <f t="shared" si="2237"/>
        <v>338</v>
      </c>
      <c r="V1381" s="41">
        <f t="shared" si="2237"/>
        <v>385</v>
      </c>
      <c r="W1381" s="41">
        <f t="shared" si="2237"/>
        <v>462</v>
      </c>
      <c r="X1381" s="42">
        <f t="shared" si="2237"/>
        <v>1185</v>
      </c>
      <c r="Y1381" s="41">
        <f t="shared" si="2237"/>
        <v>259</v>
      </c>
      <c r="Z1381" s="41">
        <f t="shared" si="2237"/>
        <v>215</v>
      </c>
      <c r="AA1381" s="41">
        <f t="shared" si="2237"/>
        <v>303</v>
      </c>
      <c r="AB1381" s="42">
        <f t="shared" si="2237"/>
        <v>777</v>
      </c>
      <c r="AC1381" s="90">
        <f t="shared" si="2237"/>
        <v>2849</v>
      </c>
    </row>
    <row r="1382" spans="1:29" x14ac:dyDescent="0.15">
      <c r="A1382" s="102" t="s">
        <v>3</v>
      </c>
      <c r="B1382" s="25"/>
      <c r="C1382" s="26">
        <v>10</v>
      </c>
      <c r="D1382" s="26">
        <v>10</v>
      </c>
      <c r="E1382" s="5">
        <f t="shared" ref="E1382:E1417" si="2238">SUM(B1382:D1382)</f>
        <v>20</v>
      </c>
      <c r="F1382" s="25"/>
      <c r="G1382" s="26">
        <v>10</v>
      </c>
      <c r="H1382" s="26">
        <v>10</v>
      </c>
      <c r="I1382" s="5">
        <f t="shared" ref="I1382:I1417" si="2239">SUM(F1382:H1382)</f>
        <v>20</v>
      </c>
      <c r="J1382" s="25"/>
      <c r="K1382" s="26">
        <v>10</v>
      </c>
      <c r="L1382" s="26">
        <v>10</v>
      </c>
      <c r="M1382" s="38">
        <f t="shared" ref="M1382:M1417" si="2240">SUM(J1382:L1382)</f>
        <v>20</v>
      </c>
      <c r="N1382" s="138">
        <f t="shared" ref="N1382:N1418" si="2241">E1382+I1382+M1382</f>
        <v>60</v>
      </c>
      <c r="O1382" s="24">
        <v>45979</v>
      </c>
      <c r="P1382" s="6" t="s">
        <v>3</v>
      </c>
      <c r="Q1382" s="14"/>
      <c r="R1382" s="11"/>
      <c r="S1382" s="11"/>
      <c r="T1382" s="5">
        <f t="shared" ref="T1382:T1405" si="2242">SUM(Q1382:S1382)</f>
        <v>0</v>
      </c>
      <c r="U1382" s="14"/>
      <c r="V1382" s="11"/>
      <c r="W1382" s="11"/>
      <c r="X1382" s="5">
        <f t="shared" ref="X1382:X1405" si="2243">SUM(U1382:W1382)</f>
        <v>0</v>
      </c>
      <c r="Y1382" s="25"/>
      <c r="Z1382" s="26"/>
      <c r="AA1382" s="26"/>
      <c r="AB1382" s="5">
        <f t="shared" ref="AB1382:AB1405" si="2244">SUM(Y1382:AA1382)</f>
        <v>0</v>
      </c>
      <c r="AC1382" s="86">
        <f t="shared" ref="AC1382:AC1405" si="2245">T1382+X1382+AB1382</f>
        <v>0</v>
      </c>
    </row>
    <row r="1383" spans="1:29" x14ac:dyDescent="0.15">
      <c r="A1383" s="102" t="s">
        <v>319</v>
      </c>
      <c r="B1383" s="14">
        <v>4</v>
      </c>
      <c r="C1383" s="11">
        <v>3</v>
      </c>
      <c r="D1383" s="11">
        <v>6</v>
      </c>
      <c r="E1383" s="5">
        <f t="shared" si="2238"/>
        <v>13</v>
      </c>
      <c r="F1383" s="34">
        <v>4</v>
      </c>
      <c r="G1383" s="11">
        <v>3</v>
      </c>
      <c r="H1383" s="11"/>
      <c r="I1383" s="5">
        <f t="shared" si="2239"/>
        <v>7</v>
      </c>
      <c r="J1383" s="34">
        <v>4</v>
      </c>
      <c r="K1383" s="11">
        <v>3</v>
      </c>
      <c r="L1383" s="11">
        <v>5</v>
      </c>
      <c r="M1383" s="38">
        <f t="shared" si="2240"/>
        <v>12</v>
      </c>
      <c r="N1383" s="138">
        <f t="shared" si="2241"/>
        <v>32</v>
      </c>
      <c r="O1383" s="24">
        <v>45978</v>
      </c>
      <c r="P1383" s="6" t="s">
        <v>3</v>
      </c>
      <c r="Q1383" s="14"/>
      <c r="R1383" s="11"/>
      <c r="S1383" s="11"/>
      <c r="T1383" s="5">
        <f t="shared" si="2242"/>
        <v>0</v>
      </c>
      <c r="U1383" s="14"/>
      <c r="V1383" s="11"/>
      <c r="W1383" s="11"/>
      <c r="X1383" s="5">
        <f t="shared" si="2243"/>
        <v>0</v>
      </c>
      <c r="Y1383" s="25"/>
      <c r="Z1383" s="26"/>
      <c r="AA1383" s="26"/>
      <c r="AB1383" s="5">
        <f t="shared" si="2244"/>
        <v>0</v>
      </c>
      <c r="AC1383" s="86">
        <f t="shared" si="2245"/>
        <v>0</v>
      </c>
    </row>
    <row r="1384" spans="1:29" x14ac:dyDescent="0.15">
      <c r="A1384" s="102" t="s">
        <v>3</v>
      </c>
      <c r="B1384" s="14">
        <v>10</v>
      </c>
      <c r="C1384" s="11">
        <v>10</v>
      </c>
      <c r="D1384" s="11">
        <v>5</v>
      </c>
      <c r="E1384" s="5">
        <f t="shared" si="2238"/>
        <v>25</v>
      </c>
      <c r="F1384" s="34">
        <v>10</v>
      </c>
      <c r="G1384" s="11">
        <v>10</v>
      </c>
      <c r="H1384" s="11">
        <v>10</v>
      </c>
      <c r="I1384" s="5">
        <f t="shared" si="2239"/>
        <v>30</v>
      </c>
      <c r="J1384" s="34">
        <v>10</v>
      </c>
      <c r="K1384" s="11">
        <v>10</v>
      </c>
      <c r="L1384" s="11">
        <v>5</v>
      </c>
      <c r="M1384" s="38">
        <f t="shared" si="2240"/>
        <v>25</v>
      </c>
      <c r="N1384" s="138">
        <f t="shared" si="2241"/>
        <v>80</v>
      </c>
      <c r="O1384" s="24">
        <v>45990</v>
      </c>
      <c r="P1384" s="6" t="s">
        <v>3</v>
      </c>
      <c r="Q1384" s="14"/>
      <c r="R1384" s="11"/>
      <c r="S1384" s="11"/>
      <c r="T1384" s="5">
        <f t="shared" ref="T1384:T1386" si="2246">SUM(Q1384:S1384)</f>
        <v>0</v>
      </c>
      <c r="U1384" s="14"/>
      <c r="V1384" s="11"/>
      <c r="W1384" s="11"/>
      <c r="X1384" s="5">
        <f t="shared" ref="X1384:X1386" si="2247">SUM(U1384:W1384)</f>
        <v>0</v>
      </c>
      <c r="Y1384" s="25"/>
      <c r="Z1384" s="26"/>
      <c r="AA1384" s="26"/>
      <c r="AB1384" s="5">
        <f t="shared" ref="AB1384:AB1386" si="2248">SUM(Y1384:AA1384)</f>
        <v>0</v>
      </c>
      <c r="AC1384" s="86">
        <f t="shared" ref="AC1384:AC1386" si="2249">T1384+X1384+AB1384</f>
        <v>0</v>
      </c>
    </row>
    <row r="1385" spans="1:29" x14ac:dyDescent="0.15">
      <c r="A1385" s="158" t="s">
        <v>3</v>
      </c>
      <c r="B1385" s="159"/>
      <c r="C1385" s="160">
        <v>5</v>
      </c>
      <c r="D1385" s="160"/>
      <c r="E1385" s="161">
        <f t="shared" si="2238"/>
        <v>5</v>
      </c>
      <c r="F1385" s="162"/>
      <c r="G1385" s="160">
        <v>5</v>
      </c>
      <c r="H1385" s="160"/>
      <c r="I1385" s="161">
        <f t="shared" si="2239"/>
        <v>5</v>
      </c>
      <c r="J1385" s="162"/>
      <c r="K1385" s="160">
        <v>5</v>
      </c>
      <c r="L1385" s="160"/>
      <c r="M1385" s="163">
        <f t="shared" si="2240"/>
        <v>5</v>
      </c>
      <c r="N1385" s="153">
        <f t="shared" si="2241"/>
        <v>15</v>
      </c>
      <c r="O1385" s="164">
        <v>45994</v>
      </c>
      <c r="P1385" s="6" t="s">
        <v>3</v>
      </c>
      <c r="Q1385" s="14"/>
      <c r="R1385" s="11"/>
      <c r="S1385" s="11"/>
      <c r="T1385" s="5">
        <f t="shared" si="2246"/>
        <v>0</v>
      </c>
      <c r="U1385" s="14"/>
      <c r="V1385" s="11"/>
      <c r="W1385" s="11"/>
      <c r="X1385" s="5">
        <f t="shared" si="2247"/>
        <v>0</v>
      </c>
      <c r="Y1385" s="25"/>
      <c r="Z1385" s="26"/>
      <c r="AA1385" s="26"/>
      <c r="AB1385" s="5">
        <f t="shared" si="2248"/>
        <v>0</v>
      </c>
      <c r="AC1385" s="86">
        <f t="shared" si="2249"/>
        <v>0</v>
      </c>
    </row>
    <row r="1386" spans="1:29" x14ac:dyDescent="0.15">
      <c r="A1386" s="102" t="s">
        <v>3</v>
      </c>
      <c r="B1386" s="14"/>
      <c r="C1386" s="11"/>
      <c r="D1386" s="11"/>
      <c r="E1386" s="5">
        <f t="shared" si="2238"/>
        <v>0</v>
      </c>
      <c r="F1386" s="34"/>
      <c r="G1386" s="11"/>
      <c r="H1386" s="11"/>
      <c r="I1386" s="5">
        <f t="shared" si="2239"/>
        <v>0</v>
      </c>
      <c r="J1386" s="34"/>
      <c r="K1386" s="11"/>
      <c r="L1386" s="11"/>
      <c r="M1386" s="38">
        <f t="shared" si="2240"/>
        <v>0</v>
      </c>
      <c r="N1386" s="138">
        <f t="shared" si="2241"/>
        <v>0</v>
      </c>
      <c r="P1386" s="6" t="s">
        <v>3</v>
      </c>
      <c r="Q1386" s="14"/>
      <c r="R1386" s="11"/>
      <c r="S1386" s="11"/>
      <c r="T1386" s="5">
        <f t="shared" si="2246"/>
        <v>0</v>
      </c>
      <c r="U1386" s="14"/>
      <c r="V1386" s="11"/>
      <c r="W1386" s="11"/>
      <c r="X1386" s="5">
        <f t="shared" si="2247"/>
        <v>0</v>
      </c>
      <c r="Y1386" s="25"/>
      <c r="Z1386" s="26"/>
      <c r="AA1386" s="26"/>
      <c r="AB1386" s="5">
        <f t="shared" si="2248"/>
        <v>0</v>
      </c>
      <c r="AC1386" s="86">
        <f t="shared" si="2249"/>
        <v>0</v>
      </c>
    </row>
    <row r="1387" spans="1:29" x14ac:dyDescent="0.15">
      <c r="A1387" s="102" t="s">
        <v>3</v>
      </c>
      <c r="B1387" s="25"/>
      <c r="C1387" s="26"/>
      <c r="D1387" s="26"/>
      <c r="E1387" s="8">
        <f t="shared" si="2238"/>
        <v>0</v>
      </c>
      <c r="F1387" s="25"/>
      <c r="G1387" s="26"/>
      <c r="H1387" s="26"/>
      <c r="I1387" s="8">
        <f t="shared" si="2239"/>
        <v>0</v>
      </c>
      <c r="J1387" s="25"/>
      <c r="K1387" s="26"/>
      <c r="L1387" s="26"/>
      <c r="M1387" s="39">
        <f t="shared" si="2240"/>
        <v>0</v>
      </c>
      <c r="N1387" s="138">
        <f t="shared" si="2241"/>
        <v>0</v>
      </c>
      <c r="P1387" s="6" t="s">
        <v>3</v>
      </c>
      <c r="Q1387" s="14"/>
      <c r="R1387" s="11"/>
      <c r="S1387" s="11"/>
      <c r="T1387" s="5">
        <f t="shared" ref="T1387:T1389" si="2250">SUM(Q1387:S1387)</f>
        <v>0</v>
      </c>
      <c r="U1387" s="14"/>
      <c r="V1387" s="11"/>
      <c r="W1387" s="11"/>
      <c r="X1387" s="5">
        <f t="shared" ref="X1387:X1389" si="2251">SUM(U1387:W1387)</f>
        <v>0</v>
      </c>
      <c r="Y1387" s="25"/>
      <c r="Z1387" s="26"/>
      <c r="AA1387" s="26"/>
      <c r="AB1387" s="5">
        <f t="shared" ref="AB1387:AB1389" si="2252">SUM(Y1387:AA1387)</f>
        <v>0</v>
      </c>
      <c r="AC1387" s="86">
        <f t="shared" ref="AC1387:AC1389" si="2253">T1387+X1387+AB1387</f>
        <v>0</v>
      </c>
    </row>
    <row r="1388" spans="1:29" x14ac:dyDescent="0.15">
      <c r="A1388" s="102" t="s">
        <v>3</v>
      </c>
      <c r="B1388" s="27"/>
      <c r="C1388" s="26"/>
      <c r="D1388" s="26"/>
      <c r="E1388" s="5">
        <f t="shared" si="2238"/>
        <v>0</v>
      </c>
      <c r="F1388" s="25"/>
      <c r="G1388" s="26"/>
      <c r="H1388" s="26"/>
      <c r="I1388" s="5">
        <f t="shared" si="2239"/>
        <v>0</v>
      </c>
      <c r="J1388" s="25"/>
      <c r="K1388" s="26"/>
      <c r="L1388" s="26"/>
      <c r="M1388" s="38">
        <f t="shared" si="2240"/>
        <v>0</v>
      </c>
      <c r="N1388" s="138">
        <f t="shared" si="2241"/>
        <v>0</v>
      </c>
      <c r="P1388" s="6" t="s">
        <v>3</v>
      </c>
      <c r="Q1388" s="14"/>
      <c r="R1388" s="11"/>
      <c r="S1388" s="11"/>
      <c r="T1388" s="5">
        <f t="shared" si="2250"/>
        <v>0</v>
      </c>
      <c r="U1388" s="14"/>
      <c r="V1388" s="11"/>
      <c r="W1388" s="11"/>
      <c r="X1388" s="5">
        <f t="shared" si="2251"/>
        <v>0</v>
      </c>
      <c r="Y1388" s="25"/>
      <c r="Z1388" s="26"/>
      <c r="AA1388" s="26"/>
      <c r="AB1388" s="5">
        <f t="shared" si="2252"/>
        <v>0</v>
      </c>
      <c r="AC1388" s="86">
        <f t="shared" si="2253"/>
        <v>0</v>
      </c>
    </row>
    <row r="1389" spans="1:29" x14ac:dyDescent="0.15">
      <c r="A1389" s="102" t="s">
        <v>3</v>
      </c>
      <c r="B1389" s="27"/>
      <c r="C1389" s="26"/>
      <c r="D1389" s="26"/>
      <c r="E1389" s="5">
        <f t="shared" si="2238"/>
        <v>0</v>
      </c>
      <c r="F1389" s="25"/>
      <c r="G1389" s="26"/>
      <c r="H1389" s="26"/>
      <c r="I1389" s="5">
        <f t="shared" si="2239"/>
        <v>0</v>
      </c>
      <c r="J1389" s="25"/>
      <c r="K1389" s="26"/>
      <c r="L1389" s="26"/>
      <c r="M1389" s="38">
        <f t="shared" si="2240"/>
        <v>0</v>
      </c>
      <c r="N1389" s="138">
        <f t="shared" si="2241"/>
        <v>0</v>
      </c>
      <c r="P1389" s="6" t="s">
        <v>3</v>
      </c>
      <c r="Q1389" s="14"/>
      <c r="R1389" s="11"/>
      <c r="S1389" s="11"/>
      <c r="T1389" s="5">
        <f t="shared" si="2250"/>
        <v>0</v>
      </c>
      <c r="U1389" s="14"/>
      <c r="V1389" s="11"/>
      <c r="W1389" s="11"/>
      <c r="X1389" s="5">
        <f t="shared" si="2251"/>
        <v>0</v>
      </c>
      <c r="Y1389" s="25"/>
      <c r="Z1389" s="26"/>
      <c r="AA1389" s="26"/>
      <c r="AB1389" s="5">
        <f t="shared" si="2252"/>
        <v>0</v>
      </c>
      <c r="AC1389" s="86">
        <f t="shared" si="2253"/>
        <v>0</v>
      </c>
    </row>
    <row r="1390" spans="1:29" x14ac:dyDescent="0.15">
      <c r="A1390" s="102" t="s">
        <v>3</v>
      </c>
      <c r="B1390" s="27"/>
      <c r="C1390" s="26"/>
      <c r="D1390" s="26"/>
      <c r="E1390" s="5">
        <f t="shared" si="2238"/>
        <v>0</v>
      </c>
      <c r="F1390" s="25"/>
      <c r="G1390" s="26"/>
      <c r="H1390" s="26"/>
      <c r="I1390" s="5">
        <f t="shared" si="2239"/>
        <v>0</v>
      </c>
      <c r="J1390" s="25"/>
      <c r="K1390" s="26"/>
      <c r="L1390" s="26"/>
      <c r="M1390" s="38">
        <f t="shared" si="2240"/>
        <v>0</v>
      </c>
      <c r="N1390" s="138">
        <f t="shared" si="2241"/>
        <v>0</v>
      </c>
      <c r="P1390" s="6" t="s">
        <v>3</v>
      </c>
      <c r="Q1390" s="27"/>
      <c r="R1390" s="26"/>
      <c r="S1390" s="26"/>
      <c r="T1390" s="5">
        <f t="shared" si="2242"/>
        <v>0</v>
      </c>
      <c r="U1390" s="27"/>
      <c r="V1390" s="26"/>
      <c r="W1390" s="26"/>
      <c r="X1390" s="5">
        <f t="shared" si="2243"/>
        <v>0</v>
      </c>
      <c r="Y1390" s="25"/>
      <c r="Z1390" s="26"/>
      <c r="AA1390" s="26"/>
      <c r="AB1390" s="5">
        <f t="shared" si="2244"/>
        <v>0</v>
      </c>
      <c r="AC1390" s="86">
        <f t="shared" si="2245"/>
        <v>0</v>
      </c>
    </row>
    <row r="1391" spans="1:29" ht="14.25" thickBot="1" x14ac:dyDescent="0.2">
      <c r="A1391" s="102" t="s">
        <v>3</v>
      </c>
      <c r="B1391" s="28"/>
      <c r="C1391" s="29"/>
      <c r="D1391" s="32"/>
      <c r="E1391" s="15">
        <f t="shared" si="2238"/>
        <v>0</v>
      </c>
      <c r="F1391" s="35"/>
      <c r="G1391" s="29"/>
      <c r="H1391" s="32"/>
      <c r="I1391" s="15">
        <f t="shared" si="2239"/>
        <v>0</v>
      </c>
      <c r="J1391" s="35"/>
      <c r="K1391" s="29"/>
      <c r="L1391" s="32"/>
      <c r="M1391" s="40">
        <f t="shared" si="2240"/>
        <v>0</v>
      </c>
      <c r="N1391" s="139">
        <f t="shared" si="2241"/>
        <v>0</v>
      </c>
      <c r="P1391" s="7" t="s">
        <v>3</v>
      </c>
      <c r="Q1391" s="28"/>
      <c r="R1391" s="29"/>
      <c r="S1391" s="29"/>
      <c r="T1391" s="15">
        <f t="shared" si="2242"/>
        <v>0</v>
      </c>
      <c r="U1391" s="28"/>
      <c r="V1391" s="29"/>
      <c r="W1391" s="29"/>
      <c r="X1391" s="15">
        <f t="shared" si="2243"/>
        <v>0</v>
      </c>
      <c r="Y1391" s="35"/>
      <c r="Z1391" s="29"/>
      <c r="AA1391" s="32"/>
      <c r="AB1391" s="15">
        <f t="shared" si="2244"/>
        <v>0</v>
      </c>
      <c r="AC1391" s="87">
        <f t="shared" si="2245"/>
        <v>0</v>
      </c>
    </row>
    <row r="1392" spans="1:29" ht="14.25" thickBot="1" x14ac:dyDescent="0.2">
      <c r="A1392" s="103" t="s">
        <v>4</v>
      </c>
      <c r="B1392" s="17">
        <f>SUM(B1381:B1391)</f>
        <v>34</v>
      </c>
      <c r="C1392" s="17">
        <f>SUM(C1381:C1391)</f>
        <v>47</v>
      </c>
      <c r="D1392" s="17">
        <f>SUM(D1381:D1391)</f>
        <v>42</v>
      </c>
      <c r="E1392" s="18">
        <f t="shared" si="2238"/>
        <v>123</v>
      </c>
      <c r="F1392" s="17">
        <f>SUM(F1381:F1391)</f>
        <v>34</v>
      </c>
      <c r="G1392" s="17">
        <f>SUM(G1381:G1391)</f>
        <v>47</v>
      </c>
      <c r="H1392" s="17">
        <f>SUM(H1381:H1391)</f>
        <v>41</v>
      </c>
      <c r="I1392" s="18">
        <f t="shared" si="2239"/>
        <v>122</v>
      </c>
      <c r="J1392" s="17">
        <f>SUM(J1381:J1391)</f>
        <v>36</v>
      </c>
      <c r="K1392" s="17">
        <f>SUM(K1381:K1391)</f>
        <v>46</v>
      </c>
      <c r="L1392" s="17">
        <f>SUM(L1381:L1391)</f>
        <v>43</v>
      </c>
      <c r="M1392" s="20">
        <f t="shared" si="2240"/>
        <v>125</v>
      </c>
      <c r="N1392" s="140">
        <f t="shared" si="2241"/>
        <v>370</v>
      </c>
      <c r="P1392" s="16" t="s">
        <v>4</v>
      </c>
      <c r="Q1392" s="17">
        <f>SUM(Q1381:Q1391)</f>
        <v>298</v>
      </c>
      <c r="R1392" s="17">
        <f t="shared" ref="R1392:AC1392" si="2254">SUM(R1381:R1391)</f>
        <v>202</v>
      </c>
      <c r="S1392" s="17">
        <f t="shared" si="2254"/>
        <v>387</v>
      </c>
      <c r="T1392" s="18">
        <f t="shared" si="2254"/>
        <v>887</v>
      </c>
      <c r="U1392" s="17">
        <f t="shared" si="2254"/>
        <v>338</v>
      </c>
      <c r="V1392" s="17">
        <f t="shared" si="2254"/>
        <v>385</v>
      </c>
      <c r="W1392" s="17">
        <f t="shared" si="2254"/>
        <v>462</v>
      </c>
      <c r="X1392" s="18">
        <f t="shared" si="2254"/>
        <v>1185</v>
      </c>
      <c r="Y1392" s="17">
        <f t="shared" si="2254"/>
        <v>259</v>
      </c>
      <c r="Z1392" s="17">
        <f t="shared" si="2254"/>
        <v>215</v>
      </c>
      <c r="AA1392" s="17">
        <f t="shared" si="2254"/>
        <v>303</v>
      </c>
      <c r="AB1392" s="18">
        <f t="shared" si="2254"/>
        <v>777</v>
      </c>
      <c r="AC1392" s="88">
        <f t="shared" si="2254"/>
        <v>2849</v>
      </c>
    </row>
    <row r="1393" spans="1:31" x14ac:dyDescent="0.15">
      <c r="A1393" s="4" t="s">
        <v>1268</v>
      </c>
      <c r="B1393" s="9"/>
      <c r="C1393" s="10"/>
      <c r="D1393" s="31">
        <v>1</v>
      </c>
      <c r="E1393" s="5">
        <f t="shared" si="2238"/>
        <v>1</v>
      </c>
      <c r="F1393" s="9"/>
      <c r="G1393" s="10"/>
      <c r="H1393" s="31">
        <v>1</v>
      </c>
      <c r="I1393" s="5">
        <f t="shared" si="2239"/>
        <v>1</v>
      </c>
      <c r="J1393" s="9"/>
      <c r="K1393" s="10"/>
      <c r="L1393" s="31">
        <v>1</v>
      </c>
      <c r="M1393" s="38">
        <f t="shared" si="2240"/>
        <v>1</v>
      </c>
      <c r="N1393" s="141">
        <f t="shared" si="2241"/>
        <v>3</v>
      </c>
      <c r="O1393" s="24">
        <v>45975</v>
      </c>
      <c r="P1393" s="4" t="s">
        <v>1266</v>
      </c>
      <c r="Q1393" s="9">
        <v>5</v>
      </c>
      <c r="R1393" s="10">
        <v>5</v>
      </c>
      <c r="S1393" s="31"/>
      <c r="T1393" s="5">
        <f t="shared" si="2242"/>
        <v>10</v>
      </c>
      <c r="U1393" s="9">
        <v>5</v>
      </c>
      <c r="V1393" s="10">
        <v>5</v>
      </c>
      <c r="W1393" s="31"/>
      <c r="X1393" s="5">
        <f t="shared" si="2243"/>
        <v>10</v>
      </c>
      <c r="Y1393" s="9">
        <v>5</v>
      </c>
      <c r="Z1393" s="10">
        <v>5</v>
      </c>
      <c r="AA1393" s="31"/>
      <c r="AB1393" s="5">
        <f t="shared" si="2244"/>
        <v>10</v>
      </c>
      <c r="AC1393" s="148">
        <f t="shared" si="2245"/>
        <v>30</v>
      </c>
      <c r="AD1393" s="109">
        <v>45974</v>
      </c>
      <c r="AE1393" s="58"/>
    </row>
    <row r="1394" spans="1:31" x14ac:dyDescent="0.15">
      <c r="A1394" s="33" t="s">
        <v>1275</v>
      </c>
      <c r="B1394" s="9"/>
      <c r="C1394" s="10">
        <v>1</v>
      </c>
      <c r="D1394" s="10"/>
      <c r="E1394" s="5">
        <f t="shared" si="2238"/>
        <v>1</v>
      </c>
      <c r="F1394" s="9"/>
      <c r="G1394" s="10">
        <v>1</v>
      </c>
      <c r="H1394" s="10"/>
      <c r="I1394" s="5">
        <f t="shared" si="2239"/>
        <v>1</v>
      </c>
      <c r="J1394" s="9"/>
      <c r="K1394" s="10">
        <v>1</v>
      </c>
      <c r="L1394" s="10"/>
      <c r="M1394" s="38">
        <f t="shared" si="2240"/>
        <v>1</v>
      </c>
      <c r="N1394" s="138">
        <f t="shared" si="2241"/>
        <v>3</v>
      </c>
      <c r="O1394" s="70">
        <v>45975</v>
      </c>
      <c r="P1394" s="4" t="s">
        <v>1267</v>
      </c>
      <c r="Q1394" s="9"/>
      <c r="R1394" s="10">
        <v>5</v>
      </c>
      <c r="S1394" s="10">
        <v>15</v>
      </c>
      <c r="T1394" s="5">
        <f t="shared" si="2242"/>
        <v>20</v>
      </c>
      <c r="U1394" s="9"/>
      <c r="V1394" s="10">
        <v>5</v>
      </c>
      <c r="W1394" s="10">
        <v>15</v>
      </c>
      <c r="X1394" s="5">
        <f t="shared" si="2243"/>
        <v>20</v>
      </c>
      <c r="Y1394" s="9"/>
      <c r="Z1394" s="10">
        <v>5</v>
      </c>
      <c r="AA1394" s="10">
        <v>15</v>
      </c>
      <c r="AB1394" s="5">
        <f t="shared" si="2244"/>
        <v>20</v>
      </c>
      <c r="AC1394" s="93">
        <f t="shared" si="2245"/>
        <v>60</v>
      </c>
      <c r="AD1394" s="109">
        <v>45974</v>
      </c>
    </row>
    <row r="1395" spans="1:31" x14ac:dyDescent="0.15">
      <c r="A1395" s="4" t="s">
        <v>1281</v>
      </c>
      <c r="B1395" s="9"/>
      <c r="C1395" s="10">
        <v>1</v>
      </c>
      <c r="D1395" s="10">
        <v>1</v>
      </c>
      <c r="E1395" s="5">
        <f t="shared" si="2238"/>
        <v>2</v>
      </c>
      <c r="F1395" s="9"/>
      <c r="G1395" s="10">
        <v>1</v>
      </c>
      <c r="H1395" s="10">
        <v>1</v>
      </c>
      <c r="I1395" s="5">
        <f t="shared" si="2239"/>
        <v>2</v>
      </c>
      <c r="J1395" s="9"/>
      <c r="K1395" s="10">
        <v>1</v>
      </c>
      <c r="L1395" s="10">
        <v>1</v>
      </c>
      <c r="M1395" s="38">
        <f t="shared" si="2240"/>
        <v>2</v>
      </c>
      <c r="N1395" s="138">
        <f t="shared" si="2241"/>
        <v>6</v>
      </c>
      <c r="O1395" s="24">
        <v>45980</v>
      </c>
      <c r="P1395" s="11" t="s">
        <v>1524</v>
      </c>
      <c r="Q1395" s="9">
        <v>20</v>
      </c>
      <c r="R1395" s="10">
        <v>20</v>
      </c>
      <c r="S1395" s="10">
        <v>20</v>
      </c>
      <c r="T1395" s="5">
        <f t="shared" si="2242"/>
        <v>60</v>
      </c>
      <c r="U1395" s="9">
        <v>20</v>
      </c>
      <c r="V1395" s="10">
        <v>20</v>
      </c>
      <c r="W1395" s="10">
        <v>20</v>
      </c>
      <c r="X1395" s="5">
        <f t="shared" si="2243"/>
        <v>60</v>
      </c>
      <c r="Y1395" s="9">
        <v>20</v>
      </c>
      <c r="Z1395" s="10">
        <v>20</v>
      </c>
      <c r="AA1395" s="10">
        <v>20</v>
      </c>
      <c r="AB1395" s="5">
        <f t="shared" si="2244"/>
        <v>60</v>
      </c>
      <c r="AC1395" s="93">
        <f t="shared" si="2245"/>
        <v>180</v>
      </c>
      <c r="AD1395" s="109">
        <v>45982</v>
      </c>
    </row>
    <row r="1396" spans="1:31" x14ac:dyDescent="0.15">
      <c r="A1396" s="4" t="s">
        <v>1282</v>
      </c>
      <c r="B1396" s="9"/>
      <c r="C1396" s="10"/>
      <c r="D1396" s="10">
        <v>5</v>
      </c>
      <c r="E1396" s="5">
        <f t="shared" si="2238"/>
        <v>5</v>
      </c>
      <c r="F1396" s="9"/>
      <c r="G1396" s="10"/>
      <c r="H1396" s="10">
        <v>5</v>
      </c>
      <c r="I1396" s="5">
        <f t="shared" si="2239"/>
        <v>5</v>
      </c>
      <c r="J1396" s="9"/>
      <c r="K1396" s="10"/>
      <c r="L1396" s="10">
        <v>5</v>
      </c>
      <c r="M1396" s="38">
        <f t="shared" si="2240"/>
        <v>5</v>
      </c>
      <c r="N1396" s="138">
        <f t="shared" si="2241"/>
        <v>15</v>
      </c>
      <c r="O1396" s="24">
        <v>45980</v>
      </c>
      <c r="P1396" s="11" t="s">
        <v>1283</v>
      </c>
      <c r="Q1396" s="9"/>
      <c r="R1396" s="10">
        <v>10</v>
      </c>
      <c r="S1396" s="10">
        <v>10</v>
      </c>
      <c r="T1396" s="5">
        <f t="shared" si="2242"/>
        <v>20</v>
      </c>
      <c r="U1396" s="9"/>
      <c r="V1396" s="10">
        <v>10</v>
      </c>
      <c r="W1396" s="10">
        <v>10</v>
      </c>
      <c r="X1396" s="5">
        <f t="shared" si="2243"/>
        <v>20</v>
      </c>
      <c r="Y1396" s="9"/>
      <c r="Z1396" s="10">
        <v>10</v>
      </c>
      <c r="AA1396" s="10">
        <v>10</v>
      </c>
      <c r="AB1396" s="5">
        <f t="shared" si="2244"/>
        <v>20</v>
      </c>
      <c r="AC1396" s="93">
        <f t="shared" si="2245"/>
        <v>60</v>
      </c>
      <c r="AD1396" s="109">
        <v>45979</v>
      </c>
    </row>
    <row r="1397" spans="1:31" x14ac:dyDescent="0.15">
      <c r="A1397" s="33" t="s">
        <v>36</v>
      </c>
      <c r="B1397" s="9"/>
      <c r="C1397" s="10">
        <v>1</v>
      </c>
      <c r="D1397" s="10">
        <v>1</v>
      </c>
      <c r="E1397" s="5">
        <f t="shared" si="2238"/>
        <v>2</v>
      </c>
      <c r="F1397" s="9"/>
      <c r="G1397" s="10">
        <v>1</v>
      </c>
      <c r="H1397" s="10">
        <v>1</v>
      </c>
      <c r="I1397" s="5">
        <f t="shared" si="2239"/>
        <v>2</v>
      </c>
      <c r="J1397" s="9"/>
      <c r="K1397" s="10">
        <v>1</v>
      </c>
      <c r="L1397" s="10">
        <v>1</v>
      </c>
      <c r="M1397" s="38">
        <f t="shared" si="2240"/>
        <v>2</v>
      </c>
      <c r="N1397" s="138">
        <f t="shared" si="2241"/>
        <v>6</v>
      </c>
      <c r="O1397" s="70">
        <v>45978</v>
      </c>
      <c r="P1397" s="11" t="s">
        <v>1307</v>
      </c>
      <c r="Q1397" s="9">
        <v>2</v>
      </c>
      <c r="R1397" s="10">
        <v>6</v>
      </c>
      <c r="S1397" s="10">
        <v>3</v>
      </c>
      <c r="T1397" s="5">
        <f t="shared" si="2242"/>
        <v>11</v>
      </c>
      <c r="U1397" s="9">
        <v>2</v>
      </c>
      <c r="V1397" s="10">
        <v>6</v>
      </c>
      <c r="W1397" s="10">
        <v>3</v>
      </c>
      <c r="X1397" s="5">
        <f t="shared" si="2243"/>
        <v>11</v>
      </c>
      <c r="Y1397" s="9">
        <v>2</v>
      </c>
      <c r="Z1397" s="10">
        <v>6</v>
      </c>
      <c r="AA1397" s="10">
        <v>3</v>
      </c>
      <c r="AB1397" s="5">
        <f t="shared" si="2244"/>
        <v>11</v>
      </c>
      <c r="AC1397" s="93">
        <f t="shared" si="2245"/>
        <v>33</v>
      </c>
      <c r="AD1397" s="109">
        <v>45992</v>
      </c>
    </row>
    <row r="1398" spans="1:31" x14ac:dyDescent="0.15">
      <c r="A1398" s="33" t="s">
        <v>1284</v>
      </c>
      <c r="B1398" s="9"/>
      <c r="C1398" s="10">
        <v>2</v>
      </c>
      <c r="D1398" s="10"/>
      <c r="E1398" s="8">
        <f t="shared" si="2238"/>
        <v>2</v>
      </c>
      <c r="F1398" s="9"/>
      <c r="G1398" s="10">
        <v>2</v>
      </c>
      <c r="H1398" s="10"/>
      <c r="I1398" s="8">
        <f t="shared" si="2239"/>
        <v>2</v>
      </c>
      <c r="J1398" s="9"/>
      <c r="K1398" s="10">
        <v>2</v>
      </c>
      <c r="L1398" s="10"/>
      <c r="M1398" s="39">
        <f t="shared" si="2240"/>
        <v>2</v>
      </c>
      <c r="N1398" s="138">
        <f t="shared" si="2241"/>
        <v>6</v>
      </c>
      <c r="O1398" s="24">
        <v>45981</v>
      </c>
      <c r="P1398" s="11" t="s">
        <v>1310</v>
      </c>
      <c r="Q1398" s="9">
        <v>5</v>
      </c>
      <c r="R1398" s="10">
        <v>10</v>
      </c>
      <c r="S1398" s="10"/>
      <c r="T1398" s="8">
        <f t="shared" si="2242"/>
        <v>15</v>
      </c>
      <c r="U1398" s="9">
        <v>5</v>
      </c>
      <c r="V1398" s="10">
        <v>10</v>
      </c>
      <c r="W1398" s="10"/>
      <c r="X1398" s="8">
        <f t="shared" si="2243"/>
        <v>15</v>
      </c>
      <c r="Y1398" s="9">
        <v>5</v>
      </c>
      <c r="Z1398" s="10">
        <v>10</v>
      </c>
      <c r="AA1398" s="10"/>
      <c r="AB1398" s="8">
        <f t="shared" si="2244"/>
        <v>15</v>
      </c>
      <c r="AC1398" s="93">
        <f t="shared" si="2245"/>
        <v>45</v>
      </c>
      <c r="AD1398" s="109">
        <v>45993</v>
      </c>
    </row>
    <row r="1399" spans="1:31" x14ac:dyDescent="0.15">
      <c r="A1399" s="33" t="s">
        <v>1285</v>
      </c>
      <c r="B1399" s="9"/>
      <c r="C1399" s="10">
        <v>1</v>
      </c>
      <c r="D1399" s="10">
        <v>1</v>
      </c>
      <c r="E1399" s="8">
        <f t="shared" si="2238"/>
        <v>2</v>
      </c>
      <c r="F1399" s="9"/>
      <c r="G1399" s="10">
        <v>1</v>
      </c>
      <c r="H1399" s="10">
        <v>1</v>
      </c>
      <c r="I1399" s="8">
        <f t="shared" si="2239"/>
        <v>2</v>
      </c>
      <c r="J1399" s="9"/>
      <c r="K1399" s="10">
        <v>1</v>
      </c>
      <c r="L1399" s="10">
        <v>1</v>
      </c>
      <c r="M1399" s="39">
        <f t="shared" si="2240"/>
        <v>2</v>
      </c>
      <c r="N1399" s="138">
        <f t="shared" si="2241"/>
        <v>6</v>
      </c>
      <c r="O1399" s="24">
        <v>45982</v>
      </c>
      <c r="P1399" s="11" t="s">
        <v>1311</v>
      </c>
      <c r="Q1399" s="9">
        <v>10</v>
      </c>
      <c r="R1399" s="10">
        <v>10</v>
      </c>
      <c r="S1399" s="10">
        <v>5</v>
      </c>
      <c r="T1399" s="8">
        <f t="shared" si="2242"/>
        <v>25</v>
      </c>
      <c r="U1399" s="9">
        <v>10</v>
      </c>
      <c r="V1399" s="10">
        <v>10</v>
      </c>
      <c r="W1399" s="10">
        <v>10</v>
      </c>
      <c r="X1399" s="8">
        <f t="shared" si="2243"/>
        <v>30</v>
      </c>
      <c r="Y1399" s="9">
        <v>10</v>
      </c>
      <c r="Z1399" s="10">
        <v>10</v>
      </c>
      <c r="AA1399" s="10">
        <v>5</v>
      </c>
      <c r="AB1399" s="8">
        <f t="shared" si="2244"/>
        <v>25</v>
      </c>
      <c r="AC1399" s="93">
        <f t="shared" si="2245"/>
        <v>80</v>
      </c>
      <c r="AD1399" s="109">
        <v>45990</v>
      </c>
    </row>
    <row r="1400" spans="1:31" x14ac:dyDescent="0.15">
      <c r="A1400" s="33" t="s">
        <v>1287</v>
      </c>
      <c r="B1400" s="9"/>
      <c r="C1400" s="10">
        <v>1</v>
      </c>
      <c r="D1400" s="10"/>
      <c r="E1400" s="8">
        <f t="shared" si="2238"/>
        <v>1</v>
      </c>
      <c r="F1400" s="9"/>
      <c r="G1400" s="10">
        <v>1</v>
      </c>
      <c r="H1400" s="10"/>
      <c r="I1400" s="8">
        <f t="shared" si="2239"/>
        <v>1</v>
      </c>
      <c r="J1400" s="9"/>
      <c r="K1400" s="10">
        <v>1</v>
      </c>
      <c r="L1400" s="10"/>
      <c r="M1400" s="39">
        <f t="shared" si="2240"/>
        <v>1</v>
      </c>
      <c r="N1400" s="138">
        <f t="shared" si="2241"/>
        <v>3</v>
      </c>
      <c r="O1400" s="24">
        <v>45986</v>
      </c>
      <c r="P1400" s="4" t="s">
        <v>1316</v>
      </c>
      <c r="Q1400" s="9">
        <v>10</v>
      </c>
      <c r="R1400" s="10">
        <v>14</v>
      </c>
      <c r="S1400" s="10">
        <v>11</v>
      </c>
      <c r="T1400" s="8">
        <f t="shared" si="2242"/>
        <v>35</v>
      </c>
      <c r="U1400" s="9">
        <v>10</v>
      </c>
      <c r="V1400" s="10">
        <v>14</v>
      </c>
      <c r="W1400" s="10">
        <v>11</v>
      </c>
      <c r="X1400" s="8">
        <f t="shared" si="2243"/>
        <v>35</v>
      </c>
      <c r="Y1400" s="9">
        <v>10</v>
      </c>
      <c r="Z1400" s="10">
        <v>14</v>
      </c>
      <c r="AA1400" s="10">
        <v>11</v>
      </c>
      <c r="AB1400" s="8">
        <f t="shared" si="2244"/>
        <v>35</v>
      </c>
      <c r="AC1400" s="93">
        <f t="shared" si="2245"/>
        <v>105</v>
      </c>
      <c r="AD1400" s="109">
        <v>45996</v>
      </c>
    </row>
    <row r="1401" spans="1:31" x14ac:dyDescent="0.15">
      <c r="A1401" s="33" t="s">
        <v>36</v>
      </c>
      <c r="B1401" s="9"/>
      <c r="C1401" s="10"/>
      <c r="D1401" s="10"/>
      <c r="E1401" s="8">
        <f t="shared" si="2238"/>
        <v>0</v>
      </c>
      <c r="F1401" s="9">
        <v>1</v>
      </c>
      <c r="G1401" s="10"/>
      <c r="H1401" s="10"/>
      <c r="I1401" s="8">
        <f t="shared" si="2239"/>
        <v>1</v>
      </c>
      <c r="J1401" s="9"/>
      <c r="K1401" s="10"/>
      <c r="L1401" s="10"/>
      <c r="M1401" s="39">
        <f t="shared" si="2240"/>
        <v>0</v>
      </c>
      <c r="N1401" s="138">
        <f t="shared" si="2241"/>
        <v>1</v>
      </c>
      <c r="O1401" s="70">
        <v>45982</v>
      </c>
      <c r="P1401" s="4" t="s">
        <v>1337</v>
      </c>
      <c r="Q1401" s="9">
        <v>5</v>
      </c>
      <c r="R1401" s="10">
        <v>5</v>
      </c>
      <c r="S1401" s="10">
        <v>5</v>
      </c>
      <c r="T1401" s="8">
        <f t="shared" si="2242"/>
        <v>15</v>
      </c>
      <c r="U1401" s="9">
        <v>5</v>
      </c>
      <c r="V1401" s="10">
        <v>5</v>
      </c>
      <c r="W1401" s="10">
        <v>5</v>
      </c>
      <c r="X1401" s="8">
        <f t="shared" si="2243"/>
        <v>15</v>
      </c>
      <c r="Y1401" s="9">
        <v>5</v>
      </c>
      <c r="Z1401" s="10">
        <v>5</v>
      </c>
      <c r="AA1401" s="10">
        <v>5</v>
      </c>
      <c r="AB1401" s="8">
        <f t="shared" si="2244"/>
        <v>15</v>
      </c>
      <c r="AC1401" s="93">
        <f t="shared" si="2245"/>
        <v>45</v>
      </c>
      <c r="AD1401" s="109">
        <v>45999</v>
      </c>
    </row>
    <row r="1402" spans="1:31" x14ac:dyDescent="0.15">
      <c r="A1402" s="33" t="s">
        <v>1288</v>
      </c>
      <c r="B1402" s="9">
        <v>1</v>
      </c>
      <c r="C1402" s="10"/>
      <c r="D1402" s="10"/>
      <c r="E1402" s="8">
        <f t="shared" si="2238"/>
        <v>1</v>
      </c>
      <c r="F1402" s="9">
        <v>1</v>
      </c>
      <c r="G1402" s="10"/>
      <c r="H1402" s="10"/>
      <c r="I1402" s="8">
        <f t="shared" si="2239"/>
        <v>1</v>
      </c>
      <c r="J1402" s="9">
        <v>1</v>
      </c>
      <c r="K1402" s="10"/>
      <c r="L1402" s="10"/>
      <c r="M1402" s="39">
        <f t="shared" si="2240"/>
        <v>1</v>
      </c>
      <c r="N1402" s="138">
        <f t="shared" si="2241"/>
        <v>3</v>
      </c>
      <c r="O1402" s="24">
        <v>45988</v>
      </c>
      <c r="P1402" s="165" t="s">
        <v>1319</v>
      </c>
      <c r="Q1402" s="166"/>
      <c r="R1402" s="167">
        <v>5</v>
      </c>
      <c r="S1402" s="167"/>
      <c r="T1402" s="168">
        <f t="shared" si="2242"/>
        <v>5</v>
      </c>
      <c r="U1402" s="166"/>
      <c r="V1402" s="167">
        <v>5</v>
      </c>
      <c r="W1402" s="167"/>
      <c r="X1402" s="168">
        <f t="shared" si="2243"/>
        <v>5</v>
      </c>
      <c r="Y1402" s="166"/>
      <c r="Z1402" s="167">
        <v>5</v>
      </c>
      <c r="AA1402" s="167"/>
      <c r="AB1402" s="168">
        <f t="shared" si="2244"/>
        <v>5</v>
      </c>
      <c r="AC1402" s="169">
        <f t="shared" si="2245"/>
        <v>15</v>
      </c>
      <c r="AD1402" s="170">
        <v>45994</v>
      </c>
    </row>
    <row r="1403" spans="1:31" x14ac:dyDescent="0.15">
      <c r="A1403" s="4" t="s">
        <v>1289</v>
      </c>
      <c r="B1403" s="9">
        <v>5</v>
      </c>
      <c r="C1403" s="10">
        <v>5</v>
      </c>
      <c r="D1403" s="10"/>
      <c r="E1403" s="8">
        <f t="shared" si="2238"/>
        <v>10</v>
      </c>
      <c r="F1403" s="9">
        <v>5</v>
      </c>
      <c r="G1403" s="10">
        <v>5</v>
      </c>
      <c r="H1403" s="10"/>
      <c r="I1403" s="8">
        <f t="shared" si="2239"/>
        <v>10</v>
      </c>
      <c r="J1403" s="9">
        <v>5</v>
      </c>
      <c r="K1403" s="10">
        <v>5</v>
      </c>
      <c r="L1403" s="10"/>
      <c r="M1403" s="39">
        <f t="shared" si="2240"/>
        <v>10</v>
      </c>
      <c r="N1403" s="138">
        <f t="shared" si="2241"/>
        <v>30</v>
      </c>
      <c r="O1403" s="24">
        <v>45988</v>
      </c>
      <c r="P1403" s="11" t="s">
        <v>1521</v>
      </c>
      <c r="Q1403" s="9">
        <v>10</v>
      </c>
      <c r="R1403" s="10">
        <v>30</v>
      </c>
      <c r="S1403" s="10">
        <v>20</v>
      </c>
      <c r="T1403" s="8">
        <f t="shared" si="2242"/>
        <v>60</v>
      </c>
      <c r="U1403" s="9">
        <v>10</v>
      </c>
      <c r="V1403" s="10">
        <v>30</v>
      </c>
      <c r="W1403" s="10">
        <v>20</v>
      </c>
      <c r="X1403" s="8">
        <f t="shared" si="2243"/>
        <v>60</v>
      </c>
      <c r="Y1403" s="9">
        <v>10</v>
      </c>
      <c r="Z1403" s="10">
        <v>30</v>
      </c>
      <c r="AA1403" s="10">
        <v>20</v>
      </c>
      <c r="AB1403" s="8">
        <f t="shared" si="2244"/>
        <v>60</v>
      </c>
      <c r="AC1403" s="93">
        <f t="shared" si="2245"/>
        <v>180</v>
      </c>
      <c r="AD1403" s="109">
        <v>45995</v>
      </c>
    </row>
    <row r="1404" spans="1:31" x14ac:dyDescent="0.15">
      <c r="A1404" s="33" t="s">
        <v>36</v>
      </c>
      <c r="B1404" s="9">
        <v>2</v>
      </c>
      <c r="C1404" s="10">
        <v>1</v>
      </c>
      <c r="D1404" s="10"/>
      <c r="E1404" s="8">
        <f t="shared" si="2238"/>
        <v>3</v>
      </c>
      <c r="F1404" s="9">
        <v>2</v>
      </c>
      <c r="G1404" s="10">
        <v>1</v>
      </c>
      <c r="H1404" s="10"/>
      <c r="I1404" s="8">
        <f t="shared" si="2239"/>
        <v>3</v>
      </c>
      <c r="J1404" s="9">
        <v>2</v>
      </c>
      <c r="K1404" s="10">
        <v>1</v>
      </c>
      <c r="L1404" s="10"/>
      <c r="M1404" s="39">
        <f t="shared" si="2240"/>
        <v>3</v>
      </c>
      <c r="N1404" s="138">
        <f t="shared" si="2241"/>
        <v>9</v>
      </c>
      <c r="O1404" s="70">
        <v>45986</v>
      </c>
      <c r="P1404" s="4" t="s">
        <v>1329</v>
      </c>
      <c r="Q1404" s="9">
        <v>20</v>
      </c>
      <c r="R1404" s="10">
        <v>20</v>
      </c>
      <c r="S1404" s="10"/>
      <c r="T1404" s="8">
        <f t="shared" si="2242"/>
        <v>40</v>
      </c>
      <c r="U1404" s="9">
        <v>20</v>
      </c>
      <c r="V1404" s="10">
        <v>20</v>
      </c>
      <c r="W1404" s="10"/>
      <c r="X1404" s="8">
        <f t="shared" si="2243"/>
        <v>40</v>
      </c>
      <c r="Y1404" s="9">
        <v>20</v>
      </c>
      <c r="Z1404" s="10">
        <v>20</v>
      </c>
      <c r="AA1404" s="10"/>
      <c r="AB1404" s="8">
        <f t="shared" si="2244"/>
        <v>40</v>
      </c>
      <c r="AC1404" s="93">
        <f t="shared" si="2245"/>
        <v>120</v>
      </c>
      <c r="AD1404" s="109">
        <v>45995</v>
      </c>
    </row>
    <row r="1405" spans="1:31" x14ac:dyDescent="0.15">
      <c r="A1405" s="33" t="s">
        <v>1300</v>
      </c>
      <c r="B1405" s="9"/>
      <c r="C1405" s="10">
        <v>1</v>
      </c>
      <c r="D1405" s="10">
        <v>2</v>
      </c>
      <c r="E1405" s="8">
        <f t="shared" si="2238"/>
        <v>3</v>
      </c>
      <c r="F1405" s="9"/>
      <c r="G1405" s="10">
        <v>1</v>
      </c>
      <c r="H1405" s="10">
        <v>2</v>
      </c>
      <c r="I1405" s="8">
        <f t="shared" si="2239"/>
        <v>3</v>
      </c>
      <c r="J1405" s="9"/>
      <c r="K1405" s="10">
        <v>1</v>
      </c>
      <c r="L1405" s="10">
        <v>2</v>
      </c>
      <c r="M1405" s="39">
        <f t="shared" si="2240"/>
        <v>3</v>
      </c>
      <c r="N1405" s="138">
        <f t="shared" si="2241"/>
        <v>9</v>
      </c>
      <c r="O1405" s="24">
        <v>45989</v>
      </c>
      <c r="P1405" s="4" t="s">
        <v>1330</v>
      </c>
      <c r="Q1405" s="9">
        <v>5</v>
      </c>
      <c r="R1405" s="10"/>
      <c r="S1405" s="10"/>
      <c r="T1405" s="8">
        <f t="shared" si="2242"/>
        <v>5</v>
      </c>
      <c r="U1405" s="9">
        <v>5</v>
      </c>
      <c r="V1405" s="10"/>
      <c r="W1405" s="10"/>
      <c r="X1405" s="8">
        <f t="shared" si="2243"/>
        <v>5</v>
      </c>
      <c r="Y1405" s="9">
        <v>5</v>
      </c>
      <c r="Z1405" s="10"/>
      <c r="AA1405" s="10"/>
      <c r="AB1405" s="8">
        <f t="shared" si="2244"/>
        <v>5</v>
      </c>
      <c r="AC1405" s="93">
        <f t="shared" si="2245"/>
        <v>15</v>
      </c>
      <c r="AD1405" s="109">
        <v>45996</v>
      </c>
    </row>
    <row r="1406" spans="1:31" x14ac:dyDescent="0.15">
      <c r="A1406" s="33" t="s">
        <v>36</v>
      </c>
      <c r="B1406" s="9"/>
      <c r="C1406" s="10">
        <v>1</v>
      </c>
      <c r="D1406" s="10"/>
      <c r="E1406" s="8">
        <f t="shared" si="2238"/>
        <v>1</v>
      </c>
      <c r="F1406" s="9"/>
      <c r="G1406" s="10"/>
      <c r="H1406" s="10"/>
      <c r="I1406" s="8">
        <f t="shared" si="2239"/>
        <v>0</v>
      </c>
      <c r="J1406" s="9"/>
      <c r="K1406" s="10"/>
      <c r="L1406" s="10"/>
      <c r="M1406" s="39">
        <f t="shared" si="2240"/>
        <v>0</v>
      </c>
      <c r="N1406" s="138">
        <f t="shared" si="2241"/>
        <v>1</v>
      </c>
      <c r="O1406" s="70">
        <v>45987</v>
      </c>
      <c r="P1406" s="4"/>
      <c r="Q1406" s="9"/>
      <c r="R1406" s="10"/>
      <c r="S1406" s="10"/>
      <c r="T1406" s="8">
        <f t="shared" ref="T1406:T1412" si="2255">SUM(Q1406:S1406)</f>
        <v>0</v>
      </c>
      <c r="U1406" s="9"/>
      <c r="V1406" s="10"/>
      <c r="W1406" s="10"/>
      <c r="X1406" s="8">
        <f t="shared" ref="X1406:X1412" si="2256">SUM(U1406:W1406)</f>
        <v>0</v>
      </c>
      <c r="Y1406" s="9"/>
      <c r="Z1406" s="10"/>
      <c r="AA1406" s="10"/>
      <c r="AB1406" s="8">
        <f t="shared" ref="AB1406:AB1412" si="2257">SUM(Y1406:AA1406)</f>
        <v>0</v>
      </c>
      <c r="AC1406" s="93">
        <f t="shared" ref="AC1406:AC1412" si="2258">T1406+X1406+AB1406</f>
        <v>0</v>
      </c>
    </row>
    <row r="1407" spans="1:31" x14ac:dyDescent="0.15">
      <c r="A1407" s="33" t="s">
        <v>1302</v>
      </c>
      <c r="B1407" s="9"/>
      <c r="C1407" s="10"/>
      <c r="D1407" s="10">
        <v>1</v>
      </c>
      <c r="E1407" s="8">
        <f t="shared" si="2238"/>
        <v>1</v>
      </c>
      <c r="F1407" s="9"/>
      <c r="G1407" s="10"/>
      <c r="H1407" s="10">
        <v>1</v>
      </c>
      <c r="I1407" s="8">
        <f t="shared" si="2239"/>
        <v>1</v>
      </c>
      <c r="J1407" s="9"/>
      <c r="K1407" s="10"/>
      <c r="L1407" s="10">
        <v>1</v>
      </c>
      <c r="M1407" s="39">
        <f t="shared" si="2240"/>
        <v>1</v>
      </c>
      <c r="N1407" s="138">
        <f t="shared" si="2241"/>
        <v>3</v>
      </c>
      <c r="O1407" s="24">
        <v>45989</v>
      </c>
      <c r="P1407" s="4"/>
      <c r="Q1407" s="9"/>
      <c r="R1407" s="10"/>
      <c r="S1407" s="10"/>
      <c r="T1407" s="8">
        <f t="shared" si="2255"/>
        <v>0</v>
      </c>
      <c r="U1407" s="9"/>
      <c r="V1407" s="10"/>
      <c r="W1407" s="10"/>
      <c r="X1407" s="8">
        <f t="shared" si="2256"/>
        <v>0</v>
      </c>
      <c r="Y1407" s="9"/>
      <c r="Z1407" s="10"/>
      <c r="AA1407" s="10"/>
      <c r="AB1407" s="8">
        <f t="shared" si="2257"/>
        <v>0</v>
      </c>
      <c r="AC1407" s="93">
        <f t="shared" si="2258"/>
        <v>0</v>
      </c>
    </row>
    <row r="1408" spans="1:31" x14ac:dyDescent="0.15">
      <c r="A1408" s="63" t="s">
        <v>36</v>
      </c>
      <c r="B1408" s="9">
        <v>1</v>
      </c>
      <c r="C1408" s="10">
        <v>1</v>
      </c>
      <c r="D1408" s="10"/>
      <c r="E1408" s="8">
        <f t="shared" si="2238"/>
        <v>2</v>
      </c>
      <c r="F1408" s="9">
        <v>1</v>
      </c>
      <c r="G1408" s="10">
        <v>1</v>
      </c>
      <c r="H1408" s="10"/>
      <c r="I1408" s="8">
        <f t="shared" si="2239"/>
        <v>2</v>
      </c>
      <c r="J1408" s="9">
        <v>1</v>
      </c>
      <c r="K1408" s="10">
        <v>1</v>
      </c>
      <c r="L1408" s="10"/>
      <c r="M1408" s="39">
        <f t="shared" si="2240"/>
        <v>2</v>
      </c>
      <c r="N1408" s="138">
        <f t="shared" si="2241"/>
        <v>6</v>
      </c>
      <c r="O1408" s="70">
        <v>45988</v>
      </c>
      <c r="P1408" s="4"/>
      <c r="Q1408" s="9"/>
      <c r="R1408" s="10"/>
      <c r="S1408" s="10"/>
      <c r="T1408" s="8">
        <f t="shared" si="2255"/>
        <v>0</v>
      </c>
      <c r="U1408" s="9"/>
      <c r="V1408" s="10"/>
      <c r="W1408" s="10"/>
      <c r="X1408" s="8">
        <f t="shared" si="2256"/>
        <v>0</v>
      </c>
      <c r="Y1408" s="9"/>
      <c r="Z1408" s="10"/>
      <c r="AA1408" s="10"/>
      <c r="AB1408" s="8">
        <f t="shared" si="2257"/>
        <v>0</v>
      </c>
      <c r="AC1408" s="93">
        <f t="shared" si="2258"/>
        <v>0</v>
      </c>
    </row>
    <row r="1409" spans="1:31" x14ac:dyDescent="0.15">
      <c r="A1409" s="11" t="s">
        <v>1308</v>
      </c>
      <c r="B1409" s="9"/>
      <c r="C1409" s="10"/>
      <c r="D1409" s="10">
        <v>5</v>
      </c>
      <c r="E1409" s="8">
        <f t="shared" si="2238"/>
        <v>5</v>
      </c>
      <c r="F1409" s="9"/>
      <c r="G1409" s="10"/>
      <c r="H1409" s="10">
        <v>5</v>
      </c>
      <c r="I1409" s="8">
        <f t="shared" si="2239"/>
        <v>5</v>
      </c>
      <c r="J1409" s="9"/>
      <c r="K1409" s="10"/>
      <c r="L1409" s="10">
        <v>5</v>
      </c>
      <c r="M1409" s="39">
        <f t="shared" si="2240"/>
        <v>5</v>
      </c>
      <c r="N1409" s="138">
        <f t="shared" si="2241"/>
        <v>15</v>
      </c>
      <c r="O1409" s="24">
        <v>46001</v>
      </c>
      <c r="P1409" s="6" t="s">
        <v>1146</v>
      </c>
      <c r="Q1409" s="71"/>
      <c r="R1409" s="72"/>
      <c r="S1409" s="72"/>
      <c r="T1409" s="73">
        <f t="shared" si="2255"/>
        <v>0</v>
      </c>
      <c r="U1409" s="71"/>
      <c r="V1409" s="72"/>
      <c r="W1409" s="72"/>
      <c r="X1409" s="73">
        <f t="shared" si="2256"/>
        <v>0</v>
      </c>
      <c r="Y1409" s="71"/>
      <c r="Z1409" s="72"/>
      <c r="AA1409" s="72"/>
      <c r="AB1409" s="73">
        <f t="shared" si="2257"/>
        <v>0</v>
      </c>
      <c r="AC1409" s="92">
        <f t="shared" si="2258"/>
        <v>0</v>
      </c>
      <c r="AD1409" s="116"/>
      <c r="AE1409" s="58"/>
    </row>
    <row r="1410" spans="1:31" x14ac:dyDescent="0.15">
      <c r="A1410" s="33" t="s">
        <v>1309</v>
      </c>
      <c r="B1410" s="9"/>
      <c r="C1410" s="10"/>
      <c r="D1410" s="10">
        <v>1</v>
      </c>
      <c r="E1410" s="8">
        <f t="shared" si="2238"/>
        <v>1</v>
      </c>
      <c r="F1410" s="9"/>
      <c r="G1410" s="10"/>
      <c r="H1410" s="10">
        <v>1</v>
      </c>
      <c r="I1410" s="8">
        <f t="shared" si="2239"/>
        <v>1</v>
      </c>
      <c r="J1410" s="9"/>
      <c r="K1410" s="10"/>
      <c r="L1410" s="10">
        <v>1</v>
      </c>
      <c r="M1410" s="39">
        <f t="shared" si="2240"/>
        <v>1</v>
      </c>
      <c r="N1410" s="138">
        <f t="shared" si="2241"/>
        <v>3</v>
      </c>
      <c r="O1410" s="24">
        <v>45992</v>
      </c>
      <c r="P1410" s="11" t="s">
        <v>1145</v>
      </c>
      <c r="Q1410" s="9"/>
      <c r="R1410" s="10"/>
      <c r="S1410" s="10"/>
      <c r="T1410" s="8">
        <f t="shared" si="2255"/>
        <v>0</v>
      </c>
      <c r="U1410" s="9"/>
      <c r="V1410" s="10"/>
      <c r="W1410" s="10"/>
      <c r="X1410" s="8">
        <f t="shared" si="2256"/>
        <v>0</v>
      </c>
      <c r="Y1410" s="9"/>
      <c r="Z1410" s="10"/>
      <c r="AA1410" s="10"/>
      <c r="AB1410" s="8">
        <f t="shared" si="2257"/>
        <v>0</v>
      </c>
      <c r="AC1410" s="93">
        <f t="shared" si="2258"/>
        <v>0</v>
      </c>
      <c r="AD1410" s="116" t="s">
        <v>1079</v>
      </c>
      <c r="AE1410" s="58"/>
    </row>
    <row r="1411" spans="1:31" x14ac:dyDescent="0.15">
      <c r="A1411" s="33" t="s">
        <v>1312</v>
      </c>
      <c r="B1411" s="9"/>
      <c r="C1411" s="10">
        <v>2</v>
      </c>
      <c r="D1411" s="10">
        <v>1</v>
      </c>
      <c r="E1411" s="8">
        <f t="shared" si="2238"/>
        <v>3</v>
      </c>
      <c r="F1411" s="9"/>
      <c r="G1411" s="10">
        <v>2</v>
      </c>
      <c r="H1411" s="10">
        <v>1</v>
      </c>
      <c r="I1411" s="8">
        <f t="shared" si="2239"/>
        <v>3</v>
      </c>
      <c r="J1411" s="9"/>
      <c r="K1411" s="10">
        <v>2</v>
      </c>
      <c r="L1411" s="10">
        <v>1</v>
      </c>
      <c r="M1411" s="39">
        <f t="shared" si="2240"/>
        <v>3</v>
      </c>
      <c r="N1411" s="138">
        <f t="shared" si="2241"/>
        <v>9</v>
      </c>
      <c r="O1411" s="24">
        <v>45994</v>
      </c>
      <c r="P1411" s="81" t="s">
        <v>1095</v>
      </c>
      <c r="Q1411" s="71"/>
      <c r="R1411" s="72"/>
      <c r="S1411" s="72"/>
      <c r="T1411" s="73">
        <f t="shared" si="2255"/>
        <v>0</v>
      </c>
      <c r="U1411" s="71"/>
      <c r="V1411" s="72"/>
      <c r="W1411" s="72"/>
      <c r="X1411" s="73">
        <f t="shared" si="2256"/>
        <v>0</v>
      </c>
      <c r="Y1411" s="71"/>
      <c r="Z1411" s="72"/>
      <c r="AA1411" s="72"/>
      <c r="AB1411" s="73">
        <f t="shared" si="2257"/>
        <v>0</v>
      </c>
      <c r="AC1411" s="92">
        <f t="shared" si="2258"/>
        <v>0</v>
      </c>
      <c r="AD1411" s="116"/>
    </row>
    <row r="1412" spans="1:31" x14ac:dyDescent="0.15">
      <c r="A1412" s="4" t="s">
        <v>1313</v>
      </c>
      <c r="B1412" s="9"/>
      <c r="C1412" s="10">
        <v>10</v>
      </c>
      <c r="D1412" s="10">
        <v>5</v>
      </c>
      <c r="E1412" s="8">
        <f t="shared" si="2238"/>
        <v>15</v>
      </c>
      <c r="F1412" s="9"/>
      <c r="G1412" s="10">
        <v>10</v>
      </c>
      <c r="H1412" s="10">
        <v>5</v>
      </c>
      <c r="I1412" s="8">
        <f t="shared" si="2239"/>
        <v>15</v>
      </c>
      <c r="J1412" s="9"/>
      <c r="K1412" s="10">
        <v>10</v>
      </c>
      <c r="L1412" s="10">
        <v>5</v>
      </c>
      <c r="M1412" s="39">
        <f t="shared" si="2240"/>
        <v>15</v>
      </c>
      <c r="N1412" s="138">
        <f t="shared" si="2241"/>
        <v>45</v>
      </c>
      <c r="O1412" s="24">
        <v>45994</v>
      </c>
      <c r="P1412" s="4" t="s">
        <v>1096</v>
      </c>
      <c r="Q1412" s="9"/>
      <c r="R1412" s="10"/>
      <c r="S1412" s="10"/>
      <c r="T1412" s="8">
        <f t="shared" si="2255"/>
        <v>0</v>
      </c>
      <c r="U1412" s="9"/>
      <c r="V1412" s="10"/>
      <c r="W1412" s="10"/>
      <c r="X1412" s="8">
        <f t="shared" si="2256"/>
        <v>0</v>
      </c>
      <c r="Y1412" s="9"/>
      <c r="Z1412" s="10"/>
      <c r="AA1412" s="10"/>
      <c r="AB1412" s="8">
        <f t="shared" si="2257"/>
        <v>0</v>
      </c>
      <c r="AC1412" s="86">
        <f t="shared" si="2258"/>
        <v>0</v>
      </c>
      <c r="AD1412" s="116" t="s">
        <v>1094</v>
      </c>
    </row>
    <row r="1413" spans="1:31" x14ac:dyDescent="0.15">
      <c r="A1413" s="33" t="s">
        <v>36</v>
      </c>
      <c r="B1413" s="9">
        <v>1</v>
      </c>
      <c r="C1413" s="10"/>
      <c r="D1413" s="10">
        <v>2</v>
      </c>
      <c r="E1413" s="8">
        <f t="shared" si="2238"/>
        <v>3</v>
      </c>
      <c r="F1413" s="9">
        <v>1</v>
      </c>
      <c r="G1413" s="10"/>
      <c r="H1413" s="10">
        <v>2</v>
      </c>
      <c r="I1413" s="8">
        <f t="shared" si="2239"/>
        <v>3</v>
      </c>
      <c r="J1413" s="9">
        <v>1</v>
      </c>
      <c r="K1413" s="10">
        <v>1</v>
      </c>
      <c r="L1413" s="10">
        <v>2</v>
      </c>
      <c r="M1413" s="39">
        <f t="shared" si="2240"/>
        <v>4</v>
      </c>
      <c r="N1413" s="138">
        <f t="shared" si="2241"/>
        <v>10</v>
      </c>
      <c r="O1413" s="24">
        <v>45992</v>
      </c>
      <c r="P1413" s="6" t="s">
        <v>1186</v>
      </c>
      <c r="Q1413" s="71"/>
      <c r="R1413" s="72"/>
      <c r="S1413" s="72"/>
      <c r="T1413" s="73">
        <f t="shared" ref="T1413:T1416" si="2259">SUM(Q1413:S1413)</f>
        <v>0</v>
      </c>
      <c r="U1413" s="71"/>
      <c r="V1413" s="72"/>
      <c r="W1413" s="72"/>
      <c r="X1413" s="73">
        <f t="shared" ref="X1413:X1416" si="2260">SUM(U1413:W1413)</f>
        <v>0</v>
      </c>
      <c r="Y1413" s="71"/>
      <c r="Z1413" s="72"/>
      <c r="AA1413" s="72"/>
      <c r="AB1413" s="73">
        <f t="shared" ref="AB1413:AB1416" si="2261">SUM(Y1413:AA1413)</f>
        <v>0</v>
      </c>
      <c r="AC1413" s="92">
        <f t="shared" ref="AC1413:AC1416" si="2262">T1413+X1413+AB1413</f>
        <v>0</v>
      </c>
      <c r="AD1413" s="117"/>
    </row>
    <row r="1414" spans="1:31" x14ac:dyDescent="0.15">
      <c r="A1414" s="33" t="s">
        <v>1317</v>
      </c>
      <c r="B1414" s="9"/>
      <c r="C1414" s="10">
        <v>1</v>
      </c>
      <c r="D1414" s="10">
        <v>2</v>
      </c>
      <c r="E1414" s="8">
        <f t="shared" si="2238"/>
        <v>3</v>
      </c>
      <c r="F1414" s="9"/>
      <c r="G1414" s="10">
        <v>1</v>
      </c>
      <c r="H1414" s="10">
        <v>2</v>
      </c>
      <c r="I1414" s="8">
        <f t="shared" si="2239"/>
        <v>3</v>
      </c>
      <c r="J1414" s="9"/>
      <c r="K1414" s="10">
        <v>1</v>
      </c>
      <c r="L1414" s="10">
        <v>2</v>
      </c>
      <c r="M1414" s="39">
        <f t="shared" si="2240"/>
        <v>3</v>
      </c>
      <c r="N1414" s="138">
        <f t="shared" si="2241"/>
        <v>9</v>
      </c>
      <c r="O1414" s="24">
        <v>45995</v>
      </c>
      <c r="P1414" s="11" t="s">
        <v>1185</v>
      </c>
      <c r="Q1414" s="9"/>
      <c r="R1414" s="10"/>
      <c r="S1414" s="10"/>
      <c r="T1414" s="8">
        <f t="shared" si="2259"/>
        <v>0</v>
      </c>
      <c r="U1414" s="9"/>
      <c r="V1414" s="10"/>
      <c r="W1414" s="10"/>
      <c r="X1414" s="8">
        <f t="shared" si="2260"/>
        <v>0</v>
      </c>
      <c r="Y1414" s="9"/>
      <c r="Z1414" s="10"/>
      <c r="AA1414" s="10"/>
      <c r="AB1414" s="8">
        <f t="shared" si="2261"/>
        <v>0</v>
      </c>
      <c r="AC1414" s="86">
        <f t="shared" si="2262"/>
        <v>0</v>
      </c>
      <c r="AD1414" s="116" t="s">
        <v>1182</v>
      </c>
    </row>
    <row r="1415" spans="1:31" x14ac:dyDescent="0.15">
      <c r="A1415" s="33" t="s">
        <v>36</v>
      </c>
      <c r="B1415" s="9">
        <v>1</v>
      </c>
      <c r="C1415" s="10">
        <v>2</v>
      </c>
      <c r="D1415" s="10"/>
      <c r="E1415" s="8">
        <f t="shared" si="2238"/>
        <v>3</v>
      </c>
      <c r="F1415" s="9">
        <v>1</v>
      </c>
      <c r="G1415" s="10">
        <v>3</v>
      </c>
      <c r="H1415" s="10"/>
      <c r="I1415" s="8">
        <f t="shared" si="2239"/>
        <v>4</v>
      </c>
      <c r="J1415" s="9">
        <v>1</v>
      </c>
      <c r="K1415" s="10">
        <v>2</v>
      </c>
      <c r="L1415" s="10"/>
      <c r="M1415" s="39">
        <f t="shared" si="2240"/>
        <v>3</v>
      </c>
      <c r="N1415" s="138">
        <f t="shared" si="2241"/>
        <v>10</v>
      </c>
      <c r="O1415" s="70">
        <v>45993</v>
      </c>
      <c r="P1415" s="81" t="s">
        <v>1176</v>
      </c>
      <c r="Q1415" s="71"/>
      <c r="R1415" s="72"/>
      <c r="S1415" s="72"/>
      <c r="T1415" s="73">
        <f t="shared" si="2259"/>
        <v>0</v>
      </c>
      <c r="U1415" s="71"/>
      <c r="V1415" s="72"/>
      <c r="W1415" s="72"/>
      <c r="X1415" s="73">
        <f t="shared" si="2260"/>
        <v>0</v>
      </c>
      <c r="Y1415" s="71"/>
      <c r="Z1415" s="72"/>
      <c r="AA1415" s="72"/>
      <c r="AB1415" s="73">
        <f t="shared" si="2261"/>
        <v>0</v>
      </c>
      <c r="AC1415" s="92">
        <f t="shared" si="2262"/>
        <v>0</v>
      </c>
      <c r="AD1415" s="116"/>
    </row>
    <row r="1416" spans="1:31" ht="14.25" thickBot="1" x14ac:dyDescent="0.2">
      <c r="A1416" s="63" t="s">
        <v>1328</v>
      </c>
      <c r="B1416" s="9">
        <v>1</v>
      </c>
      <c r="C1416" s="10"/>
      <c r="D1416" s="22"/>
      <c r="E1416" s="8">
        <f t="shared" si="2238"/>
        <v>1</v>
      </c>
      <c r="F1416" s="9"/>
      <c r="G1416" s="10">
        <v>1</v>
      </c>
      <c r="H1416" s="22"/>
      <c r="I1416" s="8">
        <f t="shared" si="2239"/>
        <v>1</v>
      </c>
      <c r="J1416" s="9"/>
      <c r="K1416" s="10"/>
      <c r="L1416" s="22">
        <v>1</v>
      </c>
      <c r="M1416" s="39">
        <f t="shared" si="2240"/>
        <v>1</v>
      </c>
      <c r="N1416" s="139">
        <f t="shared" si="2241"/>
        <v>3</v>
      </c>
      <c r="O1416" s="70">
        <v>45995</v>
      </c>
      <c r="P1416" s="11" t="s">
        <v>1522</v>
      </c>
      <c r="Q1416" s="9"/>
      <c r="R1416" s="10"/>
      <c r="S1416" s="10"/>
      <c r="T1416" s="8">
        <f t="shared" si="2259"/>
        <v>0</v>
      </c>
      <c r="U1416" s="9"/>
      <c r="V1416" s="10"/>
      <c r="W1416" s="10"/>
      <c r="X1416" s="8">
        <f t="shared" si="2260"/>
        <v>0</v>
      </c>
      <c r="Y1416" s="9"/>
      <c r="Z1416" s="10"/>
      <c r="AA1416" s="10"/>
      <c r="AB1416" s="8">
        <f t="shared" si="2261"/>
        <v>0</v>
      </c>
      <c r="AC1416" s="93">
        <f t="shared" si="2262"/>
        <v>0</v>
      </c>
      <c r="AD1416" s="116" t="s">
        <v>1177</v>
      </c>
    </row>
    <row r="1417" spans="1:31" ht="14.25" thickBot="1" x14ac:dyDescent="0.2">
      <c r="A1417" s="104" t="s">
        <v>5</v>
      </c>
      <c r="B1417" s="12">
        <f>SUM(B1393:B1416)</f>
        <v>12</v>
      </c>
      <c r="C1417" s="12">
        <f>SUM(C1393:C1416)</f>
        <v>31</v>
      </c>
      <c r="D1417" s="12">
        <f>SUM(D1393:D1416)</f>
        <v>28</v>
      </c>
      <c r="E1417" s="13">
        <f t="shared" si="2238"/>
        <v>71</v>
      </c>
      <c r="F1417" s="12">
        <f>SUM(F1393:F1416)</f>
        <v>12</v>
      </c>
      <c r="G1417" s="12">
        <f>SUM(G1393:G1416)</f>
        <v>32</v>
      </c>
      <c r="H1417" s="12">
        <f>SUM(H1393:H1416)</f>
        <v>28</v>
      </c>
      <c r="I1417" s="13">
        <f t="shared" si="2239"/>
        <v>72</v>
      </c>
      <c r="J1417" s="12">
        <f>SUM(J1393:J1416)</f>
        <v>11</v>
      </c>
      <c r="K1417" s="12">
        <f>SUM(K1393:K1416)</f>
        <v>31</v>
      </c>
      <c r="L1417" s="12">
        <f>SUM(L1393:L1416)</f>
        <v>29</v>
      </c>
      <c r="M1417" s="12">
        <f t="shared" si="2240"/>
        <v>71</v>
      </c>
      <c r="N1417" s="142">
        <f t="shared" si="2241"/>
        <v>214</v>
      </c>
      <c r="P1417" s="3" t="s">
        <v>5</v>
      </c>
      <c r="Q1417" s="12">
        <f>SUM(Q1393:Q1416)</f>
        <v>92</v>
      </c>
      <c r="R1417" s="12">
        <f t="shared" ref="R1417:AC1417" si="2263">SUM(R1393:R1416)</f>
        <v>140</v>
      </c>
      <c r="S1417" s="12">
        <f t="shared" si="2263"/>
        <v>89</v>
      </c>
      <c r="T1417" s="13">
        <f t="shared" si="2263"/>
        <v>321</v>
      </c>
      <c r="U1417" s="12">
        <f t="shared" si="2263"/>
        <v>92</v>
      </c>
      <c r="V1417" s="12">
        <f t="shared" si="2263"/>
        <v>140</v>
      </c>
      <c r="W1417" s="12">
        <f t="shared" si="2263"/>
        <v>94</v>
      </c>
      <c r="X1417" s="13">
        <f t="shared" si="2263"/>
        <v>326</v>
      </c>
      <c r="Y1417" s="12">
        <f t="shared" si="2263"/>
        <v>92</v>
      </c>
      <c r="Z1417" s="12">
        <f t="shared" si="2263"/>
        <v>140</v>
      </c>
      <c r="AA1417" s="12">
        <f t="shared" si="2263"/>
        <v>89</v>
      </c>
      <c r="AB1417" s="13">
        <f t="shared" si="2263"/>
        <v>321</v>
      </c>
      <c r="AC1417" s="155">
        <f t="shared" si="2263"/>
        <v>968</v>
      </c>
    </row>
    <row r="1418" spans="1:31" ht="14.25" thickBot="1" x14ac:dyDescent="0.2">
      <c r="A1418" s="105" t="s">
        <v>6</v>
      </c>
      <c r="B1418" s="20">
        <f>B1392-B1417</f>
        <v>22</v>
      </c>
      <c r="C1418" s="20">
        <f t="shared" ref="C1418:E1418" si="2264">C1392-C1417</f>
        <v>16</v>
      </c>
      <c r="D1418" s="20">
        <f t="shared" si="2264"/>
        <v>14</v>
      </c>
      <c r="E1418" s="18">
        <f t="shared" si="2264"/>
        <v>52</v>
      </c>
      <c r="F1418" s="20">
        <f>F1392-F1417</f>
        <v>22</v>
      </c>
      <c r="G1418" s="20">
        <f t="shared" ref="G1418:I1418" si="2265">G1392-G1417</f>
        <v>15</v>
      </c>
      <c r="H1418" s="20">
        <f t="shared" si="2265"/>
        <v>13</v>
      </c>
      <c r="I1418" s="18">
        <f t="shared" si="2265"/>
        <v>50</v>
      </c>
      <c r="J1418" s="20">
        <f>J1392-J1417</f>
        <v>25</v>
      </c>
      <c r="K1418" s="20">
        <f t="shared" ref="K1418:M1418" si="2266">K1392-K1417</f>
        <v>15</v>
      </c>
      <c r="L1418" s="20">
        <f t="shared" si="2266"/>
        <v>14</v>
      </c>
      <c r="M1418" s="20">
        <f t="shared" si="2266"/>
        <v>54</v>
      </c>
      <c r="N1418" s="140">
        <f t="shared" si="2241"/>
        <v>156</v>
      </c>
      <c r="P1418" s="19" t="s">
        <v>6</v>
      </c>
      <c r="Q1418" s="20">
        <f>Q1392-Q1417</f>
        <v>206</v>
      </c>
      <c r="R1418" s="20">
        <f t="shared" ref="R1418:AC1418" si="2267">R1392-R1417</f>
        <v>62</v>
      </c>
      <c r="S1418" s="20">
        <f t="shared" si="2267"/>
        <v>298</v>
      </c>
      <c r="T1418" s="18">
        <f t="shared" si="2267"/>
        <v>566</v>
      </c>
      <c r="U1418" s="20">
        <f t="shared" si="2267"/>
        <v>246</v>
      </c>
      <c r="V1418" s="20">
        <f t="shared" si="2267"/>
        <v>245</v>
      </c>
      <c r="W1418" s="20">
        <f t="shared" si="2267"/>
        <v>368</v>
      </c>
      <c r="X1418" s="18">
        <f t="shared" si="2267"/>
        <v>859</v>
      </c>
      <c r="Y1418" s="20">
        <f t="shared" si="2267"/>
        <v>167</v>
      </c>
      <c r="Z1418" s="20">
        <f t="shared" si="2267"/>
        <v>75</v>
      </c>
      <c r="AA1418" s="20">
        <f t="shared" si="2267"/>
        <v>214</v>
      </c>
      <c r="AB1418" s="18">
        <f t="shared" si="2267"/>
        <v>456</v>
      </c>
      <c r="AC1418" s="88">
        <f t="shared" si="2267"/>
        <v>1881</v>
      </c>
      <c r="AE1418" t="s">
        <v>1077</v>
      </c>
    </row>
    <row r="1421" spans="1:31" ht="19.5" thickBot="1" x14ac:dyDescent="0.25">
      <c r="A1421" s="108" t="s">
        <v>264</v>
      </c>
      <c r="B1421" s="47"/>
      <c r="C1421" s="47"/>
      <c r="D1421" s="47"/>
      <c r="E1421" s="47"/>
      <c r="F1421" s="48"/>
      <c r="G1421" s="48"/>
      <c r="H1421" s="48"/>
      <c r="I1421" s="48"/>
      <c r="J1421" s="48"/>
      <c r="K1421" s="48"/>
      <c r="L1421" s="1"/>
      <c r="M1421" s="1"/>
      <c r="N1421" s="137"/>
      <c r="P1421" s="43" t="s">
        <v>263</v>
      </c>
      <c r="Q1421" s="44"/>
      <c r="R1421" s="44"/>
      <c r="S1421" s="44"/>
      <c r="T1421" s="44"/>
      <c r="U1421" s="45"/>
      <c r="V1421" s="45"/>
      <c r="W1421" s="45"/>
      <c r="X1421" s="45"/>
      <c r="Y1421" s="46"/>
      <c r="Z1421" s="53"/>
      <c r="AA1421" s="1"/>
      <c r="AB1421" s="1"/>
    </row>
    <row r="1422" spans="1:31" ht="14.25" thickBot="1" x14ac:dyDescent="0.2">
      <c r="A1422" s="100" t="s">
        <v>0</v>
      </c>
      <c r="B1422" s="337" t="s">
        <v>11</v>
      </c>
      <c r="C1422" s="337"/>
      <c r="D1422" s="337"/>
      <c r="E1422" s="338"/>
      <c r="F1422" s="339" t="s">
        <v>9</v>
      </c>
      <c r="G1422" s="340"/>
      <c r="H1422" s="340"/>
      <c r="I1422" s="341"/>
      <c r="J1422" s="342" t="s">
        <v>12</v>
      </c>
      <c r="K1422" s="343"/>
      <c r="L1422" s="343"/>
      <c r="M1422" s="343"/>
      <c r="N1422" s="347" t="s">
        <v>13</v>
      </c>
      <c r="P1422" s="2" t="s">
        <v>0</v>
      </c>
      <c r="Q1422" s="336" t="s">
        <v>11</v>
      </c>
      <c r="R1422" s="337"/>
      <c r="S1422" s="337"/>
      <c r="T1422" s="338"/>
      <c r="U1422" s="339" t="s">
        <v>9</v>
      </c>
      <c r="V1422" s="340"/>
      <c r="W1422" s="340"/>
      <c r="X1422" s="341"/>
      <c r="Y1422" s="342" t="s">
        <v>12</v>
      </c>
      <c r="Z1422" s="343"/>
      <c r="AA1422" s="343"/>
      <c r="AB1422" s="344"/>
      <c r="AC1422" s="133" t="s">
        <v>13</v>
      </c>
    </row>
    <row r="1423" spans="1:31" ht="14.25" thickBot="1" x14ac:dyDescent="0.2">
      <c r="A1423" s="100" t="s">
        <v>1</v>
      </c>
      <c r="B1423" s="3" t="s">
        <v>7</v>
      </c>
      <c r="C1423" s="2" t="s">
        <v>10</v>
      </c>
      <c r="D1423" s="2" t="s">
        <v>8</v>
      </c>
      <c r="E1423" s="2" t="s">
        <v>2</v>
      </c>
      <c r="F1423" s="3" t="s">
        <v>7</v>
      </c>
      <c r="G1423" s="2" t="s">
        <v>10</v>
      </c>
      <c r="H1423" s="2" t="s">
        <v>8</v>
      </c>
      <c r="I1423" s="2" t="s">
        <v>2</v>
      </c>
      <c r="J1423" s="3" t="s">
        <v>7</v>
      </c>
      <c r="K1423" s="2" t="s">
        <v>10</v>
      </c>
      <c r="L1423" s="2" t="s">
        <v>8</v>
      </c>
      <c r="M1423" s="3" t="s">
        <v>2</v>
      </c>
      <c r="N1423" s="348"/>
      <c r="P1423" s="2" t="s">
        <v>1</v>
      </c>
      <c r="Q1423" s="3" t="s">
        <v>7</v>
      </c>
      <c r="R1423" s="2" t="s">
        <v>10</v>
      </c>
      <c r="S1423" s="2" t="s">
        <v>8</v>
      </c>
      <c r="T1423" s="2" t="s">
        <v>2</v>
      </c>
      <c r="U1423" s="3" t="s">
        <v>7</v>
      </c>
      <c r="V1423" s="2" t="s">
        <v>10</v>
      </c>
      <c r="W1423" s="2" t="s">
        <v>8</v>
      </c>
      <c r="X1423" s="2" t="s">
        <v>2</v>
      </c>
      <c r="Y1423" s="3" t="s">
        <v>7</v>
      </c>
      <c r="Z1423" s="2" t="s">
        <v>10</v>
      </c>
      <c r="AA1423" s="2" t="s">
        <v>8</v>
      </c>
      <c r="AB1423" s="2" t="s">
        <v>2</v>
      </c>
      <c r="AC1423" s="134"/>
    </row>
    <row r="1424" spans="1:31" x14ac:dyDescent="0.15">
      <c r="A1424" s="106" t="s">
        <v>6</v>
      </c>
      <c r="B1424" s="41">
        <f>B1418</f>
        <v>22</v>
      </c>
      <c r="C1424" s="41">
        <f t="shared" ref="C1424:E1424" si="2268">C1418</f>
        <v>16</v>
      </c>
      <c r="D1424" s="41">
        <f t="shared" si="2268"/>
        <v>14</v>
      </c>
      <c r="E1424" s="42">
        <f t="shared" si="2268"/>
        <v>52</v>
      </c>
      <c r="F1424" s="41">
        <f>F1418</f>
        <v>22</v>
      </c>
      <c r="G1424" s="41">
        <f t="shared" ref="G1424:I1424" si="2269">G1418</f>
        <v>15</v>
      </c>
      <c r="H1424" s="41">
        <f t="shared" si="2269"/>
        <v>13</v>
      </c>
      <c r="I1424" s="42">
        <f t="shared" si="2269"/>
        <v>50</v>
      </c>
      <c r="J1424" s="41">
        <f>J1418</f>
        <v>25</v>
      </c>
      <c r="K1424" s="41">
        <f t="shared" ref="K1424:M1424" si="2270">K1418</f>
        <v>15</v>
      </c>
      <c r="L1424" s="41">
        <f t="shared" si="2270"/>
        <v>14</v>
      </c>
      <c r="M1424" s="42">
        <f t="shared" si="2270"/>
        <v>54</v>
      </c>
      <c r="N1424" s="143">
        <f>E1424+I1424+M1424</f>
        <v>156</v>
      </c>
      <c r="P1424" s="36" t="s">
        <v>6</v>
      </c>
      <c r="Q1424" s="41">
        <f>Q1418</f>
        <v>206</v>
      </c>
      <c r="R1424" s="41">
        <f t="shared" ref="R1424:AC1424" si="2271">R1418</f>
        <v>62</v>
      </c>
      <c r="S1424" s="41">
        <f t="shared" si="2271"/>
        <v>298</v>
      </c>
      <c r="T1424" s="42">
        <f t="shared" si="2271"/>
        <v>566</v>
      </c>
      <c r="U1424" s="41">
        <f t="shared" si="2271"/>
        <v>246</v>
      </c>
      <c r="V1424" s="41">
        <f t="shared" si="2271"/>
        <v>245</v>
      </c>
      <c r="W1424" s="41">
        <f t="shared" si="2271"/>
        <v>368</v>
      </c>
      <c r="X1424" s="42">
        <f t="shared" si="2271"/>
        <v>859</v>
      </c>
      <c r="Y1424" s="41">
        <f t="shared" si="2271"/>
        <v>167</v>
      </c>
      <c r="Z1424" s="41">
        <f t="shared" si="2271"/>
        <v>75</v>
      </c>
      <c r="AA1424" s="41">
        <f t="shared" si="2271"/>
        <v>214</v>
      </c>
      <c r="AB1424" s="42">
        <f t="shared" si="2271"/>
        <v>456</v>
      </c>
      <c r="AC1424" s="90">
        <f t="shared" si="2271"/>
        <v>1881</v>
      </c>
    </row>
    <row r="1425" spans="1:31" x14ac:dyDescent="0.15">
      <c r="A1425" s="102" t="s">
        <v>3</v>
      </c>
      <c r="B1425" s="25">
        <v>1</v>
      </c>
      <c r="C1425" s="26">
        <v>1</v>
      </c>
      <c r="D1425" s="26">
        <v>1</v>
      </c>
      <c r="E1425" s="5">
        <f t="shared" ref="E1425:E1460" si="2272">SUM(B1425:D1425)</f>
        <v>3</v>
      </c>
      <c r="F1425" s="25">
        <v>1</v>
      </c>
      <c r="G1425" s="26">
        <v>1</v>
      </c>
      <c r="H1425" s="26">
        <v>1</v>
      </c>
      <c r="I1425" s="5">
        <f t="shared" ref="I1425:I1460" si="2273">SUM(F1425:H1425)</f>
        <v>3</v>
      </c>
      <c r="J1425" s="25">
        <v>1</v>
      </c>
      <c r="K1425" s="26">
        <v>1</v>
      </c>
      <c r="L1425" s="26">
        <v>1</v>
      </c>
      <c r="M1425" s="38">
        <f t="shared" ref="M1425:M1460" si="2274">SUM(J1425:L1425)</f>
        <v>3</v>
      </c>
      <c r="N1425" s="138">
        <f t="shared" ref="N1425:N1461" si="2275">E1425+I1425+M1425</f>
        <v>9</v>
      </c>
      <c r="O1425" s="24">
        <v>45995</v>
      </c>
      <c r="P1425" s="6" t="s">
        <v>3</v>
      </c>
      <c r="Q1425" s="14"/>
      <c r="R1425" s="11"/>
      <c r="S1425" s="11"/>
      <c r="T1425" s="5">
        <f t="shared" ref="T1425:T1434" si="2276">SUM(Q1425:S1425)</f>
        <v>0</v>
      </c>
      <c r="U1425" s="14"/>
      <c r="V1425" s="11"/>
      <c r="W1425" s="11"/>
      <c r="X1425" s="5">
        <f t="shared" ref="X1425:X1434" si="2277">SUM(U1425:W1425)</f>
        <v>0</v>
      </c>
      <c r="Y1425" s="25"/>
      <c r="Z1425" s="26"/>
      <c r="AA1425" s="26"/>
      <c r="AB1425" s="5">
        <f t="shared" ref="AB1425:AB1434" si="2278">SUM(Y1425:AA1425)</f>
        <v>0</v>
      </c>
      <c r="AC1425" s="86">
        <f t="shared" ref="AC1425:AC1434" si="2279">T1425+X1425+AB1425</f>
        <v>0</v>
      </c>
    </row>
    <row r="1426" spans="1:31" x14ac:dyDescent="0.15">
      <c r="A1426" s="102" t="s">
        <v>3</v>
      </c>
      <c r="B1426" s="14">
        <v>10</v>
      </c>
      <c r="C1426" s="11">
        <v>10</v>
      </c>
      <c r="D1426" s="11">
        <v>15</v>
      </c>
      <c r="E1426" s="5">
        <f t="shared" si="2272"/>
        <v>35</v>
      </c>
      <c r="F1426" s="34">
        <v>10</v>
      </c>
      <c r="G1426" s="11">
        <v>10</v>
      </c>
      <c r="H1426" s="11">
        <v>15</v>
      </c>
      <c r="I1426" s="5">
        <f t="shared" si="2273"/>
        <v>35</v>
      </c>
      <c r="J1426" s="34">
        <v>5</v>
      </c>
      <c r="K1426" s="11">
        <v>10</v>
      </c>
      <c r="L1426" s="11">
        <v>15</v>
      </c>
      <c r="M1426" s="38">
        <f t="shared" si="2274"/>
        <v>30</v>
      </c>
      <c r="N1426" s="138">
        <f t="shared" si="2275"/>
        <v>100</v>
      </c>
      <c r="O1426" s="24">
        <v>45997</v>
      </c>
      <c r="P1426" s="6" t="s">
        <v>378</v>
      </c>
      <c r="Q1426" s="14">
        <v>470</v>
      </c>
      <c r="R1426" s="11">
        <v>660</v>
      </c>
      <c r="S1426" s="11">
        <v>270</v>
      </c>
      <c r="T1426" s="5">
        <f t="shared" si="2276"/>
        <v>1400</v>
      </c>
      <c r="U1426" s="14">
        <v>470</v>
      </c>
      <c r="V1426" s="11">
        <v>560</v>
      </c>
      <c r="W1426" s="11">
        <v>270</v>
      </c>
      <c r="X1426" s="5">
        <f t="shared" si="2277"/>
        <v>1300</v>
      </c>
      <c r="Y1426" s="25">
        <v>470</v>
      </c>
      <c r="Z1426" s="26">
        <v>660</v>
      </c>
      <c r="AA1426" s="26">
        <v>370</v>
      </c>
      <c r="AB1426" s="5">
        <f t="shared" si="2278"/>
        <v>1500</v>
      </c>
      <c r="AC1426" s="86">
        <f t="shared" si="2279"/>
        <v>4200</v>
      </c>
      <c r="AD1426" s="109" t="s">
        <v>1291</v>
      </c>
      <c r="AE1426" s="58"/>
    </row>
    <row r="1427" spans="1:31" x14ac:dyDescent="0.15">
      <c r="A1427" s="102" t="s">
        <v>492</v>
      </c>
      <c r="B1427" s="14"/>
      <c r="C1427" s="11">
        <v>1</v>
      </c>
      <c r="D1427" s="11"/>
      <c r="E1427" s="5">
        <f t="shared" si="2272"/>
        <v>1</v>
      </c>
      <c r="F1427" s="34"/>
      <c r="G1427" s="11">
        <v>1</v>
      </c>
      <c r="H1427" s="11"/>
      <c r="I1427" s="5">
        <f t="shared" si="2273"/>
        <v>1</v>
      </c>
      <c r="J1427" s="34"/>
      <c r="K1427" s="11">
        <v>1</v>
      </c>
      <c r="L1427" s="11"/>
      <c r="M1427" s="38">
        <f t="shared" si="2274"/>
        <v>1</v>
      </c>
      <c r="N1427" s="138">
        <f t="shared" si="2275"/>
        <v>3</v>
      </c>
      <c r="O1427" s="70">
        <v>45995</v>
      </c>
      <c r="P1427" s="6" t="s">
        <v>3</v>
      </c>
      <c r="Q1427" s="14"/>
      <c r="R1427" s="11"/>
      <c r="S1427" s="11"/>
      <c r="T1427" s="5">
        <f t="shared" si="2276"/>
        <v>0</v>
      </c>
      <c r="U1427" s="14"/>
      <c r="V1427" s="11"/>
      <c r="W1427" s="11"/>
      <c r="X1427" s="5">
        <f t="shared" si="2277"/>
        <v>0</v>
      </c>
      <c r="Y1427" s="25"/>
      <c r="Z1427" s="26"/>
      <c r="AA1427" s="26"/>
      <c r="AB1427" s="5">
        <f t="shared" si="2278"/>
        <v>0</v>
      </c>
      <c r="AC1427" s="86">
        <f t="shared" si="2279"/>
        <v>0</v>
      </c>
      <c r="AD1427" s="58" t="s">
        <v>1286</v>
      </c>
      <c r="AE1427" s="58"/>
    </row>
    <row r="1428" spans="1:31" x14ac:dyDescent="0.15">
      <c r="A1428" s="102" t="s">
        <v>57</v>
      </c>
      <c r="B1428" s="14"/>
      <c r="C1428" s="11"/>
      <c r="D1428" s="11">
        <v>1</v>
      </c>
      <c r="E1428" s="5">
        <f t="shared" si="2272"/>
        <v>1</v>
      </c>
      <c r="F1428" s="34"/>
      <c r="G1428" s="11"/>
      <c r="H1428" s="11">
        <v>1</v>
      </c>
      <c r="I1428" s="5">
        <f t="shared" si="2273"/>
        <v>1</v>
      </c>
      <c r="J1428" s="34"/>
      <c r="K1428" s="11"/>
      <c r="L1428" s="11">
        <v>1</v>
      </c>
      <c r="M1428" s="38">
        <f t="shared" si="2274"/>
        <v>1</v>
      </c>
      <c r="N1428" s="138">
        <f t="shared" si="2275"/>
        <v>3</v>
      </c>
      <c r="O1428" s="70">
        <v>46000</v>
      </c>
      <c r="P1428" s="6" t="s">
        <v>701</v>
      </c>
      <c r="Q1428" s="14">
        <v>51</v>
      </c>
      <c r="R1428" s="11">
        <v>50</v>
      </c>
      <c r="S1428" s="11">
        <v>22</v>
      </c>
      <c r="T1428" s="5">
        <f t="shared" si="2276"/>
        <v>123</v>
      </c>
      <c r="U1428" s="14">
        <v>56</v>
      </c>
      <c r="V1428" s="11">
        <v>66</v>
      </c>
      <c r="W1428" s="11">
        <v>42</v>
      </c>
      <c r="X1428" s="5">
        <f t="shared" si="2277"/>
        <v>164</v>
      </c>
      <c r="Y1428" s="25">
        <v>58</v>
      </c>
      <c r="Z1428" s="26">
        <v>80</v>
      </c>
      <c r="AA1428" s="26">
        <v>45</v>
      </c>
      <c r="AB1428" s="8">
        <f t="shared" si="2278"/>
        <v>183</v>
      </c>
      <c r="AC1428" s="86">
        <f t="shared" si="2279"/>
        <v>470</v>
      </c>
      <c r="AD1428" s="109" t="s">
        <v>1291</v>
      </c>
      <c r="AE1428" s="58"/>
    </row>
    <row r="1429" spans="1:31" x14ac:dyDescent="0.15">
      <c r="A1429" s="102" t="s">
        <v>195</v>
      </c>
      <c r="B1429" s="14">
        <v>6</v>
      </c>
      <c r="C1429" s="11">
        <v>1</v>
      </c>
      <c r="D1429" s="11">
        <v>1</v>
      </c>
      <c r="E1429" s="5">
        <f t="shared" si="2272"/>
        <v>8</v>
      </c>
      <c r="F1429" s="34"/>
      <c r="G1429" s="11">
        <v>3</v>
      </c>
      <c r="H1429" s="11">
        <v>2</v>
      </c>
      <c r="I1429" s="5">
        <f t="shared" si="2273"/>
        <v>5</v>
      </c>
      <c r="J1429" s="34">
        <v>2</v>
      </c>
      <c r="K1429" s="11">
        <v>2</v>
      </c>
      <c r="L1429" s="11">
        <v>1</v>
      </c>
      <c r="M1429" s="38">
        <f t="shared" si="2274"/>
        <v>5</v>
      </c>
      <c r="N1429" s="138">
        <f t="shared" si="2275"/>
        <v>18</v>
      </c>
      <c r="O1429" s="70">
        <v>46008</v>
      </c>
      <c r="P1429" s="6" t="s">
        <v>3</v>
      </c>
      <c r="Q1429" s="14"/>
      <c r="R1429" s="11"/>
      <c r="S1429" s="11"/>
      <c r="T1429" s="5">
        <f t="shared" ref="T1429" si="2280">SUM(Q1429:S1429)</f>
        <v>0</v>
      </c>
      <c r="U1429" s="14"/>
      <c r="V1429" s="11"/>
      <c r="W1429" s="11"/>
      <c r="X1429" s="5">
        <f t="shared" ref="X1429" si="2281">SUM(U1429:W1429)</f>
        <v>0</v>
      </c>
      <c r="Y1429" s="25"/>
      <c r="Z1429" s="26"/>
      <c r="AA1429" s="26"/>
      <c r="AB1429" s="8">
        <f t="shared" ref="AB1429" si="2282">SUM(Y1429:AA1429)</f>
        <v>0</v>
      </c>
      <c r="AC1429" s="86">
        <f t="shared" ref="AC1429" si="2283">T1429+X1429+AB1429</f>
        <v>0</v>
      </c>
      <c r="AD1429" s="58" t="s">
        <v>1286</v>
      </c>
      <c r="AE1429" s="58"/>
    </row>
    <row r="1430" spans="1:31" x14ac:dyDescent="0.15">
      <c r="A1430" s="102" t="s">
        <v>319</v>
      </c>
      <c r="B1430" s="25">
        <v>1</v>
      </c>
      <c r="C1430" s="26">
        <v>2</v>
      </c>
      <c r="D1430" s="26">
        <v>2</v>
      </c>
      <c r="E1430" s="8">
        <f t="shared" si="2272"/>
        <v>5</v>
      </c>
      <c r="F1430" s="25">
        <v>1</v>
      </c>
      <c r="G1430" s="26">
        <v>2</v>
      </c>
      <c r="H1430" s="26">
        <v>2</v>
      </c>
      <c r="I1430" s="8">
        <f t="shared" si="2273"/>
        <v>5</v>
      </c>
      <c r="J1430" s="25">
        <v>1</v>
      </c>
      <c r="K1430" s="26">
        <v>2</v>
      </c>
      <c r="L1430" s="26">
        <v>2</v>
      </c>
      <c r="M1430" s="39">
        <f t="shared" si="2274"/>
        <v>5</v>
      </c>
      <c r="N1430" s="138">
        <f t="shared" si="2275"/>
        <v>15</v>
      </c>
      <c r="O1430" s="24">
        <v>46007</v>
      </c>
      <c r="P1430" s="6" t="s">
        <v>319</v>
      </c>
      <c r="Q1430" s="14">
        <v>13</v>
      </c>
      <c r="R1430" s="11">
        <v>12</v>
      </c>
      <c r="S1430" s="11">
        <v>9</v>
      </c>
      <c r="T1430" s="5">
        <f t="shared" si="2276"/>
        <v>34</v>
      </c>
      <c r="U1430" s="14">
        <v>11</v>
      </c>
      <c r="V1430" s="11">
        <v>9</v>
      </c>
      <c r="W1430" s="11">
        <v>9</v>
      </c>
      <c r="X1430" s="5">
        <f t="shared" si="2277"/>
        <v>29</v>
      </c>
      <c r="Y1430" s="25">
        <v>10</v>
      </c>
      <c r="Z1430" s="26">
        <v>15</v>
      </c>
      <c r="AA1430" s="26">
        <v>14</v>
      </c>
      <c r="AB1430" s="8">
        <f t="shared" si="2278"/>
        <v>39</v>
      </c>
      <c r="AC1430" s="86">
        <f t="shared" si="2279"/>
        <v>102</v>
      </c>
      <c r="AD1430" s="109">
        <v>46009</v>
      </c>
    </row>
    <row r="1431" spans="1:31" x14ac:dyDescent="0.15">
      <c r="A1431" s="102" t="s">
        <v>3</v>
      </c>
      <c r="B1431" s="27"/>
      <c r="C1431" s="26">
        <v>10</v>
      </c>
      <c r="D1431" s="26">
        <v>15</v>
      </c>
      <c r="E1431" s="5">
        <f t="shared" si="2272"/>
        <v>25</v>
      </c>
      <c r="F1431" s="25"/>
      <c r="G1431" s="26">
        <v>10</v>
      </c>
      <c r="H1431" s="26">
        <v>20</v>
      </c>
      <c r="I1431" s="5">
        <f t="shared" si="2273"/>
        <v>30</v>
      </c>
      <c r="J1431" s="25"/>
      <c r="K1431" s="26">
        <v>10</v>
      </c>
      <c r="L1431" s="26">
        <v>15</v>
      </c>
      <c r="M1431" s="38">
        <f t="shared" si="2274"/>
        <v>25</v>
      </c>
      <c r="N1431" s="138">
        <f t="shared" si="2275"/>
        <v>80</v>
      </c>
      <c r="O1431" s="24">
        <v>46011</v>
      </c>
      <c r="P1431" s="6" t="s">
        <v>3</v>
      </c>
      <c r="Q1431" s="27"/>
      <c r="R1431" s="26"/>
      <c r="S1431" s="26"/>
      <c r="T1431" s="5">
        <f t="shared" si="2276"/>
        <v>0</v>
      </c>
      <c r="U1431" s="27"/>
      <c r="V1431" s="26"/>
      <c r="W1431" s="26"/>
      <c r="X1431" s="5">
        <f t="shared" si="2277"/>
        <v>0</v>
      </c>
      <c r="Y1431" s="25"/>
      <c r="Z1431" s="26"/>
      <c r="AA1431" s="26"/>
      <c r="AB1431" s="5">
        <f t="shared" si="2278"/>
        <v>0</v>
      </c>
      <c r="AC1431" s="86">
        <f t="shared" si="2279"/>
        <v>0</v>
      </c>
      <c r="AD1431" s="116"/>
    </row>
    <row r="1432" spans="1:31" x14ac:dyDescent="0.15">
      <c r="A1432" s="158" t="s">
        <v>3</v>
      </c>
      <c r="B1432" s="284"/>
      <c r="C1432" s="238">
        <v>5</v>
      </c>
      <c r="D1432" s="238">
        <v>10</v>
      </c>
      <c r="E1432" s="161">
        <f t="shared" si="2272"/>
        <v>15</v>
      </c>
      <c r="F1432" s="237"/>
      <c r="G1432" s="238">
        <v>5</v>
      </c>
      <c r="H1432" s="238">
        <v>10</v>
      </c>
      <c r="I1432" s="161">
        <f t="shared" si="2273"/>
        <v>15</v>
      </c>
      <c r="J1432" s="237"/>
      <c r="K1432" s="238">
        <v>5</v>
      </c>
      <c r="L1432" s="238">
        <v>10</v>
      </c>
      <c r="M1432" s="163">
        <f t="shared" si="2274"/>
        <v>15</v>
      </c>
      <c r="N1432" s="153">
        <f t="shared" si="2275"/>
        <v>45</v>
      </c>
      <c r="O1432" s="164">
        <v>46016</v>
      </c>
      <c r="P1432" s="6" t="s">
        <v>3</v>
      </c>
      <c r="Q1432" s="14"/>
      <c r="R1432" s="11"/>
      <c r="S1432" s="11"/>
      <c r="T1432" s="5">
        <f t="shared" si="2276"/>
        <v>0</v>
      </c>
      <c r="U1432" s="14"/>
      <c r="V1432" s="11"/>
      <c r="W1432" s="11"/>
      <c r="X1432" s="5">
        <f t="shared" si="2277"/>
        <v>0</v>
      </c>
      <c r="Y1432" s="25"/>
      <c r="Z1432" s="26"/>
      <c r="AA1432" s="26"/>
      <c r="AB1432" s="8">
        <f t="shared" si="2278"/>
        <v>0</v>
      </c>
      <c r="AC1432" s="86">
        <f t="shared" si="2279"/>
        <v>0</v>
      </c>
    </row>
    <row r="1433" spans="1:31" x14ac:dyDescent="0.15">
      <c r="A1433" s="102" t="s">
        <v>281</v>
      </c>
      <c r="B1433" s="27"/>
      <c r="C1433" s="26">
        <v>1</v>
      </c>
      <c r="D1433" s="26"/>
      <c r="E1433" s="5">
        <f t="shared" si="2272"/>
        <v>1</v>
      </c>
      <c r="F1433" s="25"/>
      <c r="G1433" s="26">
        <v>1</v>
      </c>
      <c r="H1433" s="26"/>
      <c r="I1433" s="5">
        <f t="shared" si="2273"/>
        <v>1</v>
      </c>
      <c r="J1433" s="25"/>
      <c r="K1433" s="26">
        <v>1</v>
      </c>
      <c r="L1433" s="26"/>
      <c r="M1433" s="38">
        <f t="shared" si="2274"/>
        <v>1</v>
      </c>
      <c r="N1433" s="138">
        <f t="shared" si="2275"/>
        <v>3</v>
      </c>
      <c r="O1433" s="70">
        <v>46015</v>
      </c>
      <c r="P1433" s="6" t="s">
        <v>3</v>
      </c>
      <c r="Q1433" s="27"/>
      <c r="R1433" s="26"/>
      <c r="S1433" s="26"/>
      <c r="T1433" s="5">
        <f t="shared" si="2276"/>
        <v>0</v>
      </c>
      <c r="U1433" s="27"/>
      <c r="V1433" s="26"/>
      <c r="W1433" s="26"/>
      <c r="X1433" s="5">
        <f t="shared" si="2277"/>
        <v>0</v>
      </c>
      <c r="Y1433" s="25"/>
      <c r="Z1433" s="26"/>
      <c r="AA1433" s="26"/>
      <c r="AB1433" s="5">
        <f t="shared" si="2278"/>
        <v>0</v>
      </c>
      <c r="AC1433" s="86">
        <f t="shared" si="2279"/>
        <v>0</v>
      </c>
    </row>
    <row r="1434" spans="1:31" ht="14.25" thickBot="1" x14ac:dyDescent="0.2">
      <c r="A1434" s="102" t="s">
        <v>372</v>
      </c>
      <c r="B1434" s="28"/>
      <c r="C1434" s="29"/>
      <c r="D1434" s="32">
        <v>-2</v>
      </c>
      <c r="E1434" s="15">
        <f t="shared" si="2272"/>
        <v>-2</v>
      </c>
      <c r="F1434" s="35">
        <v>-1</v>
      </c>
      <c r="G1434" s="29"/>
      <c r="H1434" s="32"/>
      <c r="I1434" s="15">
        <f t="shared" si="2273"/>
        <v>-1</v>
      </c>
      <c r="J1434" s="35"/>
      <c r="K1434" s="29"/>
      <c r="L1434" s="32"/>
      <c r="M1434" s="40">
        <f t="shared" si="2274"/>
        <v>0</v>
      </c>
      <c r="N1434" s="286">
        <f t="shared" si="2275"/>
        <v>-3</v>
      </c>
      <c r="P1434" s="7" t="s">
        <v>3</v>
      </c>
      <c r="Q1434" s="28"/>
      <c r="R1434" s="29"/>
      <c r="S1434" s="29"/>
      <c r="T1434" s="15">
        <f t="shared" si="2276"/>
        <v>0</v>
      </c>
      <c r="U1434" s="28"/>
      <c r="V1434" s="29"/>
      <c r="W1434" s="29"/>
      <c r="X1434" s="15">
        <f t="shared" si="2277"/>
        <v>0</v>
      </c>
      <c r="Y1434" s="35"/>
      <c r="Z1434" s="29"/>
      <c r="AA1434" s="32"/>
      <c r="AB1434" s="15">
        <f t="shared" si="2278"/>
        <v>0</v>
      </c>
      <c r="AC1434" s="87">
        <f t="shared" si="2279"/>
        <v>0</v>
      </c>
    </row>
    <row r="1435" spans="1:31" ht="14.25" thickBot="1" x14ac:dyDescent="0.2">
      <c r="A1435" s="103" t="s">
        <v>4</v>
      </c>
      <c r="B1435" s="17">
        <f>SUM(B1424:B1434)</f>
        <v>40</v>
      </c>
      <c r="C1435" s="17">
        <f>SUM(C1424:C1434)</f>
        <v>47</v>
      </c>
      <c r="D1435" s="17">
        <f>SUM(D1424:D1434)</f>
        <v>57</v>
      </c>
      <c r="E1435" s="18">
        <f t="shared" si="2272"/>
        <v>144</v>
      </c>
      <c r="F1435" s="17">
        <f>SUM(F1424:F1434)</f>
        <v>33</v>
      </c>
      <c r="G1435" s="17">
        <f>SUM(G1424:G1434)</f>
        <v>48</v>
      </c>
      <c r="H1435" s="17">
        <f>SUM(H1424:H1434)</f>
        <v>64</v>
      </c>
      <c r="I1435" s="18">
        <f t="shared" si="2273"/>
        <v>145</v>
      </c>
      <c r="J1435" s="17">
        <f>SUM(J1424:J1434)</f>
        <v>34</v>
      </c>
      <c r="K1435" s="17">
        <f>SUM(K1424:K1434)</f>
        <v>47</v>
      </c>
      <c r="L1435" s="17">
        <f>SUM(L1424:L1434)</f>
        <v>59</v>
      </c>
      <c r="M1435" s="20">
        <f t="shared" si="2274"/>
        <v>140</v>
      </c>
      <c r="N1435" s="140">
        <f t="shared" si="2275"/>
        <v>429</v>
      </c>
      <c r="P1435" s="16" t="s">
        <v>4</v>
      </c>
      <c r="Q1435" s="17">
        <f>SUM(Q1424:Q1434)</f>
        <v>740</v>
      </c>
      <c r="R1435" s="17">
        <f t="shared" ref="R1435:AC1435" si="2284">SUM(R1424:R1434)</f>
        <v>784</v>
      </c>
      <c r="S1435" s="17">
        <f t="shared" si="2284"/>
        <v>599</v>
      </c>
      <c r="T1435" s="18">
        <f t="shared" si="2284"/>
        <v>2123</v>
      </c>
      <c r="U1435" s="17">
        <f t="shared" si="2284"/>
        <v>783</v>
      </c>
      <c r="V1435" s="17">
        <f t="shared" si="2284"/>
        <v>880</v>
      </c>
      <c r="W1435" s="17">
        <f t="shared" si="2284"/>
        <v>689</v>
      </c>
      <c r="X1435" s="18">
        <f t="shared" si="2284"/>
        <v>2352</v>
      </c>
      <c r="Y1435" s="17">
        <f t="shared" si="2284"/>
        <v>705</v>
      </c>
      <c r="Z1435" s="17">
        <f t="shared" si="2284"/>
        <v>830</v>
      </c>
      <c r="AA1435" s="17">
        <f t="shared" si="2284"/>
        <v>643</v>
      </c>
      <c r="AB1435" s="18">
        <f t="shared" si="2284"/>
        <v>2178</v>
      </c>
      <c r="AC1435" s="88">
        <f t="shared" si="2284"/>
        <v>6653</v>
      </c>
    </row>
    <row r="1436" spans="1:31" x14ac:dyDescent="0.15">
      <c r="A1436" s="4" t="s">
        <v>1318</v>
      </c>
      <c r="B1436" s="9">
        <v>3</v>
      </c>
      <c r="C1436" s="10"/>
      <c r="D1436" s="31"/>
      <c r="E1436" s="57">
        <f t="shared" si="2272"/>
        <v>3</v>
      </c>
      <c r="F1436" s="56">
        <v>3</v>
      </c>
      <c r="G1436" s="31"/>
      <c r="H1436" s="31"/>
      <c r="I1436" s="57">
        <f t="shared" si="2273"/>
        <v>3</v>
      </c>
      <c r="J1436" s="56">
        <v>3</v>
      </c>
      <c r="K1436" s="31"/>
      <c r="L1436" s="31"/>
      <c r="M1436" s="276">
        <f t="shared" si="2274"/>
        <v>3</v>
      </c>
      <c r="N1436" s="277">
        <f t="shared" si="2275"/>
        <v>9</v>
      </c>
      <c r="O1436" s="24">
        <v>45996</v>
      </c>
      <c r="P1436" s="4" t="s">
        <v>1334</v>
      </c>
      <c r="Q1436" s="9">
        <v>50</v>
      </c>
      <c r="R1436" s="10">
        <v>70</v>
      </c>
      <c r="S1436" s="31">
        <v>50</v>
      </c>
      <c r="T1436" s="5">
        <f t="shared" ref="T1436:T1459" si="2285">SUM(Q1436:S1436)</f>
        <v>170</v>
      </c>
      <c r="U1436" s="9">
        <v>50</v>
      </c>
      <c r="V1436" s="10">
        <v>70</v>
      </c>
      <c r="W1436" s="31">
        <v>50</v>
      </c>
      <c r="X1436" s="5">
        <f t="shared" ref="X1436:X1459" si="2286">SUM(U1436:W1436)</f>
        <v>170</v>
      </c>
      <c r="Y1436" s="9">
        <v>50</v>
      </c>
      <c r="Z1436" s="10">
        <v>70</v>
      </c>
      <c r="AA1436" s="31">
        <v>50</v>
      </c>
      <c r="AB1436" s="5">
        <f t="shared" ref="AB1436:AB1459" si="2287">SUM(Y1436:AA1436)</f>
        <v>170</v>
      </c>
      <c r="AC1436" s="148">
        <f t="shared" ref="AC1436:AC1459" si="2288">T1436+X1436+AB1436</f>
        <v>510</v>
      </c>
      <c r="AD1436" s="109">
        <v>46002</v>
      </c>
    </row>
    <row r="1437" spans="1:31" x14ac:dyDescent="0.15">
      <c r="A1437" s="33" t="s">
        <v>1327</v>
      </c>
      <c r="B1437" s="9">
        <v>2</v>
      </c>
      <c r="C1437" s="10"/>
      <c r="D1437" s="78"/>
      <c r="E1437" s="5">
        <f t="shared" ref="E1437:E1438" si="2289">SUM(B1437:D1437)</f>
        <v>2</v>
      </c>
      <c r="F1437" s="77">
        <v>2</v>
      </c>
      <c r="G1437" s="78"/>
      <c r="H1437" s="78"/>
      <c r="I1437" s="5">
        <f t="shared" ref="I1437:I1438" si="2290">SUM(F1437:H1437)</f>
        <v>2</v>
      </c>
      <c r="J1437" s="77">
        <v>2</v>
      </c>
      <c r="K1437" s="78"/>
      <c r="L1437" s="78"/>
      <c r="M1437" s="38">
        <f t="shared" ref="M1437:M1438" si="2291">SUM(J1437:L1437)</f>
        <v>2</v>
      </c>
      <c r="N1437" s="141">
        <f t="shared" ref="N1437:N1438" si="2292">E1437+I1437+M1437</f>
        <v>6</v>
      </c>
      <c r="O1437" s="24">
        <v>45996</v>
      </c>
      <c r="P1437" s="4" t="s">
        <v>27</v>
      </c>
      <c r="Q1437" s="9">
        <v>1</v>
      </c>
      <c r="R1437" s="10">
        <v>1</v>
      </c>
      <c r="S1437" s="10">
        <v>1</v>
      </c>
      <c r="T1437" s="5">
        <f t="shared" si="2285"/>
        <v>3</v>
      </c>
      <c r="U1437" s="9">
        <v>1</v>
      </c>
      <c r="V1437" s="10">
        <v>1</v>
      </c>
      <c r="W1437" s="10">
        <v>1</v>
      </c>
      <c r="X1437" s="5">
        <f t="shared" si="2286"/>
        <v>3</v>
      </c>
      <c r="Y1437" s="9">
        <v>1</v>
      </c>
      <c r="Z1437" s="10">
        <v>1</v>
      </c>
      <c r="AA1437" s="10">
        <v>1</v>
      </c>
      <c r="AB1437" s="5">
        <f t="shared" si="2287"/>
        <v>3</v>
      </c>
      <c r="AC1437" s="93">
        <f t="shared" si="2288"/>
        <v>9</v>
      </c>
      <c r="AD1437" s="109">
        <v>45995</v>
      </c>
    </row>
    <row r="1438" spans="1:31" x14ac:dyDescent="0.15">
      <c r="A1438" s="33" t="s">
        <v>36</v>
      </c>
      <c r="B1438" s="9">
        <v>1</v>
      </c>
      <c r="C1438" s="10"/>
      <c r="D1438" s="10"/>
      <c r="E1438" s="5">
        <f t="shared" si="2289"/>
        <v>1</v>
      </c>
      <c r="F1438" s="9">
        <v>1</v>
      </c>
      <c r="G1438" s="10"/>
      <c r="H1438" s="10"/>
      <c r="I1438" s="5">
        <f t="shared" si="2290"/>
        <v>1</v>
      </c>
      <c r="J1438" s="9">
        <v>1</v>
      </c>
      <c r="K1438" s="10"/>
      <c r="L1438" s="10"/>
      <c r="M1438" s="38">
        <f t="shared" si="2291"/>
        <v>1</v>
      </c>
      <c r="N1438" s="138">
        <f t="shared" si="2292"/>
        <v>3</v>
      </c>
      <c r="O1438" s="24">
        <v>45994</v>
      </c>
      <c r="P1438" s="4" t="s">
        <v>1335</v>
      </c>
      <c r="Q1438" s="9">
        <v>2</v>
      </c>
      <c r="R1438" s="10">
        <v>12</v>
      </c>
      <c r="S1438" s="10"/>
      <c r="T1438" s="5">
        <f t="shared" ref="T1438" si="2293">SUM(Q1438:S1438)</f>
        <v>14</v>
      </c>
      <c r="U1438" s="9">
        <v>2</v>
      </c>
      <c r="V1438" s="10">
        <v>12</v>
      </c>
      <c r="W1438" s="10"/>
      <c r="X1438" s="5">
        <f t="shared" ref="X1438" si="2294">SUM(U1438:W1438)</f>
        <v>14</v>
      </c>
      <c r="Y1438" s="9">
        <v>2</v>
      </c>
      <c r="Z1438" s="10">
        <v>12</v>
      </c>
      <c r="AA1438" s="10"/>
      <c r="AB1438" s="5">
        <f t="shared" ref="AB1438" si="2295">SUM(Y1438:AA1438)</f>
        <v>14</v>
      </c>
      <c r="AC1438" s="93">
        <f t="shared" ref="AC1438" si="2296">T1438+X1438+AB1438</f>
        <v>42</v>
      </c>
      <c r="AD1438" s="109">
        <v>45999</v>
      </c>
    </row>
    <row r="1439" spans="1:31" x14ac:dyDescent="0.15">
      <c r="A1439" s="33" t="s">
        <v>1338</v>
      </c>
      <c r="B1439" s="9"/>
      <c r="C1439" s="10"/>
      <c r="D1439" s="10">
        <v>1</v>
      </c>
      <c r="E1439" s="5">
        <f t="shared" si="2272"/>
        <v>1</v>
      </c>
      <c r="F1439" s="9"/>
      <c r="G1439" s="10"/>
      <c r="H1439" s="10">
        <v>1</v>
      </c>
      <c r="I1439" s="5">
        <f t="shared" si="2273"/>
        <v>1</v>
      </c>
      <c r="J1439" s="9"/>
      <c r="K1439" s="10"/>
      <c r="L1439" s="10">
        <v>1</v>
      </c>
      <c r="M1439" s="38">
        <f t="shared" si="2274"/>
        <v>1</v>
      </c>
      <c r="N1439" s="138">
        <f t="shared" si="2275"/>
        <v>3</v>
      </c>
      <c r="O1439" s="24">
        <v>45996</v>
      </c>
      <c r="P1439" s="11" t="s">
        <v>1523</v>
      </c>
      <c r="Q1439" s="9">
        <v>10</v>
      </c>
      <c r="R1439" s="10">
        <v>10</v>
      </c>
      <c r="S1439" s="10">
        <v>30</v>
      </c>
      <c r="T1439" s="5">
        <f t="shared" si="2285"/>
        <v>50</v>
      </c>
      <c r="U1439" s="9">
        <v>10</v>
      </c>
      <c r="V1439" s="10">
        <v>10</v>
      </c>
      <c r="W1439" s="10">
        <v>30</v>
      </c>
      <c r="X1439" s="5">
        <f t="shared" si="2286"/>
        <v>50</v>
      </c>
      <c r="Y1439" s="9">
        <v>10</v>
      </c>
      <c r="Z1439" s="10">
        <v>10</v>
      </c>
      <c r="AA1439" s="10">
        <v>30</v>
      </c>
      <c r="AB1439" s="5">
        <f t="shared" si="2287"/>
        <v>50</v>
      </c>
      <c r="AC1439" s="93">
        <f t="shared" si="2288"/>
        <v>150</v>
      </c>
      <c r="AD1439" s="109">
        <v>45997</v>
      </c>
    </row>
    <row r="1440" spans="1:31" x14ac:dyDescent="0.15">
      <c r="A1440" s="33" t="s">
        <v>1340</v>
      </c>
      <c r="B1440" s="9"/>
      <c r="C1440" s="10"/>
      <c r="D1440" s="10">
        <v>5</v>
      </c>
      <c r="E1440" s="5">
        <f t="shared" si="2272"/>
        <v>5</v>
      </c>
      <c r="F1440" s="9"/>
      <c r="G1440" s="10"/>
      <c r="H1440" s="10">
        <v>5</v>
      </c>
      <c r="I1440" s="5">
        <f t="shared" si="2273"/>
        <v>5</v>
      </c>
      <c r="J1440" s="9"/>
      <c r="K1440" s="10"/>
      <c r="L1440" s="10">
        <v>5</v>
      </c>
      <c r="M1440" s="38">
        <f t="shared" si="2274"/>
        <v>5</v>
      </c>
      <c r="N1440" s="138">
        <f t="shared" si="2275"/>
        <v>15</v>
      </c>
      <c r="O1440" s="24">
        <v>45996</v>
      </c>
      <c r="P1440" s="11" t="s">
        <v>1342</v>
      </c>
      <c r="Q1440" s="9"/>
      <c r="R1440" s="10">
        <v>10</v>
      </c>
      <c r="S1440" s="10">
        <v>5</v>
      </c>
      <c r="T1440" s="5">
        <f t="shared" si="2285"/>
        <v>15</v>
      </c>
      <c r="U1440" s="9"/>
      <c r="V1440" s="10">
        <v>10</v>
      </c>
      <c r="W1440" s="10">
        <v>5</v>
      </c>
      <c r="X1440" s="5">
        <f t="shared" si="2286"/>
        <v>15</v>
      </c>
      <c r="Y1440" s="9"/>
      <c r="Z1440" s="10">
        <v>10</v>
      </c>
      <c r="AA1440" s="10">
        <v>5</v>
      </c>
      <c r="AB1440" s="5">
        <f t="shared" si="2287"/>
        <v>15</v>
      </c>
      <c r="AC1440" s="93">
        <f t="shared" si="2288"/>
        <v>45</v>
      </c>
      <c r="AD1440" s="109">
        <v>46000</v>
      </c>
    </row>
    <row r="1441" spans="1:31" x14ac:dyDescent="0.15">
      <c r="A1441" s="33" t="s">
        <v>1344</v>
      </c>
      <c r="B1441" s="9">
        <v>1</v>
      </c>
      <c r="C1441" s="10"/>
      <c r="D1441" s="10"/>
      <c r="E1441" s="8">
        <f t="shared" si="2272"/>
        <v>1</v>
      </c>
      <c r="F1441" s="9">
        <v>1</v>
      </c>
      <c r="G1441" s="10"/>
      <c r="H1441" s="10"/>
      <c r="I1441" s="8">
        <f t="shared" si="2273"/>
        <v>1</v>
      </c>
      <c r="J1441" s="9">
        <v>1</v>
      </c>
      <c r="K1441" s="10"/>
      <c r="L1441" s="10"/>
      <c r="M1441" s="39">
        <f t="shared" si="2274"/>
        <v>1</v>
      </c>
      <c r="N1441" s="138">
        <f t="shared" si="2275"/>
        <v>3</v>
      </c>
      <c r="O1441" s="24">
        <v>46001</v>
      </c>
      <c r="P1441" s="4" t="s">
        <v>1343</v>
      </c>
      <c r="Q1441" s="9">
        <v>10</v>
      </c>
      <c r="R1441" s="10">
        <v>10</v>
      </c>
      <c r="S1441" s="10">
        <v>15</v>
      </c>
      <c r="T1441" s="8">
        <f t="shared" si="2285"/>
        <v>35</v>
      </c>
      <c r="U1441" s="9">
        <v>10</v>
      </c>
      <c r="V1441" s="10">
        <v>10</v>
      </c>
      <c r="W1441" s="10">
        <v>15</v>
      </c>
      <c r="X1441" s="8">
        <f t="shared" si="2286"/>
        <v>35</v>
      </c>
      <c r="Y1441" s="9">
        <v>5</v>
      </c>
      <c r="Z1441" s="10">
        <v>10</v>
      </c>
      <c r="AA1441" s="10">
        <v>15</v>
      </c>
      <c r="AB1441" s="8">
        <f t="shared" si="2287"/>
        <v>30</v>
      </c>
      <c r="AC1441" s="93">
        <f t="shared" si="2288"/>
        <v>100</v>
      </c>
      <c r="AD1441" s="121">
        <v>45997</v>
      </c>
    </row>
    <row r="1442" spans="1:31" x14ac:dyDescent="0.15">
      <c r="A1442" s="33" t="s">
        <v>36</v>
      </c>
      <c r="B1442" s="9">
        <v>1</v>
      </c>
      <c r="C1442" s="10"/>
      <c r="D1442" s="10"/>
      <c r="E1442" s="8">
        <f t="shared" si="2272"/>
        <v>1</v>
      </c>
      <c r="F1442" s="9"/>
      <c r="G1442" s="10"/>
      <c r="H1442" s="10"/>
      <c r="I1442" s="8">
        <f t="shared" si="2273"/>
        <v>0</v>
      </c>
      <c r="J1442" s="9"/>
      <c r="K1442" s="10"/>
      <c r="L1442" s="10"/>
      <c r="M1442" s="39">
        <f t="shared" si="2274"/>
        <v>0</v>
      </c>
      <c r="N1442" s="138">
        <f t="shared" si="2275"/>
        <v>1</v>
      </c>
      <c r="O1442" s="70">
        <v>45999</v>
      </c>
      <c r="P1442" s="4" t="s">
        <v>1433</v>
      </c>
      <c r="Q1442" s="9">
        <v>9</v>
      </c>
      <c r="R1442" s="10">
        <v>17</v>
      </c>
      <c r="S1442" s="10">
        <v>14</v>
      </c>
      <c r="T1442" s="8">
        <f t="shared" si="2285"/>
        <v>40</v>
      </c>
      <c r="U1442" s="9">
        <v>9</v>
      </c>
      <c r="V1442" s="10">
        <v>17</v>
      </c>
      <c r="W1442" s="10">
        <v>14</v>
      </c>
      <c r="X1442" s="8">
        <f t="shared" si="2286"/>
        <v>40</v>
      </c>
      <c r="Y1442" s="9">
        <v>9</v>
      </c>
      <c r="Z1442" s="10">
        <v>17</v>
      </c>
      <c r="AA1442" s="10">
        <v>14</v>
      </c>
      <c r="AB1442" s="8">
        <f t="shared" si="2287"/>
        <v>40</v>
      </c>
      <c r="AC1442" s="93">
        <f t="shared" si="2288"/>
        <v>120</v>
      </c>
      <c r="AD1442" s="109">
        <v>46008</v>
      </c>
    </row>
    <row r="1443" spans="1:31" x14ac:dyDescent="0.15">
      <c r="A1443" s="4" t="s">
        <v>1345</v>
      </c>
      <c r="B1443" s="9">
        <v>2</v>
      </c>
      <c r="C1443" s="10">
        <v>5</v>
      </c>
      <c r="D1443" s="10">
        <v>4</v>
      </c>
      <c r="E1443" s="8">
        <f t="shared" si="2272"/>
        <v>11</v>
      </c>
      <c r="F1443" s="9">
        <v>2</v>
      </c>
      <c r="G1443" s="10">
        <v>5</v>
      </c>
      <c r="H1443" s="10">
        <v>4</v>
      </c>
      <c r="I1443" s="8">
        <f t="shared" si="2273"/>
        <v>11</v>
      </c>
      <c r="J1443" s="9">
        <v>2</v>
      </c>
      <c r="K1443" s="10">
        <v>5</v>
      </c>
      <c r="L1443" s="10">
        <v>4</v>
      </c>
      <c r="M1443" s="39">
        <f t="shared" si="2274"/>
        <v>11</v>
      </c>
      <c r="N1443" s="138">
        <f t="shared" si="2275"/>
        <v>33</v>
      </c>
      <c r="O1443" s="24">
        <v>46001</v>
      </c>
      <c r="P1443" s="11" t="s">
        <v>1354</v>
      </c>
      <c r="Q1443" s="9"/>
      <c r="R1443" s="10">
        <v>10</v>
      </c>
      <c r="S1443" s="10"/>
      <c r="T1443" s="8">
        <f t="shared" si="2285"/>
        <v>10</v>
      </c>
      <c r="U1443" s="9"/>
      <c r="V1443" s="10">
        <v>10</v>
      </c>
      <c r="W1443" s="10"/>
      <c r="X1443" s="8">
        <f t="shared" si="2286"/>
        <v>10</v>
      </c>
      <c r="Y1443" s="9"/>
      <c r="Z1443" s="10">
        <v>10</v>
      </c>
      <c r="AA1443" s="10"/>
      <c r="AB1443" s="8">
        <f t="shared" si="2287"/>
        <v>10</v>
      </c>
      <c r="AC1443" s="93">
        <f t="shared" si="2288"/>
        <v>30</v>
      </c>
      <c r="AD1443" s="109">
        <v>46003</v>
      </c>
    </row>
    <row r="1444" spans="1:31" x14ac:dyDescent="0.15">
      <c r="A1444" s="33" t="s">
        <v>36</v>
      </c>
      <c r="B1444" s="9"/>
      <c r="C1444" s="10"/>
      <c r="D1444" s="10"/>
      <c r="E1444" s="8">
        <f t="shared" si="2272"/>
        <v>0</v>
      </c>
      <c r="F1444" s="9"/>
      <c r="G1444" s="10">
        <v>2</v>
      </c>
      <c r="H1444" s="10"/>
      <c r="I1444" s="8">
        <f t="shared" si="2273"/>
        <v>2</v>
      </c>
      <c r="J1444" s="9"/>
      <c r="K1444" s="10"/>
      <c r="L1444" s="10"/>
      <c r="M1444" s="39">
        <f t="shared" si="2274"/>
        <v>0</v>
      </c>
      <c r="N1444" s="138">
        <f t="shared" si="2275"/>
        <v>2</v>
      </c>
      <c r="O1444" s="24">
        <v>46000</v>
      </c>
      <c r="P1444" s="4" t="s">
        <v>1359</v>
      </c>
      <c r="Q1444" s="9">
        <v>20</v>
      </c>
      <c r="R1444" s="10">
        <v>20</v>
      </c>
      <c r="S1444" s="10">
        <v>3</v>
      </c>
      <c r="T1444" s="8">
        <f t="shared" si="2285"/>
        <v>43</v>
      </c>
      <c r="U1444" s="9">
        <v>20</v>
      </c>
      <c r="V1444" s="10">
        <v>20</v>
      </c>
      <c r="W1444" s="10">
        <v>3</v>
      </c>
      <c r="X1444" s="8">
        <f t="shared" si="2286"/>
        <v>43</v>
      </c>
      <c r="Y1444" s="9">
        <v>20</v>
      </c>
      <c r="Z1444" s="10">
        <v>20</v>
      </c>
      <c r="AA1444" s="10">
        <v>3</v>
      </c>
      <c r="AB1444" s="8">
        <f t="shared" si="2287"/>
        <v>43</v>
      </c>
      <c r="AC1444" s="93">
        <f t="shared" si="2288"/>
        <v>129</v>
      </c>
      <c r="AD1444" s="109">
        <v>46006</v>
      </c>
    </row>
    <row r="1445" spans="1:31" x14ac:dyDescent="0.15">
      <c r="A1445" s="33" t="s">
        <v>1353</v>
      </c>
      <c r="B1445" s="9">
        <v>1</v>
      </c>
      <c r="C1445" s="10"/>
      <c r="D1445" s="10"/>
      <c r="E1445" s="8">
        <f t="shared" si="2272"/>
        <v>1</v>
      </c>
      <c r="F1445" s="9">
        <v>1</v>
      </c>
      <c r="G1445" s="10"/>
      <c r="H1445" s="10"/>
      <c r="I1445" s="8">
        <f t="shared" si="2273"/>
        <v>1</v>
      </c>
      <c r="J1445" s="9">
        <v>1</v>
      </c>
      <c r="K1445" s="10"/>
      <c r="L1445" s="10"/>
      <c r="M1445" s="39">
        <f t="shared" si="2274"/>
        <v>1</v>
      </c>
      <c r="N1445" s="138">
        <f t="shared" si="2275"/>
        <v>3</v>
      </c>
      <c r="O1445" s="24">
        <v>46003</v>
      </c>
      <c r="P1445" s="4" t="s">
        <v>1365</v>
      </c>
      <c r="Q1445" s="9">
        <v>25</v>
      </c>
      <c r="R1445" s="10">
        <v>45</v>
      </c>
      <c r="S1445" s="10">
        <v>30</v>
      </c>
      <c r="T1445" s="8">
        <f t="shared" si="2285"/>
        <v>100</v>
      </c>
      <c r="U1445" s="9">
        <v>25</v>
      </c>
      <c r="V1445" s="10">
        <v>45</v>
      </c>
      <c r="W1445" s="10">
        <v>30</v>
      </c>
      <c r="X1445" s="8">
        <f t="shared" si="2286"/>
        <v>100</v>
      </c>
      <c r="Y1445" s="9">
        <v>25</v>
      </c>
      <c r="Z1445" s="10">
        <v>45</v>
      </c>
      <c r="AA1445" s="10">
        <v>30</v>
      </c>
      <c r="AB1445" s="8">
        <f t="shared" si="2287"/>
        <v>100</v>
      </c>
      <c r="AC1445" s="93">
        <f t="shared" si="2288"/>
        <v>300</v>
      </c>
      <c r="AD1445" s="109">
        <v>46006</v>
      </c>
    </row>
    <row r="1446" spans="1:31" x14ac:dyDescent="0.15">
      <c r="A1446" s="33" t="s">
        <v>1358</v>
      </c>
      <c r="B1446" s="9">
        <v>1</v>
      </c>
      <c r="C1446" s="10"/>
      <c r="D1446" s="10"/>
      <c r="E1446" s="8">
        <f t="shared" si="2272"/>
        <v>1</v>
      </c>
      <c r="F1446" s="9">
        <v>1</v>
      </c>
      <c r="G1446" s="10"/>
      <c r="H1446" s="10"/>
      <c r="I1446" s="8">
        <f t="shared" si="2273"/>
        <v>1</v>
      </c>
      <c r="J1446" s="9">
        <v>1</v>
      </c>
      <c r="K1446" s="10"/>
      <c r="L1446" s="10"/>
      <c r="M1446" s="39">
        <f t="shared" si="2274"/>
        <v>1</v>
      </c>
      <c r="N1446" s="138">
        <f t="shared" si="2275"/>
        <v>3</v>
      </c>
      <c r="O1446" s="24">
        <v>46003</v>
      </c>
      <c r="P1446" s="11" t="s">
        <v>1370</v>
      </c>
      <c r="Q1446" s="9">
        <v>5</v>
      </c>
      <c r="R1446" s="10">
        <v>20</v>
      </c>
      <c r="S1446" s="10"/>
      <c r="T1446" s="8">
        <f t="shared" ref="T1446:T1451" si="2297">SUM(Q1446:S1446)</f>
        <v>25</v>
      </c>
      <c r="U1446" s="9">
        <v>5</v>
      </c>
      <c r="V1446" s="10">
        <v>20</v>
      </c>
      <c r="W1446" s="10"/>
      <c r="X1446" s="8">
        <f t="shared" ref="X1446:X1451" si="2298">SUM(U1446:W1446)</f>
        <v>25</v>
      </c>
      <c r="Y1446" s="9">
        <v>5</v>
      </c>
      <c r="Z1446" s="10">
        <v>20</v>
      </c>
      <c r="AA1446" s="10"/>
      <c r="AB1446" s="8">
        <f t="shared" ref="AB1446:AB1451" si="2299">SUM(Y1446:AA1446)</f>
        <v>25</v>
      </c>
      <c r="AC1446" s="93">
        <f t="shared" ref="AC1446:AC1451" si="2300">T1446+X1446+AB1446</f>
        <v>75</v>
      </c>
      <c r="AD1446" s="109">
        <v>46008</v>
      </c>
    </row>
    <row r="1447" spans="1:31" x14ac:dyDescent="0.15">
      <c r="A1447" s="33" t="s">
        <v>36</v>
      </c>
      <c r="B1447" s="9"/>
      <c r="C1447" s="10">
        <v>2</v>
      </c>
      <c r="D1447" s="10">
        <v>1</v>
      </c>
      <c r="E1447" s="8">
        <f t="shared" si="2272"/>
        <v>3</v>
      </c>
      <c r="F1447" s="9"/>
      <c r="G1447" s="10">
        <v>2</v>
      </c>
      <c r="H1447" s="10">
        <v>1</v>
      </c>
      <c r="I1447" s="8">
        <f t="shared" si="2273"/>
        <v>3</v>
      </c>
      <c r="J1447" s="9"/>
      <c r="K1447" s="10">
        <v>2</v>
      </c>
      <c r="L1447" s="10">
        <v>1</v>
      </c>
      <c r="M1447" s="39">
        <f t="shared" si="2274"/>
        <v>3</v>
      </c>
      <c r="N1447" s="138">
        <f t="shared" si="2275"/>
        <v>9</v>
      </c>
      <c r="O1447" s="70">
        <v>46002</v>
      </c>
      <c r="P1447" s="11" t="s">
        <v>1381</v>
      </c>
      <c r="Q1447" s="9">
        <v>10</v>
      </c>
      <c r="R1447" s="10">
        <v>10</v>
      </c>
      <c r="S1447" s="10">
        <v>10</v>
      </c>
      <c r="T1447" s="8">
        <f t="shared" si="2297"/>
        <v>30</v>
      </c>
      <c r="U1447" s="9">
        <v>10</v>
      </c>
      <c r="V1447" s="10">
        <v>10</v>
      </c>
      <c r="W1447" s="10">
        <v>10</v>
      </c>
      <c r="X1447" s="8">
        <f t="shared" si="2298"/>
        <v>30</v>
      </c>
      <c r="Y1447" s="9">
        <v>10</v>
      </c>
      <c r="Z1447" s="10">
        <v>10</v>
      </c>
      <c r="AA1447" s="10">
        <v>10</v>
      </c>
      <c r="AB1447" s="8">
        <f t="shared" si="2299"/>
        <v>30</v>
      </c>
      <c r="AC1447" s="93">
        <f t="shared" si="2300"/>
        <v>90</v>
      </c>
      <c r="AD1447" s="109">
        <v>46010</v>
      </c>
      <c r="AE1447" s="58"/>
    </row>
    <row r="1448" spans="1:31" x14ac:dyDescent="0.15">
      <c r="A1448" s="33" t="s">
        <v>36</v>
      </c>
      <c r="B1448" s="9">
        <v>1</v>
      </c>
      <c r="C1448" s="10"/>
      <c r="D1448" s="10">
        <v>2</v>
      </c>
      <c r="E1448" s="8">
        <f t="shared" si="2272"/>
        <v>3</v>
      </c>
      <c r="F1448" s="9"/>
      <c r="G1448" s="10"/>
      <c r="H1448" s="10">
        <v>2</v>
      </c>
      <c r="I1448" s="8">
        <f t="shared" si="2273"/>
        <v>2</v>
      </c>
      <c r="J1448" s="9"/>
      <c r="K1448" s="10"/>
      <c r="L1448" s="10">
        <v>2</v>
      </c>
      <c r="M1448" s="39">
        <f t="shared" si="2274"/>
        <v>2</v>
      </c>
      <c r="N1448" s="138">
        <f t="shared" si="2275"/>
        <v>7</v>
      </c>
      <c r="O1448" s="70">
        <v>46003</v>
      </c>
      <c r="P1448" s="4" t="s">
        <v>1319</v>
      </c>
      <c r="Q1448" s="9">
        <v>10</v>
      </c>
      <c r="R1448" s="10">
        <v>10</v>
      </c>
      <c r="S1448" s="10">
        <v>15</v>
      </c>
      <c r="T1448" s="8">
        <f t="shared" si="2297"/>
        <v>35</v>
      </c>
      <c r="U1448" s="9">
        <v>10</v>
      </c>
      <c r="V1448" s="10">
        <v>10</v>
      </c>
      <c r="W1448" s="10">
        <v>20</v>
      </c>
      <c r="X1448" s="8">
        <f t="shared" si="2298"/>
        <v>40</v>
      </c>
      <c r="Y1448" s="9">
        <v>10</v>
      </c>
      <c r="Z1448" s="10">
        <v>10</v>
      </c>
      <c r="AA1448" s="10">
        <v>15</v>
      </c>
      <c r="AB1448" s="8">
        <f t="shared" si="2299"/>
        <v>35</v>
      </c>
      <c r="AC1448" s="93">
        <f t="shared" si="2300"/>
        <v>110</v>
      </c>
      <c r="AD1448" s="109">
        <v>46011</v>
      </c>
    </row>
    <row r="1449" spans="1:31" x14ac:dyDescent="0.15">
      <c r="A1449" s="33" t="s">
        <v>1366</v>
      </c>
      <c r="B1449" s="9"/>
      <c r="C1449" s="10"/>
      <c r="D1449" s="10">
        <v>-1</v>
      </c>
      <c r="E1449" s="8">
        <f t="shared" si="2272"/>
        <v>-1</v>
      </c>
      <c r="F1449" s="9"/>
      <c r="G1449" s="10"/>
      <c r="H1449" s="10">
        <v>-1</v>
      </c>
      <c r="I1449" s="8">
        <f t="shared" si="2273"/>
        <v>-1</v>
      </c>
      <c r="J1449" s="9"/>
      <c r="K1449" s="10"/>
      <c r="L1449" s="10">
        <v>-1</v>
      </c>
      <c r="M1449" s="39">
        <f t="shared" si="2274"/>
        <v>-1</v>
      </c>
      <c r="N1449" s="154">
        <f t="shared" si="2275"/>
        <v>-3</v>
      </c>
      <c r="O1449" s="24">
        <v>46003</v>
      </c>
      <c r="P1449" s="4" t="s">
        <v>1382</v>
      </c>
      <c r="Q1449" s="9">
        <v>10</v>
      </c>
      <c r="R1449" s="10">
        <v>20</v>
      </c>
      <c r="S1449" s="10">
        <v>15</v>
      </c>
      <c r="T1449" s="8">
        <f t="shared" si="2297"/>
        <v>45</v>
      </c>
      <c r="U1449" s="9">
        <v>10</v>
      </c>
      <c r="V1449" s="10">
        <v>20</v>
      </c>
      <c r="W1449" s="10">
        <v>15</v>
      </c>
      <c r="X1449" s="8">
        <f t="shared" si="2298"/>
        <v>45</v>
      </c>
      <c r="Y1449" s="9">
        <v>10</v>
      </c>
      <c r="Z1449" s="10">
        <v>20</v>
      </c>
      <c r="AA1449" s="10">
        <v>15</v>
      </c>
      <c r="AB1449" s="8">
        <f t="shared" si="2299"/>
        <v>45</v>
      </c>
      <c r="AC1449" s="93">
        <f t="shared" si="2300"/>
        <v>135</v>
      </c>
      <c r="AD1449" s="109">
        <v>46011</v>
      </c>
    </row>
    <row r="1450" spans="1:31" x14ac:dyDescent="0.15">
      <c r="A1450" s="33" t="s">
        <v>1369</v>
      </c>
      <c r="B1450" s="9">
        <v>1</v>
      </c>
      <c r="C1450" s="10"/>
      <c r="D1450" s="10"/>
      <c r="E1450" s="8">
        <f t="shared" si="2272"/>
        <v>1</v>
      </c>
      <c r="F1450" s="9">
        <v>1</v>
      </c>
      <c r="G1450" s="10"/>
      <c r="H1450" s="10"/>
      <c r="I1450" s="8">
        <f t="shared" si="2273"/>
        <v>1</v>
      </c>
      <c r="J1450" s="9">
        <v>1</v>
      </c>
      <c r="K1450" s="10"/>
      <c r="L1450" s="10"/>
      <c r="M1450" s="39">
        <f t="shared" si="2274"/>
        <v>1</v>
      </c>
      <c r="N1450" s="138">
        <f t="shared" si="2275"/>
        <v>3</v>
      </c>
      <c r="O1450" s="24">
        <v>46008</v>
      </c>
      <c r="P1450" s="11" t="s">
        <v>1383</v>
      </c>
      <c r="Q1450" s="9">
        <v>5</v>
      </c>
      <c r="R1450" s="10">
        <v>10</v>
      </c>
      <c r="S1450" s="10"/>
      <c r="T1450" s="8">
        <f t="shared" si="2297"/>
        <v>15</v>
      </c>
      <c r="U1450" s="9">
        <v>5</v>
      </c>
      <c r="V1450" s="10">
        <v>10</v>
      </c>
      <c r="W1450" s="10"/>
      <c r="X1450" s="8">
        <f t="shared" si="2298"/>
        <v>15</v>
      </c>
      <c r="Y1450" s="9">
        <v>5</v>
      </c>
      <c r="Z1450" s="10">
        <v>10</v>
      </c>
      <c r="AA1450" s="10"/>
      <c r="AB1450" s="8">
        <f t="shared" si="2299"/>
        <v>15</v>
      </c>
      <c r="AC1450" s="93">
        <f t="shared" si="2300"/>
        <v>45</v>
      </c>
      <c r="AD1450" s="109">
        <v>46014</v>
      </c>
    </row>
    <row r="1451" spans="1:31" x14ac:dyDescent="0.15">
      <c r="A1451" s="63" t="s">
        <v>36</v>
      </c>
      <c r="B1451" s="9">
        <v>2</v>
      </c>
      <c r="C1451" s="10"/>
      <c r="D1451" s="10">
        <v>2</v>
      </c>
      <c r="E1451" s="8">
        <f t="shared" si="2272"/>
        <v>4</v>
      </c>
      <c r="F1451" s="9"/>
      <c r="G1451" s="10"/>
      <c r="H1451" s="10">
        <v>2</v>
      </c>
      <c r="I1451" s="8">
        <f t="shared" si="2273"/>
        <v>2</v>
      </c>
      <c r="J1451" s="9"/>
      <c r="K1451" s="10"/>
      <c r="L1451" s="10">
        <v>2</v>
      </c>
      <c r="M1451" s="39">
        <f t="shared" si="2274"/>
        <v>2</v>
      </c>
      <c r="N1451" s="138">
        <f t="shared" si="2275"/>
        <v>8</v>
      </c>
      <c r="O1451" s="70">
        <v>46006</v>
      </c>
      <c r="P1451" s="165" t="s">
        <v>1319</v>
      </c>
      <c r="Q1451" s="166"/>
      <c r="R1451" s="167">
        <v>5</v>
      </c>
      <c r="S1451" s="167">
        <v>10</v>
      </c>
      <c r="T1451" s="168">
        <f t="shared" si="2297"/>
        <v>15</v>
      </c>
      <c r="U1451" s="166"/>
      <c r="V1451" s="167">
        <v>5</v>
      </c>
      <c r="W1451" s="167">
        <v>10</v>
      </c>
      <c r="X1451" s="168">
        <f t="shared" si="2298"/>
        <v>15</v>
      </c>
      <c r="Y1451" s="166"/>
      <c r="Z1451" s="167">
        <v>5</v>
      </c>
      <c r="AA1451" s="167">
        <v>10</v>
      </c>
      <c r="AB1451" s="168">
        <f t="shared" si="2299"/>
        <v>15</v>
      </c>
      <c r="AC1451" s="169">
        <f t="shared" si="2300"/>
        <v>45</v>
      </c>
      <c r="AD1451" s="170">
        <v>46016</v>
      </c>
    </row>
    <row r="1452" spans="1:31" x14ac:dyDescent="0.15">
      <c r="A1452" s="4" t="s">
        <v>1376</v>
      </c>
      <c r="B1452" s="9">
        <v>5</v>
      </c>
      <c r="C1452" s="10">
        <v>5</v>
      </c>
      <c r="D1452" s="10"/>
      <c r="E1452" s="8">
        <f t="shared" si="2272"/>
        <v>10</v>
      </c>
      <c r="F1452" s="9">
        <v>5</v>
      </c>
      <c r="G1452" s="10">
        <v>5</v>
      </c>
      <c r="H1452" s="10"/>
      <c r="I1452" s="8">
        <f t="shared" si="2273"/>
        <v>10</v>
      </c>
      <c r="J1452" s="9">
        <v>5</v>
      </c>
      <c r="K1452" s="10">
        <v>5</v>
      </c>
      <c r="L1452" s="10"/>
      <c r="M1452" s="39">
        <f t="shared" si="2274"/>
        <v>10</v>
      </c>
      <c r="N1452" s="138">
        <f t="shared" si="2275"/>
        <v>30</v>
      </c>
      <c r="O1452" s="24">
        <v>46009</v>
      </c>
      <c r="P1452" s="81" t="s">
        <v>1213</v>
      </c>
      <c r="Q1452" s="71"/>
      <c r="R1452" s="72"/>
      <c r="S1452" s="72"/>
      <c r="T1452" s="73">
        <f t="shared" ref="T1452:T1453" si="2301">SUM(Q1452:S1452)</f>
        <v>0</v>
      </c>
      <c r="U1452" s="71"/>
      <c r="V1452" s="72"/>
      <c r="W1452" s="72"/>
      <c r="X1452" s="73">
        <f t="shared" ref="X1452:X1453" si="2302">SUM(U1452:W1452)</f>
        <v>0</v>
      </c>
      <c r="Y1452" s="71"/>
      <c r="Z1452" s="72"/>
      <c r="AA1452" s="72"/>
      <c r="AB1452" s="73">
        <f t="shared" ref="AB1452:AB1453" si="2303">SUM(Y1452:AA1452)</f>
        <v>0</v>
      </c>
      <c r="AC1452" s="92">
        <f t="shared" ref="AC1452:AC1453" si="2304">T1452+X1452+AB1452</f>
        <v>0</v>
      </c>
      <c r="AD1452" s="116"/>
      <c r="AE1452" s="58"/>
    </row>
    <row r="1453" spans="1:31" x14ac:dyDescent="0.15">
      <c r="A1453" s="4" t="s">
        <v>1377</v>
      </c>
      <c r="B1453" s="9">
        <v>3</v>
      </c>
      <c r="C1453" s="10">
        <v>3</v>
      </c>
      <c r="D1453" s="10">
        <v>8</v>
      </c>
      <c r="E1453" s="8">
        <f t="shared" si="2272"/>
        <v>14</v>
      </c>
      <c r="F1453" s="9">
        <v>3</v>
      </c>
      <c r="G1453" s="10">
        <v>3</v>
      </c>
      <c r="H1453" s="10">
        <v>8</v>
      </c>
      <c r="I1453" s="8">
        <f t="shared" si="2273"/>
        <v>14</v>
      </c>
      <c r="J1453" s="9">
        <v>3</v>
      </c>
      <c r="K1453" s="10">
        <v>3</v>
      </c>
      <c r="L1453" s="10">
        <v>8</v>
      </c>
      <c r="M1453" s="39">
        <f t="shared" si="2274"/>
        <v>14</v>
      </c>
      <c r="N1453" s="138">
        <f t="shared" si="2275"/>
        <v>42</v>
      </c>
      <c r="O1453" s="24">
        <v>46009</v>
      </c>
      <c r="P1453" s="4" t="s">
        <v>1214</v>
      </c>
      <c r="Q1453" s="9"/>
      <c r="R1453" s="10"/>
      <c r="S1453" s="10"/>
      <c r="T1453" s="8">
        <f t="shared" si="2301"/>
        <v>0</v>
      </c>
      <c r="U1453" s="9"/>
      <c r="V1453" s="10"/>
      <c r="W1453" s="10"/>
      <c r="X1453" s="8">
        <f t="shared" si="2302"/>
        <v>0</v>
      </c>
      <c r="Y1453" s="9"/>
      <c r="Z1453" s="10"/>
      <c r="AA1453" s="10"/>
      <c r="AB1453" s="8">
        <f t="shared" si="2303"/>
        <v>0</v>
      </c>
      <c r="AC1453" s="86">
        <f t="shared" si="2304"/>
        <v>0</v>
      </c>
      <c r="AD1453" s="116" t="s">
        <v>1215</v>
      </c>
      <c r="AE1453" s="58"/>
    </row>
    <row r="1454" spans="1:31" x14ac:dyDescent="0.15">
      <c r="A1454" s="33" t="s">
        <v>36</v>
      </c>
      <c r="B1454" s="9">
        <v>1</v>
      </c>
      <c r="C1454" s="10">
        <v>1</v>
      </c>
      <c r="D1454" s="10"/>
      <c r="E1454" s="8">
        <f t="shared" si="2272"/>
        <v>2</v>
      </c>
      <c r="F1454" s="9">
        <v>1</v>
      </c>
      <c r="G1454" s="10">
        <v>1</v>
      </c>
      <c r="H1454" s="10"/>
      <c r="I1454" s="8">
        <f t="shared" si="2273"/>
        <v>2</v>
      </c>
      <c r="J1454" s="9">
        <v>1</v>
      </c>
      <c r="K1454" s="10">
        <v>1</v>
      </c>
      <c r="L1454" s="10"/>
      <c r="M1454" s="39">
        <f t="shared" si="2274"/>
        <v>2</v>
      </c>
      <c r="N1454" s="138">
        <f t="shared" si="2275"/>
        <v>6</v>
      </c>
      <c r="O1454" s="70">
        <v>46008</v>
      </c>
      <c r="P1454" s="81" t="s">
        <v>1199</v>
      </c>
      <c r="Q1454" s="71"/>
      <c r="R1454" s="72"/>
      <c r="S1454" s="72"/>
      <c r="T1454" s="73">
        <f t="shared" ref="T1454:T1457" si="2305">SUM(Q1454:S1454)</f>
        <v>0</v>
      </c>
      <c r="U1454" s="71"/>
      <c r="V1454" s="72"/>
      <c r="W1454" s="72"/>
      <c r="X1454" s="73">
        <f t="shared" ref="X1454:X1457" si="2306">SUM(U1454:W1454)</f>
        <v>0</v>
      </c>
      <c r="Y1454" s="71"/>
      <c r="Z1454" s="72"/>
      <c r="AA1454" s="72"/>
      <c r="AB1454" s="73">
        <f t="shared" ref="AB1454:AB1457" si="2307">SUM(Y1454:AA1454)</f>
        <v>0</v>
      </c>
      <c r="AC1454" s="92">
        <f t="shared" ref="AC1454:AC1457" si="2308">T1454+X1454+AB1454</f>
        <v>0</v>
      </c>
      <c r="AD1454" s="117"/>
      <c r="AE1454" s="58"/>
    </row>
    <row r="1455" spans="1:31" x14ac:dyDescent="0.15">
      <c r="A1455" s="4" t="s">
        <v>1384</v>
      </c>
      <c r="B1455" s="9"/>
      <c r="C1455" s="10"/>
      <c r="D1455" s="10">
        <v>5</v>
      </c>
      <c r="E1455" s="8">
        <f t="shared" si="2272"/>
        <v>5</v>
      </c>
      <c r="F1455" s="9"/>
      <c r="G1455" s="10"/>
      <c r="H1455" s="10">
        <v>5</v>
      </c>
      <c r="I1455" s="8">
        <f t="shared" si="2273"/>
        <v>5</v>
      </c>
      <c r="J1455" s="9"/>
      <c r="K1455" s="10"/>
      <c r="L1455" s="10">
        <v>5</v>
      </c>
      <c r="M1455" s="39">
        <f t="shared" si="2274"/>
        <v>5</v>
      </c>
      <c r="N1455" s="138">
        <f t="shared" si="2275"/>
        <v>15</v>
      </c>
      <c r="O1455" s="24">
        <v>46015</v>
      </c>
      <c r="P1455" s="4" t="s">
        <v>1159</v>
      </c>
      <c r="Q1455" s="9"/>
      <c r="R1455" s="10"/>
      <c r="S1455" s="10"/>
      <c r="T1455" s="8">
        <f t="shared" si="2305"/>
        <v>0</v>
      </c>
      <c r="U1455" s="9"/>
      <c r="V1455" s="10"/>
      <c r="W1455" s="10"/>
      <c r="X1455" s="8">
        <f t="shared" si="2306"/>
        <v>0</v>
      </c>
      <c r="Y1455" s="9"/>
      <c r="Z1455" s="10"/>
      <c r="AA1455" s="10"/>
      <c r="AB1455" s="8">
        <f t="shared" si="2307"/>
        <v>0</v>
      </c>
      <c r="AC1455" s="93">
        <f t="shared" si="2308"/>
        <v>0</v>
      </c>
      <c r="AD1455" s="116" t="s">
        <v>1158</v>
      </c>
      <c r="AE1455" s="58"/>
    </row>
    <row r="1456" spans="1:31" x14ac:dyDescent="0.15">
      <c r="A1456" s="33" t="s">
        <v>1385</v>
      </c>
      <c r="B1456" s="9">
        <v>1</v>
      </c>
      <c r="C1456" s="10"/>
      <c r="D1456" s="10"/>
      <c r="E1456" s="8">
        <f t="shared" si="2272"/>
        <v>1</v>
      </c>
      <c r="F1456" s="9">
        <v>1</v>
      </c>
      <c r="G1456" s="10"/>
      <c r="H1456" s="10"/>
      <c r="I1456" s="8">
        <f t="shared" si="2273"/>
        <v>1</v>
      </c>
      <c r="J1456" s="9">
        <v>1</v>
      </c>
      <c r="K1456" s="10"/>
      <c r="L1456" s="10"/>
      <c r="M1456" s="39">
        <f t="shared" si="2274"/>
        <v>1</v>
      </c>
      <c r="N1456" s="138">
        <f t="shared" si="2275"/>
        <v>3</v>
      </c>
      <c r="O1456" s="70">
        <v>46010</v>
      </c>
      <c r="P1456" s="81" t="s">
        <v>1149</v>
      </c>
      <c r="Q1456" s="71"/>
      <c r="R1456" s="72"/>
      <c r="S1456" s="72"/>
      <c r="T1456" s="73">
        <f t="shared" si="2305"/>
        <v>0</v>
      </c>
      <c r="U1456" s="71"/>
      <c r="V1456" s="72"/>
      <c r="W1456" s="72"/>
      <c r="X1456" s="73">
        <f t="shared" si="2306"/>
        <v>0</v>
      </c>
      <c r="Y1456" s="71"/>
      <c r="Z1456" s="72"/>
      <c r="AA1456" s="72"/>
      <c r="AB1456" s="73">
        <f t="shared" si="2307"/>
        <v>0</v>
      </c>
      <c r="AC1456" s="92">
        <f t="shared" si="2308"/>
        <v>0</v>
      </c>
      <c r="AD1456" s="116"/>
      <c r="AE1456" s="58"/>
    </row>
    <row r="1457" spans="1:31" x14ac:dyDescent="0.15">
      <c r="A1457" s="33" t="s">
        <v>1386</v>
      </c>
      <c r="B1457" s="9"/>
      <c r="C1457" s="10"/>
      <c r="D1457" s="10">
        <v>1</v>
      </c>
      <c r="E1457" s="8">
        <f t="shared" si="2272"/>
        <v>1</v>
      </c>
      <c r="F1457" s="9"/>
      <c r="G1457" s="10"/>
      <c r="H1457" s="10">
        <v>3</v>
      </c>
      <c r="I1457" s="8">
        <f t="shared" si="2273"/>
        <v>3</v>
      </c>
      <c r="J1457" s="9"/>
      <c r="K1457" s="10"/>
      <c r="L1457" s="10"/>
      <c r="M1457" s="39">
        <f t="shared" si="2274"/>
        <v>0</v>
      </c>
      <c r="N1457" s="138">
        <f t="shared" si="2275"/>
        <v>4</v>
      </c>
      <c r="O1457" s="70">
        <v>46010</v>
      </c>
      <c r="P1457" s="4" t="s">
        <v>405</v>
      </c>
      <c r="Q1457" s="9"/>
      <c r="R1457" s="10"/>
      <c r="S1457" s="10"/>
      <c r="T1457" s="8">
        <f t="shared" si="2305"/>
        <v>0</v>
      </c>
      <c r="U1457" s="9"/>
      <c r="V1457" s="10"/>
      <c r="W1457" s="10"/>
      <c r="X1457" s="8">
        <f t="shared" si="2306"/>
        <v>0</v>
      </c>
      <c r="Y1457" s="9"/>
      <c r="Z1457" s="10"/>
      <c r="AA1457" s="10"/>
      <c r="AB1457" s="8">
        <f t="shared" si="2307"/>
        <v>0</v>
      </c>
      <c r="AC1457" s="93">
        <f t="shared" si="2308"/>
        <v>0</v>
      </c>
      <c r="AD1457" s="116" t="s">
        <v>16</v>
      </c>
      <c r="AE1457" s="58"/>
    </row>
    <row r="1458" spans="1:31" x14ac:dyDescent="0.15">
      <c r="A1458" s="33" t="s">
        <v>1388</v>
      </c>
      <c r="B1458" s="9">
        <v>1</v>
      </c>
      <c r="C1458" s="10"/>
      <c r="D1458" s="10"/>
      <c r="E1458" s="8">
        <f t="shared" si="2272"/>
        <v>1</v>
      </c>
      <c r="F1458" s="9">
        <v>1</v>
      </c>
      <c r="G1458" s="10"/>
      <c r="H1458" s="10"/>
      <c r="I1458" s="8">
        <f t="shared" si="2273"/>
        <v>1</v>
      </c>
      <c r="J1458" s="9">
        <v>2</v>
      </c>
      <c r="K1458" s="10"/>
      <c r="L1458" s="10"/>
      <c r="M1458" s="39">
        <f t="shared" si="2274"/>
        <v>2</v>
      </c>
      <c r="N1458" s="138">
        <f t="shared" si="2275"/>
        <v>4</v>
      </c>
      <c r="O1458" s="70">
        <v>46011</v>
      </c>
      <c r="P1458" s="6" t="s">
        <v>940</v>
      </c>
      <c r="Q1458" s="71"/>
      <c r="R1458" s="72"/>
      <c r="S1458" s="72"/>
      <c r="T1458" s="73">
        <f t="shared" si="2285"/>
        <v>0</v>
      </c>
      <c r="U1458" s="71"/>
      <c r="V1458" s="72"/>
      <c r="W1458" s="72"/>
      <c r="X1458" s="73">
        <f t="shared" si="2286"/>
        <v>0</v>
      </c>
      <c r="Y1458" s="71"/>
      <c r="Z1458" s="72"/>
      <c r="AA1458" s="72"/>
      <c r="AB1458" s="73">
        <f t="shared" si="2287"/>
        <v>0</v>
      </c>
      <c r="AC1458" s="92">
        <f t="shared" si="2288"/>
        <v>0</v>
      </c>
      <c r="AD1458" s="117"/>
    </row>
    <row r="1459" spans="1:31" ht="14.25" thickBot="1" x14ac:dyDescent="0.2">
      <c r="A1459" s="33" t="s">
        <v>1389</v>
      </c>
      <c r="B1459" s="9">
        <v>1</v>
      </c>
      <c r="C1459" s="10"/>
      <c r="D1459" s="22"/>
      <c r="E1459" s="8">
        <f t="shared" si="2272"/>
        <v>1</v>
      </c>
      <c r="F1459" s="9">
        <v>1</v>
      </c>
      <c r="G1459" s="10"/>
      <c r="H1459" s="22"/>
      <c r="I1459" s="8">
        <f t="shared" si="2273"/>
        <v>1</v>
      </c>
      <c r="J1459" s="9">
        <v>1</v>
      </c>
      <c r="K1459" s="10"/>
      <c r="L1459" s="22"/>
      <c r="M1459" s="39">
        <f t="shared" si="2274"/>
        <v>1</v>
      </c>
      <c r="N1459" s="139">
        <f t="shared" si="2275"/>
        <v>3</v>
      </c>
      <c r="O1459" s="24">
        <v>46015</v>
      </c>
      <c r="P1459" s="11" t="s">
        <v>1143</v>
      </c>
      <c r="Q1459" s="9"/>
      <c r="R1459" s="10"/>
      <c r="S1459" s="10"/>
      <c r="T1459" s="8">
        <f t="shared" si="2285"/>
        <v>0</v>
      </c>
      <c r="U1459" s="9"/>
      <c r="V1459" s="10"/>
      <c r="W1459" s="10"/>
      <c r="X1459" s="8">
        <f t="shared" si="2286"/>
        <v>0</v>
      </c>
      <c r="Y1459" s="9"/>
      <c r="Z1459" s="10"/>
      <c r="AA1459" s="10"/>
      <c r="AB1459" s="8">
        <f t="shared" si="2287"/>
        <v>0</v>
      </c>
      <c r="AC1459" s="93">
        <f t="shared" si="2288"/>
        <v>0</v>
      </c>
      <c r="AD1459" s="116" t="s">
        <v>952</v>
      </c>
    </row>
    <row r="1460" spans="1:31" ht="14.25" thickBot="1" x14ac:dyDescent="0.2">
      <c r="A1460" s="104" t="s">
        <v>5</v>
      </c>
      <c r="B1460" s="12">
        <f>SUM(B1436:B1459)</f>
        <v>28</v>
      </c>
      <c r="C1460" s="12">
        <f>SUM(C1436:C1459)</f>
        <v>16</v>
      </c>
      <c r="D1460" s="12">
        <f>SUM(D1436:D1459)</f>
        <v>28</v>
      </c>
      <c r="E1460" s="13">
        <f t="shared" si="2272"/>
        <v>72</v>
      </c>
      <c r="F1460" s="12">
        <f>SUM(F1436:F1459)</f>
        <v>24</v>
      </c>
      <c r="G1460" s="12">
        <f>SUM(G1436:G1459)</f>
        <v>18</v>
      </c>
      <c r="H1460" s="12">
        <f>SUM(H1436:H1459)</f>
        <v>30</v>
      </c>
      <c r="I1460" s="13">
        <f t="shared" si="2273"/>
        <v>72</v>
      </c>
      <c r="J1460" s="12">
        <f>SUM(J1436:J1459)</f>
        <v>25</v>
      </c>
      <c r="K1460" s="12">
        <f>SUM(K1436:K1459)</f>
        <v>16</v>
      </c>
      <c r="L1460" s="12">
        <f>SUM(L1436:L1459)</f>
        <v>27</v>
      </c>
      <c r="M1460" s="12">
        <f t="shared" si="2274"/>
        <v>68</v>
      </c>
      <c r="N1460" s="142">
        <f t="shared" si="2275"/>
        <v>212</v>
      </c>
      <c r="P1460" s="3" t="s">
        <v>5</v>
      </c>
      <c r="Q1460" s="12">
        <f>SUM(Q1436:Q1459)</f>
        <v>167</v>
      </c>
      <c r="R1460" s="12">
        <f t="shared" ref="R1460:AC1460" si="2309">SUM(R1436:R1459)</f>
        <v>280</v>
      </c>
      <c r="S1460" s="12">
        <f t="shared" si="2309"/>
        <v>198</v>
      </c>
      <c r="T1460" s="13">
        <f t="shared" si="2309"/>
        <v>645</v>
      </c>
      <c r="U1460" s="12">
        <f t="shared" si="2309"/>
        <v>167</v>
      </c>
      <c r="V1460" s="12">
        <f t="shared" si="2309"/>
        <v>280</v>
      </c>
      <c r="W1460" s="12">
        <f t="shared" si="2309"/>
        <v>203</v>
      </c>
      <c r="X1460" s="13">
        <f t="shared" si="2309"/>
        <v>650</v>
      </c>
      <c r="Y1460" s="12">
        <f t="shared" si="2309"/>
        <v>162</v>
      </c>
      <c r="Z1460" s="12">
        <f t="shared" si="2309"/>
        <v>280</v>
      </c>
      <c r="AA1460" s="12">
        <f t="shared" si="2309"/>
        <v>198</v>
      </c>
      <c r="AB1460" s="13">
        <f t="shared" si="2309"/>
        <v>640</v>
      </c>
      <c r="AC1460" s="155">
        <f t="shared" si="2309"/>
        <v>1935</v>
      </c>
    </row>
    <row r="1461" spans="1:31" ht="14.25" thickBot="1" x14ac:dyDescent="0.2">
      <c r="A1461" s="105" t="s">
        <v>6</v>
      </c>
      <c r="B1461" s="20">
        <f>B1435-B1460</f>
        <v>12</v>
      </c>
      <c r="C1461" s="20">
        <f t="shared" ref="C1461:E1461" si="2310">C1435-C1460</f>
        <v>31</v>
      </c>
      <c r="D1461" s="20">
        <f t="shared" si="2310"/>
        <v>29</v>
      </c>
      <c r="E1461" s="18">
        <f t="shared" si="2310"/>
        <v>72</v>
      </c>
      <c r="F1461" s="20">
        <f>F1435-F1460</f>
        <v>9</v>
      </c>
      <c r="G1461" s="20">
        <f t="shared" ref="G1461:I1461" si="2311">G1435-G1460</f>
        <v>30</v>
      </c>
      <c r="H1461" s="20">
        <f t="shared" si="2311"/>
        <v>34</v>
      </c>
      <c r="I1461" s="18">
        <f t="shared" si="2311"/>
        <v>73</v>
      </c>
      <c r="J1461" s="20">
        <f>J1435-J1460</f>
        <v>9</v>
      </c>
      <c r="K1461" s="20">
        <f t="shared" ref="K1461:M1461" si="2312">K1435-K1460</f>
        <v>31</v>
      </c>
      <c r="L1461" s="20">
        <f t="shared" si="2312"/>
        <v>32</v>
      </c>
      <c r="M1461" s="20">
        <f t="shared" si="2312"/>
        <v>72</v>
      </c>
      <c r="N1461" s="140">
        <f t="shared" si="2275"/>
        <v>217</v>
      </c>
      <c r="P1461" s="19" t="s">
        <v>6</v>
      </c>
      <c r="Q1461" s="20">
        <f>Q1435-Q1460</f>
        <v>573</v>
      </c>
      <c r="R1461" s="20">
        <f t="shared" ref="R1461:AC1461" si="2313">R1435-R1460</f>
        <v>504</v>
      </c>
      <c r="S1461" s="20">
        <f t="shared" si="2313"/>
        <v>401</v>
      </c>
      <c r="T1461" s="18">
        <f t="shared" si="2313"/>
        <v>1478</v>
      </c>
      <c r="U1461" s="20">
        <f t="shared" si="2313"/>
        <v>616</v>
      </c>
      <c r="V1461" s="20">
        <f t="shared" si="2313"/>
        <v>600</v>
      </c>
      <c r="W1461" s="20">
        <f t="shared" si="2313"/>
        <v>486</v>
      </c>
      <c r="X1461" s="18">
        <f t="shared" si="2313"/>
        <v>1702</v>
      </c>
      <c r="Y1461" s="20">
        <f t="shared" si="2313"/>
        <v>543</v>
      </c>
      <c r="Z1461" s="20">
        <f t="shared" si="2313"/>
        <v>550</v>
      </c>
      <c r="AA1461" s="20">
        <f t="shared" si="2313"/>
        <v>445</v>
      </c>
      <c r="AB1461" s="18">
        <f t="shared" si="2313"/>
        <v>1538</v>
      </c>
      <c r="AC1461" s="88">
        <f t="shared" si="2313"/>
        <v>4718</v>
      </c>
    </row>
    <row r="1462" spans="1:31" x14ac:dyDescent="0.15">
      <c r="P1462" s="156" t="s">
        <v>1129</v>
      </c>
      <c r="Q1462" s="64">
        <f>Q1461/$T$1461*100</f>
        <v>38.768606224627874</v>
      </c>
      <c r="R1462" s="64">
        <f t="shared" ref="R1462:T1462" si="2314">R1461/$T$1461*100</f>
        <v>34.100135317997292</v>
      </c>
      <c r="S1462" s="64">
        <f t="shared" si="2314"/>
        <v>27.13125845737483</v>
      </c>
      <c r="T1462" s="64">
        <f t="shared" si="2314"/>
        <v>100</v>
      </c>
      <c r="U1462" s="64">
        <f>U1461/$X$1461*100</f>
        <v>36.192714453584017</v>
      </c>
      <c r="V1462" s="64">
        <f t="shared" ref="V1462:X1462" si="2315">V1461/$X$1461*100</f>
        <v>35.252643948296118</v>
      </c>
      <c r="W1462" s="64">
        <f t="shared" si="2315"/>
        <v>28.554641598119858</v>
      </c>
      <c r="X1462" s="64">
        <f t="shared" si="2315"/>
        <v>100</v>
      </c>
      <c r="Y1462" s="64">
        <f>Y1461/$AB$1461*100</f>
        <v>35.305591677503251</v>
      </c>
      <c r="Z1462" s="64">
        <f t="shared" ref="Z1462:AB1462" si="2316">Z1461/$AB$1461*100</f>
        <v>35.760728218465538</v>
      </c>
      <c r="AA1462" s="64">
        <f t="shared" si="2316"/>
        <v>28.933680104031211</v>
      </c>
      <c r="AB1462" s="64">
        <f t="shared" si="2316"/>
        <v>100</v>
      </c>
    </row>
    <row r="1463" spans="1:31" x14ac:dyDescent="0.15">
      <c r="P1463" s="157" t="s">
        <v>1130</v>
      </c>
      <c r="Q1463" s="66">
        <v>28.4</v>
      </c>
      <c r="R1463" s="66">
        <v>42.5</v>
      </c>
      <c r="S1463" s="66">
        <v>29.1</v>
      </c>
      <c r="T1463" s="66">
        <f>SUM(Q1463:S1463)</f>
        <v>100</v>
      </c>
      <c r="U1463" s="66">
        <v>28.5</v>
      </c>
      <c r="V1463" s="66">
        <v>42.1</v>
      </c>
      <c r="W1463" s="66">
        <v>29.3</v>
      </c>
      <c r="X1463" s="66">
        <f>SUM(U1463:W1463)</f>
        <v>99.899999999999991</v>
      </c>
      <c r="Y1463" s="66">
        <v>28.4</v>
      </c>
      <c r="Z1463" s="66">
        <v>42.4</v>
      </c>
      <c r="AA1463" s="66">
        <v>29.3</v>
      </c>
      <c r="AB1463" s="66">
        <f>SUM(Y1463:AA1463)</f>
        <v>100.1</v>
      </c>
    </row>
    <row r="1464" spans="1:31" ht="19.5" thickBot="1" x14ac:dyDescent="0.25">
      <c r="A1464" s="108" t="s">
        <v>264</v>
      </c>
      <c r="B1464" s="47"/>
      <c r="C1464" s="47"/>
      <c r="D1464" s="47"/>
      <c r="E1464" s="47"/>
      <c r="F1464" s="48"/>
      <c r="G1464" s="48"/>
      <c r="H1464" s="48"/>
      <c r="I1464" s="48"/>
      <c r="J1464" s="48"/>
      <c r="K1464" s="48"/>
      <c r="L1464" s="1"/>
      <c r="M1464" s="1"/>
      <c r="N1464" s="137"/>
      <c r="P1464" s="43" t="s">
        <v>263</v>
      </c>
      <c r="Q1464" s="44"/>
      <c r="R1464" s="44"/>
      <c r="S1464" s="44"/>
      <c r="T1464" s="44"/>
      <c r="U1464" s="45"/>
      <c r="V1464" s="45"/>
      <c r="W1464" s="45"/>
      <c r="X1464" s="45"/>
      <c r="Y1464" s="46"/>
      <c r="Z1464" s="53"/>
      <c r="AA1464" s="1"/>
      <c r="AB1464" s="1"/>
    </row>
    <row r="1465" spans="1:31" ht="14.25" thickBot="1" x14ac:dyDescent="0.2">
      <c r="A1465" s="100" t="s">
        <v>0</v>
      </c>
      <c r="B1465" s="337" t="s">
        <v>11</v>
      </c>
      <c r="C1465" s="337"/>
      <c r="D1465" s="337"/>
      <c r="E1465" s="338"/>
      <c r="F1465" s="339" t="s">
        <v>9</v>
      </c>
      <c r="G1465" s="340"/>
      <c r="H1465" s="340"/>
      <c r="I1465" s="341"/>
      <c r="J1465" s="342" t="s">
        <v>12</v>
      </c>
      <c r="K1465" s="343"/>
      <c r="L1465" s="343"/>
      <c r="M1465" s="343"/>
      <c r="N1465" s="347" t="s">
        <v>13</v>
      </c>
      <c r="P1465" s="2" t="s">
        <v>0</v>
      </c>
      <c r="Q1465" s="336" t="s">
        <v>11</v>
      </c>
      <c r="R1465" s="337"/>
      <c r="S1465" s="337"/>
      <c r="T1465" s="338"/>
      <c r="U1465" s="339" t="s">
        <v>9</v>
      </c>
      <c r="V1465" s="340"/>
      <c r="W1465" s="340"/>
      <c r="X1465" s="341"/>
      <c r="Y1465" s="342" t="s">
        <v>12</v>
      </c>
      <c r="Z1465" s="343"/>
      <c r="AA1465" s="343"/>
      <c r="AB1465" s="344"/>
      <c r="AC1465" s="133" t="s">
        <v>13</v>
      </c>
    </row>
    <row r="1466" spans="1:31" ht="14.25" thickBot="1" x14ac:dyDescent="0.2">
      <c r="A1466" s="100" t="s">
        <v>1</v>
      </c>
      <c r="B1466" s="3" t="s">
        <v>7</v>
      </c>
      <c r="C1466" s="2" t="s">
        <v>10</v>
      </c>
      <c r="D1466" s="2" t="s">
        <v>8</v>
      </c>
      <c r="E1466" s="2" t="s">
        <v>2</v>
      </c>
      <c r="F1466" s="3" t="s">
        <v>7</v>
      </c>
      <c r="G1466" s="2" t="s">
        <v>10</v>
      </c>
      <c r="H1466" s="2" t="s">
        <v>8</v>
      </c>
      <c r="I1466" s="2" t="s">
        <v>2</v>
      </c>
      <c r="J1466" s="3" t="s">
        <v>7</v>
      </c>
      <c r="K1466" s="2" t="s">
        <v>10</v>
      </c>
      <c r="L1466" s="2" t="s">
        <v>8</v>
      </c>
      <c r="M1466" s="3" t="s">
        <v>2</v>
      </c>
      <c r="N1466" s="348"/>
      <c r="P1466" s="2" t="s">
        <v>1</v>
      </c>
      <c r="Q1466" s="3" t="s">
        <v>7</v>
      </c>
      <c r="R1466" s="2" t="s">
        <v>10</v>
      </c>
      <c r="S1466" s="2" t="s">
        <v>8</v>
      </c>
      <c r="T1466" s="2" t="s">
        <v>2</v>
      </c>
      <c r="U1466" s="3" t="s">
        <v>7</v>
      </c>
      <c r="V1466" s="2" t="s">
        <v>10</v>
      </c>
      <c r="W1466" s="2" t="s">
        <v>8</v>
      </c>
      <c r="X1466" s="2" t="s">
        <v>2</v>
      </c>
      <c r="Y1466" s="3" t="s">
        <v>7</v>
      </c>
      <c r="Z1466" s="2" t="s">
        <v>10</v>
      </c>
      <c r="AA1466" s="2" t="s">
        <v>8</v>
      </c>
      <c r="AB1466" s="2" t="s">
        <v>2</v>
      </c>
      <c r="AC1466" s="134"/>
    </row>
    <row r="1467" spans="1:31" x14ac:dyDescent="0.15">
      <c r="A1467" s="106" t="s">
        <v>6</v>
      </c>
      <c r="B1467" s="41">
        <f>B1461</f>
        <v>12</v>
      </c>
      <c r="C1467" s="41">
        <f t="shared" ref="C1467:E1467" si="2317">C1461</f>
        <v>31</v>
      </c>
      <c r="D1467" s="41">
        <f t="shared" si="2317"/>
        <v>29</v>
      </c>
      <c r="E1467" s="42">
        <f t="shared" si="2317"/>
        <v>72</v>
      </c>
      <c r="F1467" s="41">
        <f>F1461</f>
        <v>9</v>
      </c>
      <c r="G1467" s="41">
        <f t="shared" ref="G1467:I1467" si="2318">G1461</f>
        <v>30</v>
      </c>
      <c r="H1467" s="41">
        <f t="shared" si="2318"/>
        <v>34</v>
      </c>
      <c r="I1467" s="42">
        <f t="shared" si="2318"/>
        <v>73</v>
      </c>
      <c r="J1467" s="41">
        <f>J1461</f>
        <v>9</v>
      </c>
      <c r="K1467" s="41">
        <f t="shared" ref="K1467:M1467" si="2319">K1461</f>
        <v>31</v>
      </c>
      <c r="L1467" s="41">
        <f t="shared" si="2319"/>
        <v>32</v>
      </c>
      <c r="M1467" s="42">
        <f t="shared" si="2319"/>
        <v>72</v>
      </c>
      <c r="N1467" s="143">
        <f>E1467+I1467+M1467</f>
        <v>217</v>
      </c>
      <c r="P1467" s="36" t="s">
        <v>6</v>
      </c>
      <c r="Q1467" s="41">
        <f>Q1461</f>
        <v>573</v>
      </c>
      <c r="R1467" s="41">
        <f t="shared" ref="R1467:AC1467" si="2320">R1461</f>
        <v>504</v>
      </c>
      <c r="S1467" s="41">
        <f t="shared" si="2320"/>
        <v>401</v>
      </c>
      <c r="T1467" s="42">
        <f t="shared" si="2320"/>
        <v>1478</v>
      </c>
      <c r="U1467" s="41">
        <f t="shared" si="2320"/>
        <v>616</v>
      </c>
      <c r="V1467" s="41">
        <f t="shared" si="2320"/>
        <v>600</v>
      </c>
      <c r="W1467" s="41">
        <f t="shared" si="2320"/>
        <v>486</v>
      </c>
      <c r="X1467" s="42">
        <f t="shared" si="2320"/>
        <v>1702</v>
      </c>
      <c r="Y1467" s="41">
        <f t="shared" si="2320"/>
        <v>543</v>
      </c>
      <c r="Z1467" s="41">
        <f t="shared" si="2320"/>
        <v>550</v>
      </c>
      <c r="AA1467" s="41">
        <f t="shared" si="2320"/>
        <v>445</v>
      </c>
      <c r="AB1467" s="42">
        <f t="shared" si="2320"/>
        <v>1538</v>
      </c>
      <c r="AC1467" s="90">
        <f t="shared" si="2320"/>
        <v>4718</v>
      </c>
    </row>
    <row r="1468" spans="1:31" x14ac:dyDescent="0.15">
      <c r="A1468" s="158" t="s">
        <v>3</v>
      </c>
      <c r="B1468" s="237">
        <v>5</v>
      </c>
      <c r="C1468" s="238">
        <v>20</v>
      </c>
      <c r="D1468" s="238">
        <v>5</v>
      </c>
      <c r="E1468" s="161">
        <f t="shared" ref="E1468:E1503" si="2321">SUM(B1468:D1468)</f>
        <v>30</v>
      </c>
      <c r="F1468" s="237">
        <v>5</v>
      </c>
      <c r="G1468" s="238">
        <v>20</v>
      </c>
      <c r="H1468" s="238"/>
      <c r="I1468" s="161">
        <f t="shared" ref="I1468:I1503" si="2322">SUM(F1468:H1468)</f>
        <v>25</v>
      </c>
      <c r="J1468" s="237">
        <v>6</v>
      </c>
      <c r="K1468" s="238">
        <v>20</v>
      </c>
      <c r="L1468" s="238">
        <v>5</v>
      </c>
      <c r="M1468" s="163">
        <f t="shared" ref="M1468:M1503" si="2323">SUM(J1468:L1468)</f>
        <v>31</v>
      </c>
      <c r="N1468" s="153">
        <f t="shared" ref="N1468:N1504" si="2324">E1468+I1468+M1468</f>
        <v>86</v>
      </c>
      <c r="O1468" s="164">
        <v>46029</v>
      </c>
      <c r="P1468" s="6" t="s">
        <v>3</v>
      </c>
      <c r="Q1468" s="14"/>
      <c r="R1468" s="11"/>
      <c r="S1468" s="11"/>
      <c r="T1468" s="5">
        <f t="shared" ref="T1468:T1477" si="2325">SUM(Q1468:S1468)</f>
        <v>0</v>
      </c>
      <c r="U1468" s="14"/>
      <c r="V1468" s="11"/>
      <c r="W1468" s="11"/>
      <c r="X1468" s="5">
        <f t="shared" ref="X1468:X1477" si="2326">SUM(U1468:W1468)</f>
        <v>0</v>
      </c>
      <c r="Y1468" s="25"/>
      <c r="Z1468" s="26"/>
      <c r="AA1468" s="26"/>
      <c r="AB1468" s="5">
        <f t="shared" ref="AB1468:AB1477" si="2327">SUM(Y1468:AA1468)</f>
        <v>0</v>
      </c>
      <c r="AC1468" s="86">
        <f t="shared" ref="AC1468:AC1477" si="2328">T1468+X1468+AB1468</f>
        <v>0</v>
      </c>
    </row>
    <row r="1469" spans="1:31" x14ac:dyDescent="0.15">
      <c r="A1469" s="102" t="s">
        <v>3</v>
      </c>
      <c r="B1469" s="14">
        <v>10</v>
      </c>
      <c r="C1469" s="11"/>
      <c r="D1469" s="11">
        <v>5</v>
      </c>
      <c r="E1469" s="5">
        <f t="shared" si="2321"/>
        <v>15</v>
      </c>
      <c r="F1469" s="34">
        <v>10</v>
      </c>
      <c r="G1469" s="11"/>
      <c r="H1469" s="11"/>
      <c r="I1469" s="5">
        <f t="shared" si="2322"/>
        <v>10</v>
      </c>
      <c r="J1469" s="34">
        <v>10</v>
      </c>
      <c r="K1469" s="11"/>
      <c r="L1469" s="11"/>
      <c r="M1469" s="38">
        <f t="shared" si="2323"/>
        <v>10</v>
      </c>
      <c r="N1469" s="138">
        <f t="shared" si="2324"/>
        <v>35</v>
      </c>
      <c r="O1469" s="70">
        <v>46032</v>
      </c>
      <c r="P1469" s="6" t="s">
        <v>3</v>
      </c>
      <c r="Q1469" s="14"/>
      <c r="R1469" s="11"/>
      <c r="S1469" s="11"/>
      <c r="T1469" s="5">
        <f t="shared" si="2325"/>
        <v>0</v>
      </c>
      <c r="U1469" s="14"/>
      <c r="V1469" s="11"/>
      <c r="W1469" s="11"/>
      <c r="X1469" s="5">
        <f t="shared" si="2326"/>
        <v>0</v>
      </c>
      <c r="Y1469" s="25"/>
      <c r="Z1469" s="26"/>
      <c r="AA1469" s="26"/>
      <c r="AB1469" s="5">
        <f t="shared" si="2327"/>
        <v>0</v>
      </c>
      <c r="AC1469" s="86">
        <f t="shared" si="2328"/>
        <v>0</v>
      </c>
    </row>
    <row r="1470" spans="1:31" x14ac:dyDescent="0.15">
      <c r="A1470" s="102" t="s">
        <v>281</v>
      </c>
      <c r="B1470" s="14"/>
      <c r="C1470" s="11">
        <v>1</v>
      </c>
      <c r="D1470" s="11"/>
      <c r="E1470" s="5">
        <f t="shared" si="2321"/>
        <v>1</v>
      </c>
      <c r="F1470" s="34"/>
      <c r="G1470" s="11">
        <v>1</v>
      </c>
      <c r="H1470" s="11"/>
      <c r="I1470" s="5">
        <f t="shared" si="2322"/>
        <v>1</v>
      </c>
      <c r="J1470" s="34"/>
      <c r="K1470" s="11">
        <v>1</v>
      </c>
      <c r="L1470" s="11"/>
      <c r="M1470" s="38">
        <f t="shared" si="2323"/>
        <v>1</v>
      </c>
      <c r="N1470" s="138">
        <f t="shared" si="2324"/>
        <v>3</v>
      </c>
      <c r="O1470" s="70">
        <v>46030</v>
      </c>
      <c r="P1470" s="6" t="s">
        <v>3</v>
      </c>
      <c r="Q1470" s="14"/>
      <c r="R1470" s="11"/>
      <c r="S1470" s="11"/>
      <c r="T1470" s="5">
        <f t="shared" ref="T1470" si="2329">SUM(Q1470:S1470)</f>
        <v>0</v>
      </c>
      <c r="U1470" s="14"/>
      <c r="V1470" s="11"/>
      <c r="W1470" s="11"/>
      <c r="X1470" s="5">
        <f t="shared" ref="X1470" si="2330">SUM(U1470:W1470)</f>
        <v>0</v>
      </c>
      <c r="Y1470" s="25"/>
      <c r="Z1470" s="26"/>
      <c r="AA1470" s="26"/>
      <c r="AB1470" s="5">
        <f t="shared" ref="AB1470" si="2331">SUM(Y1470:AA1470)</f>
        <v>0</v>
      </c>
      <c r="AC1470" s="86">
        <f t="shared" ref="AC1470" si="2332">T1470+X1470+AB1470</f>
        <v>0</v>
      </c>
    </row>
    <row r="1471" spans="1:31" x14ac:dyDescent="0.15">
      <c r="A1471" s="102" t="s">
        <v>3</v>
      </c>
      <c r="B1471" s="14">
        <v>10</v>
      </c>
      <c r="C1471" s="11">
        <v>10</v>
      </c>
      <c r="D1471" s="11">
        <v>10</v>
      </c>
      <c r="E1471" s="5">
        <f t="shared" si="2321"/>
        <v>30</v>
      </c>
      <c r="F1471" s="34">
        <v>10</v>
      </c>
      <c r="G1471" s="11">
        <v>10</v>
      </c>
      <c r="H1471" s="11">
        <v>10</v>
      </c>
      <c r="I1471" s="5">
        <f t="shared" si="2322"/>
        <v>30</v>
      </c>
      <c r="J1471" s="34">
        <v>10</v>
      </c>
      <c r="K1471" s="11">
        <v>10</v>
      </c>
      <c r="L1471" s="11">
        <v>10</v>
      </c>
      <c r="M1471" s="38">
        <f t="shared" si="2323"/>
        <v>30</v>
      </c>
      <c r="N1471" s="138">
        <f t="shared" si="2324"/>
        <v>90</v>
      </c>
      <c r="O1471" s="24">
        <v>46038</v>
      </c>
      <c r="P1471" s="6" t="s">
        <v>3</v>
      </c>
      <c r="Q1471" s="14"/>
      <c r="R1471" s="11"/>
      <c r="S1471" s="11"/>
      <c r="T1471" s="5">
        <f t="shared" ref="T1471" si="2333">SUM(Q1471:S1471)</f>
        <v>0</v>
      </c>
      <c r="U1471" s="14"/>
      <c r="V1471" s="11"/>
      <c r="W1471" s="11"/>
      <c r="X1471" s="5">
        <f t="shared" ref="X1471" si="2334">SUM(U1471:W1471)</f>
        <v>0</v>
      </c>
      <c r="Y1471" s="25"/>
      <c r="Z1471" s="26"/>
      <c r="AA1471" s="26"/>
      <c r="AB1471" s="5">
        <f t="shared" ref="AB1471" si="2335">SUM(Y1471:AA1471)</f>
        <v>0</v>
      </c>
      <c r="AC1471" s="86">
        <f t="shared" ref="AC1471" si="2336">T1471+X1471+AB1471</f>
        <v>0</v>
      </c>
    </row>
    <row r="1472" spans="1:31" x14ac:dyDescent="0.15">
      <c r="A1472" s="102" t="s">
        <v>3</v>
      </c>
      <c r="B1472" s="14"/>
      <c r="C1472" s="11"/>
      <c r="D1472" s="11"/>
      <c r="E1472" s="5">
        <f t="shared" si="2321"/>
        <v>0</v>
      </c>
      <c r="F1472" s="34"/>
      <c r="G1472" s="11"/>
      <c r="H1472" s="11"/>
      <c r="I1472" s="5">
        <f t="shared" si="2322"/>
        <v>0</v>
      </c>
      <c r="J1472" s="34"/>
      <c r="K1472" s="11"/>
      <c r="L1472" s="11"/>
      <c r="M1472" s="38">
        <f t="shared" si="2323"/>
        <v>0</v>
      </c>
      <c r="N1472" s="138">
        <f t="shared" si="2324"/>
        <v>0</v>
      </c>
      <c r="O1472" s="58"/>
      <c r="P1472" s="6" t="s">
        <v>3</v>
      </c>
      <c r="Q1472" s="14"/>
      <c r="R1472" s="11"/>
      <c r="S1472" s="11"/>
      <c r="T1472" s="5">
        <f t="shared" si="2325"/>
        <v>0</v>
      </c>
      <c r="U1472" s="14"/>
      <c r="V1472" s="11"/>
      <c r="W1472" s="11"/>
      <c r="X1472" s="5">
        <f t="shared" si="2326"/>
        <v>0</v>
      </c>
      <c r="Y1472" s="25"/>
      <c r="Z1472" s="26"/>
      <c r="AA1472" s="26"/>
      <c r="AB1472" s="5">
        <f t="shared" si="2327"/>
        <v>0</v>
      </c>
      <c r="AC1472" s="86">
        <f t="shared" si="2328"/>
        <v>0</v>
      </c>
    </row>
    <row r="1473" spans="1:30" x14ac:dyDescent="0.15">
      <c r="A1473" s="102" t="s">
        <v>3</v>
      </c>
      <c r="B1473" s="25"/>
      <c r="C1473" s="26"/>
      <c r="D1473" s="26"/>
      <c r="E1473" s="8">
        <f t="shared" si="2321"/>
        <v>0</v>
      </c>
      <c r="F1473" s="25"/>
      <c r="G1473" s="26"/>
      <c r="H1473" s="26"/>
      <c r="I1473" s="8">
        <f t="shared" si="2322"/>
        <v>0</v>
      </c>
      <c r="J1473" s="25"/>
      <c r="K1473" s="26"/>
      <c r="L1473" s="26"/>
      <c r="M1473" s="39">
        <f t="shared" si="2323"/>
        <v>0</v>
      </c>
      <c r="N1473" s="138">
        <f t="shared" si="2324"/>
        <v>0</v>
      </c>
      <c r="P1473" s="6" t="s">
        <v>3</v>
      </c>
      <c r="Q1473" s="14"/>
      <c r="R1473" s="11"/>
      <c r="S1473" s="11"/>
      <c r="T1473" s="5">
        <f t="shared" si="2325"/>
        <v>0</v>
      </c>
      <c r="U1473" s="14"/>
      <c r="V1473" s="11"/>
      <c r="W1473" s="11"/>
      <c r="X1473" s="5">
        <f t="shared" si="2326"/>
        <v>0</v>
      </c>
      <c r="Y1473" s="25"/>
      <c r="Z1473" s="26"/>
      <c r="AA1473" s="26"/>
      <c r="AB1473" s="8">
        <f t="shared" si="2327"/>
        <v>0</v>
      </c>
      <c r="AC1473" s="86">
        <f t="shared" si="2328"/>
        <v>0</v>
      </c>
    </row>
    <row r="1474" spans="1:30" x14ac:dyDescent="0.15">
      <c r="A1474" s="102" t="s">
        <v>3</v>
      </c>
      <c r="B1474" s="27"/>
      <c r="C1474" s="26"/>
      <c r="D1474" s="26"/>
      <c r="E1474" s="5">
        <f t="shared" si="2321"/>
        <v>0</v>
      </c>
      <c r="F1474" s="25"/>
      <c r="G1474" s="26"/>
      <c r="H1474" s="26"/>
      <c r="I1474" s="5">
        <f t="shared" si="2322"/>
        <v>0</v>
      </c>
      <c r="J1474" s="25"/>
      <c r="K1474" s="26"/>
      <c r="L1474" s="26"/>
      <c r="M1474" s="38">
        <f t="shared" si="2323"/>
        <v>0</v>
      </c>
      <c r="N1474" s="138">
        <f t="shared" si="2324"/>
        <v>0</v>
      </c>
      <c r="P1474" s="6" t="s">
        <v>3</v>
      </c>
      <c r="Q1474" s="27"/>
      <c r="R1474" s="26"/>
      <c r="S1474" s="26"/>
      <c r="T1474" s="5">
        <f t="shared" si="2325"/>
        <v>0</v>
      </c>
      <c r="U1474" s="27"/>
      <c r="V1474" s="26"/>
      <c r="W1474" s="26"/>
      <c r="X1474" s="5">
        <f t="shared" si="2326"/>
        <v>0</v>
      </c>
      <c r="Y1474" s="25"/>
      <c r="Z1474" s="26"/>
      <c r="AA1474" s="26"/>
      <c r="AB1474" s="5">
        <f t="shared" si="2327"/>
        <v>0</v>
      </c>
      <c r="AC1474" s="86">
        <f t="shared" si="2328"/>
        <v>0</v>
      </c>
    </row>
    <row r="1475" spans="1:30" x14ac:dyDescent="0.15">
      <c r="A1475" s="102" t="s">
        <v>3</v>
      </c>
      <c r="B1475" s="27"/>
      <c r="C1475" s="26"/>
      <c r="D1475" s="26"/>
      <c r="E1475" s="5">
        <f t="shared" si="2321"/>
        <v>0</v>
      </c>
      <c r="F1475" s="25"/>
      <c r="G1475" s="26"/>
      <c r="H1475" s="26"/>
      <c r="I1475" s="5">
        <f t="shared" si="2322"/>
        <v>0</v>
      </c>
      <c r="J1475" s="25"/>
      <c r="K1475" s="26"/>
      <c r="L1475" s="26"/>
      <c r="M1475" s="38">
        <f t="shared" si="2323"/>
        <v>0</v>
      </c>
      <c r="N1475" s="138">
        <f t="shared" si="2324"/>
        <v>0</v>
      </c>
      <c r="P1475" s="6" t="s">
        <v>3</v>
      </c>
      <c r="Q1475" s="14"/>
      <c r="R1475" s="11"/>
      <c r="S1475" s="11"/>
      <c r="T1475" s="5">
        <f t="shared" si="2325"/>
        <v>0</v>
      </c>
      <c r="U1475" s="14"/>
      <c r="V1475" s="11"/>
      <c r="W1475" s="11"/>
      <c r="X1475" s="5">
        <f t="shared" si="2326"/>
        <v>0</v>
      </c>
      <c r="Y1475" s="25"/>
      <c r="Z1475" s="26"/>
      <c r="AA1475" s="26"/>
      <c r="AB1475" s="8">
        <f t="shared" si="2327"/>
        <v>0</v>
      </c>
      <c r="AC1475" s="86">
        <f t="shared" si="2328"/>
        <v>0</v>
      </c>
    </row>
    <row r="1476" spans="1:30" x14ac:dyDescent="0.15">
      <c r="A1476" s="102" t="s">
        <v>3</v>
      </c>
      <c r="B1476" s="27"/>
      <c r="C1476" s="26"/>
      <c r="D1476" s="26"/>
      <c r="E1476" s="5">
        <f t="shared" si="2321"/>
        <v>0</v>
      </c>
      <c r="F1476" s="25"/>
      <c r="G1476" s="26"/>
      <c r="H1476" s="26"/>
      <c r="I1476" s="5">
        <f t="shared" si="2322"/>
        <v>0</v>
      </c>
      <c r="J1476" s="25"/>
      <c r="K1476" s="26"/>
      <c r="L1476" s="26"/>
      <c r="M1476" s="38">
        <f t="shared" si="2323"/>
        <v>0</v>
      </c>
      <c r="N1476" s="138">
        <f t="shared" si="2324"/>
        <v>0</v>
      </c>
      <c r="P1476" s="6" t="s">
        <v>3</v>
      </c>
      <c r="Q1476" s="27"/>
      <c r="R1476" s="26"/>
      <c r="S1476" s="26"/>
      <c r="T1476" s="5">
        <f t="shared" si="2325"/>
        <v>0</v>
      </c>
      <c r="U1476" s="27"/>
      <c r="V1476" s="26"/>
      <c r="W1476" s="26"/>
      <c r="X1476" s="5">
        <f t="shared" si="2326"/>
        <v>0</v>
      </c>
      <c r="Y1476" s="25"/>
      <c r="Z1476" s="26"/>
      <c r="AA1476" s="26"/>
      <c r="AB1476" s="5">
        <f t="shared" si="2327"/>
        <v>0</v>
      </c>
      <c r="AC1476" s="86">
        <f t="shared" si="2328"/>
        <v>0</v>
      </c>
    </row>
    <row r="1477" spans="1:30" ht="14.25" thickBot="1" x14ac:dyDescent="0.2">
      <c r="A1477" s="102" t="s">
        <v>3</v>
      </c>
      <c r="B1477" s="28"/>
      <c r="C1477" s="29"/>
      <c r="D1477" s="32"/>
      <c r="E1477" s="15">
        <f t="shared" si="2321"/>
        <v>0</v>
      </c>
      <c r="F1477" s="35"/>
      <c r="G1477" s="29"/>
      <c r="H1477" s="32"/>
      <c r="I1477" s="15">
        <f t="shared" si="2322"/>
        <v>0</v>
      </c>
      <c r="J1477" s="35"/>
      <c r="K1477" s="29"/>
      <c r="L1477" s="32"/>
      <c r="M1477" s="40">
        <f t="shared" si="2323"/>
        <v>0</v>
      </c>
      <c r="N1477" s="139">
        <f t="shared" si="2324"/>
        <v>0</v>
      </c>
      <c r="P1477" s="7" t="s">
        <v>3</v>
      </c>
      <c r="Q1477" s="28"/>
      <c r="R1477" s="29"/>
      <c r="S1477" s="29"/>
      <c r="T1477" s="15">
        <f t="shared" si="2325"/>
        <v>0</v>
      </c>
      <c r="U1477" s="28"/>
      <c r="V1477" s="29"/>
      <c r="W1477" s="29"/>
      <c r="X1477" s="15">
        <f t="shared" si="2326"/>
        <v>0</v>
      </c>
      <c r="Y1477" s="35"/>
      <c r="Z1477" s="29"/>
      <c r="AA1477" s="32"/>
      <c r="AB1477" s="15">
        <f t="shared" si="2327"/>
        <v>0</v>
      </c>
      <c r="AC1477" s="87">
        <f t="shared" si="2328"/>
        <v>0</v>
      </c>
    </row>
    <row r="1478" spans="1:30" ht="14.25" thickBot="1" x14ac:dyDescent="0.2">
      <c r="A1478" s="103" t="s">
        <v>4</v>
      </c>
      <c r="B1478" s="17">
        <f>SUM(B1467:B1477)</f>
        <v>37</v>
      </c>
      <c r="C1478" s="17">
        <f>SUM(C1467:C1477)</f>
        <v>62</v>
      </c>
      <c r="D1478" s="17">
        <f>SUM(D1467:D1477)</f>
        <v>49</v>
      </c>
      <c r="E1478" s="18">
        <f t="shared" si="2321"/>
        <v>148</v>
      </c>
      <c r="F1478" s="17">
        <f>SUM(F1467:F1477)</f>
        <v>34</v>
      </c>
      <c r="G1478" s="17">
        <f>SUM(G1467:G1477)</f>
        <v>61</v>
      </c>
      <c r="H1478" s="17">
        <f>SUM(H1467:H1477)</f>
        <v>44</v>
      </c>
      <c r="I1478" s="18">
        <f t="shared" si="2322"/>
        <v>139</v>
      </c>
      <c r="J1478" s="17">
        <f>SUM(J1467:J1477)</f>
        <v>35</v>
      </c>
      <c r="K1478" s="17">
        <f>SUM(K1467:K1477)</f>
        <v>62</v>
      </c>
      <c r="L1478" s="17">
        <f>SUM(L1467:L1477)</f>
        <v>47</v>
      </c>
      <c r="M1478" s="20">
        <f t="shared" si="2323"/>
        <v>144</v>
      </c>
      <c r="N1478" s="140">
        <f t="shared" si="2324"/>
        <v>431</v>
      </c>
      <c r="P1478" s="16" t="s">
        <v>4</v>
      </c>
      <c r="Q1478" s="17">
        <f>SUM(Q1467:Q1477)</f>
        <v>573</v>
      </c>
      <c r="R1478" s="17">
        <f t="shared" ref="R1478:AC1478" si="2337">SUM(R1467:R1477)</f>
        <v>504</v>
      </c>
      <c r="S1478" s="17">
        <f t="shared" si="2337"/>
        <v>401</v>
      </c>
      <c r="T1478" s="18">
        <f t="shared" si="2337"/>
        <v>1478</v>
      </c>
      <c r="U1478" s="17">
        <f t="shared" si="2337"/>
        <v>616</v>
      </c>
      <c r="V1478" s="17">
        <f t="shared" si="2337"/>
        <v>600</v>
      </c>
      <c r="W1478" s="17">
        <f t="shared" si="2337"/>
        <v>486</v>
      </c>
      <c r="X1478" s="18">
        <f t="shared" si="2337"/>
        <v>1702</v>
      </c>
      <c r="Y1478" s="17">
        <f t="shared" si="2337"/>
        <v>543</v>
      </c>
      <c r="Z1478" s="17">
        <f t="shared" si="2337"/>
        <v>550</v>
      </c>
      <c r="AA1478" s="17">
        <f t="shared" si="2337"/>
        <v>445</v>
      </c>
      <c r="AB1478" s="18">
        <f t="shared" si="2337"/>
        <v>1538</v>
      </c>
      <c r="AC1478" s="88">
        <f t="shared" si="2337"/>
        <v>4718</v>
      </c>
    </row>
    <row r="1479" spans="1:30" x14ac:dyDescent="0.15">
      <c r="A1479" s="33" t="s">
        <v>36</v>
      </c>
      <c r="B1479" s="9"/>
      <c r="C1479" s="10"/>
      <c r="D1479" s="31">
        <v>1</v>
      </c>
      <c r="E1479" s="5">
        <f t="shared" si="2321"/>
        <v>1</v>
      </c>
      <c r="F1479" s="9"/>
      <c r="G1479" s="10"/>
      <c r="H1479" s="31">
        <v>2</v>
      </c>
      <c r="I1479" s="5">
        <f t="shared" si="2322"/>
        <v>2</v>
      </c>
      <c r="J1479" s="9"/>
      <c r="K1479" s="10"/>
      <c r="L1479" s="31">
        <v>2</v>
      </c>
      <c r="M1479" s="38">
        <f t="shared" si="2323"/>
        <v>2</v>
      </c>
      <c r="N1479" s="141">
        <f t="shared" si="2324"/>
        <v>5</v>
      </c>
      <c r="O1479" s="70">
        <v>46013</v>
      </c>
      <c r="P1479" s="4" t="s">
        <v>1390</v>
      </c>
      <c r="Q1479" s="9">
        <v>10</v>
      </c>
      <c r="R1479" s="10">
        <v>20</v>
      </c>
      <c r="S1479" s="31">
        <v>15</v>
      </c>
      <c r="T1479" s="5">
        <f t="shared" ref="T1479:T1493" si="2338">SUM(Q1479:S1479)</f>
        <v>45</v>
      </c>
      <c r="U1479" s="9">
        <v>10</v>
      </c>
      <c r="V1479" s="10">
        <v>20</v>
      </c>
      <c r="W1479" s="31">
        <v>15</v>
      </c>
      <c r="X1479" s="5">
        <f t="shared" ref="X1479:X1493" si="2339">SUM(U1479:W1479)</f>
        <v>45</v>
      </c>
      <c r="Y1479" s="9">
        <v>10</v>
      </c>
      <c r="Z1479" s="10">
        <v>20</v>
      </c>
      <c r="AA1479" s="31">
        <v>15</v>
      </c>
      <c r="AB1479" s="5">
        <f t="shared" ref="AB1479:AB1493" si="2340">SUM(Y1479:AA1479)</f>
        <v>45</v>
      </c>
      <c r="AC1479" s="148">
        <f t="shared" ref="AC1479:AC1493" si="2341">T1479+X1479+AB1479</f>
        <v>135</v>
      </c>
      <c r="AD1479" s="109">
        <v>46015</v>
      </c>
    </row>
    <row r="1480" spans="1:30" x14ac:dyDescent="0.15">
      <c r="A1480" s="33" t="s">
        <v>1393</v>
      </c>
      <c r="B1480" s="9">
        <v>2</v>
      </c>
      <c r="C1480" s="10"/>
      <c r="D1480" s="10"/>
      <c r="E1480" s="5">
        <f t="shared" si="2321"/>
        <v>2</v>
      </c>
      <c r="F1480" s="9">
        <v>2</v>
      </c>
      <c r="G1480" s="10"/>
      <c r="H1480" s="10"/>
      <c r="I1480" s="5">
        <f t="shared" si="2322"/>
        <v>2</v>
      </c>
      <c r="J1480" s="9">
        <v>2</v>
      </c>
      <c r="K1480" s="10"/>
      <c r="L1480" s="10"/>
      <c r="M1480" s="38">
        <f t="shared" si="2323"/>
        <v>2</v>
      </c>
      <c r="N1480" s="138">
        <f t="shared" si="2324"/>
        <v>6</v>
      </c>
      <c r="O1480" s="24">
        <v>46016</v>
      </c>
      <c r="P1480" s="4" t="s">
        <v>1391</v>
      </c>
      <c r="Q1480" s="9">
        <v>15</v>
      </c>
      <c r="R1480" s="10">
        <v>20</v>
      </c>
      <c r="S1480" s="10">
        <v>20</v>
      </c>
      <c r="T1480" s="5">
        <f t="shared" si="2338"/>
        <v>55</v>
      </c>
      <c r="U1480" s="9">
        <v>15</v>
      </c>
      <c r="V1480" s="10">
        <v>20</v>
      </c>
      <c r="W1480" s="10">
        <v>20</v>
      </c>
      <c r="X1480" s="5">
        <f t="shared" si="2339"/>
        <v>55</v>
      </c>
      <c r="Y1480" s="9">
        <v>15</v>
      </c>
      <c r="Z1480" s="10">
        <v>20</v>
      </c>
      <c r="AA1480" s="10">
        <v>20</v>
      </c>
      <c r="AB1480" s="5">
        <f t="shared" si="2340"/>
        <v>55</v>
      </c>
      <c r="AC1480" s="93">
        <f t="shared" si="2341"/>
        <v>165</v>
      </c>
      <c r="AD1480" s="109">
        <v>46015</v>
      </c>
    </row>
    <row r="1481" spans="1:30" x14ac:dyDescent="0.15">
      <c r="A1481" s="4" t="s">
        <v>1394</v>
      </c>
      <c r="B1481" s="9"/>
      <c r="C1481" s="10">
        <v>4</v>
      </c>
      <c r="D1481" s="10">
        <v>3</v>
      </c>
      <c r="E1481" s="5">
        <f t="shared" si="2321"/>
        <v>7</v>
      </c>
      <c r="F1481" s="9"/>
      <c r="G1481" s="10">
        <v>4</v>
      </c>
      <c r="H1481" s="10">
        <v>3</v>
      </c>
      <c r="I1481" s="5">
        <f t="shared" si="2322"/>
        <v>7</v>
      </c>
      <c r="J1481" s="9"/>
      <c r="K1481" s="10">
        <v>4</v>
      </c>
      <c r="L1481" s="10">
        <v>3</v>
      </c>
      <c r="M1481" s="38">
        <f t="shared" si="2323"/>
        <v>7</v>
      </c>
      <c r="N1481" s="138">
        <f t="shared" si="2324"/>
        <v>21</v>
      </c>
      <c r="O1481" s="24">
        <v>46016</v>
      </c>
      <c r="P1481" s="33" t="s">
        <v>1417</v>
      </c>
      <c r="Q1481" s="9">
        <v>6</v>
      </c>
      <c r="R1481" s="10">
        <v>5</v>
      </c>
      <c r="S1481" s="10">
        <v>4</v>
      </c>
      <c r="T1481" s="5">
        <f t="shared" si="2338"/>
        <v>15</v>
      </c>
      <c r="U1481" s="9">
        <v>6</v>
      </c>
      <c r="V1481" s="10">
        <v>5</v>
      </c>
      <c r="W1481" s="10">
        <v>4</v>
      </c>
      <c r="X1481" s="5">
        <f t="shared" si="2339"/>
        <v>15</v>
      </c>
      <c r="Y1481" s="9">
        <v>6</v>
      </c>
      <c r="Z1481" s="10">
        <v>5</v>
      </c>
      <c r="AA1481" s="10">
        <v>4</v>
      </c>
      <c r="AB1481" s="5">
        <f t="shared" si="2340"/>
        <v>15</v>
      </c>
      <c r="AC1481" s="93">
        <f t="shared" si="2341"/>
        <v>45</v>
      </c>
      <c r="AD1481" s="109">
        <v>46029</v>
      </c>
    </row>
    <row r="1482" spans="1:30" x14ac:dyDescent="0.15">
      <c r="A1482" s="4" t="s">
        <v>1395</v>
      </c>
      <c r="B1482" s="9"/>
      <c r="C1482" s="10">
        <v>5</v>
      </c>
      <c r="D1482" s="10">
        <v>3</v>
      </c>
      <c r="E1482" s="5">
        <f t="shared" si="2321"/>
        <v>8</v>
      </c>
      <c r="F1482" s="9"/>
      <c r="G1482" s="10">
        <v>5</v>
      </c>
      <c r="H1482" s="10">
        <v>3</v>
      </c>
      <c r="I1482" s="5">
        <f t="shared" si="2322"/>
        <v>8</v>
      </c>
      <c r="J1482" s="9"/>
      <c r="K1482" s="10">
        <v>5</v>
      </c>
      <c r="L1482" s="10">
        <v>3</v>
      </c>
      <c r="M1482" s="38">
        <f t="shared" si="2323"/>
        <v>8</v>
      </c>
      <c r="N1482" s="138">
        <f t="shared" si="2324"/>
        <v>24</v>
      </c>
      <c r="O1482" s="24">
        <v>46017</v>
      </c>
      <c r="P1482" s="11" t="s">
        <v>1420</v>
      </c>
      <c r="Q1482" s="9"/>
      <c r="R1482" s="10"/>
      <c r="S1482" s="10">
        <v>5</v>
      </c>
      <c r="T1482" s="5">
        <f t="shared" si="2338"/>
        <v>5</v>
      </c>
      <c r="U1482" s="9"/>
      <c r="V1482" s="10"/>
      <c r="W1482" s="10">
        <v>5</v>
      </c>
      <c r="X1482" s="5">
        <f t="shared" si="2339"/>
        <v>5</v>
      </c>
      <c r="Y1482" s="9"/>
      <c r="Z1482" s="10"/>
      <c r="AA1482" s="10">
        <v>5</v>
      </c>
      <c r="AB1482" s="5">
        <f t="shared" si="2340"/>
        <v>5</v>
      </c>
      <c r="AC1482" s="93">
        <f t="shared" si="2341"/>
        <v>15</v>
      </c>
      <c r="AD1482" s="109">
        <v>46030</v>
      </c>
    </row>
    <row r="1483" spans="1:30" x14ac:dyDescent="0.15">
      <c r="A1483" s="33" t="s">
        <v>1396</v>
      </c>
      <c r="B1483" s="9"/>
      <c r="C1483" s="10"/>
      <c r="D1483" s="10">
        <v>3</v>
      </c>
      <c r="E1483" s="5">
        <f t="shared" si="2321"/>
        <v>3</v>
      </c>
      <c r="F1483" s="9"/>
      <c r="G1483" s="10"/>
      <c r="H1483" s="10">
        <v>3</v>
      </c>
      <c r="I1483" s="5">
        <f t="shared" si="2322"/>
        <v>3</v>
      </c>
      <c r="J1483" s="9"/>
      <c r="K1483" s="10"/>
      <c r="L1483" s="10">
        <v>3</v>
      </c>
      <c r="M1483" s="38">
        <f t="shared" si="2323"/>
        <v>3</v>
      </c>
      <c r="N1483" s="138">
        <f t="shared" si="2324"/>
        <v>9</v>
      </c>
      <c r="O1483" s="24">
        <v>46017</v>
      </c>
      <c r="P1483" s="160" t="s">
        <v>1319</v>
      </c>
      <c r="Q1483" s="166">
        <v>5</v>
      </c>
      <c r="R1483" s="167">
        <v>20</v>
      </c>
      <c r="S1483" s="167">
        <v>5</v>
      </c>
      <c r="T1483" s="161">
        <f t="shared" si="2338"/>
        <v>30</v>
      </c>
      <c r="U1483" s="166">
        <v>5</v>
      </c>
      <c r="V1483" s="167">
        <v>20</v>
      </c>
      <c r="W1483" s="167"/>
      <c r="X1483" s="161">
        <f t="shared" si="2339"/>
        <v>25</v>
      </c>
      <c r="Y1483" s="166">
        <v>6</v>
      </c>
      <c r="Z1483" s="167">
        <v>20</v>
      </c>
      <c r="AA1483" s="167">
        <v>5</v>
      </c>
      <c r="AB1483" s="161">
        <f t="shared" si="2340"/>
        <v>31</v>
      </c>
      <c r="AC1483" s="169">
        <f t="shared" si="2341"/>
        <v>86</v>
      </c>
      <c r="AD1483" s="170">
        <v>46029</v>
      </c>
    </row>
    <row r="1484" spans="1:30" x14ac:dyDescent="0.15">
      <c r="A1484" s="33" t="s">
        <v>36</v>
      </c>
      <c r="B1484" s="9"/>
      <c r="C1484" s="10"/>
      <c r="D1484" s="10"/>
      <c r="E1484" s="8">
        <f t="shared" si="2321"/>
        <v>0</v>
      </c>
      <c r="F1484" s="9">
        <v>1</v>
      </c>
      <c r="G1484" s="10"/>
      <c r="H1484" s="10"/>
      <c r="I1484" s="8">
        <f t="shared" si="2322"/>
        <v>1</v>
      </c>
      <c r="J1484" s="9"/>
      <c r="K1484" s="10"/>
      <c r="L1484" s="10"/>
      <c r="M1484" s="39">
        <f t="shared" si="2323"/>
        <v>0</v>
      </c>
      <c r="N1484" s="138">
        <f t="shared" si="2324"/>
        <v>1</v>
      </c>
      <c r="O1484" s="70">
        <v>46016</v>
      </c>
      <c r="P1484" s="4" t="s">
        <v>1429</v>
      </c>
      <c r="Q1484" s="9">
        <v>20</v>
      </c>
      <c r="R1484" s="10">
        <v>30</v>
      </c>
      <c r="S1484" s="10">
        <v>20</v>
      </c>
      <c r="T1484" s="8">
        <f t="shared" si="2338"/>
        <v>70</v>
      </c>
      <c r="U1484" s="9">
        <v>20</v>
      </c>
      <c r="V1484" s="10">
        <v>30</v>
      </c>
      <c r="W1484" s="10">
        <v>20</v>
      </c>
      <c r="X1484" s="8">
        <f t="shared" si="2339"/>
        <v>70</v>
      </c>
      <c r="Y1484" s="9">
        <v>20</v>
      </c>
      <c r="Z1484" s="10">
        <v>30</v>
      </c>
      <c r="AA1484" s="10">
        <v>20</v>
      </c>
      <c r="AB1484" s="8">
        <f t="shared" si="2340"/>
        <v>70</v>
      </c>
      <c r="AC1484" s="93">
        <f t="shared" si="2341"/>
        <v>210</v>
      </c>
      <c r="AD1484" s="109">
        <v>46032</v>
      </c>
    </row>
    <row r="1485" spans="1:30" x14ac:dyDescent="0.15">
      <c r="A1485" s="33" t="s">
        <v>36</v>
      </c>
      <c r="B1485" s="9">
        <v>1</v>
      </c>
      <c r="C1485" s="10"/>
      <c r="D1485" s="10"/>
      <c r="E1485" s="8">
        <f t="shared" ref="E1485:E1487" si="2342">SUM(B1485:D1485)</f>
        <v>1</v>
      </c>
      <c r="F1485" s="9"/>
      <c r="G1485" s="10"/>
      <c r="H1485" s="10"/>
      <c r="I1485" s="8">
        <f t="shared" ref="I1485:I1487" si="2343">SUM(F1485:H1485)</f>
        <v>0</v>
      </c>
      <c r="J1485" s="9"/>
      <c r="K1485" s="10"/>
      <c r="L1485" s="10"/>
      <c r="M1485" s="39">
        <f t="shared" ref="M1485:M1487" si="2344">SUM(J1485:L1485)</f>
        <v>0</v>
      </c>
      <c r="N1485" s="138">
        <f t="shared" ref="N1485:N1487" si="2345">E1485+I1485+M1485</f>
        <v>1</v>
      </c>
      <c r="O1485" s="70">
        <v>46017</v>
      </c>
      <c r="P1485" s="11" t="s">
        <v>1430</v>
      </c>
      <c r="Q1485" s="9">
        <v>5</v>
      </c>
      <c r="R1485" s="10">
        <v>20</v>
      </c>
      <c r="S1485" s="10">
        <v>20</v>
      </c>
      <c r="T1485" s="8">
        <f t="shared" si="2338"/>
        <v>45</v>
      </c>
      <c r="U1485" s="9">
        <v>5</v>
      </c>
      <c r="V1485" s="10">
        <v>20</v>
      </c>
      <c r="W1485" s="10">
        <v>20</v>
      </c>
      <c r="X1485" s="8">
        <f t="shared" si="2339"/>
        <v>45</v>
      </c>
      <c r="Y1485" s="9">
        <v>5</v>
      </c>
      <c r="Z1485" s="10">
        <v>20</v>
      </c>
      <c r="AA1485" s="10">
        <v>20</v>
      </c>
      <c r="AB1485" s="8">
        <f t="shared" si="2340"/>
        <v>45</v>
      </c>
      <c r="AC1485" s="93">
        <f t="shared" si="2341"/>
        <v>135</v>
      </c>
      <c r="AD1485" s="109">
        <v>46032</v>
      </c>
    </row>
    <row r="1486" spans="1:30" x14ac:dyDescent="0.15">
      <c r="A1486" s="4" t="s">
        <v>1418</v>
      </c>
      <c r="B1486" s="9"/>
      <c r="C1486" s="10">
        <v>7</v>
      </c>
      <c r="D1486" s="10"/>
      <c r="E1486" s="8">
        <f t="shared" ref="E1486" si="2346">SUM(B1486:D1486)</f>
        <v>7</v>
      </c>
      <c r="F1486" s="9"/>
      <c r="G1486" s="10">
        <v>7</v>
      </c>
      <c r="H1486" s="10"/>
      <c r="I1486" s="8">
        <f t="shared" ref="I1486" si="2347">SUM(F1486:H1486)</f>
        <v>7</v>
      </c>
      <c r="J1486" s="9"/>
      <c r="K1486" s="10">
        <v>7</v>
      </c>
      <c r="L1486" s="10"/>
      <c r="M1486" s="39">
        <f t="shared" ref="M1486" si="2348">SUM(J1486:L1486)</f>
        <v>7</v>
      </c>
      <c r="N1486" s="138">
        <f t="shared" ref="N1486" si="2349">E1486+I1486+M1486</f>
        <v>21</v>
      </c>
      <c r="O1486" s="24">
        <v>46030</v>
      </c>
      <c r="P1486" s="4" t="s">
        <v>1432</v>
      </c>
      <c r="Q1486" s="9">
        <v>10</v>
      </c>
      <c r="R1486" s="10"/>
      <c r="S1486" s="10">
        <v>5</v>
      </c>
      <c r="T1486" s="8">
        <f t="shared" si="2338"/>
        <v>15</v>
      </c>
      <c r="U1486" s="9">
        <v>10</v>
      </c>
      <c r="V1486" s="10"/>
      <c r="W1486" s="10"/>
      <c r="X1486" s="8">
        <f t="shared" si="2339"/>
        <v>10</v>
      </c>
      <c r="Y1486" s="9">
        <v>10</v>
      </c>
      <c r="Z1486" s="10"/>
      <c r="AA1486" s="10"/>
      <c r="AB1486" s="8">
        <f t="shared" si="2340"/>
        <v>10</v>
      </c>
      <c r="AC1486" s="93">
        <f t="shared" si="2341"/>
        <v>35</v>
      </c>
      <c r="AD1486" s="121">
        <v>46032</v>
      </c>
    </row>
    <row r="1487" spans="1:30" x14ac:dyDescent="0.15">
      <c r="A1487" s="33" t="s">
        <v>36</v>
      </c>
      <c r="B1487" s="9">
        <v>1</v>
      </c>
      <c r="C1487" s="10">
        <v>2</v>
      </c>
      <c r="D1487" s="10"/>
      <c r="E1487" s="8">
        <f t="shared" si="2342"/>
        <v>3</v>
      </c>
      <c r="F1487" s="9">
        <v>1</v>
      </c>
      <c r="G1487" s="10">
        <v>2</v>
      </c>
      <c r="H1487" s="10"/>
      <c r="I1487" s="8">
        <f t="shared" si="2343"/>
        <v>3</v>
      </c>
      <c r="J1487" s="9">
        <v>1</v>
      </c>
      <c r="K1487" s="10">
        <v>2</v>
      </c>
      <c r="L1487" s="10"/>
      <c r="M1487" s="39">
        <f t="shared" si="2344"/>
        <v>3</v>
      </c>
      <c r="N1487" s="138">
        <f t="shared" si="2345"/>
        <v>9</v>
      </c>
      <c r="O1487" s="70">
        <v>46027</v>
      </c>
      <c r="P1487" s="4" t="s">
        <v>1434</v>
      </c>
      <c r="Q1487" s="9">
        <v>15</v>
      </c>
      <c r="R1487" s="10">
        <v>15</v>
      </c>
      <c r="S1487" s="10"/>
      <c r="T1487" s="8">
        <f t="shared" si="2338"/>
        <v>30</v>
      </c>
      <c r="U1487" s="9">
        <v>15</v>
      </c>
      <c r="V1487" s="10">
        <v>15</v>
      </c>
      <c r="W1487" s="10"/>
      <c r="X1487" s="8">
        <f t="shared" si="2339"/>
        <v>30</v>
      </c>
      <c r="Y1487" s="9">
        <v>15</v>
      </c>
      <c r="Z1487" s="10">
        <v>15</v>
      </c>
      <c r="AA1487" s="10"/>
      <c r="AB1487" s="8">
        <f t="shared" si="2340"/>
        <v>30</v>
      </c>
      <c r="AC1487" s="93">
        <f t="shared" si="2341"/>
        <v>90</v>
      </c>
      <c r="AD1487" s="109">
        <v>46042</v>
      </c>
    </row>
    <row r="1488" spans="1:30" x14ac:dyDescent="0.15">
      <c r="A1488" s="33" t="s">
        <v>1366</v>
      </c>
      <c r="B1488" s="9">
        <v>-1</v>
      </c>
      <c r="C1488" s="10"/>
      <c r="D1488" s="10"/>
      <c r="E1488" s="8">
        <f t="shared" si="2321"/>
        <v>-1</v>
      </c>
      <c r="F1488" s="9"/>
      <c r="G1488" s="10"/>
      <c r="H1488" s="10"/>
      <c r="I1488" s="8">
        <f t="shared" si="2322"/>
        <v>0</v>
      </c>
      <c r="J1488" s="9">
        <v>-1</v>
      </c>
      <c r="K1488" s="10"/>
      <c r="L1488" s="10"/>
      <c r="M1488" s="39">
        <f t="shared" si="2323"/>
        <v>-1</v>
      </c>
      <c r="N1488" s="154">
        <f t="shared" si="2324"/>
        <v>-2</v>
      </c>
      <c r="O1488" s="70">
        <v>46027</v>
      </c>
      <c r="P1488" s="4" t="s">
        <v>1435</v>
      </c>
      <c r="Q1488" s="9">
        <v>1</v>
      </c>
      <c r="R1488" s="10"/>
      <c r="S1488" s="10"/>
      <c r="T1488" s="8">
        <f t="shared" si="2338"/>
        <v>1</v>
      </c>
      <c r="U1488" s="9">
        <v>1</v>
      </c>
      <c r="V1488" s="10"/>
      <c r="W1488" s="10"/>
      <c r="X1488" s="8">
        <f t="shared" si="2339"/>
        <v>1</v>
      </c>
      <c r="Y1488" s="9">
        <v>1</v>
      </c>
      <c r="Z1488" s="10"/>
      <c r="AA1488" s="10"/>
      <c r="AB1488" s="8">
        <f t="shared" si="2340"/>
        <v>1</v>
      </c>
      <c r="AC1488" s="93">
        <f t="shared" si="2341"/>
        <v>3</v>
      </c>
      <c r="AD1488" s="109">
        <v>46042</v>
      </c>
    </row>
    <row r="1489" spans="1:30" x14ac:dyDescent="0.15">
      <c r="A1489" s="4" t="s">
        <v>1425</v>
      </c>
      <c r="B1489" s="9"/>
      <c r="C1489" s="10">
        <v>2</v>
      </c>
      <c r="D1489" s="10">
        <v>2</v>
      </c>
      <c r="E1489" s="8">
        <f t="shared" si="2321"/>
        <v>4</v>
      </c>
      <c r="F1489" s="9"/>
      <c r="G1489" s="10">
        <v>2</v>
      </c>
      <c r="H1489" s="10">
        <v>2</v>
      </c>
      <c r="I1489" s="8">
        <f t="shared" si="2322"/>
        <v>4</v>
      </c>
      <c r="J1489" s="9"/>
      <c r="K1489" s="10">
        <v>2</v>
      </c>
      <c r="L1489" s="10">
        <v>2</v>
      </c>
      <c r="M1489" s="39">
        <f t="shared" si="2323"/>
        <v>4</v>
      </c>
      <c r="N1489" s="138">
        <f t="shared" si="2324"/>
        <v>12</v>
      </c>
      <c r="O1489" s="24">
        <v>46029</v>
      </c>
      <c r="P1489" s="33" t="s">
        <v>1440</v>
      </c>
      <c r="Q1489" s="9">
        <v>4</v>
      </c>
      <c r="R1489" s="10">
        <v>5</v>
      </c>
      <c r="S1489" s="10"/>
      <c r="T1489" s="8">
        <f t="shared" si="2338"/>
        <v>9</v>
      </c>
      <c r="U1489" s="9">
        <v>4</v>
      </c>
      <c r="V1489" s="10">
        <v>5</v>
      </c>
      <c r="W1489" s="10"/>
      <c r="X1489" s="8">
        <f t="shared" si="2339"/>
        <v>9</v>
      </c>
      <c r="Y1489" s="9">
        <v>4</v>
      </c>
      <c r="Z1489" s="10">
        <v>5</v>
      </c>
      <c r="AA1489" s="10"/>
      <c r="AB1489" s="8">
        <f t="shared" si="2340"/>
        <v>9</v>
      </c>
      <c r="AC1489" s="93">
        <f t="shared" si="2341"/>
        <v>27</v>
      </c>
      <c r="AD1489" s="109">
        <v>46037</v>
      </c>
    </row>
    <row r="1490" spans="1:30" x14ac:dyDescent="0.15">
      <c r="A1490" s="33" t="s">
        <v>36</v>
      </c>
      <c r="B1490" s="9">
        <v>1</v>
      </c>
      <c r="C1490" s="10"/>
      <c r="D1490" s="10">
        <v>1</v>
      </c>
      <c r="E1490" s="8">
        <f t="shared" si="2321"/>
        <v>2</v>
      </c>
      <c r="F1490" s="9">
        <v>1</v>
      </c>
      <c r="G1490" s="10"/>
      <c r="H1490" s="10">
        <v>1</v>
      </c>
      <c r="I1490" s="8">
        <f t="shared" si="2322"/>
        <v>2</v>
      </c>
      <c r="J1490" s="9">
        <v>2</v>
      </c>
      <c r="K1490" s="10"/>
      <c r="L1490" s="10">
        <v>1</v>
      </c>
      <c r="M1490" s="39">
        <f t="shared" si="2323"/>
        <v>3</v>
      </c>
      <c r="N1490" s="138">
        <f t="shared" si="2324"/>
        <v>7</v>
      </c>
      <c r="O1490" s="24">
        <v>46028</v>
      </c>
      <c r="P1490" s="4" t="s">
        <v>1443</v>
      </c>
      <c r="Q1490" s="9">
        <v>5</v>
      </c>
      <c r="R1490" s="10">
        <v>20</v>
      </c>
      <c r="S1490" s="10">
        <v>5</v>
      </c>
      <c r="T1490" s="8">
        <f t="shared" si="2338"/>
        <v>30</v>
      </c>
      <c r="U1490" s="9">
        <v>5</v>
      </c>
      <c r="V1490" s="10">
        <v>20</v>
      </c>
      <c r="W1490" s="10">
        <v>5</v>
      </c>
      <c r="X1490" s="8">
        <f t="shared" si="2339"/>
        <v>30</v>
      </c>
      <c r="Y1490" s="9">
        <v>5</v>
      </c>
      <c r="Z1490" s="10">
        <v>20</v>
      </c>
      <c r="AA1490" s="10">
        <v>5</v>
      </c>
      <c r="AB1490" s="8">
        <f t="shared" si="2340"/>
        <v>30</v>
      </c>
      <c r="AC1490" s="93">
        <f t="shared" si="2341"/>
        <v>90</v>
      </c>
      <c r="AD1490" s="109">
        <v>46041</v>
      </c>
    </row>
    <row r="1491" spans="1:30" x14ac:dyDescent="0.15">
      <c r="A1491" s="33" t="s">
        <v>1428</v>
      </c>
      <c r="B1491" s="9">
        <v>4</v>
      </c>
      <c r="C1491" s="10"/>
      <c r="D1491" s="10"/>
      <c r="E1491" s="8">
        <f t="shared" ref="E1491" si="2350">SUM(B1491:D1491)</f>
        <v>4</v>
      </c>
      <c r="F1491" s="9">
        <v>4</v>
      </c>
      <c r="G1491" s="10"/>
      <c r="H1491" s="10"/>
      <c r="I1491" s="8">
        <f t="shared" ref="I1491" si="2351">SUM(F1491:H1491)</f>
        <v>4</v>
      </c>
      <c r="J1491" s="9">
        <v>4</v>
      </c>
      <c r="K1491" s="10"/>
      <c r="L1491" s="10"/>
      <c r="M1491" s="39">
        <f t="shared" ref="M1491" si="2352">SUM(J1491:L1491)</f>
        <v>4</v>
      </c>
      <c r="N1491" s="138">
        <f t="shared" ref="N1491" si="2353">E1491+I1491+M1491</f>
        <v>12</v>
      </c>
      <c r="O1491" s="24">
        <v>46031</v>
      </c>
      <c r="P1491" s="11" t="s">
        <v>1445</v>
      </c>
      <c r="Q1491" s="9">
        <v>10</v>
      </c>
      <c r="R1491" s="10">
        <v>50</v>
      </c>
      <c r="S1491" s="10"/>
      <c r="T1491" s="8">
        <f t="shared" si="2338"/>
        <v>60</v>
      </c>
      <c r="U1491" s="9">
        <v>10</v>
      </c>
      <c r="V1491" s="10">
        <v>50</v>
      </c>
      <c r="W1491" s="10"/>
      <c r="X1491" s="8">
        <f t="shared" si="2339"/>
        <v>60</v>
      </c>
      <c r="Y1491" s="9">
        <v>10</v>
      </c>
      <c r="Z1491" s="10">
        <v>50</v>
      </c>
      <c r="AA1491" s="10"/>
      <c r="AB1491" s="8">
        <f t="shared" si="2340"/>
        <v>60</v>
      </c>
      <c r="AC1491" s="93">
        <f t="shared" si="2341"/>
        <v>180</v>
      </c>
      <c r="AD1491" s="109">
        <v>46037</v>
      </c>
    </row>
    <row r="1492" spans="1:30" x14ac:dyDescent="0.15">
      <c r="A1492" s="33" t="s">
        <v>36</v>
      </c>
      <c r="B1492" s="9"/>
      <c r="C1492" s="10">
        <v>1</v>
      </c>
      <c r="D1492" s="10"/>
      <c r="E1492" s="8">
        <f t="shared" si="2321"/>
        <v>1</v>
      </c>
      <c r="F1492" s="9"/>
      <c r="G1492" s="10">
        <v>1</v>
      </c>
      <c r="H1492" s="10"/>
      <c r="I1492" s="8">
        <f t="shared" si="2322"/>
        <v>1</v>
      </c>
      <c r="J1492" s="9"/>
      <c r="K1492" s="10">
        <v>1</v>
      </c>
      <c r="L1492" s="10"/>
      <c r="M1492" s="39">
        <f t="shared" si="2323"/>
        <v>1</v>
      </c>
      <c r="N1492" s="138">
        <f t="shared" si="2324"/>
        <v>3</v>
      </c>
      <c r="O1492" s="70">
        <v>46029</v>
      </c>
      <c r="P1492" s="4" t="s">
        <v>1446</v>
      </c>
      <c r="Q1492" s="9">
        <v>30</v>
      </c>
      <c r="R1492" s="10">
        <v>25</v>
      </c>
      <c r="S1492" s="10">
        <v>20</v>
      </c>
      <c r="T1492" s="8">
        <f t="shared" si="2338"/>
        <v>75</v>
      </c>
      <c r="U1492" s="9">
        <v>30</v>
      </c>
      <c r="V1492" s="10">
        <v>25</v>
      </c>
      <c r="W1492" s="10">
        <v>20</v>
      </c>
      <c r="X1492" s="8">
        <f t="shared" si="2339"/>
        <v>75</v>
      </c>
      <c r="Y1492" s="9">
        <v>30</v>
      </c>
      <c r="Z1492" s="10">
        <v>25</v>
      </c>
      <c r="AA1492" s="10">
        <v>20</v>
      </c>
      <c r="AB1492" s="8">
        <f t="shared" si="2340"/>
        <v>75</v>
      </c>
      <c r="AC1492" s="93">
        <f t="shared" si="2341"/>
        <v>225</v>
      </c>
      <c r="AD1492" s="109">
        <v>46037</v>
      </c>
    </row>
    <row r="1493" spans="1:30" x14ac:dyDescent="0.15">
      <c r="A1493" s="33" t="s">
        <v>36</v>
      </c>
      <c r="B1493" s="9">
        <v>1</v>
      </c>
      <c r="C1493" s="10">
        <v>1</v>
      </c>
      <c r="D1493" s="10"/>
      <c r="E1493" s="8">
        <f t="shared" si="2321"/>
        <v>2</v>
      </c>
      <c r="F1493" s="9">
        <v>1</v>
      </c>
      <c r="G1493" s="10">
        <v>1</v>
      </c>
      <c r="H1493" s="10"/>
      <c r="I1493" s="8">
        <f t="shared" si="2322"/>
        <v>2</v>
      </c>
      <c r="J1493" s="9">
        <v>1</v>
      </c>
      <c r="K1493" s="10">
        <v>1</v>
      </c>
      <c r="L1493" s="10"/>
      <c r="M1493" s="39">
        <f t="shared" si="2323"/>
        <v>2</v>
      </c>
      <c r="N1493" s="138">
        <f t="shared" si="2324"/>
        <v>6</v>
      </c>
      <c r="O1493" s="70">
        <v>46030</v>
      </c>
      <c r="P1493" s="33" t="s">
        <v>1447</v>
      </c>
      <c r="Q1493" s="9">
        <v>4</v>
      </c>
      <c r="R1493" s="10">
        <v>5</v>
      </c>
      <c r="S1493" s="10">
        <v>4</v>
      </c>
      <c r="T1493" s="8">
        <f t="shared" si="2338"/>
        <v>13</v>
      </c>
      <c r="U1493" s="9">
        <v>4</v>
      </c>
      <c r="V1493" s="10">
        <v>5</v>
      </c>
      <c r="W1493" s="10">
        <v>4</v>
      </c>
      <c r="X1493" s="8">
        <f t="shared" si="2339"/>
        <v>13</v>
      </c>
      <c r="Y1493" s="9">
        <v>4</v>
      </c>
      <c r="Z1493" s="10">
        <v>5</v>
      </c>
      <c r="AA1493" s="10">
        <v>4</v>
      </c>
      <c r="AB1493" s="8">
        <f t="shared" si="2340"/>
        <v>13</v>
      </c>
      <c r="AC1493" s="93">
        <f t="shared" si="2341"/>
        <v>39</v>
      </c>
      <c r="AD1493" s="109">
        <v>46038</v>
      </c>
    </row>
    <row r="1494" spans="1:30" x14ac:dyDescent="0.15">
      <c r="A1494" s="33" t="s">
        <v>1431</v>
      </c>
      <c r="B1494" s="9"/>
      <c r="C1494" s="10">
        <v>2</v>
      </c>
      <c r="D1494" s="10"/>
      <c r="E1494" s="8">
        <f t="shared" si="2321"/>
        <v>2</v>
      </c>
      <c r="F1494" s="9"/>
      <c r="G1494" s="10">
        <v>2</v>
      </c>
      <c r="H1494" s="10"/>
      <c r="I1494" s="8">
        <f t="shared" si="2322"/>
        <v>2</v>
      </c>
      <c r="J1494" s="9"/>
      <c r="K1494" s="10">
        <v>2</v>
      </c>
      <c r="L1494" s="10"/>
      <c r="M1494" s="39">
        <f t="shared" si="2323"/>
        <v>2</v>
      </c>
      <c r="N1494" s="138">
        <f t="shared" si="2324"/>
        <v>6</v>
      </c>
      <c r="O1494" s="24">
        <v>46035</v>
      </c>
      <c r="P1494" s="4" t="s">
        <v>1319</v>
      </c>
      <c r="Q1494" s="9">
        <v>10</v>
      </c>
      <c r="R1494" s="10">
        <v>10</v>
      </c>
      <c r="S1494" s="10">
        <v>10</v>
      </c>
      <c r="T1494" s="8">
        <f t="shared" ref="T1494:T1502" si="2354">SUM(Q1494:S1494)</f>
        <v>30</v>
      </c>
      <c r="U1494" s="9">
        <v>10</v>
      </c>
      <c r="V1494" s="10">
        <v>10</v>
      </c>
      <c r="W1494" s="10">
        <v>10</v>
      </c>
      <c r="X1494" s="8">
        <f t="shared" ref="X1494:X1502" si="2355">SUM(U1494:W1494)</f>
        <v>30</v>
      </c>
      <c r="Y1494" s="9">
        <v>10</v>
      </c>
      <c r="Z1494" s="10">
        <v>10</v>
      </c>
      <c r="AA1494" s="10">
        <v>10</v>
      </c>
      <c r="AB1494" s="8">
        <f t="shared" ref="AB1494:AB1502" si="2356">SUM(Y1494:AA1494)</f>
        <v>30</v>
      </c>
      <c r="AC1494" s="93">
        <f t="shared" ref="AC1494:AC1502" si="2357">T1494+X1494+AB1494</f>
        <v>90</v>
      </c>
      <c r="AD1494" s="109">
        <v>46038</v>
      </c>
    </row>
    <row r="1495" spans="1:30" x14ac:dyDescent="0.15">
      <c r="A1495" s="33" t="s">
        <v>36</v>
      </c>
      <c r="B1495" s="9">
        <v>2</v>
      </c>
      <c r="C1495" s="10">
        <v>1</v>
      </c>
      <c r="D1495" s="10"/>
      <c r="E1495" s="8">
        <f t="shared" si="2321"/>
        <v>3</v>
      </c>
      <c r="F1495" s="9">
        <v>2</v>
      </c>
      <c r="G1495" s="10">
        <v>1</v>
      </c>
      <c r="H1495" s="10"/>
      <c r="I1495" s="8">
        <f t="shared" si="2322"/>
        <v>3</v>
      </c>
      <c r="J1495" s="9">
        <v>2</v>
      </c>
      <c r="K1495" s="10">
        <v>1</v>
      </c>
      <c r="L1495" s="10"/>
      <c r="M1495" s="39">
        <f t="shared" si="2323"/>
        <v>3</v>
      </c>
      <c r="N1495" s="138">
        <f t="shared" si="2324"/>
        <v>9</v>
      </c>
      <c r="O1495" s="70">
        <v>46031</v>
      </c>
      <c r="P1495" s="11" t="s">
        <v>1269</v>
      </c>
      <c r="Q1495" s="9"/>
      <c r="R1495" s="10"/>
      <c r="S1495" s="10"/>
      <c r="T1495" s="8">
        <f t="shared" ref="T1495" si="2358">SUM(Q1495:S1495)</f>
        <v>0</v>
      </c>
      <c r="U1495" s="9"/>
      <c r="V1495" s="10"/>
      <c r="W1495" s="10"/>
      <c r="X1495" s="8">
        <f t="shared" ref="X1495" si="2359">SUM(U1495:W1495)</f>
        <v>0</v>
      </c>
      <c r="Y1495" s="9"/>
      <c r="Z1495" s="10"/>
      <c r="AA1495" s="10"/>
      <c r="AB1495" s="8">
        <f t="shared" ref="AB1495" si="2360">SUM(Y1495:AA1495)</f>
        <v>0</v>
      </c>
      <c r="AC1495" s="93">
        <f t="shared" ref="AC1495" si="2361">T1495+X1495+AB1495</f>
        <v>0</v>
      </c>
      <c r="AD1495" s="116" t="s">
        <v>1270</v>
      </c>
    </row>
    <row r="1496" spans="1:30" x14ac:dyDescent="0.15">
      <c r="A1496" s="4" t="s">
        <v>1433</v>
      </c>
      <c r="B1496" s="9">
        <v>3</v>
      </c>
      <c r="C1496" s="10"/>
      <c r="D1496" s="10"/>
      <c r="E1496" s="8">
        <f t="shared" si="2321"/>
        <v>3</v>
      </c>
      <c r="F1496" s="9">
        <v>3</v>
      </c>
      <c r="G1496" s="10"/>
      <c r="H1496" s="10"/>
      <c r="I1496" s="8">
        <f t="shared" si="2322"/>
        <v>3</v>
      </c>
      <c r="J1496" s="9">
        <v>3</v>
      </c>
      <c r="K1496" s="10"/>
      <c r="L1496" s="10"/>
      <c r="M1496" s="39">
        <f t="shared" si="2323"/>
        <v>3</v>
      </c>
      <c r="N1496" s="138">
        <f t="shared" si="2324"/>
        <v>9</v>
      </c>
      <c r="O1496" s="24">
        <v>46038</v>
      </c>
      <c r="P1496" s="11" t="s">
        <v>1305</v>
      </c>
      <c r="Q1496" s="9"/>
      <c r="R1496" s="10"/>
      <c r="S1496" s="10"/>
      <c r="T1496" s="8">
        <f t="shared" si="2354"/>
        <v>0</v>
      </c>
      <c r="U1496" s="9"/>
      <c r="V1496" s="10"/>
      <c r="W1496" s="10"/>
      <c r="X1496" s="8">
        <f t="shared" si="2355"/>
        <v>0</v>
      </c>
      <c r="Y1496" s="9"/>
      <c r="Z1496" s="10"/>
      <c r="AA1496" s="10"/>
      <c r="AB1496" s="8">
        <f t="shared" si="2356"/>
        <v>0</v>
      </c>
      <c r="AC1496" s="93">
        <f t="shared" si="2357"/>
        <v>0</v>
      </c>
      <c r="AD1496" s="116" t="s">
        <v>550</v>
      </c>
    </row>
    <row r="1497" spans="1:30" x14ac:dyDescent="0.15">
      <c r="A1497" s="33" t="s">
        <v>36</v>
      </c>
      <c r="B1497" s="9"/>
      <c r="C1497" s="10">
        <v>2</v>
      </c>
      <c r="D1497" s="10"/>
      <c r="E1497" s="8">
        <f t="shared" si="2321"/>
        <v>2</v>
      </c>
      <c r="F1497" s="9"/>
      <c r="G1497" s="10">
        <v>2</v>
      </c>
      <c r="H1497" s="10"/>
      <c r="I1497" s="8">
        <f t="shared" si="2322"/>
        <v>2</v>
      </c>
      <c r="J1497" s="9"/>
      <c r="K1497" s="10">
        <v>2</v>
      </c>
      <c r="L1497" s="10"/>
      <c r="M1497" s="39">
        <f t="shared" si="2323"/>
        <v>2</v>
      </c>
      <c r="N1497" s="138">
        <f t="shared" si="2324"/>
        <v>6</v>
      </c>
      <c r="O1497" s="70">
        <v>46032</v>
      </c>
      <c r="P1497" s="81" t="s">
        <v>1133</v>
      </c>
      <c r="Q1497" s="71"/>
      <c r="R1497" s="72"/>
      <c r="S1497" s="72"/>
      <c r="T1497" s="73">
        <f t="shared" si="2354"/>
        <v>0</v>
      </c>
      <c r="U1497" s="71"/>
      <c r="V1497" s="72"/>
      <c r="W1497" s="72"/>
      <c r="X1497" s="73">
        <f t="shared" si="2355"/>
        <v>0</v>
      </c>
      <c r="Y1497" s="71"/>
      <c r="Z1497" s="72"/>
      <c r="AA1497" s="72"/>
      <c r="AB1497" s="73">
        <f t="shared" si="2356"/>
        <v>0</v>
      </c>
      <c r="AC1497" s="92">
        <f t="shared" si="2357"/>
        <v>0</v>
      </c>
      <c r="AD1497" s="117"/>
    </row>
    <row r="1498" spans="1:30" x14ac:dyDescent="0.15">
      <c r="A1498" s="4" t="s">
        <v>1441</v>
      </c>
      <c r="B1498" s="9">
        <v>1</v>
      </c>
      <c r="C1498" s="10">
        <v>5</v>
      </c>
      <c r="D1498" s="10"/>
      <c r="E1498" s="8">
        <f t="shared" si="2321"/>
        <v>6</v>
      </c>
      <c r="F1498" s="9">
        <v>1</v>
      </c>
      <c r="G1498" s="10">
        <v>5</v>
      </c>
      <c r="H1498" s="10"/>
      <c r="I1498" s="8">
        <f t="shared" si="2322"/>
        <v>6</v>
      </c>
      <c r="J1498" s="9">
        <v>1</v>
      </c>
      <c r="K1498" s="10">
        <v>5</v>
      </c>
      <c r="L1498" s="10"/>
      <c r="M1498" s="39">
        <f t="shared" si="2323"/>
        <v>6</v>
      </c>
      <c r="N1498" s="138">
        <f t="shared" si="2324"/>
        <v>18</v>
      </c>
      <c r="O1498" s="24">
        <v>46037</v>
      </c>
      <c r="P1498" s="4" t="s">
        <v>1132</v>
      </c>
      <c r="Q1498" s="9"/>
      <c r="R1498" s="10"/>
      <c r="S1498" s="10"/>
      <c r="T1498" s="8">
        <f t="shared" si="2354"/>
        <v>0</v>
      </c>
      <c r="U1498" s="9"/>
      <c r="V1498" s="10"/>
      <c r="W1498" s="10"/>
      <c r="X1498" s="8">
        <f t="shared" si="2355"/>
        <v>0</v>
      </c>
      <c r="Y1498" s="9"/>
      <c r="Z1498" s="10"/>
      <c r="AA1498" s="10"/>
      <c r="AB1498" s="8">
        <f t="shared" si="2356"/>
        <v>0</v>
      </c>
      <c r="AC1498" s="93">
        <f t="shared" si="2357"/>
        <v>0</v>
      </c>
      <c r="AD1498" s="116" t="s">
        <v>1134</v>
      </c>
    </row>
    <row r="1499" spans="1:30" x14ac:dyDescent="0.15">
      <c r="A1499" s="33" t="s">
        <v>36</v>
      </c>
      <c r="B1499" s="9">
        <v>3</v>
      </c>
      <c r="C1499" s="10">
        <v>1</v>
      </c>
      <c r="D1499" s="10">
        <v>1</v>
      </c>
      <c r="E1499" s="8">
        <f t="shared" si="2321"/>
        <v>5</v>
      </c>
      <c r="F1499" s="9">
        <v>2</v>
      </c>
      <c r="G1499" s="10">
        <v>1</v>
      </c>
      <c r="H1499" s="10">
        <v>1</v>
      </c>
      <c r="I1499" s="8">
        <f t="shared" si="2322"/>
        <v>4</v>
      </c>
      <c r="J1499" s="9">
        <v>3</v>
      </c>
      <c r="K1499" s="10">
        <v>1</v>
      </c>
      <c r="L1499" s="10">
        <v>2</v>
      </c>
      <c r="M1499" s="39">
        <f t="shared" si="2323"/>
        <v>6</v>
      </c>
      <c r="N1499" s="138">
        <f t="shared" si="2324"/>
        <v>15</v>
      </c>
      <c r="O1499" s="70">
        <v>46035</v>
      </c>
      <c r="P1499" s="81" t="s">
        <v>1371</v>
      </c>
      <c r="Q1499" s="71"/>
      <c r="R1499" s="72"/>
      <c r="S1499" s="72"/>
      <c r="T1499" s="73">
        <f t="shared" si="2354"/>
        <v>0</v>
      </c>
      <c r="U1499" s="71"/>
      <c r="V1499" s="72"/>
      <c r="W1499" s="72"/>
      <c r="X1499" s="73">
        <f t="shared" si="2355"/>
        <v>0</v>
      </c>
      <c r="Y1499" s="71"/>
      <c r="Z1499" s="72"/>
      <c r="AA1499" s="72"/>
      <c r="AB1499" s="73">
        <f t="shared" si="2356"/>
        <v>0</v>
      </c>
      <c r="AC1499" s="92">
        <f t="shared" si="2357"/>
        <v>0</v>
      </c>
      <c r="AD1499" s="116"/>
    </row>
    <row r="1500" spans="1:30" x14ac:dyDescent="0.15">
      <c r="A1500" s="4" t="s">
        <v>1442</v>
      </c>
      <c r="B1500" s="9"/>
      <c r="C1500" s="10">
        <v>6</v>
      </c>
      <c r="D1500" s="10">
        <v>3</v>
      </c>
      <c r="E1500" s="8">
        <f t="shared" si="2321"/>
        <v>9</v>
      </c>
      <c r="F1500" s="9"/>
      <c r="G1500" s="10">
        <v>6</v>
      </c>
      <c r="H1500" s="10">
        <v>3</v>
      </c>
      <c r="I1500" s="8">
        <f t="shared" si="2322"/>
        <v>9</v>
      </c>
      <c r="J1500" s="9"/>
      <c r="K1500" s="10">
        <v>6</v>
      </c>
      <c r="L1500" s="10">
        <v>3</v>
      </c>
      <c r="M1500" s="39">
        <f t="shared" si="2323"/>
        <v>9</v>
      </c>
      <c r="N1500" s="138">
        <f t="shared" si="2324"/>
        <v>27</v>
      </c>
      <c r="O1500" s="24">
        <v>46038</v>
      </c>
      <c r="P1500" s="4" t="s">
        <v>1212</v>
      </c>
      <c r="Q1500" s="9"/>
      <c r="R1500" s="10"/>
      <c r="S1500" s="10"/>
      <c r="T1500" s="8">
        <f t="shared" si="2354"/>
        <v>0</v>
      </c>
      <c r="U1500" s="9"/>
      <c r="V1500" s="10"/>
      <c r="W1500" s="10"/>
      <c r="X1500" s="8">
        <f t="shared" si="2355"/>
        <v>0</v>
      </c>
      <c r="Y1500" s="9"/>
      <c r="Z1500" s="10"/>
      <c r="AA1500" s="10"/>
      <c r="AB1500" s="8">
        <f t="shared" si="2356"/>
        <v>0</v>
      </c>
      <c r="AC1500" s="93">
        <f t="shared" si="2357"/>
        <v>0</v>
      </c>
      <c r="AD1500" s="116" t="s">
        <v>1198</v>
      </c>
    </row>
    <row r="1501" spans="1:30" x14ac:dyDescent="0.15">
      <c r="A1501" s="33" t="s">
        <v>1444</v>
      </c>
      <c r="B1501" s="9">
        <v>1</v>
      </c>
      <c r="C1501" s="10">
        <v>1</v>
      </c>
      <c r="D1501" s="10">
        <v>6</v>
      </c>
      <c r="E1501" s="8">
        <f t="shared" si="2321"/>
        <v>8</v>
      </c>
      <c r="F1501" s="9">
        <v>1</v>
      </c>
      <c r="G1501" s="10">
        <v>1</v>
      </c>
      <c r="H1501" s="10">
        <v>6</v>
      </c>
      <c r="I1501" s="8">
        <f t="shared" si="2322"/>
        <v>8</v>
      </c>
      <c r="J1501" s="9">
        <v>1</v>
      </c>
      <c r="K1501" s="10">
        <v>1</v>
      </c>
      <c r="L1501" s="10">
        <v>6</v>
      </c>
      <c r="M1501" s="39">
        <f t="shared" si="2323"/>
        <v>8</v>
      </c>
      <c r="N1501" s="138">
        <f t="shared" si="2324"/>
        <v>24</v>
      </c>
      <c r="O1501" s="24">
        <v>46038</v>
      </c>
      <c r="P1501" s="81" t="s">
        <v>1263</v>
      </c>
      <c r="Q1501" s="71"/>
      <c r="R1501" s="72"/>
      <c r="S1501" s="72"/>
      <c r="T1501" s="73">
        <f t="shared" si="2354"/>
        <v>0</v>
      </c>
      <c r="U1501" s="71"/>
      <c r="V1501" s="72"/>
      <c r="W1501" s="72"/>
      <c r="X1501" s="73">
        <f t="shared" si="2355"/>
        <v>0</v>
      </c>
      <c r="Y1501" s="71"/>
      <c r="Z1501" s="72"/>
      <c r="AA1501" s="72"/>
      <c r="AB1501" s="73">
        <f t="shared" si="2356"/>
        <v>0</v>
      </c>
      <c r="AC1501" s="92">
        <f t="shared" si="2357"/>
        <v>0</v>
      </c>
      <c r="AD1501" s="117"/>
    </row>
    <row r="1502" spans="1:30" ht="14.25" thickBot="1" x14ac:dyDescent="0.2">
      <c r="A1502" s="63" t="s">
        <v>36</v>
      </c>
      <c r="B1502" s="9"/>
      <c r="C1502" s="10">
        <v>1</v>
      </c>
      <c r="D1502" s="22"/>
      <c r="E1502" s="8">
        <f t="shared" si="2321"/>
        <v>1</v>
      </c>
      <c r="F1502" s="9"/>
      <c r="G1502" s="10">
        <v>1</v>
      </c>
      <c r="H1502" s="22">
        <v>1</v>
      </c>
      <c r="I1502" s="8">
        <f t="shared" si="2322"/>
        <v>2</v>
      </c>
      <c r="J1502" s="9">
        <v>1</v>
      </c>
      <c r="K1502" s="10">
        <v>1</v>
      </c>
      <c r="L1502" s="22">
        <v>1</v>
      </c>
      <c r="M1502" s="39">
        <f t="shared" si="2323"/>
        <v>3</v>
      </c>
      <c r="N1502" s="139">
        <f t="shared" si="2324"/>
        <v>6</v>
      </c>
      <c r="O1502" s="70">
        <v>46036</v>
      </c>
      <c r="P1502" s="4" t="s">
        <v>1264</v>
      </c>
      <c r="Q1502" s="9"/>
      <c r="R1502" s="10"/>
      <c r="S1502" s="10"/>
      <c r="T1502" s="8">
        <f t="shared" si="2354"/>
        <v>0</v>
      </c>
      <c r="U1502" s="9"/>
      <c r="V1502" s="10"/>
      <c r="W1502" s="10"/>
      <c r="X1502" s="8">
        <f t="shared" si="2355"/>
        <v>0</v>
      </c>
      <c r="Y1502" s="9"/>
      <c r="Z1502" s="10"/>
      <c r="AA1502" s="10"/>
      <c r="AB1502" s="8">
        <f t="shared" si="2356"/>
        <v>0</v>
      </c>
      <c r="AC1502" s="93">
        <f t="shared" si="2357"/>
        <v>0</v>
      </c>
      <c r="AD1502" s="116" t="s">
        <v>1265</v>
      </c>
    </row>
    <row r="1503" spans="1:30" ht="14.25" thickBot="1" x14ac:dyDescent="0.2">
      <c r="A1503" s="104" t="s">
        <v>5</v>
      </c>
      <c r="B1503" s="12">
        <f>SUM(B1479:B1502)</f>
        <v>19</v>
      </c>
      <c r="C1503" s="12">
        <f>SUM(C1479:C1502)</f>
        <v>41</v>
      </c>
      <c r="D1503" s="12">
        <f>SUM(D1479:D1502)</f>
        <v>23</v>
      </c>
      <c r="E1503" s="13">
        <f t="shared" si="2321"/>
        <v>83</v>
      </c>
      <c r="F1503" s="12">
        <f>SUM(F1479:F1502)</f>
        <v>19</v>
      </c>
      <c r="G1503" s="12">
        <f>SUM(G1479:G1502)</f>
        <v>41</v>
      </c>
      <c r="H1503" s="12">
        <f>SUM(H1479:H1502)</f>
        <v>25</v>
      </c>
      <c r="I1503" s="13">
        <f t="shared" si="2322"/>
        <v>85</v>
      </c>
      <c r="J1503" s="12">
        <f>SUM(J1479:J1502)</f>
        <v>20</v>
      </c>
      <c r="K1503" s="12">
        <f>SUM(K1479:K1502)</f>
        <v>41</v>
      </c>
      <c r="L1503" s="12">
        <f>SUM(L1479:L1502)</f>
        <v>26</v>
      </c>
      <c r="M1503" s="12">
        <f t="shared" si="2323"/>
        <v>87</v>
      </c>
      <c r="N1503" s="142">
        <f t="shared" si="2324"/>
        <v>255</v>
      </c>
      <c r="P1503" s="3" t="s">
        <v>5</v>
      </c>
      <c r="Q1503" s="12">
        <f>SUM(Q1479:Q1502)</f>
        <v>150</v>
      </c>
      <c r="R1503" s="12">
        <f t="shared" ref="R1503:AC1503" si="2362">SUM(R1479:R1502)</f>
        <v>245</v>
      </c>
      <c r="S1503" s="12">
        <f t="shared" si="2362"/>
        <v>133</v>
      </c>
      <c r="T1503" s="13">
        <f t="shared" si="2362"/>
        <v>528</v>
      </c>
      <c r="U1503" s="12">
        <f t="shared" si="2362"/>
        <v>150</v>
      </c>
      <c r="V1503" s="12">
        <f t="shared" si="2362"/>
        <v>245</v>
      </c>
      <c r="W1503" s="12">
        <f t="shared" si="2362"/>
        <v>123</v>
      </c>
      <c r="X1503" s="13">
        <f t="shared" si="2362"/>
        <v>518</v>
      </c>
      <c r="Y1503" s="12">
        <f t="shared" si="2362"/>
        <v>151</v>
      </c>
      <c r="Z1503" s="12">
        <f t="shared" si="2362"/>
        <v>245</v>
      </c>
      <c r="AA1503" s="12">
        <f t="shared" si="2362"/>
        <v>128</v>
      </c>
      <c r="AB1503" s="13">
        <f t="shared" si="2362"/>
        <v>524</v>
      </c>
      <c r="AC1503" s="155">
        <f t="shared" si="2362"/>
        <v>1570</v>
      </c>
    </row>
    <row r="1504" spans="1:30" ht="14.25" thickBot="1" x14ac:dyDescent="0.2">
      <c r="A1504" s="105" t="s">
        <v>6</v>
      </c>
      <c r="B1504" s="20">
        <f>B1478-B1503</f>
        <v>18</v>
      </c>
      <c r="C1504" s="20">
        <f t="shared" ref="C1504:E1504" si="2363">C1478-C1503</f>
        <v>21</v>
      </c>
      <c r="D1504" s="20">
        <f t="shared" si="2363"/>
        <v>26</v>
      </c>
      <c r="E1504" s="18">
        <f t="shared" si="2363"/>
        <v>65</v>
      </c>
      <c r="F1504" s="20">
        <f>F1478-F1503</f>
        <v>15</v>
      </c>
      <c r="G1504" s="20">
        <f t="shared" ref="G1504:I1504" si="2364">G1478-G1503</f>
        <v>20</v>
      </c>
      <c r="H1504" s="20">
        <f t="shared" si="2364"/>
        <v>19</v>
      </c>
      <c r="I1504" s="18">
        <f t="shared" si="2364"/>
        <v>54</v>
      </c>
      <c r="J1504" s="20">
        <f>J1478-J1503</f>
        <v>15</v>
      </c>
      <c r="K1504" s="20">
        <f t="shared" ref="K1504:M1504" si="2365">K1478-K1503</f>
        <v>21</v>
      </c>
      <c r="L1504" s="20">
        <f t="shared" si="2365"/>
        <v>21</v>
      </c>
      <c r="M1504" s="20">
        <f t="shared" si="2365"/>
        <v>57</v>
      </c>
      <c r="N1504" s="140">
        <f t="shared" si="2324"/>
        <v>176</v>
      </c>
      <c r="P1504" s="19" t="s">
        <v>6</v>
      </c>
      <c r="Q1504" s="20">
        <f>Q1478-Q1503</f>
        <v>423</v>
      </c>
      <c r="R1504" s="20">
        <f t="shared" ref="R1504:AC1504" si="2366">R1478-R1503</f>
        <v>259</v>
      </c>
      <c r="S1504" s="20">
        <f t="shared" si="2366"/>
        <v>268</v>
      </c>
      <c r="T1504" s="18">
        <f t="shared" si="2366"/>
        <v>950</v>
      </c>
      <c r="U1504" s="20">
        <f t="shared" si="2366"/>
        <v>466</v>
      </c>
      <c r="V1504" s="20">
        <f t="shared" si="2366"/>
        <v>355</v>
      </c>
      <c r="W1504" s="20">
        <f t="shared" si="2366"/>
        <v>363</v>
      </c>
      <c r="X1504" s="18">
        <f t="shared" si="2366"/>
        <v>1184</v>
      </c>
      <c r="Y1504" s="20">
        <f t="shared" si="2366"/>
        <v>392</v>
      </c>
      <c r="Z1504" s="20">
        <f t="shared" si="2366"/>
        <v>305</v>
      </c>
      <c r="AA1504" s="20">
        <f t="shared" si="2366"/>
        <v>317</v>
      </c>
      <c r="AB1504" s="18">
        <f t="shared" si="2366"/>
        <v>1014</v>
      </c>
      <c r="AC1504" s="88">
        <f t="shared" si="2366"/>
        <v>3148</v>
      </c>
    </row>
    <row r="1507" spans="1:30" ht="19.5" thickBot="1" x14ac:dyDescent="0.25">
      <c r="A1507" s="108" t="s">
        <v>264</v>
      </c>
      <c r="B1507" s="47"/>
      <c r="C1507" s="47"/>
      <c r="D1507" s="47"/>
      <c r="E1507" s="47"/>
      <c r="F1507" s="48"/>
      <c r="G1507" s="48"/>
      <c r="H1507" s="48"/>
      <c r="I1507" s="48"/>
      <c r="J1507" s="48"/>
      <c r="K1507" s="48"/>
      <c r="L1507" s="1"/>
      <c r="M1507" s="1"/>
      <c r="N1507" s="137"/>
      <c r="P1507" s="43" t="s">
        <v>263</v>
      </c>
      <c r="Q1507" s="44"/>
      <c r="R1507" s="44"/>
      <c r="S1507" s="44"/>
      <c r="T1507" s="44"/>
      <c r="U1507" s="45"/>
      <c r="V1507" s="45"/>
      <c r="W1507" s="45"/>
      <c r="X1507" s="45"/>
      <c r="Y1507" s="46"/>
      <c r="Z1507" s="53"/>
      <c r="AA1507" s="1"/>
      <c r="AB1507" s="1"/>
    </row>
    <row r="1508" spans="1:30" ht="14.25" thickBot="1" x14ac:dyDescent="0.2">
      <c r="A1508" s="100" t="s">
        <v>0</v>
      </c>
      <c r="B1508" s="337" t="s">
        <v>11</v>
      </c>
      <c r="C1508" s="337"/>
      <c r="D1508" s="337"/>
      <c r="E1508" s="338"/>
      <c r="F1508" s="339" t="s">
        <v>9</v>
      </c>
      <c r="G1508" s="340"/>
      <c r="H1508" s="340"/>
      <c r="I1508" s="341"/>
      <c r="J1508" s="342" t="s">
        <v>12</v>
      </c>
      <c r="K1508" s="343"/>
      <c r="L1508" s="343"/>
      <c r="M1508" s="343"/>
      <c r="N1508" s="347" t="s">
        <v>13</v>
      </c>
      <c r="P1508" s="2" t="s">
        <v>0</v>
      </c>
      <c r="Q1508" s="336" t="s">
        <v>11</v>
      </c>
      <c r="R1508" s="337"/>
      <c r="S1508" s="337"/>
      <c r="T1508" s="338"/>
      <c r="U1508" s="339" t="s">
        <v>9</v>
      </c>
      <c r="V1508" s="340"/>
      <c r="W1508" s="340"/>
      <c r="X1508" s="341"/>
      <c r="Y1508" s="342" t="s">
        <v>12</v>
      </c>
      <c r="Z1508" s="343"/>
      <c r="AA1508" s="343"/>
      <c r="AB1508" s="344"/>
      <c r="AC1508" s="133" t="s">
        <v>13</v>
      </c>
    </row>
    <row r="1509" spans="1:30" ht="14.25" thickBot="1" x14ac:dyDescent="0.2">
      <c r="A1509" s="100" t="s">
        <v>1</v>
      </c>
      <c r="B1509" s="3" t="s">
        <v>7</v>
      </c>
      <c r="C1509" s="2" t="s">
        <v>10</v>
      </c>
      <c r="D1509" s="2" t="s">
        <v>8</v>
      </c>
      <c r="E1509" s="2" t="s">
        <v>2</v>
      </c>
      <c r="F1509" s="3" t="s">
        <v>7</v>
      </c>
      <c r="G1509" s="2" t="s">
        <v>10</v>
      </c>
      <c r="H1509" s="2" t="s">
        <v>8</v>
      </c>
      <c r="I1509" s="2" t="s">
        <v>2</v>
      </c>
      <c r="J1509" s="3" t="s">
        <v>7</v>
      </c>
      <c r="K1509" s="2" t="s">
        <v>10</v>
      </c>
      <c r="L1509" s="2" t="s">
        <v>8</v>
      </c>
      <c r="M1509" s="3" t="s">
        <v>2</v>
      </c>
      <c r="N1509" s="348"/>
      <c r="P1509" s="2" t="s">
        <v>1</v>
      </c>
      <c r="Q1509" s="3" t="s">
        <v>7</v>
      </c>
      <c r="R1509" s="2" t="s">
        <v>10</v>
      </c>
      <c r="S1509" s="2" t="s">
        <v>8</v>
      </c>
      <c r="T1509" s="2" t="s">
        <v>2</v>
      </c>
      <c r="U1509" s="3" t="s">
        <v>7</v>
      </c>
      <c r="V1509" s="2" t="s">
        <v>10</v>
      </c>
      <c r="W1509" s="2" t="s">
        <v>8</v>
      </c>
      <c r="X1509" s="2" t="s">
        <v>2</v>
      </c>
      <c r="Y1509" s="3" t="s">
        <v>7</v>
      </c>
      <c r="Z1509" s="2" t="s">
        <v>10</v>
      </c>
      <c r="AA1509" s="2" t="s">
        <v>8</v>
      </c>
      <c r="AB1509" s="2" t="s">
        <v>2</v>
      </c>
      <c r="AC1509" s="134"/>
    </row>
    <row r="1510" spans="1:30" x14ac:dyDescent="0.15">
      <c r="A1510" s="106" t="s">
        <v>6</v>
      </c>
      <c r="B1510" s="41">
        <f>B1504</f>
        <v>18</v>
      </c>
      <c r="C1510" s="41">
        <f t="shared" ref="C1510:E1510" si="2367">C1504</f>
        <v>21</v>
      </c>
      <c r="D1510" s="41">
        <f t="shared" si="2367"/>
        <v>26</v>
      </c>
      <c r="E1510" s="42">
        <f t="shared" si="2367"/>
        <v>65</v>
      </c>
      <c r="F1510" s="41">
        <f>F1504</f>
        <v>15</v>
      </c>
      <c r="G1510" s="41">
        <f t="shared" ref="G1510:I1510" si="2368">G1504</f>
        <v>20</v>
      </c>
      <c r="H1510" s="41">
        <f t="shared" si="2368"/>
        <v>19</v>
      </c>
      <c r="I1510" s="42">
        <f t="shared" si="2368"/>
        <v>54</v>
      </c>
      <c r="J1510" s="41">
        <f>J1504</f>
        <v>15</v>
      </c>
      <c r="K1510" s="41">
        <f t="shared" ref="K1510:M1510" si="2369">K1504</f>
        <v>21</v>
      </c>
      <c r="L1510" s="41">
        <f t="shared" si="2369"/>
        <v>21</v>
      </c>
      <c r="M1510" s="42">
        <f t="shared" si="2369"/>
        <v>57</v>
      </c>
      <c r="N1510" s="143">
        <f>E1510+I1510+M1510</f>
        <v>176</v>
      </c>
      <c r="P1510" s="36" t="s">
        <v>6</v>
      </c>
      <c r="Q1510" s="41">
        <f>Q1504</f>
        <v>423</v>
      </c>
      <c r="R1510" s="41">
        <f t="shared" ref="R1510:AC1510" si="2370">R1504</f>
        <v>259</v>
      </c>
      <c r="S1510" s="41">
        <f t="shared" si="2370"/>
        <v>268</v>
      </c>
      <c r="T1510" s="42">
        <f t="shared" si="2370"/>
        <v>950</v>
      </c>
      <c r="U1510" s="41">
        <f t="shared" si="2370"/>
        <v>466</v>
      </c>
      <c r="V1510" s="41">
        <f t="shared" si="2370"/>
        <v>355</v>
      </c>
      <c r="W1510" s="41">
        <f t="shared" si="2370"/>
        <v>363</v>
      </c>
      <c r="X1510" s="42">
        <f t="shared" si="2370"/>
        <v>1184</v>
      </c>
      <c r="Y1510" s="41">
        <f t="shared" si="2370"/>
        <v>392</v>
      </c>
      <c r="Z1510" s="41">
        <f t="shared" si="2370"/>
        <v>305</v>
      </c>
      <c r="AA1510" s="41">
        <f t="shared" si="2370"/>
        <v>317</v>
      </c>
      <c r="AB1510" s="42">
        <f t="shared" si="2370"/>
        <v>1014</v>
      </c>
      <c r="AC1510" s="90">
        <f t="shared" si="2370"/>
        <v>3148</v>
      </c>
    </row>
    <row r="1511" spans="1:30" x14ac:dyDescent="0.15">
      <c r="A1511" s="102" t="s">
        <v>319</v>
      </c>
      <c r="B1511" s="25"/>
      <c r="C1511" s="26">
        <v>1</v>
      </c>
      <c r="D1511" s="26"/>
      <c r="E1511" s="5">
        <f t="shared" ref="E1511:E1546" si="2371">SUM(B1511:D1511)</f>
        <v>1</v>
      </c>
      <c r="F1511" s="25"/>
      <c r="G1511" s="26">
        <v>1</v>
      </c>
      <c r="H1511" s="26"/>
      <c r="I1511" s="5">
        <f t="shared" ref="I1511:I1546" si="2372">SUM(F1511:H1511)</f>
        <v>1</v>
      </c>
      <c r="J1511" s="25"/>
      <c r="K1511" s="26">
        <v>1</v>
      </c>
      <c r="L1511" s="26"/>
      <c r="M1511" s="38">
        <f t="shared" ref="M1511:M1546" si="2373">SUM(J1511:L1511)</f>
        <v>1</v>
      </c>
      <c r="N1511" s="138">
        <f t="shared" ref="N1511:N1547" si="2374">E1511+I1511+M1511</f>
        <v>3</v>
      </c>
      <c r="O1511" s="70">
        <v>46038</v>
      </c>
      <c r="P1511" s="6" t="s">
        <v>3</v>
      </c>
      <c r="Q1511" s="14"/>
      <c r="R1511" s="11"/>
      <c r="S1511" s="11"/>
      <c r="T1511" s="5">
        <f t="shared" ref="T1511:T1520" si="2375">SUM(Q1511:S1511)</f>
        <v>0</v>
      </c>
      <c r="U1511" s="14"/>
      <c r="V1511" s="11"/>
      <c r="W1511" s="11"/>
      <c r="X1511" s="5">
        <f t="shared" ref="X1511:X1520" si="2376">SUM(U1511:W1511)</f>
        <v>0</v>
      </c>
      <c r="Y1511" s="25"/>
      <c r="Z1511" s="26"/>
      <c r="AA1511" s="26"/>
      <c r="AB1511" s="5">
        <f t="shared" ref="AB1511:AB1520" si="2377">SUM(Y1511:AA1511)</f>
        <v>0</v>
      </c>
      <c r="AC1511" s="86">
        <f t="shared" ref="AC1511:AC1520" si="2378">T1511+X1511+AB1511</f>
        <v>0</v>
      </c>
    </row>
    <row r="1512" spans="1:30" x14ac:dyDescent="0.15">
      <c r="A1512" s="102" t="s">
        <v>3</v>
      </c>
      <c r="B1512" s="14"/>
      <c r="C1512" s="11">
        <v>10</v>
      </c>
      <c r="D1512" s="11"/>
      <c r="E1512" s="5">
        <f t="shared" si="2371"/>
        <v>10</v>
      </c>
      <c r="F1512" s="34"/>
      <c r="G1512" s="11">
        <v>10</v>
      </c>
      <c r="H1512" s="11"/>
      <c r="I1512" s="5">
        <f t="shared" si="2372"/>
        <v>10</v>
      </c>
      <c r="J1512" s="34"/>
      <c r="K1512" s="11">
        <v>10</v>
      </c>
      <c r="L1512" s="11"/>
      <c r="M1512" s="38">
        <f t="shared" si="2373"/>
        <v>10</v>
      </c>
      <c r="N1512" s="138">
        <f t="shared" si="2374"/>
        <v>30</v>
      </c>
      <c r="O1512" s="24">
        <v>46045</v>
      </c>
      <c r="P1512" s="6" t="s">
        <v>3</v>
      </c>
      <c r="Q1512" s="14"/>
      <c r="R1512" s="11"/>
      <c r="S1512" s="11"/>
      <c r="T1512" s="5">
        <f t="shared" ref="T1512:T1513" si="2379">SUM(Q1512:S1512)</f>
        <v>0</v>
      </c>
      <c r="U1512" s="14"/>
      <c r="V1512" s="11"/>
      <c r="W1512" s="11"/>
      <c r="X1512" s="5">
        <f t="shared" ref="X1512:X1513" si="2380">SUM(U1512:W1512)</f>
        <v>0</v>
      </c>
      <c r="Y1512" s="25"/>
      <c r="Z1512" s="26"/>
      <c r="AA1512" s="26"/>
      <c r="AB1512" s="5">
        <f t="shared" ref="AB1512:AB1513" si="2381">SUM(Y1512:AA1512)</f>
        <v>0</v>
      </c>
      <c r="AC1512" s="86">
        <f t="shared" ref="AC1512:AC1513" si="2382">T1512+X1512+AB1512</f>
        <v>0</v>
      </c>
    </row>
    <row r="1513" spans="1:30" x14ac:dyDescent="0.15">
      <c r="A1513" s="102" t="s">
        <v>3</v>
      </c>
      <c r="B1513" s="14"/>
      <c r="C1513" s="11">
        <v>10</v>
      </c>
      <c r="D1513" s="11"/>
      <c r="E1513" s="5">
        <f t="shared" si="2371"/>
        <v>10</v>
      </c>
      <c r="F1513" s="34">
        <v>5</v>
      </c>
      <c r="G1513" s="11">
        <v>10</v>
      </c>
      <c r="H1513" s="11">
        <v>10</v>
      </c>
      <c r="I1513" s="5">
        <f t="shared" si="2372"/>
        <v>25</v>
      </c>
      <c r="J1513" s="34">
        <v>5</v>
      </c>
      <c r="K1513" s="11">
        <v>5</v>
      </c>
      <c r="L1513" s="11">
        <v>5</v>
      </c>
      <c r="M1513" s="38">
        <f t="shared" si="2373"/>
        <v>15</v>
      </c>
      <c r="N1513" s="138">
        <f t="shared" si="2374"/>
        <v>50</v>
      </c>
      <c r="O1513" s="24">
        <v>46048</v>
      </c>
      <c r="P1513" s="6" t="s">
        <v>377</v>
      </c>
      <c r="Q1513" s="14">
        <v>250</v>
      </c>
      <c r="R1513" s="11">
        <v>450</v>
      </c>
      <c r="S1513" s="11">
        <v>300</v>
      </c>
      <c r="T1513" s="5">
        <f t="shared" si="2379"/>
        <v>1000</v>
      </c>
      <c r="U1513" s="14">
        <v>250</v>
      </c>
      <c r="V1513" s="11">
        <v>450</v>
      </c>
      <c r="W1513" s="11">
        <v>300</v>
      </c>
      <c r="X1513" s="5">
        <f t="shared" si="2380"/>
        <v>1000</v>
      </c>
      <c r="Y1513" s="14">
        <v>250</v>
      </c>
      <c r="Z1513" s="11">
        <v>450</v>
      </c>
      <c r="AA1513" s="11">
        <v>300</v>
      </c>
      <c r="AB1513" s="5">
        <f t="shared" si="2381"/>
        <v>1000</v>
      </c>
      <c r="AC1513" s="86">
        <f t="shared" si="2382"/>
        <v>3000</v>
      </c>
      <c r="AD1513" s="116" t="s">
        <v>1140</v>
      </c>
    </row>
    <row r="1514" spans="1:30" x14ac:dyDescent="0.15">
      <c r="A1514" s="158" t="s">
        <v>3</v>
      </c>
      <c r="B1514" s="159">
        <v>25</v>
      </c>
      <c r="C1514" s="160"/>
      <c r="D1514" s="160"/>
      <c r="E1514" s="161">
        <f t="shared" si="2371"/>
        <v>25</v>
      </c>
      <c r="F1514" s="162">
        <v>25</v>
      </c>
      <c r="G1514" s="160"/>
      <c r="H1514" s="160"/>
      <c r="I1514" s="161">
        <f t="shared" si="2372"/>
        <v>25</v>
      </c>
      <c r="J1514" s="162">
        <v>25</v>
      </c>
      <c r="K1514" s="160">
        <v>5</v>
      </c>
      <c r="L1514" s="160"/>
      <c r="M1514" s="163">
        <f t="shared" si="2373"/>
        <v>30</v>
      </c>
      <c r="N1514" s="153">
        <f t="shared" si="2374"/>
        <v>80</v>
      </c>
      <c r="O1514" s="164">
        <v>46050</v>
      </c>
      <c r="P1514" s="6" t="s">
        <v>3</v>
      </c>
      <c r="Q1514" s="14"/>
      <c r="R1514" s="11"/>
      <c r="S1514" s="11"/>
      <c r="T1514" s="5">
        <f t="shared" si="2375"/>
        <v>0</v>
      </c>
      <c r="U1514" s="14"/>
      <c r="V1514" s="11"/>
      <c r="W1514" s="11"/>
      <c r="X1514" s="5">
        <f t="shared" si="2376"/>
        <v>0</v>
      </c>
      <c r="Y1514" s="25"/>
      <c r="Z1514" s="26"/>
      <c r="AA1514" s="26"/>
      <c r="AB1514" s="5">
        <f t="shared" si="2377"/>
        <v>0</v>
      </c>
      <c r="AC1514" s="86">
        <f t="shared" si="2378"/>
        <v>0</v>
      </c>
      <c r="AD1514" s="116" t="s">
        <v>1454</v>
      </c>
    </row>
    <row r="1515" spans="1:30" x14ac:dyDescent="0.15">
      <c r="A1515" s="158" t="s">
        <v>3</v>
      </c>
      <c r="B1515" s="159">
        <v>10</v>
      </c>
      <c r="C1515" s="160"/>
      <c r="D1515" s="160">
        <v>15</v>
      </c>
      <c r="E1515" s="161">
        <f t="shared" si="2371"/>
        <v>25</v>
      </c>
      <c r="F1515" s="162">
        <v>10</v>
      </c>
      <c r="G1515" s="160"/>
      <c r="H1515" s="160">
        <v>15</v>
      </c>
      <c r="I1515" s="161">
        <f t="shared" si="2372"/>
        <v>25</v>
      </c>
      <c r="J1515" s="162">
        <v>10</v>
      </c>
      <c r="K1515" s="160"/>
      <c r="L1515" s="160">
        <v>15</v>
      </c>
      <c r="M1515" s="163">
        <f t="shared" si="2373"/>
        <v>25</v>
      </c>
      <c r="N1515" s="153">
        <f t="shared" si="2374"/>
        <v>75</v>
      </c>
      <c r="O1515" s="164">
        <v>46051</v>
      </c>
      <c r="P1515" s="6" t="s">
        <v>3</v>
      </c>
      <c r="Q1515" s="14"/>
      <c r="R1515" s="11"/>
      <c r="S1515" s="11"/>
      <c r="T1515" s="5">
        <f t="shared" si="2375"/>
        <v>0</v>
      </c>
      <c r="U1515" s="14"/>
      <c r="V1515" s="11"/>
      <c r="W1515" s="11"/>
      <c r="X1515" s="5">
        <f t="shared" si="2376"/>
        <v>0</v>
      </c>
      <c r="Y1515" s="25"/>
      <c r="Z1515" s="26"/>
      <c r="AA1515" s="26"/>
      <c r="AB1515" s="5">
        <f t="shared" si="2377"/>
        <v>0</v>
      </c>
      <c r="AC1515" s="86">
        <f t="shared" si="2378"/>
        <v>0</v>
      </c>
      <c r="AD1515" s="116" t="s">
        <v>1347</v>
      </c>
    </row>
    <row r="1516" spans="1:30" x14ac:dyDescent="0.15">
      <c r="A1516" s="102" t="s">
        <v>57</v>
      </c>
      <c r="B1516" s="25"/>
      <c r="C1516" s="26"/>
      <c r="D1516" s="26">
        <v>1</v>
      </c>
      <c r="E1516" s="8">
        <f t="shared" si="2371"/>
        <v>1</v>
      </c>
      <c r="F1516" s="25"/>
      <c r="G1516" s="26"/>
      <c r="H1516" s="26">
        <v>1</v>
      </c>
      <c r="I1516" s="8">
        <f t="shared" si="2372"/>
        <v>1</v>
      </c>
      <c r="J1516" s="25"/>
      <c r="K1516" s="26"/>
      <c r="L1516" s="26">
        <v>1</v>
      </c>
      <c r="M1516" s="39">
        <f t="shared" si="2373"/>
        <v>1</v>
      </c>
      <c r="N1516" s="138">
        <f t="shared" si="2374"/>
        <v>3</v>
      </c>
      <c r="O1516" s="70">
        <v>46051</v>
      </c>
      <c r="P1516" s="6" t="s">
        <v>3</v>
      </c>
      <c r="Q1516" s="14"/>
      <c r="R1516" s="11"/>
      <c r="S1516" s="11"/>
      <c r="T1516" s="5">
        <f t="shared" si="2375"/>
        <v>0</v>
      </c>
      <c r="U1516" s="14"/>
      <c r="V1516" s="11"/>
      <c r="W1516" s="11"/>
      <c r="X1516" s="5">
        <f t="shared" si="2376"/>
        <v>0</v>
      </c>
      <c r="Y1516" s="25"/>
      <c r="Z1516" s="26"/>
      <c r="AA1516" s="26"/>
      <c r="AB1516" s="8">
        <f t="shared" si="2377"/>
        <v>0</v>
      </c>
      <c r="AC1516" s="86">
        <f t="shared" si="2378"/>
        <v>0</v>
      </c>
    </row>
    <row r="1517" spans="1:30" x14ac:dyDescent="0.15">
      <c r="A1517" s="102" t="s">
        <v>3</v>
      </c>
      <c r="B1517" s="27"/>
      <c r="C1517" s="26"/>
      <c r="D1517" s="26"/>
      <c r="E1517" s="5">
        <f t="shared" si="2371"/>
        <v>0</v>
      </c>
      <c r="F1517" s="25"/>
      <c r="G1517" s="26"/>
      <c r="H1517" s="26"/>
      <c r="I1517" s="5">
        <f t="shared" si="2372"/>
        <v>0</v>
      </c>
      <c r="J1517" s="25"/>
      <c r="K1517" s="26"/>
      <c r="L1517" s="26"/>
      <c r="M1517" s="38">
        <f t="shared" si="2373"/>
        <v>0</v>
      </c>
      <c r="N1517" s="138">
        <f t="shared" si="2374"/>
        <v>0</v>
      </c>
      <c r="P1517" s="6" t="s">
        <v>3</v>
      </c>
      <c r="Q1517" s="27"/>
      <c r="R1517" s="26"/>
      <c r="S1517" s="26"/>
      <c r="T1517" s="5">
        <f t="shared" si="2375"/>
        <v>0</v>
      </c>
      <c r="U1517" s="27"/>
      <c r="V1517" s="26"/>
      <c r="W1517" s="26"/>
      <c r="X1517" s="5">
        <f t="shared" si="2376"/>
        <v>0</v>
      </c>
      <c r="Y1517" s="25"/>
      <c r="Z1517" s="26"/>
      <c r="AA1517" s="26"/>
      <c r="AB1517" s="5">
        <f t="shared" si="2377"/>
        <v>0</v>
      </c>
      <c r="AC1517" s="86">
        <f t="shared" si="2378"/>
        <v>0</v>
      </c>
    </row>
    <row r="1518" spans="1:30" x14ac:dyDescent="0.15">
      <c r="A1518" s="102" t="s">
        <v>3</v>
      </c>
      <c r="B1518" s="27"/>
      <c r="C1518" s="26"/>
      <c r="D1518" s="26"/>
      <c r="E1518" s="5">
        <f t="shared" si="2371"/>
        <v>0</v>
      </c>
      <c r="F1518" s="25"/>
      <c r="G1518" s="26"/>
      <c r="H1518" s="26"/>
      <c r="I1518" s="5">
        <f t="shared" si="2372"/>
        <v>0</v>
      </c>
      <c r="J1518" s="25"/>
      <c r="K1518" s="26"/>
      <c r="L1518" s="26"/>
      <c r="M1518" s="38">
        <f t="shared" si="2373"/>
        <v>0</v>
      </c>
      <c r="N1518" s="138">
        <f t="shared" si="2374"/>
        <v>0</v>
      </c>
      <c r="P1518" s="6" t="s">
        <v>3</v>
      </c>
      <c r="Q1518" s="14"/>
      <c r="R1518" s="11"/>
      <c r="S1518" s="11"/>
      <c r="T1518" s="5">
        <f t="shared" si="2375"/>
        <v>0</v>
      </c>
      <c r="U1518" s="14"/>
      <c r="V1518" s="11"/>
      <c r="W1518" s="11"/>
      <c r="X1518" s="5">
        <f t="shared" si="2376"/>
        <v>0</v>
      </c>
      <c r="Y1518" s="25"/>
      <c r="Z1518" s="26"/>
      <c r="AA1518" s="26"/>
      <c r="AB1518" s="8">
        <f t="shared" si="2377"/>
        <v>0</v>
      </c>
      <c r="AC1518" s="86">
        <f t="shared" si="2378"/>
        <v>0</v>
      </c>
    </row>
    <row r="1519" spans="1:30" x14ac:dyDescent="0.15">
      <c r="A1519" s="102" t="s">
        <v>3</v>
      </c>
      <c r="B1519" s="27"/>
      <c r="C1519" s="26"/>
      <c r="D1519" s="26"/>
      <c r="E1519" s="5">
        <f t="shared" si="2371"/>
        <v>0</v>
      </c>
      <c r="F1519" s="25"/>
      <c r="G1519" s="26"/>
      <c r="H1519" s="26"/>
      <c r="I1519" s="5">
        <f t="shared" si="2372"/>
        <v>0</v>
      </c>
      <c r="J1519" s="25"/>
      <c r="K1519" s="26"/>
      <c r="L1519" s="26"/>
      <c r="M1519" s="38">
        <f t="shared" si="2373"/>
        <v>0</v>
      </c>
      <c r="N1519" s="138">
        <f t="shared" si="2374"/>
        <v>0</v>
      </c>
      <c r="P1519" s="6" t="s">
        <v>3</v>
      </c>
      <c r="Q1519" s="27"/>
      <c r="R1519" s="26"/>
      <c r="S1519" s="26"/>
      <c r="T1519" s="5">
        <f t="shared" si="2375"/>
        <v>0</v>
      </c>
      <c r="U1519" s="27"/>
      <c r="V1519" s="26"/>
      <c r="W1519" s="26"/>
      <c r="X1519" s="5">
        <f t="shared" si="2376"/>
        <v>0</v>
      </c>
      <c r="Y1519" s="25"/>
      <c r="Z1519" s="26"/>
      <c r="AA1519" s="26"/>
      <c r="AB1519" s="5">
        <f t="shared" si="2377"/>
        <v>0</v>
      </c>
      <c r="AC1519" s="86">
        <f t="shared" si="2378"/>
        <v>0</v>
      </c>
    </row>
    <row r="1520" spans="1:30" ht="14.25" thickBot="1" x14ac:dyDescent="0.2">
      <c r="A1520" s="102" t="s">
        <v>3</v>
      </c>
      <c r="B1520" s="28"/>
      <c r="C1520" s="29"/>
      <c r="D1520" s="32"/>
      <c r="E1520" s="15">
        <f t="shared" si="2371"/>
        <v>0</v>
      </c>
      <c r="F1520" s="35"/>
      <c r="G1520" s="29"/>
      <c r="H1520" s="32"/>
      <c r="I1520" s="15">
        <f t="shared" si="2372"/>
        <v>0</v>
      </c>
      <c r="J1520" s="35"/>
      <c r="K1520" s="29"/>
      <c r="L1520" s="32"/>
      <c r="M1520" s="40">
        <f t="shared" si="2373"/>
        <v>0</v>
      </c>
      <c r="N1520" s="139">
        <f t="shared" si="2374"/>
        <v>0</v>
      </c>
      <c r="P1520" s="7" t="s">
        <v>3</v>
      </c>
      <c r="Q1520" s="28"/>
      <c r="R1520" s="29"/>
      <c r="S1520" s="29"/>
      <c r="T1520" s="15">
        <f t="shared" si="2375"/>
        <v>0</v>
      </c>
      <c r="U1520" s="28"/>
      <c r="V1520" s="29"/>
      <c r="W1520" s="29"/>
      <c r="X1520" s="15">
        <f t="shared" si="2376"/>
        <v>0</v>
      </c>
      <c r="Y1520" s="35"/>
      <c r="Z1520" s="29"/>
      <c r="AA1520" s="32"/>
      <c r="AB1520" s="15">
        <f t="shared" si="2377"/>
        <v>0</v>
      </c>
      <c r="AC1520" s="87">
        <f t="shared" si="2378"/>
        <v>0</v>
      </c>
    </row>
    <row r="1521" spans="1:31" ht="14.25" thickBot="1" x14ac:dyDescent="0.2">
      <c r="A1521" s="103" t="s">
        <v>4</v>
      </c>
      <c r="B1521" s="17">
        <f>SUM(B1510:B1520)</f>
        <v>53</v>
      </c>
      <c r="C1521" s="17">
        <f>SUM(C1510:C1520)</f>
        <v>42</v>
      </c>
      <c r="D1521" s="17">
        <f>SUM(D1510:D1520)</f>
        <v>42</v>
      </c>
      <c r="E1521" s="18">
        <f t="shared" si="2371"/>
        <v>137</v>
      </c>
      <c r="F1521" s="17">
        <f>SUM(F1510:F1520)</f>
        <v>55</v>
      </c>
      <c r="G1521" s="17">
        <f>SUM(G1510:G1520)</f>
        <v>41</v>
      </c>
      <c r="H1521" s="17">
        <f>SUM(H1510:H1520)</f>
        <v>45</v>
      </c>
      <c r="I1521" s="18">
        <f t="shared" si="2372"/>
        <v>141</v>
      </c>
      <c r="J1521" s="17">
        <f>SUM(J1510:J1520)</f>
        <v>55</v>
      </c>
      <c r="K1521" s="17">
        <f>SUM(K1510:K1520)</f>
        <v>42</v>
      </c>
      <c r="L1521" s="17">
        <f>SUM(L1510:L1520)</f>
        <v>42</v>
      </c>
      <c r="M1521" s="20">
        <f t="shared" si="2373"/>
        <v>139</v>
      </c>
      <c r="N1521" s="140">
        <f t="shared" si="2374"/>
        <v>417</v>
      </c>
      <c r="P1521" s="16" t="s">
        <v>4</v>
      </c>
      <c r="Q1521" s="17">
        <f>SUM(Q1510:Q1520)</f>
        <v>673</v>
      </c>
      <c r="R1521" s="17">
        <f t="shared" ref="R1521:AC1521" si="2383">SUM(R1510:R1520)</f>
        <v>709</v>
      </c>
      <c r="S1521" s="17">
        <f t="shared" si="2383"/>
        <v>568</v>
      </c>
      <c r="T1521" s="18">
        <f t="shared" si="2383"/>
        <v>1950</v>
      </c>
      <c r="U1521" s="17">
        <f t="shared" si="2383"/>
        <v>716</v>
      </c>
      <c r="V1521" s="17">
        <f t="shared" si="2383"/>
        <v>805</v>
      </c>
      <c r="W1521" s="17">
        <f t="shared" si="2383"/>
        <v>663</v>
      </c>
      <c r="X1521" s="18">
        <f t="shared" si="2383"/>
        <v>2184</v>
      </c>
      <c r="Y1521" s="17">
        <f t="shared" si="2383"/>
        <v>642</v>
      </c>
      <c r="Z1521" s="17">
        <f t="shared" si="2383"/>
        <v>755</v>
      </c>
      <c r="AA1521" s="17">
        <f t="shared" si="2383"/>
        <v>617</v>
      </c>
      <c r="AB1521" s="18">
        <f t="shared" si="2383"/>
        <v>2014</v>
      </c>
      <c r="AC1521" s="88">
        <f t="shared" si="2383"/>
        <v>6148</v>
      </c>
    </row>
    <row r="1522" spans="1:31" x14ac:dyDescent="0.15">
      <c r="A1522" s="33" t="s">
        <v>36</v>
      </c>
      <c r="B1522" s="9"/>
      <c r="C1522" s="10"/>
      <c r="D1522" s="31"/>
      <c r="E1522" s="5">
        <f t="shared" si="2371"/>
        <v>0</v>
      </c>
      <c r="F1522" s="9"/>
      <c r="G1522" s="10"/>
      <c r="H1522" s="31"/>
      <c r="I1522" s="5">
        <f t="shared" si="2372"/>
        <v>0</v>
      </c>
      <c r="J1522" s="9"/>
      <c r="K1522" s="10">
        <v>1</v>
      </c>
      <c r="L1522" s="31"/>
      <c r="M1522" s="38">
        <f t="shared" si="2373"/>
        <v>1</v>
      </c>
      <c r="N1522" s="141">
        <f t="shared" si="2374"/>
        <v>1</v>
      </c>
      <c r="O1522" s="70">
        <v>46037</v>
      </c>
      <c r="P1522" s="11" t="s">
        <v>1448</v>
      </c>
      <c r="Q1522" s="9">
        <v>30</v>
      </c>
      <c r="R1522" s="10"/>
      <c r="S1522" s="31">
        <v>30</v>
      </c>
      <c r="T1522" s="5">
        <f t="shared" ref="T1522:T1528" si="2384">SUM(Q1522:S1522)</f>
        <v>60</v>
      </c>
      <c r="U1522" s="9">
        <v>30</v>
      </c>
      <c r="V1522" s="10"/>
      <c r="W1522" s="31">
        <v>30</v>
      </c>
      <c r="X1522" s="5">
        <f t="shared" ref="X1522:X1528" si="2385">SUM(U1522:W1522)</f>
        <v>60</v>
      </c>
      <c r="Y1522" s="9">
        <v>30</v>
      </c>
      <c r="Z1522" s="10"/>
      <c r="AA1522" s="31">
        <v>30</v>
      </c>
      <c r="AB1522" s="5">
        <f t="shared" ref="AB1522:AB1528" si="2386">SUM(Y1522:AA1522)</f>
        <v>60</v>
      </c>
      <c r="AC1522" s="148">
        <f t="shared" ref="AC1522:AC1528" si="2387">T1522+X1522+AB1522</f>
        <v>180</v>
      </c>
      <c r="AD1522" s="109">
        <v>46038</v>
      </c>
    </row>
    <row r="1523" spans="1:31" x14ac:dyDescent="0.15">
      <c r="A1523" s="33" t="s">
        <v>1452</v>
      </c>
      <c r="B1523" s="9">
        <v>2</v>
      </c>
      <c r="C1523" s="10"/>
      <c r="D1523" s="10"/>
      <c r="E1523" s="5">
        <f t="shared" si="2371"/>
        <v>2</v>
      </c>
      <c r="F1523" s="9">
        <v>2</v>
      </c>
      <c r="G1523" s="10"/>
      <c r="H1523" s="10"/>
      <c r="I1523" s="5">
        <f t="shared" si="2372"/>
        <v>2</v>
      </c>
      <c r="J1523" s="9">
        <v>2</v>
      </c>
      <c r="K1523" s="10"/>
      <c r="L1523" s="10"/>
      <c r="M1523" s="38">
        <f t="shared" si="2373"/>
        <v>2</v>
      </c>
      <c r="N1523" s="138">
        <f t="shared" si="2374"/>
        <v>6</v>
      </c>
      <c r="O1523" s="24">
        <v>46041</v>
      </c>
      <c r="P1523" s="4" t="s">
        <v>1449</v>
      </c>
      <c r="Q1523" s="9">
        <v>5</v>
      </c>
      <c r="R1523" s="10">
        <v>10</v>
      </c>
      <c r="S1523" s="10"/>
      <c r="T1523" s="5">
        <f t="shared" si="2384"/>
        <v>15</v>
      </c>
      <c r="U1523" s="9">
        <v>5</v>
      </c>
      <c r="V1523" s="10">
        <v>10</v>
      </c>
      <c r="W1523" s="10"/>
      <c r="X1523" s="5">
        <f t="shared" si="2385"/>
        <v>15</v>
      </c>
      <c r="Y1523" s="9">
        <v>5</v>
      </c>
      <c r="Z1523" s="10">
        <v>10</v>
      </c>
      <c r="AA1523" s="10"/>
      <c r="AB1523" s="5">
        <f t="shared" si="2386"/>
        <v>15</v>
      </c>
      <c r="AC1523" s="93">
        <f t="shared" si="2387"/>
        <v>45</v>
      </c>
      <c r="AD1523" s="109">
        <v>46038</v>
      </c>
    </row>
    <row r="1524" spans="1:31" x14ac:dyDescent="0.15">
      <c r="A1524" s="33" t="s">
        <v>36</v>
      </c>
      <c r="B1524" s="9">
        <v>1</v>
      </c>
      <c r="C1524" s="10">
        <v>1</v>
      </c>
      <c r="D1524" s="10">
        <v>2</v>
      </c>
      <c r="E1524" s="5">
        <f t="shared" si="2371"/>
        <v>4</v>
      </c>
      <c r="F1524" s="9">
        <v>1</v>
      </c>
      <c r="G1524" s="10">
        <v>1</v>
      </c>
      <c r="H1524" s="10">
        <v>3</v>
      </c>
      <c r="I1524" s="5">
        <f t="shared" si="2372"/>
        <v>5</v>
      </c>
      <c r="J1524" s="9">
        <v>1</v>
      </c>
      <c r="K1524" s="10">
        <v>1</v>
      </c>
      <c r="L1524" s="10">
        <v>4</v>
      </c>
      <c r="M1524" s="38">
        <f t="shared" si="2373"/>
        <v>6</v>
      </c>
      <c r="N1524" s="138">
        <f t="shared" si="2374"/>
        <v>15</v>
      </c>
      <c r="O1524" s="24">
        <v>46038</v>
      </c>
      <c r="P1524" s="11" t="s">
        <v>1308</v>
      </c>
      <c r="Q1524" s="9"/>
      <c r="R1524" s="10">
        <v>5</v>
      </c>
      <c r="S1524" s="10">
        <v>5</v>
      </c>
      <c r="T1524" s="5">
        <f t="shared" si="2384"/>
        <v>10</v>
      </c>
      <c r="U1524" s="9"/>
      <c r="V1524" s="10">
        <v>5</v>
      </c>
      <c r="W1524" s="10">
        <v>5</v>
      </c>
      <c r="X1524" s="5">
        <f t="shared" si="2385"/>
        <v>10</v>
      </c>
      <c r="Y1524" s="9"/>
      <c r="Z1524" s="10">
        <v>5</v>
      </c>
      <c r="AA1524" s="10">
        <v>5</v>
      </c>
      <c r="AB1524" s="5">
        <f t="shared" si="2386"/>
        <v>10</v>
      </c>
      <c r="AC1524" s="93">
        <f t="shared" si="2387"/>
        <v>30</v>
      </c>
      <c r="AD1524" s="109">
        <v>46043</v>
      </c>
    </row>
    <row r="1525" spans="1:31" x14ac:dyDescent="0.15">
      <c r="A1525" s="33" t="s">
        <v>1455</v>
      </c>
      <c r="B1525" s="9">
        <v>1</v>
      </c>
      <c r="C1525" s="10"/>
      <c r="D1525" s="10"/>
      <c r="E1525" s="5">
        <f t="shared" si="2371"/>
        <v>1</v>
      </c>
      <c r="F1525" s="9">
        <v>1</v>
      </c>
      <c r="G1525" s="10"/>
      <c r="H1525" s="10"/>
      <c r="I1525" s="5">
        <f t="shared" si="2372"/>
        <v>1</v>
      </c>
      <c r="J1525" s="9">
        <v>1</v>
      </c>
      <c r="K1525" s="10"/>
      <c r="L1525" s="10"/>
      <c r="M1525" s="38">
        <f t="shared" si="2373"/>
        <v>1</v>
      </c>
      <c r="N1525" s="138">
        <f t="shared" si="2374"/>
        <v>3</v>
      </c>
      <c r="O1525" s="24">
        <v>46043</v>
      </c>
      <c r="P1525" s="4" t="s">
        <v>1450</v>
      </c>
      <c r="Q1525" s="9"/>
      <c r="R1525" s="10">
        <v>20</v>
      </c>
      <c r="S1525" s="10">
        <v>10</v>
      </c>
      <c r="T1525" s="5">
        <f t="shared" si="2384"/>
        <v>30</v>
      </c>
      <c r="U1525" s="9"/>
      <c r="V1525" s="10">
        <v>20</v>
      </c>
      <c r="W1525" s="10">
        <v>10</v>
      </c>
      <c r="X1525" s="5">
        <f t="shared" si="2385"/>
        <v>30</v>
      </c>
      <c r="Y1525" s="9"/>
      <c r="Z1525" s="10">
        <v>20</v>
      </c>
      <c r="AA1525" s="10">
        <v>10</v>
      </c>
      <c r="AB1525" s="5">
        <f t="shared" si="2386"/>
        <v>30</v>
      </c>
      <c r="AC1525" s="93">
        <f t="shared" si="2387"/>
        <v>90</v>
      </c>
      <c r="AD1525" s="109">
        <v>46043</v>
      </c>
    </row>
    <row r="1526" spans="1:31" x14ac:dyDescent="0.15">
      <c r="A1526" s="33" t="s">
        <v>36</v>
      </c>
      <c r="B1526" s="9">
        <v>3</v>
      </c>
      <c r="C1526" s="10">
        <v>2</v>
      </c>
      <c r="D1526" s="10"/>
      <c r="E1526" s="5">
        <f t="shared" si="2371"/>
        <v>5</v>
      </c>
      <c r="F1526" s="9">
        <v>3</v>
      </c>
      <c r="G1526" s="10"/>
      <c r="H1526" s="10"/>
      <c r="I1526" s="5">
        <f t="shared" si="2372"/>
        <v>3</v>
      </c>
      <c r="J1526" s="9">
        <v>3</v>
      </c>
      <c r="K1526" s="10"/>
      <c r="L1526" s="10"/>
      <c r="M1526" s="38">
        <f t="shared" si="2373"/>
        <v>3</v>
      </c>
      <c r="N1526" s="138">
        <f t="shared" si="2374"/>
        <v>11</v>
      </c>
      <c r="O1526" s="24">
        <v>46041</v>
      </c>
      <c r="P1526" s="4" t="s">
        <v>1451</v>
      </c>
      <c r="Q1526" s="9">
        <v>10</v>
      </c>
      <c r="R1526" s="10">
        <v>10</v>
      </c>
      <c r="S1526" s="10">
        <v>10</v>
      </c>
      <c r="T1526" s="5">
        <f t="shared" si="2384"/>
        <v>30</v>
      </c>
      <c r="U1526" s="9">
        <v>10</v>
      </c>
      <c r="V1526" s="10">
        <v>10</v>
      </c>
      <c r="W1526" s="10">
        <v>10</v>
      </c>
      <c r="X1526" s="5">
        <f t="shared" si="2385"/>
        <v>30</v>
      </c>
      <c r="Y1526" s="9">
        <v>10</v>
      </c>
      <c r="Z1526" s="10">
        <v>10</v>
      </c>
      <c r="AA1526" s="10">
        <v>10</v>
      </c>
      <c r="AB1526" s="5">
        <f t="shared" si="2386"/>
        <v>30</v>
      </c>
      <c r="AC1526" s="93">
        <f t="shared" si="2387"/>
        <v>90</v>
      </c>
      <c r="AD1526" s="109">
        <v>46043</v>
      </c>
    </row>
    <row r="1527" spans="1:31" x14ac:dyDescent="0.15">
      <c r="A1527" s="33" t="s">
        <v>1457</v>
      </c>
      <c r="B1527" s="9">
        <v>1</v>
      </c>
      <c r="C1527" s="10"/>
      <c r="D1527" s="10"/>
      <c r="E1527" s="8">
        <f t="shared" si="2371"/>
        <v>1</v>
      </c>
      <c r="F1527" s="9">
        <v>1</v>
      </c>
      <c r="G1527" s="10"/>
      <c r="H1527" s="10"/>
      <c r="I1527" s="8">
        <f t="shared" si="2372"/>
        <v>1</v>
      </c>
      <c r="J1527" s="9">
        <v>1</v>
      </c>
      <c r="K1527" s="10"/>
      <c r="L1527" s="10"/>
      <c r="M1527" s="39">
        <f t="shared" si="2373"/>
        <v>1</v>
      </c>
      <c r="N1527" s="138">
        <f t="shared" si="2374"/>
        <v>3</v>
      </c>
      <c r="O1527" s="24">
        <v>46044</v>
      </c>
      <c r="P1527" s="4" t="s">
        <v>1453</v>
      </c>
      <c r="Q1527" s="9"/>
      <c r="R1527" s="10">
        <v>20</v>
      </c>
      <c r="S1527" s="10">
        <v>20</v>
      </c>
      <c r="T1527" s="8">
        <f t="shared" si="2384"/>
        <v>40</v>
      </c>
      <c r="U1527" s="9"/>
      <c r="V1527" s="10">
        <v>20</v>
      </c>
      <c r="W1527" s="10">
        <v>20</v>
      </c>
      <c r="X1527" s="8">
        <f t="shared" si="2385"/>
        <v>40</v>
      </c>
      <c r="Y1527" s="9"/>
      <c r="Z1527" s="10">
        <v>20</v>
      </c>
      <c r="AA1527" s="10">
        <v>20</v>
      </c>
      <c r="AB1527" s="8">
        <f t="shared" si="2386"/>
        <v>40</v>
      </c>
      <c r="AC1527" s="93">
        <f t="shared" si="2387"/>
        <v>120</v>
      </c>
      <c r="AD1527" s="109">
        <v>46039</v>
      </c>
    </row>
    <row r="1528" spans="1:31" x14ac:dyDescent="0.15">
      <c r="A1528" s="33" t="s">
        <v>36</v>
      </c>
      <c r="B1528" s="9"/>
      <c r="C1528" s="10"/>
      <c r="D1528" s="10"/>
      <c r="E1528" s="8">
        <f t="shared" si="2371"/>
        <v>0</v>
      </c>
      <c r="F1528" s="9"/>
      <c r="G1528" s="10"/>
      <c r="H1528" s="10">
        <v>3</v>
      </c>
      <c r="I1528" s="8">
        <f t="shared" si="2372"/>
        <v>3</v>
      </c>
      <c r="J1528" s="9">
        <v>1</v>
      </c>
      <c r="K1528" s="10"/>
      <c r="L1528" s="10"/>
      <c r="M1528" s="39">
        <f t="shared" si="2373"/>
        <v>1</v>
      </c>
      <c r="N1528" s="138">
        <f t="shared" si="2374"/>
        <v>4</v>
      </c>
      <c r="O1528" s="70">
        <v>46042</v>
      </c>
      <c r="P1528" s="11" t="s">
        <v>1461</v>
      </c>
      <c r="Q1528" s="9">
        <v>15</v>
      </c>
      <c r="R1528" s="10">
        <v>5</v>
      </c>
      <c r="S1528" s="10">
        <v>5</v>
      </c>
      <c r="T1528" s="8">
        <f t="shared" si="2384"/>
        <v>25</v>
      </c>
      <c r="U1528" s="9">
        <v>15</v>
      </c>
      <c r="V1528" s="10">
        <v>5</v>
      </c>
      <c r="W1528" s="10">
        <v>5</v>
      </c>
      <c r="X1528" s="8">
        <f t="shared" si="2385"/>
        <v>25</v>
      </c>
      <c r="Y1528" s="9">
        <v>15</v>
      </c>
      <c r="Z1528" s="10">
        <v>5</v>
      </c>
      <c r="AA1528" s="10">
        <v>5</v>
      </c>
      <c r="AB1528" s="8">
        <f t="shared" si="2386"/>
        <v>25</v>
      </c>
      <c r="AC1528" s="93">
        <f t="shared" si="2387"/>
        <v>75</v>
      </c>
      <c r="AD1528" s="109">
        <v>46045</v>
      </c>
    </row>
    <row r="1529" spans="1:31" x14ac:dyDescent="0.15">
      <c r="A1529" s="4" t="s">
        <v>1460</v>
      </c>
      <c r="B1529" s="9"/>
      <c r="C1529" s="10">
        <v>3</v>
      </c>
      <c r="D1529" s="10">
        <v>2</v>
      </c>
      <c r="E1529" s="8">
        <f t="shared" si="2371"/>
        <v>5</v>
      </c>
      <c r="F1529" s="9"/>
      <c r="G1529" s="10">
        <v>3</v>
      </c>
      <c r="H1529" s="10">
        <v>2</v>
      </c>
      <c r="I1529" s="8">
        <f t="shared" si="2372"/>
        <v>5</v>
      </c>
      <c r="J1529" s="9"/>
      <c r="K1529" s="10">
        <v>3</v>
      </c>
      <c r="L1529" s="10">
        <v>2</v>
      </c>
      <c r="M1529" s="39">
        <f t="shared" si="2373"/>
        <v>5</v>
      </c>
      <c r="N1529" s="138">
        <f t="shared" si="2374"/>
        <v>15</v>
      </c>
      <c r="O1529" s="24">
        <v>46045</v>
      </c>
      <c r="P1529" s="11" t="s">
        <v>1319</v>
      </c>
      <c r="Q1529" s="9"/>
      <c r="R1529" s="10">
        <v>10</v>
      </c>
      <c r="S1529" s="10"/>
      <c r="T1529" s="8">
        <f t="shared" ref="T1529:T1533" si="2388">SUM(Q1529:S1529)</f>
        <v>10</v>
      </c>
      <c r="U1529" s="9"/>
      <c r="V1529" s="10">
        <v>10</v>
      </c>
      <c r="W1529" s="10"/>
      <c r="X1529" s="8">
        <f t="shared" ref="X1529:X1533" si="2389">SUM(U1529:W1529)</f>
        <v>10</v>
      </c>
      <c r="Y1529" s="9"/>
      <c r="Z1529" s="10">
        <v>10</v>
      </c>
      <c r="AA1529" s="10"/>
      <c r="AB1529" s="8">
        <f t="shared" ref="AB1529:AB1533" si="2390">SUM(Y1529:AA1529)</f>
        <v>10</v>
      </c>
      <c r="AC1529" s="93">
        <f t="shared" ref="AC1529:AC1533" si="2391">T1529+X1529+AB1529</f>
        <v>30</v>
      </c>
      <c r="AD1529" s="109">
        <v>46045</v>
      </c>
      <c r="AE1529" s="58"/>
    </row>
    <row r="1530" spans="1:31" x14ac:dyDescent="0.15">
      <c r="A1530" s="33" t="s">
        <v>1463</v>
      </c>
      <c r="B1530" s="9">
        <v>1</v>
      </c>
      <c r="C1530" s="10">
        <v>6</v>
      </c>
      <c r="D1530" s="10"/>
      <c r="E1530" s="8">
        <f t="shared" si="2371"/>
        <v>7</v>
      </c>
      <c r="F1530" s="9">
        <v>1</v>
      </c>
      <c r="G1530" s="10">
        <v>6</v>
      </c>
      <c r="H1530" s="10"/>
      <c r="I1530" s="8">
        <f t="shared" si="2372"/>
        <v>7</v>
      </c>
      <c r="J1530" s="9">
        <v>1</v>
      </c>
      <c r="K1530" s="10">
        <v>6</v>
      </c>
      <c r="L1530" s="10"/>
      <c r="M1530" s="39">
        <f t="shared" si="2373"/>
        <v>7</v>
      </c>
      <c r="N1530" s="138">
        <f t="shared" si="2374"/>
        <v>21</v>
      </c>
      <c r="O1530" s="24">
        <v>46045</v>
      </c>
      <c r="P1530" s="4" t="s">
        <v>1464</v>
      </c>
      <c r="Q1530" s="9">
        <v>10</v>
      </c>
      <c r="R1530" s="10"/>
      <c r="S1530" s="10">
        <v>10</v>
      </c>
      <c r="T1530" s="8">
        <f t="shared" si="2388"/>
        <v>20</v>
      </c>
      <c r="U1530" s="9">
        <v>10</v>
      </c>
      <c r="V1530" s="10"/>
      <c r="W1530" s="10">
        <v>10</v>
      </c>
      <c r="X1530" s="8">
        <f t="shared" si="2389"/>
        <v>20</v>
      </c>
      <c r="Y1530" s="9">
        <v>10</v>
      </c>
      <c r="Z1530" s="10"/>
      <c r="AA1530" s="10">
        <v>10</v>
      </c>
      <c r="AB1530" s="8">
        <f t="shared" si="2390"/>
        <v>20</v>
      </c>
      <c r="AC1530" s="93">
        <f t="shared" si="2391"/>
        <v>60</v>
      </c>
      <c r="AD1530" s="109">
        <v>46050</v>
      </c>
    </row>
    <row r="1531" spans="1:31" x14ac:dyDescent="0.15">
      <c r="A1531" s="33" t="s">
        <v>1465</v>
      </c>
      <c r="B1531" s="9">
        <v>1</v>
      </c>
      <c r="C1531" s="10">
        <v>7</v>
      </c>
      <c r="D1531" s="10"/>
      <c r="E1531" s="8">
        <f t="shared" si="2371"/>
        <v>8</v>
      </c>
      <c r="F1531" s="9">
        <v>1</v>
      </c>
      <c r="G1531" s="10">
        <v>7</v>
      </c>
      <c r="H1531" s="10"/>
      <c r="I1531" s="8">
        <f t="shared" si="2372"/>
        <v>8</v>
      </c>
      <c r="J1531" s="9">
        <v>1</v>
      </c>
      <c r="K1531" s="10">
        <v>7</v>
      </c>
      <c r="L1531" s="10"/>
      <c r="M1531" s="39">
        <f t="shared" si="2373"/>
        <v>8</v>
      </c>
      <c r="N1531" s="138">
        <f t="shared" si="2374"/>
        <v>24</v>
      </c>
      <c r="O1531" s="24">
        <v>46048</v>
      </c>
      <c r="P1531" s="11" t="s">
        <v>1466</v>
      </c>
      <c r="Q1531" s="9"/>
      <c r="R1531" s="10">
        <v>10</v>
      </c>
      <c r="S1531" s="10"/>
      <c r="T1531" s="8">
        <f t="shared" si="2388"/>
        <v>10</v>
      </c>
      <c r="U1531" s="9">
        <v>5</v>
      </c>
      <c r="V1531" s="10">
        <v>10</v>
      </c>
      <c r="W1531" s="10">
        <v>10</v>
      </c>
      <c r="X1531" s="8">
        <f t="shared" si="2389"/>
        <v>25</v>
      </c>
      <c r="Y1531" s="9">
        <v>5</v>
      </c>
      <c r="Z1531" s="10">
        <v>5</v>
      </c>
      <c r="AA1531" s="10">
        <v>5</v>
      </c>
      <c r="AB1531" s="8">
        <f t="shared" si="2390"/>
        <v>15</v>
      </c>
      <c r="AC1531" s="93">
        <f t="shared" si="2391"/>
        <v>50</v>
      </c>
      <c r="AD1531" s="109">
        <v>46048</v>
      </c>
    </row>
    <row r="1532" spans="1:31" x14ac:dyDescent="0.15">
      <c r="A1532" s="33" t="s">
        <v>1468</v>
      </c>
      <c r="B1532" s="9"/>
      <c r="C1532" s="10"/>
      <c r="D1532" s="10">
        <v>1</v>
      </c>
      <c r="E1532" s="8">
        <f t="shared" si="2371"/>
        <v>1</v>
      </c>
      <c r="F1532" s="9"/>
      <c r="G1532" s="10"/>
      <c r="H1532" s="10">
        <v>1</v>
      </c>
      <c r="I1532" s="8">
        <f t="shared" si="2372"/>
        <v>1</v>
      </c>
      <c r="J1532" s="9"/>
      <c r="K1532" s="10"/>
      <c r="L1532" s="10">
        <v>1</v>
      </c>
      <c r="M1532" s="39">
        <f t="shared" si="2373"/>
        <v>1</v>
      </c>
      <c r="N1532" s="138">
        <f t="shared" si="2374"/>
        <v>3</v>
      </c>
      <c r="O1532" s="24">
        <v>46050</v>
      </c>
      <c r="P1532" s="11" t="s">
        <v>1467</v>
      </c>
      <c r="Q1532" s="9">
        <v>7</v>
      </c>
      <c r="R1532" s="10">
        <v>10</v>
      </c>
      <c r="S1532" s="10">
        <v>3</v>
      </c>
      <c r="T1532" s="8">
        <f t="shared" si="2388"/>
        <v>20</v>
      </c>
      <c r="U1532" s="9">
        <v>7</v>
      </c>
      <c r="V1532" s="10">
        <v>10</v>
      </c>
      <c r="W1532" s="10">
        <v>3</v>
      </c>
      <c r="X1532" s="8">
        <f t="shared" si="2389"/>
        <v>20</v>
      </c>
      <c r="Y1532" s="9">
        <v>7</v>
      </c>
      <c r="Z1532" s="10">
        <v>10</v>
      </c>
      <c r="AA1532" s="10">
        <v>3</v>
      </c>
      <c r="AB1532" s="8">
        <f t="shared" si="2390"/>
        <v>20</v>
      </c>
      <c r="AC1532" s="93">
        <f t="shared" si="2391"/>
        <v>60</v>
      </c>
      <c r="AD1532" s="109">
        <v>46050</v>
      </c>
    </row>
    <row r="1533" spans="1:31" x14ac:dyDescent="0.15">
      <c r="A1533" s="33" t="s">
        <v>1469</v>
      </c>
      <c r="B1533" s="9"/>
      <c r="C1533" s="10"/>
      <c r="D1533" s="10"/>
      <c r="E1533" s="8">
        <f t="shared" si="2371"/>
        <v>0</v>
      </c>
      <c r="F1533" s="9">
        <v>1</v>
      </c>
      <c r="G1533" s="10"/>
      <c r="H1533" s="10"/>
      <c r="I1533" s="8">
        <f t="shared" si="2372"/>
        <v>1</v>
      </c>
      <c r="J1533" s="9">
        <v>1</v>
      </c>
      <c r="K1533" s="10"/>
      <c r="L1533" s="10"/>
      <c r="M1533" s="39">
        <f t="shared" si="2373"/>
        <v>1</v>
      </c>
      <c r="N1533" s="138">
        <f t="shared" si="2374"/>
        <v>2</v>
      </c>
      <c r="O1533" s="24">
        <v>46049</v>
      </c>
      <c r="P1533" s="160" t="s">
        <v>1319</v>
      </c>
      <c r="Q1533" s="166"/>
      <c r="R1533" s="167"/>
      <c r="S1533" s="167">
        <v>15</v>
      </c>
      <c r="T1533" s="168">
        <f t="shared" si="2388"/>
        <v>15</v>
      </c>
      <c r="U1533" s="166"/>
      <c r="V1533" s="167"/>
      <c r="W1533" s="167">
        <v>15</v>
      </c>
      <c r="X1533" s="168">
        <f t="shared" si="2389"/>
        <v>15</v>
      </c>
      <c r="Y1533" s="166"/>
      <c r="Z1533" s="167"/>
      <c r="AA1533" s="167">
        <v>15</v>
      </c>
      <c r="AB1533" s="168">
        <f t="shared" si="2390"/>
        <v>15</v>
      </c>
      <c r="AC1533" s="169">
        <f t="shared" si="2391"/>
        <v>45</v>
      </c>
      <c r="AD1533" s="170">
        <v>46051</v>
      </c>
    </row>
    <row r="1534" spans="1:31" x14ac:dyDescent="0.15">
      <c r="A1534" s="33" t="s">
        <v>36</v>
      </c>
      <c r="B1534" s="9">
        <v>4</v>
      </c>
      <c r="C1534" s="10">
        <v>1</v>
      </c>
      <c r="D1534" s="10">
        <v>1</v>
      </c>
      <c r="E1534" s="8">
        <f t="shared" si="2371"/>
        <v>6</v>
      </c>
      <c r="F1534" s="9">
        <v>3</v>
      </c>
      <c r="G1534" s="10"/>
      <c r="H1534" s="10">
        <v>1</v>
      </c>
      <c r="I1534" s="8">
        <f t="shared" si="2372"/>
        <v>4</v>
      </c>
      <c r="J1534" s="9">
        <v>4</v>
      </c>
      <c r="K1534" s="10"/>
      <c r="L1534" s="10">
        <v>1</v>
      </c>
      <c r="M1534" s="39">
        <f t="shared" si="2373"/>
        <v>5</v>
      </c>
      <c r="N1534" s="138">
        <f t="shared" si="2374"/>
        <v>15</v>
      </c>
      <c r="O1534" s="24">
        <v>46048</v>
      </c>
      <c r="P1534" s="81" t="s">
        <v>1333</v>
      </c>
      <c r="Q1534" s="71"/>
      <c r="R1534" s="72"/>
      <c r="S1534" s="72"/>
      <c r="T1534" s="73">
        <f t="shared" ref="T1534:T1541" si="2392">SUM(Q1534:S1534)</f>
        <v>0</v>
      </c>
      <c r="U1534" s="71"/>
      <c r="V1534" s="72"/>
      <c r="W1534" s="72"/>
      <c r="X1534" s="73">
        <f t="shared" ref="X1534:X1541" si="2393">SUM(U1534:W1534)</f>
        <v>0</v>
      </c>
      <c r="Y1534" s="71"/>
      <c r="Z1534" s="72"/>
      <c r="AA1534" s="72"/>
      <c r="AB1534" s="73">
        <f t="shared" ref="AB1534:AB1541" si="2394">SUM(Y1534:AA1534)</f>
        <v>0</v>
      </c>
      <c r="AC1534" s="92">
        <f t="shared" ref="AC1534:AC1541" si="2395">T1534+X1534+AB1534</f>
        <v>0</v>
      </c>
      <c r="AD1534" s="117"/>
    </row>
    <row r="1535" spans="1:31" x14ac:dyDescent="0.15">
      <c r="A1535" s="33" t="s">
        <v>1472</v>
      </c>
      <c r="B1535" s="9">
        <v>5</v>
      </c>
      <c r="C1535" s="10"/>
      <c r="D1535" s="10">
        <v>1</v>
      </c>
      <c r="E1535" s="8">
        <f t="shared" si="2371"/>
        <v>6</v>
      </c>
      <c r="F1535" s="9">
        <v>5</v>
      </c>
      <c r="G1535" s="10"/>
      <c r="H1535" s="10">
        <v>1</v>
      </c>
      <c r="I1535" s="8">
        <f t="shared" si="2372"/>
        <v>6</v>
      </c>
      <c r="J1535" s="9">
        <v>5</v>
      </c>
      <c r="K1535" s="10"/>
      <c r="L1535" s="10">
        <v>1</v>
      </c>
      <c r="M1535" s="39">
        <f t="shared" si="2373"/>
        <v>6</v>
      </c>
      <c r="N1535" s="138">
        <f t="shared" si="2374"/>
        <v>18</v>
      </c>
      <c r="O1535" s="24">
        <v>46051</v>
      </c>
      <c r="P1535" s="4" t="s">
        <v>1331</v>
      </c>
      <c r="Q1535" s="9"/>
      <c r="R1535" s="10"/>
      <c r="S1535" s="10"/>
      <c r="T1535" s="8">
        <f t="shared" si="2392"/>
        <v>0</v>
      </c>
      <c r="U1535" s="9"/>
      <c r="V1535" s="10"/>
      <c r="W1535" s="10"/>
      <c r="X1535" s="8">
        <f t="shared" si="2393"/>
        <v>0</v>
      </c>
      <c r="Y1535" s="9"/>
      <c r="Z1535" s="10"/>
      <c r="AA1535" s="10"/>
      <c r="AB1535" s="8">
        <f t="shared" si="2394"/>
        <v>0</v>
      </c>
      <c r="AC1535" s="93">
        <f t="shared" si="2395"/>
        <v>0</v>
      </c>
      <c r="AD1535" s="116" t="s">
        <v>1332</v>
      </c>
    </row>
    <row r="1536" spans="1:31" x14ac:dyDescent="0.15">
      <c r="A1536" s="33" t="s">
        <v>36</v>
      </c>
      <c r="B1536" s="9"/>
      <c r="C1536" s="10">
        <v>1</v>
      </c>
      <c r="D1536" s="10"/>
      <c r="E1536" s="8">
        <f t="shared" si="2371"/>
        <v>1</v>
      </c>
      <c r="F1536" s="9"/>
      <c r="G1536" s="10"/>
      <c r="H1536" s="10"/>
      <c r="I1536" s="8">
        <f t="shared" si="2372"/>
        <v>0</v>
      </c>
      <c r="J1536" s="9"/>
      <c r="K1536" s="10"/>
      <c r="L1536" s="10"/>
      <c r="M1536" s="39">
        <f t="shared" si="2373"/>
        <v>0</v>
      </c>
      <c r="N1536" s="138">
        <f t="shared" si="2374"/>
        <v>1</v>
      </c>
      <c r="O1536" s="70">
        <v>46049</v>
      </c>
      <c r="P1536" s="6" t="s">
        <v>1292</v>
      </c>
      <c r="Q1536" s="71"/>
      <c r="R1536" s="72"/>
      <c r="S1536" s="72"/>
      <c r="T1536" s="73">
        <f t="shared" si="2392"/>
        <v>0</v>
      </c>
      <c r="U1536" s="71"/>
      <c r="V1536" s="72"/>
      <c r="W1536" s="72"/>
      <c r="X1536" s="73">
        <f t="shared" si="2393"/>
        <v>0</v>
      </c>
      <c r="Y1536" s="71"/>
      <c r="Z1536" s="72"/>
      <c r="AA1536" s="72"/>
      <c r="AB1536" s="73">
        <f t="shared" si="2394"/>
        <v>0</v>
      </c>
      <c r="AC1536" s="92">
        <f t="shared" si="2395"/>
        <v>0</v>
      </c>
      <c r="AD1536" s="117"/>
    </row>
    <row r="1537" spans="1:31" x14ac:dyDescent="0.15">
      <c r="A1537" s="4" t="s">
        <v>1476</v>
      </c>
      <c r="B1537" s="9">
        <v>6</v>
      </c>
      <c r="C1537" s="10">
        <v>3</v>
      </c>
      <c r="D1537" s="10">
        <v>5</v>
      </c>
      <c r="E1537" s="8">
        <f t="shared" si="2371"/>
        <v>14</v>
      </c>
      <c r="F1537" s="9">
        <v>6</v>
      </c>
      <c r="G1537" s="10">
        <v>3</v>
      </c>
      <c r="H1537" s="10">
        <v>5</v>
      </c>
      <c r="I1537" s="8">
        <f t="shared" si="2372"/>
        <v>14</v>
      </c>
      <c r="J1537" s="9">
        <v>6</v>
      </c>
      <c r="K1537" s="10">
        <v>3</v>
      </c>
      <c r="L1537" s="10">
        <v>5</v>
      </c>
      <c r="M1537" s="39">
        <f t="shared" si="2373"/>
        <v>14</v>
      </c>
      <c r="N1537" s="138">
        <f t="shared" si="2374"/>
        <v>42</v>
      </c>
      <c r="O1537" s="24">
        <v>46051</v>
      </c>
      <c r="P1537" s="11" t="s">
        <v>1293</v>
      </c>
      <c r="Q1537" s="9"/>
      <c r="R1537" s="10"/>
      <c r="S1537" s="10"/>
      <c r="T1537" s="8">
        <f t="shared" si="2392"/>
        <v>0</v>
      </c>
      <c r="U1537" s="9"/>
      <c r="V1537" s="10"/>
      <c r="W1537" s="10"/>
      <c r="X1537" s="8">
        <f t="shared" si="2393"/>
        <v>0</v>
      </c>
      <c r="Y1537" s="9"/>
      <c r="Z1537" s="10"/>
      <c r="AA1537" s="10"/>
      <c r="AB1537" s="8">
        <f t="shared" si="2394"/>
        <v>0</v>
      </c>
      <c r="AC1537" s="86">
        <f t="shared" si="2395"/>
        <v>0</v>
      </c>
      <c r="AD1537" s="116" t="s">
        <v>1294</v>
      </c>
      <c r="AE1537" s="58"/>
    </row>
    <row r="1538" spans="1:31" x14ac:dyDescent="0.15">
      <c r="A1538" s="33" t="s">
        <v>1481</v>
      </c>
      <c r="B1538" s="9">
        <v>1</v>
      </c>
      <c r="C1538" s="10">
        <v>2</v>
      </c>
      <c r="D1538" s="10">
        <v>7</v>
      </c>
      <c r="E1538" s="8">
        <f t="shared" si="2371"/>
        <v>10</v>
      </c>
      <c r="F1538" s="9">
        <v>1</v>
      </c>
      <c r="G1538" s="10">
        <v>2</v>
      </c>
      <c r="H1538" s="10">
        <v>7</v>
      </c>
      <c r="I1538" s="8">
        <f t="shared" si="2372"/>
        <v>10</v>
      </c>
      <c r="J1538" s="9">
        <v>1</v>
      </c>
      <c r="K1538" s="10">
        <v>2</v>
      </c>
      <c r="L1538" s="10">
        <v>7</v>
      </c>
      <c r="M1538" s="39">
        <f t="shared" si="2373"/>
        <v>10</v>
      </c>
      <c r="N1538" s="138">
        <f t="shared" si="2374"/>
        <v>30</v>
      </c>
      <c r="O1538" s="24">
        <v>46052</v>
      </c>
      <c r="P1538" s="81" t="s">
        <v>1201</v>
      </c>
      <c r="Q1538" s="71"/>
      <c r="R1538" s="72"/>
      <c r="S1538" s="72"/>
      <c r="T1538" s="73">
        <f t="shared" si="2392"/>
        <v>0</v>
      </c>
      <c r="U1538" s="71"/>
      <c r="V1538" s="72"/>
      <c r="W1538" s="72"/>
      <c r="X1538" s="73">
        <f t="shared" si="2393"/>
        <v>0</v>
      </c>
      <c r="Y1538" s="71"/>
      <c r="Z1538" s="72"/>
      <c r="AA1538" s="72"/>
      <c r="AB1538" s="73">
        <f t="shared" si="2394"/>
        <v>0</v>
      </c>
      <c r="AC1538" s="92">
        <f t="shared" si="2395"/>
        <v>0</v>
      </c>
      <c r="AD1538" s="116"/>
      <c r="AE1538" s="58"/>
    </row>
    <row r="1539" spans="1:31" x14ac:dyDescent="0.15">
      <c r="A1539" s="33" t="s">
        <v>36</v>
      </c>
      <c r="B1539" s="9">
        <v>1</v>
      </c>
      <c r="C1539" s="10">
        <v>1</v>
      </c>
      <c r="D1539" s="10"/>
      <c r="E1539" s="8">
        <f t="shared" si="2371"/>
        <v>2</v>
      </c>
      <c r="F1539" s="9">
        <v>1</v>
      </c>
      <c r="G1539" s="10">
        <v>1</v>
      </c>
      <c r="H1539" s="10"/>
      <c r="I1539" s="8">
        <f t="shared" si="2372"/>
        <v>2</v>
      </c>
      <c r="J1539" s="9">
        <v>1</v>
      </c>
      <c r="K1539" s="10">
        <v>1</v>
      </c>
      <c r="L1539" s="10"/>
      <c r="M1539" s="39">
        <f t="shared" si="2373"/>
        <v>2</v>
      </c>
      <c r="N1539" s="138">
        <f t="shared" si="2374"/>
        <v>6</v>
      </c>
      <c r="O1539" s="70">
        <v>46050</v>
      </c>
      <c r="P1539" s="4" t="s">
        <v>1200</v>
      </c>
      <c r="Q1539" s="9"/>
      <c r="R1539" s="10"/>
      <c r="S1539" s="10"/>
      <c r="T1539" s="8">
        <f t="shared" si="2392"/>
        <v>0</v>
      </c>
      <c r="U1539" s="9"/>
      <c r="V1539" s="10"/>
      <c r="W1539" s="10"/>
      <c r="X1539" s="8">
        <f t="shared" si="2393"/>
        <v>0</v>
      </c>
      <c r="Y1539" s="9"/>
      <c r="Z1539" s="10"/>
      <c r="AA1539" s="10"/>
      <c r="AB1539" s="8">
        <f t="shared" si="2394"/>
        <v>0</v>
      </c>
      <c r="AC1539" s="86">
        <f t="shared" si="2395"/>
        <v>0</v>
      </c>
      <c r="AD1539" s="116" t="s">
        <v>1202</v>
      </c>
      <c r="AE1539" s="58"/>
    </row>
    <row r="1540" spans="1:31" x14ac:dyDescent="0.15">
      <c r="A1540" s="33" t="s">
        <v>1485</v>
      </c>
      <c r="B1540" s="9">
        <v>2</v>
      </c>
      <c r="C1540" s="10"/>
      <c r="D1540" s="10">
        <v>1</v>
      </c>
      <c r="E1540" s="8">
        <f t="shared" si="2371"/>
        <v>3</v>
      </c>
      <c r="F1540" s="9">
        <v>2</v>
      </c>
      <c r="G1540" s="10"/>
      <c r="H1540" s="10">
        <v>1</v>
      </c>
      <c r="I1540" s="8">
        <f t="shared" si="2372"/>
        <v>3</v>
      </c>
      <c r="J1540" s="9">
        <v>2</v>
      </c>
      <c r="K1540" s="10"/>
      <c r="L1540" s="10">
        <v>1</v>
      </c>
      <c r="M1540" s="39">
        <f t="shared" si="2373"/>
        <v>3</v>
      </c>
      <c r="N1540" s="138">
        <f t="shared" si="2374"/>
        <v>9</v>
      </c>
      <c r="O1540" s="24">
        <v>46052</v>
      </c>
      <c r="P1540" s="81" t="s">
        <v>1239</v>
      </c>
      <c r="Q1540" s="71"/>
      <c r="R1540" s="72"/>
      <c r="S1540" s="72"/>
      <c r="T1540" s="73">
        <f t="shared" si="2392"/>
        <v>0</v>
      </c>
      <c r="U1540" s="71"/>
      <c r="V1540" s="72"/>
      <c r="W1540" s="72"/>
      <c r="X1540" s="73">
        <f t="shared" si="2393"/>
        <v>0</v>
      </c>
      <c r="Y1540" s="71"/>
      <c r="Z1540" s="72"/>
      <c r="AA1540" s="72"/>
      <c r="AB1540" s="73">
        <f t="shared" si="2394"/>
        <v>0</v>
      </c>
      <c r="AC1540" s="92">
        <f t="shared" si="2395"/>
        <v>0</v>
      </c>
      <c r="AD1540" s="117"/>
    </row>
    <row r="1541" spans="1:31" x14ac:dyDescent="0.15">
      <c r="A1541" s="33" t="s">
        <v>36</v>
      </c>
      <c r="B1541" s="9"/>
      <c r="C1541" s="10"/>
      <c r="D1541" s="10">
        <v>3</v>
      </c>
      <c r="E1541" s="8">
        <f t="shared" si="2371"/>
        <v>3</v>
      </c>
      <c r="F1541" s="9"/>
      <c r="G1541" s="10"/>
      <c r="H1541" s="10"/>
      <c r="I1541" s="8">
        <f t="shared" si="2372"/>
        <v>0</v>
      </c>
      <c r="J1541" s="9">
        <v>1</v>
      </c>
      <c r="K1541" s="10"/>
      <c r="L1541" s="10"/>
      <c r="M1541" s="39">
        <f t="shared" si="2373"/>
        <v>1</v>
      </c>
      <c r="N1541" s="138">
        <f t="shared" si="2374"/>
        <v>4</v>
      </c>
      <c r="O1541" s="70">
        <v>46051</v>
      </c>
      <c r="P1541" s="4" t="s">
        <v>1238</v>
      </c>
      <c r="Q1541" s="9"/>
      <c r="R1541" s="10"/>
      <c r="S1541" s="10"/>
      <c r="T1541" s="8">
        <f t="shared" si="2392"/>
        <v>0</v>
      </c>
      <c r="U1541" s="9"/>
      <c r="V1541" s="10"/>
      <c r="W1541" s="10"/>
      <c r="X1541" s="8">
        <f t="shared" si="2393"/>
        <v>0</v>
      </c>
      <c r="Y1541" s="9"/>
      <c r="Z1541" s="10"/>
      <c r="AA1541" s="10"/>
      <c r="AB1541" s="8">
        <f t="shared" si="2394"/>
        <v>0</v>
      </c>
      <c r="AC1541" s="93">
        <f t="shared" si="2395"/>
        <v>0</v>
      </c>
      <c r="AD1541" s="116" t="s">
        <v>1240</v>
      </c>
    </row>
    <row r="1542" spans="1:31" x14ac:dyDescent="0.15">
      <c r="A1542" s="33" t="s">
        <v>36</v>
      </c>
      <c r="B1542" s="9">
        <v>1</v>
      </c>
      <c r="C1542" s="10"/>
      <c r="D1542" s="10"/>
      <c r="E1542" s="8">
        <f t="shared" si="2371"/>
        <v>1</v>
      </c>
      <c r="F1542" s="9">
        <v>1</v>
      </c>
      <c r="G1542" s="10"/>
      <c r="H1542" s="10"/>
      <c r="I1542" s="8">
        <f t="shared" si="2372"/>
        <v>1</v>
      </c>
      <c r="J1542" s="9">
        <v>1</v>
      </c>
      <c r="K1542" s="10"/>
      <c r="L1542" s="10"/>
      <c r="M1542" s="39">
        <f t="shared" si="2373"/>
        <v>1</v>
      </c>
      <c r="N1542" s="138">
        <f t="shared" si="2374"/>
        <v>3</v>
      </c>
      <c r="O1542" s="70">
        <v>46052</v>
      </c>
      <c r="P1542" s="11" t="s">
        <v>1229</v>
      </c>
      <c r="Q1542" s="9"/>
      <c r="R1542" s="10"/>
      <c r="S1542" s="10"/>
      <c r="T1542" s="8">
        <f t="shared" ref="T1542:T1545" si="2396">SUM(Q1542:S1542)</f>
        <v>0</v>
      </c>
      <c r="U1542" s="9"/>
      <c r="V1542" s="10"/>
      <c r="W1542" s="10"/>
      <c r="X1542" s="8">
        <f t="shared" ref="X1542:X1545" si="2397">SUM(U1542:W1542)</f>
        <v>0</v>
      </c>
      <c r="Y1542" s="9"/>
      <c r="Z1542" s="10"/>
      <c r="AA1542" s="10"/>
      <c r="AB1542" s="8">
        <f t="shared" ref="AB1542:AB1545" si="2398">SUM(Y1542:AA1542)</f>
        <v>0</v>
      </c>
      <c r="AC1542" s="93">
        <f t="shared" ref="AC1542:AC1545" si="2399">T1542+X1542+AB1542</f>
        <v>0</v>
      </c>
      <c r="AD1542" s="116" t="s">
        <v>555</v>
      </c>
    </row>
    <row r="1543" spans="1:31" x14ac:dyDescent="0.15">
      <c r="A1543" s="33" t="s">
        <v>36</v>
      </c>
      <c r="B1543" s="9"/>
      <c r="C1543" s="10">
        <v>2</v>
      </c>
      <c r="D1543" s="10"/>
      <c r="E1543" s="8">
        <f t="shared" si="2371"/>
        <v>2</v>
      </c>
      <c r="F1543" s="9">
        <v>1</v>
      </c>
      <c r="G1543" s="10">
        <v>2</v>
      </c>
      <c r="H1543" s="10"/>
      <c r="I1543" s="8">
        <f t="shared" si="2372"/>
        <v>3</v>
      </c>
      <c r="J1543" s="9"/>
      <c r="K1543" s="10">
        <v>2</v>
      </c>
      <c r="L1543" s="10"/>
      <c r="M1543" s="39">
        <f t="shared" si="2373"/>
        <v>2</v>
      </c>
      <c r="N1543" s="138">
        <f t="shared" si="2374"/>
        <v>7</v>
      </c>
      <c r="O1543" s="70">
        <v>46053</v>
      </c>
      <c r="P1543" s="11" t="s">
        <v>1367</v>
      </c>
      <c r="Q1543" s="9"/>
      <c r="R1543" s="10"/>
      <c r="S1543" s="10"/>
      <c r="T1543" s="8">
        <f t="shared" si="2396"/>
        <v>0</v>
      </c>
      <c r="U1543" s="9"/>
      <c r="V1543" s="10"/>
      <c r="W1543" s="10"/>
      <c r="X1543" s="8">
        <f t="shared" si="2397"/>
        <v>0</v>
      </c>
      <c r="Y1543" s="9"/>
      <c r="Z1543" s="10"/>
      <c r="AA1543" s="10"/>
      <c r="AB1543" s="8">
        <f t="shared" si="2398"/>
        <v>0</v>
      </c>
      <c r="AC1543" s="93">
        <f t="shared" si="2399"/>
        <v>0</v>
      </c>
      <c r="AD1543" s="116" t="s">
        <v>555</v>
      </c>
    </row>
    <row r="1544" spans="1:31" x14ac:dyDescent="0.15">
      <c r="A1544" s="33"/>
      <c r="B1544" s="9"/>
      <c r="C1544" s="10"/>
      <c r="D1544" s="10"/>
      <c r="E1544" s="8">
        <f t="shared" si="2371"/>
        <v>0</v>
      </c>
      <c r="F1544" s="9"/>
      <c r="G1544" s="10"/>
      <c r="H1544" s="10"/>
      <c r="I1544" s="8">
        <f t="shared" si="2372"/>
        <v>0</v>
      </c>
      <c r="J1544" s="9"/>
      <c r="K1544" s="10"/>
      <c r="L1544" s="10"/>
      <c r="M1544" s="39">
        <f t="shared" si="2373"/>
        <v>0</v>
      </c>
      <c r="N1544" s="138">
        <f t="shared" si="2374"/>
        <v>0</v>
      </c>
      <c r="P1544" s="81" t="s">
        <v>1355</v>
      </c>
      <c r="Q1544" s="71"/>
      <c r="R1544" s="72"/>
      <c r="S1544" s="72"/>
      <c r="T1544" s="73">
        <f t="shared" si="2396"/>
        <v>0</v>
      </c>
      <c r="U1544" s="71"/>
      <c r="V1544" s="72"/>
      <c r="W1544" s="72"/>
      <c r="X1544" s="73">
        <f t="shared" si="2397"/>
        <v>0</v>
      </c>
      <c r="Y1544" s="71"/>
      <c r="Z1544" s="72"/>
      <c r="AA1544" s="72"/>
      <c r="AB1544" s="73">
        <f t="shared" si="2398"/>
        <v>0</v>
      </c>
      <c r="AC1544" s="92">
        <f t="shared" si="2399"/>
        <v>0</v>
      </c>
      <c r="AD1544" s="116"/>
    </row>
    <row r="1545" spans="1:31" ht="14.25" thickBot="1" x14ac:dyDescent="0.2">
      <c r="A1545" s="63"/>
      <c r="B1545" s="9"/>
      <c r="C1545" s="10"/>
      <c r="D1545" s="22"/>
      <c r="E1545" s="8">
        <f t="shared" si="2371"/>
        <v>0</v>
      </c>
      <c r="F1545" s="9"/>
      <c r="G1545" s="10"/>
      <c r="H1545" s="22"/>
      <c r="I1545" s="8">
        <f t="shared" si="2372"/>
        <v>0</v>
      </c>
      <c r="J1545" s="9"/>
      <c r="K1545" s="10"/>
      <c r="L1545" s="22"/>
      <c r="M1545" s="39">
        <f t="shared" si="2373"/>
        <v>0</v>
      </c>
      <c r="N1545" s="139">
        <f t="shared" si="2374"/>
        <v>0</v>
      </c>
      <c r="P1545" s="4" t="s">
        <v>1356</v>
      </c>
      <c r="Q1545" s="9"/>
      <c r="R1545" s="10"/>
      <c r="S1545" s="10"/>
      <c r="T1545" s="8">
        <f t="shared" si="2396"/>
        <v>0</v>
      </c>
      <c r="U1545" s="9"/>
      <c r="V1545" s="10"/>
      <c r="W1545" s="10"/>
      <c r="X1545" s="8">
        <f t="shared" si="2397"/>
        <v>0</v>
      </c>
      <c r="Y1545" s="9"/>
      <c r="Z1545" s="10"/>
      <c r="AA1545" s="10"/>
      <c r="AB1545" s="8">
        <f t="shared" si="2398"/>
        <v>0</v>
      </c>
      <c r="AC1545" s="93">
        <f t="shared" si="2399"/>
        <v>0</v>
      </c>
      <c r="AD1545" s="116" t="s">
        <v>1294</v>
      </c>
    </row>
    <row r="1546" spans="1:31" ht="14.25" thickBot="1" x14ac:dyDescent="0.2">
      <c r="A1546" s="104" t="s">
        <v>5</v>
      </c>
      <c r="B1546" s="12">
        <f>SUM(B1522:B1545)</f>
        <v>30</v>
      </c>
      <c r="C1546" s="12">
        <f>SUM(C1522:C1545)</f>
        <v>29</v>
      </c>
      <c r="D1546" s="12">
        <f>SUM(D1522:D1545)</f>
        <v>23</v>
      </c>
      <c r="E1546" s="13">
        <f t="shared" si="2371"/>
        <v>82</v>
      </c>
      <c r="F1546" s="12">
        <f>SUM(F1522:F1545)</f>
        <v>31</v>
      </c>
      <c r="G1546" s="12">
        <f>SUM(G1522:G1545)</f>
        <v>25</v>
      </c>
      <c r="H1546" s="12">
        <f>SUM(H1522:H1545)</f>
        <v>24</v>
      </c>
      <c r="I1546" s="13">
        <f t="shared" si="2372"/>
        <v>80</v>
      </c>
      <c r="J1546" s="12">
        <f>SUM(J1522:J1545)</f>
        <v>33</v>
      </c>
      <c r="K1546" s="12">
        <f>SUM(K1522:K1545)</f>
        <v>26</v>
      </c>
      <c r="L1546" s="12">
        <f>SUM(L1522:L1545)</f>
        <v>22</v>
      </c>
      <c r="M1546" s="12">
        <f t="shared" si="2373"/>
        <v>81</v>
      </c>
      <c r="N1546" s="142">
        <f t="shared" si="2374"/>
        <v>243</v>
      </c>
      <c r="P1546" s="3" t="s">
        <v>5</v>
      </c>
      <c r="Q1546" s="12">
        <f>SUM(Q1522:Q1545)</f>
        <v>77</v>
      </c>
      <c r="R1546" s="12">
        <f t="shared" ref="R1546:AC1546" si="2400">SUM(R1522:R1545)</f>
        <v>100</v>
      </c>
      <c r="S1546" s="12">
        <f t="shared" si="2400"/>
        <v>108</v>
      </c>
      <c r="T1546" s="13">
        <f t="shared" si="2400"/>
        <v>285</v>
      </c>
      <c r="U1546" s="12">
        <f t="shared" si="2400"/>
        <v>82</v>
      </c>
      <c r="V1546" s="12">
        <f t="shared" si="2400"/>
        <v>100</v>
      </c>
      <c r="W1546" s="12">
        <f t="shared" si="2400"/>
        <v>118</v>
      </c>
      <c r="X1546" s="13">
        <f t="shared" si="2400"/>
        <v>300</v>
      </c>
      <c r="Y1546" s="12">
        <f t="shared" si="2400"/>
        <v>82</v>
      </c>
      <c r="Z1546" s="12">
        <f t="shared" si="2400"/>
        <v>95</v>
      </c>
      <c r="AA1546" s="12">
        <f t="shared" si="2400"/>
        <v>113</v>
      </c>
      <c r="AB1546" s="13">
        <f t="shared" si="2400"/>
        <v>290</v>
      </c>
      <c r="AC1546" s="155">
        <f t="shared" si="2400"/>
        <v>875</v>
      </c>
    </row>
    <row r="1547" spans="1:31" ht="14.25" thickBot="1" x14ac:dyDescent="0.2">
      <c r="A1547" s="105" t="s">
        <v>6</v>
      </c>
      <c r="B1547" s="20">
        <f>B1521-B1546</f>
        <v>23</v>
      </c>
      <c r="C1547" s="20">
        <f t="shared" ref="C1547:E1547" si="2401">C1521-C1546</f>
        <v>13</v>
      </c>
      <c r="D1547" s="20">
        <f t="shared" si="2401"/>
        <v>19</v>
      </c>
      <c r="E1547" s="18">
        <f t="shared" si="2401"/>
        <v>55</v>
      </c>
      <c r="F1547" s="20">
        <f>F1521-F1546</f>
        <v>24</v>
      </c>
      <c r="G1547" s="20">
        <f t="shared" ref="G1547:I1547" si="2402">G1521-G1546</f>
        <v>16</v>
      </c>
      <c r="H1547" s="20">
        <f t="shared" si="2402"/>
        <v>21</v>
      </c>
      <c r="I1547" s="18">
        <f t="shared" si="2402"/>
        <v>61</v>
      </c>
      <c r="J1547" s="20">
        <f>J1521-J1546</f>
        <v>22</v>
      </c>
      <c r="K1547" s="20">
        <f t="shared" ref="K1547:M1547" si="2403">K1521-K1546</f>
        <v>16</v>
      </c>
      <c r="L1547" s="20">
        <f t="shared" si="2403"/>
        <v>20</v>
      </c>
      <c r="M1547" s="20">
        <f t="shared" si="2403"/>
        <v>58</v>
      </c>
      <c r="N1547" s="140">
        <f t="shared" si="2374"/>
        <v>174</v>
      </c>
      <c r="P1547" s="19" t="s">
        <v>6</v>
      </c>
      <c r="Q1547" s="20">
        <f>Q1521-Q1546</f>
        <v>596</v>
      </c>
      <c r="R1547" s="20">
        <f t="shared" ref="R1547:AC1547" si="2404">R1521-R1546</f>
        <v>609</v>
      </c>
      <c r="S1547" s="20">
        <f t="shared" si="2404"/>
        <v>460</v>
      </c>
      <c r="T1547" s="18">
        <f t="shared" si="2404"/>
        <v>1665</v>
      </c>
      <c r="U1547" s="20">
        <f t="shared" si="2404"/>
        <v>634</v>
      </c>
      <c r="V1547" s="20">
        <f t="shared" si="2404"/>
        <v>705</v>
      </c>
      <c r="W1547" s="20">
        <f t="shared" si="2404"/>
        <v>545</v>
      </c>
      <c r="X1547" s="18">
        <f t="shared" si="2404"/>
        <v>1884</v>
      </c>
      <c r="Y1547" s="20">
        <f t="shared" si="2404"/>
        <v>560</v>
      </c>
      <c r="Z1547" s="20">
        <f t="shared" si="2404"/>
        <v>660</v>
      </c>
      <c r="AA1547" s="20">
        <f t="shared" si="2404"/>
        <v>504</v>
      </c>
      <c r="AB1547" s="18">
        <f t="shared" si="2404"/>
        <v>1724</v>
      </c>
      <c r="AC1547" s="88">
        <f t="shared" si="2404"/>
        <v>5273</v>
      </c>
    </row>
    <row r="1550" spans="1:31" ht="19.5" thickBot="1" x14ac:dyDescent="0.25">
      <c r="A1550" s="108" t="s">
        <v>264</v>
      </c>
      <c r="B1550" s="47"/>
      <c r="C1550" s="47"/>
      <c r="D1550" s="47"/>
      <c r="E1550" s="47"/>
      <c r="F1550" s="48"/>
      <c r="G1550" s="48"/>
      <c r="H1550" s="48"/>
      <c r="I1550" s="48"/>
      <c r="J1550" s="48"/>
      <c r="K1550" s="48"/>
      <c r="L1550" s="1"/>
      <c r="M1550" s="1"/>
      <c r="N1550" s="137"/>
      <c r="P1550" s="43" t="s">
        <v>263</v>
      </c>
      <c r="Q1550" s="44"/>
      <c r="R1550" s="44"/>
      <c r="S1550" s="44"/>
      <c r="T1550" s="44"/>
      <c r="U1550" s="45"/>
      <c r="V1550" s="45"/>
      <c r="W1550" s="45"/>
      <c r="X1550" s="45"/>
      <c r="Y1550" s="46"/>
      <c r="Z1550" s="53"/>
      <c r="AA1550" s="1"/>
      <c r="AB1550" s="1"/>
    </row>
    <row r="1551" spans="1:31" ht="14.25" thickBot="1" x14ac:dyDescent="0.2">
      <c r="A1551" s="100" t="s">
        <v>0</v>
      </c>
      <c r="B1551" s="337" t="s">
        <v>11</v>
      </c>
      <c r="C1551" s="337"/>
      <c r="D1551" s="337"/>
      <c r="E1551" s="338"/>
      <c r="F1551" s="339" t="s">
        <v>9</v>
      </c>
      <c r="G1551" s="340"/>
      <c r="H1551" s="340"/>
      <c r="I1551" s="341"/>
      <c r="J1551" s="342" t="s">
        <v>12</v>
      </c>
      <c r="K1551" s="343"/>
      <c r="L1551" s="343"/>
      <c r="M1551" s="343"/>
      <c r="N1551" s="347" t="s">
        <v>13</v>
      </c>
      <c r="P1551" s="2" t="s">
        <v>0</v>
      </c>
      <c r="Q1551" s="336" t="s">
        <v>11</v>
      </c>
      <c r="R1551" s="337"/>
      <c r="S1551" s="337"/>
      <c r="T1551" s="338"/>
      <c r="U1551" s="339" t="s">
        <v>9</v>
      </c>
      <c r="V1551" s="340"/>
      <c r="W1551" s="340"/>
      <c r="X1551" s="341"/>
      <c r="Y1551" s="342" t="s">
        <v>12</v>
      </c>
      <c r="Z1551" s="343"/>
      <c r="AA1551" s="343"/>
      <c r="AB1551" s="344"/>
      <c r="AC1551" s="133" t="s">
        <v>13</v>
      </c>
    </row>
    <row r="1552" spans="1:31" ht="14.25" thickBot="1" x14ac:dyDescent="0.2">
      <c r="A1552" s="100" t="s">
        <v>1</v>
      </c>
      <c r="B1552" s="3" t="s">
        <v>7</v>
      </c>
      <c r="C1552" s="2" t="s">
        <v>10</v>
      </c>
      <c r="D1552" s="2" t="s">
        <v>8</v>
      </c>
      <c r="E1552" s="2" t="s">
        <v>2</v>
      </c>
      <c r="F1552" s="3" t="s">
        <v>7</v>
      </c>
      <c r="G1552" s="2" t="s">
        <v>10</v>
      </c>
      <c r="H1552" s="2" t="s">
        <v>8</v>
      </c>
      <c r="I1552" s="2" t="s">
        <v>2</v>
      </c>
      <c r="J1552" s="3" t="s">
        <v>7</v>
      </c>
      <c r="K1552" s="2" t="s">
        <v>10</v>
      </c>
      <c r="L1552" s="2" t="s">
        <v>8</v>
      </c>
      <c r="M1552" s="3" t="s">
        <v>2</v>
      </c>
      <c r="N1552" s="348"/>
      <c r="P1552" s="2" t="s">
        <v>1</v>
      </c>
      <c r="Q1552" s="3" t="s">
        <v>7</v>
      </c>
      <c r="R1552" s="2" t="s">
        <v>10</v>
      </c>
      <c r="S1552" s="2" t="s">
        <v>8</v>
      </c>
      <c r="T1552" s="2" t="s">
        <v>2</v>
      </c>
      <c r="U1552" s="3" t="s">
        <v>7</v>
      </c>
      <c r="V1552" s="2" t="s">
        <v>10</v>
      </c>
      <c r="W1552" s="2" t="s">
        <v>8</v>
      </c>
      <c r="X1552" s="2" t="s">
        <v>2</v>
      </c>
      <c r="Y1552" s="3" t="s">
        <v>7</v>
      </c>
      <c r="Z1552" s="2" t="s">
        <v>10</v>
      </c>
      <c r="AA1552" s="2" t="s">
        <v>8</v>
      </c>
      <c r="AB1552" s="2" t="s">
        <v>2</v>
      </c>
      <c r="AC1552" s="134"/>
    </row>
    <row r="1553" spans="1:30" x14ac:dyDescent="0.15">
      <c r="A1553" s="106" t="s">
        <v>6</v>
      </c>
      <c r="B1553" s="41">
        <f>B1547</f>
        <v>23</v>
      </c>
      <c r="C1553" s="41">
        <f t="shared" ref="C1553:E1553" si="2405">C1547</f>
        <v>13</v>
      </c>
      <c r="D1553" s="41">
        <f t="shared" si="2405"/>
        <v>19</v>
      </c>
      <c r="E1553" s="42">
        <f t="shared" si="2405"/>
        <v>55</v>
      </c>
      <c r="F1553" s="41">
        <f>F1547</f>
        <v>24</v>
      </c>
      <c r="G1553" s="41">
        <f t="shared" ref="G1553:I1553" si="2406">G1547</f>
        <v>16</v>
      </c>
      <c r="H1553" s="41">
        <f t="shared" si="2406"/>
        <v>21</v>
      </c>
      <c r="I1553" s="42">
        <f t="shared" si="2406"/>
        <v>61</v>
      </c>
      <c r="J1553" s="41">
        <f>J1547</f>
        <v>22</v>
      </c>
      <c r="K1553" s="41">
        <f t="shared" ref="K1553:M1553" si="2407">K1547</f>
        <v>16</v>
      </c>
      <c r="L1553" s="41">
        <f t="shared" si="2407"/>
        <v>20</v>
      </c>
      <c r="M1553" s="42">
        <f t="shared" si="2407"/>
        <v>58</v>
      </c>
      <c r="N1553" s="143">
        <f>E1553+I1553+M1553</f>
        <v>174</v>
      </c>
      <c r="P1553" s="36" t="s">
        <v>6</v>
      </c>
      <c r="Q1553" s="41">
        <f>Q1547</f>
        <v>596</v>
      </c>
      <c r="R1553" s="41">
        <f t="shared" ref="R1553:AC1553" si="2408">R1547</f>
        <v>609</v>
      </c>
      <c r="S1553" s="41">
        <f t="shared" si="2408"/>
        <v>460</v>
      </c>
      <c r="T1553" s="42">
        <f t="shared" si="2408"/>
        <v>1665</v>
      </c>
      <c r="U1553" s="41">
        <f t="shared" si="2408"/>
        <v>634</v>
      </c>
      <c r="V1553" s="41">
        <f t="shared" si="2408"/>
        <v>705</v>
      </c>
      <c r="W1553" s="41">
        <f t="shared" si="2408"/>
        <v>545</v>
      </c>
      <c r="X1553" s="42">
        <f t="shared" si="2408"/>
        <v>1884</v>
      </c>
      <c r="Y1553" s="41">
        <f t="shared" si="2408"/>
        <v>560</v>
      </c>
      <c r="Z1553" s="41">
        <f t="shared" si="2408"/>
        <v>660</v>
      </c>
      <c r="AA1553" s="41">
        <f t="shared" si="2408"/>
        <v>504</v>
      </c>
      <c r="AB1553" s="42">
        <f t="shared" si="2408"/>
        <v>1724</v>
      </c>
      <c r="AC1553" s="90">
        <f t="shared" si="2408"/>
        <v>5273</v>
      </c>
    </row>
    <row r="1554" spans="1:30" x14ac:dyDescent="0.15">
      <c r="A1554" s="102" t="s">
        <v>3</v>
      </c>
      <c r="B1554" s="25">
        <v>10</v>
      </c>
      <c r="C1554" s="26">
        <v>10</v>
      </c>
      <c r="D1554" s="26">
        <v>10</v>
      </c>
      <c r="E1554" s="5">
        <f t="shared" ref="E1554:E1589" si="2409">SUM(B1554:D1554)</f>
        <v>30</v>
      </c>
      <c r="F1554" s="25">
        <v>10</v>
      </c>
      <c r="G1554" s="26">
        <v>10</v>
      </c>
      <c r="H1554" s="26">
        <v>10</v>
      </c>
      <c r="I1554" s="5">
        <f t="shared" ref="I1554:I1589" si="2410">SUM(F1554:H1554)</f>
        <v>30</v>
      </c>
      <c r="J1554" s="25">
        <v>10</v>
      </c>
      <c r="K1554" s="26">
        <v>10</v>
      </c>
      <c r="L1554" s="26">
        <v>10</v>
      </c>
      <c r="M1554" s="38">
        <f t="shared" ref="M1554:M1589" si="2411">SUM(J1554:L1554)</f>
        <v>30</v>
      </c>
      <c r="N1554" s="138">
        <f t="shared" ref="N1554:N1590" si="2412">E1554+I1554+M1554</f>
        <v>90</v>
      </c>
      <c r="O1554" s="70">
        <v>46053</v>
      </c>
      <c r="P1554" s="6" t="s">
        <v>3</v>
      </c>
      <c r="Q1554" s="14"/>
      <c r="R1554" s="11"/>
      <c r="S1554" s="11"/>
      <c r="T1554" s="5">
        <f t="shared" ref="T1554:T1563" si="2413">SUM(Q1554:S1554)</f>
        <v>0</v>
      </c>
      <c r="U1554" s="14"/>
      <c r="V1554" s="11"/>
      <c r="W1554" s="11"/>
      <c r="X1554" s="5">
        <f t="shared" ref="X1554:X1563" si="2414">SUM(U1554:W1554)</f>
        <v>0</v>
      </c>
      <c r="Y1554" s="25"/>
      <c r="Z1554" s="26"/>
      <c r="AA1554" s="26"/>
      <c r="AB1554" s="5">
        <f t="shared" ref="AB1554:AB1563" si="2415">SUM(Y1554:AA1554)</f>
        <v>0</v>
      </c>
      <c r="AC1554" s="86">
        <f t="shared" ref="AC1554:AC1563" si="2416">T1554+X1554+AB1554</f>
        <v>0</v>
      </c>
    </row>
    <row r="1555" spans="1:30" x14ac:dyDescent="0.15">
      <c r="A1555" s="158" t="s">
        <v>3</v>
      </c>
      <c r="B1555" s="159"/>
      <c r="C1555" s="160">
        <v>10</v>
      </c>
      <c r="D1555" s="160"/>
      <c r="E1555" s="161">
        <f t="shared" si="2409"/>
        <v>10</v>
      </c>
      <c r="F1555" s="162"/>
      <c r="G1555" s="160">
        <v>5</v>
      </c>
      <c r="H1555" s="160"/>
      <c r="I1555" s="161">
        <f t="shared" si="2410"/>
        <v>5</v>
      </c>
      <c r="J1555" s="162"/>
      <c r="K1555" s="160">
        <v>5</v>
      </c>
      <c r="L1555" s="160"/>
      <c r="M1555" s="163">
        <f t="shared" si="2411"/>
        <v>5</v>
      </c>
      <c r="N1555" s="153">
        <f t="shared" si="2412"/>
        <v>20</v>
      </c>
      <c r="O1555" s="164">
        <v>46056</v>
      </c>
      <c r="P1555" s="6" t="s">
        <v>3</v>
      </c>
      <c r="Q1555" s="14"/>
      <c r="R1555" s="11"/>
      <c r="S1555" s="11"/>
      <c r="T1555" s="5">
        <f t="shared" si="2413"/>
        <v>0</v>
      </c>
      <c r="U1555" s="14"/>
      <c r="V1555" s="11"/>
      <c r="W1555" s="11"/>
      <c r="X1555" s="5">
        <f t="shared" si="2414"/>
        <v>0</v>
      </c>
      <c r="Y1555" s="25"/>
      <c r="Z1555" s="26"/>
      <c r="AA1555" s="26"/>
      <c r="AB1555" s="5">
        <f t="shared" si="2415"/>
        <v>0</v>
      </c>
      <c r="AC1555" s="86">
        <f t="shared" si="2416"/>
        <v>0</v>
      </c>
    </row>
    <row r="1556" spans="1:30" x14ac:dyDescent="0.15">
      <c r="A1556" s="102" t="s">
        <v>3</v>
      </c>
      <c r="B1556" s="14"/>
      <c r="C1556" s="11"/>
      <c r="D1556" s="11"/>
      <c r="E1556" s="5">
        <f t="shared" si="2409"/>
        <v>0</v>
      </c>
      <c r="F1556" s="34"/>
      <c r="G1556" s="11"/>
      <c r="H1556" s="11"/>
      <c r="I1556" s="5">
        <f t="shared" si="2410"/>
        <v>0</v>
      </c>
      <c r="J1556" s="34"/>
      <c r="K1556" s="11"/>
      <c r="L1556" s="11"/>
      <c r="M1556" s="38">
        <f t="shared" si="2411"/>
        <v>0</v>
      </c>
      <c r="N1556" s="138">
        <f t="shared" si="2412"/>
        <v>0</v>
      </c>
      <c r="P1556" s="6" t="s">
        <v>378</v>
      </c>
      <c r="Q1556" s="14">
        <v>250</v>
      </c>
      <c r="R1556" s="11">
        <v>400</v>
      </c>
      <c r="S1556" s="11">
        <v>350</v>
      </c>
      <c r="T1556" s="5">
        <f t="shared" si="2413"/>
        <v>1000</v>
      </c>
      <c r="U1556" s="14">
        <v>250</v>
      </c>
      <c r="V1556" s="11">
        <v>400</v>
      </c>
      <c r="W1556" s="11">
        <v>350</v>
      </c>
      <c r="X1556" s="5">
        <f t="shared" si="2414"/>
        <v>1000</v>
      </c>
      <c r="Y1556" s="25">
        <v>300</v>
      </c>
      <c r="Z1556" s="26">
        <v>400</v>
      </c>
      <c r="AA1556" s="26">
        <v>350</v>
      </c>
      <c r="AB1556" s="5">
        <f t="shared" si="2415"/>
        <v>1050</v>
      </c>
      <c r="AC1556" s="86">
        <f t="shared" si="2416"/>
        <v>3050</v>
      </c>
      <c r="AD1556" s="116" t="s">
        <v>1141</v>
      </c>
    </row>
    <row r="1557" spans="1:30" ht="14.25" x14ac:dyDescent="0.15">
      <c r="A1557" s="102" t="s">
        <v>3</v>
      </c>
      <c r="B1557" s="14"/>
      <c r="C1557" s="11"/>
      <c r="D1557" s="11"/>
      <c r="E1557" s="5">
        <f t="shared" si="2409"/>
        <v>0</v>
      </c>
      <c r="F1557" s="34"/>
      <c r="G1557" s="11"/>
      <c r="H1557" s="11"/>
      <c r="I1557" s="5">
        <f t="shared" si="2410"/>
        <v>0</v>
      </c>
      <c r="J1557" s="34"/>
      <c r="K1557" s="11"/>
      <c r="L1557" s="11"/>
      <c r="M1557" s="38">
        <f t="shared" si="2411"/>
        <v>0</v>
      </c>
      <c r="N1557" s="138">
        <f t="shared" si="2412"/>
        <v>0</v>
      </c>
      <c r="P1557" s="6" t="s">
        <v>701</v>
      </c>
      <c r="Q1557" s="14">
        <v>15</v>
      </c>
      <c r="R1557" s="11">
        <v>24</v>
      </c>
      <c r="S1557" s="11">
        <v>4</v>
      </c>
      <c r="T1557" s="5">
        <f t="shared" ref="T1557" si="2417">SUM(Q1557:S1557)</f>
        <v>43</v>
      </c>
      <c r="U1557" s="14">
        <v>15</v>
      </c>
      <c r="V1557" s="11">
        <v>24</v>
      </c>
      <c r="W1557" s="11">
        <v>4</v>
      </c>
      <c r="X1557" s="5">
        <f t="shared" ref="X1557" si="2418">SUM(U1557:W1557)</f>
        <v>43</v>
      </c>
      <c r="Y1557" s="25">
        <v>15</v>
      </c>
      <c r="Z1557" s="26">
        <v>24</v>
      </c>
      <c r="AA1557" s="26">
        <v>4</v>
      </c>
      <c r="AB1557" s="5">
        <f t="shared" ref="AB1557" si="2419">SUM(Y1557:AA1557)</f>
        <v>43</v>
      </c>
      <c r="AC1557" s="86">
        <f t="shared" ref="AC1557" si="2420">T1557+X1557+AB1557</f>
        <v>129</v>
      </c>
      <c r="AD1557" s="296" t="s">
        <v>1474</v>
      </c>
    </row>
    <row r="1558" spans="1:30" x14ac:dyDescent="0.15">
      <c r="A1558" s="102" t="s">
        <v>3</v>
      </c>
      <c r="B1558" s="14"/>
      <c r="C1558" s="11"/>
      <c r="D1558" s="11"/>
      <c r="E1558" s="5">
        <f t="shared" si="2409"/>
        <v>0</v>
      </c>
      <c r="F1558" s="34"/>
      <c r="G1558" s="11"/>
      <c r="H1558" s="11"/>
      <c r="I1558" s="5">
        <f t="shared" si="2410"/>
        <v>0</v>
      </c>
      <c r="J1558" s="34"/>
      <c r="K1558" s="11"/>
      <c r="L1558" s="11"/>
      <c r="M1558" s="38">
        <f t="shared" si="2411"/>
        <v>0</v>
      </c>
      <c r="N1558" s="138">
        <f t="shared" si="2412"/>
        <v>0</v>
      </c>
      <c r="P1558" s="6" t="s">
        <v>3</v>
      </c>
      <c r="Q1558" s="14"/>
      <c r="R1558" s="11"/>
      <c r="S1558" s="11"/>
      <c r="T1558" s="5">
        <f t="shared" si="2413"/>
        <v>0</v>
      </c>
      <c r="U1558" s="14"/>
      <c r="V1558" s="11"/>
      <c r="W1558" s="11"/>
      <c r="X1558" s="5">
        <f t="shared" si="2414"/>
        <v>0</v>
      </c>
      <c r="Y1558" s="25"/>
      <c r="Z1558" s="26"/>
      <c r="AA1558" s="26"/>
      <c r="AB1558" s="5">
        <f t="shared" si="2415"/>
        <v>0</v>
      </c>
      <c r="AC1558" s="86">
        <f t="shared" si="2416"/>
        <v>0</v>
      </c>
      <c r="AD1558" s="116" t="s">
        <v>1346</v>
      </c>
    </row>
    <row r="1559" spans="1:30" x14ac:dyDescent="0.15">
      <c r="A1559" s="102" t="s">
        <v>3</v>
      </c>
      <c r="B1559" s="25"/>
      <c r="C1559" s="26"/>
      <c r="D1559" s="26"/>
      <c r="E1559" s="8">
        <f t="shared" si="2409"/>
        <v>0</v>
      </c>
      <c r="F1559" s="25"/>
      <c r="G1559" s="26"/>
      <c r="H1559" s="26"/>
      <c r="I1559" s="8">
        <f t="shared" si="2410"/>
        <v>0</v>
      </c>
      <c r="J1559" s="25"/>
      <c r="K1559" s="26"/>
      <c r="L1559" s="26"/>
      <c r="M1559" s="39">
        <f t="shared" si="2411"/>
        <v>0</v>
      </c>
      <c r="N1559" s="138">
        <f t="shared" si="2412"/>
        <v>0</v>
      </c>
      <c r="P1559" s="6" t="s">
        <v>3</v>
      </c>
      <c r="Q1559" s="14"/>
      <c r="R1559" s="11"/>
      <c r="S1559" s="11"/>
      <c r="T1559" s="5">
        <f t="shared" si="2413"/>
        <v>0</v>
      </c>
      <c r="U1559" s="14"/>
      <c r="V1559" s="11"/>
      <c r="W1559" s="11"/>
      <c r="X1559" s="5">
        <f t="shared" si="2414"/>
        <v>0</v>
      </c>
      <c r="Y1559" s="25"/>
      <c r="Z1559" s="26"/>
      <c r="AA1559" s="26"/>
      <c r="AB1559" s="8">
        <f t="shared" si="2415"/>
        <v>0</v>
      </c>
      <c r="AC1559" s="86">
        <f t="shared" si="2416"/>
        <v>0</v>
      </c>
    </row>
    <row r="1560" spans="1:30" x14ac:dyDescent="0.15">
      <c r="A1560" s="102" t="s">
        <v>3</v>
      </c>
      <c r="B1560" s="27"/>
      <c r="C1560" s="26"/>
      <c r="D1560" s="26"/>
      <c r="E1560" s="5">
        <f t="shared" si="2409"/>
        <v>0</v>
      </c>
      <c r="F1560" s="25"/>
      <c r="G1560" s="26"/>
      <c r="H1560" s="26"/>
      <c r="I1560" s="5">
        <f t="shared" si="2410"/>
        <v>0</v>
      </c>
      <c r="J1560" s="25"/>
      <c r="K1560" s="26"/>
      <c r="L1560" s="26"/>
      <c r="M1560" s="38">
        <f t="shared" si="2411"/>
        <v>0</v>
      </c>
      <c r="N1560" s="138">
        <f t="shared" si="2412"/>
        <v>0</v>
      </c>
      <c r="P1560" s="6" t="s">
        <v>3</v>
      </c>
      <c r="Q1560" s="27"/>
      <c r="R1560" s="26"/>
      <c r="S1560" s="26"/>
      <c r="T1560" s="5">
        <f t="shared" si="2413"/>
        <v>0</v>
      </c>
      <c r="U1560" s="27"/>
      <c r="V1560" s="26"/>
      <c r="W1560" s="26"/>
      <c r="X1560" s="5">
        <f t="shared" si="2414"/>
        <v>0</v>
      </c>
      <c r="Y1560" s="25"/>
      <c r="Z1560" s="26"/>
      <c r="AA1560" s="26"/>
      <c r="AB1560" s="5">
        <f t="shared" si="2415"/>
        <v>0</v>
      </c>
      <c r="AC1560" s="86">
        <f t="shared" si="2416"/>
        <v>0</v>
      </c>
    </row>
    <row r="1561" spans="1:30" x14ac:dyDescent="0.15">
      <c r="A1561" s="102" t="s">
        <v>3</v>
      </c>
      <c r="B1561" s="27"/>
      <c r="C1561" s="26"/>
      <c r="D1561" s="26"/>
      <c r="E1561" s="5">
        <f t="shared" si="2409"/>
        <v>0</v>
      </c>
      <c r="F1561" s="25"/>
      <c r="G1561" s="26"/>
      <c r="H1561" s="26"/>
      <c r="I1561" s="5">
        <f t="shared" si="2410"/>
        <v>0</v>
      </c>
      <c r="J1561" s="25"/>
      <c r="K1561" s="26"/>
      <c r="L1561" s="26"/>
      <c r="M1561" s="38">
        <f t="shared" si="2411"/>
        <v>0</v>
      </c>
      <c r="N1561" s="138">
        <f t="shared" si="2412"/>
        <v>0</v>
      </c>
      <c r="P1561" s="6" t="s">
        <v>3</v>
      </c>
      <c r="Q1561" s="14"/>
      <c r="R1561" s="11"/>
      <c r="S1561" s="11"/>
      <c r="T1561" s="5">
        <f t="shared" si="2413"/>
        <v>0</v>
      </c>
      <c r="U1561" s="14"/>
      <c r="V1561" s="11"/>
      <c r="W1561" s="11"/>
      <c r="X1561" s="5">
        <f t="shared" si="2414"/>
        <v>0</v>
      </c>
      <c r="Y1561" s="25"/>
      <c r="Z1561" s="26"/>
      <c r="AA1561" s="26"/>
      <c r="AB1561" s="8">
        <f t="shared" si="2415"/>
        <v>0</v>
      </c>
      <c r="AC1561" s="86">
        <f t="shared" si="2416"/>
        <v>0</v>
      </c>
    </row>
    <row r="1562" spans="1:30" x14ac:dyDescent="0.15">
      <c r="A1562" s="102" t="s">
        <v>3</v>
      </c>
      <c r="B1562" s="27"/>
      <c r="C1562" s="26"/>
      <c r="D1562" s="26"/>
      <c r="E1562" s="5">
        <f t="shared" si="2409"/>
        <v>0</v>
      </c>
      <c r="F1562" s="25"/>
      <c r="G1562" s="26"/>
      <c r="H1562" s="26"/>
      <c r="I1562" s="5">
        <f t="shared" si="2410"/>
        <v>0</v>
      </c>
      <c r="J1562" s="25"/>
      <c r="K1562" s="26"/>
      <c r="L1562" s="26"/>
      <c r="M1562" s="38">
        <f t="shared" si="2411"/>
        <v>0</v>
      </c>
      <c r="N1562" s="138">
        <f t="shared" si="2412"/>
        <v>0</v>
      </c>
      <c r="P1562" s="6" t="s">
        <v>3</v>
      </c>
      <c r="Q1562" s="27"/>
      <c r="R1562" s="26"/>
      <c r="S1562" s="26"/>
      <c r="T1562" s="5">
        <f t="shared" si="2413"/>
        <v>0</v>
      </c>
      <c r="U1562" s="27"/>
      <c r="V1562" s="26"/>
      <c r="W1562" s="26"/>
      <c r="X1562" s="5">
        <f t="shared" si="2414"/>
        <v>0</v>
      </c>
      <c r="Y1562" s="25"/>
      <c r="Z1562" s="26"/>
      <c r="AA1562" s="26"/>
      <c r="AB1562" s="5">
        <f t="shared" si="2415"/>
        <v>0</v>
      </c>
      <c r="AC1562" s="86">
        <f t="shared" si="2416"/>
        <v>0</v>
      </c>
    </row>
    <row r="1563" spans="1:30" ht="14.25" thickBot="1" x14ac:dyDescent="0.2">
      <c r="A1563" s="102" t="s">
        <v>3</v>
      </c>
      <c r="B1563" s="28"/>
      <c r="C1563" s="29"/>
      <c r="D1563" s="32"/>
      <c r="E1563" s="15">
        <f t="shared" si="2409"/>
        <v>0</v>
      </c>
      <c r="F1563" s="35"/>
      <c r="G1563" s="29"/>
      <c r="H1563" s="32"/>
      <c r="I1563" s="15">
        <f t="shared" si="2410"/>
        <v>0</v>
      </c>
      <c r="J1563" s="35"/>
      <c r="K1563" s="29"/>
      <c r="L1563" s="32"/>
      <c r="M1563" s="40">
        <f t="shared" si="2411"/>
        <v>0</v>
      </c>
      <c r="N1563" s="139">
        <f t="shared" si="2412"/>
        <v>0</v>
      </c>
      <c r="P1563" s="7" t="s">
        <v>3</v>
      </c>
      <c r="Q1563" s="28"/>
      <c r="R1563" s="29"/>
      <c r="S1563" s="29"/>
      <c r="T1563" s="15">
        <f t="shared" si="2413"/>
        <v>0</v>
      </c>
      <c r="U1563" s="28"/>
      <c r="V1563" s="29"/>
      <c r="W1563" s="29"/>
      <c r="X1563" s="15">
        <f t="shared" si="2414"/>
        <v>0</v>
      </c>
      <c r="Y1563" s="35"/>
      <c r="Z1563" s="29"/>
      <c r="AA1563" s="32"/>
      <c r="AB1563" s="15">
        <f t="shared" si="2415"/>
        <v>0</v>
      </c>
      <c r="AC1563" s="87">
        <f t="shared" si="2416"/>
        <v>0</v>
      </c>
    </row>
    <row r="1564" spans="1:30" ht="14.25" thickBot="1" x14ac:dyDescent="0.2">
      <c r="A1564" s="103" t="s">
        <v>4</v>
      </c>
      <c r="B1564" s="17">
        <f>SUM(B1553:B1563)</f>
        <v>33</v>
      </c>
      <c r="C1564" s="17">
        <f>SUM(C1553:C1563)</f>
        <v>33</v>
      </c>
      <c r="D1564" s="17">
        <f>SUM(D1553:D1563)</f>
        <v>29</v>
      </c>
      <c r="E1564" s="18">
        <f t="shared" si="2409"/>
        <v>95</v>
      </c>
      <c r="F1564" s="17">
        <f>SUM(F1553:F1563)</f>
        <v>34</v>
      </c>
      <c r="G1564" s="17">
        <f>SUM(G1553:G1563)</f>
        <v>31</v>
      </c>
      <c r="H1564" s="17">
        <f>SUM(H1553:H1563)</f>
        <v>31</v>
      </c>
      <c r="I1564" s="18">
        <f t="shared" si="2410"/>
        <v>96</v>
      </c>
      <c r="J1564" s="17">
        <f>SUM(J1553:J1563)</f>
        <v>32</v>
      </c>
      <c r="K1564" s="17">
        <f>SUM(K1553:K1563)</f>
        <v>31</v>
      </c>
      <c r="L1564" s="17">
        <f>SUM(L1553:L1563)</f>
        <v>30</v>
      </c>
      <c r="M1564" s="20">
        <f t="shared" si="2411"/>
        <v>93</v>
      </c>
      <c r="N1564" s="140">
        <f t="shared" si="2412"/>
        <v>284</v>
      </c>
      <c r="P1564" s="16" t="s">
        <v>4</v>
      </c>
      <c r="Q1564" s="17">
        <f>SUM(Q1553:Q1563)</f>
        <v>861</v>
      </c>
      <c r="R1564" s="17">
        <f t="shared" ref="R1564:AC1564" si="2421">SUM(R1553:R1563)</f>
        <v>1033</v>
      </c>
      <c r="S1564" s="17">
        <f t="shared" si="2421"/>
        <v>814</v>
      </c>
      <c r="T1564" s="18">
        <f t="shared" si="2421"/>
        <v>2708</v>
      </c>
      <c r="U1564" s="17">
        <f t="shared" si="2421"/>
        <v>899</v>
      </c>
      <c r="V1564" s="17">
        <f t="shared" si="2421"/>
        <v>1129</v>
      </c>
      <c r="W1564" s="17">
        <f t="shared" si="2421"/>
        <v>899</v>
      </c>
      <c r="X1564" s="18">
        <f t="shared" si="2421"/>
        <v>2927</v>
      </c>
      <c r="Y1564" s="17">
        <f t="shared" si="2421"/>
        <v>875</v>
      </c>
      <c r="Z1564" s="17">
        <f t="shared" si="2421"/>
        <v>1084</v>
      </c>
      <c r="AA1564" s="17">
        <f t="shared" si="2421"/>
        <v>858</v>
      </c>
      <c r="AB1564" s="18">
        <f t="shared" si="2421"/>
        <v>2817</v>
      </c>
      <c r="AC1564" s="88">
        <f t="shared" si="2421"/>
        <v>8452</v>
      </c>
    </row>
    <row r="1565" spans="1:30" x14ac:dyDescent="0.15">
      <c r="A1565" s="11" t="s">
        <v>1496</v>
      </c>
      <c r="B1565" s="9"/>
      <c r="C1565" s="10">
        <v>10</v>
      </c>
      <c r="D1565" s="31">
        <v>5</v>
      </c>
      <c r="E1565" s="5">
        <f t="shared" si="2409"/>
        <v>15</v>
      </c>
      <c r="F1565" s="9"/>
      <c r="G1565" s="10">
        <v>10</v>
      </c>
      <c r="H1565" s="31">
        <v>5</v>
      </c>
      <c r="I1565" s="5">
        <f t="shared" si="2410"/>
        <v>15</v>
      </c>
      <c r="J1565" s="9"/>
      <c r="K1565" s="10">
        <v>10</v>
      </c>
      <c r="L1565" s="31">
        <v>5</v>
      </c>
      <c r="M1565" s="38">
        <f t="shared" si="2411"/>
        <v>15</v>
      </c>
      <c r="N1565" s="141">
        <f t="shared" si="2412"/>
        <v>45</v>
      </c>
      <c r="O1565" s="24">
        <v>46057</v>
      </c>
      <c r="P1565" s="4" t="s">
        <v>1470</v>
      </c>
      <c r="Q1565" s="9"/>
      <c r="R1565" s="10">
        <v>3</v>
      </c>
      <c r="S1565" s="31">
        <v>2</v>
      </c>
      <c r="T1565" s="5">
        <f t="shared" ref="T1565:T1577" si="2422">SUM(Q1565:S1565)</f>
        <v>5</v>
      </c>
      <c r="U1565" s="9"/>
      <c r="V1565" s="10">
        <v>3</v>
      </c>
      <c r="W1565" s="31">
        <v>2</v>
      </c>
      <c r="X1565" s="5">
        <f t="shared" ref="X1565:X1577" si="2423">SUM(U1565:W1565)</f>
        <v>5</v>
      </c>
      <c r="Y1565" s="9"/>
      <c r="Z1565" s="10">
        <v>3</v>
      </c>
      <c r="AA1565" s="31">
        <v>2</v>
      </c>
      <c r="AB1565" s="5">
        <f t="shared" ref="AB1565:AB1577" si="2424">SUM(Y1565:AA1565)</f>
        <v>5</v>
      </c>
      <c r="AC1565" s="148">
        <f t="shared" ref="AC1565:AC1577" si="2425">T1565+X1565+AB1565</f>
        <v>15</v>
      </c>
      <c r="AD1565" s="109">
        <v>46051</v>
      </c>
    </row>
    <row r="1566" spans="1:30" x14ac:dyDescent="0.15">
      <c r="A1566" s="33" t="s">
        <v>36</v>
      </c>
      <c r="B1566" s="9">
        <v>3</v>
      </c>
      <c r="C1566" s="10">
        <v>3</v>
      </c>
      <c r="D1566" s="10"/>
      <c r="E1566" s="5">
        <f t="shared" si="2409"/>
        <v>6</v>
      </c>
      <c r="F1566" s="9">
        <v>2</v>
      </c>
      <c r="G1566" s="10">
        <v>1</v>
      </c>
      <c r="H1566" s="10">
        <v>1</v>
      </c>
      <c r="I1566" s="5">
        <f t="shared" si="2410"/>
        <v>4</v>
      </c>
      <c r="J1566" s="9">
        <v>2</v>
      </c>
      <c r="K1566" s="10">
        <v>2</v>
      </c>
      <c r="L1566" s="10"/>
      <c r="M1566" s="38">
        <f t="shared" si="2411"/>
        <v>4</v>
      </c>
      <c r="N1566" s="138">
        <f t="shared" si="2412"/>
        <v>14</v>
      </c>
      <c r="O1566" s="24">
        <v>46055</v>
      </c>
      <c r="P1566" s="165" t="s">
        <v>1471</v>
      </c>
      <c r="Q1566" s="166">
        <v>25</v>
      </c>
      <c r="R1566" s="167"/>
      <c r="S1566" s="167"/>
      <c r="T1566" s="161">
        <f t="shared" si="2422"/>
        <v>25</v>
      </c>
      <c r="U1566" s="166">
        <v>25</v>
      </c>
      <c r="V1566" s="167"/>
      <c r="W1566" s="167"/>
      <c r="X1566" s="161">
        <f t="shared" si="2423"/>
        <v>25</v>
      </c>
      <c r="Y1566" s="166">
        <v>25</v>
      </c>
      <c r="Z1566" s="167">
        <v>5</v>
      </c>
      <c r="AA1566" s="167"/>
      <c r="AB1566" s="161">
        <f t="shared" si="2424"/>
        <v>30</v>
      </c>
      <c r="AC1566" s="169">
        <f t="shared" si="2425"/>
        <v>80</v>
      </c>
      <c r="AD1566" s="170">
        <v>46050</v>
      </c>
    </row>
    <row r="1567" spans="1:30" x14ac:dyDescent="0.15">
      <c r="A1567" s="4" t="s">
        <v>1491</v>
      </c>
      <c r="B1567" s="9"/>
      <c r="C1567" s="10">
        <v>1</v>
      </c>
      <c r="D1567" s="10"/>
      <c r="E1567" s="5">
        <f t="shared" si="2409"/>
        <v>1</v>
      </c>
      <c r="F1567" s="9"/>
      <c r="G1567" s="10">
        <v>1</v>
      </c>
      <c r="H1567" s="10"/>
      <c r="I1567" s="5">
        <f t="shared" si="2410"/>
        <v>1</v>
      </c>
      <c r="J1567" s="9"/>
      <c r="K1567" s="10">
        <v>1</v>
      </c>
      <c r="L1567" s="10"/>
      <c r="M1567" s="38">
        <f t="shared" si="2411"/>
        <v>1</v>
      </c>
      <c r="N1567" s="138">
        <f t="shared" si="2412"/>
        <v>3</v>
      </c>
      <c r="O1567" s="24">
        <v>46059</v>
      </c>
      <c r="P1567" s="4" t="s">
        <v>1473</v>
      </c>
      <c r="Q1567" s="9">
        <v>20</v>
      </c>
      <c r="R1567" s="10">
        <v>10</v>
      </c>
      <c r="S1567" s="10">
        <v>20</v>
      </c>
      <c r="T1567" s="5">
        <f t="shared" si="2422"/>
        <v>50</v>
      </c>
      <c r="U1567" s="9">
        <v>20</v>
      </c>
      <c r="V1567" s="10">
        <v>10</v>
      </c>
      <c r="W1567" s="10">
        <v>20</v>
      </c>
      <c r="X1567" s="5">
        <f t="shared" si="2423"/>
        <v>50</v>
      </c>
      <c r="Y1567" s="9">
        <v>20</v>
      </c>
      <c r="Z1567" s="10">
        <v>10</v>
      </c>
      <c r="AA1567" s="10">
        <v>20</v>
      </c>
      <c r="AB1567" s="5">
        <f t="shared" si="2424"/>
        <v>50</v>
      </c>
      <c r="AC1567" s="93">
        <f t="shared" si="2425"/>
        <v>150</v>
      </c>
      <c r="AD1567" s="109">
        <v>46055</v>
      </c>
    </row>
    <row r="1568" spans="1:30" x14ac:dyDescent="0.15">
      <c r="A1568" s="33" t="s">
        <v>36</v>
      </c>
      <c r="B1568" s="9"/>
      <c r="C1568" s="10"/>
      <c r="D1568" s="10"/>
      <c r="E1568" s="5">
        <f t="shared" si="2409"/>
        <v>0</v>
      </c>
      <c r="F1568" s="9"/>
      <c r="G1568" s="10">
        <v>1</v>
      </c>
      <c r="H1568" s="10"/>
      <c r="I1568" s="5">
        <f t="shared" si="2410"/>
        <v>1</v>
      </c>
      <c r="J1568" s="9"/>
      <c r="K1568" s="10"/>
      <c r="L1568" s="10"/>
      <c r="M1568" s="38">
        <f t="shared" si="2411"/>
        <v>0</v>
      </c>
      <c r="N1568" s="138">
        <f t="shared" si="2412"/>
        <v>1</v>
      </c>
      <c r="O1568" s="70">
        <v>46056</v>
      </c>
      <c r="P1568" s="4" t="s">
        <v>1480</v>
      </c>
      <c r="Q1568" s="9">
        <v>10</v>
      </c>
      <c r="R1568" s="10">
        <v>25</v>
      </c>
      <c r="S1568" s="10"/>
      <c r="T1568" s="5">
        <f t="shared" si="2422"/>
        <v>35</v>
      </c>
      <c r="U1568" s="9">
        <v>10</v>
      </c>
      <c r="V1568" s="10">
        <v>25</v>
      </c>
      <c r="W1568" s="10"/>
      <c r="X1568" s="5">
        <f t="shared" si="2423"/>
        <v>35</v>
      </c>
      <c r="Y1568" s="9">
        <v>10</v>
      </c>
      <c r="Z1568" s="10">
        <v>25</v>
      </c>
      <c r="AA1568" s="10"/>
      <c r="AB1568" s="5">
        <f t="shared" si="2424"/>
        <v>35</v>
      </c>
      <c r="AC1568" s="93">
        <f t="shared" si="2425"/>
        <v>105</v>
      </c>
      <c r="AD1568" s="109">
        <v>46055</v>
      </c>
    </row>
    <row r="1569" spans="1:30" x14ac:dyDescent="0.15">
      <c r="A1569" s="33" t="s">
        <v>1493</v>
      </c>
      <c r="B1569" s="9">
        <v>3</v>
      </c>
      <c r="C1569" s="10"/>
      <c r="D1569" s="10"/>
      <c r="E1569" s="5">
        <f t="shared" si="2409"/>
        <v>3</v>
      </c>
      <c r="F1569" s="9">
        <v>3</v>
      </c>
      <c r="G1569" s="10"/>
      <c r="H1569" s="10"/>
      <c r="I1569" s="5">
        <f t="shared" si="2410"/>
        <v>3</v>
      </c>
      <c r="J1569" s="9">
        <v>3</v>
      </c>
      <c r="K1569" s="10"/>
      <c r="L1569" s="10"/>
      <c r="M1569" s="38">
        <f t="shared" si="2411"/>
        <v>3</v>
      </c>
      <c r="N1569" s="138">
        <f t="shared" si="2412"/>
        <v>9</v>
      </c>
      <c r="O1569" s="24">
        <v>46059</v>
      </c>
      <c r="P1569" s="11" t="s">
        <v>1482</v>
      </c>
      <c r="Q1569" s="9"/>
      <c r="R1569" s="10">
        <v>5</v>
      </c>
      <c r="S1569" s="10"/>
      <c r="T1569" s="5">
        <f t="shared" si="2422"/>
        <v>5</v>
      </c>
      <c r="U1569" s="9"/>
      <c r="V1569" s="10">
        <v>5</v>
      </c>
      <c r="W1569" s="10"/>
      <c r="X1569" s="5">
        <f t="shared" si="2423"/>
        <v>5</v>
      </c>
      <c r="Y1569" s="9"/>
      <c r="Z1569" s="10">
        <v>5</v>
      </c>
      <c r="AA1569" s="10"/>
      <c r="AB1569" s="5">
        <f t="shared" si="2424"/>
        <v>5</v>
      </c>
      <c r="AC1569" s="93">
        <f t="shared" si="2425"/>
        <v>15</v>
      </c>
      <c r="AD1569" s="109">
        <v>46052</v>
      </c>
    </row>
    <row r="1570" spans="1:30" x14ac:dyDescent="0.15">
      <c r="A1570" s="33" t="s">
        <v>36</v>
      </c>
      <c r="B1570" s="9"/>
      <c r="C1570" s="10">
        <v>2</v>
      </c>
      <c r="D1570" s="10"/>
      <c r="E1570" s="8">
        <f t="shared" si="2409"/>
        <v>2</v>
      </c>
      <c r="F1570" s="9">
        <v>2</v>
      </c>
      <c r="G1570" s="10"/>
      <c r="H1570" s="10"/>
      <c r="I1570" s="8">
        <f t="shared" si="2410"/>
        <v>2</v>
      </c>
      <c r="J1570" s="9"/>
      <c r="K1570" s="10">
        <v>2</v>
      </c>
      <c r="L1570" s="10"/>
      <c r="M1570" s="39">
        <f t="shared" si="2411"/>
        <v>2</v>
      </c>
      <c r="N1570" s="138">
        <f t="shared" si="2412"/>
        <v>6</v>
      </c>
      <c r="O1570" s="70">
        <v>46057</v>
      </c>
      <c r="P1570" s="4" t="s">
        <v>1483</v>
      </c>
      <c r="Q1570" s="9"/>
      <c r="R1570" s="10">
        <v>5</v>
      </c>
      <c r="S1570" s="10"/>
      <c r="T1570" s="8">
        <f t="shared" si="2422"/>
        <v>5</v>
      </c>
      <c r="U1570" s="9"/>
      <c r="V1570" s="10">
        <v>5</v>
      </c>
      <c r="W1570" s="10"/>
      <c r="X1570" s="8">
        <f t="shared" si="2423"/>
        <v>5</v>
      </c>
      <c r="Y1570" s="9"/>
      <c r="Z1570" s="10">
        <v>5</v>
      </c>
      <c r="AA1570" s="10"/>
      <c r="AB1570" s="8">
        <f t="shared" si="2424"/>
        <v>5</v>
      </c>
      <c r="AC1570" s="93">
        <f t="shared" si="2425"/>
        <v>15</v>
      </c>
      <c r="AD1570" s="109">
        <v>46052</v>
      </c>
    </row>
    <row r="1571" spans="1:30" x14ac:dyDescent="0.15">
      <c r="A1571" s="33" t="s">
        <v>1498</v>
      </c>
      <c r="B1571" s="9">
        <v>1</v>
      </c>
      <c r="C1571" s="10">
        <v>-1</v>
      </c>
      <c r="D1571" s="10"/>
      <c r="E1571" s="8">
        <f t="shared" si="2409"/>
        <v>0</v>
      </c>
      <c r="F1571" s="9">
        <v>1</v>
      </c>
      <c r="G1571" s="10">
        <v>-1</v>
      </c>
      <c r="H1571" s="10"/>
      <c r="I1571" s="8">
        <f t="shared" si="2410"/>
        <v>0</v>
      </c>
      <c r="J1571" s="9">
        <v>1</v>
      </c>
      <c r="K1571" s="10">
        <v>-1</v>
      </c>
      <c r="L1571" s="10"/>
      <c r="M1571" s="39">
        <f t="shared" si="2411"/>
        <v>0</v>
      </c>
      <c r="N1571" s="138">
        <f t="shared" si="2412"/>
        <v>0</v>
      </c>
      <c r="O1571" s="70">
        <v>46057</v>
      </c>
      <c r="P1571" s="11" t="s">
        <v>1486</v>
      </c>
      <c r="Q1571" s="9">
        <v>5</v>
      </c>
      <c r="R1571" s="10">
        <v>15</v>
      </c>
      <c r="S1571" s="10">
        <v>10</v>
      </c>
      <c r="T1571" s="8">
        <f t="shared" si="2422"/>
        <v>30</v>
      </c>
      <c r="U1571" s="9">
        <v>5</v>
      </c>
      <c r="V1571" s="10">
        <v>15</v>
      </c>
      <c r="W1571" s="10">
        <v>10</v>
      </c>
      <c r="X1571" s="8">
        <f t="shared" si="2423"/>
        <v>30</v>
      </c>
      <c r="Y1571" s="9">
        <v>5</v>
      </c>
      <c r="Z1571" s="10">
        <v>15</v>
      </c>
      <c r="AA1571" s="10">
        <v>10</v>
      </c>
      <c r="AB1571" s="8">
        <f t="shared" si="2424"/>
        <v>30</v>
      </c>
      <c r="AC1571" s="93">
        <f t="shared" si="2425"/>
        <v>90</v>
      </c>
      <c r="AD1571" s="109">
        <v>46056</v>
      </c>
    </row>
    <row r="1572" spans="1:30" x14ac:dyDescent="0.15">
      <c r="A1572" s="33" t="s">
        <v>1501</v>
      </c>
      <c r="B1572" s="9"/>
      <c r="C1572" s="10"/>
      <c r="D1572" s="10">
        <v>2</v>
      </c>
      <c r="E1572" s="8">
        <f t="shared" si="2409"/>
        <v>2</v>
      </c>
      <c r="F1572" s="9"/>
      <c r="G1572" s="10"/>
      <c r="H1572" s="10">
        <v>2</v>
      </c>
      <c r="I1572" s="8">
        <f t="shared" si="2410"/>
        <v>2</v>
      </c>
      <c r="J1572" s="9"/>
      <c r="K1572" s="10"/>
      <c r="L1572" s="10">
        <v>2</v>
      </c>
      <c r="M1572" s="39">
        <f t="shared" si="2411"/>
        <v>2</v>
      </c>
      <c r="N1572" s="138">
        <f t="shared" si="2412"/>
        <v>6</v>
      </c>
      <c r="O1572" s="24">
        <v>46059</v>
      </c>
      <c r="P1572" s="4" t="s">
        <v>1432</v>
      </c>
      <c r="Q1572" s="9">
        <v>10</v>
      </c>
      <c r="R1572" s="10">
        <v>10</v>
      </c>
      <c r="S1572" s="10">
        <v>10</v>
      </c>
      <c r="T1572" s="8">
        <f t="shared" si="2422"/>
        <v>30</v>
      </c>
      <c r="U1572" s="9">
        <v>10</v>
      </c>
      <c r="V1572" s="10">
        <v>10</v>
      </c>
      <c r="W1572" s="10">
        <v>10</v>
      </c>
      <c r="X1572" s="8">
        <f t="shared" si="2423"/>
        <v>30</v>
      </c>
      <c r="Y1572" s="9">
        <v>10</v>
      </c>
      <c r="Z1572" s="10">
        <v>10</v>
      </c>
      <c r="AA1572" s="10">
        <v>10</v>
      </c>
      <c r="AB1572" s="8">
        <f t="shared" si="2424"/>
        <v>30</v>
      </c>
      <c r="AC1572" s="93">
        <f t="shared" si="2425"/>
        <v>90</v>
      </c>
      <c r="AD1572" s="121">
        <v>46053</v>
      </c>
    </row>
    <row r="1573" spans="1:30" x14ac:dyDescent="0.15">
      <c r="A1573" s="33" t="s">
        <v>1503</v>
      </c>
      <c r="B1573" s="9"/>
      <c r="C1573" s="10">
        <v>1</v>
      </c>
      <c r="D1573" s="10"/>
      <c r="E1573" s="8">
        <f t="shared" si="2409"/>
        <v>1</v>
      </c>
      <c r="F1573" s="9"/>
      <c r="G1573" s="10">
        <v>1</v>
      </c>
      <c r="H1573" s="10"/>
      <c r="I1573" s="8">
        <f t="shared" si="2410"/>
        <v>1</v>
      </c>
      <c r="J1573" s="9"/>
      <c r="K1573" s="10">
        <v>1</v>
      </c>
      <c r="L1573" s="10"/>
      <c r="M1573" s="39">
        <f t="shared" si="2411"/>
        <v>1</v>
      </c>
      <c r="N1573" s="138">
        <f t="shared" si="2412"/>
        <v>3</v>
      </c>
      <c r="O1573" s="70">
        <v>46058</v>
      </c>
      <c r="P1573" s="165" t="s">
        <v>1319</v>
      </c>
      <c r="Q1573" s="166"/>
      <c r="R1573" s="167">
        <v>10</v>
      </c>
      <c r="S1573" s="167"/>
      <c r="T1573" s="168">
        <f t="shared" si="2422"/>
        <v>10</v>
      </c>
      <c r="U1573" s="166"/>
      <c r="V1573" s="167">
        <v>5</v>
      </c>
      <c r="W1573" s="167"/>
      <c r="X1573" s="168">
        <f t="shared" si="2423"/>
        <v>5</v>
      </c>
      <c r="Y1573" s="166"/>
      <c r="Z1573" s="167">
        <v>5</v>
      </c>
      <c r="AA1573" s="167"/>
      <c r="AB1573" s="168">
        <f t="shared" si="2424"/>
        <v>5</v>
      </c>
      <c r="AC1573" s="169">
        <f t="shared" si="2425"/>
        <v>20</v>
      </c>
      <c r="AD1573" s="170">
        <v>46056</v>
      </c>
    </row>
    <row r="1574" spans="1:30" x14ac:dyDescent="0.15">
      <c r="A1574" s="33" t="s">
        <v>36</v>
      </c>
      <c r="B1574" s="9"/>
      <c r="C1574" s="10"/>
      <c r="D1574" s="10">
        <v>1</v>
      </c>
      <c r="E1574" s="8">
        <f t="shared" si="2409"/>
        <v>1</v>
      </c>
      <c r="F1574" s="9"/>
      <c r="G1574" s="10"/>
      <c r="H1574" s="10"/>
      <c r="I1574" s="8">
        <f t="shared" si="2410"/>
        <v>0</v>
      </c>
      <c r="J1574" s="9"/>
      <c r="K1574" s="10"/>
      <c r="L1574" s="10">
        <v>1</v>
      </c>
      <c r="M1574" s="39">
        <f t="shared" si="2411"/>
        <v>1</v>
      </c>
      <c r="N1574" s="138">
        <f t="shared" si="2412"/>
        <v>2</v>
      </c>
      <c r="O1574" s="70">
        <v>46094</v>
      </c>
      <c r="P1574" s="33" t="s">
        <v>1490</v>
      </c>
      <c r="Q1574" s="9">
        <v>3</v>
      </c>
      <c r="R1574" s="10">
        <v>2</v>
      </c>
      <c r="S1574" s="10">
        <v>2</v>
      </c>
      <c r="T1574" s="8">
        <f t="shared" si="2422"/>
        <v>7</v>
      </c>
      <c r="U1574" s="9">
        <v>3</v>
      </c>
      <c r="V1574" s="10">
        <v>2</v>
      </c>
      <c r="W1574" s="10">
        <v>2</v>
      </c>
      <c r="X1574" s="8">
        <f t="shared" si="2423"/>
        <v>7</v>
      </c>
      <c r="Y1574" s="9">
        <v>3</v>
      </c>
      <c r="Z1574" s="10">
        <v>2</v>
      </c>
      <c r="AA1574" s="10">
        <v>2</v>
      </c>
      <c r="AB1574" s="8">
        <f t="shared" si="2424"/>
        <v>7</v>
      </c>
      <c r="AC1574" s="93">
        <f t="shared" si="2425"/>
        <v>21</v>
      </c>
      <c r="AD1574" s="109">
        <v>46058</v>
      </c>
    </row>
    <row r="1575" spans="1:30" x14ac:dyDescent="0.15">
      <c r="A1575" s="33"/>
      <c r="B1575" s="9"/>
      <c r="C1575" s="10"/>
      <c r="D1575" s="10"/>
      <c r="E1575" s="8">
        <f t="shared" ref="E1575:E1576" si="2426">SUM(B1575:D1575)</f>
        <v>0</v>
      </c>
      <c r="F1575" s="9"/>
      <c r="G1575" s="10"/>
      <c r="H1575" s="10"/>
      <c r="I1575" s="8">
        <f t="shared" ref="I1575:I1576" si="2427">SUM(F1575:H1575)</f>
        <v>0</v>
      </c>
      <c r="J1575" s="9"/>
      <c r="K1575" s="10"/>
      <c r="L1575" s="10"/>
      <c r="M1575" s="39">
        <f t="shared" ref="M1575:M1576" si="2428">SUM(J1575:L1575)</f>
        <v>0</v>
      </c>
      <c r="N1575" s="138">
        <f t="shared" ref="N1575:N1576" si="2429">E1575+I1575+M1575</f>
        <v>0</v>
      </c>
      <c r="P1575" s="11" t="s">
        <v>1494</v>
      </c>
      <c r="Q1575" s="9">
        <v>15</v>
      </c>
      <c r="R1575" s="10"/>
      <c r="S1575" s="10">
        <v>15</v>
      </c>
      <c r="T1575" s="8">
        <f t="shared" si="2422"/>
        <v>30</v>
      </c>
      <c r="U1575" s="9">
        <v>15</v>
      </c>
      <c r="V1575" s="10"/>
      <c r="W1575" s="10">
        <v>15</v>
      </c>
      <c r="X1575" s="8">
        <f t="shared" si="2423"/>
        <v>30</v>
      </c>
      <c r="Y1575" s="9">
        <v>15</v>
      </c>
      <c r="Z1575" s="10"/>
      <c r="AA1575" s="10">
        <v>15</v>
      </c>
      <c r="AB1575" s="8">
        <f t="shared" si="2424"/>
        <v>30</v>
      </c>
      <c r="AC1575" s="93">
        <f t="shared" si="2425"/>
        <v>90</v>
      </c>
      <c r="AD1575" s="109">
        <v>46059</v>
      </c>
    </row>
    <row r="1576" spans="1:30" x14ac:dyDescent="0.15">
      <c r="A1576" s="33"/>
      <c r="B1576" s="9"/>
      <c r="C1576" s="10"/>
      <c r="D1576" s="10"/>
      <c r="E1576" s="8">
        <f t="shared" si="2426"/>
        <v>0</v>
      </c>
      <c r="F1576" s="9"/>
      <c r="G1576" s="10"/>
      <c r="H1576" s="10"/>
      <c r="I1576" s="8">
        <f t="shared" si="2427"/>
        <v>0</v>
      </c>
      <c r="J1576" s="9"/>
      <c r="K1576" s="10"/>
      <c r="L1576" s="10"/>
      <c r="M1576" s="39">
        <f t="shared" si="2428"/>
        <v>0</v>
      </c>
      <c r="N1576" s="138">
        <f t="shared" si="2429"/>
        <v>0</v>
      </c>
      <c r="P1576" s="11" t="s">
        <v>1497</v>
      </c>
      <c r="Q1576" s="9">
        <v>10</v>
      </c>
      <c r="R1576" s="10">
        <v>10</v>
      </c>
      <c r="S1576" s="10"/>
      <c r="T1576" s="8">
        <f t="shared" si="2422"/>
        <v>20</v>
      </c>
      <c r="U1576" s="9">
        <v>10</v>
      </c>
      <c r="V1576" s="10">
        <v>10</v>
      </c>
      <c r="W1576" s="10"/>
      <c r="X1576" s="8">
        <f t="shared" si="2423"/>
        <v>20</v>
      </c>
      <c r="Y1576" s="9">
        <v>10</v>
      </c>
      <c r="Z1576" s="10">
        <v>10</v>
      </c>
      <c r="AA1576" s="10"/>
      <c r="AB1576" s="8">
        <f t="shared" si="2424"/>
        <v>20</v>
      </c>
      <c r="AC1576" s="93">
        <f t="shared" si="2425"/>
        <v>60</v>
      </c>
      <c r="AD1576" s="109">
        <v>46059</v>
      </c>
    </row>
    <row r="1577" spans="1:30" x14ac:dyDescent="0.15">
      <c r="A1577" s="33"/>
      <c r="B1577" s="9"/>
      <c r="C1577" s="10"/>
      <c r="D1577" s="10"/>
      <c r="E1577" s="8">
        <f t="shared" si="2409"/>
        <v>0</v>
      </c>
      <c r="F1577" s="9"/>
      <c r="G1577" s="10"/>
      <c r="H1577" s="10"/>
      <c r="I1577" s="8">
        <f t="shared" si="2410"/>
        <v>0</v>
      </c>
      <c r="J1577" s="9"/>
      <c r="K1577" s="10"/>
      <c r="L1577" s="10"/>
      <c r="M1577" s="39">
        <f t="shared" si="2411"/>
        <v>0</v>
      </c>
      <c r="N1577" s="138">
        <f t="shared" si="2412"/>
        <v>0</v>
      </c>
      <c r="P1577" s="4" t="s">
        <v>1500</v>
      </c>
      <c r="Q1577" s="9">
        <v>3</v>
      </c>
      <c r="R1577" s="10">
        <v>8</v>
      </c>
      <c r="S1577" s="10">
        <v>3</v>
      </c>
      <c r="T1577" s="5">
        <f t="shared" si="2422"/>
        <v>14</v>
      </c>
      <c r="U1577" s="9">
        <v>3</v>
      </c>
      <c r="V1577" s="10">
        <v>8</v>
      </c>
      <c r="W1577" s="10">
        <v>3</v>
      </c>
      <c r="X1577" s="5">
        <f t="shared" si="2423"/>
        <v>14</v>
      </c>
      <c r="Y1577" s="9">
        <v>3</v>
      </c>
      <c r="Z1577" s="10">
        <v>8</v>
      </c>
      <c r="AA1577" s="10">
        <v>3</v>
      </c>
      <c r="AB1577" s="5">
        <f t="shared" si="2424"/>
        <v>14</v>
      </c>
      <c r="AC1577" s="93">
        <f t="shared" si="2425"/>
        <v>42</v>
      </c>
      <c r="AD1577" s="109">
        <v>46059</v>
      </c>
    </row>
    <row r="1578" spans="1:30" x14ac:dyDescent="0.15">
      <c r="A1578" s="33"/>
      <c r="B1578" s="9"/>
      <c r="C1578" s="10"/>
      <c r="D1578" s="10"/>
      <c r="E1578" s="8">
        <f t="shared" si="2409"/>
        <v>0</v>
      </c>
      <c r="F1578" s="9"/>
      <c r="G1578" s="10"/>
      <c r="H1578" s="10"/>
      <c r="I1578" s="8">
        <f t="shared" si="2410"/>
        <v>0</v>
      </c>
      <c r="J1578" s="9"/>
      <c r="K1578" s="10"/>
      <c r="L1578" s="10"/>
      <c r="M1578" s="39">
        <f t="shared" si="2411"/>
        <v>0</v>
      </c>
      <c r="N1578" s="138">
        <f t="shared" si="2412"/>
        <v>0</v>
      </c>
      <c r="P1578" s="4"/>
      <c r="Q1578" s="9"/>
      <c r="R1578" s="10"/>
      <c r="S1578" s="10"/>
      <c r="T1578" s="8">
        <f t="shared" ref="T1578" si="2430">SUM(Q1578:S1578)</f>
        <v>0</v>
      </c>
      <c r="U1578" s="9"/>
      <c r="V1578" s="10"/>
      <c r="W1578" s="10"/>
      <c r="X1578" s="8">
        <f t="shared" ref="X1578" si="2431">SUM(U1578:W1578)</f>
        <v>0</v>
      </c>
      <c r="Y1578" s="9"/>
      <c r="Z1578" s="10"/>
      <c r="AA1578" s="10"/>
      <c r="AB1578" s="8">
        <f t="shared" ref="AB1578" si="2432">SUM(Y1578:AA1578)</f>
        <v>0</v>
      </c>
      <c r="AC1578" s="93">
        <f t="shared" ref="AC1578" si="2433">T1578+X1578+AB1578</f>
        <v>0</v>
      </c>
    </row>
    <row r="1579" spans="1:30" x14ac:dyDescent="0.15">
      <c r="A1579" s="33"/>
      <c r="B1579" s="9"/>
      <c r="C1579" s="10"/>
      <c r="D1579" s="10"/>
      <c r="E1579" s="8">
        <f t="shared" si="2409"/>
        <v>0</v>
      </c>
      <c r="F1579" s="9"/>
      <c r="G1579" s="10"/>
      <c r="H1579" s="10"/>
      <c r="I1579" s="8">
        <f t="shared" si="2410"/>
        <v>0</v>
      </c>
      <c r="J1579" s="9"/>
      <c r="K1579" s="10"/>
      <c r="L1579" s="10"/>
      <c r="M1579" s="39">
        <f t="shared" si="2411"/>
        <v>0</v>
      </c>
      <c r="N1579" s="138">
        <f t="shared" si="2412"/>
        <v>0</v>
      </c>
      <c r="P1579" s="81" t="s">
        <v>1404</v>
      </c>
      <c r="Q1579" s="71"/>
      <c r="R1579" s="72"/>
      <c r="S1579" s="72"/>
      <c r="T1579" s="73">
        <f t="shared" ref="T1579:T1584" si="2434">SUM(Q1579:S1579)</f>
        <v>0</v>
      </c>
      <c r="U1579" s="71"/>
      <c r="V1579" s="72"/>
      <c r="W1579" s="72"/>
      <c r="X1579" s="73">
        <f t="shared" ref="X1579:X1584" si="2435">SUM(U1579:W1579)</f>
        <v>0</v>
      </c>
      <c r="Y1579" s="71"/>
      <c r="Z1579" s="72"/>
      <c r="AA1579" s="72"/>
      <c r="AB1579" s="73">
        <f t="shared" ref="AB1579:AB1584" si="2436">SUM(Y1579:AA1579)</f>
        <v>0</v>
      </c>
      <c r="AC1579" s="92">
        <f t="shared" ref="AC1579:AC1584" si="2437">T1579+X1579+AB1579</f>
        <v>0</v>
      </c>
      <c r="AD1579" s="116"/>
    </row>
    <row r="1580" spans="1:30" x14ac:dyDescent="0.15">
      <c r="A1580" s="63"/>
      <c r="B1580" s="9"/>
      <c r="C1580" s="10"/>
      <c r="D1580" s="10"/>
      <c r="E1580" s="8">
        <f t="shared" si="2409"/>
        <v>0</v>
      </c>
      <c r="F1580" s="9"/>
      <c r="G1580" s="10"/>
      <c r="H1580" s="10"/>
      <c r="I1580" s="8">
        <f t="shared" si="2410"/>
        <v>0</v>
      </c>
      <c r="J1580" s="9"/>
      <c r="K1580" s="10"/>
      <c r="L1580" s="10"/>
      <c r="M1580" s="39">
        <f t="shared" si="2411"/>
        <v>0</v>
      </c>
      <c r="N1580" s="138">
        <f t="shared" si="2412"/>
        <v>0</v>
      </c>
      <c r="P1580" s="4" t="s">
        <v>1403</v>
      </c>
      <c r="Q1580" s="9"/>
      <c r="R1580" s="10"/>
      <c r="S1580" s="10"/>
      <c r="T1580" s="8">
        <f t="shared" si="2434"/>
        <v>0</v>
      </c>
      <c r="U1580" s="9"/>
      <c r="V1580" s="10"/>
      <c r="W1580" s="10"/>
      <c r="X1580" s="8">
        <f t="shared" si="2435"/>
        <v>0</v>
      </c>
      <c r="Y1580" s="9"/>
      <c r="Z1580" s="10"/>
      <c r="AA1580" s="10"/>
      <c r="AB1580" s="8">
        <f t="shared" si="2436"/>
        <v>0</v>
      </c>
      <c r="AC1580" s="93">
        <f t="shared" si="2437"/>
        <v>0</v>
      </c>
      <c r="AD1580" s="116" t="s">
        <v>1237</v>
      </c>
    </row>
    <row r="1581" spans="1:30" x14ac:dyDescent="0.15">
      <c r="A1581" s="33"/>
      <c r="B1581" s="9"/>
      <c r="C1581" s="10"/>
      <c r="D1581" s="10"/>
      <c r="E1581" s="8">
        <f t="shared" si="2409"/>
        <v>0</v>
      </c>
      <c r="F1581" s="9"/>
      <c r="G1581" s="10"/>
      <c r="H1581" s="10"/>
      <c r="I1581" s="8">
        <f t="shared" si="2410"/>
        <v>0</v>
      </c>
      <c r="J1581" s="9"/>
      <c r="K1581" s="10"/>
      <c r="L1581" s="10"/>
      <c r="M1581" s="39">
        <f t="shared" si="2411"/>
        <v>0</v>
      </c>
      <c r="N1581" s="138">
        <f t="shared" si="2412"/>
        <v>0</v>
      </c>
      <c r="P1581" s="11" t="s">
        <v>1352</v>
      </c>
      <c r="Q1581" s="9"/>
      <c r="R1581" s="10"/>
      <c r="S1581" s="10"/>
      <c r="T1581" s="8">
        <f t="shared" si="2434"/>
        <v>0</v>
      </c>
      <c r="U1581" s="9"/>
      <c r="V1581" s="10"/>
      <c r="W1581" s="10"/>
      <c r="X1581" s="8">
        <f t="shared" si="2435"/>
        <v>0</v>
      </c>
      <c r="Y1581" s="9"/>
      <c r="Z1581" s="10"/>
      <c r="AA1581" s="10"/>
      <c r="AB1581" s="8">
        <f t="shared" si="2436"/>
        <v>0</v>
      </c>
      <c r="AC1581" s="93">
        <f t="shared" si="2437"/>
        <v>0</v>
      </c>
      <c r="AD1581" s="116" t="s">
        <v>565</v>
      </c>
    </row>
    <row r="1582" spans="1:30" x14ac:dyDescent="0.15">
      <c r="A1582" s="33"/>
      <c r="B1582" s="9"/>
      <c r="C1582" s="10"/>
      <c r="D1582" s="10"/>
      <c r="E1582" s="8">
        <f t="shared" si="2409"/>
        <v>0</v>
      </c>
      <c r="F1582" s="9"/>
      <c r="G1582" s="10"/>
      <c r="H1582" s="10"/>
      <c r="I1582" s="8">
        <f t="shared" si="2410"/>
        <v>0</v>
      </c>
      <c r="J1582" s="9"/>
      <c r="K1582" s="10"/>
      <c r="L1582" s="10"/>
      <c r="M1582" s="39">
        <f t="shared" si="2411"/>
        <v>0</v>
      </c>
      <c r="N1582" s="138">
        <f t="shared" si="2412"/>
        <v>0</v>
      </c>
      <c r="P1582" s="81" t="s">
        <v>1256</v>
      </c>
      <c r="Q1582" s="71"/>
      <c r="R1582" s="72"/>
      <c r="S1582" s="72"/>
      <c r="T1582" s="73">
        <f t="shared" si="2434"/>
        <v>0</v>
      </c>
      <c r="U1582" s="71"/>
      <c r="V1582" s="72"/>
      <c r="W1582" s="72"/>
      <c r="X1582" s="73">
        <f t="shared" si="2435"/>
        <v>0</v>
      </c>
      <c r="Y1582" s="71"/>
      <c r="Z1582" s="72"/>
      <c r="AA1582" s="72"/>
      <c r="AB1582" s="73">
        <f t="shared" si="2436"/>
        <v>0</v>
      </c>
      <c r="AC1582" s="92">
        <f t="shared" si="2437"/>
        <v>0</v>
      </c>
      <c r="AD1582" s="116"/>
    </row>
    <row r="1583" spans="1:30" x14ac:dyDescent="0.15">
      <c r="A1583" s="33"/>
      <c r="B1583" s="9"/>
      <c r="C1583" s="10"/>
      <c r="D1583" s="10"/>
      <c r="E1583" s="8">
        <f t="shared" si="2409"/>
        <v>0</v>
      </c>
      <c r="F1583" s="9"/>
      <c r="G1583" s="10"/>
      <c r="H1583" s="10"/>
      <c r="I1583" s="8">
        <f t="shared" si="2410"/>
        <v>0</v>
      </c>
      <c r="J1583" s="9"/>
      <c r="K1583" s="10"/>
      <c r="L1583" s="10"/>
      <c r="M1583" s="39">
        <f t="shared" si="2411"/>
        <v>0</v>
      </c>
      <c r="N1583" s="138">
        <f t="shared" si="2412"/>
        <v>0</v>
      </c>
      <c r="P1583" s="4" t="s">
        <v>1257</v>
      </c>
      <c r="Q1583" s="9"/>
      <c r="R1583" s="10"/>
      <c r="S1583" s="10"/>
      <c r="T1583" s="8">
        <f t="shared" si="2434"/>
        <v>0</v>
      </c>
      <c r="U1583" s="9"/>
      <c r="V1583" s="10"/>
      <c r="W1583" s="10"/>
      <c r="X1583" s="8">
        <f t="shared" si="2435"/>
        <v>0</v>
      </c>
      <c r="Y1583" s="9"/>
      <c r="Z1583" s="10"/>
      <c r="AA1583" s="10"/>
      <c r="AB1583" s="8">
        <f t="shared" si="2436"/>
        <v>0</v>
      </c>
      <c r="AC1583" s="86">
        <f t="shared" si="2437"/>
        <v>0</v>
      </c>
      <c r="AD1583" s="116" t="s">
        <v>1258</v>
      </c>
    </row>
    <row r="1584" spans="1:30" x14ac:dyDescent="0.15">
      <c r="A1584" s="33"/>
      <c r="B1584" s="9"/>
      <c r="C1584" s="10"/>
      <c r="D1584" s="10"/>
      <c r="E1584" s="8">
        <f t="shared" si="2409"/>
        <v>0</v>
      </c>
      <c r="F1584" s="9"/>
      <c r="G1584" s="10"/>
      <c r="H1584" s="10"/>
      <c r="I1584" s="8">
        <f t="shared" si="2410"/>
        <v>0</v>
      </c>
      <c r="J1584" s="9"/>
      <c r="K1584" s="10"/>
      <c r="L1584" s="10"/>
      <c r="M1584" s="39">
        <f t="shared" si="2411"/>
        <v>0</v>
      </c>
      <c r="N1584" s="138">
        <f t="shared" si="2412"/>
        <v>0</v>
      </c>
      <c r="P1584" s="4" t="s">
        <v>1408</v>
      </c>
      <c r="Q1584" s="9"/>
      <c r="R1584" s="10"/>
      <c r="S1584" s="10"/>
      <c r="T1584" s="8">
        <f t="shared" si="2434"/>
        <v>0</v>
      </c>
      <c r="U1584" s="9"/>
      <c r="V1584" s="10"/>
      <c r="W1584" s="10"/>
      <c r="X1584" s="8">
        <f t="shared" si="2435"/>
        <v>0</v>
      </c>
      <c r="Y1584" s="9"/>
      <c r="Z1584" s="10"/>
      <c r="AA1584" s="10"/>
      <c r="AB1584" s="8">
        <f t="shared" si="2436"/>
        <v>0</v>
      </c>
      <c r="AC1584" s="93">
        <f t="shared" si="2437"/>
        <v>0</v>
      </c>
      <c r="AD1584" s="116" t="s">
        <v>1237</v>
      </c>
    </row>
    <row r="1585" spans="1:30" x14ac:dyDescent="0.15">
      <c r="A1585" s="33"/>
      <c r="B1585" s="9"/>
      <c r="C1585" s="10"/>
      <c r="D1585" s="10"/>
      <c r="E1585" s="8">
        <f t="shared" si="2409"/>
        <v>0</v>
      </c>
      <c r="F1585" s="9"/>
      <c r="G1585" s="10"/>
      <c r="H1585" s="10"/>
      <c r="I1585" s="8">
        <f t="shared" si="2410"/>
        <v>0</v>
      </c>
      <c r="J1585" s="9"/>
      <c r="K1585" s="10"/>
      <c r="L1585" s="10"/>
      <c r="M1585" s="39">
        <f t="shared" si="2411"/>
        <v>0</v>
      </c>
      <c r="N1585" s="138">
        <f t="shared" si="2412"/>
        <v>0</v>
      </c>
      <c r="P1585" s="6" t="s">
        <v>1378</v>
      </c>
      <c r="Q1585" s="71"/>
      <c r="R1585" s="72"/>
      <c r="S1585" s="72"/>
      <c r="T1585" s="73">
        <f t="shared" ref="T1585:T1588" si="2438">SUM(Q1585:S1585)</f>
        <v>0</v>
      </c>
      <c r="U1585" s="71"/>
      <c r="V1585" s="72"/>
      <c r="W1585" s="72"/>
      <c r="X1585" s="73">
        <f t="shared" ref="X1585:X1588" si="2439">SUM(U1585:W1585)</f>
        <v>0</v>
      </c>
      <c r="Y1585" s="71"/>
      <c r="Z1585" s="72"/>
      <c r="AA1585" s="72"/>
      <c r="AB1585" s="73">
        <f t="shared" ref="AB1585:AB1588" si="2440">SUM(Y1585:AA1585)</f>
        <v>0</v>
      </c>
      <c r="AC1585" s="92">
        <f t="shared" ref="AC1585:AC1588" si="2441">T1585+X1585+AB1585</f>
        <v>0</v>
      </c>
      <c r="AD1585" s="116"/>
    </row>
    <row r="1586" spans="1:30" x14ac:dyDescent="0.15">
      <c r="A1586" s="33"/>
      <c r="B1586" s="9"/>
      <c r="C1586" s="10"/>
      <c r="D1586" s="10"/>
      <c r="E1586" s="8">
        <f t="shared" si="2409"/>
        <v>0</v>
      </c>
      <c r="F1586" s="9"/>
      <c r="G1586" s="10"/>
      <c r="H1586" s="10"/>
      <c r="I1586" s="8">
        <f t="shared" si="2410"/>
        <v>0</v>
      </c>
      <c r="J1586" s="9"/>
      <c r="K1586" s="10"/>
      <c r="L1586" s="10"/>
      <c r="M1586" s="39">
        <f t="shared" si="2411"/>
        <v>0</v>
      </c>
      <c r="N1586" s="138">
        <f t="shared" si="2412"/>
        <v>0</v>
      </c>
      <c r="P1586" s="11" t="s">
        <v>1379</v>
      </c>
      <c r="Q1586" s="9"/>
      <c r="R1586" s="10"/>
      <c r="S1586" s="10"/>
      <c r="T1586" s="8">
        <f t="shared" si="2438"/>
        <v>0</v>
      </c>
      <c r="U1586" s="9"/>
      <c r="V1586" s="10"/>
      <c r="W1586" s="10"/>
      <c r="X1586" s="8">
        <f t="shared" si="2439"/>
        <v>0</v>
      </c>
      <c r="Y1586" s="9"/>
      <c r="Z1586" s="10"/>
      <c r="AA1586" s="10"/>
      <c r="AB1586" s="8">
        <f t="shared" si="2440"/>
        <v>0</v>
      </c>
      <c r="AC1586" s="93">
        <f t="shared" si="2441"/>
        <v>0</v>
      </c>
      <c r="AD1586" s="116" t="s">
        <v>1380</v>
      </c>
    </row>
    <row r="1587" spans="1:30" x14ac:dyDescent="0.15">
      <c r="A1587" s="33"/>
      <c r="B1587" s="9"/>
      <c r="C1587" s="10"/>
      <c r="D1587" s="10"/>
      <c r="E1587" s="8">
        <f t="shared" si="2409"/>
        <v>0</v>
      </c>
      <c r="F1587" s="9"/>
      <c r="G1587" s="10"/>
      <c r="H1587" s="10"/>
      <c r="I1587" s="8">
        <f t="shared" si="2410"/>
        <v>0</v>
      </c>
      <c r="J1587" s="9"/>
      <c r="K1587" s="10"/>
      <c r="L1587" s="10"/>
      <c r="M1587" s="39">
        <f t="shared" si="2411"/>
        <v>0</v>
      </c>
      <c r="N1587" s="138">
        <f t="shared" si="2412"/>
        <v>0</v>
      </c>
      <c r="P1587" s="6" t="s">
        <v>1324</v>
      </c>
      <c r="Q1587" s="71"/>
      <c r="R1587" s="72"/>
      <c r="S1587" s="72"/>
      <c r="T1587" s="283">
        <f t="shared" si="2438"/>
        <v>0</v>
      </c>
      <c r="U1587" s="71"/>
      <c r="V1587" s="72"/>
      <c r="W1587" s="72"/>
      <c r="X1587" s="283">
        <f t="shared" si="2439"/>
        <v>0</v>
      </c>
      <c r="Y1587" s="71"/>
      <c r="Z1587" s="72"/>
      <c r="AA1587" s="72"/>
      <c r="AB1587" s="283">
        <f t="shared" si="2440"/>
        <v>0</v>
      </c>
      <c r="AC1587" s="92">
        <f t="shared" si="2441"/>
        <v>0</v>
      </c>
      <c r="AD1587" s="117"/>
    </row>
    <row r="1588" spans="1:30" ht="14.25" thickBot="1" x14ac:dyDescent="0.2">
      <c r="A1588" s="63"/>
      <c r="B1588" s="9"/>
      <c r="C1588" s="10"/>
      <c r="D1588" s="22"/>
      <c r="E1588" s="8">
        <f t="shared" si="2409"/>
        <v>0</v>
      </c>
      <c r="F1588" s="9"/>
      <c r="G1588" s="10"/>
      <c r="H1588" s="22"/>
      <c r="I1588" s="8">
        <f t="shared" si="2410"/>
        <v>0</v>
      </c>
      <c r="J1588" s="9"/>
      <c r="K1588" s="10"/>
      <c r="L1588" s="22"/>
      <c r="M1588" s="39">
        <f t="shared" si="2411"/>
        <v>0</v>
      </c>
      <c r="N1588" s="139">
        <f t="shared" si="2412"/>
        <v>0</v>
      </c>
      <c r="P1588" s="11" t="s">
        <v>1323</v>
      </c>
      <c r="Q1588" s="9"/>
      <c r="R1588" s="10"/>
      <c r="S1588" s="10"/>
      <c r="T1588" s="130">
        <f t="shared" si="2438"/>
        <v>0</v>
      </c>
      <c r="U1588" s="9"/>
      <c r="V1588" s="10"/>
      <c r="W1588" s="10"/>
      <c r="X1588" s="130">
        <f t="shared" si="2439"/>
        <v>0</v>
      </c>
      <c r="Y1588" s="9"/>
      <c r="Z1588" s="10"/>
      <c r="AA1588" s="10"/>
      <c r="AB1588" s="130">
        <f t="shared" si="2440"/>
        <v>0</v>
      </c>
      <c r="AC1588" s="86">
        <f t="shared" si="2441"/>
        <v>0</v>
      </c>
      <c r="AD1588" s="116" t="s">
        <v>1321</v>
      </c>
    </row>
    <row r="1589" spans="1:30" ht="14.25" thickBot="1" x14ac:dyDescent="0.2">
      <c r="A1589" s="104" t="s">
        <v>5</v>
      </c>
      <c r="B1589" s="12">
        <f>SUM(B1565:B1588)</f>
        <v>7</v>
      </c>
      <c r="C1589" s="12">
        <f>SUM(C1565:C1588)</f>
        <v>16</v>
      </c>
      <c r="D1589" s="12">
        <f>SUM(D1565:D1588)</f>
        <v>8</v>
      </c>
      <c r="E1589" s="13">
        <f t="shared" si="2409"/>
        <v>31</v>
      </c>
      <c r="F1589" s="12">
        <f>SUM(F1565:F1588)</f>
        <v>8</v>
      </c>
      <c r="G1589" s="12">
        <f>SUM(G1565:G1588)</f>
        <v>13</v>
      </c>
      <c r="H1589" s="12">
        <f>SUM(H1565:H1588)</f>
        <v>8</v>
      </c>
      <c r="I1589" s="13">
        <f t="shared" si="2410"/>
        <v>29</v>
      </c>
      <c r="J1589" s="12">
        <f>SUM(J1565:J1588)</f>
        <v>6</v>
      </c>
      <c r="K1589" s="12">
        <f>SUM(K1565:K1588)</f>
        <v>15</v>
      </c>
      <c r="L1589" s="12">
        <f>SUM(L1565:L1588)</f>
        <v>8</v>
      </c>
      <c r="M1589" s="12">
        <f t="shared" si="2411"/>
        <v>29</v>
      </c>
      <c r="N1589" s="142">
        <f t="shared" si="2412"/>
        <v>89</v>
      </c>
      <c r="P1589" s="3" t="s">
        <v>5</v>
      </c>
      <c r="Q1589" s="12">
        <f>SUM(Q1565:Q1588)</f>
        <v>101</v>
      </c>
      <c r="R1589" s="12">
        <f t="shared" ref="R1589:AC1589" si="2442">SUM(R1565:R1588)</f>
        <v>103</v>
      </c>
      <c r="S1589" s="12">
        <f t="shared" si="2442"/>
        <v>62</v>
      </c>
      <c r="T1589" s="13">
        <f t="shared" si="2442"/>
        <v>266</v>
      </c>
      <c r="U1589" s="12">
        <f t="shared" si="2442"/>
        <v>101</v>
      </c>
      <c r="V1589" s="12">
        <f t="shared" si="2442"/>
        <v>98</v>
      </c>
      <c r="W1589" s="12">
        <f t="shared" si="2442"/>
        <v>62</v>
      </c>
      <c r="X1589" s="13">
        <f t="shared" si="2442"/>
        <v>261</v>
      </c>
      <c r="Y1589" s="12">
        <f t="shared" si="2442"/>
        <v>101</v>
      </c>
      <c r="Z1589" s="12">
        <f t="shared" si="2442"/>
        <v>103</v>
      </c>
      <c r="AA1589" s="12">
        <f t="shared" si="2442"/>
        <v>62</v>
      </c>
      <c r="AB1589" s="13">
        <f t="shared" si="2442"/>
        <v>266</v>
      </c>
      <c r="AC1589" s="155">
        <f t="shared" si="2442"/>
        <v>793</v>
      </c>
    </row>
    <row r="1590" spans="1:30" ht="14.25" thickBot="1" x14ac:dyDescent="0.2">
      <c r="A1590" s="105" t="s">
        <v>6</v>
      </c>
      <c r="B1590" s="20">
        <f>B1564-B1589</f>
        <v>26</v>
      </c>
      <c r="C1590" s="20">
        <f t="shared" ref="C1590:E1590" si="2443">C1564-C1589</f>
        <v>17</v>
      </c>
      <c r="D1590" s="20">
        <f t="shared" si="2443"/>
        <v>21</v>
      </c>
      <c r="E1590" s="18">
        <f t="shared" si="2443"/>
        <v>64</v>
      </c>
      <c r="F1590" s="20">
        <f>F1564-F1589</f>
        <v>26</v>
      </c>
      <c r="G1590" s="20">
        <f t="shared" ref="G1590:I1590" si="2444">G1564-G1589</f>
        <v>18</v>
      </c>
      <c r="H1590" s="20">
        <f t="shared" si="2444"/>
        <v>23</v>
      </c>
      <c r="I1590" s="18">
        <f t="shared" si="2444"/>
        <v>67</v>
      </c>
      <c r="J1590" s="20">
        <f>J1564-J1589</f>
        <v>26</v>
      </c>
      <c r="K1590" s="20">
        <f t="shared" ref="K1590:M1590" si="2445">K1564-K1589</f>
        <v>16</v>
      </c>
      <c r="L1590" s="20">
        <f t="shared" si="2445"/>
        <v>22</v>
      </c>
      <c r="M1590" s="20">
        <f t="shared" si="2445"/>
        <v>64</v>
      </c>
      <c r="N1590" s="140">
        <f t="shared" si="2412"/>
        <v>195</v>
      </c>
      <c r="P1590" s="19" t="s">
        <v>6</v>
      </c>
      <c r="Q1590" s="20">
        <f>Q1564-Q1589</f>
        <v>760</v>
      </c>
      <c r="R1590" s="20">
        <f t="shared" ref="R1590:AC1590" si="2446">R1564-R1589</f>
        <v>930</v>
      </c>
      <c r="S1590" s="20">
        <f t="shared" si="2446"/>
        <v>752</v>
      </c>
      <c r="T1590" s="18">
        <f t="shared" si="2446"/>
        <v>2442</v>
      </c>
      <c r="U1590" s="20">
        <f t="shared" si="2446"/>
        <v>798</v>
      </c>
      <c r="V1590" s="20">
        <f t="shared" si="2446"/>
        <v>1031</v>
      </c>
      <c r="W1590" s="20">
        <f t="shared" si="2446"/>
        <v>837</v>
      </c>
      <c r="X1590" s="18">
        <f t="shared" si="2446"/>
        <v>2666</v>
      </c>
      <c r="Y1590" s="20">
        <f t="shared" si="2446"/>
        <v>774</v>
      </c>
      <c r="Z1590" s="20">
        <f t="shared" si="2446"/>
        <v>981</v>
      </c>
      <c r="AA1590" s="20">
        <f t="shared" si="2446"/>
        <v>796</v>
      </c>
      <c r="AB1590" s="18">
        <f t="shared" si="2446"/>
        <v>2551</v>
      </c>
      <c r="AC1590" s="88">
        <f t="shared" si="2446"/>
        <v>7659</v>
      </c>
    </row>
    <row r="1593" spans="1:30" ht="19.5" thickBot="1" x14ac:dyDescent="0.25">
      <c r="A1593" s="108" t="s">
        <v>264</v>
      </c>
      <c r="B1593" s="47"/>
      <c r="C1593" s="47"/>
      <c r="D1593" s="47"/>
      <c r="E1593" s="47"/>
      <c r="F1593" s="48"/>
      <c r="G1593" s="48"/>
      <c r="H1593" s="48"/>
      <c r="I1593" s="48"/>
      <c r="J1593" s="48"/>
      <c r="K1593" s="48"/>
      <c r="L1593" s="1"/>
      <c r="M1593" s="1"/>
      <c r="N1593" s="137"/>
      <c r="P1593" s="43" t="s">
        <v>263</v>
      </c>
      <c r="Q1593" s="44"/>
      <c r="R1593" s="44"/>
      <c r="S1593" s="44"/>
      <c r="T1593" s="44"/>
      <c r="U1593" s="45"/>
      <c r="V1593" s="45"/>
      <c r="W1593" s="45"/>
      <c r="X1593" s="45"/>
      <c r="Y1593" s="46"/>
      <c r="Z1593" s="53"/>
      <c r="AA1593" s="1"/>
      <c r="AB1593" s="1"/>
    </row>
    <row r="1594" spans="1:30" ht="14.25" thickBot="1" x14ac:dyDescent="0.2">
      <c r="A1594" s="100" t="s">
        <v>0</v>
      </c>
      <c r="B1594" s="337" t="s">
        <v>11</v>
      </c>
      <c r="C1594" s="337"/>
      <c r="D1594" s="337"/>
      <c r="E1594" s="338"/>
      <c r="F1594" s="339" t="s">
        <v>9</v>
      </c>
      <c r="G1594" s="340"/>
      <c r="H1594" s="340"/>
      <c r="I1594" s="341"/>
      <c r="J1594" s="342" t="s">
        <v>12</v>
      </c>
      <c r="K1594" s="343"/>
      <c r="L1594" s="343"/>
      <c r="M1594" s="343"/>
      <c r="N1594" s="347" t="s">
        <v>13</v>
      </c>
      <c r="P1594" s="2" t="s">
        <v>0</v>
      </c>
      <c r="Q1594" s="336" t="s">
        <v>11</v>
      </c>
      <c r="R1594" s="337"/>
      <c r="S1594" s="337"/>
      <c r="T1594" s="338"/>
      <c r="U1594" s="339" t="s">
        <v>9</v>
      </c>
      <c r="V1594" s="340"/>
      <c r="W1594" s="340"/>
      <c r="X1594" s="341"/>
      <c r="Y1594" s="342" t="s">
        <v>12</v>
      </c>
      <c r="Z1594" s="343"/>
      <c r="AA1594" s="343"/>
      <c r="AB1594" s="344"/>
      <c r="AC1594" s="133" t="s">
        <v>13</v>
      </c>
    </row>
    <row r="1595" spans="1:30" ht="14.25" thickBot="1" x14ac:dyDescent="0.2">
      <c r="A1595" s="100" t="s">
        <v>1</v>
      </c>
      <c r="B1595" s="3" t="s">
        <v>7</v>
      </c>
      <c r="C1595" s="2" t="s">
        <v>10</v>
      </c>
      <c r="D1595" s="2" t="s">
        <v>8</v>
      </c>
      <c r="E1595" s="2" t="s">
        <v>2</v>
      </c>
      <c r="F1595" s="3" t="s">
        <v>7</v>
      </c>
      <c r="G1595" s="2" t="s">
        <v>10</v>
      </c>
      <c r="H1595" s="2" t="s">
        <v>8</v>
      </c>
      <c r="I1595" s="2" t="s">
        <v>2</v>
      </c>
      <c r="J1595" s="3" t="s">
        <v>7</v>
      </c>
      <c r="K1595" s="2" t="s">
        <v>10</v>
      </c>
      <c r="L1595" s="2" t="s">
        <v>8</v>
      </c>
      <c r="M1595" s="3" t="s">
        <v>2</v>
      </c>
      <c r="N1595" s="348"/>
      <c r="P1595" s="2" t="s">
        <v>1</v>
      </c>
      <c r="Q1595" s="3" t="s">
        <v>7</v>
      </c>
      <c r="R1595" s="2" t="s">
        <v>10</v>
      </c>
      <c r="S1595" s="2" t="s">
        <v>8</v>
      </c>
      <c r="T1595" s="2" t="s">
        <v>2</v>
      </c>
      <c r="U1595" s="3" t="s">
        <v>7</v>
      </c>
      <c r="V1595" s="2" t="s">
        <v>10</v>
      </c>
      <c r="W1595" s="2" t="s">
        <v>8</v>
      </c>
      <c r="X1595" s="2" t="s">
        <v>2</v>
      </c>
      <c r="Y1595" s="3" t="s">
        <v>7</v>
      </c>
      <c r="Z1595" s="2" t="s">
        <v>10</v>
      </c>
      <c r="AA1595" s="2" t="s">
        <v>8</v>
      </c>
      <c r="AB1595" s="2" t="s">
        <v>2</v>
      </c>
      <c r="AC1595" s="134"/>
    </row>
    <row r="1596" spans="1:30" x14ac:dyDescent="0.15">
      <c r="A1596" s="106" t="s">
        <v>6</v>
      </c>
      <c r="B1596" s="41">
        <f>B1590</f>
        <v>26</v>
      </c>
      <c r="C1596" s="41">
        <f t="shared" ref="C1596:E1596" si="2447">C1590</f>
        <v>17</v>
      </c>
      <c r="D1596" s="41">
        <f t="shared" si="2447"/>
        <v>21</v>
      </c>
      <c r="E1596" s="42">
        <f t="shared" si="2447"/>
        <v>64</v>
      </c>
      <c r="F1596" s="41">
        <f>F1590</f>
        <v>26</v>
      </c>
      <c r="G1596" s="41">
        <f t="shared" ref="G1596:I1596" si="2448">G1590</f>
        <v>18</v>
      </c>
      <c r="H1596" s="41">
        <f t="shared" si="2448"/>
        <v>23</v>
      </c>
      <c r="I1596" s="42">
        <f t="shared" si="2448"/>
        <v>67</v>
      </c>
      <c r="J1596" s="41">
        <f>J1590</f>
        <v>26</v>
      </c>
      <c r="K1596" s="41">
        <f t="shared" ref="K1596:M1596" si="2449">K1590</f>
        <v>16</v>
      </c>
      <c r="L1596" s="41">
        <f t="shared" si="2449"/>
        <v>22</v>
      </c>
      <c r="M1596" s="42">
        <f t="shared" si="2449"/>
        <v>64</v>
      </c>
      <c r="N1596" s="143">
        <f>E1596+I1596+M1596</f>
        <v>195</v>
      </c>
      <c r="P1596" s="36" t="s">
        <v>6</v>
      </c>
      <c r="Q1596" s="41">
        <f>Q1590</f>
        <v>760</v>
      </c>
      <c r="R1596" s="41">
        <f t="shared" ref="R1596:AC1596" si="2450">R1590</f>
        <v>930</v>
      </c>
      <c r="S1596" s="41">
        <f t="shared" si="2450"/>
        <v>752</v>
      </c>
      <c r="T1596" s="42">
        <f t="shared" si="2450"/>
        <v>2442</v>
      </c>
      <c r="U1596" s="41">
        <f t="shared" si="2450"/>
        <v>798</v>
      </c>
      <c r="V1596" s="41">
        <f t="shared" si="2450"/>
        <v>1031</v>
      </c>
      <c r="W1596" s="41">
        <f t="shared" si="2450"/>
        <v>837</v>
      </c>
      <c r="X1596" s="42">
        <f t="shared" si="2450"/>
        <v>2666</v>
      </c>
      <c r="Y1596" s="41">
        <f t="shared" si="2450"/>
        <v>774</v>
      </c>
      <c r="Z1596" s="41">
        <f t="shared" si="2450"/>
        <v>981</v>
      </c>
      <c r="AA1596" s="41">
        <f t="shared" si="2450"/>
        <v>796</v>
      </c>
      <c r="AB1596" s="42">
        <f t="shared" si="2450"/>
        <v>2551</v>
      </c>
      <c r="AC1596" s="90">
        <f t="shared" si="2450"/>
        <v>7659</v>
      </c>
    </row>
    <row r="1597" spans="1:30" x14ac:dyDescent="0.15">
      <c r="A1597" s="102" t="s">
        <v>3</v>
      </c>
      <c r="B1597" s="25">
        <v>10</v>
      </c>
      <c r="C1597" s="26">
        <v>10</v>
      </c>
      <c r="D1597" s="26"/>
      <c r="E1597" s="5">
        <f t="shared" ref="E1597:E1632" si="2451">SUM(B1597:D1597)</f>
        <v>20</v>
      </c>
      <c r="F1597" s="25">
        <v>10</v>
      </c>
      <c r="G1597" s="26">
        <v>10</v>
      </c>
      <c r="H1597" s="26"/>
      <c r="I1597" s="5">
        <f t="shared" ref="I1597:I1632" si="2452">SUM(F1597:H1597)</f>
        <v>20</v>
      </c>
      <c r="J1597" s="25">
        <v>10</v>
      </c>
      <c r="K1597" s="26">
        <v>10</v>
      </c>
      <c r="L1597" s="26"/>
      <c r="M1597" s="38">
        <f t="shared" ref="M1597:M1632" si="2453">SUM(J1597:L1597)</f>
        <v>20</v>
      </c>
      <c r="N1597" s="138">
        <f t="shared" ref="N1597:N1633" si="2454">E1597+I1597+M1597</f>
        <v>60</v>
      </c>
      <c r="O1597" s="70">
        <v>46060</v>
      </c>
      <c r="P1597" s="6" t="s">
        <v>3</v>
      </c>
      <c r="Q1597" s="14"/>
      <c r="R1597" s="11"/>
      <c r="S1597" s="11"/>
      <c r="T1597" s="5">
        <f t="shared" ref="T1597:T1602" si="2455">SUM(Q1597:S1597)</f>
        <v>0</v>
      </c>
      <c r="U1597" s="14"/>
      <c r="V1597" s="11"/>
      <c r="W1597" s="11"/>
      <c r="X1597" s="5">
        <f t="shared" ref="X1597:X1602" si="2456">SUM(U1597:W1597)</f>
        <v>0</v>
      </c>
      <c r="Y1597" s="25"/>
      <c r="Z1597" s="26"/>
      <c r="AA1597" s="26"/>
      <c r="AB1597" s="5">
        <f t="shared" ref="AB1597:AB1602" si="2457">SUM(Y1597:AA1597)</f>
        <v>0</v>
      </c>
      <c r="AC1597" s="86">
        <f t="shared" ref="AC1597:AC1602" si="2458">T1597+X1597+AB1597</f>
        <v>0</v>
      </c>
    </row>
    <row r="1598" spans="1:30" x14ac:dyDescent="0.15">
      <c r="A1598" s="102" t="s">
        <v>3</v>
      </c>
      <c r="B1598" s="14"/>
      <c r="C1598" s="11">
        <v>5</v>
      </c>
      <c r="D1598" s="11">
        <v>5</v>
      </c>
      <c r="E1598" s="5">
        <f t="shared" si="2451"/>
        <v>10</v>
      </c>
      <c r="F1598" s="34"/>
      <c r="G1598" s="11">
        <v>5</v>
      </c>
      <c r="H1598" s="11">
        <v>5</v>
      </c>
      <c r="I1598" s="5">
        <f t="shared" si="2452"/>
        <v>10</v>
      </c>
      <c r="J1598" s="34"/>
      <c r="K1598" s="11">
        <v>5</v>
      </c>
      <c r="L1598" s="11">
        <v>5</v>
      </c>
      <c r="M1598" s="38">
        <f t="shared" si="2453"/>
        <v>10</v>
      </c>
      <c r="N1598" s="138">
        <f t="shared" si="2454"/>
        <v>30</v>
      </c>
      <c r="O1598" s="24">
        <v>46066</v>
      </c>
      <c r="P1598" s="81" t="s">
        <v>3</v>
      </c>
      <c r="Q1598" s="62"/>
      <c r="R1598" s="4"/>
      <c r="S1598" s="4"/>
      <c r="T1598" s="5">
        <f t="shared" ref="T1598:T1601" si="2459">SUM(Q1598:S1598)</f>
        <v>0</v>
      </c>
      <c r="U1598" s="62"/>
      <c r="V1598" s="4"/>
      <c r="W1598" s="4"/>
      <c r="X1598" s="5">
        <f t="shared" ref="X1598:X1601" si="2460">SUM(U1598:W1598)</f>
        <v>0</v>
      </c>
      <c r="Y1598" s="280"/>
      <c r="Z1598" s="281"/>
      <c r="AA1598" s="281"/>
      <c r="AB1598" s="5">
        <f t="shared" ref="AB1598:AB1601" si="2461">SUM(Y1598:AA1598)</f>
        <v>0</v>
      </c>
      <c r="AC1598" s="91">
        <f t="shared" ref="AC1598:AC1601" si="2462">T1598+X1598+AB1598</f>
        <v>0</v>
      </c>
    </row>
    <row r="1599" spans="1:30" x14ac:dyDescent="0.15">
      <c r="A1599" s="158" t="s">
        <v>3</v>
      </c>
      <c r="B1599" s="159">
        <v>10</v>
      </c>
      <c r="C1599" s="160">
        <v>10</v>
      </c>
      <c r="D1599" s="160">
        <v>10</v>
      </c>
      <c r="E1599" s="161">
        <f t="shared" si="2451"/>
        <v>30</v>
      </c>
      <c r="F1599" s="162">
        <v>10</v>
      </c>
      <c r="G1599" s="160">
        <v>10</v>
      </c>
      <c r="H1599" s="160">
        <v>10</v>
      </c>
      <c r="I1599" s="161">
        <f t="shared" si="2452"/>
        <v>30</v>
      </c>
      <c r="J1599" s="162">
        <v>10</v>
      </c>
      <c r="K1599" s="160">
        <v>10</v>
      </c>
      <c r="L1599" s="160">
        <v>10</v>
      </c>
      <c r="M1599" s="163">
        <f t="shared" si="2453"/>
        <v>30</v>
      </c>
      <c r="N1599" s="153">
        <f t="shared" si="2454"/>
        <v>90</v>
      </c>
      <c r="O1599" s="164">
        <v>46069</v>
      </c>
      <c r="P1599" s="81" t="s">
        <v>3</v>
      </c>
      <c r="Q1599" s="62"/>
      <c r="R1599" s="4"/>
      <c r="S1599" s="4"/>
      <c r="T1599" s="5">
        <f t="shared" si="2459"/>
        <v>0</v>
      </c>
      <c r="U1599" s="62"/>
      <c r="V1599" s="4"/>
      <c r="W1599" s="4"/>
      <c r="X1599" s="5">
        <f t="shared" si="2460"/>
        <v>0</v>
      </c>
      <c r="Y1599" s="280"/>
      <c r="Z1599" s="281"/>
      <c r="AA1599" s="281"/>
      <c r="AB1599" s="5">
        <f t="shared" si="2461"/>
        <v>0</v>
      </c>
      <c r="AC1599" s="91">
        <f t="shared" si="2462"/>
        <v>0</v>
      </c>
    </row>
    <row r="1600" spans="1:30" x14ac:dyDescent="0.15">
      <c r="A1600" s="102" t="s">
        <v>372</v>
      </c>
      <c r="B1600" s="14">
        <v>0</v>
      </c>
      <c r="C1600" s="11">
        <v>1</v>
      </c>
      <c r="D1600" s="11">
        <v>1</v>
      </c>
      <c r="E1600" s="5">
        <f t="shared" si="2451"/>
        <v>2</v>
      </c>
      <c r="F1600" s="34">
        <v>1</v>
      </c>
      <c r="G1600" s="11">
        <v>0</v>
      </c>
      <c r="H1600" s="11">
        <v>1</v>
      </c>
      <c r="I1600" s="5">
        <f t="shared" si="2452"/>
        <v>2</v>
      </c>
      <c r="J1600" s="34">
        <v>1</v>
      </c>
      <c r="K1600" s="11">
        <v>1</v>
      </c>
      <c r="L1600" s="11">
        <v>0</v>
      </c>
      <c r="M1600" s="38">
        <f t="shared" si="2453"/>
        <v>2</v>
      </c>
      <c r="N1600" s="138">
        <f t="shared" si="2454"/>
        <v>6</v>
      </c>
      <c r="O1600" s="70">
        <v>46071</v>
      </c>
      <c r="P1600" s="81" t="s">
        <v>3</v>
      </c>
      <c r="Q1600" s="62"/>
      <c r="R1600" s="4"/>
      <c r="S1600" s="4"/>
      <c r="T1600" s="5">
        <f t="shared" si="2459"/>
        <v>0</v>
      </c>
      <c r="U1600" s="62"/>
      <c r="V1600" s="4"/>
      <c r="W1600" s="4"/>
      <c r="X1600" s="5">
        <f t="shared" si="2460"/>
        <v>0</v>
      </c>
      <c r="Y1600" s="280"/>
      <c r="Z1600" s="281"/>
      <c r="AA1600" s="281"/>
      <c r="AB1600" s="5">
        <f t="shared" si="2461"/>
        <v>0</v>
      </c>
      <c r="AC1600" s="91">
        <f t="shared" si="2462"/>
        <v>0</v>
      </c>
    </row>
    <row r="1601" spans="1:31" x14ac:dyDescent="0.15">
      <c r="A1601" s="102" t="s">
        <v>319</v>
      </c>
      <c r="B1601" s="14">
        <v>4</v>
      </c>
      <c r="C1601" s="11">
        <v>3</v>
      </c>
      <c r="D1601" s="11">
        <v>4</v>
      </c>
      <c r="E1601" s="5">
        <f t="shared" si="2451"/>
        <v>11</v>
      </c>
      <c r="F1601" s="34">
        <v>4</v>
      </c>
      <c r="G1601" s="11">
        <v>3</v>
      </c>
      <c r="H1601" s="11">
        <v>4</v>
      </c>
      <c r="I1601" s="5">
        <f t="shared" si="2452"/>
        <v>11</v>
      </c>
      <c r="J1601" s="34">
        <v>4</v>
      </c>
      <c r="K1601" s="11">
        <v>3</v>
      </c>
      <c r="L1601" s="11">
        <v>4</v>
      </c>
      <c r="M1601" s="38">
        <f t="shared" si="2453"/>
        <v>11</v>
      </c>
      <c r="N1601" s="138">
        <f t="shared" si="2454"/>
        <v>33</v>
      </c>
      <c r="O1601" s="70">
        <v>46070</v>
      </c>
      <c r="P1601" s="81" t="s">
        <v>3</v>
      </c>
      <c r="Q1601" s="62"/>
      <c r="R1601" s="4"/>
      <c r="S1601" s="4"/>
      <c r="T1601" s="5">
        <f t="shared" si="2459"/>
        <v>0</v>
      </c>
      <c r="U1601" s="62"/>
      <c r="V1601" s="4"/>
      <c r="W1601" s="4"/>
      <c r="X1601" s="5">
        <f t="shared" si="2460"/>
        <v>0</v>
      </c>
      <c r="Y1601" s="280"/>
      <c r="Z1601" s="281"/>
      <c r="AA1601" s="281"/>
      <c r="AB1601" s="5">
        <f t="shared" si="2461"/>
        <v>0</v>
      </c>
      <c r="AC1601" s="91">
        <f t="shared" si="2462"/>
        <v>0</v>
      </c>
    </row>
    <row r="1602" spans="1:31" x14ac:dyDescent="0.15">
      <c r="A1602" s="102" t="s">
        <v>3</v>
      </c>
      <c r="B1602" s="25"/>
      <c r="C1602" s="26">
        <v>10</v>
      </c>
      <c r="D1602" s="26"/>
      <c r="E1602" s="8">
        <f t="shared" si="2451"/>
        <v>10</v>
      </c>
      <c r="F1602" s="25"/>
      <c r="G1602" s="26">
        <v>10</v>
      </c>
      <c r="H1602" s="26"/>
      <c r="I1602" s="8">
        <f t="shared" si="2452"/>
        <v>10</v>
      </c>
      <c r="J1602" s="25"/>
      <c r="K1602" s="26">
        <v>10</v>
      </c>
      <c r="L1602" s="26"/>
      <c r="M1602" s="39">
        <f t="shared" si="2453"/>
        <v>10</v>
      </c>
      <c r="N1602" s="138">
        <f t="shared" si="2454"/>
        <v>30</v>
      </c>
      <c r="O1602" s="70">
        <v>46074</v>
      </c>
      <c r="P1602" s="81" t="s">
        <v>3</v>
      </c>
      <c r="Q1602" s="62"/>
      <c r="R1602" s="4"/>
      <c r="S1602" s="4"/>
      <c r="T1602" s="5">
        <f t="shared" si="2455"/>
        <v>0</v>
      </c>
      <c r="U1602" s="62"/>
      <c r="V1602" s="4"/>
      <c r="W1602" s="4"/>
      <c r="X1602" s="5">
        <f t="shared" si="2456"/>
        <v>0</v>
      </c>
      <c r="Y1602" s="280"/>
      <c r="Z1602" s="281"/>
      <c r="AA1602" s="281"/>
      <c r="AB1602" s="5">
        <f t="shared" si="2457"/>
        <v>0</v>
      </c>
      <c r="AC1602" s="91">
        <f t="shared" si="2458"/>
        <v>0</v>
      </c>
    </row>
    <row r="1603" spans="1:31" x14ac:dyDescent="0.15">
      <c r="A1603" s="158" t="s">
        <v>3</v>
      </c>
      <c r="B1603" s="284"/>
      <c r="C1603" s="238">
        <v>10</v>
      </c>
      <c r="D1603" s="238">
        <v>5</v>
      </c>
      <c r="E1603" s="161">
        <f t="shared" si="2451"/>
        <v>15</v>
      </c>
      <c r="F1603" s="237"/>
      <c r="G1603" s="238">
        <v>10</v>
      </c>
      <c r="H1603" s="238">
        <v>5</v>
      </c>
      <c r="I1603" s="161">
        <f t="shared" si="2452"/>
        <v>15</v>
      </c>
      <c r="J1603" s="237"/>
      <c r="K1603" s="238">
        <v>10</v>
      </c>
      <c r="L1603" s="238">
        <v>10</v>
      </c>
      <c r="M1603" s="163">
        <f t="shared" si="2453"/>
        <v>20</v>
      </c>
      <c r="N1603" s="153">
        <f t="shared" si="2454"/>
        <v>50</v>
      </c>
      <c r="O1603" s="164">
        <v>46080</v>
      </c>
      <c r="P1603" s="6" t="s">
        <v>3</v>
      </c>
      <c r="Q1603" s="14"/>
      <c r="R1603" s="11"/>
      <c r="S1603" s="11"/>
      <c r="T1603" s="5">
        <f t="shared" ref="T1603:T1606" si="2463">SUM(Q1603:S1603)</f>
        <v>0</v>
      </c>
      <c r="U1603" s="14"/>
      <c r="V1603" s="11"/>
      <c r="W1603" s="11"/>
      <c r="X1603" s="5">
        <f t="shared" ref="X1603:X1606" si="2464">SUM(U1603:W1603)</f>
        <v>0</v>
      </c>
      <c r="Y1603" s="25"/>
      <c r="Z1603" s="26"/>
      <c r="AA1603" s="26"/>
      <c r="AB1603" s="8">
        <f t="shared" ref="AB1603:AB1606" si="2465">SUM(Y1603:AA1603)</f>
        <v>0</v>
      </c>
      <c r="AC1603" s="86">
        <f t="shared" ref="AC1603:AC1606" si="2466">T1603+X1603+AB1603</f>
        <v>0</v>
      </c>
    </row>
    <row r="1604" spans="1:31" x14ac:dyDescent="0.15">
      <c r="A1604" s="102" t="s">
        <v>3</v>
      </c>
      <c r="B1604" s="27">
        <v>15</v>
      </c>
      <c r="C1604" s="26">
        <v>10</v>
      </c>
      <c r="D1604" s="26">
        <v>15</v>
      </c>
      <c r="E1604" s="5">
        <f t="shared" si="2451"/>
        <v>40</v>
      </c>
      <c r="F1604" s="25">
        <v>15</v>
      </c>
      <c r="G1604" s="26">
        <v>15</v>
      </c>
      <c r="H1604" s="26">
        <v>10</v>
      </c>
      <c r="I1604" s="5">
        <f t="shared" si="2452"/>
        <v>40</v>
      </c>
      <c r="J1604" s="25">
        <v>15</v>
      </c>
      <c r="K1604" s="26">
        <v>15</v>
      </c>
      <c r="L1604" s="26">
        <v>15</v>
      </c>
      <c r="M1604" s="38">
        <f t="shared" si="2453"/>
        <v>45</v>
      </c>
      <c r="N1604" s="138">
        <f t="shared" si="2454"/>
        <v>125</v>
      </c>
      <c r="O1604" s="24">
        <v>46083</v>
      </c>
      <c r="P1604" s="6" t="s">
        <v>3</v>
      </c>
      <c r="Q1604" s="14"/>
      <c r="R1604" s="11"/>
      <c r="S1604" s="11"/>
      <c r="T1604" s="5">
        <f t="shared" si="2463"/>
        <v>0</v>
      </c>
      <c r="U1604" s="14"/>
      <c r="V1604" s="11"/>
      <c r="W1604" s="11"/>
      <c r="X1604" s="5">
        <f t="shared" si="2464"/>
        <v>0</v>
      </c>
      <c r="Y1604" s="25"/>
      <c r="Z1604" s="26"/>
      <c r="AA1604" s="26"/>
      <c r="AB1604" s="8">
        <f t="shared" si="2465"/>
        <v>0</v>
      </c>
      <c r="AC1604" s="86">
        <f t="shared" si="2466"/>
        <v>0</v>
      </c>
    </row>
    <row r="1605" spans="1:31" x14ac:dyDescent="0.15">
      <c r="A1605" s="102" t="s">
        <v>3</v>
      </c>
      <c r="B1605" s="27"/>
      <c r="C1605" s="26"/>
      <c r="D1605" s="26"/>
      <c r="E1605" s="5">
        <f t="shared" si="2451"/>
        <v>0</v>
      </c>
      <c r="F1605" s="25"/>
      <c r="G1605" s="26"/>
      <c r="H1605" s="26"/>
      <c r="I1605" s="5">
        <f t="shared" si="2452"/>
        <v>0</v>
      </c>
      <c r="J1605" s="25"/>
      <c r="K1605" s="26"/>
      <c r="L1605" s="26"/>
      <c r="M1605" s="38">
        <f t="shared" si="2453"/>
        <v>0</v>
      </c>
      <c r="N1605" s="138">
        <f t="shared" si="2454"/>
        <v>0</v>
      </c>
      <c r="P1605" s="6" t="s">
        <v>3</v>
      </c>
      <c r="Q1605" s="14"/>
      <c r="R1605" s="11"/>
      <c r="S1605" s="11"/>
      <c r="T1605" s="5">
        <f t="shared" si="2463"/>
        <v>0</v>
      </c>
      <c r="U1605" s="14"/>
      <c r="V1605" s="11"/>
      <c r="W1605" s="11"/>
      <c r="X1605" s="5">
        <f t="shared" si="2464"/>
        <v>0</v>
      </c>
      <c r="Y1605" s="25"/>
      <c r="Z1605" s="26"/>
      <c r="AA1605" s="26"/>
      <c r="AB1605" s="8">
        <f t="shared" si="2465"/>
        <v>0</v>
      </c>
      <c r="AC1605" s="86">
        <f t="shared" si="2466"/>
        <v>0</v>
      </c>
    </row>
    <row r="1606" spans="1:31" ht="14.25" thickBot="1" x14ac:dyDescent="0.2">
      <c r="A1606" s="102" t="s">
        <v>3</v>
      </c>
      <c r="B1606" s="28"/>
      <c r="C1606" s="29"/>
      <c r="D1606" s="32"/>
      <c r="E1606" s="15">
        <f t="shared" si="2451"/>
        <v>0</v>
      </c>
      <c r="F1606" s="35"/>
      <c r="G1606" s="29"/>
      <c r="H1606" s="32"/>
      <c r="I1606" s="15">
        <f t="shared" si="2452"/>
        <v>0</v>
      </c>
      <c r="J1606" s="35"/>
      <c r="K1606" s="29"/>
      <c r="L1606" s="32"/>
      <c r="M1606" s="40">
        <f t="shared" si="2453"/>
        <v>0</v>
      </c>
      <c r="N1606" s="139">
        <f t="shared" si="2454"/>
        <v>0</v>
      </c>
      <c r="P1606" s="6" t="s">
        <v>3</v>
      </c>
      <c r="Q1606" s="14"/>
      <c r="R1606" s="11"/>
      <c r="S1606" s="11"/>
      <c r="T1606" s="5">
        <f t="shared" si="2463"/>
        <v>0</v>
      </c>
      <c r="U1606" s="14"/>
      <c r="V1606" s="11"/>
      <c r="W1606" s="11"/>
      <c r="X1606" s="5">
        <f t="shared" si="2464"/>
        <v>0</v>
      </c>
      <c r="Y1606" s="25"/>
      <c r="Z1606" s="26"/>
      <c r="AA1606" s="26"/>
      <c r="AB1606" s="8">
        <f t="shared" si="2465"/>
        <v>0</v>
      </c>
      <c r="AC1606" s="86">
        <f t="shared" si="2466"/>
        <v>0</v>
      </c>
    </row>
    <row r="1607" spans="1:31" ht="14.25" thickBot="1" x14ac:dyDescent="0.2">
      <c r="A1607" s="103" t="s">
        <v>4</v>
      </c>
      <c r="B1607" s="17">
        <f>SUM(B1596:B1606)</f>
        <v>65</v>
      </c>
      <c r="C1607" s="17">
        <f>SUM(C1596:C1606)</f>
        <v>76</v>
      </c>
      <c r="D1607" s="17">
        <f>SUM(D1596:D1606)</f>
        <v>61</v>
      </c>
      <c r="E1607" s="18">
        <f t="shared" si="2451"/>
        <v>202</v>
      </c>
      <c r="F1607" s="17">
        <f>SUM(F1596:F1606)</f>
        <v>66</v>
      </c>
      <c r="G1607" s="17">
        <f>SUM(G1596:G1606)</f>
        <v>81</v>
      </c>
      <c r="H1607" s="17">
        <f>SUM(H1596:H1606)</f>
        <v>58</v>
      </c>
      <c r="I1607" s="18">
        <f t="shared" si="2452"/>
        <v>205</v>
      </c>
      <c r="J1607" s="17">
        <f>SUM(J1596:J1606)</f>
        <v>66</v>
      </c>
      <c r="K1607" s="17">
        <f>SUM(K1596:K1606)</f>
        <v>80</v>
      </c>
      <c r="L1607" s="17">
        <f>SUM(L1596:L1606)</f>
        <v>66</v>
      </c>
      <c r="M1607" s="20">
        <f t="shared" si="2453"/>
        <v>212</v>
      </c>
      <c r="N1607" s="140">
        <f t="shared" si="2454"/>
        <v>619</v>
      </c>
      <c r="P1607" s="16" t="s">
        <v>4</v>
      </c>
      <c r="Q1607" s="17">
        <f>SUM(Q1596:Q1606)</f>
        <v>760</v>
      </c>
      <c r="R1607" s="17">
        <f t="shared" ref="R1607:AC1607" si="2467">SUM(R1596:R1606)</f>
        <v>930</v>
      </c>
      <c r="S1607" s="17">
        <f t="shared" si="2467"/>
        <v>752</v>
      </c>
      <c r="T1607" s="18">
        <f t="shared" si="2467"/>
        <v>2442</v>
      </c>
      <c r="U1607" s="17">
        <f t="shared" si="2467"/>
        <v>798</v>
      </c>
      <c r="V1607" s="17">
        <f t="shared" si="2467"/>
        <v>1031</v>
      </c>
      <c r="W1607" s="17">
        <f t="shared" si="2467"/>
        <v>837</v>
      </c>
      <c r="X1607" s="18">
        <f t="shared" si="2467"/>
        <v>2666</v>
      </c>
      <c r="Y1607" s="17">
        <f t="shared" si="2467"/>
        <v>774</v>
      </c>
      <c r="Z1607" s="17">
        <f t="shared" si="2467"/>
        <v>981</v>
      </c>
      <c r="AA1607" s="17">
        <f t="shared" si="2467"/>
        <v>796</v>
      </c>
      <c r="AB1607" s="18">
        <f t="shared" si="2467"/>
        <v>2551</v>
      </c>
      <c r="AC1607" s="88">
        <f t="shared" si="2467"/>
        <v>7659</v>
      </c>
    </row>
    <row r="1608" spans="1:31" x14ac:dyDescent="0.15">
      <c r="A1608" s="33" t="s">
        <v>1506</v>
      </c>
      <c r="B1608" s="9">
        <v>1</v>
      </c>
      <c r="C1608" s="10">
        <v>2</v>
      </c>
      <c r="D1608" s="31">
        <v>1</v>
      </c>
      <c r="E1608" s="5">
        <f t="shared" si="2451"/>
        <v>4</v>
      </c>
      <c r="F1608" s="9">
        <v>1</v>
      </c>
      <c r="G1608" s="10">
        <v>2</v>
      </c>
      <c r="H1608" s="31">
        <v>1</v>
      </c>
      <c r="I1608" s="5">
        <f t="shared" si="2452"/>
        <v>4</v>
      </c>
      <c r="J1608" s="9">
        <v>1</v>
      </c>
      <c r="K1608" s="10">
        <v>2</v>
      </c>
      <c r="L1608" s="31">
        <v>1</v>
      </c>
      <c r="M1608" s="38">
        <f t="shared" si="2453"/>
        <v>4</v>
      </c>
      <c r="N1608" s="141">
        <f t="shared" si="2454"/>
        <v>12</v>
      </c>
      <c r="O1608" s="24">
        <v>46062</v>
      </c>
      <c r="P1608" s="4" t="s">
        <v>1488</v>
      </c>
      <c r="Q1608" s="9">
        <v>16</v>
      </c>
      <c r="R1608" s="10">
        <v>24</v>
      </c>
      <c r="S1608" s="31">
        <v>24</v>
      </c>
      <c r="T1608" s="5">
        <f t="shared" ref="T1608:T1619" si="2468">SUM(Q1608:S1608)</f>
        <v>64</v>
      </c>
      <c r="U1608" s="9">
        <v>16</v>
      </c>
      <c r="V1608" s="10">
        <v>24</v>
      </c>
      <c r="W1608" s="31">
        <v>24</v>
      </c>
      <c r="X1608" s="5">
        <f t="shared" ref="X1608:X1619" si="2469">SUM(U1608:W1608)</f>
        <v>64</v>
      </c>
      <c r="Y1608" s="9">
        <v>16</v>
      </c>
      <c r="Z1608" s="10">
        <v>24</v>
      </c>
      <c r="AA1608" s="31">
        <v>24</v>
      </c>
      <c r="AB1608" s="5">
        <f t="shared" ref="AB1608:AB1619" si="2470">SUM(Y1608:AA1608)</f>
        <v>64</v>
      </c>
      <c r="AC1608" s="148">
        <f t="shared" ref="AC1608:AC1619" si="2471">T1608+X1608+AB1608</f>
        <v>192</v>
      </c>
      <c r="AD1608" s="109">
        <v>46071</v>
      </c>
    </row>
    <row r="1609" spans="1:31" x14ac:dyDescent="0.15">
      <c r="A1609" s="33" t="s">
        <v>36</v>
      </c>
      <c r="B1609" s="9">
        <v>2</v>
      </c>
      <c r="C1609" s="10"/>
      <c r="D1609" s="10"/>
      <c r="E1609" s="5">
        <f t="shared" si="2451"/>
        <v>2</v>
      </c>
      <c r="F1609" s="9">
        <v>2</v>
      </c>
      <c r="G1609" s="10"/>
      <c r="H1609" s="10"/>
      <c r="I1609" s="5">
        <f t="shared" si="2452"/>
        <v>2</v>
      </c>
      <c r="J1609" s="9">
        <v>2</v>
      </c>
      <c r="K1609" s="10"/>
      <c r="L1609" s="10"/>
      <c r="M1609" s="38">
        <f t="shared" si="2453"/>
        <v>2</v>
      </c>
      <c r="N1609" s="138">
        <f t="shared" si="2454"/>
        <v>6</v>
      </c>
      <c r="O1609" s="70">
        <v>46059</v>
      </c>
      <c r="P1609" s="11" t="s">
        <v>1499</v>
      </c>
      <c r="Q1609" s="9"/>
      <c r="R1609" s="10">
        <v>2</v>
      </c>
      <c r="S1609" s="10">
        <v>2</v>
      </c>
      <c r="T1609" s="5">
        <f t="shared" si="2468"/>
        <v>4</v>
      </c>
      <c r="U1609" s="9"/>
      <c r="V1609" s="10">
        <v>2</v>
      </c>
      <c r="W1609" s="10">
        <v>2</v>
      </c>
      <c r="X1609" s="5">
        <f t="shared" si="2469"/>
        <v>4</v>
      </c>
      <c r="Y1609" s="9"/>
      <c r="Z1609" s="10">
        <v>2</v>
      </c>
      <c r="AA1609" s="10">
        <v>2</v>
      </c>
      <c r="AB1609" s="5">
        <f t="shared" si="2470"/>
        <v>4</v>
      </c>
      <c r="AC1609" s="93">
        <f t="shared" si="2471"/>
        <v>12</v>
      </c>
      <c r="AD1609" s="109">
        <v>46065</v>
      </c>
    </row>
    <row r="1610" spans="1:31" x14ac:dyDescent="0.15">
      <c r="A1610" s="33" t="s">
        <v>1512</v>
      </c>
      <c r="B1610" s="9">
        <v>2</v>
      </c>
      <c r="C1610" s="10">
        <v>1</v>
      </c>
      <c r="D1610" s="10">
        <v>2</v>
      </c>
      <c r="E1610" s="5">
        <f t="shared" si="2451"/>
        <v>5</v>
      </c>
      <c r="F1610" s="9">
        <v>2</v>
      </c>
      <c r="G1610" s="10">
        <v>1</v>
      </c>
      <c r="H1610" s="10">
        <v>2</v>
      </c>
      <c r="I1610" s="5">
        <f t="shared" si="2452"/>
        <v>5</v>
      </c>
      <c r="J1610" s="9">
        <v>2</v>
      </c>
      <c r="K1610" s="10">
        <v>1</v>
      </c>
      <c r="L1610" s="10">
        <v>2</v>
      </c>
      <c r="M1610" s="38">
        <f t="shared" si="2453"/>
        <v>5</v>
      </c>
      <c r="N1610" s="138">
        <f t="shared" si="2454"/>
        <v>15</v>
      </c>
      <c r="O1610" s="24">
        <v>46063</v>
      </c>
      <c r="P1610" s="11" t="s">
        <v>1502</v>
      </c>
      <c r="Q1610" s="9"/>
      <c r="R1610" s="10">
        <v>20</v>
      </c>
      <c r="S1610" s="10"/>
      <c r="T1610" s="5">
        <f t="shared" ref="T1610" si="2472">SUM(Q1610:S1610)</f>
        <v>20</v>
      </c>
      <c r="U1610" s="9"/>
      <c r="V1610" s="10">
        <v>20</v>
      </c>
      <c r="W1610" s="10"/>
      <c r="X1610" s="5">
        <f t="shared" ref="X1610" si="2473">SUM(U1610:W1610)</f>
        <v>20</v>
      </c>
      <c r="Y1610" s="9"/>
      <c r="Z1610" s="10">
        <v>20</v>
      </c>
      <c r="AA1610" s="10"/>
      <c r="AB1610" s="5">
        <f t="shared" ref="AB1610" si="2474">SUM(Y1610:AA1610)</f>
        <v>20</v>
      </c>
      <c r="AC1610" s="93">
        <f t="shared" ref="AC1610" si="2475">T1610+X1610+AB1610</f>
        <v>60</v>
      </c>
      <c r="AD1610" s="109">
        <v>46060</v>
      </c>
    </row>
    <row r="1611" spans="1:31" x14ac:dyDescent="0.15">
      <c r="A1611" s="33" t="s">
        <v>1515</v>
      </c>
      <c r="B1611" s="9"/>
      <c r="C1611" s="10">
        <v>2</v>
      </c>
      <c r="D1611" s="10">
        <v>2</v>
      </c>
      <c r="E1611" s="5">
        <f t="shared" si="2451"/>
        <v>4</v>
      </c>
      <c r="F1611" s="9"/>
      <c r="G1611" s="10">
        <v>2</v>
      </c>
      <c r="H1611" s="10">
        <v>2</v>
      </c>
      <c r="I1611" s="5">
        <f t="shared" si="2452"/>
        <v>4</v>
      </c>
      <c r="J1611" s="9"/>
      <c r="K1611" s="10">
        <v>2</v>
      </c>
      <c r="L1611" s="10">
        <v>2</v>
      </c>
      <c r="M1611" s="38">
        <f t="shared" si="2453"/>
        <v>4</v>
      </c>
      <c r="N1611" s="138">
        <f t="shared" si="2454"/>
        <v>12</v>
      </c>
      <c r="O1611" s="24">
        <v>46065</v>
      </c>
      <c r="P1611" s="11" t="s">
        <v>1507</v>
      </c>
      <c r="Q1611" s="9">
        <v>10</v>
      </c>
      <c r="R1611" s="10">
        <v>10</v>
      </c>
      <c r="S1611" s="10"/>
      <c r="T1611" s="5">
        <f t="shared" si="2468"/>
        <v>20</v>
      </c>
      <c r="U1611" s="9">
        <v>10</v>
      </c>
      <c r="V1611" s="10">
        <v>10</v>
      </c>
      <c r="W1611" s="10"/>
      <c r="X1611" s="5">
        <f t="shared" si="2469"/>
        <v>20</v>
      </c>
      <c r="Y1611" s="9">
        <v>10</v>
      </c>
      <c r="Z1611" s="10">
        <v>10</v>
      </c>
      <c r="AA1611" s="10"/>
      <c r="AB1611" s="5">
        <f t="shared" si="2470"/>
        <v>20</v>
      </c>
      <c r="AC1611" s="93">
        <f t="shared" si="2471"/>
        <v>60</v>
      </c>
      <c r="AD1611" s="109">
        <v>46060</v>
      </c>
    </row>
    <row r="1612" spans="1:31" x14ac:dyDescent="0.15">
      <c r="A1612" s="4" t="s">
        <v>1516</v>
      </c>
      <c r="B1612" s="9"/>
      <c r="C1612" s="10">
        <v>3</v>
      </c>
      <c r="D1612" s="10">
        <v>2</v>
      </c>
      <c r="E1612" s="5">
        <f t="shared" si="2451"/>
        <v>5</v>
      </c>
      <c r="F1612" s="9"/>
      <c r="G1612" s="10">
        <v>3</v>
      </c>
      <c r="H1612" s="10">
        <v>2</v>
      </c>
      <c r="I1612" s="5">
        <f t="shared" si="2452"/>
        <v>5</v>
      </c>
      <c r="J1612" s="9"/>
      <c r="K1612" s="10">
        <v>3</v>
      </c>
      <c r="L1612" s="10">
        <v>2</v>
      </c>
      <c r="M1612" s="38">
        <f t="shared" si="2453"/>
        <v>5</v>
      </c>
      <c r="N1612" s="138">
        <f t="shared" si="2454"/>
        <v>15</v>
      </c>
      <c r="O1612" s="24">
        <v>46069</v>
      </c>
      <c r="P1612" s="4" t="s">
        <v>1513</v>
      </c>
      <c r="Q1612" s="9">
        <v>20</v>
      </c>
      <c r="R1612" s="10"/>
      <c r="S1612" s="10">
        <v>10</v>
      </c>
      <c r="T1612" s="5">
        <f t="shared" si="2468"/>
        <v>30</v>
      </c>
      <c r="U1612" s="9">
        <v>20</v>
      </c>
      <c r="V1612" s="10"/>
      <c r="W1612" s="10">
        <v>10</v>
      </c>
      <c r="X1612" s="5">
        <f t="shared" si="2469"/>
        <v>30</v>
      </c>
      <c r="Y1612" s="9">
        <v>20</v>
      </c>
      <c r="Z1612" s="10"/>
      <c r="AA1612" s="10">
        <v>10</v>
      </c>
      <c r="AB1612" s="5">
        <f t="shared" si="2470"/>
        <v>30</v>
      </c>
      <c r="AC1612" s="93">
        <f t="shared" si="2471"/>
        <v>90</v>
      </c>
      <c r="AD1612" s="109">
        <v>46069</v>
      </c>
      <c r="AE1612" s="58"/>
    </row>
    <row r="1613" spans="1:31" x14ac:dyDescent="0.15">
      <c r="A1613" s="33" t="s">
        <v>36</v>
      </c>
      <c r="B1613" s="9"/>
      <c r="C1613" s="10">
        <v>1</v>
      </c>
      <c r="D1613" s="10"/>
      <c r="E1613" s="8">
        <f t="shared" si="2451"/>
        <v>1</v>
      </c>
      <c r="F1613" s="9"/>
      <c r="G1613" s="10">
        <v>1</v>
      </c>
      <c r="H1613" s="10"/>
      <c r="I1613" s="8">
        <f t="shared" si="2452"/>
        <v>1</v>
      </c>
      <c r="J1613" s="9"/>
      <c r="K1613" s="10">
        <v>1</v>
      </c>
      <c r="L1613" s="10"/>
      <c r="M1613" s="39">
        <f t="shared" si="2453"/>
        <v>1</v>
      </c>
      <c r="N1613" s="138">
        <f t="shared" si="2454"/>
        <v>3</v>
      </c>
      <c r="O1613" s="70">
        <v>46063</v>
      </c>
      <c r="P1613" s="11" t="s">
        <v>1525</v>
      </c>
      <c r="Q1613" s="9"/>
      <c r="R1613" s="10">
        <v>10</v>
      </c>
      <c r="S1613" s="10"/>
      <c r="T1613" s="8">
        <f t="shared" si="2468"/>
        <v>10</v>
      </c>
      <c r="U1613" s="9"/>
      <c r="V1613" s="10">
        <v>10</v>
      </c>
      <c r="W1613" s="10"/>
      <c r="X1613" s="8">
        <f t="shared" si="2469"/>
        <v>10</v>
      </c>
      <c r="Y1613" s="9"/>
      <c r="Z1613" s="10">
        <v>10</v>
      </c>
      <c r="AA1613" s="10"/>
      <c r="AB1613" s="8">
        <f t="shared" si="2470"/>
        <v>10</v>
      </c>
      <c r="AC1613" s="93">
        <f t="shared" si="2471"/>
        <v>30</v>
      </c>
      <c r="AD1613" s="109">
        <v>46066</v>
      </c>
    </row>
    <row r="1614" spans="1:31" x14ac:dyDescent="0.15">
      <c r="A1614" s="33" t="s">
        <v>1517</v>
      </c>
      <c r="B1614" s="9">
        <v>5</v>
      </c>
      <c r="C1614" s="10">
        <v>5</v>
      </c>
      <c r="D1614" s="10">
        <v>4</v>
      </c>
      <c r="E1614" s="8">
        <f t="shared" si="2451"/>
        <v>14</v>
      </c>
      <c r="F1614" s="9">
        <v>5</v>
      </c>
      <c r="G1614" s="10">
        <v>5</v>
      </c>
      <c r="H1614" s="10">
        <v>4</v>
      </c>
      <c r="I1614" s="8">
        <f t="shared" si="2452"/>
        <v>14</v>
      </c>
      <c r="J1614" s="9">
        <v>5</v>
      </c>
      <c r="K1614" s="10">
        <v>5</v>
      </c>
      <c r="L1614" s="10">
        <v>4</v>
      </c>
      <c r="M1614" s="39">
        <f t="shared" si="2453"/>
        <v>14</v>
      </c>
      <c r="N1614" s="138">
        <f t="shared" si="2454"/>
        <v>42</v>
      </c>
      <c r="O1614" s="24">
        <v>46066</v>
      </c>
      <c r="P1614" s="11" t="s">
        <v>1319</v>
      </c>
      <c r="Q1614" s="9"/>
      <c r="R1614" s="10">
        <v>5</v>
      </c>
      <c r="S1614" s="10">
        <v>5</v>
      </c>
      <c r="T1614" s="8">
        <f t="shared" si="2468"/>
        <v>10</v>
      </c>
      <c r="U1614" s="9"/>
      <c r="V1614" s="10">
        <v>5</v>
      </c>
      <c r="W1614" s="10">
        <v>5</v>
      </c>
      <c r="X1614" s="8">
        <f t="shared" si="2469"/>
        <v>10</v>
      </c>
      <c r="Y1614" s="9"/>
      <c r="Z1614" s="10">
        <v>5</v>
      </c>
      <c r="AA1614" s="10">
        <v>5</v>
      </c>
      <c r="AB1614" s="8">
        <f t="shared" si="2470"/>
        <v>10</v>
      </c>
      <c r="AC1614" s="93">
        <f t="shared" si="2471"/>
        <v>30</v>
      </c>
      <c r="AD1614" s="109">
        <v>46066</v>
      </c>
    </row>
    <row r="1615" spans="1:31" x14ac:dyDescent="0.15">
      <c r="A1615" s="33" t="s">
        <v>36</v>
      </c>
      <c r="B1615" s="9"/>
      <c r="C1615" s="10">
        <v>1</v>
      </c>
      <c r="D1615" s="10"/>
      <c r="E1615" s="8">
        <f t="shared" si="2451"/>
        <v>1</v>
      </c>
      <c r="F1615" s="9"/>
      <c r="G1615" s="10">
        <v>2</v>
      </c>
      <c r="H1615" s="10"/>
      <c r="I1615" s="8">
        <f t="shared" si="2452"/>
        <v>2</v>
      </c>
      <c r="J1615" s="9"/>
      <c r="K1615" s="10">
        <v>1</v>
      </c>
      <c r="L1615" s="10"/>
      <c r="M1615" s="39">
        <f t="shared" si="2453"/>
        <v>1</v>
      </c>
      <c r="N1615" s="138">
        <f t="shared" si="2454"/>
        <v>4</v>
      </c>
      <c r="O1615" s="70">
        <v>46065</v>
      </c>
      <c r="P1615" s="4" t="s">
        <v>1500</v>
      </c>
      <c r="Q1615" s="9">
        <v>2</v>
      </c>
      <c r="R1615" s="10"/>
      <c r="S1615" s="10"/>
      <c r="T1615" s="8">
        <f t="shared" si="2468"/>
        <v>2</v>
      </c>
      <c r="U1615" s="9">
        <v>2</v>
      </c>
      <c r="V1615" s="10"/>
      <c r="W1615" s="10"/>
      <c r="X1615" s="8">
        <f t="shared" si="2469"/>
        <v>2</v>
      </c>
      <c r="Y1615" s="9">
        <v>2</v>
      </c>
      <c r="Z1615" s="10"/>
      <c r="AA1615" s="10"/>
      <c r="AB1615" s="8">
        <f t="shared" si="2470"/>
        <v>2</v>
      </c>
      <c r="AC1615" s="93">
        <f t="shared" si="2471"/>
        <v>6</v>
      </c>
      <c r="AD1615" s="109">
        <v>46069</v>
      </c>
    </row>
    <row r="1616" spans="1:31" x14ac:dyDescent="0.15">
      <c r="A1616" s="33" t="s">
        <v>1526</v>
      </c>
      <c r="B1616" s="9"/>
      <c r="C1616" s="10">
        <v>1</v>
      </c>
      <c r="D1616" s="10"/>
      <c r="E1616" s="8">
        <f t="shared" si="2451"/>
        <v>1</v>
      </c>
      <c r="F1616" s="9"/>
      <c r="G1616" s="10">
        <v>1</v>
      </c>
      <c r="H1616" s="10"/>
      <c r="I1616" s="8">
        <f t="shared" si="2452"/>
        <v>1</v>
      </c>
      <c r="J1616" s="9"/>
      <c r="K1616" s="10">
        <v>1</v>
      </c>
      <c r="L1616" s="10"/>
      <c r="M1616" s="39">
        <f t="shared" si="2453"/>
        <v>1</v>
      </c>
      <c r="N1616" s="138">
        <f t="shared" si="2454"/>
        <v>3</v>
      </c>
      <c r="O1616" s="24">
        <v>46065</v>
      </c>
      <c r="P1616" s="165" t="s">
        <v>1528</v>
      </c>
      <c r="Q1616" s="166">
        <v>10</v>
      </c>
      <c r="R1616" s="167">
        <v>10</v>
      </c>
      <c r="S1616" s="167">
        <v>10</v>
      </c>
      <c r="T1616" s="168">
        <f t="shared" si="2468"/>
        <v>30</v>
      </c>
      <c r="U1616" s="166">
        <v>10</v>
      </c>
      <c r="V1616" s="167">
        <v>10</v>
      </c>
      <c r="W1616" s="167">
        <v>10</v>
      </c>
      <c r="X1616" s="168">
        <f t="shared" si="2469"/>
        <v>30</v>
      </c>
      <c r="Y1616" s="166">
        <v>10</v>
      </c>
      <c r="Z1616" s="167">
        <v>10</v>
      </c>
      <c r="AA1616" s="167">
        <v>10</v>
      </c>
      <c r="AB1616" s="168">
        <f t="shared" si="2470"/>
        <v>30</v>
      </c>
      <c r="AC1616" s="169">
        <f t="shared" si="2471"/>
        <v>90</v>
      </c>
      <c r="AD1616" s="170">
        <v>46069</v>
      </c>
    </row>
    <row r="1617" spans="1:30" x14ac:dyDescent="0.15">
      <c r="A1617" s="33" t="s">
        <v>1527</v>
      </c>
      <c r="B1617" s="9">
        <v>6</v>
      </c>
      <c r="C1617" s="10"/>
      <c r="D1617" s="10"/>
      <c r="E1617" s="8">
        <f t="shared" si="2451"/>
        <v>6</v>
      </c>
      <c r="F1617" s="9">
        <v>6</v>
      </c>
      <c r="G1617" s="10"/>
      <c r="H1617" s="10"/>
      <c r="I1617" s="8">
        <f t="shared" si="2452"/>
        <v>6</v>
      </c>
      <c r="J1617" s="9">
        <v>6</v>
      </c>
      <c r="K1617" s="10"/>
      <c r="L1617" s="10"/>
      <c r="M1617" s="39">
        <f t="shared" si="2453"/>
        <v>6</v>
      </c>
      <c r="N1617" s="138">
        <f t="shared" si="2454"/>
        <v>18</v>
      </c>
      <c r="O1617" s="24">
        <v>46069</v>
      </c>
      <c r="P1617" s="4" t="s">
        <v>1532</v>
      </c>
      <c r="Q1617" s="9">
        <v>20</v>
      </c>
      <c r="R1617" s="10">
        <v>35</v>
      </c>
      <c r="S1617" s="10">
        <v>5</v>
      </c>
      <c r="T1617" s="8">
        <f t="shared" si="2468"/>
        <v>60</v>
      </c>
      <c r="U1617" s="9">
        <v>20</v>
      </c>
      <c r="V1617" s="10">
        <v>35</v>
      </c>
      <c r="W1617" s="10">
        <v>5</v>
      </c>
      <c r="X1617" s="8">
        <f t="shared" si="2469"/>
        <v>60</v>
      </c>
      <c r="Y1617" s="9">
        <v>20</v>
      </c>
      <c r="Z1617" s="10">
        <v>35</v>
      </c>
      <c r="AA1617" s="10">
        <v>5</v>
      </c>
      <c r="AB1617" s="8">
        <f t="shared" si="2470"/>
        <v>60</v>
      </c>
      <c r="AC1617" s="93">
        <f t="shared" si="2471"/>
        <v>180</v>
      </c>
      <c r="AD1617" s="109">
        <v>46071</v>
      </c>
    </row>
    <row r="1618" spans="1:30" x14ac:dyDescent="0.15">
      <c r="A1618" s="33" t="s">
        <v>36</v>
      </c>
      <c r="B1618" s="9"/>
      <c r="C1618" s="10">
        <v>1</v>
      </c>
      <c r="D1618" s="10"/>
      <c r="E1618" s="8">
        <f t="shared" si="2451"/>
        <v>1</v>
      </c>
      <c r="F1618" s="9"/>
      <c r="G1618" s="10">
        <v>1</v>
      </c>
      <c r="H1618" s="10"/>
      <c r="I1618" s="8">
        <f t="shared" si="2452"/>
        <v>1</v>
      </c>
      <c r="J1618" s="9"/>
      <c r="K1618" s="10">
        <v>1</v>
      </c>
      <c r="L1618" s="10"/>
      <c r="M1618" s="39">
        <f t="shared" si="2453"/>
        <v>1</v>
      </c>
      <c r="N1618" s="138">
        <f t="shared" si="2454"/>
        <v>3</v>
      </c>
      <c r="O1618" s="70">
        <v>46066</v>
      </c>
      <c r="P1618" s="4" t="s">
        <v>1535</v>
      </c>
      <c r="Q1618" s="9">
        <v>20</v>
      </c>
      <c r="R1618" s="10">
        <v>30</v>
      </c>
      <c r="S1618" s="10">
        <v>20</v>
      </c>
      <c r="T1618" s="8">
        <f t="shared" si="2468"/>
        <v>70</v>
      </c>
      <c r="U1618" s="9">
        <v>10</v>
      </c>
      <c r="V1618" s="10">
        <v>10</v>
      </c>
      <c r="W1618" s="10">
        <v>10</v>
      </c>
      <c r="X1618" s="8">
        <f t="shared" si="2469"/>
        <v>30</v>
      </c>
      <c r="Y1618" s="9">
        <v>20</v>
      </c>
      <c r="Z1618" s="10">
        <v>20</v>
      </c>
      <c r="AA1618" s="10">
        <v>20</v>
      </c>
      <c r="AB1618" s="8">
        <f t="shared" si="2470"/>
        <v>60</v>
      </c>
      <c r="AC1618" s="93">
        <f t="shared" si="2471"/>
        <v>160</v>
      </c>
      <c r="AD1618" s="109">
        <v>46072</v>
      </c>
    </row>
    <row r="1619" spans="1:30" x14ac:dyDescent="0.15">
      <c r="A1619" s="33" t="s">
        <v>1529</v>
      </c>
      <c r="B1619" s="9">
        <v>4</v>
      </c>
      <c r="C1619" s="10"/>
      <c r="D1619" s="10">
        <v>1</v>
      </c>
      <c r="E1619" s="8">
        <f t="shared" si="2451"/>
        <v>5</v>
      </c>
      <c r="F1619" s="9">
        <v>4</v>
      </c>
      <c r="G1619" s="10"/>
      <c r="H1619" s="10">
        <v>1</v>
      </c>
      <c r="I1619" s="8">
        <f t="shared" si="2452"/>
        <v>5</v>
      </c>
      <c r="J1619" s="9">
        <v>4</v>
      </c>
      <c r="K1619" s="10"/>
      <c r="L1619" s="10">
        <v>1</v>
      </c>
      <c r="M1619" s="39">
        <f t="shared" si="2453"/>
        <v>5</v>
      </c>
      <c r="N1619" s="138">
        <f t="shared" si="2454"/>
        <v>15</v>
      </c>
      <c r="O1619" s="24">
        <v>46071</v>
      </c>
      <c r="P1619" s="4" t="s">
        <v>1540</v>
      </c>
      <c r="Q1619" s="9">
        <v>25</v>
      </c>
      <c r="R1619" s="10">
        <v>50</v>
      </c>
      <c r="S1619" s="10">
        <v>60</v>
      </c>
      <c r="T1619" s="8">
        <f t="shared" si="2468"/>
        <v>135</v>
      </c>
      <c r="U1619" s="9">
        <v>25</v>
      </c>
      <c r="V1619" s="10">
        <v>50</v>
      </c>
      <c r="W1619" s="10">
        <v>60</v>
      </c>
      <c r="X1619" s="8">
        <f t="shared" si="2469"/>
        <v>135</v>
      </c>
      <c r="Y1619" s="9">
        <v>25</v>
      </c>
      <c r="Z1619" s="10">
        <v>50</v>
      </c>
      <c r="AA1619" s="10">
        <v>60</v>
      </c>
      <c r="AB1619" s="8">
        <f t="shared" si="2470"/>
        <v>135</v>
      </c>
      <c r="AC1619" s="93">
        <f t="shared" si="2471"/>
        <v>405</v>
      </c>
      <c r="AD1619" s="109">
        <v>46072</v>
      </c>
    </row>
    <row r="1620" spans="1:30" x14ac:dyDescent="0.15">
      <c r="A1620" s="4" t="s">
        <v>1530</v>
      </c>
      <c r="B1620" s="9">
        <v>1</v>
      </c>
      <c r="C1620" s="10">
        <v>2</v>
      </c>
      <c r="D1620" s="10"/>
      <c r="E1620" s="8">
        <f t="shared" si="2451"/>
        <v>3</v>
      </c>
      <c r="F1620" s="9">
        <v>1</v>
      </c>
      <c r="G1620" s="10">
        <v>2</v>
      </c>
      <c r="H1620" s="10"/>
      <c r="I1620" s="8">
        <f t="shared" si="2452"/>
        <v>3</v>
      </c>
      <c r="J1620" s="9">
        <v>1</v>
      </c>
      <c r="K1620" s="10">
        <v>2</v>
      </c>
      <c r="L1620" s="10"/>
      <c r="M1620" s="39">
        <f t="shared" si="2453"/>
        <v>3</v>
      </c>
      <c r="N1620" s="138">
        <f t="shared" si="2454"/>
        <v>9</v>
      </c>
      <c r="O1620" s="24">
        <v>46072</v>
      </c>
      <c r="P1620" s="4" t="s">
        <v>1543</v>
      </c>
      <c r="Q1620" s="9">
        <v>10</v>
      </c>
      <c r="R1620" s="10">
        <v>20</v>
      </c>
      <c r="S1620" s="10">
        <v>10</v>
      </c>
      <c r="T1620" s="8">
        <f t="shared" ref="T1620:T1622" si="2476">SUM(Q1620:S1620)</f>
        <v>40</v>
      </c>
      <c r="U1620" s="9">
        <v>10</v>
      </c>
      <c r="V1620" s="10">
        <v>20</v>
      </c>
      <c r="W1620" s="10">
        <v>10</v>
      </c>
      <c r="X1620" s="8">
        <f t="shared" ref="X1620:X1622" si="2477">SUM(U1620:W1620)</f>
        <v>40</v>
      </c>
      <c r="Y1620" s="9">
        <v>10</v>
      </c>
      <c r="Z1620" s="10">
        <v>20</v>
      </c>
      <c r="AA1620" s="10">
        <v>10</v>
      </c>
      <c r="AB1620" s="8">
        <f t="shared" ref="AB1620:AB1622" si="2478">SUM(Y1620:AA1620)</f>
        <v>40</v>
      </c>
      <c r="AC1620" s="93">
        <f t="shared" ref="AC1620:AC1622" si="2479">T1620+X1620+AB1620</f>
        <v>120</v>
      </c>
      <c r="AD1620" s="109">
        <v>46077</v>
      </c>
    </row>
    <row r="1621" spans="1:30" x14ac:dyDescent="0.15">
      <c r="A1621" s="33" t="s">
        <v>36</v>
      </c>
      <c r="B1621" s="9">
        <v>1</v>
      </c>
      <c r="C1621" s="10">
        <v>1</v>
      </c>
      <c r="D1621" s="10"/>
      <c r="E1621" s="8">
        <f t="shared" si="2451"/>
        <v>2</v>
      </c>
      <c r="F1621" s="9">
        <v>1</v>
      </c>
      <c r="G1621" s="10">
        <v>1</v>
      </c>
      <c r="H1621" s="10"/>
      <c r="I1621" s="8">
        <f t="shared" si="2452"/>
        <v>2</v>
      </c>
      <c r="J1621" s="9">
        <v>2</v>
      </c>
      <c r="K1621" s="10">
        <v>1</v>
      </c>
      <c r="L1621" s="10"/>
      <c r="M1621" s="39">
        <f t="shared" si="2453"/>
        <v>3</v>
      </c>
      <c r="N1621" s="138">
        <f t="shared" si="2454"/>
        <v>7</v>
      </c>
      <c r="O1621" s="70">
        <v>46069</v>
      </c>
      <c r="P1621" s="4" t="s">
        <v>1556</v>
      </c>
      <c r="Q1621" s="9"/>
      <c r="R1621" s="10">
        <v>10</v>
      </c>
      <c r="S1621" s="10"/>
      <c r="T1621" s="8">
        <f t="shared" si="2476"/>
        <v>10</v>
      </c>
      <c r="U1621" s="9"/>
      <c r="V1621" s="10">
        <v>10</v>
      </c>
      <c r="W1621" s="10"/>
      <c r="X1621" s="8">
        <f t="shared" si="2477"/>
        <v>10</v>
      </c>
      <c r="Y1621" s="9"/>
      <c r="Z1621" s="10">
        <v>10</v>
      </c>
      <c r="AA1621" s="10"/>
      <c r="AB1621" s="8">
        <f t="shared" si="2478"/>
        <v>10</v>
      </c>
      <c r="AC1621" s="93">
        <f t="shared" si="2479"/>
        <v>30</v>
      </c>
      <c r="AD1621" s="109">
        <v>46074</v>
      </c>
    </row>
    <row r="1622" spans="1:30" x14ac:dyDescent="0.15">
      <c r="A1622" s="33" t="s">
        <v>1536</v>
      </c>
      <c r="B1622" s="9">
        <v>1</v>
      </c>
      <c r="C1622" s="10">
        <v>2</v>
      </c>
      <c r="D1622" s="10">
        <v>1</v>
      </c>
      <c r="E1622" s="8">
        <f t="shared" si="2451"/>
        <v>4</v>
      </c>
      <c r="F1622" s="9">
        <v>1</v>
      </c>
      <c r="G1622" s="10">
        <v>2</v>
      </c>
      <c r="H1622" s="10">
        <v>1</v>
      </c>
      <c r="I1622" s="8">
        <f t="shared" si="2452"/>
        <v>4</v>
      </c>
      <c r="J1622" s="9">
        <v>1</v>
      </c>
      <c r="K1622" s="10">
        <v>2</v>
      </c>
      <c r="L1622" s="10">
        <v>1</v>
      </c>
      <c r="M1622" s="39">
        <f t="shared" si="2453"/>
        <v>4</v>
      </c>
      <c r="N1622" s="138">
        <f t="shared" si="2454"/>
        <v>12</v>
      </c>
      <c r="O1622" s="24">
        <v>46072</v>
      </c>
      <c r="P1622" s="4" t="s">
        <v>1532</v>
      </c>
      <c r="Q1622" s="9"/>
      <c r="R1622" s="10">
        <v>5</v>
      </c>
      <c r="S1622" s="10">
        <v>10</v>
      </c>
      <c r="T1622" s="8">
        <f t="shared" si="2476"/>
        <v>15</v>
      </c>
      <c r="U1622" s="9"/>
      <c r="V1622" s="10">
        <v>5</v>
      </c>
      <c r="W1622" s="10">
        <v>10</v>
      </c>
      <c r="X1622" s="8">
        <f t="shared" si="2477"/>
        <v>15</v>
      </c>
      <c r="Y1622" s="9"/>
      <c r="Z1622" s="10">
        <v>5</v>
      </c>
      <c r="AA1622" s="10">
        <v>10</v>
      </c>
      <c r="AB1622" s="8">
        <f t="shared" si="2478"/>
        <v>15</v>
      </c>
      <c r="AC1622" s="93">
        <f t="shared" si="2479"/>
        <v>45</v>
      </c>
      <c r="AD1622" s="109">
        <v>46079</v>
      </c>
    </row>
    <row r="1623" spans="1:30" x14ac:dyDescent="0.15">
      <c r="A1623" s="63" t="s">
        <v>36</v>
      </c>
      <c r="B1623" s="9"/>
      <c r="C1623" s="10">
        <v>1</v>
      </c>
      <c r="D1623" s="10"/>
      <c r="E1623" s="8">
        <f t="shared" si="2451"/>
        <v>1</v>
      </c>
      <c r="F1623" s="9"/>
      <c r="G1623" s="10">
        <v>2</v>
      </c>
      <c r="H1623" s="10"/>
      <c r="I1623" s="8">
        <f t="shared" si="2452"/>
        <v>2</v>
      </c>
      <c r="J1623" s="9"/>
      <c r="K1623" s="10"/>
      <c r="L1623" s="10"/>
      <c r="M1623" s="39">
        <f t="shared" si="2453"/>
        <v>0</v>
      </c>
      <c r="N1623" s="138">
        <f t="shared" si="2454"/>
        <v>3</v>
      </c>
      <c r="O1623" s="24">
        <v>46070</v>
      </c>
      <c r="P1623" s="165" t="s">
        <v>1319</v>
      </c>
      <c r="Q1623" s="166"/>
      <c r="R1623" s="167">
        <v>10</v>
      </c>
      <c r="S1623" s="167">
        <v>5</v>
      </c>
      <c r="T1623" s="168">
        <f t="shared" ref="T1623:T1624" si="2480">SUM(Q1623:S1623)</f>
        <v>15</v>
      </c>
      <c r="U1623" s="166"/>
      <c r="V1623" s="167">
        <v>10</v>
      </c>
      <c r="W1623" s="167">
        <v>5</v>
      </c>
      <c r="X1623" s="168">
        <f t="shared" ref="X1623:X1624" si="2481">SUM(U1623:W1623)</f>
        <v>15</v>
      </c>
      <c r="Y1623" s="166"/>
      <c r="Z1623" s="167">
        <v>10</v>
      </c>
      <c r="AA1623" s="167">
        <v>10</v>
      </c>
      <c r="AB1623" s="168">
        <f t="shared" ref="AB1623:AB1624" si="2482">SUM(Y1623:AA1623)</f>
        <v>20</v>
      </c>
      <c r="AC1623" s="169">
        <f t="shared" ref="AC1623:AC1624" si="2483">T1623+X1623+AB1623</f>
        <v>50</v>
      </c>
      <c r="AD1623" s="170">
        <v>46080</v>
      </c>
    </row>
    <row r="1624" spans="1:30" x14ac:dyDescent="0.15">
      <c r="A1624" s="33" t="s">
        <v>1548</v>
      </c>
      <c r="B1624" s="9">
        <v>1</v>
      </c>
      <c r="C1624" s="10"/>
      <c r="D1624" s="10"/>
      <c r="E1624" s="8">
        <f t="shared" si="2451"/>
        <v>1</v>
      </c>
      <c r="F1624" s="9">
        <v>1</v>
      </c>
      <c r="G1624" s="10"/>
      <c r="H1624" s="10"/>
      <c r="I1624" s="8">
        <f t="shared" si="2452"/>
        <v>1</v>
      </c>
      <c r="J1624" s="9">
        <v>1</v>
      </c>
      <c r="K1624" s="10"/>
      <c r="L1624" s="10"/>
      <c r="M1624" s="39">
        <f t="shared" si="2453"/>
        <v>1</v>
      </c>
      <c r="N1624" s="138">
        <f t="shared" si="2454"/>
        <v>3</v>
      </c>
      <c r="O1624" s="24">
        <v>46073</v>
      </c>
      <c r="P1624" s="4" t="s">
        <v>1319</v>
      </c>
      <c r="Q1624" s="9">
        <v>15</v>
      </c>
      <c r="R1624" s="10">
        <v>10</v>
      </c>
      <c r="S1624" s="10">
        <v>15</v>
      </c>
      <c r="T1624" s="8">
        <f t="shared" si="2480"/>
        <v>40</v>
      </c>
      <c r="U1624" s="9">
        <v>15</v>
      </c>
      <c r="V1624" s="10">
        <v>15</v>
      </c>
      <c r="W1624" s="10">
        <v>15</v>
      </c>
      <c r="X1624" s="8">
        <f t="shared" si="2481"/>
        <v>45</v>
      </c>
      <c r="Y1624" s="9">
        <v>15</v>
      </c>
      <c r="Z1624" s="10">
        <v>15</v>
      </c>
      <c r="AA1624" s="10">
        <v>10</v>
      </c>
      <c r="AB1624" s="8">
        <f t="shared" si="2482"/>
        <v>40</v>
      </c>
      <c r="AC1624" s="93">
        <f t="shared" si="2483"/>
        <v>125</v>
      </c>
      <c r="AD1624" s="109">
        <v>46083</v>
      </c>
    </row>
    <row r="1625" spans="1:30" x14ac:dyDescent="0.15">
      <c r="A1625" s="33" t="s">
        <v>1554</v>
      </c>
      <c r="B1625" s="9"/>
      <c r="C1625" s="10">
        <v>5</v>
      </c>
      <c r="D1625" s="10">
        <v>1</v>
      </c>
      <c r="E1625" s="8">
        <f t="shared" si="2451"/>
        <v>6</v>
      </c>
      <c r="F1625" s="9"/>
      <c r="G1625" s="10">
        <v>5</v>
      </c>
      <c r="H1625" s="10">
        <v>1</v>
      </c>
      <c r="I1625" s="8">
        <f t="shared" si="2452"/>
        <v>6</v>
      </c>
      <c r="J1625" s="9"/>
      <c r="K1625" s="10">
        <v>5</v>
      </c>
      <c r="L1625" s="10">
        <v>1</v>
      </c>
      <c r="M1625" s="39">
        <f t="shared" si="2453"/>
        <v>6</v>
      </c>
      <c r="N1625" s="138">
        <f t="shared" si="2454"/>
        <v>18</v>
      </c>
      <c r="O1625" s="24">
        <v>46073</v>
      </c>
      <c r="P1625" s="11" t="s">
        <v>1421</v>
      </c>
      <c r="Q1625" s="9"/>
      <c r="R1625" s="10"/>
      <c r="S1625" s="10"/>
      <c r="T1625" s="8">
        <f t="shared" ref="T1625:T1631" si="2484">SUM(Q1625:S1625)</f>
        <v>0</v>
      </c>
      <c r="U1625" s="9"/>
      <c r="V1625" s="10"/>
      <c r="W1625" s="10"/>
      <c r="X1625" s="8">
        <f t="shared" ref="X1625:X1631" si="2485">SUM(U1625:W1625)</f>
        <v>0</v>
      </c>
      <c r="Y1625" s="9"/>
      <c r="Z1625" s="10"/>
      <c r="AA1625" s="10"/>
      <c r="AB1625" s="8">
        <f t="shared" ref="AB1625:AB1631" si="2486">SUM(Y1625:AA1625)</f>
        <v>0</v>
      </c>
      <c r="AC1625" s="93">
        <f t="shared" ref="AC1625:AC1631" si="2487">T1625+X1625+AB1625</f>
        <v>0</v>
      </c>
      <c r="AD1625" s="116" t="s">
        <v>1422</v>
      </c>
    </row>
    <row r="1626" spans="1:30" x14ac:dyDescent="0.15">
      <c r="A1626" s="33" t="s">
        <v>36</v>
      </c>
      <c r="B1626" s="9"/>
      <c r="C1626" s="10"/>
      <c r="D1626" s="10">
        <v>1</v>
      </c>
      <c r="E1626" s="8">
        <f t="shared" si="2451"/>
        <v>1</v>
      </c>
      <c r="F1626" s="9"/>
      <c r="G1626" s="10"/>
      <c r="H1626" s="10">
        <v>1</v>
      </c>
      <c r="I1626" s="8">
        <f t="shared" si="2452"/>
        <v>1</v>
      </c>
      <c r="J1626" s="9"/>
      <c r="K1626" s="10"/>
      <c r="L1626" s="10">
        <v>2</v>
      </c>
      <c r="M1626" s="39">
        <f t="shared" si="2453"/>
        <v>2</v>
      </c>
      <c r="N1626" s="138">
        <f t="shared" si="2454"/>
        <v>4</v>
      </c>
      <c r="O1626" s="70">
        <v>46072</v>
      </c>
      <c r="P1626" s="11" t="s">
        <v>1426</v>
      </c>
      <c r="Q1626" s="9"/>
      <c r="R1626" s="10"/>
      <c r="S1626" s="10"/>
      <c r="T1626" s="8">
        <f t="shared" si="2484"/>
        <v>0</v>
      </c>
      <c r="U1626" s="9"/>
      <c r="V1626" s="10"/>
      <c r="W1626" s="10"/>
      <c r="X1626" s="8">
        <f t="shared" si="2485"/>
        <v>0</v>
      </c>
      <c r="Y1626" s="9"/>
      <c r="Z1626" s="10"/>
      <c r="AA1626" s="10"/>
      <c r="AB1626" s="8">
        <f t="shared" si="2486"/>
        <v>0</v>
      </c>
      <c r="AC1626" s="93">
        <f t="shared" si="2487"/>
        <v>0</v>
      </c>
      <c r="AD1626" s="116" t="s">
        <v>621</v>
      </c>
    </row>
    <row r="1627" spans="1:30" x14ac:dyDescent="0.15">
      <c r="A1627" s="33" t="s">
        <v>1555</v>
      </c>
      <c r="B1627" s="9">
        <v>3</v>
      </c>
      <c r="C1627" s="10">
        <v>6</v>
      </c>
      <c r="D1627" s="10">
        <v>2</v>
      </c>
      <c r="E1627" s="8">
        <f t="shared" si="2451"/>
        <v>11</v>
      </c>
      <c r="F1627" s="9">
        <v>3</v>
      </c>
      <c r="G1627" s="10">
        <v>6</v>
      </c>
      <c r="H1627" s="10">
        <v>2</v>
      </c>
      <c r="I1627" s="8">
        <f t="shared" si="2452"/>
        <v>11</v>
      </c>
      <c r="J1627" s="9">
        <v>3</v>
      </c>
      <c r="K1627" s="10">
        <v>6</v>
      </c>
      <c r="L1627" s="10">
        <v>2</v>
      </c>
      <c r="M1627" s="39">
        <f t="shared" si="2453"/>
        <v>11</v>
      </c>
      <c r="N1627" s="138">
        <f t="shared" si="2454"/>
        <v>33</v>
      </c>
      <c r="O1627" s="24">
        <v>46077</v>
      </c>
      <c r="P1627" s="11" t="s">
        <v>1405</v>
      </c>
      <c r="Q1627" s="9"/>
      <c r="R1627" s="10"/>
      <c r="S1627" s="10"/>
      <c r="T1627" s="8">
        <f t="shared" si="2484"/>
        <v>0</v>
      </c>
      <c r="U1627" s="9"/>
      <c r="V1627" s="10"/>
      <c r="W1627" s="10"/>
      <c r="X1627" s="8">
        <f t="shared" si="2485"/>
        <v>0</v>
      </c>
      <c r="Y1627" s="9"/>
      <c r="Z1627" s="10"/>
      <c r="AA1627" s="10"/>
      <c r="AB1627" s="8">
        <f t="shared" si="2486"/>
        <v>0</v>
      </c>
      <c r="AC1627" s="93">
        <f t="shared" si="2487"/>
        <v>0</v>
      </c>
      <c r="AD1627" s="116" t="s">
        <v>1406</v>
      </c>
    </row>
    <row r="1628" spans="1:30" x14ac:dyDescent="0.15">
      <c r="A1628" s="4" t="s">
        <v>1557</v>
      </c>
      <c r="B1628" s="9">
        <v>1</v>
      </c>
      <c r="C1628" s="10"/>
      <c r="D1628" s="10">
        <v>2</v>
      </c>
      <c r="E1628" s="8">
        <f t="shared" si="2451"/>
        <v>3</v>
      </c>
      <c r="F1628" s="9">
        <v>1</v>
      </c>
      <c r="G1628" s="10"/>
      <c r="H1628" s="10">
        <v>2</v>
      </c>
      <c r="I1628" s="8">
        <f t="shared" si="2452"/>
        <v>3</v>
      </c>
      <c r="J1628" s="9">
        <v>1</v>
      </c>
      <c r="K1628" s="10"/>
      <c r="L1628" s="10">
        <v>2</v>
      </c>
      <c r="M1628" s="39">
        <f t="shared" si="2453"/>
        <v>3</v>
      </c>
      <c r="N1628" s="138">
        <f t="shared" si="2454"/>
        <v>9</v>
      </c>
      <c r="O1628" s="24">
        <v>46079</v>
      </c>
      <c r="P1628" s="6" t="s">
        <v>1397</v>
      </c>
      <c r="Q1628" s="71"/>
      <c r="R1628" s="72"/>
      <c r="S1628" s="72"/>
      <c r="T1628" s="73">
        <f t="shared" ref="T1628:T1629" si="2488">SUM(Q1628:S1628)</f>
        <v>0</v>
      </c>
      <c r="U1628" s="71"/>
      <c r="V1628" s="72"/>
      <c r="W1628" s="72"/>
      <c r="X1628" s="73">
        <f t="shared" ref="X1628:X1629" si="2489">SUM(U1628:W1628)</f>
        <v>0</v>
      </c>
      <c r="Y1628" s="71"/>
      <c r="Z1628" s="72"/>
      <c r="AA1628" s="72"/>
      <c r="AB1628" s="73">
        <f t="shared" ref="AB1628:AB1629" si="2490">SUM(Y1628:AA1628)</f>
        <v>0</v>
      </c>
      <c r="AC1628" s="92">
        <f t="shared" ref="AC1628:AC1629" si="2491">T1628+X1628+AB1628</f>
        <v>0</v>
      </c>
      <c r="AD1628" s="116"/>
    </row>
    <row r="1629" spans="1:30" x14ac:dyDescent="0.15">
      <c r="A1629" s="33" t="s">
        <v>1559</v>
      </c>
      <c r="B1629" s="9">
        <v>4</v>
      </c>
      <c r="C1629" s="10">
        <v>3</v>
      </c>
      <c r="D1629" s="10">
        <v>2</v>
      </c>
      <c r="E1629" s="8">
        <f t="shared" si="2451"/>
        <v>9</v>
      </c>
      <c r="F1629" s="9">
        <v>4</v>
      </c>
      <c r="G1629" s="10">
        <v>3</v>
      </c>
      <c r="H1629" s="10">
        <v>2</v>
      </c>
      <c r="I1629" s="8">
        <f t="shared" si="2452"/>
        <v>9</v>
      </c>
      <c r="J1629" s="9">
        <v>4</v>
      </c>
      <c r="K1629" s="10">
        <v>3</v>
      </c>
      <c r="L1629" s="10">
        <v>2</v>
      </c>
      <c r="M1629" s="39">
        <f t="shared" si="2453"/>
        <v>9</v>
      </c>
      <c r="N1629" s="138">
        <f t="shared" si="2454"/>
        <v>27</v>
      </c>
      <c r="O1629" s="24">
        <v>46079</v>
      </c>
      <c r="P1629" s="11" t="s">
        <v>1398</v>
      </c>
      <c r="Q1629" s="9"/>
      <c r="R1629" s="10"/>
      <c r="S1629" s="10"/>
      <c r="T1629" s="8">
        <f t="shared" si="2488"/>
        <v>0</v>
      </c>
      <c r="U1629" s="9"/>
      <c r="V1629" s="10"/>
      <c r="W1629" s="10"/>
      <c r="X1629" s="8">
        <f t="shared" si="2489"/>
        <v>0</v>
      </c>
      <c r="Y1629" s="9"/>
      <c r="Z1629" s="10"/>
      <c r="AA1629" s="10"/>
      <c r="AB1629" s="8">
        <f t="shared" si="2490"/>
        <v>0</v>
      </c>
      <c r="AC1629" s="93">
        <f t="shared" si="2491"/>
        <v>0</v>
      </c>
      <c r="AD1629" s="116" t="s">
        <v>1399</v>
      </c>
    </row>
    <row r="1630" spans="1:30" x14ac:dyDescent="0.15">
      <c r="A1630" s="33" t="s">
        <v>36</v>
      </c>
      <c r="B1630" s="9">
        <v>2</v>
      </c>
      <c r="C1630" s="10">
        <v>2</v>
      </c>
      <c r="D1630" s="10">
        <v>1</v>
      </c>
      <c r="E1630" s="8">
        <f t="shared" si="2451"/>
        <v>5</v>
      </c>
      <c r="F1630" s="9"/>
      <c r="G1630" s="10">
        <v>3</v>
      </c>
      <c r="H1630" s="10">
        <v>1</v>
      </c>
      <c r="I1630" s="8">
        <f t="shared" si="2452"/>
        <v>4</v>
      </c>
      <c r="J1630" s="9"/>
      <c r="K1630" s="10">
        <v>2</v>
      </c>
      <c r="L1630" s="10">
        <v>1</v>
      </c>
      <c r="M1630" s="39">
        <f t="shared" si="2453"/>
        <v>3</v>
      </c>
      <c r="N1630" s="138">
        <f t="shared" si="2454"/>
        <v>12</v>
      </c>
      <c r="O1630" s="24">
        <v>46077</v>
      </c>
      <c r="P1630" s="81" t="s">
        <v>1296</v>
      </c>
      <c r="Q1630" s="71"/>
      <c r="R1630" s="72"/>
      <c r="S1630" s="72"/>
      <c r="T1630" s="73">
        <f t="shared" si="2484"/>
        <v>0</v>
      </c>
      <c r="U1630" s="71"/>
      <c r="V1630" s="72"/>
      <c r="W1630" s="72"/>
      <c r="X1630" s="73">
        <f t="shared" si="2485"/>
        <v>0</v>
      </c>
      <c r="Y1630" s="71"/>
      <c r="Z1630" s="72"/>
      <c r="AA1630" s="72"/>
      <c r="AB1630" s="73">
        <f t="shared" si="2486"/>
        <v>0</v>
      </c>
      <c r="AC1630" s="92">
        <f t="shared" si="2487"/>
        <v>0</v>
      </c>
      <c r="AD1630" s="116"/>
    </row>
    <row r="1631" spans="1:30" ht="14.25" thickBot="1" x14ac:dyDescent="0.2">
      <c r="A1631" s="33" t="s">
        <v>1563</v>
      </c>
      <c r="B1631" s="9">
        <v>1</v>
      </c>
      <c r="C1631" s="10">
        <v>4</v>
      </c>
      <c r="D1631" s="22">
        <v>7</v>
      </c>
      <c r="E1631" s="8">
        <f t="shared" si="2451"/>
        <v>12</v>
      </c>
      <c r="F1631" s="9">
        <v>1</v>
      </c>
      <c r="G1631" s="10">
        <v>4</v>
      </c>
      <c r="H1631" s="22">
        <v>7</v>
      </c>
      <c r="I1631" s="8">
        <f t="shared" si="2452"/>
        <v>12</v>
      </c>
      <c r="J1631" s="9">
        <v>1</v>
      </c>
      <c r="K1631" s="10">
        <v>4</v>
      </c>
      <c r="L1631" s="22">
        <v>7</v>
      </c>
      <c r="M1631" s="39">
        <f t="shared" si="2453"/>
        <v>12</v>
      </c>
      <c r="N1631" s="139">
        <f t="shared" si="2454"/>
        <v>36</v>
      </c>
      <c r="O1631" s="24">
        <v>46080</v>
      </c>
      <c r="P1631" s="4" t="s">
        <v>1297</v>
      </c>
      <c r="Q1631" s="9"/>
      <c r="R1631" s="10"/>
      <c r="S1631" s="10"/>
      <c r="T1631" s="8">
        <f t="shared" si="2484"/>
        <v>0</v>
      </c>
      <c r="U1631" s="9"/>
      <c r="V1631" s="10"/>
      <c r="W1631" s="10"/>
      <c r="X1631" s="8">
        <f t="shared" si="2485"/>
        <v>0</v>
      </c>
      <c r="Y1631" s="9"/>
      <c r="Z1631" s="10"/>
      <c r="AA1631" s="10"/>
      <c r="AB1631" s="8">
        <f t="shared" si="2486"/>
        <v>0</v>
      </c>
      <c r="AC1631" s="86">
        <f t="shared" si="2487"/>
        <v>0</v>
      </c>
      <c r="AD1631" s="116" t="s">
        <v>1298</v>
      </c>
    </row>
    <row r="1632" spans="1:30" ht="14.25" thickBot="1" x14ac:dyDescent="0.2">
      <c r="A1632" s="104" t="s">
        <v>5</v>
      </c>
      <c r="B1632" s="12">
        <f>SUM(B1608:B1631)</f>
        <v>35</v>
      </c>
      <c r="C1632" s="12">
        <f>SUM(C1608:C1631)</f>
        <v>43</v>
      </c>
      <c r="D1632" s="12">
        <f>SUM(D1608:D1631)</f>
        <v>29</v>
      </c>
      <c r="E1632" s="13">
        <f t="shared" si="2451"/>
        <v>107</v>
      </c>
      <c r="F1632" s="12">
        <f>SUM(F1608:F1631)</f>
        <v>33</v>
      </c>
      <c r="G1632" s="12">
        <f>SUM(G1608:G1631)</f>
        <v>46</v>
      </c>
      <c r="H1632" s="12">
        <f>SUM(H1608:H1631)</f>
        <v>29</v>
      </c>
      <c r="I1632" s="13">
        <f t="shared" si="2452"/>
        <v>108</v>
      </c>
      <c r="J1632" s="12">
        <f>SUM(J1608:J1631)</f>
        <v>34</v>
      </c>
      <c r="K1632" s="12">
        <f>SUM(K1608:K1631)</f>
        <v>42</v>
      </c>
      <c r="L1632" s="12">
        <f>SUM(L1608:L1631)</f>
        <v>30</v>
      </c>
      <c r="M1632" s="12">
        <f t="shared" si="2453"/>
        <v>106</v>
      </c>
      <c r="N1632" s="142">
        <f t="shared" si="2454"/>
        <v>321</v>
      </c>
      <c r="P1632" s="3" t="s">
        <v>5</v>
      </c>
      <c r="Q1632" s="12">
        <f>SUM(Q1608:Q1631)</f>
        <v>148</v>
      </c>
      <c r="R1632" s="12">
        <f t="shared" ref="R1632:AC1632" si="2492">SUM(R1608:R1631)</f>
        <v>251</v>
      </c>
      <c r="S1632" s="12">
        <f t="shared" si="2492"/>
        <v>176</v>
      </c>
      <c r="T1632" s="13">
        <f t="shared" si="2492"/>
        <v>575</v>
      </c>
      <c r="U1632" s="12">
        <f t="shared" si="2492"/>
        <v>138</v>
      </c>
      <c r="V1632" s="12">
        <f t="shared" si="2492"/>
        <v>236</v>
      </c>
      <c r="W1632" s="12">
        <f t="shared" si="2492"/>
        <v>166</v>
      </c>
      <c r="X1632" s="13">
        <f t="shared" si="2492"/>
        <v>540</v>
      </c>
      <c r="Y1632" s="12">
        <f t="shared" si="2492"/>
        <v>148</v>
      </c>
      <c r="Z1632" s="12">
        <f t="shared" si="2492"/>
        <v>246</v>
      </c>
      <c r="AA1632" s="12">
        <f t="shared" si="2492"/>
        <v>176</v>
      </c>
      <c r="AB1632" s="13">
        <f t="shared" si="2492"/>
        <v>570</v>
      </c>
      <c r="AC1632" s="155">
        <f t="shared" si="2492"/>
        <v>1685</v>
      </c>
    </row>
    <row r="1633" spans="1:30" ht="14.25" thickBot="1" x14ac:dyDescent="0.2">
      <c r="A1633" s="105" t="s">
        <v>6</v>
      </c>
      <c r="B1633" s="20">
        <f>B1607-B1632</f>
        <v>30</v>
      </c>
      <c r="C1633" s="20">
        <f t="shared" ref="C1633:E1633" si="2493">C1607-C1632</f>
        <v>33</v>
      </c>
      <c r="D1633" s="20">
        <f t="shared" si="2493"/>
        <v>32</v>
      </c>
      <c r="E1633" s="18">
        <f t="shared" si="2493"/>
        <v>95</v>
      </c>
      <c r="F1633" s="20">
        <f>F1607-F1632</f>
        <v>33</v>
      </c>
      <c r="G1633" s="20">
        <f t="shared" ref="G1633:I1633" si="2494">G1607-G1632</f>
        <v>35</v>
      </c>
      <c r="H1633" s="20">
        <f t="shared" si="2494"/>
        <v>29</v>
      </c>
      <c r="I1633" s="18">
        <f t="shared" si="2494"/>
        <v>97</v>
      </c>
      <c r="J1633" s="20">
        <f>J1607-J1632</f>
        <v>32</v>
      </c>
      <c r="K1633" s="20">
        <f t="shared" ref="K1633:M1633" si="2495">K1607-K1632</f>
        <v>38</v>
      </c>
      <c r="L1633" s="20">
        <f t="shared" si="2495"/>
        <v>36</v>
      </c>
      <c r="M1633" s="20">
        <f t="shared" si="2495"/>
        <v>106</v>
      </c>
      <c r="N1633" s="140">
        <f t="shared" si="2454"/>
        <v>298</v>
      </c>
      <c r="P1633" s="19" t="s">
        <v>6</v>
      </c>
      <c r="Q1633" s="20">
        <f>Q1607-Q1632</f>
        <v>612</v>
      </c>
      <c r="R1633" s="20">
        <f t="shared" ref="R1633:AC1633" si="2496">R1607-R1632</f>
        <v>679</v>
      </c>
      <c r="S1633" s="20">
        <f t="shared" si="2496"/>
        <v>576</v>
      </c>
      <c r="T1633" s="18">
        <f t="shared" si="2496"/>
        <v>1867</v>
      </c>
      <c r="U1633" s="20">
        <f t="shared" si="2496"/>
        <v>660</v>
      </c>
      <c r="V1633" s="20">
        <f t="shared" si="2496"/>
        <v>795</v>
      </c>
      <c r="W1633" s="20">
        <f t="shared" si="2496"/>
        <v>671</v>
      </c>
      <c r="X1633" s="18">
        <f t="shared" si="2496"/>
        <v>2126</v>
      </c>
      <c r="Y1633" s="20">
        <f t="shared" si="2496"/>
        <v>626</v>
      </c>
      <c r="Z1633" s="20">
        <f t="shared" si="2496"/>
        <v>735</v>
      </c>
      <c r="AA1633" s="20">
        <f t="shared" si="2496"/>
        <v>620</v>
      </c>
      <c r="AB1633" s="18">
        <f t="shared" si="2496"/>
        <v>1981</v>
      </c>
      <c r="AC1633" s="88">
        <f t="shared" si="2496"/>
        <v>5974</v>
      </c>
      <c r="AD1633" s="128" t="s">
        <v>1561</v>
      </c>
    </row>
    <row r="1634" spans="1:30" x14ac:dyDescent="0.15">
      <c r="P1634" s="156"/>
      <c r="Q1634" s="64"/>
      <c r="R1634" s="64"/>
      <c r="S1634" s="64"/>
      <c r="T1634" s="64"/>
      <c r="U1634" s="64"/>
      <c r="V1634" s="64"/>
      <c r="W1634" s="64"/>
      <c r="X1634" s="64"/>
      <c r="Y1634" s="64"/>
      <c r="Z1634" s="64"/>
      <c r="AA1634" s="64"/>
      <c r="AB1634" s="64"/>
    </row>
    <row r="1635" spans="1:30" x14ac:dyDescent="0.15">
      <c r="P1635" s="157"/>
      <c r="Q1635" s="66"/>
      <c r="R1635" s="66"/>
      <c r="S1635" s="66"/>
      <c r="T1635" s="66"/>
      <c r="U1635" s="66"/>
      <c r="V1635" s="66"/>
      <c r="W1635" s="66"/>
      <c r="X1635" s="66"/>
      <c r="Y1635" s="66"/>
      <c r="Z1635" s="66"/>
      <c r="AA1635" s="66"/>
      <c r="AB1635" s="66"/>
    </row>
    <row r="1636" spans="1:30" ht="19.5" thickBot="1" x14ac:dyDescent="0.25">
      <c r="A1636" s="108" t="s">
        <v>264</v>
      </c>
      <c r="B1636" s="47"/>
      <c r="C1636" s="47"/>
      <c r="D1636" s="47"/>
      <c r="E1636" s="47"/>
      <c r="F1636" s="48"/>
      <c r="G1636" s="48"/>
      <c r="H1636" s="48"/>
      <c r="I1636" s="48"/>
      <c r="J1636" s="48"/>
      <c r="K1636" s="48"/>
      <c r="L1636" s="1"/>
      <c r="M1636" s="1"/>
      <c r="N1636" s="137"/>
      <c r="P1636" s="43" t="s">
        <v>263</v>
      </c>
      <c r="Q1636" s="44"/>
      <c r="R1636" s="44"/>
      <c r="S1636" s="44"/>
      <c r="T1636" s="44"/>
      <c r="U1636" s="45"/>
      <c r="V1636" s="45"/>
      <c r="W1636" s="45"/>
      <c r="X1636" s="45"/>
      <c r="Y1636" s="46"/>
      <c r="Z1636" s="53"/>
      <c r="AA1636" s="1"/>
      <c r="AB1636" s="1"/>
    </row>
    <row r="1637" spans="1:30" ht="14.25" thickBot="1" x14ac:dyDescent="0.2">
      <c r="A1637" s="100" t="s">
        <v>0</v>
      </c>
      <c r="B1637" s="337" t="s">
        <v>11</v>
      </c>
      <c r="C1637" s="337"/>
      <c r="D1637" s="337"/>
      <c r="E1637" s="338"/>
      <c r="F1637" s="339" t="s">
        <v>9</v>
      </c>
      <c r="G1637" s="340"/>
      <c r="H1637" s="340"/>
      <c r="I1637" s="341"/>
      <c r="J1637" s="342" t="s">
        <v>12</v>
      </c>
      <c r="K1637" s="343"/>
      <c r="L1637" s="343"/>
      <c r="M1637" s="343"/>
      <c r="N1637" s="347" t="s">
        <v>13</v>
      </c>
      <c r="P1637" s="2" t="s">
        <v>0</v>
      </c>
      <c r="Q1637" s="336" t="s">
        <v>11</v>
      </c>
      <c r="R1637" s="337"/>
      <c r="S1637" s="337"/>
      <c r="T1637" s="338"/>
      <c r="U1637" s="339" t="s">
        <v>9</v>
      </c>
      <c r="V1637" s="340"/>
      <c r="W1637" s="340"/>
      <c r="X1637" s="341"/>
      <c r="Y1637" s="342" t="s">
        <v>12</v>
      </c>
      <c r="Z1637" s="343"/>
      <c r="AA1637" s="343"/>
      <c r="AB1637" s="344"/>
      <c r="AC1637" s="133" t="s">
        <v>13</v>
      </c>
    </row>
    <row r="1638" spans="1:30" ht="14.25" thickBot="1" x14ac:dyDescent="0.2">
      <c r="A1638" s="100" t="s">
        <v>1</v>
      </c>
      <c r="B1638" s="3" t="s">
        <v>7</v>
      </c>
      <c r="C1638" s="2" t="s">
        <v>10</v>
      </c>
      <c r="D1638" s="2" t="s">
        <v>8</v>
      </c>
      <c r="E1638" s="2" t="s">
        <v>2</v>
      </c>
      <c r="F1638" s="3" t="s">
        <v>7</v>
      </c>
      <c r="G1638" s="2" t="s">
        <v>10</v>
      </c>
      <c r="H1638" s="2" t="s">
        <v>8</v>
      </c>
      <c r="I1638" s="2" t="s">
        <v>2</v>
      </c>
      <c r="J1638" s="3" t="s">
        <v>7</v>
      </c>
      <c r="K1638" s="2" t="s">
        <v>10</v>
      </c>
      <c r="L1638" s="2" t="s">
        <v>8</v>
      </c>
      <c r="M1638" s="3" t="s">
        <v>2</v>
      </c>
      <c r="N1638" s="348"/>
      <c r="P1638" s="2" t="s">
        <v>1</v>
      </c>
      <c r="Q1638" s="3" t="s">
        <v>7</v>
      </c>
      <c r="R1638" s="2" t="s">
        <v>10</v>
      </c>
      <c r="S1638" s="2" t="s">
        <v>8</v>
      </c>
      <c r="T1638" s="2" t="s">
        <v>2</v>
      </c>
      <c r="U1638" s="3" t="s">
        <v>7</v>
      </c>
      <c r="V1638" s="2" t="s">
        <v>10</v>
      </c>
      <c r="W1638" s="2" t="s">
        <v>8</v>
      </c>
      <c r="X1638" s="2" t="s">
        <v>2</v>
      </c>
      <c r="Y1638" s="3" t="s">
        <v>7</v>
      </c>
      <c r="Z1638" s="2" t="s">
        <v>10</v>
      </c>
      <c r="AA1638" s="2" t="s">
        <v>8</v>
      </c>
      <c r="AB1638" s="2" t="s">
        <v>2</v>
      </c>
      <c r="AC1638" s="134"/>
    </row>
    <row r="1639" spans="1:30" x14ac:dyDescent="0.15">
      <c r="A1639" s="106" t="s">
        <v>6</v>
      </c>
      <c r="B1639" s="41">
        <f>B1633</f>
        <v>30</v>
      </c>
      <c r="C1639" s="41">
        <f t="shared" ref="C1639:E1639" si="2497">C1633</f>
        <v>33</v>
      </c>
      <c r="D1639" s="41">
        <f t="shared" si="2497"/>
        <v>32</v>
      </c>
      <c r="E1639" s="42">
        <f t="shared" si="2497"/>
        <v>95</v>
      </c>
      <c r="F1639" s="41">
        <f>F1633</f>
        <v>33</v>
      </c>
      <c r="G1639" s="41">
        <f t="shared" ref="G1639:I1639" si="2498">G1633</f>
        <v>35</v>
      </c>
      <c r="H1639" s="41">
        <f t="shared" si="2498"/>
        <v>29</v>
      </c>
      <c r="I1639" s="42">
        <f t="shared" si="2498"/>
        <v>97</v>
      </c>
      <c r="J1639" s="41">
        <f>J1633</f>
        <v>32</v>
      </c>
      <c r="K1639" s="41">
        <f t="shared" ref="K1639:M1639" si="2499">K1633</f>
        <v>38</v>
      </c>
      <c r="L1639" s="41">
        <f t="shared" si="2499"/>
        <v>36</v>
      </c>
      <c r="M1639" s="42">
        <f t="shared" si="2499"/>
        <v>106</v>
      </c>
      <c r="N1639" s="143">
        <f>E1639+I1639+M1639</f>
        <v>298</v>
      </c>
      <c r="P1639" s="36" t="s">
        <v>6</v>
      </c>
      <c r="Q1639" s="41">
        <f>Q1633</f>
        <v>612</v>
      </c>
      <c r="R1639" s="41">
        <f t="shared" ref="R1639:AC1639" si="2500">R1633</f>
        <v>679</v>
      </c>
      <c r="S1639" s="41">
        <f t="shared" si="2500"/>
        <v>576</v>
      </c>
      <c r="T1639" s="42">
        <f t="shared" si="2500"/>
        <v>1867</v>
      </c>
      <c r="U1639" s="41">
        <f t="shared" si="2500"/>
        <v>660</v>
      </c>
      <c r="V1639" s="41">
        <f t="shared" si="2500"/>
        <v>795</v>
      </c>
      <c r="W1639" s="41">
        <f t="shared" si="2500"/>
        <v>671</v>
      </c>
      <c r="X1639" s="42">
        <f t="shared" si="2500"/>
        <v>2126</v>
      </c>
      <c r="Y1639" s="41">
        <f t="shared" si="2500"/>
        <v>626</v>
      </c>
      <c r="Z1639" s="41">
        <f t="shared" si="2500"/>
        <v>735</v>
      </c>
      <c r="AA1639" s="41">
        <f t="shared" si="2500"/>
        <v>620</v>
      </c>
      <c r="AB1639" s="42">
        <f t="shared" si="2500"/>
        <v>1981</v>
      </c>
      <c r="AC1639" s="90">
        <f t="shared" si="2500"/>
        <v>5974</v>
      </c>
    </row>
    <row r="1640" spans="1:30" x14ac:dyDescent="0.15">
      <c r="A1640" s="102" t="s">
        <v>3</v>
      </c>
      <c r="B1640" s="25">
        <v>10</v>
      </c>
      <c r="C1640" s="26">
        <v>10</v>
      </c>
      <c r="D1640" s="26">
        <v>5</v>
      </c>
      <c r="E1640" s="5">
        <f t="shared" ref="E1640:E1675" si="2501">SUM(B1640:D1640)</f>
        <v>25</v>
      </c>
      <c r="F1640" s="25">
        <v>10</v>
      </c>
      <c r="G1640" s="26">
        <v>15</v>
      </c>
      <c r="H1640" s="26">
        <v>5</v>
      </c>
      <c r="I1640" s="5">
        <f t="shared" ref="I1640:I1675" si="2502">SUM(F1640:H1640)</f>
        <v>30</v>
      </c>
      <c r="J1640" s="25">
        <v>10</v>
      </c>
      <c r="K1640" s="26">
        <v>5</v>
      </c>
      <c r="L1640" s="26"/>
      <c r="M1640" s="38">
        <f t="shared" ref="M1640:M1675" si="2503">SUM(J1640:L1640)</f>
        <v>15</v>
      </c>
      <c r="N1640" s="138">
        <f t="shared" ref="N1640:N1676" si="2504">E1640+I1640+M1640</f>
        <v>70</v>
      </c>
      <c r="O1640" s="70">
        <v>46088</v>
      </c>
      <c r="P1640" s="6" t="s">
        <v>3</v>
      </c>
      <c r="Q1640" s="14"/>
      <c r="R1640" s="11"/>
      <c r="S1640" s="11"/>
      <c r="T1640" s="5">
        <f t="shared" ref="T1640:T1649" si="2505">SUM(Q1640:S1640)</f>
        <v>0</v>
      </c>
      <c r="U1640" s="14"/>
      <c r="V1640" s="11"/>
      <c r="W1640" s="11"/>
      <c r="X1640" s="5">
        <f t="shared" ref="X1640:X1649" si="2506">SUM(U1640:W1640)</f>
        <v>0</v>
      </c>
      <c r="Y1640" s="25"/>
      <c r="Z1640" s="26"/>
      <c r="AA1640" s="26"/>
      <c r="AB1640" s="5">
        <f t="shared" ref="AB1640:AB1649" si="2507">SUM(Y1640:AA1640)</f>
        <v>0</v>
      </c>
      <c r="AC1640" s="86">
        <f t="shared" ref="AC1640:AC1649" si="2508">T1640+X1640+AB1640</f>
        <v>0</v>
      </c>
    </row>
    <row r="1641" spans="1:30" x14ac:dyDescent="0.15">
      <c r="A1641" s="158" t="s">
        <v>3</v>
      </c>
      <c r="B1641" s="159"/>
      <c r="C1641" s="160">
        <v>10</v>
      </c>
      <c r="D1641" s="160"/>
      <c r="E1641" s="161">
        <f t="shared" si="2501"/>
        <v>10</v>
      </c>
      <c r="F1641" s="162"/>
      <c r="G1641" s="160">
        <v>10</v>
      </c>
      <c r="H1641" s="160"/>
      <c r="I1641" s="161">
        <f t="shared" si="2502"/>
        <v>10</v>
      </c>
      <c r="J1641" s="162"/>
      <c r="K1641" s="160">
        <v>10</v>
      </c>
      <c r="L1641" s="160"/>
      <c r="M1641" s="163">
        <f t="shared" si="2503"/>
        <v>10</v>
      </c>
      <c r="N1641" s="153">
        <f t="shared" si="2504"/>
        <v>30</v>
      </c>
      <c r="O1641" s="164">
        <v>46094</v>
      </c>
      <c r="P1641" s="81" t="s">
        <v>3</v>
      </c>
      <c r="Q1641" s="62"/>
      <c r="R1641" s="4"/>
      <c r="S1641" s="4"/>
      <c r="T1641" s="5">
        <f t="shared" ref="T1641" si="2509">SUM(Q1641:S1641)</f>
        <v>0</v>
      </c>
      <c r="U1641" s="62"/>
      <c r="V1641" s="4"/>
      <c r="W1641" s="4"/>
      <c r="X1641" s="5">
        <f t="shared" ref="X1641" si="2510">SUM(U1641:W1641)</f>
        <v>0</v>
      </c>
      <c r="Y1641" s="280"/>
      <c r="Z1641" s="281"/>
      <c r="AA1641" s="281"/>
      <c r="AB1641" s="5">
        <f t="shared" ref="AB1641" si="2511">SUM(Y1641:AA1641)</f>
        <v>0</v>
      </c>
      <c r="AC1641" s="91">
        <f t="shared" ref="AC1641" si="2512">T1641+X1641+AB1641</f>
        <v>0</v>
      </c>
    </row>
    <row r="1642" spans="1:30" x14ac:dyDescent="0.15">
      <c r="A1642" s="102" t="s">
        <v>3</v>
      </c>
      <c r="B1642" s="14"/>
      <c r="C1642" s="11"/>
      <c r="D1642" s="11"/>
      <c r="E1642" s="5">
        <f t="shared" si="2501"/>
        <v>0</v>
      </c>
      <c r="F1642" s="34"/>
      <c r="G1642" s="11"/>
      <c r="H1642" s="11"/>
      <c r="I1642" s="5">
        <f t="shared" si="2502"/>
        <v>0</v>
      </c>
      <c r="J1642" s="34"/>
      <c r="K1642" s="11"/>
      <c r="L1642" s="11"/>
      <c r="M1642" s="38">
        <f t="shared" si="2503"/>
        <v>0</v>
      </c>
      <c r="N1642" s="138">
        <f t="shared" si="2504"/>
        <v>0</v>
      </c>
      <c r="P1642" s="81" t="s">
        <v>3</v>
      </c>
      <c r="Q1642" s="62"/>
      <c r="R1642" s="4"/>
      <c r="S1642" s="4"/>
      <c r="T1642" s="5">
        <f t="shared" ref="T1642:T1646" si="2513">SUM(Q1642:S1642)</f>
        <v>0</v>
      </c>
      <c r="U1642" s="62"/>
      <c r="V1642" s="4"/>
      <c r="W1642" s="4"/>
      <c r="X1642" s="5">
        <f t="shared" ref="X1642:X1646" si="2514">SUM(U1642:W1642)</f>
        <v>0</v>
      </c>
      <c r="Y1642" s="280"/>
      <c r="Z1642" s="281"/>
      <c r="AA1642" s="281"/>
      <c r="AB1642" s="5">
        <f t="shared" ref="AB1642:AB1646" si="2515">SUM(Y1642:AA1642)</f>
        <v>0</v>
      </c>
      <c r="AC1642" s="91">
        <f t="shared" ref="AC1642:AC1646" si="2516">T1642+X1642+AB1642</f>
        <v>0</v>
      </c>
    </row>
    <row r="1643" spans="1:30" x14ac:dyDescent="0.15">
      <c r="A1643" s="102" t="s">
        <v>3</v>
      </c>
      <c r="B1643" s="14"/>
      <c r="C1643" s="11"/>
      <c r="D1643" s="11"/>
      <c r="E1643" s="5">
        <f t="shared" si="2501"/>
        <v>0</v>
      </c>
      <c r="F1643" s="34"/>
      <c r="G1643" s="11"/>
      <c r="H1643" s="11"/>
      <c r="I1643" s="5">
        <f t="shared" si="2502"/>
        <v>0</v>
      </c>
      <c r="J1643" s="34"/>
      <c r="K1643" s="11"/>
      <c r="L1643" s="11"/>
      <c r="M1643" s="38">
        <f t="shared" si="2503"/>
        <v>0</v>
      </c>
      <c r="N1643" s="138">
        <f t="shared" si="2504"/>
        <v>0</v>
      </c>
      <c r="P1643" s="81" t="s">
        <v>3</v>
      </c>
      <c r="Q1643" s="62"/>
      <c r="R1643" s="4"/>
      <c r="S1643" s="4"/>
      <c r="T1643" s="5">
        <f t="shared" si="2513"/>
        <v>0</v>
      </c>
      <c r="U1643" s="62"/>
      <c r="V1643" s="4"/>
      <c r="W1643" s="4"/>
      <c r="X1643" s="5">
        <f t="shared" si="2514"/>
        <v>0</v>
      </c>
      <c r="Y1643" s="280"/>
      <c r="Z1643" s="281"/>
      <c r="AA1643" s="281"/>
      <c r="AB1643" s="5">
        <f t="shared" si="2515"/>
        <v>0</v>
      </c>
      <c r="AC1643" s="91">
        <f t="shared" si="2516"/>
        <v>0</v>
      </c>
    </row>
    <row r="1644" spans="1:30" x14ac:dyDescent="0.15">
      <c r="A1644" s="102" t="s">
        <v>3</v>
      </c>
      <c r="B1644" s="14"/>
      <c r="C1644" s="11"/>
      <c r="D1644" s="11"/>
      <c r="E1644" s="5">
        <f t="shared" si="2501"/>
        <v>0</v>
      </c>
      <c r="F1644" s="34"/>
      <c r="G1644" s="11"/>
      <c r="H1644" s="11"/>
      <c r="I1644" s="5">
        <f t="shared" si="2502"/>
        <v>0</v>
      </c>
      <c r="J1644" s="34"/>
      <c r="K1644" s="11"/>
      <c r="L1644" s="11"/>
      <c r="M1644" s="38">
        <f t="shared" si="2503"/>
        <v>0</v>
      </c>
      <c r="N1644" s="138">
        <f t="shared" si="2504"/>
        <v>0</v>
      </c>
      <c r="P1644" s="81" t="s">
        <v>3</v>
      </c>
      <c r="Q1644" s="62"/>
      <c r="R1644" s="4"/>
      <c r="S1644" s="4"/>
      <c r="T1644" s="5">
        <f t="shared" si="2513"/>
        <v>0</v>
      </c>
      <c r="U1644" s="62"/>
      <c r="V1644" s="4"/>
      <c r="W1644" s="4"/>
      <c r="X1644" s="5">
        <f t="shared" si="2514"/>
        <v>0</v>
      </c>
      <c r="Y1644" s="280"/>
      <c r="Z1644" s="281"/>
      <c r="AA1644" s="281"/>
      <c r="AB1644" s="5">
        <f t="shared" si="2515"/>
        <v>0</v>
      </c>
      <c r="AC1644" s="91">
        <f t="shared" si="2516"/>
        <v>0</v>
      </c>
    </row>
    <row r="1645" spans="1:30" x14ac:dyDescent="0.15">
      <c r="A1645" s="102" t="s">
        <v>3</v>
      </c>
      <c r="B1645" s="25"/>
      <c r="C1645" s="26"/>
      <c r="D1645" s="26"/>
      <c r="E1645" s="8">
        <f t="shared" si="2501"/>
        <v>0</v>
      </c>
      <c r="F1645" s="25"/>
      <c r="G1645" s="26"/>
      <c r="H1645" s="26"/>
      <c r="I1645" s="8">
        <f t="shared" si="2502"/>
        <v>0</v>
      </c>
      <c r="J1645" s="25"/>
      <c r="K1645" s="26"/>
      <c r="L1645" s="26"/>
      <c r="M1645" s="39">
        <f t="shared" si="2503"/>
        <v>0</v>
      </c>
      <c r="N1645" s="138">
        <f t="shared" si="2504"/>
        <v>0</v>
      </c>
      <c r="P1645" s="81" t="s">
        <v>3</v>
      </c>
      <c r="Q1645" s="62"/>
      <c r="R1645" s="4"/>
      <c r="S1645" s="4"/>
      <c r="T1645" s="5">
        <f t="shared" si="2513"/>
        <v>0</v>
      </c>
      <c r="U1645" s="62"/>
      <c r="V1645" s="4"/>
      <c r="W1645" s="4"/>
      <c r="X1645" s="5">
        <f t="shared" si="2514"/>
        <v>0</v>
      </c>
      <c r="Y1645" s="280"/>
      <c r="Z1645" s="281"/>
      <c r="AA1645" s="281"/>
      <c r="AB1645" s="5">
        <f t="shared" si="2515"/>
        <v>0</v>
      </c>
      <c r="AC1645" s="91">
        <f t="shared" si="2516"/>
        <v>0</v>
      </c>
    </row>
    <row r="1646" spans="1:30" x14ac:dyDescent="0.15">
      <c r="A1646" s="102" t="s">
        <v>3</v>
      </c>
      <c r="B1646" s="27"/>
      <c r="C1646" s="26"/>
      <c r="D1646" s="26"/>
      <c r="E1646" s="5">
        <f t="shared" si="2501"/>
        <v>0</v>
      </c>
      <c r="F1646" s="25"/>
      <c r="G1646" s="26"/>
      <c r="H1646" s="26"/>
      <c r="I1646" s="5">
        <f t="shared" si="2502"/>
        <v>0</v>
      </c>
      <c r="J1646" s="25"/>
      <c r="K1646" s="26"/>
      <c r="L1646" s="26"/>
      <c r="M1646" s="38">
        <f t="shared" si="2503"/>
        <v>0</v>
      </c>
      <c r="N1646" s="138">
        <f t="shared" si="2504"/>
        <v>0</v>
      </c>
      <c r="P1646" s="81" t="s">
        <v>3</v>
      </c>
      <c r="Q1646" s="62"/>
      <c r="R1646" s="4"/>
      <c r="S1646" s="4"/>
      <c r="T1646" s="5">
        <f t="shared" si="2513"/>
        <v>0</v>
      </c>
      <c r="U1646" s="62"/>
      <c r="V1646" s="4"/>
      <c r="W1646" s="4"/>
      <c r="X1646" s="5">
        <f t="shared" si="2514"/>
        <v>0</v>
      </c>
      <c r="Y1646" s="280"/>
      <c r="Z1646" s="281"/>
      <c r="AA1646" s="281"/>
      <c r="AB1646" s="5">
        <f t="shared" si="2515"/>
        <v>0</v>
      </c>
      <c r="AC1646" s="91">
        <f t="shared" si="2516"/>
        <v>0</v>
      </c>
    </row>
    <row r="1647" spans="1:30" x14ac:dyDescent="0.15">
      <c r="A1647" s="102" t="s">
        <v>3</v>
      </c>
      <c r="B1647" s="27"/>
      <c r="C1647" s="26"/>
      <c r="D1647" s="26"/>
      <c r="E1647" s="5">
        <f t="shared" si="2501"/>
        <v>0</v>
      </c>
      <c r="F1647" s="25"/>
      <c r="G1647" s="26"/>
      <c r="H1647" s="26"/>
      <c r="I1647" s="5">
        <f t="shared" si="2502"/>
        <v>0</v>
      </c>
      <c r="J1647" s="25"/>
      <c r="K1647" s="26"/>
      <c r="L1647" s="26"/>
      <c r="M1647" s="38">
        <f t="shared" si="2503"/>
        <v>0</v>
      </c>
      <c r="N1647" s="138">
        <f t="shared" si="2504"/>
        <v>0</v>
      </c>
      <c r="P1647" s="6" t="s">
        <v>3</v>
      </c>
      <c r="Q1647" s="14"/>
      <c r="R1647" s="11"/>
      <c r="S1647" s="11"/>
      <c r="T1647" s="5">
        <f t="shared" si="2505"/>
        <v>0</v>
      </c>
      <c r="U1647" s="14"/>
      <c r="V1647" s="11"/>
      <c r="W1647" s="11"/>
      <c r="X1647" s="5">
        <f t="shared" si="2506"/>
        <v>0</v>
      </c>
      <c r="Y1647" s="25"/>
      <c r="Z1647" s="26"/>
      <c r="AA1647" s="26"/>
      <c r="AB1647" s="8">
        <f t="shared" si="2507"/>
        <v>0</v>
      </c>
      <c r="AC1647" s="86">
        <f t="shared" si="2508"/>
        <v>0</v>
      </c>
    </row>
    <row r="1648" spans="1:30" x14ac:dyDescent="0.15">
      <c r="A1648" s="102" t="s">
        <v>3</v>
      </c>
      <c r="B1648" s="27"/>
      <c r="C1648" s="26"/>
      <c r="D1648" s="26"/>
      <c r="E1648" s="5">
        <f t="shared" si="2501"/>
        <v>0</v>
      </c>
      <c r="F1648" s="25"/>
      <c r="G1648" s="26"/>
      <c r="H1648" s="26"/>
      <c r="I1648" s="5">
        <f t="shared" si="2502"/>
        <v>0</v>
      </c>
      <c r="J1648" s="25"/>
      <c r="K1648" s="26"/>
      <c r="L1648" s="26"/>
      <c r="M1648" s="38">
        <f t="shared" si="2503"/>
        <v>0</v>
      </c>
      <c r="N1648" s="138">
        <f t="shared" si="2504"/>
        <v>0</v>
      </c>
      <c r="P1648" s="6" t="s">
        <v>3</v>
      </c>
      <c r="Q1648" s="14"/>
      <c r="R1648" s="11"/>
      <c r="S1648" s="11"/>
      <c r="T1648" s="5">
        <f t="shared" si="2505"/>
        <v>0</v>
      </c>
      <c r="U1648" s="14"/>
      <c r="V1648" s="11"/>
      <c r="W1648" s="11"/>
      <c r="X1648" s="5">
        <f t="shared" si="2506"/>
        <v>0</v>
      </c>
      <c r="Y1648" s="25"/>
      <c r="Z1648" s="26"/>
      <c r="AA1648" s="26"/>
      <c r="AB1648" s="8">
        <f t="shared" si="2507"/>
        <v>0</v>
      </c>
      <c r="AC1648" s="86">
        <f t="shared" si="2508"/>
        <v>0</v>
      </c>
    </row>
    <row r="1649" spans="1:31" ht="14.25" thickBot="1" x14ac:dyDescent="0.2">
      <c r="A1649" s="102" t="s">
        <v>3</v>
      </c>
      <c r="B1649" s="28"/>
      <c r="C1649" s="29"/>
      <c r="D1649" s="32"/>
      <c r="E1649" s="15">
        <f t="shared" si="2501"/>
        <v>0</v>
      </c>
      <c r="F1649" s="35"/>
      <c r="G1649" s="29"/>
      <c r="H1649" s="32"/>
      <c r="I1649" s="15">
        <f t="shared" si="2502"/>
        <v>0</v>
      </c>
      <c r="J1649" s="35"/>
      <c r="K1649" s="29"/>
      <c r="L1649" s="32"/>
      <c r="M1649" s="40">
        <f t="shared" si="2503"/>
        <v>0</v>
      </c>
      <c r="N1649" s="139">
        <f t="shared" si="2504"/>
        <v>0</v>
      </c>
      <c r="P1649" s="6" t="s">
        <v>3</v>
      </c>
      <c r="Q1649" s="14"/>
      <c r="R1649" s="11"/>
      <c r="S1649" s="11"/>
      <c r="T1649" s="5">
        <f t="shared" si="2505"/>
        <v>0</v>
      </c>
      <c r="U1649" s="14"/>
      <c r="V1649" s="11"/>
      <c r="W1649" s="11"/>
      <c r="X1649" s="5">
        <f t="shared" si="2506"/>
        <v>0</v>
      </c>
      <c r="Y1649" s="25"/>
      <c r="Z1649" s="26"/>
      <c r="AA1649" s="26"/>
      <c r="AB1649" s="8">
        <f t="shared" si="2507"/>
        <v>0</v>
      </c>
      <c r="AC1649" s="86">
        <f t="shared" si="2508"/>
        <v>0</v>
      </c>
    </row>
    <row r="1650" spans="1:31" ht="14.25" thickBot="1" x14ac:dyDescent="0.2">
      <c r="A1650" s="103" t="s">
        <v>4</v>
      </c>
      <c r="B1650" s="17">
        <f>SUM(B1639:B1649)</f>
        <v>40</v>
      </c>
      <c r="C1650" s="17">
        <f>SUM(C1639:C1649)</f>
        <v>53</v>
      </c>
      <c r="D1650" s="17">
        <f>SUM(D1639:D1649)</f>
        <v>37</v>
      </c>
      <c r="E1650" s="18">
        <f t="shared" si="2501"/>
        <v>130</v>
      </c>
      <c r="F1650" s="17">
        <f>SUM(F1639:F1649)</f>
        <v>43</v>
      </c>
      <c r="G1650" s="17">
        <f>SUM(G1639:G1649)</f>
        <v>60</v>
      </c>
      <c r="H1650" s="17">
        <f>SUM(H1639:H1649)</f>
        <v>34</v>
      </c>
      <c r="I1650" s="18">
        <f t="shared" si="2502"/>
        <v>137</v>
      </c>
      <c r="J1650" s="17">
        <f>SUM(J1639:J1649)</f>
        <v>42</v>
      </c>
      <c r="K1650" s="17">
        <f>SUM(K1639:K1649)</f>
        <v>53</v>
      </c>
      <c r="L1650" s="17">
        <f>SUM(L1639:L1649)</f>
        <v>36</v>
      </c>
      <c r="M1650" s="20">
        <f t="shared" si="2503"/>
        <v>131</v>
      </c>
      <c r="N1650" s="140">
        <f t="shared" si="2504"/>
        <v>398</v>
      </c>
      <c r="P1650" s="16" t="s">
        <v>4</v>
      </c>
      <c r="Q1650" s="17">
        <f>SUM(Q1639:Q1649)</f>
        <v>612</v>
      </c>
      <c r="R1650" s="17">
        <f t="shared" ref="R1650:AC1650" si="2517">SUM(R1639:R1649)</f>
        <v>679</v>
      </c>
      <c r="S1650" s="17">
        <f t="shared" si="2517"/>
        <v>576</v>
      </c>
      <c r="T1650" s="18">
        <f t="shared" si="2517"/>
        <v>1867</v>
      </c>
      <c r="U1650" s="17">
        <f t="shared" si="2517"/>
        <v>660</v>
      </c>
      <c r="V1650" s="17">
        <f t="shared" si="2517"/>
        <v>795</v>
      </c>
      <c r="W1650" s="17">
        <f t="shared" si="2517"/>
        <v>671</v>
      </c>
      <c r="X1650" s="18">
        <f t="shared" si="2517"/>
        <v>2126</v>
      </c>
      <c r="Y1650" s="17">
        <f t="shared" si="2517"/>
        <v>626</v>
      </c>
      <c r="Z1650" s="17">
        <f t="shared" si="2517"/>
        <v>735</v>
      </c>
      <c r="AA1650" s="17">
        <f t="shared" si="2517"/>
        <v>620</v>
      </c>
      <c r="AB1650" s="18">
        <f t="shared" si="2517"/>
        <v>1981</v>
      </c>
      <c r="AC1650" s="88">
        <f t="shared" si="2517"/>
        <v>5974</v>
      </c>
    </row>
    <row r="1651" spans="1:31" x14ac:dyDescent="0.15">
      <c r="A1651" s="33" t="s">
        <v>36</v>
      </c>
      <c r="B1651" s="9">
        <v>1</v>
      </c>
      <c r="C1651" s="10">
        <v>1</v>
      </c>
      <c r="D1651" s="31"/>
      <c r="E1651" s="5">
        <f t="shared" si="2501"/>
        <v>2</v>
      </c>
      <c r="F1651" s="9">
        <v>1</v>
      </c>
      <c r="G1651" s="10">
        <v>1</v>
      </c>
      <c r="H1651" s="31"/>
      <c r="I1651" s="5">
        <f t="shared" si="2502"/>
        <v>2</v>
      </c>
      <c r="J1651" s="9">
        <v>1</v>
      </c>
      <c r="K1651" s="10">
        <v>1</v>
      </c>
      <c r="L1651" s="31"/>
      <c r="M1651" s="38">
        <f t="shared" si="2503"/>
        <v>2</v>
      </c>
      <c r="N1651" s="141">
        <f t="shared" si="2504"/>
        <v>6</v>
      </c>
      <c r="O1651" s="70">
        <v>46078</v>
      </c>
      <c r="P1651" s="11" t="s">
        <v>1568</v>
      </c>
      <c r="Q1651" s="9">
        <v>5</v>
      </c>
      <c r="R1651" s="10"/>
      <c r="S1651" s="31">
        <v>5</v>
      </c>
      <c r="T1651" s="5">
        <f t="shared" ref="T1651:T1663" si="2518">SUM(Q1651:S1651)</f>
        <v>10</v>
      </c>
      <c r="U1651" s="9">
        <v>5</v>
      </c>
      <c r="V1651" s="10"/>
      <c r="W1651" s="31">
        <v>5</v>
      </c>
      <c r="X1651" s="5">
        <f t="shared" ref="X1651:X1663" si="2519">SUM(U1651:W1651)</f>
        <v>10</v>
      </c>
      <c r="Y1651" s="9">
        <v>5</v>
      </c>
      <c r="Z1651" s="10"/>
      <c r="AA1651" s="31">
        <v>5</v>
      </c>
      <c r="AB1651" s="5">
        <f t="shared" ref="AB1651:AB1663" si="2520">SUM(Y1651:AA1651)</f>
        <v>10</v>
      </c>
      <c r="AC1651" s="148">
        <f t="shared" ref="AC1651:AC1663" si="2521">T1651+X1651+AB1651</f>
        <v>30</v>
      </c>
      <c r="AD1651" s="109">
        <v>46084</v>
      </c>
    </row>
    <row r="1652" spans="1:31" x14ac:dyDescent="0.15">
      <c r="A1652" s="33" t="s">
        <v>1564</v>
      </c>
      <c r="B1652" s="9">
        <v>1</v>
      </c>
      <c r="C1652" s="10">
        <v>4</v>
      </c>
      <c r="D1652" s="10">
        <v>2</v>
      </c>
      <c r="E1652" s="5">
        <f t="shared" si="2501"/>
        <v>7</v>
      </c>
      <c r="F1652" s="9">
        <v>1</v>
      </c>
      <c r="G1652" s="10">
        <v>4</v>
      </c>
      <c r="H1652" s="10">
        <v>2</v>
      </c>
      <c r="I1652" s="5">
        <f t="shared" si="2502"/>
        <v>7</v>
      </c>
      <c r="J1652" s="9">
        <v>1</v>
      </c>
      <c r="K1652" s="10">
        <v>4</v>
      </c>
      <c r="L1652" s="10">
        <v>2</v>
      </c>
      <c r="M1652" s="38">
        <f t="shared" si="2503"/>
        <v>7</v>
      </c>
      <c r="N1652" s="138">
        <f t="shared" si="2504"/>
        <v>21</v>
      </c>
      <c r="O1652" s="24">
        <v>46080</v>
      </c>
      <c r="P1652" s="4" t="s">
        <v>1572</v>
      </c>
      <c r="Q1652" s="9">
        <v>10</v>
      </c>
      <c r="R1652" s="10">
        <v>50</v>
      </c>
      <c r="S1652" s="10">
        <v>10</v>
      </c>
      <c r="T1652" s="5">
        <f t="shared" si="2518"/>
        <v>70</v>
      </c>
      <c r="U1652" s="9">
        <v>40</v>
      </c>
      <c r="V1652" s="10">
        <v>30</v>
      </c>
      <c r="W1652" s="10">
        <v>20</v>
      </c>
      <c r="X1652" s="5">
        <f t="shared" si="2519"/>
        <v>90</v>
      </c>
      <c r="Y1652" s="9">
        <v>50</v>
      </c>
      <c r="Z1652" s="10">
        <v>10</v>
      </c>
      <c r="AA1652" s="10">
        <v>10</v>
      </c>
      <c r="AB1652" s="5">
        <f t="shared" si="2520"/>
        <v>70</v>
      </c>
      <c r="AC1652" s="93">
        <f t="shared" si="2521"/>
        <v>230</v>
      </c>
      <c r="AD1652" s="109">
        <v>46086</v>
      </c>
    </row>
    <row r="1653" spans="1:31" x14ac:dyDescent="0.15">
      <c r="A1653" s="33" t="s">
        <v>36</v>
      </c>
      <c r="B1653" s="9"/>
      <c r="C1653" s="10"/>
      <c r="D1653" s="10"/>
      <c r="E1653" s="5">
        <f t="shared" si="2501"/>
        <v>0</v>
      </c>
      <c r="F1653" s="9"/>
      <c r="G1653" s="10"/>
      <c r="H1653" s="10"/>
      <c r="I1653" s="5">
        <f t="shared" si="2502"/>
        <v>0</v>
      </c>
      <c r="J1653" s="9"/>
      <c r="K1653" s="10"/>
      <c r="L1653" s="10">
        <v>1</v>
      </c>
      <c r="M1653" s="38">
        <f t="shared" si="2503"/>
        <v>1</v>
      </c>
      <c r="N1653" s="138">
        <f t="shared" si="2504"/>
        <v>1</v>
      </c>
      <c r="O1653" s="24">
        <v>46079</v>
      </c>
      <c r="P1653" s="4" t="s">
        <v>1573</v>
      </c>
      <c r="Q1653" s="9">
        <v>15</v>
      </c>
      <c r="R1653" s="10">
        <v>30</v>
      </c>
      <c r="S1653" s="10">
        <v>40</v>
      </c>
      <c r="T1653" s="5">
        <f t="shared" si="2518"/>
        <v>85</v>
      </c>
      <c r="U1653" s="9">
        <v>15</v>
      </c>
      <c r="V1653" s="10">
        <v>30</v>
      </c>
      <c r="W1653" s="10">
        <v>40</v>
      </c>
      <c r="X1653" s="5">
        <f t="shared" si="2519"/>
        <v>85</v>
      </c>
      <c r="Y1653" s="9">
        <v>15</v>
      </c>
      <c r="Z1653" s="10">
        <v>30</v>
      </c>
      <c r="AA1653" s="10">
        <v>40</v>
      </c>
      <c r="AB1653" s="5">
        <f t="shared" si="2520"/>
        <v>85</v>
      </c>
      <c r="AC1653" s="93">
        <f t="shared" si="2521"/>
        <v>255</v>
      </c>
      <c r="AD1653" s="109">
        <v>46087</v>
      </c>
    </row>
    <row r="1654" spans="1:31" x14ac:dyDescent="0.15">
      <c r="A1654" s="33" t="s">
        <v>1567</v>
      </c>
      <c r="B1654" s="9">
        <v>1</v>
      </c>
      <c r="C1654" s="10">
        <v>2</v>
      </c>
      <c r="D1654" s="10">
        <v>1</v>
      </c>
      <c r="E1654" s="5">
        <f t="shared" si="2501"/>
        <v>4</v>
      </c>
      <c r="F1654" s="9">
        <v>1</v>
      </c>
      <c r="G1654" s="10">
        <v>2</v>
      </c>
      <c r="H1654" s="10">
        <v>1</v>
      </c>
      <c r="I1654" s="5">
        <f t="shared" si="2502"/>
        <v>4</v>
      </c>
      <c r="J1654" s="9">
        <v>1</v>
      </c>
      <c r="K1654" s="10">
        <v>2</v>
      </c>
      <c r="L1654" s="10">
        <v>1</v>
      </c>
      <c r="M1654" s="38">
        <f t="shared" si="2503"/>
        <v>4</v>
      </c>
      <c r="N1654" s="138">
        <f t="shared" si="2504"/>
        <v>12</v>
      </c>
      <c r="O1654" s="24">
        <v>46083</v>
      </c>
      <c r="P1654" s="4" t="s">
        <v>1580</v>
      </c>
      <c r="Q1654" s="9">
        <v>20</v>
      </c>
      <c r="R1654" s="10">
        <v>15</v>
      </c>
      <c r="S1654" s="10"/>
      <c r="T1654" s="5">
        <f t="shared" si="2518"/>
        <v>35</v>
      </c>
      <c r="U1654" s="9">
        <v>20</v>
      </c>
      <c r="V1654" s="10">
        <v>15</v>
      </c>
      <c r="W1654" s="10"/>
      <c r="X1654" s="5">
        <f t="shared" si="2519"/>
        <v>35</v>
      </c>
      <c r="Y1654" s="9">
        <v>20</v>
      </c>
      <c r="Z1654" s="10">
        <v>15</v>
      </c>
      <c r="AA1654" s="10"/>
      <c r="AB1654" s="5">
        <f t="shared" si="2520"/>
        <v>35</v>
      </c>
      <c r="AC1654" s="93">
        <f t="shared" si="2521"/>
        <v>105</v>
      </c>
      <c r="AD1654" s="109">
        <v>46087</v>
      </c>
    </row>
    <row r="1655" spans="1:31" x14ac:dyDescent="0.15">
      <c r="A1655" s="33" t="s">
        <v>36</v>
      </c>
      <c r="B1655" s="9"/>
      <c r="C1655" s="10"/>
      <c r="D1655" s="10">
        <v>1</v>
      </c>
      <c r="E1655" s="5">
        <f t="shared" si="2501"/>
        <v>1</v>
      </c>
      <c r="F1655" s="9"/>
      <c r="G1655" s="10"/>
      <c r="H1655" s="10">
        <v>1</v>
      </c>
      <c r="I1655" s="5">
        <f t="shared" si="2502"/>
        <v>1</v>
      </c>
      <c r="J1655" s="9"/>
      <c r="K1655" s="10"/>
      <c r="L1655" s="10">
        <v>1</v>
      </c>
      <c r="M1655" s="38">
        <f t="shared" si="2503"/>
        <v>1</v>
      </c>
      <c r="N1655" s="138">
        <f t="shared" si="2504"/>
        <v>3</v>
      </c>
      <c r="O1655" s="70">
        <v>46080</v>
      </c>
      <c r="P1655" s="4" t="s">
        <v>1582</v>
      </c>
      <c r="Q1655" s="9"/>
      <c r="R1655" s="10">
        <v>30</v>
      </c>
      <c r="S1655" s="10">
        <v>10</v>
      </c>
      <c r="T1655" s="5">
        <f t="shared" si="2518"/>
        <v>40</v>
      </c>
      <c r="U1655" s="9"/>
      <c r="V1655" s="10">
        <v>30</v>
      </c>
      <c r="W1655" s="10">
        <v>10</v>
      </c>
      <c r="X1655" s="5">
        <f t="shared" si="2519"/>
        <v>40</v>
      </c>
      <c r="Y1655" s="9"/>
      <c r="Z1655" s="10">
        <v>30</v>
      </c>
      <c r="AA1655" s="10">
        <v>10</v>
      </c>
      <c r="AB1655" s="5">
        <f t="shared" si="2520"/>
        <v>40</v>
      </c>
      <c r="AC1655" s="93">
        <f t="shared" si="2521"/>
        <v>120</v>
      </c>
      <c r="AD1655" s="109">
        <v>46094</v>
      </c>
    </row>
    <row r="1656" spans="1:31" x14ac:dyDescent="0.15">
      <c r="A1656" s="33" t="s">
        <v>1569</v>
      </c>
      <c r="B1656" s="9">
        <v>3</v>
      </c>
      <c r="C1656" s="10">
        <v>1</v>
      </c>
      <c r="D1656" s="10">
        <v>4</v>
      </c>
      <c r="E1656" s="8">
        <f t="shared" si="2501"/>
        <v>8</v>
      </c>
      <c r="F1656" s="9">
        <v>3</v>
      </c>
      <c r="G1656" s="10">
        <v>1</v>
      </c>
      <c r="H1656" s="10">
        <v>4</v>
      </c>
      <c r="I1656" s="8">
        <f t="shared" si="2502"/>
        <v>8</v>
      </c>
      <c r="J1656" s="9">
        <v>3</v>
      </c>
      <c r="K1656" s="10">
        <v>1</v>
      </c>
      <c r="L1656" s="10">
        <v>4</v>
      </c>
      <c r="M1656" s="39">
        <f t="shared" si="2503"/>
        <v>8</v>
      </c>
      <c r="N1656" s="138">
        <f t="shared" si="2504"/>
        <v>24</v>
      </c>
      <c r="O1656" s="24">
        <v>46085</v>
      </c>
      <c r="P1656" s="11" t="s">
        <v>1585</v>
      </c>
      <c r="Q1656" s="9"/>
      <c r="R1656" s="10">
        <v>2</v>
      </c>
      <c r="S1656" s="10"/>
      <c r="T1656" s="8">
        <f t="shared" si="2518"/>
        <v>2</v>
      </c>
      <c r="U1656" s="9"/>
      <c r="V1656" s="10">
        <v>2</v>
      </c>
      <c r="W1656" s="10"/>
      <c r="X1656" s="8">
        <f t="shared" si="2519"/>
        <v>2</v>
      </c>
      <c r="Y1656" s="9"/>
      <c r="Z1656" s="10">
        <v>2</v>
      </c>
      <c r="AA1656" s="10"/>
      <c r="AB1656" s="8">
        <f t="shared" si="2520"/>
        <v>2</v>
      </c>
      <c r="AC1656" s="93">
        <f t="shared" si="2521"/>
        <v>6</v>
      </c>
      <c r="AD1656" s="109">
        <v>46092</v>
      </c>
    </row>
    <row r="1657" spans="1:31" x14ac:dyDescent="0.15">
      <c r="A1657" s="33" t="s">
        <v>36</v>
      </c>
      <c r="B1657" s="9">
        <v>2</v>
      </c>
      <c r="C1657" s="10">
        <v>2</v>
      </c>
      <c r="D1657" s="10"/>
      <c r="E1657" s="8">
        <f t="shared" si="2501"/>
        <v>4</v>
      </c>
      <c r="F1657" s="9">
        <v>1</v>
      </c>
      <c r="G1657" s="10">
        <v>4</v>
      </c>
      <c r="H1657" s="10"/>
      <c r="I1657" s="8">
        <f t="shared" si="2502"/>
        <v>5</v>
      </c>
      <c r="J1657" s="9">
        <v>2</v>
      </c>
      <c r="K1657" s="10">
        <v>2</v>
      </c>
      <c r="L1657" s="10"/>
      <c r="M1657" s="39">
        <f t="shared" si="2503"/>
        <v>4</v>
      </c>
      <c r="N1657" s="138">
        <f t="shared" si="2504"/>
        <v>13</v>
      </c>
      <c r="O1657" s="70">
        <v>46083</v>
      </c>
      <c r="P1657" s="4" t="s">
        <v>1587</v>
      </c>
      <c r="Q1657" s="9">
        <v>20</v>
      </c>
      <c r="R1657" s="10"/>
      <c r="S1657" s="10">
        <v>30</v>
      </c>
      <c r="T1657" s="8">
        <f t="shared" si="2518"/>
        <v>50</v>
      </c>
      <c r="U1657" s="9"/>
      <c r="V1657" s="10"/>
      <c r="W1657" s="10">
        <v>15</v>
      </c>
      <c r="X1657" s="8">
        <f t="shared" si="2519"/>
        <v>15</v>
      </c>
      <c r="Y1657" s="9"/>
      <c r="Z1657" s="10"/>
      <c r="AA1657" s="10">
        <v>15</v>
      </c>
      <c r="AB1657" s="8">
        <f t="shared" si="2520"/>
        <v>15</v>
      </c>
      <c r="AC1657" s="93">
        <f t="shared" si="2521"/>
        <v>80</v>
      </c>
      <c r="AD1657" s="109">
        <v>46087</v>
      </c>
      <c r="AE1657" s="58"/>
    </row>
    <row r="1658" spans="1:31" x14ac:dyDescent="0.15">
      <c r="A1658" s="33" t="s">
        <v>1570</v>
      </c>
      <c r="B1658" s="9"/>
      <c r="C1658" s="10">
        <v>1</v>
      </c>
      <c r="D1658" s="10"/>
      <c r="E1658" s="8">
        <f t="shared" si="2501"/>
        <v>1</v>
      </c>
      <c r="F1658" s="9"/>
      <c r="G1658" s="10">
        <v>1</v>
      </c>
      <c r="H1658" s="10"/>
      <c r="I1658" s="8">
        <f t="shared" si="2502"/>
        <v>1</v>
      </c>
      <c r="J1658" s="9"/>
      <c r="K1658" s="10">
        <v>1</v>
      </c>
      <c r="L1658" s="10"/>
      <c r="M1658" s="39">
        <f t="shared" si="2503"/>
        <v>1</v>
      </c>
      <c r="N1658" s="138">
        <f t="shared" si="2504"/>
        <v>3</v>
      </c>
      <c r="O1658" s="70">
        <v>46083</v>
      </c>
      <c r="P1658" s="4" t="s">
        <v>1595</v>
      </c>
      <c r="Q1658" s="9">
        <v>25</v>
      </c>
      <c r="R1658" s="10">
        <v>50</v>
      </c>
      <c r="S1658" s="10">
        <v>35</v>
      </c>
      <c r="T1658" s="8">
        <f t="shared" si="2518"/>
        <v>110</v>
      </c>
      <c r="U1658" s="9">
        <v>25</v>
      </c>
      <c r="V1658" s="10">
        <v>50</v>
      </c>
      <c r="W1658" s="10">
        <v>35</v>
      </c>
      <c r="X1658" s="8">
        <f t="shared" si="2519"/>
        <v>110</v>
      </c>
      <c r="Y1658" s="9">
        <v>25</v>
      </c>
      <c r="Z1658" s="10">
        <v>50</v>
      </c>
      <c r="AA1658" s="10">
        <v>35</v>
      </c>
      <c r="AB1658" s="8">
        <f t="shared" si="2520"/>
        <v>110</v>
      </c>
      <c r="AC1658" s="93">
        <f t="shared" si="2521"/>
        <v>330</v>
      </c>
      <c r="AD1658" s="109">
        <v>46091</v>
      </c>
      <c r="AE1658" s="58"/>
    </row>
    <row r="1659" spans="1:31" x14ac:dyDescent="0.15">
      <c r="A1659" s="33" t="s">
        <v>1571</v>
      </c>
      <c r="B1659" s="9">
        <v>5</v>
      </c>
      <c r="C1659" s="10">
        <v>4</v>
      </c>
      <c r="D1659" s="10"/>
      <c r="E1659" s="8">
        <f t="shared" si="2501"/>
        <v>9</v>
      </c>
      <c r="F1659" s="9">
        <v>5</v>
      </c>
      <c r="G1659" s="10">
        <v>4</v>
      </c>
      <c r="H1659" s="10"/>
      <c r="I1659" s="8">
        <f t="shared" si="2502"/>
        <v>9</v>
      </c>
      <c r="J1659" s="9">
        <v>5</v>
      </c>
      <c r="K1659" s="10">
        <v>4</v>
      </c>
      <c r="L1659" s="10"/>
      <c r="M1659" s="39">
        <f t="shared" si="2503"/>
        <v>9</v>
      </c>
      <c r="N1659" s="138">
        <f t="shared" si="2504"/>
        <v>27</v>
      </c>
      <c r="O1659" s="24">
        <v>46086</v>
      </c>
      <c r="P1659" s="4" t="s">
        <v>1596</v>
      </c>
      <c r="Q1659" s="9"/>
      <c r="R1659" s="10"/>
      <c r="S1659" s="10"/>
      <c r="T1659" s="8">
        <f t="shared" si="2518"/>
        <v>0</v>
      </c>
      <c r="U1659" s="9"/>
      <c r="V1659" s="10"/>
      <c r="W1659" s="10"/>
      <c r="X1659" s="8">
        <f t="shared" si="2519"/>
        <v>0</v>
      </c>
      <c r="Y1659" s="9"/>
      <c r="Z1659" s="10">
        <v>30</v>
      </c>
      <c r="AA1659" s="10"/>
      <c r="AB1659" s="8">
        <f t="shared" si="2520"/>
        <v>30</v>
      </c>
      <c r="AC1659" s="93">
        <f t="shared" si="2521"/>
        <v>30</v>
      </c>
      <c r="AD1659" s="109">
        <v>46088</v>
      </c>
    </row>
    <row r="1660" spans="1:31" x14ac:dyDescent="0.15">
      <c r="A1660" s="33" t="s">
        <v>36</v>
      </c>
      <c r="B1660" s="9">
        <v>1</v>
      </c>
      <c r="C1660" s="10"/>
      <c r="D1660" s="10"/>
      <c r="E1660" s="8">
        <f t="shared" si="2501"/>
        <v>1</v>
      </c>
      <c r="F1660" s="9">
        <v>1</v>
      </c>
      <c r="G1660" s="10"/>
      <c r="H1660" s="10"/>
      <c r="I1660" s="8">
        <f t="shared" si="2502"/>
        <v>1</v>
      </c>
      <c r="J1660" s="9">
        <v>1</v>
      </c>
      <c r="K1660" s="10"/>
      <c r="L1660" s="10"/>
      <c r="M1660" s="39">
        <f t="shared" si="2503"/>
        <v>1</v>
      </c>
      <c r="N1660" s="138">
        <f t="shared" si="2504"/>
        <v>3</v>
      </c>
      <c r="O1660" s="24">
        <v>46084</v>
      </c>
      <c r="P1660" s="4" t="s">
        <v>1597</v>
      </c>
      <c r="Q1660" s="9">
        <v>10</v>
      </c>
      <c r="R1660" s="10">
        <v>10</v>
      </c>
      <c r="S1660" s="10">
        <v>5</v>
      </c>
      <c r="T1660" s="8">
        <f t="shared" si="2518"/>
        <v>25</v>
      </c>
      <c r="U1660" s="9">
        <v>10</v>
      </c>
      <c r="V1660" s="10">
        <v>15</v>
      </c>
      <c r="W1660" s="10">
        <v>5</v>
      </c>
      <c r="X1660" s="8">
        <f t="shared" si="2519"/>
        <v>30</v>
      </c>
      <c r="Y1660" s="9">
        <v>10</v>
      </c>
      <c r="Z1660" s="10">
        <v>5</v>
      </c>
      <c r="AA1660" s="10"/>
      <c r="AB1660" s="8">
        <f t="shared" si="2520"/>
        <v>15</v>
      </c>
      <c r="AC1660" s="93">
        <f t="shared" si="2521"/>
        <v>70</v>
      </c>
      <c r="AD1660" s="121">
        <v>46088</v>
      </c>
    </row>
    <row r="1661" spans="1:31" x14ac:dyDescent="0.15">
      <c r="A1661" s="33" t="s">
        <v>1579</v>
      </c>
      <c r="B1661" s="9">
        <v>1</v>
      </c>
      <c r="C1661" s="10">
        <v>3</v>
      </c>
      <c r="D1661" s="10">
        <v>1</v>
      </c>
      <c r="E1661" s="8">
        <f t="shared" si="2501"/>
        <v>5</v>
      </c>
      <c r="F1661" s="9">
        <v>1</v>
      </c>
      <c r="G1661" s="10">
        <v>3</v>
      </c>
      <c r="H1661" s="10">
        <v>1</v>
      </c>
      <c r="I1661" s="8">
        <f t="shared" si="2502"/>
        <v>5</v>
      </c>
      <c r="J1661" s="9">
        <v>1</v>
      </c>
      <c r="K1661" s="10">
        <v>3</v>
      </c>
      <c r="L1661" s="10">
        <v>1</v>
      </c>
      <c r="M1661" s="39">
        <f t="shared" si="2503"/>
        <v>5</v>
      </c>
      <c r="N1661" s="138">
        <f t="shared" si="2504"/>
        <v>15</v>
      </c>
      <c r="O1661" s="24">
        <v>46087</v>
      </c>
      <c r="P1661" s="4" t="s">
        <v>1598</v>
      </c>
      <c r="Q1661" s="9">
        <v>20</v>
      </c>
      <c r="R1661" s="10">
        <v>30</v>
      </c>
      <c r="S1661" s="10">
        <v>20</v>
      </c>
      <c r="T1661" s="8">
        <f t="shared" si="2518"/>
        <v>70</v>
      </c>
      <c r="U1661" s="9">
        <v>15</v>
      </c>
      <c r="V1661" s="10">
        <v>15</v>
      </c>
      <c r="W1661" s="10">
        <v>15</v>
      </c>
      <c r="X1661" s="8">
        <f t="shared" si="2519"/>
        <v>45</v>
      </c>
      <c r="Y1661" s="9">
        <v>20</v>
      </c>
      <c r="Z1661" s="10">
        <v>30</v>
      </c>
      <c r="AA1661" s="10">
        <v>20</v>
      </c>
      <c r="AB1661" s="8">
        <f t="shared" si="2520"/>
        <v>70</v>
      </c>
      <c r="AC1661" s="93">
        <f t="shared" si="2521"/>
        <v>185</v>
      </c>
      <c r="AD1661" s="109">
        <v>46093</v>
      </c>
    </row>
    <row r="1662" spans="1:31" x14ac:dyDescent="0.15">
      <c r="A1662" s="33" t="s">
        <v>36</v>
      </c>
      <c r="B1662" s="9">
        <v>1</v>
      </c>
      <c r="C1662" s="10"/>
      <c r="D1662" s="10"/>
      <c r="E1662" s="8">
        <f t="shared" si="2501"/>
        <v>1</v>
      </c>
      <c r="F1662" s="9">
        <v>1</v>
      </c>
      <c r="G1662" s="10"/>
      <c r="H1662" s="10"/>
      <c r="I1662" s="8">
        <f t="shared" si="2502"/>
        <v>1</v>
      </c>
      <c r="J1662" s="9">
        <v>1</v>
      </c>
      <c r="K1662" s="10"/>
      <c r="L1662" s="10"/>
      <c r="M1662" s="39">
        <f t="shared" si="2503"/>
        <v>1</v>
      </c>
      <c r="N1662" s="138">
        <f t="shared" si="2504"/>
        <v>3</v>
      </c>
      <c r="O1662" s="70">
        <v>46085</v>
      </c>
      <c r="P1662" s="4" t="s">
        <v>1601</v>
      </c>
      <c r="Q1662" s="9">
        <v>18</v>
      </c>
      <c r="R1662" s="10">
        <v>13</v>
      </c>
      <c r="S1662" s="10"/>
      <c r="T1662" s="8">
        <f t="shared" si="2518"/>
        <v>31</v>
      </c>
      <c r="U1662" s="9">
        <v>18</v>
      </c>
      <c r="V1662" s="10">
        <v>13</v>
      </c>
      <c r="W1662" s="10"/>
      <c r="X1662" s="8">
        <f t="shared" si="2519"/>
        <v>31</v>
      </c>
      <c r="Y1662" s="9">
        <v>18</v>
      </c>
      <c r="Z1662" s="10">
        <v>13</v>
      </c>
      <c r="AA1662" s="10"/>
      <c r="AB1662" s="8">
        <f t="shared" si="2520"/>
        <v>31</v>
      </c>
      <c r="AC1662" s="93">
        <f t="shared" si="2521"/>
        <v>93</v>
      </c>
      <c r="AD1662" s="109">
        <v>46092</v>
      </c>
      <c r="AE1662" s="58"/>
    </row>
    <row r="1663" spans="1:31" x14ac:dyDescent="0.15">
      <c r="A1663" s="33" t="s">
        <v>1586</v>
      </c>
      <c r="B1663" s="9">
        <v>1</v>
      </c>
      <c r="C1663" s="10"/>
      <c r="D1663" s="10"/>
      <c r="E1663" s="8">
        <f t="shared" si="2501"/>
        <v>1</v>
      </c>
      <c r="F1663" s="9">
        <v>1</v>
      </c>
      <c r="G1663" s="10"/>
      <c r="H1663" s="10"/>
      <c r="I1663" s="8">
        <f t="shared" si="2502"/>
        <v>1</v>
      </c>
      <c r="J1663" s="9">
        <v>1</v>
      </c>
      <c r="K1663" s="10"/>
      <c r="L1663" s="10"/>
      <c r="M1663" s="39">
        <f t="shared" si="2503"/>
        <v>1</v>
      </c>
      <c r="N1663" s="138">
        <f t="shared" si="2504"/>
        <v>3</v>
      </c>
      <c r="O1663" s="24">
        <v>46087</v>
      </c>
      <c r="P1663" s="4" t="s">
        <v>1608</v>
      </c>
      <c r="Q1663" s="9">
        <v>27</v>
      </c>
      <c r="R1663" s="10">
        <v>61</v>
      </c>
      <c r="S1663" s="10">
        <v>26</v>
      </c>
      <c r="T1663" s="8">
        <f t="shared" si="2518"/>
        <v>114</v>
      </c>
      <c r="U1663" s="9">
        <v>27</v>
      </c>
      <c r="V1663" s="10">
        <v>61</v>
      </c>
      <c r="W1663" s="10">
        <v>26</v>
      </c>
      <c r="X1663" s="8">
        <f t="shared" si="2519"/>
        <v>114</v>
      </c>
      <c r="Y1663" s="9">
        <v>27</v>
      </c>
      <c r="Z1663" s="10">
        <v>61</v>
      </c>
      <c r="AA1663" s="10">
        <v>26</v>
      </c>
      <c r="AB1663" s="8">
        <f t="shared" si="2520"/>
        <v>114</v>
      </c>
      <c r="AC1663" s="93">
        <f t="shared" si="2521"/>
        <v>342</v>
      </c>
      <c r="AD1663" s="109">
        <v>46093</v>
      </c>
    </row>
    <row r="1664" spans="1:31" x14ac:dyDescent="0.15">
      <c r="A1664" s="33" t="s">
        <v>36</v>
      </c>
      <c r="B1664" s="9">
        <v>1</v>
      </c>
      <c r="C1664" s="10"/>
      <c r="D1664" s="10">
        <v>1</v>
      </c>
      <c r="E1664" s="8">
        <f t="shared" si="2501"/>
        <v>2</v>
      </c>
      <c r="F1664" s="9">
        <v>1</v>
      </c>
      <c r="G1664" s="10"/>
      <c r="H1664" s="10">
        <v>1</v>
      </c>
      <c r="I1664" s="8">
        <f t="shared" si="2502"/>
        <v>2</v>
      </c>
      <c r="J1664" s="9">
        <v>1</v>
      </c>
      <c r="K1664" s="10"/>
      <c r="L1664" s="10">
        <v>1</v>
      </c>
      <c r="M1664" s="39">
        <f t="shared" si="2503"/>
        <v>2</v>
      </c>
      <c r="N1664" s="138">
        <f t="shared" si="2504"/>
        <v>6</v>
      </c>
      <c r="O1664" s="24">
        <v>46086</v>
      </c>
      <c r="P1664" s="4" t="s">
        <v>1609</v>
      </c>
      <c r="Q1664" s="9"/>
      <c r="R1664" s="10">
        <v>10</v>
      </c>
      <c r="S1664" s="10">
        <v>5</v>
      </c>
      <c r="T1664" s="8">
        <f t="shared" ref="T1664" si="2522">SUM(Q1664:S1664)</f>
        <v>15</v>
      </c>
      <c r="U1664" s="9"/>
      <c r="V1664" s="10">
        <v>10</v>
      </c>
      <c r="W1664" s="10">
        <v>5</v>
      </c>
      <c r="X1664" s="8">
        <f t="shared" ref="X1664" si="2523">SUM(U1664:W1664)</f>
        <v>15</v>
      </c>
      <c r="Y1664" s="9"/>
      <c r="Z1664" s="10">
        <v>10</v>
      </c>
      <c r="AA1664" s="10">
        <v>5</v>
      </c>
      <c r="AB1664" s="8">
        <f t="shared" ref="AB1664" si="2524">SUM(Y1664:AA1664)</f>
        <v>15</v>
      </c>
      <c r="AC1664" s="93">
        <f t="shared" ref="AC1664" si="2525">T1664+X1664+AB1664</f>
        <v>45</v>
      </c>
      <c r="AD1664" s="109">
        <v>46093</v>
      </c>
    </row>
    <row r="1665" spans="1:30" x14ac:dyDescent="0.15">
      <c r="A1665" s="33" t="s">
        <v>1594</v>
      </c>
      <c r="B1665" s="9"/>
      <c r="C1665" s="10"/>
      <c r="D1665" s="10">
        <v>2</v>
      </c>
      <c r="E1665" s="8">
        <f t="shared" si="2501"/>
        <v>2</v>
      </c>
      <c r="F1665" s="9"/>
      <c r="G1665" s="10"/>
      <c r="H1665" s="10">
        <v>2</v>
      </c>
      <c r="I1665" s="8">
        <f t="shared" si="2502"/>
        <v>2</v>
      </c>
      <c r="J1665" s="9"/>
      <c r="K1665" s="10"/>
      <c r="L1665" s="10">
        <v>2</v>
      </c>
      <c r="M1665" s="39">
        <f t="shared" si="2503"/>
        <v>2</v>
      </c>
      <c r="N1665" s="138">
        <f t="shared" si="2504"/>
        <v>6</v>
      </c>
      <c r="O1665" s="24">
        <v>46090</v>
      </c>
      <c r="P1665" s="165" t="s">
        <v>1319</v>
      </c>
      <c r="Q1665" s="166"/>
      <c r="R1665" s="167">
        <v>10</v>
      </c>
      <c r="S1665" s="167"/>
      <c r="T1665" s="168">
        <f t="shared" ref="T1665:T1666" si="2526">SUM(Q1665:S1665)</f>
        <v>10</v>
      </c>
      <c r="U1665" s="166"/>
      <c r="V1665" s="167">
        <v>10</v>
      </c>
      <c r="W1665" s="167"/>
      <c r="X1665" s="168">
        <f t="shared" ref="X1665:X1666" si="2527">SUM(U1665:W1665)</f>
        <v>10</v>
      </c>
      <c r="Y1665" s="166"/>
      <c r="Z1665" s="167">
        <v>10</v>
      </c>
      <c r="AA1665" s="167"/>
      <c r="AB1665" s="168">
        <f t="shared" ref="AB1665:AB1666" si="2528">SUM(Y1665:AA1665)</f>
        <v>10</v>
      </c>
      <c r="AC1665" s="169">
        <f t="shared" ref="AC1665:AC1666" si="2529">T1665+X1665+AB1665</f>
        <v>30</v>
      </c>
      <c r="AD1665" s="170">
        <v>46094</v>
      </c>
    </row>
    <row r="1666" spans="1:30" x14ac:dyDescent="0.15">
      <c r="A1666" s="33" t="s">
        <v>36</v>
      </c>
      <c r="B1666" s="9">
        <v>1</v>
      </c>
      <c r="C1666" s="10"/>
      <c r="D1666" s="10">
        <v>1</v>
      </c>
      <c r="E1666" s="8">
        <f t="shared" si="2501"/>
        <v>2</v>
      </c>
      <c r="F1666" s="9">
        <v>1</v>
      </c>
      <c r="G1666" s="10">
        <v>3</v>
      </c>
      <c r="H1666" s="10">
        <v>1</v>
      </c>
      <c r="I1666" s="8">
        <f t="shared" si="2502"/>
        <v>5</v>
      </c>
      <c r="J1666" s="9">
        <v>1</v>
      </c>
      <c r="K1666" s="10"/>
      <c r="L1666" s="10">
        <v>1</v>
      </c>
      <c r="M1666" s="39">
        <f t="shared" si="2503"/>
        <v>2</v>
      </c>
      <c r="N1666" s="138">
        <f t="shared" si="2504"/>
        <v>9</v>
      </c>
      <c r="O1666" s="70">
        <v>46087</v>
      </c>
      <c r="P1666" s="4"/>
      <c r="Q1666" s="9"/>
      <c r="R1666" s="10"/>
      <c r="S1666" s="10"/>
      <c r="T1666" s="8">
        <f t="shared" si="2526"/>
        <v>0</v>
      </c>
      <c r="U1666" s="9"/>
      <c r="V1666" s="10"/>
      <c r="W1666" s="10"/>
      <c r="X1666" s="8">
        <f t="shared" si="2527"/>
        <v>0</v>
      </c>
      <c r="Y1666" s="9"/>
      <c r="Z1666" s="10"/>
      <c r="AA1666" s="10"/>
      <c r="AB1666" s="8">
        <f t="shared" si="2528"/>
        <v>0</v>
      </c>
      <c r="AC1666" s="93">
        <f t="shared" si="2529"/>
        <v>0</v>
      </c>
    </row>
    <row r="1667" spans="1:30" x14ac:dyDescent="0.15">
      <c r="A1667" s="33" t="s">
        <v>1600</v>
      </c>
      <c r="B1667" s="9">
        <v>1</v>
      </c>
      <c r="C1667" s="10"/>
      <c r="D1667" s="10">
        <v>1</v>
      </c>
      <c r="E1667" s="8">
        <f t="shared" si="2501"/>
        <v>2</v>
      </c>
      <c r="F1667" s="9">
        <v>1</v>
      </c>
      <c r="G1667" s="10"/>
      <c r="H1667" s="10">
        <v>1</v>
      </c>
      <c r="I1667" s="8">
        <f t="shared" si="2502"/>
        <v>2</v>
      </c>
      <c r="J1667" s="9">
        <v>1</v>
      </c>
      <c r="K1667" s="10"/>
      <c r="L1667" s="10">
        <v>1</v>
      </c>
      <c r="M1667" s="39">
        <f t="shared" si="2503"/>
        <v>2</v>
      </c>
      <c r="N1667" s="138">
        <f t="shared" si="2504"/>
        <v>6</v>
      </c>
      <c r="O1667" s="24">
        <v>46091</v>
      </c>
      <c r="P1667" s="81" t="s">
        <v>1274</v>
      </c>
      <c r="Q1667" s="71"/>
      <c r="R1667" s="72"/>
      <c r="S1667" s="72"/>
      <c r="T1667" s="73">
        <f t="shared" ref="T1667:T1668" si="2530">SUM(Q1667:S1667)</f>
        <v>0</v>
      </c>
      <c r="U1667" s="71"/>
      <c r="V1667" s="72"/>
      <c r="W1667" s="72"/>
      <c r="X1667" s="73">
        <f t="shared" ref="X1667:X1668" si="2531">SUM(U1667:W1667)</f>
        <v>0</v>
      </c>
      <c r="Y1667" s="71"/>
      <c r="Z1667" s="72"/>
      <c r="AA1667" s="72"/>
      <c r="AB1667" s="73">
        <f t="shared" ref="AB1667:AB1668" si="2532">SUM(Y1667:AA1667)</f>
        <v>0</v>
      </c>
      <c r="AC1667" s="93">
        <f t="shared" ref="AC1667:AC1668" si="2533">T1667+X1667+AB1667</f>
        <v>0</v>
      </c>
      <c r="AD1667" s="116"/>
    </row>
    <row r="1668" spans="1:30" x14ac:dyDescent="0.15">
      <c r="A1668" s="33" t="s">
        <v>1602</v>
      </c>
      <c r="B1668" s="9"/>
      <c r="C1668" s="10"/>
      <c r="D1668" s="10"/>
      <c r="E1668" s="8">
        <f t="shared" si="2501"/>
        <v>0</v>
      </c>
      <c r="F1668" s="9"/>
      <c r="G1668" s="10">
        <v>4</v>
      </c>
      <c r="H1668" s="10"/>
      <c r="I1668" s="8">
        <f t="shared" si="2502"/>
        <v>4</v>
      </c>
      <c r="J1668" s="9"/>
      <c r="K1668" s="10"/>
      <c r="L1668" s="10"/>
      <c r="M1668" s="39">
        <f t="shared" si="2503"/>
        <v>0</v>
      </c>
      <c r="N1668" s="138">
        <f t="shared" si="2504"/>
        <v>4</v>
      </c>
      <c r="O1668" s="24">
        <v>46092</v>
      </c>
      <c r="P1668" s="4" t="s">
        <v>1273</v>
      </c>
      <c r="Q1668" s="9"/>
      <c r="R1668" s="10"/>
      <c r="S1668" s="10"/>
      <c r="T1668" s="8">
        <f t="shared" si="2530"/>
        <v>0</v>
      </c>
      <c r="U1668" s="9"/>
      <c r="V1668" s="10"/>
      <c r="W1668" s="10"/>
      <c r="X1668" s="8">
        <f t="shared" si="2531"/>
        <v>0</v>
      </c>
      <c r="Y1668" s="9"/>
      <c r="Z1668" s="10"/>
      <c r="AA1668" s="10"/>
      <c r="AB1668" s="8">
        <f t="shared" si="2532"/>
        <v>0</v>
      </c>
      <c r="AC1668" s="93">
        <f t="shared" si="2533"/>
        <v>0</v>
      </c>
      <c r="AD1668" s="116" t="s">
        <v>1272</v>
      </c>
    </row>
    <row r="1669" spans="1:30" x14ac:dyDescent="0.15">
      <c r="A1669" s="33" t="s">
        <v>36</v>
      </c>
      <c r="B1669" s="9"/>
      <c r="C1669" s="10">
        <v>3</v>
      </c>
      <c r="D1669" s="10"/>
      <c r="E1669" s="8">
        <f t="shared" ref="E1669:E1671" si="2534">SUM(B1669:D1669)</f>
        <v>3</v>
      </c>
      <c r="F1669" s="9"/>
      <c r="G1669" s="10">
        <v>2</v>
      </c>
      <c r="H1669" s="10"/>
      <c r="I1669" s="8">
        <f t="shared" ref="I1669:I1671" si="2535">SUM(F1669:H1669)</f>
        <v>2</v>
      </c>
      <c r="J1669" s="9"/>
      <c r="K1669" s="10">
        <v>2</v>
      </c>
      <c r="L1669" s="10"/>
      <c r="M1669" s="39">
        <f t="shared" ref="M1669:M1671" si="2536">SUM(J1669:L1669)</f>
        <v>2</v>
      </c>
      <c r="N1669" s="138">
        <f t="shared" ref="N1669:N1671" si="2537">E1669+I1669+M1669</f>
        <v>7</v>
      </c>
      <c r="O1669" s="70">
        <v>46090</v>
      </c>
      <c r="P1669" s="81" t="s">
        <v>1295</v>
      </c>
      <c r="Q1669" s="71"/>
      <c r="R1669" s="72"/>
      <c r="S1669" s="72"/>
      <c r="T1669" s="73">
        <f t="shared" ref="T1669:T1670" si="2538">SUM(Q1669:S1669)</f>
        <v>0</v>
      </c>
      <c r="U1669" s="71"/>
      <c r="V1669" s="72"/>
      <c r="W1669" s="72"/>
      <c r="X1669" s="73">
        <f t="shared" ref="X1669:X1670" si="2539">SUM(U1669:W1669)</f>
        <v>0</v>
      </c>
      <c r="Y1669" s="71"/>
      <c r="Z1669" s="72"/>
      <c r="AA1669" s="72"/>
      <c r="AB1669" s="73">
        <f t="shared" ref="AB1669:AB1670" si="2540">SUM(Y1669:AA1669)</f>
        <v>0</v>
      </c>
      <c r="AC1669" s="92">
        <f t="shared" ref="AC1669:AC1670" si="2541">T1669+X1669+AB1669</f>
        <v>0</v>
      </c>
      <c r="AD1669" s="117"/>
    </row>
    <row r="1670" spans="1:30" x14ac:dyDescent="0.15">
      <c r="A1670" s="4" t="s">
        <v>1607</v>
      </c>
      <c r="B1670" s="9"/>
      <c r="C1670" s="10">
        <v>1</v>
      </c>
      <c r="D1670" s="10">
        <v>3</v>
      </c>
      <c r="E1670" s="8">
        <f t="shared" si="2534"/>
        <v>4</v>
      </c>
      <c r="F1670" s="9"/>
      <c r="G1670" s="10">
        <v>1</v>
      </c>
      <c r="H1670" s="10">
        <v>3</v>
      </c>
      <c r="I1670" s="8">
        <f t="shared" si="2535"/>
        <v>4</v>
      </c>
      <c r="J1670" s="9"/>
      <c r="K1670" s="10">
        <v>1</v>
      </c>
      <c r="L1670" s="10">
        <v>3</v>
      </c>
      <c r="M1670" s="39">
        <f t="shared" si="2536"/>
        <v>4</v>
      </c>
      <c r="N1670" s="138">
        <f t="shared" si="2537"/>
        <v>12</v>
      </c>
      <c r="O1670" s="24">
        <v>46094</v>
      </c>
      <c r="P1670" s="4" t="s">
        <v>1236</v>
      </c>
      <c r="Q1670" s="9"/>
      <c r="R1670" s="10"/>
      <c r="S1670" s="10"/>
      <c r="T1670" s="8">
        <f t="shared" si="2538"/>
        <v>0</v>
      </c>
      <c r="U1670" s="9"/>
      <c r="V1670" s="10"/>
      <c r="W1670" s="10"/>
      <c r="X1670" s="8">
        <f t="shared" si="2539"/>
        <v>0</v>
      </c>
      <c r="Y1670" s="9"/>
      <c r="Z1670" s="10"/>
      <c r="AA1670" s="10"/>
      <c r="AB1670" s="8">
        <f t="shared" si="2540"/>
        <v>0</v>
      </c>
      <c r="AC1670" s="93">
        <f t="shared" si="2541"/>
        <v>0</v>
      </c>
      <c r="AD1670" s="116" t="s">
        <v>1320</v>
      </c>
    </row>
    <row r="1671" spans="1:30" x14ac:dyDescent="0.15">
      <c r="A1671" s="33" t="s">
        <v>1612</v>
      </c>
      <c r="B1671" s="9"/>
      <c r="C1671" s="10">
        <v>2</v>
      </c>
      <c r="D1671" s="10"/>
      <c r="E1671" s="8">
        <f t="shared" si="2534"/>
        <v>2</v>
      </c>
      <c r="F1671" s="9"/>
      <c r="G1671" s="10">
        <v>2</v>
      </c>
      <c r="H1671" s="10"/>
      <c r="I1671" s="8">
        <f t="shared" si="2535"/>
        <v>2</v>
      </c>
      <c r="J1671" s="9"/>
      <c r="K1671" s="10">
        <v>2</v>
      </c>
      <c r="L1671" s="10"/>
      <c r="M1671" s="39">
        <f t="shared" si="2536"/>
        <v>2</v>
      </c>
      <c r="N1671" s="138">
        <f t="shared" si="2537"/>
        <v>6</v>
      </c>
      <c r="O1671" s="24">
        <v>46093</v>
      </c>
      <c r="P1671" s="81" t="s">
        <v>1304</v>
      </c>
      <c r="Q1671" s="71"/>
      <c r="R1671" s="72"/>
      <c r="S1671" s="72"/>
      <c r="T1671" s="73">
        <f t="shared" ref="T1671:T1674" si="2542">SUM(Q1671:S1671)</f>
        <v>0</v>
      </c>
      <c r="U1671" s="71"/>
      <c r="V1671" s="72"/>
      <c r="W1671" s="72"/>
      <c r="X1671" s="73">
        <f t="shared" ref="X1671:X1674" si="2543">SUM(U1671:W1671)</f>
        <v>0</v>
      </c>
      <c r="Y1671" s="71"/>
      <c r="Z1671" s="72"/>
      <c r="AA1671" s="72"/>
      <c r="AB1671" s="73">
        <f t="shared" ref="AB1671:AB1674" si="2544">SUM(Y1671:AA1671)</f>
        <v>0</v>
      </c>
      <c r="AC1671" s="92">
        <f t="shared" ref="AC1671:AC1674" si="2545">T1671+X1671+AB1671</f>
        <v>0</v>
      </c>
      <c r="AD1671" s="116"/>
    </row>
    <row r="1672" spans="1:30" x14ac:dyDescent="0.15">
      <c r="A1672" s="33" t="s">
        <v>36</v>
      </c>
      <c r="B1672" s="9"/>
      <c r="C1672" s="10">
        <v>1</v>
      </c>
      <c r="D1672" s="10"/>
      <c r="E1672" s="8">
        <f t="shared" si="2501"/>
        <v>1</v>
      </c>
      <c r="F1672" s="9"/>
      <c r="G1672" s="10">
        <v>1</v>
      </c>
      <c r="H1672" s="10"/>
      <c r="I1672" s="8">
        <f t="shared" si="2502"/>
        <v>1</v>
      </c>
      <c r="J1672" s="9"/>
      <c r="K1672" s="10">
        <v>1</v>
      </c>
      <c r="L1672" s="10"/>
      <c r="M1672" s="39">
        <f t="shared" si="2503"/>
        <v>1</v>
      </c>
      <c r="N1672" s="138">
        <f t="shared" si="2504"/>
        <v>3</v>
      </c>
      <c r="O1672" s="70">
        <v>46091</v>
      </c>
      <c r="P1672" s="4" t="s">
        <v>1303</v>
      </c>
      <c r="Q1672" s="9"/>
      <c r="R1672" s="10"/>
      <c r="S1672" s="10"/>
      <c r="T1672" s="8">
        <f t="shared" si="2542"/>
        <v>0</v>
      </c>
      <c r="U1672" s="9"/>
      <c r="V1672" s="10"/>
      <c r="W1672" s="10"/>
      <c r="X1672" s="8">
        <f t="shared" si="2543"/>
        <v>0</v>
      </c>
      <c r="Y1672" s="9"/>
      <c r="Z1672" s="10"/>
      <c r="AA1672" s="10"/>
      <c r="AB1672" s="8">
        <f t="shared" si="2544"/>
        <v>0</v>
      </c>
      <c r="AC1672" s="93">
        <f t="shared" si="2545"/>
        <v>0</v>
      </c>
      <c r="AD1672" s="116" t="s">
        <v>1424</v>
      </c>
    </row>
    <row r="1673" spans="1:30" x14ac:dyDescent="0.15">
      <c r="A1673" s="33" t="s">
        <v>1613</v>
      </c>
      <c r="B1673" s="9"/>
      <c r="C1673" s="10">
        <v>2</v>
      </c>
      <c r="D1673" s="10"/>
      <c r="E1673" s="8">
        <f t="shared" si="2501"/>
        <v>2</v>
      </c>
      <c r="F1673" s="9"/>
      <c r="G1673" s="10">
        <v>2</v>
      </c>
      <c r="H1673" s="10"/>
      <c r="I1673" s="8">
        <f t="shared" si="2502"/>
        <v>2</v>
      </c>
      <c r="J1673" s="9"/>
      <c r="K1673" s="10">
        <v>2</v>
      </c>
      <c r="L1673" s="10"/>
      <c r="M1673" s="39">
        <f t="shared" si="2503"/>
        <v>2</v>
      </c>
      <c r="N1673" s="138">
        <f t="shared" si="2504"/>
        <v>6</v>
      </c>
      <c r="O1673" s="24">
        <v>46094</v>
      </c>
      <c r="P1673" s="81" t="s">
        <v>1349</v>
      </c>
      <c r="Q1673" s="71"/>
      <c r="R1673" s="72"/>
      <c r="S1673" s="72"/>
      <c r="T1673" s="73">
        <f t="shared" si="2542"/>
        <v>0</v>
      </c>
      <c r="U1673" s="71"/>
      <c r="V1673" s="72"/>
      <c r="W1673" s="72"/>
      <c r="X1673" s="73">
        <f t="shared" si="2543"/>
        <v>0</v>
      </c>
      <c r="Y1673" s="71"/>
      <c r="Z1673" s="72"/>
      <c r="AA1673" s="72"/>
      <c r="AB1673" s="73">
        <f t="shared" si="2544"/>
        <v>0</v>
      </c>
      <c r="AC1673" s="92">
        <f t="shared" si="2545"/>
        <v>0</v>
      </c>
      <c r="AD1673" s="116"/>
    </row>
    <row r="1674" spans="1:30" ht="14.25" thickBot="1" x14ac:dyDescent="0.2">
      <c r="A1674" s="11" t="s">
        <v>1614</v>
      </c>
      <c r="B1674" s="9">
        <v>3</v>
      </c>
      <c r="C1674" s="10">
        <v>2</v>
      </c>
      <c r="D1674" s="22"/>
      <c r="E1674" s="8">
        <f t="shared" si="2501"/>
        <v>5</v>
      </c>
      <c r="F1674" s="9">
        <v>3</v>
      </c>
      <c r="G1674" s="10">
        <v>2</v>
      </c>
      <c r="H1674" s="22"/>
      <c r="I1674" s="8">
        <f t="shared" si="2502"/>
        <v>5</v>
      </c>
      <c r="J1674" s="9">
        <v>3</v>
      </c>
      <c r="K1674" s="10">
        <v>2</v>
      </c>
      <c r="L1674" s="22"/>
      <c r="M1674" s="39">
        <f t="shared" si="2503"/>
        <v>5</v>
      </c>
      <c r="N1674" s="139">
        <f t="shared" si="2504"/>
        <v>15</v>
      </c>
      <c r="O1674" s="24">
        <v>46094</v>
      </c>
      <c r="P1674" s="4" t="s">
        <v>1348</v>
      </c>
      <c r="Q1674" s="9"/>
      <c r="R1674" s="10"/>
      <c r="S1674" s="10"/>
      <c r="T1674" s="8">
        <f t="shared" si="2542"/>
        <v>0</v>
      </c>
      <c r="U1674" s="9"/>
      <c r="V1674" s="10"/>
      <c r="W1674" s="10"/>
      <c r="X1674" s="8">
        <f t="shared" si="2543"/>
        <v>0</v>
      </c>
      <c r="Y1674" s="9"/>
      <c r="Z1674" s="10"/>
      <c r="AA1674" s="10"/>
      <c r="AB1674" s="8">
        <f t="shared" si="2544"/>
        <v>0</v>
      </c>
      <c r="AC1674" s="93">
        <f t="shared" si="2545"/>
        <v>0</v>
      </c>
      <c r="AD1674" s="116" t="s">
        <v>1350</v>
      </c>
    </row>
    <row r="1675" spans="1:30" ht="14.25" thickBot="1" x14ac:dyDescent="0.2">
      <c r="A1675" s="104" t="s">
        <v>5</v>
      </c>
      <c r="B1675" s="12">
        <f>SUM(B1651:B1674)</f>
        <v>23</v>
      </c>
      <c r="C1675" s="12">
        <f>SUM(C1651:C1674)</f>
        <v>29</v>
      </c>
      <c r="D1675" s="12">
        <f>SUM(D1651:D1674)</f>
        <v>17</v>
      </c>
      <c r="E1675" s="13">
        <f t="shared" si="2501"/>
        <v>69</v>
      </c>
      <c r="F1675" s="12">
        <f>SUM(F1651:F1674)</f>
        <v>22</v>
      </c>
      <c r="G1675" s="12">
        <f>SUM(G1651:G1674)</f>
        <v>37</v>
      </c>
      <c r="H1675" s="12">
        <f>SUM(H1651:H1674)</f>
        <v>17</v>
      </c>
      <c r="I1675" s="13">
        <f t="shared" si="2502"/>
        <v>76</v>
      </c>
      <c r="J1675" s="12">
        <f>SUM(J1651:J1674)</f>
        <v>23</v>
      </c>
      <c r="K1675" s="12">
        <f>SUM(K1651:K1674)</f>
        <v>28</v>
      </c>
      <c r="L1675" s="12">
        <f>SUM(L1651:L1674)</f>
        <v>18</v>
      </c>
      <c r="M1675" s="12">
        <f t="shared" si="2503"/>
        <v>69</v>
      </c>
      <c r="N1675" s="142">
        <f t="shared" si="2504"/>
        <v>214</v>
      </c>
      <c r="P1675" s="3" t="s">
        <v>5</v>
      </c>
      <c r="Q1675" s="12">
        <f>SUM(Q1651:Q1674)</f>
        <v>170</v>
      </c>
      <c r="R1675" s="12">
        <f t="shared" ref="R1675:AC1675" si="2546">SUM(R1651:R1674)</f>
        <v>311</v>
      </c>
      <c r="S1675" s="12">
        <f t="shared" si="2546"/>
        <v>186</v>
      </c>
      <c r="T1675" s="13">
        <f t="shared" si="2546"/>
        <v>667</v>
      </c>
      <c r="U1675" s="12">
        <f t="shared" si="2546"/>
        <v>175</v>
      </c>
      <c r="V1675" s="12">
        <f t="shared" si="2546"/>
        <v>281</v>
      </c>
      <c r="W1675" s="12">
        <f t="shared" si="2546"/>
        <v>176</v>
      </c>
      <c r="X1675" s="13">
        <f t="shared" si="2546"/>
        <v>632</v>
      </c>
      <c r="Y1675" s="12">
        <f t="shared" si="2546"/>
        <v>190</v>
      </c>
      <c r="Z1675" s="12">
        <f t="shared" si="2546"/>
        <v>296</v>
      </c>
      <c r="AA1675" s="12">
        <f t="shared" si="2546"/>
        <v>166</v>
      </c>
      <c r="AB1675" s="13">
        <f t="shared" si="2546"/>
        <v>652</v>
      </c>
      <c r="AC1675" s="155">
        <f t="shared" si="2546"/>
        <v>1951</v>
      </c>
    </row>
    <row r="1676" spans="1:30" ht="14.25" thickBot="1" x14ac:dyDescent="0.2">
      <c r="A1676" s="105" t="s">
        <v>6</v>
      </c>
      <c r="B1676" s="20">
        <f>B1650-B1675</f>
        <v>17</v>
      </c>
      <c r="C1676" s="20">
        <f t="shared" ref="C1676:E1676" si="2547">C1650-C1675</f>
        <v>24</v>
      </c>
      <c r="D1676" s="20">
        <f t="shared" si="2547"/>
        <v>20</v>
      </c>
      <c r="E1676" s="18">
        <f t="shared" si="2547"/>
        <v>61</v>
      </c>
      <c r="F1676" s="20">
        <f>F1650-F1675</f>
        <v>21</v>
      </c>
      <c r="G1676" s="20">
        <f t="shared" ref="G1676:I1676" si="2548">G1650-G1675</f>
        <v>23</v>
      </c>
      <c r="H1676" s="20">
        <f t="shared" si="2548"/>
        <v>17</v>
      </c>
      <c r="I1676" s="18">
        <f t="shared" si="2548"/>
        <v>61</v>
      </c>
      <c r="J1676" s="20">
        <f>J1650-J1675</f>
        <v>19</v>
      </c>
      <c r="K1676" s="20">
        <f t="shared" ref="K1676:M1676" si="2549">K1650-K1675</f>
        <v>25</v>
      </c>
      <c r="L1676" s="20">
        <f t="shared" si="2549"/>
        <v>18</v>
      </c>
      <c r="M1676" s="20">
        <f t="shared" si="2549"/>
        <v>62</v>
      </c>
      <c r="N1676" s="140">
        <f t="shared" si="2504"/>
        <v>184</v>
      </c>
      <c r="P1676" s="19" t="s">
        <v>6</v>
      </c>
      <c r="Q1676" s="20">
        <f>Q1650-Q1675</f>
        <v>442</v>
      </c>
      <c r="R1676" s="20">
        <f t="shared" ref="R1676:AC1676" si="2550">R1650-R1675</f>
        <v>368</v>
      </c>
      <c r="S1676" s="20">
        <f t="shared" si="2550"/>
        <v>390</v>
      </c>
      <c r="T1676" s="18">
        <f t="shared" si="2550"/>
        <v>1200</v>
      </c>
      <c r="U1676" s="20">
        <f t="shared" si="2550"/>
        <v>485</v>
      </c>
      <c r="V1676" s="20">
        <f t="shared" si="2550"/>
        <v>514</v>
      </c>
      <c r="W1676" s="20">
        <f t="shared" si="2550"/>
        <v>495</v>
      </c>
      <c r="X1676" s="18">
        <f t="shared" si="2550"/>
        <v>1494</v>
      </c>
      <c r="Y1676" s="20">
        <f t="shared" si="2550"/>
        <v>436</v>
      </c>
      <c r="Z1676" s="20">
        <f t="shared" si="2550"/>
        <v>439</v>
      </c>
      <c r="AA1676" s="20">
        <f t="shared" si="2550"/>
        <v>454</v>
      </c>
      <c r="AB1676" s="18">
        <f t="shared" si="2550"/>
        <v>1329</v>
      </c>
      <c r="AC1676" s="88">
        <f t="shared" si="2550"/>
        <v>4023</v>
      </c>
    </row>
    <row r="1677" spans="1:30" x14ac:dyDescent="0.15">
      <c r="P1677" s="156" t="s">
        <v>1129</v>
      </c>
      <c r="Q1677" s="64">
        <f>Q1676/$T$1633*100</f>
        <v>23.674343867166577</v>
      </c>
      <c r="R1677" s="64">
        <f t="shared" ref="R1677:T1677" si="2551">R1676/$T$1633*100</f>
        <v>19.710765934654525</v>
      </c>
      <c r="S1677" s="64">
        <f t="shared" si="2551"/>
        <v>20.889126941617569</v>
      </c>
      <c r="T1677" s="64">
        <f t="shared" si="2551"/>
        <v>64.274236743438678</v>
      </c>
      <c r="U1677" s="64">
        <f>U1676/$X$1633*100</f>
        <v>22.812793979303859</v>
      </c>
      <c r="V1677" s="64">
        <f t="shared" ref="V1677:X1677" si="2552">V1676/$X$1633*100</f>
        <v>24.176857949200375</v>
      </c>
      <c r="W1677" s="64">
        <f t="shared" si="2552"/>
        <v>23.283160865475068</v>
      </c>
      <c r="X1677" s="64">
        <f t="shared" si="2552"/>
        <v>70.272812793979298</v>
      </c>
      <c r="Y1677" s="64">
        <f>Y1676/$AB$1633*100</f>
        <v>22.009086320040382</v>
      </c>
      <c r="Z1677" s="64">
        <f t="shared" ref="Z1677:AB1677" si="2553">Z1676/$AB$1633*100</f>
        <v>22.160524987380111</v>
      </c>
      <c r="AA1677" s="64">
        <f t="shared" si="2553"/>
        <v>22.917718324078749</v>
      </c>
      <c r="AB1677" s="64">
        <f t="shared" si="2553"/>
        <v>67.087329631499244</v>
      </c>
    </row>
    <row r="1678" spans="1:30" x14ac:dyDescent="0.15">
      <c r="P1678" s="157" t="s">
        <v>1130</v>
      </c>
      <c r="Q1678" s="66">
        <v>28.4</v>
      </c>
      <c r="R1678" s="66">
        <v>42.5</v>
      </c>
      <c r="S1678" s="66">
        <v>29.1</v>
      </c>
      <c r="T1678" s="66">
        <f>SUM(Q1678:S1678)</f>
        <v>100</v>
      </c>
      <c r="U1678" s="66">
        <v>28.5</v>
      </c>
      <c r="V1678" s="66">
        <v>42.1</v>
      </c>
      <c r="W1678" s="66">
        <v>29.3</v>
      </c>
      <c r="X1678" s="66">
        <f>SUM(U1678:W1678)</f>
        <v>99.899999999999991</v>
      </c>
      <c r="Y1678" s="66">
        <v>28.4</v>
      </c>
      <c r="Z1678" s="66">
        <v>42.4</v>
      </c>
      <c r="AA1678" s="66">
        <v>29.3</v>
      </c>
      <c r="AB1678" s="66">
        <f>SUM(Y1678:AA1678)</f>
        <v>100.1</v>
      </c>
    </row>
    <row r="1679" spans="1:30" ht="19.5" thickBot="1" x14ac:dyDescent="0.25">
      <c r="A1679" s="108" t="s">
        <v>264</v>
      </c>
      <c r="B1679" s="47"/>
      <c r="C1679" s="47"/>
      <c r="D1679" s="47"/>
      <c r="E1679" s="47"/>
      <c r="F1679" s="48"/>
      <c r="G1679" s="48"/>
      <c r="H1679" s="48"/>
      <c r="I1679" s="48"/>
      <c r="J1679" s="48"/>
      <c r="K1679" s="48"/>
      <c r="L1679" s="1"/>
      <c r="M1679" s="1"/>
      <c r="N1679" s="137"/>
      <c r="P1679" s="43" t="s">
        <v>263</v>
      </c>
      <c r="Q1679" s="44"/>
      <c r="R1679" s="44"/>
      <c r="S1679" s="44"/>
      <c r="T1679" s="44"/>
      <c r="U1679" s="45"/>
      <c r="V1679" s="45"/>
      <c r="W1679" s="45"/>
      <c r="X1679" s="45"/>
      <c r="Y1679" s="46"/>
      <c r="Z1679" s="53"/>
      <c r="AA1679" s="1"/>
      <c r="AB1679" s="1"/>
    </row>
    <row r="1680" spans="1:30" ht="14.25" thickBot="1" x14ac:dyDescent="0.2">
      <c r="A1680" s="100" t="s">
        <v>0</v>
      </c>
      <c r="B1680" s="337" t="s">
        <v>11</v>
      </c>
      <c r="C1680" s="337"/>
      <c r="D1680" s="337"/>
      <c r="E1680" s="338"/>
      <c r="F1680" s="339" t="s">
        <v>9</v>
      </c>
      <c r="G1680" s="340"/>
      <c r="H1680" s="340"/>
      <c r="I1680" s="341"/>
      <c r="J1680" s="342" t="s">
        <v>12</v>
      </c>
      <c r="K1680" s="343"/>
      <c r="L1680" s="343"/>
      <c r="M1680" s="343"/>
      <c r="N1680" s="347" t="s">
        <v>13</v>
      </c>
      <c r="P1680" s="2" t="s">
        <v>0</v>
      </c>
      <c r="Q1680" s="336" t="s">
        <v>11</v>
      </c>
      <c r="R1680" s="337"/>
      <c r="S1680" s="337"/>
      <c r="T1680" s="338"/>
      <c r="U1680" s="339" t="s">
        <v>9</v>
      </c>
      <c r="V1680" s="340"/>
      <c r="W1680" s="340"/>
      <c r="X1680" s="341"/>
      <c r="Y1680" s="342" t="s">
        <v>12</v>
      </c>
      <c r="Z1680" s="343"/>
      <c r="AA1680" s="343"/>
      <c r="AB1680" s="344"/>
      <c r="AC1680" s="133" t="s">
        <v>13</v>
      </c>
    </row>
    <row r="1681" spans="1:30" ht="14.25" thickBot="1" x14ac:dyDescent="0.2">
      <c r="A1681" s="100" t="s">
        <v>1</v>
      </c>
      <c r="B1681" s="3" t="s">
        <v>7</v>
      </c>
      <c r="C1681" s="2" t="s">
        <v>10</v>
      </c>
      <c r="D1681" s="2" t="s">
        <v>8</v>
      </c>
      <c r="E1681" s="2" t="s">
        <v>2</v>
      </c>
      <c r="F1681" s="3" t="s">
        <v>7</v>
      </c>
      <c r="G1681" s="2" t="s">
        <v>10</v>
      </c>
      <c r="H1681" s="2" t="s">
        <v>8</v>
      </c>
      <c r="I1681" s="2" t="s">
        <v>2</v>
      </c>
      <c r="J1681" s="3" t="s">
        <v>7</v>
      </c>
      <c r="K1681" s="2" t="s">
        <v>10</v>
      </c>
      <c r="L1681" s="2" t="s">
        <v>8</v>
      </c>
      <c r="M1681" s="3" t="s">
        <v>2</v>
      </c>
      <c r="N1681" s="348"/>
      <c r="P1681" s="2" t="s">
        <v>1</v>
      </c>
      <c r="Q1681" s="3" t="s">
        <v>7</v>
      </c>
      <c r="R1681" s="2" t="s">
        <v>10</v>
      </c>
      <c r="S1681" s="2" t="s">
        <v>8</v>
      </c>
      <c r="T1681" s="2" t="s">
        <v>2</v>
      </c>
      <c r="U1681" s="3" t="s">
        <v>7</v>
      </c>
      <c r="V1681" s="2" t="s">
        <v>10</v>
      </c>
      <c r="W1681" s="2" t="s">
        <v>8</v>
      </c>
      <c r="X1681" s="2" t="s">
        <v>2</v>
      </c>
      <c r="Y1681" s="3" t="s">
        <v>7</v>
      </c>
      <c r="Z1681" s="2" t="s">
        <v>10</v>
      </c>
      <c r="AA1681" s="2" t="s">
        <v>8</v>
      </c>
      <c r="AB1681" s="2" t="s">
        <v>2</v>
      </c>
      <c r="AC1681" s="134"/>
    </row>
    <row r="1682" spans="1:30" x14ac:dyDescent="0.15">
      <c r="A1682" s="106" t="s">
        <v>6</v>
      </c>
      <c r="B1682" s="41">
        <f>B1676</f>
        <v>17</v>
      </c>
      <c r="C1682" s="41">
        <f t="shared" ref="C1682:E1682" si="2554">C1676</f>
        <v>24</v>
      </c>
      <c r="D1682" s="41">
        <f t="shared" si="2554"/>
        <v>20</v>
      </c>
      <c r="E1682" s="42">
        <f t="shared" si="2554"/>
        <v>61</v>
      </c>
      <c r="F1682" s="41">
        <f>F1676</f>
        <v>21</v>
      </c>
      <c r="G1682" s="41">
        <f t="shared" ref="G1682:I1682" si="2555">G1676</f>
        <v>23</v>
      </c>
      <c r="H1682" s="41">
        <f t="shared" si="2555"/>
        <v>17</v>
      </c>
      <c r="I1682" s="42">
        <f t="shared" si="2555"/>
        <v>61</v>
      </c>
      <c r="J1682" s="41">
        <f>J1676</f>
        <v>19</v>
      </c>
      <c r="K1682" s="41">
        <f t="shared" ref="K1682:M1682" si="2556">K1676</f>
        <v>25</v>
      </c>
      <c r="L1682" s="41">
        <f t="shared" si="2556"/>
        <v>18</v>
      </c>
      <c r="M1682" s="42">
        <f t="shared" si="2556"/>
        <v>62</v>
      </c>
      <c r="N1682" s="143">
        <f>E1682+I1682+M1682</f>
        <v>184</v>
      </c>
      <c r="P1682" s="36" t="s">
        <v>6</v>
      </c>
      <c r="Q1682" s="41">
        <f>Q1676</f>
        <v>442</v>
      </c>
      <c r="R1682" s="41">
        <f t="shared" ref="R1682:AC1682" si="2557">R1676</f>
        <v>368</v>
      </c>
      <c r="S1682" s="41">
        <f t="shared" si="2557"/>
        <v>390</v>
      </c>
      <c r="T1682" s="42">
        <f t="shared" si="2557"/>
        <v>1200</v>
      </c>
      <c r="U1682" s="41">
        <f t="shared" si="2557"/>
        <v>485</v>
      </c>
      <c r="V1682" s="41">
        <f t="shared" si="2557"/>
        <v>514</v>
      </c>
      <c r="W1682" s="41">
        <f t="shared" si="2557"/>
        <v>495</v>
      </c>
      <c r="X1682" s="42">
        <f t="shared" si="2557"/>
        <v>1494</v>
      </c>
      <c r="Y1682" s="41">
        <f t="shared" si="2557"/>
        <v>436</v>
      </c>
      <c r="Z1682" s="41">
        <f t="shared" si="2557"/>
        <v>439</v>
      </c>
      <c r="AA1682" s="41">
        <f t="shared" si="2557"/>
        <v>454</v>
      </c>
      <c r="AB1682" s="42">
        <f t="shared" si="2557"/>
        <v>1329</v>
      </c>
      <c r="AC1682" s="90">
        <f t="shared" si="2557"/>
        <v>4023</v>
      </c>
    </row>
    <row r="1683" spans="1:30" x14ac:dyDescent="0.15">
      <c r="A1683" s="158" t="s">
        <v>3</v>
      </c>
      <c r="B1683" s="237">
        <v>10</v>
      </c>
      <c r="C1683" s="238"/>
      <c r="D1683" s="238">
        <v>5</v>
      </c>
      <c r="E1683" s="161">
        <f t="shared" ref="E1683:E1718" si="2558">SUM(B1683:D1683)</f>
        <v>15</v>
      </c>
      <c r="F1683" s="237">
        <v>5</v>
      </c>
      <c r="G1683" s="238"/>
      <c r="H1683" s="238">
        <v>10</v>
      </c>
      <c r="I1683" s="161">
        <f t="shared" ref="I1683:I1718" si="2559">SUM(F1683:H1683)</f>
        <v>15</v>
      </c>
      <c r="J1683" s="237">
        <v>10</v>
      </c>
      <c r="K1683" s="238"/>
      <c r="L1683" s="238">
        <v>10</v>
      </c>
      <c r="M1683" s="163">
        <f t="shared" ref="M1683:M1718" si="2560">SUM(J1683:L1683)</f>
        <v>20</v>
      </c>
      <c r="N1683" s="153">
        <f t="shared" ref="N1683:N1719" si="2561">E1683+I1683+M1683</f>
        <v>50</v>
      </c>
      <c r="O1683" s="164">
        <v>46098</v>
      </c>
      <c r="P1683" s="6" t="s">
        <v>3</v>
      </c>
      <c r="Q1683" s="14"/>
      <c r="R1683" s="11"/>
      <c r="S1683" s="11"/>
      <c r="T1683" s="5">
        <f t="shared" ref="T1683:T1692" si="2562">SUM(Q1683:S1683)</f>
        <v>0</v>
      </c>
      <c r="U1683" s="14"/>
      <c r="V1683" s="11"/>
      <c r="W1683" s="11"/>
      <c r="X1683" s="5">
        <f t="shared" ref="X1683:X1692" si="2563">SUM(U1683:W1683)</f>
        <v>0</v>
      </c>
      <c r="Y1683" s="25"/>
      <c r="Z1683" s="26"/>
      <c r="AA1683" s="26"/>
      <c r="AB1683" s="5">
        <f t="shared" ref="AB1683:AB1692" si="2564">SUM(Y1683:AA1683)</f>
        <v>0</v>
      </c>
      <c r="AC1683" s="86">
        <f t="shared" ref="AC1683:AC1692" si="2565">T1683+X1683+AB1683</f>
        <v>0</v>
      </c>
    </row>
    <row r="1684" spans="1:30" x14ac:dyDescent="0.15">
      <c r="A1684" s="102" t="s">
        <v>319</v>
      </c>
      <c r="B1684" s="14"/>
      <c r="C1684" s="11">
        <v>1</v>
      </c>
      <c r="D1684" s="11"/>
      <c r="E1684" s="5">
        <f t="shared" si="2558"/>
        <v>1</v>
      </c>
      <c r="F1684" s="34"/>
      <c r="G1684" s="11">
        <v>1</v>
      </c>
      <c r="H1684" s="11"/>
      <c r="I1684" s="5">
        <f t="shared" si="2559"/>
        <v>1</v>
      </c>
      <c r="J1684" s="34"/>
      <c r="K1684" s="11">
        <v>1</v>
      </c>
      <c r="L1684" s="11"/>
      <c r="M1684" s="38">
        <f t="shared" si="2560"/>
        <v>1</v>
      </c>
      <c r="N1684" s="138">
        <f t="shared" si="2561"/>
        <v>3</v>
      </c>
      <c r="O1684" s="70">
        <v>46094</v>
      </c>
      <c r="P1684" s="81" t="s">
        <v>3</v>
      </c>
      <c r="Q1684" s="62"/>
      <c r="R1684" s="4"/>
      <c r="S1684" s="4"/>
      <c r="T1684" s="5">
        <f t="shared" si="2562"/>
        <v>0</v>
      </c>
      <c r="U1684" s="62"/>
      <c r="V1684" s="4"/>
      <c r="W1684" s="4"/>
      <c r="X1684" s="5">
        <f t="shared" si="2563"/>
        <v>0</v>
      </c>
      <c r="Y1684" s="280"/>
      <c r="Z1684" s="281"/>
      <c r="AA1684" s="281"/>
      <c r="AB1684" s="5">
        <f t="shared" si="2564"/>
        <v>0</v>
      </c>
      <c r="AC1684" s="91">
        <f t="shared" si="2565"/>
        <v>0</v>
      </c>
    </row>
    <row r="1685" spans="1:30" x14ac:dyDescent="0.15">
      <c r="A1685" s="102" t="s">
        <v>3</v>
      </c>
      <c r="B1685" s="14">
        <v>10</v>
      </c>
      <c r="C1685" s="11">
        <v>10</v>
      </c>
      <c r="D1685" s="11">
        <v>15</v>
      </c>
      <c r="E1685" s="5">
        <f t="shared" si="2558"/>
        <v>35</v>
      </c>
      <c r="F1685" s="34">
        <v>10</v>
      </c>
      <c r="G1685" s="11">
        <v>10</v>
      </c>
      <c r="H1685" s="11">
        <v>5</v>
      </c>
      <c r="I1685" s="5">
        <f t="shared" si="2559"/>
        <v>25</v>
      </c>
      <c r="J1685" s="34">
        <v>10</v>
      </c>
      <c r="K1685" s="11">
        <v>10</v>
      </c>
      <c r="L1685" s="11">
        <v>15</v>
      </c>
      <c r="M1685" s="38">
        <f t="shared" si="2560"/>
        <v>35</v>
      </c>
      <c r="N1685" s="138">
        <f t="shared" si="2561"/>
        <v>95</v>
      </c>
      <c r="O1685" s="24">
        <v>46102</v>
      </c>
      <c r="P1685" s="81" t="s">
        <v>3</v>
      </c>
      <c r="Q1685" s="62"/>
      <c r="R1685" s="4"/>
      <c r="S1685" s="4"/>
      <c r="T1685" s="5">
        <f t="shared" ref="T1685:T1690" si="2566">SUM(Q1685:S1685)</f>
        <v>0</v>
      </c>
      <c r="U1685" s="62"/>
      <c r="V1685" s="4"/>
      <c r="W1685" s="4"/>
      <c r="X1685" s="5">
        <f t="shared" ref="X1685:X1690" si="2567">SUM(U1685:W1685)</f>
        <v>0</v>
      </c>
      <c r="Y1685" s="280"/>
      <c r="Z1685" s="281"/>
      <c r="AA1685" s="281"/>
      <c r="AB1685" s="5">
        <f t="shared" ref="AB1685:AB1690" si="2568">SUM(Y1685:AA1685)</f>
        <v>0</v>
      </c>
      <c r="AC1685" s="91">
        <f t="shared" ref="AC1685:AC1690" si="2569">T1685+X1685+AB1685</f>
        <v>0</v>
      </c>
    </row>
    <row r="1686" spans="1:30" x14ac:dyDescent="0.15">
      <c r="A1686" s="102" t="s">
        <v>57</v>
      </c>
      <c r="B1686" s="14"/>
      <c r="C1686" s="11"/>
      <c r="D1686" s="11">
        <v>1</v>
      </c>
      <c r="E1686" s="5">
        <f t="shared" si="2558"/>
        <v>1</v>
      </c>
      <c r="F1686" s="34"/>
      <c r="G1686" s="11"/>
      <c r="H1686" s="11">
        <v>1</v>
      </c>
      <c r="I1686" s="5">
        <f t="shared" si="2559"/>
        <v>1</v>
      </c>
      <c r="J1686" s="34"/>
      <c r="K1686" s="11"/>
      <c r="L1686" s="11">
        <v>1</v>
      </c>
      <c r="M1686" s="38">
        <f t="shared" si="2560"/>
        <v>1</v>
      </c>
      <c r="N1686" s="138">
        <f t="shared" si="2561"/>
        <v>3</v>
      </c>
      <c r="O1686" s="24">
        <v>46105</v>
      </c>
      <c r="P1686" s="81" t="s">
        <v>3</v>
      </c>
      <c r="Q1686" s="62"/>
      <c r="R1686" s="4"/>
      <c r="S1686" s="4"/>
      <c r="T1686" s="5">
        <f t="shared" si="2566"/>
        <v>0</v>
      </c>
      <c r="U1686" s="62"/>
      <c r="V1686" s="4"/>
      <c r="W1686" s="4"/>
      <c r="X1686" s="5">
        <f t="shared" si="2567"/>
        <v>0</v>
      </c>
      <c r="Y1686" s="280"/>
      <c r="Z1686" s="281"/>
      <c r="AA1686" s="281"/>
      <c r="AB1686" s="5">
        <f t="shared" si="2568"/>
        <v>0</v>
      </c>
      <c r="AC1686" s="91">
        <f t="shared" si="2569"/>
        <v>0</v>
      </c>
    </row>
    <row r="1687" spans="1:30" x14ac:dyDescent="0.15">
      <c r="A1687" s="102" t="s">
        <v>3</v>
      </c>
      <c r="B1687" s="14">
        <v>10</v>
      </c>
      <c r="C1687" s="11">
        <v>10</v>
      </c>
      <c r="D1687" s="11"/>
      <c r="E1687" s="5">
        <f t="shared" si="2558"/>
        <v>20</v>
      </c>
      <c r="F1687" s="34">
        <v>5</v>
      </c>
      <c r="G1687" s="11">
        <v>15</v>
      </c>
      <c r="H1687" s="11"/>
      <c r="I1687" s="5">
        <f t="shared" si="2559"/>
        <v>20</v>
      </c>
      <c r="J1687" s="34">
        <v>10</v>
      </c>
      <c r="K1687" s="11">
        <v>5</v>
      </c>
      <c r="L1687" s="11"/>
      <c r="M1687" s="38">
        <f t="shared" si="2560"/>
        <v>15</v>
      </c>
      <c r="N1687" s="138">
        <f t="shared" si="2561"/>
        <v>55</v>
      </c>
      <c r="O1687" s="24">
        <v>46115</v>
      </c>
      <c r="P1687" s="81" t="s">
        <v>3</v>
      </c>
      <c r="Q1687" s="62"/>
      <c r="R1687" s="4"/>
      <c r="S1687" s="4"/>
      <c r="T1687" s="5">
        <f t="shared" si="2566"/>
        <v>0</v>
      </c>
      <c r="U1687" s="62"/>
      <c r="V1687" s="4"/>
      <c r="W1687" s="4"/>
      <c r="X1687" s="5">
        <f t="shared" si="2567"/>
        <v>0</v>
      </c>
      <c r="Y1687" s="280"/>
      <c r="Z1687" s="281"/>
      <c r="AA1687" s="281"/>
      <c r="AB1687" s="5">
        <f t="shared" si="2568"/>
        <v>0</v>
      </c>
      <c r="AC1687" s="91">
        <f t="shared" si="2569"/>
        <v>0</v>
      </c>
    </row>
    <row r="1688" spans="1:30" x14ac:dyDescent="0.15">
      <c r="A1688" s="102" t="s">
        <v>3</v>
      </c>
      <c r="B1688" s="25"/>
      <c r="C1688" s="26"/>
      <c r="D1688" s="26"/>
      <c r="E1688" s="8">
        <f t="shared" si="2558"/>
        <v>0</v>
      </c>
      <c r="F1688" s="25"/>
      <c r="G1688" s="26"/>
      <c r="H1688" s="26"/>
      <c r="I1688" s="8">
        <f t="shared" si="2559"/>
        <v>0</v>
      </c>
      <c r="J1688" s="25"/>
      <c r="K1688" s="26"/>
      <c r="L1688" s="26"/>
      <c r="M1688" s="39">
        <f t="shared" si="2560"/>
        <v>0</v>
      </c>
      <c r="N1688" s="138">
        <f t="shared" si="2561"/>
        <v>0</v>
      </c>
      <c r="P1688" s="81" t="s">
        <v>3</v>
      </c>
      <c r="Q1688" s="62"/>
      <c r="R1688" s="4"/>
      <c r="S1688" s="4"/>
      <c r="T1688" s="5">
        <f t="shared" si="2566"/>
        <v>0</v>
      </c>
      <c r="U1688" s="62"/>
      <c r="V1688" s="4"/>
      <c r="W1688" s="4"/>
      <c r="X1688" s="5">
        <f t="shared" si="2567"/>
        <v>0</v>
      </c>
      <c r="Y1688" s="280"/>
      <c r="Z1688" s="281"/>
      <c r="AA1688" s="281"/>
      <c r="AB1688" s="5">
        <f t="shared" si="2568"/>
        <v>0</v>
      </c>
      <c r="AC1688" s="91">
        <f t="shared" si="2569"/>
        <v>0</v>
      </c>
    </row>
    <row r="1689" spans="1:30" x14ac:dyDescent="0.15">
      <c r="A1689" s="102" t="s">
        <v>3</v>
      </c>
      <c r="B1689" s="27"/>
      <c r="C1689" s="26"/>
      <c r="D1689" s="26"/>
      <c r="E1689" s="5">
        <f t="shared" si="2558"/>
        <v>0</v>
      </c>
      <c r="F1689" s="25"/>
      <c r="G1689" s="26"/>
      <c r="H1689" s="26"/>
      <c r="I1689" s="5">
        <f t="shared" si="2559"/>
        <v>0</v>
      </c>
      <c r="J1689" s="25"/>
      <c r="K1689" s="26"/>
      <c r="L1689" s="26"/>
      <c r="M1689" s="38">
        <f t="shared" si="2560"/>
        <v>0</v>
      </c>
      <c r="N1689" s="138">
        <f t="shared" si="2561"/>
        <v>0</v>
      </c>
      <c r="P1689" s="81" t="s">
        <v>3</v>
      </c>
      <c r="Q1689" s="62"/>
      <c r="R1689" s="4"/>
      <c r="S1689" s="4"/>
      <c r="T1689" s="5">
        <f t="shared" si="2566"/>
        <v>0</v>
      </c>
      <c r="U1689" s="62"/>
      <c r="V1689" s="4"/>
      <c r="W1689" s="4"/>
      <c r="X1689" s="5">
        <f t="shared" si="2567"/>
        <v>0</v>
      </c>
      <c r="Y1689" s="280"/>
      <c r="Z1689" s="281"/>
      <c r="AA1689" s="281"/>
      <c r="AB1689" s="5">
        <f t="shared" si="2568"/>
        <v>0</v>
      </c>
      <c r="AC1689" s="91">
        <f t="shared" si="2569"/>
        <v>0</v>
      </c>
    </row>
    <row r="1690" spans="1:30" x14ac:dyDescent="0.15">
      <c r="A1690" s="102" t="s">
        <v>3</v>
      </c>
      <c r="B1690" s="27"/>
      <c r="C1690" s="26"/>
      <c r="D1690" s="26"/>
      <c r="E1690" s="5">
        <f t="shared" si="2558"/>
        <v>0</v>
      </c>
      <c r="F1690" s="25"/>
      <c r="G1690" s="26"/>
      <c r="H1690" s="26"/>
      <c r="I1690" s="5">
        <f t="shared" si="2559"/>
        <v>0</v>
      </c>
      <c r="J1690" s="25"/>
      <c r="K1690" s="26"/>
      <c r="L1690" s="26"/>
      <c r="M1690" s="38">
        <f t="shared" si="2560"/>
        <v>0</v>
      </c>
      <c r="N1690" s="138">
        <f t="shared" si="2561"/>
        <v>0</v>
      </c>
      <c r="P1690" s="81" t="s">
        <v>3</v>
      </c>
      <c r="Q1690" s="62"/>
      <c r="R1690" s="4"/>
      <c r="S1690" s="4"/>
      <c r="T1690" s="5">
        <f t="shared" si="2566"/>
        <v>0</v>
      </c>
      <c r="U1690" s="62"/>
      <c r="V1690" s="4"/>
      <c r="W1690" s="4"/>
      <c r="X1690" s="5">
        <f t="shared" si="2567"/>
        <v>0</v>
      </c>
      <c r="Y1690" s="280"/>
      <c r="Z1690" s="281"/>
      <c r="AA1690" s="281"/>
      <c r="AB1690" s="5">
        <f t="shared" si="2568"/>
        <v>0</v>
      </c>
      <c r="AC1690" s="91">
        <f t="shared" si="2569"/>
        <v>0</v>
      </c>
    </row>
    <row r="1691" spans="1:30" x14ac:dyDescent="0.15">
      <c r="A1691" s="102" t="s">
        <v>3</v>
      </c>
      <c r="B1691" s="27"/>
      <c r="C1691" s="26"/>
      <c r="D1691" s="26"/>
      <c r="E1691" s="5">
        <f t="shared" si="2558"/>
        <v>0</v>
      </c>
      <c r="F1691" s="25"/>
      <c r="G1691" s="26"/>
      <c r="H1691" s="26"/>
      <c r="I1691" s="5">
        <f t="shared" si="2559"/>
        <v>0</v>
      </c>
      <c r="J1691" s="25"/>
      <c r="K1691" s="26"/>
      <c r="L1691" s="26"/>
      <c r="M1691" s="38">
        <f t="shared" si="2560"/>
        <v>0</v>
      </c>
      <c r="N1691" s="138">
        <f t="shared" si="2561"/>
        <v>0</v>
      </c>
      <c r="P1691" s="6" t="s">
        <v>3</v>
      </c>
      <c r="Q1691" s="14"/>
      <c r="R1691" s="11"/>
      <c r="S1691" s="11"/>
      <c r="T1691" s="5">
        <f t="shared" si="2562"/>
        <v>0</v>
      </c>
      <c r="U1691" s="14"/>
      <c r="V1691" s="11"/>
      <c r="W1691" s="11"/>
      <c r="X1691" s="5">
        <f t="shared" si="2563"/>
        <v>0</v>
      </c>
      <c r="Y1691" s="25"/>
      <c r="Z1691" s="26"/>
      <c r="AA1691" s="26"/>
      <c r="AB1691" s="8">
        <f t="shared" si="2564"/>
        <v>0</v>
      </c>
      <c r="AC1691" s="86">
        <f t="shared" si="2565"/>
        <v>0</v>
      </c>
    </row>
    <row r="1692" spans="1:30" ht="14.25" thickBot="1" x14ac:dyDescent="0.2">
      <c r="A1692" s="102" t="s">
        <v>3</v>
      </c>
      <c r="B1692" s="28"/>
      <c r="C1692" s="29"/>
      <c r="D1692" s="32"/>
      <c r="E1692" s="15">
        <f t="shared" si="2558"/>
        <v>0</v>
      </c>
      <c r="F1692" s="35"/>
      <c r="G1692" s="29"/>
      <c r="H1692" s="32"/>
      <c r="I1692" s="15">
        <f t="shared" si="2559"/>
        <v>0</v>
      </c>
      <c r="J1692" s="35"/>
      <c r="K1692" s="29"/>
      <c r="L1692" s="32"/>
      <c r="M1692" s="40">
        <f t="shared" si="2560"/>
        <v>0</v>
      </c>
      <c r="N1692" s="139">
        <f t="shared" si="2561"/>
        <v>0</v>
      </c>
      <c r="P1692" s="6" t="s">
        <v>3</v>
      </c>
      <c r="Q1692" s="14"/>
      <c r="R1692" s="11"/>
      <c r="S1692" s="11"/>
      <c r="T1692" s="5">
        <f t="shared" si="2562"/>
        <v>0</v>
      </c>
      <c r="U1692" s="14"/>
      <c r="V1692" s="11"/>
      <c r="W1692" s="11"/>
      <c r="X1692" s="5">
        <f t="shared" si="2563"/>
        <v>0</v>
      </c>
      <c r="Y1692" s="25"/>
      <c r="Z1692" s="26"/>
      <c r="AA1692" s="26"/>
      <c r="AB1692" s="8">
        <f t="shared" si="2564"/>
        <v>0</v>
      </c>
      <c r="AC1692" s="86">
        <f t="shared" si="2565"/>
        <v>0</v>
      </c>
    </row>
    <row r="1693" spans="1:30" ht="14.25" thickBot="1" x14ac:dyDescent="0.2">
      <c r="A1693" s="103" t="s">
        <v>4</v>
      </c>
      <c r="B1693" s="17">
        <f>SUM(B1682:B1692)</f>
        <v>47</v>
      </c>
      <c r="C1693" s="17">
        <f>SUM(C1682:C1692)</f>
        <v>45</v>
      </c>
      <c r="D1693" s="17">
        <f>SUM(D1682:D1692)</f>
        <v>41</v>
      </c>
      <c r="E1693" s="18">
        <f t="shared" si="2558"/>
        <v>133</v>
      </c>
      <c r="F1693" s="17">
        <f>SUM(F1682:F1692)</f>
        <v>41</v>
      </c>
      <c r="G1693" s="17">
        <f>SUM(G1682:G1692)</f>
        <v>49</v>
      </c>
      <c r="H1693" s="17">
        <f>SUM(H1682:H1692)</f>
        <v>33</v>
      </c>
      <c r="I1693" s="18">
        <f t="shared" si="2559"/>
        <v>123</v>
      </c>
      <c r="J1693" s="17">
        <f>SUM(J1682:J1692)</f>
        <v>49</v>
      </c>
      <c r="K1693" s="17">
        <f>SUM(K1682:K1692)</f>
        <v>41</v>
      </c>
      <c r="L1693" s="17">
        <f>SUM(L1682:L1692)</f>
        <v>44</v>
      </c>
      <c r="M1693" s="20">
        <f t="shared" si="2560"/>
        <v>134</v>
      </c>
      <c r="N1693" s="140">
        <f t="shared" si="2561"/>
        <v>390</v>
      </c>
      <c r="P1693" s="16" t="s">
        <v>4</v>
      </c>
      <c r="Q1693" s="17">
        <f>SUM(Q1682:Q1692)</f>
        <v>442</v>
      </c>
      <c r="R1693" s="17">
        <f t="shared" ref="R1693:AC1693" si="2570">SUM(R1682:R1692)</f>
        <v>368</v>
      </c>
      <c r="S1693" s="17">
        <f t="shared" si="2570"/>
        <v>390</v>
      </c>
      <c r="T1693" s="18">
        <f t="shared" si="2570"/>
        <v>1200</v>
      </c>
      <c r="U1693" s="17">
        <f t="shared" si="2570"/>
        <v>485</v>
      </c>
      <c r="V1693" s="17">
        <f t="shared" si="2570"/>
        <v>514</v>
      </c>
      <c r="W1693" s="17">
        <f t="shared" si="2570"/>
        <v>495</v>
      </c>
      <c r="X1693" s="18">
        <f t="shared" si="2570"/>
        <v>1494</v>
      </c>
      <c r="Y1693" s="17">
        <f t="shared" si="2570"/>
        <v>436</v>
      </c>
      <c r="Z1693" s="17">
        <f t="shared" si="2570"/>
        <v>439</v>
      </c>
      <c r="AA1693" s="17">
        <f t="shared" si="2570"/>
        <v>454</v>
      </c>
      <c r="AB1693" s="18">
        <f t="shared" si="2570"/>
        <v>1329</v>
      </c>
      <c r="AC1693" s="88">
        <f t="shared" si="2570"/>
        <v>4023</v>
      </c>
    </row>
    <row r="1694" spans="1:30" x14ac:dyDescent="0.15">
      <c r="A1694" s="33" t="s">
        <v>1615</v>
      </c>
      <c r="B1694" s="9"/>
      <c r="C1694" s="10">
        <v>1</v>
      </c>
      <c r="D1694" s="31"/>
      <c r="E1694" s="5">
        <f t="shared" si="2558"/>
        <v>1</v>
      </c>
      <c r="F1694" s="9"/>
      <c r="G1694" s="10">
        <v>1</v>
      </c>
      <c r="H1694" s="31"/>
      <c r="I1694" s="5">
        <f t="shared" si="2559"/>
        <v>1</v>
      </c>
      <c r="J1694" s="9"/>
      <c r="K1694" s="10">
        <v>1</v>
      </c>
      <c r="L1694" s="31"/>
      <c r="M1694" s="38">
        <f t="shared" si="2560"/>
        <v>1</v>
      </c>
      <c r="N1694" s="141">
        <f t="shared" si="2561"/>
        <v>3</v>
      </c>
      <c r="O1694" s="70">
        <v>46094</v>
      </c>
      <c r="P1694" s="4" t="s">
        <v>1642</v>
      </c>
      <c r="Q1694" s="9">
        <v>20</v>
      </c>
      <c r="R1694" s="10">
        <v>30</v>
      </c>
      <c r="S1694" s="31">
        <v>25</v>
      </c>
      <c r="T1694" s="5">
        <f t="shared" ref="T1694:T1710" si="2571">SUM(Q1694:S1694)</f>
        <v>75</v>
      </c>
      <c r="U1694" s="9">
        <v>20</v>
      </c>
      <c r="V1694" s="10">
        <v>30</v>
      </c>
      <c r="W1694" s="31">
        <v>25</v>
      </c>
      <c r="X1694" s="5">
        <f t="shared" ref="X1694:X1710" si="2572">SUM(U1694:W1694)</f>
        <v>75</v>
      </c>
      <c r="Y1694" s="9">
        <v>20</v>
      </c>
      <c r="Z1694" s="10">
        <v>30</v>
      </c>
      <c r="AA1694" s="31">
        <v>25</v>
      </c>
      <c r="AB1694" s="5">
        <f t="shared" ref="AB1694:AB1710" si="2573">SUM(Y1694:AA1694)</f>
        <v>75</v>
      </c>
      <c r="AC1694" s="148">
        <f t="shared" ref="AC1694:AC1710" si="2574">T1694+X1694+AB1694</f>
        <v>225</v>
      </c>
      <c r="AD1694" s="109">
        <v>46100</v>
      </c>
    </row>
    <row r="1695" spans="1:30" x14ac:dyDescent="0.15">
      <c r="A1695" s="33" t="s">
        <v>36</v>
      </c>
      <c r="B1695" s="9"/>
      <c r="C1695" s="10">
        <v>1</v>
      </c>
      <c r="D1695" s="10">
        <v>1</v>
      </c>
      <c r="E1695" s="5">
        <f t="shared" si="2558"/>
        <v>2</v>
      </c>
      <c r="F1695" s="9"/>
      <c r="G1695" s="10">
        <v>1</v>
      </c>
      <c r="H1695" s="10">
        <v>1</v>
      </c>
      <c r="I1695" s="5">
        <f t="shared" si="2559"/>
        <v>2</v>
      </c>
      <c r="J1695" s="9"/>
      <c r="K1695" s="10">
        <v>1</v>
      </c>
      <c r="L1695" s="10">
        <v>1</v>
      </c>
      <c r="M1695" s="38">
        <f t="shared" si="2560"/>
        <v>2</v>
      </c>
      <c r="N1695" s="138">
        <f t="shared" si="2561"/>
        <v>6</v>
      </c>
      <c r="O1695" s="70">
        <v>46092</v>
      </c>
      <c r="P1695" s="11" t="s">
        <v>1611</v>
      </c>
      <c r="Q1695" s="9"/>
      <c r="R1695" s="10">
        <v>5</v>
      </c>
      <c r="S1695" s="10"/>
      <c r="T1695" s="5">
        <f t="shared" si="2571"/>
        <v>5</v>
      </c>
      <c r="U1695" s="9"/>
      <c r="V1695" s="10">
        <v>5</v>
      </c>
      <c r="W1695" s="10"/>
      <c r="X1695" s="5">
        <f t="shared" si="2572"/>
        <v>5</v>
      </c>
      <c r="Y1695" s="9"/>
      <c r="Z1695" s="10">
        <v>5</v>
      </c>
      <c r="AA1695" s="10"/>
      <c r="AB1695" s="5">
        <f t="shared" si="2573"/>
        <v>5</v>
      </c>
      <c r="AC1695" s="93">
        <f t="shared" si="2574"/>
        <v>15</v>
      </c>
      <c r="AD1695" s="109">
        <v>46099</v>
      </c>
    </row>
    <row r="1696" spans="1:30" x14ac:dyDescent="0.15">
      <c r="A1696" s="33" t="s">
        <v>1618</v>
      </c>
      <c r="B1696" s="9">
        <v>1</v>
      </c>
      <c r="C1696" s="10"/>
      <c r="D1696" s="10">
        <v>1</v>
      </c>
      <c r="E1696" s="5">
        <f t="shared" si="2558"/>
        <v>2</v>
      </c>
      <c r="F1696" s="9">
        <v>1</v>
      </c>
      <c r="G1696" s="10"/>
      <c r="H1696" s="10">
        <v>1</v>
      </c>
      <c r="I1696" s="5">
        <f t="shared" si="2559"/>
        <v>2</v>
      </c>
      <c r="J1696" s="9">
        <v>1</v>
      </c>
      <c r="K1696" s="10"/>
      <c r="L1696" s="10">
        <v>1</v>
      </c>
      <c r="M1696" s="38">
        <f t="shared" si="2560"/>
        <v>2</v>
      </c>
      <c r="N1696" s="138">
        <f t="shared" si="2561"/>
        <v>6</v>
      </c>
      <c r="O1696" s="24">
        <v>46094</v>
      </c>
      <c r="P1696" s="11" t="s">
        <v>1616</v>
      </c>
      <c r="Q1696" s="9">
        <v>20</v>
      </c>
      <c r="R1696" s="10">
        <v>30</v>
      </c>
      <c r="S1696" s="10">
        <v>30</v>
      </c>
      <c r="T1696" s="5">
        <f t="shared" si="2571"/>
        <v>80</v>
      </c>
      <c r="U1696" s="9">
        <v>20</v>
      </c>
      <c r="V1696" s="10">
        <v>30</v>
      </c>
      <c r="W1696" s="10">
        <v>30</v>
      </c>
      <c r="X1696" s="5">
        <f t="shared" si="2572"/>
        <v>80</v>
      </c>
      <c r="Y1696" s="9">
        <v>20</v>
      </c>
      <c r="Z1696" s="10">
        <v>30</v>
      </c>
      <c r="AA1696" s="10">
        <v>30</v>
      </c>
      <c r="AB1696" s="5">
        <f t="shared" si="2573"/>
        <v>80</v>
      </c>
      <c r="AC1696" s="93">
        <f t="shared" si="2574"/>
        <v>240</v>
      </c>
      <c r="AD1696" s="109">
        <v>46100</v>
      </c>
    </row>
    <row r="1697" spans="1:32" x14ac:dyDescent="0.15">
      <c r="A1697" s="33" t="s">
        <v>36</v>
      </c>
      <c r="B1697" s="9"/>
      <c r="C1697" s="10">
        <v>1</v>
      </c>
      <c r="D1697" s="10"/>
      <c r="E1697" s="5">
        <f t="shared" si="2558"/>
        <v>1</v>
      </c>
      <c r="F1697" s="9"/>
      <c r="G1697" s="10">
        <v>1</v>
      </c>
      <c r="H1697" s="10"/>
      <c r="I1697" s="5">
        <f t="shared" si="2559"/>
        <v>1</v>
      </c>
      <c r="J1697" s="9"/>
      <c r="K1697" s="10">
        <v>1</v>
      </c>
      <c r="L1697" s="10">
        <v>1</v>
      </c>
      <c r="M1697" s="38">
        <f t="shared" si="2560"/>
        <v>2</v>
      </c>
      <c r="N1697" s="138">
        <f t="shared" si="2561"/>
        <v>4</v>
      </c>
      <c r="O1697" s="24">
        <v>46093</v>
      </c>
      <c r="P1697" s="11" t="s">
        <v>1619</v>
      </c>
      <c r="Q1697" s="9">
        <v>20</v>
      </c>
      <c r="R1697" s="10">
        <v>30</v>
      </c>
      <c r="S1697" s="10">
        <v>20</v>
      </c>
      <c r="T1697" s="5">
        <f t="shared" si="2571"/>
        <v>70</v>
      </c>
      <c r="U1697" s="9">
        <v>20</v>
      </c>
      <c r="V1697" s="10">
        <v>30</v>
      </c>
      <c r="W1697" s="10">
        <v>20</v>
      </c>
      <c r="X1697" s="5">
        <f t="shared" si="2572"/>
        <v>70</v>
      </c>
      <c r="Y1697" s="9">
        <v>20</v>
      </c>
      <c r="Z1697" s="10">
        <v>30</v>
      </c>
      <c r="AA1697" s="10">
        <v>20</v>
      </c>
      <c r="AB1697" s="5">
        <f t="shared" si="2573"/>
        <v>70</v>
      </c>
      <c r="AC1697" s="93">
        <f t="shared" si="2574"/>
        <v>210</v>
      </c>
      <c r="AD1697" s="109">
        <v>46098</v>
      </c>
      <c r="AE1697" s="58"/>
    </row>
    <row r="1698" spans="1:32" x14ac:dyDescent="0.15">
      <c r="A1698" s="33" t="s">
        <v>36</v>
      </c>
      <c r="B1698" s="9"/>
      <c r="C1698" s="10">
        <v>1</v>
      </c>
      <c r="D1698" s="10"/>
      <c r="E1698" s="5">
        <f t="shared" si="2558"/>
        <v>1</v>
      </c>
      <c r="F1698" s="9"/>
      <c r="G1698" s="10"/>
      <c r="H1698" s="10"/>
      <c r="I1698" s="5">
        <f t="shared" si="2559"/>
        <v>0</v>
      </c>
      <c r="J1698" s="9"/>
      <c r="K1698" s="10"/>
      <c r="L1698" s="10"/>
      <c r="M1698" s="38">
        <f t="shared" si="2560"/>
        <v>0</v>
      </c>
      <c r="N1698" s="138">
        <f t="shared" si="2561"/>
        <v>1</v>
      </c>
      <c r="O1698" s="24">
        <v>46094</v>
      </c>
      <c r="P1698" s="4" t="s">
        <v>1623</v>
      </c>
      <c r="Q1698" s="9">
        <v>40</v>
      </c>
      <c r="R1698" s="10">
        <v>25</v>
      </c>
      <c r="S1698" s="10">
        <v>15</v>
      </c>
      <c r="T1698" s="5">
        <f t="shared" si="2571"/>
        <v>80</v>
      </c>
      <c r="U1698" s="9">
        <v>40</v>
      </c>
      <c r="V1698" s="10">
        <v>25</v>
      </c>
      <c r="W1698" s="10">
        <v>15</v>
      </c>
      <c r="X1698" s="5">
        <f t="shared" si="2572"/>
        <v>80</v>
      </c>
      <c r="Y1698" s="9">
        <v>40</v>
      </c>
      <c r="Z1698" s="10">
        <v>25</v>
      </c>
      <c r="AA1698" s="10">
        <v>15</v>
      </c>
      <c r="AB1698" s="5">
        <f t="shared" si="2573"/>
        <v>80</v>
      </c>
      <c r="AC1698" s="93">
        <f t="shared" si="2574"/>
        <v>240</v>
      </c>
      <c r="AD1698" s="109">
        <v>46101</v>
      </c>
      <c r="AE1698" s="58"/>
    </row>
    <row r="1699" spans="1:32" x14ac:dyDescent="0.15">
      <c r="A1699" s="4" t="s">
        <v>1622</v>
      </c>
      <c r="B1699" s="9">
        <v>2</v>
      </c>
      <c r="C1699" s="10"/>
      <c r="D1699" s="10"/>
      <c r="E1699" s="8">
        <f t="shared" si="2558"/>
        <v>2</v>
      </c>
      <c r="F1699" s="9">
        <v>2</v>
      </c>
      <c r="G1699" s="10"/>
      <c r="H1699" s="10"/>
      <c r="I1699" s="8">
        <f t="shared" si="2559"/>
        <v>2</v>
      </c>
      <c r="J1699" s="9">
        <v>2</v>
      </c>
      <c r="K1699" s="10"/>
      <c r="L1699" s="10"/>
      <c r="M1699" s="39">
        <f t="shared" si="2560"/>
        <v>2</v>
      </c>
      <c r="N1699" s="138">
        <f t="shared" si="2561"/>
        <v>6</v>
      </c>
      <c r="O1699" s="24">
        <v>46097</v>
      </c>
      <c r="P1699" s="165" t="s">
        <v>1628</v>
      </c>
      <c r="Q1699" s="166">
        <v>10</v>
      </c>
      <c r="R1699" s="167"/>
      <c r="S1699" s="167">
        <v>5</v>
      </c>
      <c r="T1699" s="168">
        <f t="shared" si="2571"/>
        <v>15</v>
      </c>
      <c r="U1699" s="166">
        <v>5</v>
      </c>
      <c r="V1699" s="167"/>
      <c r="W1699" s="167">
        <v>10</v>
      </c>
      <c r="X1699" s="168">
        <f t="shared" si="2572"/>
        <v>15</v>
      </c>
      <c r="Y1699" s="166">
        <v>10</v>
      </c>
      <c r="Z1699" s="167"/>
      <c r="AA1699" s="167">
        <v>10</v>
      </c>
      <c r="AB1699" s="168">
        <f t="shared" si="2573"/>
        <v>20</v>
      </c>
      <c r="AC1699" s="169">
        <f t="shared" si="2574"/>
        <v>50</v>
      </c>
      <c r="AD1699" s="170">
        <v>46098</v>
      </c>
    </row>
    <row r="1700" spans="1:32" x14ac:dyDescent="0.15">
      <c r="A1700" s="33" t="s">
        <v>1625</v>
      </c>
      <c r="B1700" s="9">
        <v>2</v>
      </c>
      <c r="C1700" s="10"/>
      <c r="D1700" s="10">
        <v>2</v>
      </c>
      <c r="E1700" s="8">
        <f t="shared" si="2558"/>
        <v>4</v>
      </c>
      <c r="F1700" s="9">
        <v>2</v>
      </c>
      <c r="G1700" s="10"/>
      <c r="H1700" s="10">
        <v>2</v>
      </c>
      <c r="I1700" s="8">
        <f t="shared" si="2559"/>
        <v>4</v>
      </c>
      <c r="J1700" s="9">
        <v>2</v>
      </c>
      <c r="K1700" s="10"/>
      <c r="L1700" s="10">
        <v>2</v>
      </c>
      <c r="M1700" s="39">
        <f t="shared" si="2560"/>
        <v>4</v>
      </c>
      <c r="N1700" s="138">
        <f t="shared" si="2561"/>
        <v>12</v>
      </c>
      <c r="O1700" s="24">
        <v>46099</v>
      </c>
      <c r="P1700" s="4" t="s">
        <v>1629</v>
      </c>
      <c r="Q1700" s="9"/>
      <c r="R1700" s="10">
        <v>10</v>
      </c>
      <c r="S1700" s="10"/>
      <c r="T1700" s="8">
        <f t="shared" si="2571"/>
        <v>10</v>
      </c>
      <c r="U1700" s="9"/>
      <c r="V1700" s="10">
        <v>10</v>
      </c>
      <c r="W1700" s="10"/>
      <c r="X1700" s="8">
        <f t="shared" si="2572"/>
        <v>10</v>
      </c>
      <c r="Y1700" s="9"/>
      <c r="Z1700" s="10">
        <v>10</v>
      </c>
      <c r="AA1700" s="10"/>
      <c r="AB1700" s="8">
        <f t="shared" si="2573"/>
        <v>10</v>
      </c>
      <c r="AC1700" s="93">
        <f t="shared" si="2574"/>
        <v>30</v>
      </c>
      <c r="AD1700" s="109">
        <v>46099</v>
      </c>
      <c r="AE1700" s="58"/>
      <c r="AF1700" s="58"/>
    </row>
    <row r="1701" spans="1:32" x14ac:dyDescent="0.15">
      <c r="A1701" s="33" t="s">
        <v>36</v>
      </c>
      <c r="B1701" s="9">
        <v>1</v>
      </c>
      <c r="C1701" s="10">
        <v>1</v>
      </c>
      <c r="D1701" s="10">
        <v>4</v>
      </c>
      <c r="E1701" s="8">
        <f t="shared" si="2558"/>
        <v>6</v>
      </c>
      <c r="F1701" s="9"/>
      <c r="G1701" s="10">
        <v>1</v>
      </c>
      <c r="H1701" s="10">
        <v>1</v>
      </c>
      <c r="I1701" s="8">
        <f t="shared" si="2559"/>
        <v>2</v>
      </c>
      <c r="J1701" s="9">
        <v>1</v>
      </c>
      <c r="K1701" s="10">
        <v>1</v>
      </c>
      <c r="L1701" s="10">
        <v>1</v>
      </c>
      <c r="M1701" s="39">
        <f t="shared" si="2560"/>
        <v>3</v>
      </c>
      <c r="N1701" s="138">
        <f t="shared" si="2561"/>
        <v>11</v>
      </c>
      <c r="O1701" s="24">
        <v>46097</v>
      </c>
      <c r="P1701" s="11" t="s">
        <v>1643</v>
      </c>
      <c r="Q1701" s="9">
        <v>30</v>
      </c>
      <c r="R1701" s="10">
        <v>15</v>
      </c>
      <c r="S1701" s="10">
        <v>5</v>
      </c>
      <c r="T1701" s="8">
        <f t="shared" si="2571"/>
        <v>50</v>
      </c>
      <c r="U1701" s="9">
        <v>30</v>
      </c>
      <c r="V1701" s="10">
        <v>15</v>
      </c>
      <c r="W1701" s="10">
        <v>5</v>
      </c>
      <c r="X1701" s="8">
        <f t="shared" si="2572"/>
        <v>50</v>
      </c>
      <c r="Y1701" s="9">
        <v>30</v>
      </c>
      <c r="Z1701" s="10">
        <v>15</v>
      </c>
      <c r="AA1701" s="10">
        <v>5</v>
      </c>
      <c r="AB1701" s="8">
        <f t="shared" si="2573"/>
        <v>50</v>
      </c>
      <c r="AC1701" s="93">
        <f t="shared" si="2574"/>
        <v>150</v>
      </c>
      <c r="AD1701" s="109">
        <v>46100</v>
      </c>
    </row>
    <row r="1702" spans="1:32" x14ac:dyDescent="0.15">
      <c r="A1702" s="4" t="s">
        <v>1630</v>
      </c>
      <c r="B1702" s="9">
        <v>1</v>
      </c>
      <c r="C1702" s="10"/>
      <c r="D1702" s="10"/>
      <c r="E1702" s="8">
        <f t="shared" si="2558"/>
        <v>1</v>
      </c>
      <c r="F1702" s="9">
        <v>1</v>
      </c>
      <c r="G1702" s="10"/>
      <c r="H1702" s="10"/>
      <c r="I1702" s="8">
        <f t="shared" si="2559"/>
        <v>1</v>
      </c>
      <c r="J1702" s="9">
        <v>1</v>
      </c>
      <c r="K1702" s="10"/>
      <c r="L1702" s="10"/>
      <c r="M1702" s="39">
        <f t="shared" si="2560"/>
        <v>1</v>
      </c>
      <c r="N1702" s="138">
        <f t="shared" si="2561"/>
        <v>3</v>
      </c>
      <c r="O1702" s="70">
        <v>46098</v>
      </c>
      <c r="P1702" s="4" t="s">
        <v>1645</v>
      </c>
      <c r="Q1702" s="9">
        <v>10</v>
      </c>
      <c r="R1702" s="10">
        <v>5</v>
      </c>
      <c r="S1702" s="10"/>
      <c r="T1702" s="8">
        <f t="shared" si="2571"/>
        <v>15</v>
      </c>
      <c r="U1702" s="9">
        <v>10</v>
      </c>
      <c r="V1702" s="10">
        <v>5</v>
      </c>
      <c r="W1702" s="10"/>
      <c r="X1702" s="8">
        <f t="shared" si="2572"/>
        <v>15</v>
      </c>
      <c r="Y1702" s="9">
        <v>10</v>
      </c>
      <c r="Z1702" s="10">
        <v>5</v>
      </c>
      <c r="AA1702" s="10"/>
      <c r="AB1702" s="8">
        <f t="shared" si="2573"/>
        <v>15</v>
      </c>
      <c r="AC1702" s="93">
        <f t="shared" si="2574"/>
        <v>45</v>
      </c>
      <c r="AD1702" s="109">
        <v>46104</v>
      </c>
    </row>
    <row r="1703" spans="1:32" x14ac:dyDescent="0.15">
      <c r="A1703" s="33" t="s">
        <v>1636</v>
      </c>
      <c r="B1703" s="9"/>
      <c r="C1703" s="10"/>
      <c r="D1703" s="10">
        <v>1</v>
      </c>
      <c r="E1703" s="8">
        <f t="shared" si="2558"/>
        <v>1</v>
      </c>
      <c r="F1703" s="9"/>
      <c r="G1703" s="10"/>
      <c r="H1703" s="10">
        <v>1</v>
      </c>
      <c r="I1703" s="8">
        <f t="shared" si="2559"/>
        <v>1</v>
      </c>
      <c r="J1703" s="9"/>
      <c r="K1703" s="10"/>
      <c r="L1703" s="10">
        <v>1</v>
      </c>
      <c r="M1703" s="39">
        <f t="shared" si="2560"/>
        <v>1</v>
      </c>
      <c r="N1703" s="138">
        <f t="shared" si="2561"/>
        <v>3</v>
      </c>
      <c r="O1703" s="24">
        <v>46100</v>
      </c>
      <c r="P1703" s="11" t="s">
        <v>1648</v>
      </c>
      <c r="Q1703" s="9"/>
      <c r="R1703" s="10"/>
      <c r="S1703" s="10">
        <v>5</v>
      </c>
      <c r="T1703" s="8">
        <f t="shared" si="2571"/>
        <v>5</v>
      </c>
      <c r="U1703" s="9"/>
      <c r="V1703" s="10"/>
      <c r="W1703" s="10">
        <v>5</v>
      </c>
      <c r="X1703" s="8">
        <f t="shared" si="2572"/>
        <v>5</v>
      </c>
      <c r="Y1703" s="9"/>
      <c r="Z1703" s="10"/>
      <c r="AA1703" s="10">
        <v>5</v>
      </c>
      <c r="AB1703" s="8">
        <f t="shared" si="2573"/>
        <v>5</v>
      </c>
      <c r="AC1703" s="93">
        <f t="shared" si="2574"/>
        <v>15</v>
      </c>
      <c r="AD1703" s="109">
        <v>46101</v>
      </c>
    </row>
    <row r="1704" spans="1:32" x14ac:dyDescent="0.15">
      <c r="A1704" s="4" t="s">
        <v>1641</v>
      </c>
      <c r="B1704" s="9">
        <v>1</v>
      </c>
      <c r="C1704" s="10"/>
      <c r="D1704" s="10">
        <v>1</v>
      </c>
      <c r="E1704" s="8">
        <f t="shared" si="2558"/>
        <v>2</v>
      </c>
      <c r="F1704" s="9">
        <v>1</v>
      </c>
      <c r="G1704" s="10"/>
      <c r="H1704" s="10">
        <v>1</v>
      </c>
      <c r="I1704" s="8">
        <f t="shared" si="2559"/>
        <v>2</v>
      </c>
      <c r="J1704" s="9">
        <v>1</v>
      </c>
      <c r="K1704" s="10"/>
      <c r="L1704" s="10">
        <v>1</v>
      </c>
      <c r="M1704" s="39">
        <f t="shared" si="2560"/>
        <v>2</v>
      </c>
      <c r="N1704" s="138">
        <f t="shared" si="2561"/>
        <v>6</v>
      </c>
      <c r="O1704" s="70">
        <v>46100</v>
      </c>
      <c r="P1704" s="4" t="s">
        <v>1319</v>
      </c>
      <c r="Q1704" s="9">
        <v>10</v>
      </c>
      <c r="R1704" s="10">
        <v>10</v>
      </c>
      <c r="S1704" s="10">
        <v>15</v>
      </c>
      <c r="T1704" s="8">
        <f t="shared" si="2571"/>
        <v>35</v>
      </c>
      <c r="U1704" s="9">
        <v>10</v>
      </c>
      <c r="V1704" s="10">
        <v>10</v>
      </c>
      <c r="W1704" s="10">
        <v>5</v>
      </c>
      <c r="X1704" s="8">
        <f t="shared" si="2572"/>
        <v>25</v>
      </c>
      <c r="Y1704" s="9">
        <v>10</v>
      </c>
      <c r="Z1704" s="10">
        <v>10</v>
      </c>
      <c r="AA1704" s="10">
        <v>15</v>
      </c>
      <c r="AB1704" s="8">
        <f t="shared" si="2573"/>
        <v>35</v>
      </c>
      <c r="AC1704" s="93">
        <f t="shared" si="2574"/>
        <v>95</v>
      </c>
      <c r="AD1704" s="109">
        <v>46102</v>
      </c>
    </row>
    <row r="1705" spans="1:32" x14ac:dyDescent="0.15">
      <c r="A1705" s="4" t="s">
        <v>1644</v>
      </c>
      <c r="B1705" s="9"/>
      <c r="C1705" s="10"/>
      <c r="D1705" s="10">
        <v>1</v>
      </c>
      <c r="E1705" s="8">
        <f t="shared" si="2558"/>
        <v>1</v>
      </c>
      <c r="F1705" s="9"/>
      <c r="G1705" s="10"/>
      <c r="H1705" s="10">
        <v>1</v>
      </c>
      <c r="I1705" s="8">
        <f t="shared" si="2559"/>
        <v>1</v>
      </c>
      <c r="J1705" s="9"/>
      <c r="K1705" s="10"/>
      <c r="L1705" s="10">
        <v>1</v>
      </c>
      <c r="M1705" s="39">
        <f t="shared" si="2560"/>
        <v>1</v>
      </c>
      <c r="N1705" s="138">
        <f t="shared" si="2561"/>
        <v>3</v>
      </c>
      <c r="O1705" s="24">
        <v>46104</v>
      </c>
      <c r="P1705" s="4" t="s">
        <v>1649</v>
      </c>
      <c r="Q1705" s="9"/>
      <c r="R1705" s="10">
        <v>2</v>
      </c>
      <c r="S1705" s="10"/>
      <c r="T1705" s="8">
        <f t="shared" si="2571"/>
        <v>2</v>
      </c>
      <c r="U1705" s="9"/>
      <c r="V1705" s="10">
        <v>2</v>
      </c>
      <c r="W1705" s="10"/>
      <c r="X1705" s="8">
        <f t="shared" si="2572"/>
        <v>2</v>
      </c>
      <c r="Y1705" s="9"/>
      <c r="Z1705" s="10">
        <v>2</v>
      </c>
      <c r="AA1705" s="10"/>
      <c r="AB1705" s="8">
        <f t="shared" si="2573"/>
        <v>2</v>
      </c>
      <c r="AC1705" s="93">
        <f t="shared" si="2574"/>
        <v>6</v>
      </c>
      <c r="AD1705" s="109">
        <v>46111</v>
      </c>
    </row>
    <row r="1706" spans="1:32" x14ac:dyDescent="0.15">
      <c r="A1706" s="33" t="s">
        <v>1647</v>
      </c>
      <c r="B1706" s="9"/>
      <c r="C1706" s="10"/>
      <c r="D1706" s="10">
        <v>1</v>
      </c>
      <c r="E1706" s="8">
        <f t="shared" si="2558"/>
        <v>1</v>
      </c>
      <c r="F1706" s="9"/>
      <c r="G1706" s="10"/>
      <c r="H1706" s="10">
        <v>1</v>
      </c>
      <c r="I1706" s="8">
        <f t="shared" si="2559"/>
        <v>1</v>
      </c>
      <c r="J1706" s="9"/>
      <c r="K1706" s="10"/>
      <c r="L1706" s="10">
        <v>1</v>
      </c>
      <c r="M1706" s="39">
        <f t="shared" si="2560"/>
        <v>1</v>
      </c>
      <c r="N1706" s="138">
        <f t="shared" si="2561"/>
        <v>3</v>
      </c>
      <c r="O1706" s="24">
        <v>46104</v>
      </c>
      <c r="P1706" s="4" t="s">
        <v>1652</v>
      </c>
      <c r="Q1706" s="9">
        <v>10</v>
      </c>
      <c r="R1706" s="10">
        <v>10</v>
      </c>
      <c r="S1706" s="10">
        <v>10</v>
      </c>
      <c r="T1706" s="8">
        <f t="shared" si="2571"/>
        <v>30</v>
      </c>
      <c r="U1706" s="9">
        <v>10</v>
      </c>
      <c r="V1706" s="10">
        <v>10</v>
      </c>
      <c r="W1706" s="10">
        <v>10</v>
      </c>
      <c r="X1706" s="8">
        <f t="shared" si="2572"/>
        <v>30</v>
      </c>
      <c r="Y1706" s="9">
        <v>10</v>
      </c>
      <c r="Z1706" s="10">
        <v>10</v>
      </c>
      <c r="AA1706" s="10">
        <v>10</v>
      </c>
      <c r="AB1706" s="8">
        <f t="shared" si="2573"/>
        <v>30</v>
      </c>
      <c r="AC1706" s="93">
        <f t="shared" si="2574"/>
        <v>90</v>
      </c>
      <c r="AD1706" s="109">
        <v>46106</v>
      </c>
    </row>
    <row r="1707" spans="1:32" x14ac:dyDescent="0.15">
      <c r="A1707" s="33" t="s">
        <v>36</v>
      </c>
      <c r="B1707" s="9">
        <v>1</v>
      </c>
      <c r="C1707" s="10">
        <v>2</v>
      </c>
      <c r="D1707" s="10"/>
      <c r="E1707" s="8">
        <f t="shared" si="2558"/>
        <v>3</v>
      </c>
      <c r="F1707" s="9">
        <v>1</v>
      </c>
      <c r="G1707" s="10">
        <v>2</v>
      </c>
      <c r="H1707" s="10"/>
      <c r="I1707" s="8">
        <f t="shared" si="2559"/>
        <v>3</v>
      </c>
      <c r="J1707" s="9">
        <v>1</v>
      </c>
      <c r="K1707" s="10">
        <v>2</v>
      </c>
      <c r="L1707" s="10"/>
      <c r="M1707" s="39">
        <f t="shared" si="2560"/>
        <v>3</v>
      </c>
      <c r="N1707" s="138">
        <f t="shared" si="2561"/>
        <v>9</v>
      </c>
      <c r="O1707" s="24">
        <v>46100</v>
      </c>
      <c r="P1707" s="4" t="s">
        <v>1653</v>
      </c>
      <c r="Q1707" s="9">
        <v>15</v>
      </c>
      <c r="R1707" s="10">
        <v>60</v>
      </c>
      <c r="S1707" s="10"/>
      <c r="T1707" s="8">
        <f t="shared" si="2571"/>
        <v>75</v>
      </c>
      <c r="U1707" s="9"/>
      <c r="V1707" s="10">
        <v>5</v>
      </c>
      <c r="W1707" s="10">
        <v>15</v>
      </c>
      <c r="X1707" s="8">
        <f t="shared" si="2572"/>
        <v>20</v>
      </c>
      <c r="Y1707" s="9">
        <v>5</v>
      </c>
      <c r="Z1707" s="10">
        <v>25</v>
      </c>
      <c r="AA1707" s="10">
        <v>25</v>
      </c>
      <c r="AB1707" s="8">
        <f t="shared" si="2573"/>
        <v>55</v>
      </c>
      <c r="AC1707" s="93">
        <f t="shared" si="2574"/>
        <v>150</v>
      </c>
      <c r="AD1707" s="109">
        <v>46107</v>
      </c>
    </row>
    <row r="1708" spans="1:32" x14ac:dyDescent="0.15">
      <c r="A1708" s="33" t="s">
        <v>1651</v>
      </c>
      <c r="B1708" s="9">
        <v>1</v>
      </c>
      <c r="C1708" s="10"/>
      <c r="D1708" s="10">
        <v>1</v>
      </c>
      <c r="E1708" s="8">
        <f t="shared" si="2558"/>
        <v>2</v>
      </c>
      <c r="F1708" s="9">
        <v>1</v>
      </c>
      <c r="G1708" s="10"/>
      <c r="H1708" s="10">
        <v>1</v>
      </c>
      <c r="I1708" s="8">
        <f t="shared" si="2559"/>
        <v>2</v>
      </c>
      <c r="J1708" s="9">
        <v>1</v>
      </c>
      <c r="K1708" s="10"/>
      <c r="L1708" s="10">
        <v>1</v>
      </c>
      <c r="M1708" s="39">
        <f t="shared" si="2560"/>
        <v>2</v>
      </c>
      <c r="N1708" s="138">
        <f t="shared" si="2561"/>
        <v>6</v>
      </c>
      <c r="O1708" s="24">
        <v>46106</v>
      </c>
      <c r="P1708" s="4" t="s">
        <v>1656</v>
      </c>
      <c r="Q1708" s="9">
        <v>10</v>
      </c>
      <c r="R1708" s="10"/>
      <c r="S1708" s="10">
        <v>10</v>
      </c>
      <c r="T1708" s="8">
        <f t="shared" ref="T1708" si="2575">SUM(Q1708:S1708)</f>
        <v>20</v>
      </c>
      <c r="U1708" s="9"/>
      <c r="V1708" s="10">
        <v>10</v>
      </c>
      <c r="W1708" s="10"/>
      <c r="X1708" s="8">
        <f t="shared" ref="X1708" si="2576">SUM(U1708:W1708)</f>
        <v>10</v>
      </c>
      <c r="Y1708" s="9"/>
      <c r="Z1708" s="10">
        <v>20</v>
      </c>
      <c r="AA1708" s="10">
        <v>20</v>
      </c>
      <c r="AB1708" s="8">
        <f t="shared" ref="AB1708" si="2577">SUM(Y1708:AA1708)</f>
        <v>40</v>
      </c>
      <c r="AC1708" s="93">
        <f t="shared" ref="AC1708" si="2578">T1708+X1708+AB1708</f>
        <v>70</v>
      </c>
      <c r="AD1708" s="109">
        <v>46108</v>
      </c>
    </row>
    <row r="1709" spans="1:32" x14ac:dyDescent="0.15">
      <c r="A1709" s="63" t="s">
        <v>36</v>
      </c>
      <c r="B1709" s="9">
        <v>2</v>
      </c>
      <c r="C1709" s="10">
        <v>2</v>
      </c>
      <c r="D1709" s="10">
        <v>1</v>
      </c>
      <c r="E1709" s="8">
        <f t="shared" si="2558"/>
        <v>5</v>
      </c>
      <c r="F1709" s="9">
        <v>2</v>
      </c>
      <c r="G1709" s="10">
        <v>2</v>
      </c>
      <c r="H1709" s="10">
        <v>1</v>
      </c>
      <c r="I1709" s="8">
        <f t="shared" si="2559"/>
        <v>5</v>
      </c>
      <c r="J1709" s="9">
        <v>2</v>
      </c>
      <c r="K1709" s="10">
        <v>2</v>
      </c>
      <c r="L1709" s="10">
        <v>1</v>
      </c>
      <c r="M1709" s="39">
        <f t="shared" si="2560"/>
        <v>5</v>
      </c>
      <c r="N1709" s="138">
        <f t="shared" si="2561"/>
        <v>15</v>
      </c>
      <c r="O1709" s="24">
        <v>46104</v>
      </c>
      <c r="P1709" s="11" t="s">
        <v>1319</v>
      </c>
      <c r="Q1709" s="9">
        <v>10</v>
      </c>
      <c r="R1709" s="10">
        <v>10</v>
      </c>
      <c r="S1709" s="10"/>
      <c r="T1709" s="8">
        <f t="shared" si="2571"/>
        <v>20</v>
      </c>
      <c r="U1709" s="9">
        <v>5</v>
      </c>
      <c r="V1709" s="10">
        <v>15</v>
      </c>
      <c r="W1709" s="10"/>
      <c r="X1709" s="8">
        <f t="shared" si="2572"/>
        <v>20</v>
      </c>
      <c r="Y1709" s="9">
        <v>10</v>
      </c>
      <c r="Z1709" s="10">
        <v>5</v>
      </c>
      <c r="AA1709" s="10"/>
      <c r="AB1709" s="8">
        <f t="shared" si="2573"/>
        <v>15</v>
      </c>
      <c r="AC1709" s="93">
        <f t="shared" si="2574"/>
        <v>55</v>
      </c>
      <c r="AD1709" s="109">
        <v>46115</v>
      </c>
    </row>
    <row r="1710" spans="1:32" x14ac:dyDescent="0.15">
      <c r="A1710" s="4" t="s">
        <v>1654</v>
      </c>
      <c r="B1710" s="9"/>
      <c r="C1710" s="10">
        <v>10</v>
      </c>
      <c r="D1710" s="10"/>
      <c r="E1710" s="8">
        <f t="shared" ref="E1710" si="2579">SUM(B1710:D1710)</f>
        <v>10</v>
      </c>
      <c r="F1710" s="9"/>
      <c r="G1710" s="10">
        <v>10</v>
      </c>
      <c r="H1710" s="10"/>
      <c r="I1710" s="8">
        <f t="shared" ref="I1710" si="2580">SUM(F1710:H1710)</f>
        <v>10</v>
      </c>
      <c r="J1710" s="9"/>
      <c r="K1710" s="10">
        <v>10</v>
      </c>
      <c r="L1710" s="10"/>
      <c r="M1710" s="8">
        <f t="shared" ref="M1710" si="2581">SUM(J1710:L1710)</f>
        <v>10</v>
      </c>
      <c r="N1710" s="93">
        <f t="shared" si="2561"/>
        <v>30</v>
      </c>
      <c r="O1710" s="129">
        <v>46107</v>
      </c>
      <c r="P1710" s="4" t="s">
        <v>1409</v>
      </c>
      <c r="Q1710" s="9"/>
      <c r="R1710" s="10"/>
      <c r="S1710" s="10"/>
      <c r="T1710" s="8">
        <f t="shared" si="2571"/>
        <v>0</v>
      </c>
      <c r="U1710" s="9"/>
      <c r="V1710" s="10"/>
      <c r="W1710" s="10"/>
      <c r="X1710" s="8">
        <f t="shared" si="2572"/>
        <v>0</v>
      </c>
      <c r="Y1710" s="9"/>
      <c r="Z1710" s="10"/>
      <c r="AA1710" s="10"/>
      <c r="AB1710" s="8">
        <f t="shared" si="2573"/>
        <v>0</v>
      </c>
      <c r="AC1710" s="93">
        <f t="shared" si="2574"/>
        <v>0</v>
      </c>
      <c r="AD1710" s="116" t="s">
        <v>1402</v>
      </c>
    </row>
    <row r="1711" spans="1:32" x14ac:dyDescent="0.15">
      <c r="A1711" s="33" t="s">
        <v>36</v>
      </c>
      <c r="B1711" s="9"/>
      <c r="C1711" s="10">
        <v>2</v>
      </c>
      <c r="D1711" s="10"/>
      <c r="E1711" s="8">
        <f t="shared" si="2558"/>
        <v>2</v>
      </c>
      <c r="F1711" s="9"/>
      <c r="G1711" s="10">
        <v>2</v>
      </c>
      <c r="H1711" s="10"/>
      <c r="I1711" s="8">
        <f t="shared" si="2559"/>
        <v>2</v>
      </c>
      <c r="J1711" s="9"/>
      <c r="K1711" s="10">
        <v>2</v>
      </c>
      <c r="L1711" s="10"/>
      <c r="M1711" s="39">
        <f t="shared" si="2560"/>
        <v>2</v>
      </c>
      <c r="N1711" s="138">
        <f t="shared" si="2561"/>
        <v>6</v>
      </c>
      <c r="O1711" s="24">
        <v>46107</v>
      </c>
      <c r="P1711" s="81" t="s">
        <v>1277</v>
      </c>
      <c r="Q1711" s="71"/>
      <c r="R1711" s="72"/>
      <c r="S1711" s="72"/>
      <c r="T1711" s="73">
        <f t="shared" ref="T1711:T1717" si="2582">SUM(Q1711:S1711)</f>
        <v>0</v>
      </c>
      <c r="U1711" s="71"/>
      <c r="V1711" s="72"/>
      <c r="W1711" s="72"/>
      <c r="X1711" s="73">
        <f t="shared" ref="X1711:X1717" si="2583">SUM(U1711:W1711)</f>
        <v>0</v>
      </c>
      <c r="Y1711" s="71"/>
      <c r="Z1711" s="72"/>
      <c r="AA1711" s="72"/>
      <c r="AB1711" s="73">
        <f t="shared" ref="AB1711:AB1717" si="2584">SUM(Y1711:AA1711)</f>
        <v>0</v>
      </c>
      <c r="AC1711" s="92">
        <f t="shared" ref="AC1711:AC1717" si="2585">T1711+X1711+AB1711</f>
        <v>0</v>
      </c>
      <c r="AD1711" s="116"/>
    </row>
    <row r="1712" spans="1:32" x14ac:dyDescent="0.15">
      <c r="A1712" s="33" t="s">
        <v>1661</v>
      </c>
      <c r="B1712" s="9">
        <v>4</v>
      </c>
      <c r="C1712" s="10">
        <v>6</v>
      </c>
      <c r="D1712" s="10">
        <v>4</v>
      </c>
      <c r="E1712" s="8">
        <f t="shared" si="2558"/>
        <v>14</v>
      </c>
      <c r="F1712" s="9">
        <v>4</v>
      </c>
      <c r="G1712" s="10">
        <v>6</v>
      </c>
      <c r="H1712" s="10">
        <v>4</v>
      </c>
      <c r="I1712" s="8">
        <f t="shared" si="2559"/>
        <v>14</v>
      </c>
      <c r="J1712" s="9">
        <v>4</v>
      </c>
      <c r="K1712" s="10">
        <v>6</v>
      </c>
      <c r="L1712" s="10">
        <v>4</v>
      </c>
      <c r="M1712" s="39">
        <f t="shared" si="2560"/>
        <v>14</v>
      </c>
      <c r="N1712" s="138">
        <f t="shared" si="2561"/>
        <v>42</v>
      </c>
      <c r="O1712" s="24">
        <v>46111</v>
      </c>
      <c r="P1712" s="4" t="s">
        <v>1276</v>
      </c>
      <c r="Q1712" s="9"/>
      <c r="R1712" s="10"/>
      <c r="S1712" s="10"/>
      <c r="T1712" s="8">
        <f t="shared" si="2582"/>
        <v>0</v>
      </c>
      <c r="U1712" s="9"/>
      <c r="V1712" s="10"/>
      <c r="W1712" s="10"/>
      <c r="X1712" s="8">
        <f t="shared" si="2583"/>
        <v>0</v>
      </c>
      <c r="Y1712" s="9"/>
      <c r="Z1712" s="10"/>
      <c r="AA1712" s="10"/>
      <c r="AB1712" s="8">
        <f t="shared" si="2584"/>
        <v>0</v>
      </c>
      <c r="AC1712" s="93">
        <f t="shared" si="2585"/>
        <v>0</v>
      </c>
      <c r="AD1712" s="116" t="s">
        <v>1278</v>
      </c>
    </row>
    <row r="1713" spans="1:31" x14ac:dyDescent="0.15">
      <c r="A1713" s="33" t="s">
        <v>36</v>
      </c>
      <c r="B1713" s="9">
        <v>1</v>
      </c>
      <c r="C1713" s="10">
        <v>3</v>
      </c>
      <c r="D1713" s="10"/>
      <c r="E1713" s="8">
        <f t="shared" si="2558"/>
        <v>4</v>
      </c>
      <c r="F1713" s="9"/>
      <c r="G1713" s="10">
        <v>1</v>
      </c>
      <c r="H1713" s="10"/>
      <c r="I1713" s="8">
        <f t="shared" si="2559"/>
        <v>1</v>
      </c>
      <c r="J1713" s="9"/>
      <c r="K1713" s="10">
        <v>2</v>
      </c>
      <c r="L1713" s="10"/>
      <c r="M1713" s="39">
        <f t="shared" si="2560"/>
        <v>2</v>
      </c>
      <c r="N1713" s="138">
        <f t="shared" si="2561"/>
        <v>7</v>
      </c>
      <c r="O1713" s="70">
        <v>46111</v>
      </c>
      <c r="P1713" s="11" t="s">
        <v>1533</v>
      </c>
      <c r="Q1713" s="9"/>
      <c r="R1713" s="10"/>
      <c r="S1713" s="10"/>
      <c r="T1713" s="8">
        <f t="shared" ref="T1713:T1715" si="2586">SUM(Q1713:S1713)</f>
        <v>0</v>
      </c>
      <c r="U1713" s="9"/>
      <c r="V1713" s="10"/>
      <c r="W1713" s="10"/>
      <c r="X1713" s="8">
        <f t="shared" ref="X1713:X1715" si="2587">SUM(U1713:W1713)</f>
        <v>0</v>
      </c>
      <c r="Y1713" s="9"/>
      <c r="Z1713" s="10"/>
      <c r="AA1713" s="10"/>
      <c r="AB1713" s="8">
        <f t="shared" ref="AB1713:AB1715" si="2588">SUM(Y1713:AA1713)</f>
        <v>0</v>
      </c>
      <c r="AC1713" s="93">
        <f t="shared" ref="AC1713:AC1715" si="2589">T1713+X1713+AB1713</f>
        <v>0</v>
      </c>
      <c r="AD1713" s="116" t="s">
        <v>87</v>
      </c>
    </row>
    <row r="1714" spans="1:31" x14ac:dyDescent="0.15">
      <c r="A1714" s="33" t="s">
        <v>36</v>
      </c>
      <c r="B1714" s="9">
        <v>1</v>
      </c>
      <c r="C1714" s="10"/>
      <c r="D1714" s="10"/>
      <c r="E1714" s="8">
        <f t="shared" si="2558"/>
        <v>1</v>
      </c>
      <c r="F1714" s="9">
        <v>1</v>
      </c>
      <c r="G1714" s="10"/>
      <c r="H1714" s="10"/>
      <c r="I1714" s="8">
        <f t="shared" si="2559"/>
        <v>1</v>
      </c>
      <c r="J1714" s="9">
        <v>1</v>
      </c>
      <c r="K1714" s="10"/>
      <c r="L1714" s="10"/>
      <c r="M1714" s="39">
        <f t="shared" si="2560"/>
        <v>1</v>
      </c>
      <c r="N1714" s="138">
        <f t="shared" si="2561"/>
        <v>3</v>
      </c>
      <c r="O1714" s="70">
        <v>46112</v>
      </c>
      <c r="P1714" s="81" t="s">
        <v>1361</v>
      </c>
      <c r="Q1714" s="71"/>
      <c r="R1714" s="72"/>
      <c r="S1714" s="72"/>
      <c r="T1714" s="73">
        <f t="shared" si="2586"/>
        <v>0</v>
      </c>
      <c r="U1714" s="71"/>
      <c r="V1714" s="72"/>
      <c r="W1714" s="72"/>
      <c r="X1714" s="73">
        <f t="shared" si="2587"/>
        <v>0</v>
      </c>
      <c r="Y1714" s="71"/>
      <c r="Z1714" s="72"/>
      <c r="AA1714" s="72"/>
      <c r="AB1714" s="73">
        <f t="shared" si="2588"/>
        <v>0</v>
      </c>
      <c r="AC1714" s="92">
        <f t="shared" si="2589"/>
        <v>0</v>
      </c>
      <c r="AD1714" s="116"/>
    </row>
    <row r="1715" spans="1:31" x14ac:dyDescent="0.15">
      <c r="A1715" s="33"/>
      <c r="B1715" s="9"/>
      <c r="C1715" s="10"/>
      <c r="D1715" s="10"/>
      <c r="E1715" s="8">
        <f t="shared" si="2558"/>
        <v>0</v>
      </c>
      <c r="F1715" s="9"/>
      <c r="G1715" s="10"/>
      <c r="H1715" s="10"/>
      <c r="I1715" s="8">
        <f t="shared" si="2559"/>
        <v>0</v>
      </c>
      <c r="J1715" s="9"/>
      <c r="K1715" s="10"/>
      <c r="L1715" s="10"/>
      <c r="M1715" s="39">
        <f t="shared" si="2560"/>
        <v>0</v>
      </c>
      <c r="N1715" s="138">
        <f t="shared" si="2561"/>
        <v>0</v>
      </c>
      <c r="P1715" s="4" t="s">
        <v>1362</v>
      </c>
      <c r="Q1715" s="9"/>
      <c r="R1715" s="10"/>
      <c r="S1715" s="10"/>
      <c r="T1715" s="8">
        <f t="shared" si="2586"/>
        <v>0</v>
      </c>
      <c r="U1715" s="9"/>
      <c r="V1715" s="10"/>
      <c r="W1715" s="10"/>
      <c r="X1715" s="8">
        <f t="shared" si="2587"/>
        <v>0</v>
      </c>
      <c r="Y1715" s="9"/>
      <c r="Z1715" s="10"/>
      <c r="AA1715" s="10"/>
      <c r="AB1715" s="8">
        <f t="shared" si="2588"/>
        <v>0</v>
      </c>
      <c r="AC1715" s="86">
        <f t="shared" si="2589"/>
        <v>0</v>
      </c>
      <c r="AD1715" s="116" t="s">
        <v>1363</v>
      </c>
    </row>
    <row r="1716" spans="1:31" x14ac:dyDescent="0.15">
      <c r="A1716" s="33"/>
      <c r="B1716" s="9"/>
      <c r="C1716" s="10"/>
      <c r="D1716" s="10"/>
      <c r="E1716" s="8">
        <f t="shared" si="2558"/>
        <v>0</v>
      </c>
      <c r="F1716" s="9"/>
      <c r="G1716" s="10"/>
      <c r="H1716" s="10"/>
      <c r="I1716" s="8">
        <f t="shared" si="2559"/>
        <v>0</v>
      </c>
      <c r="J1716" s="9"/>
      <c r="K1716" s="10"/>
      <c r="L1716" s="10"/>
      <c r="M1716" s="39">
        <f t="shared" si="2560"/>
        <v>0</v>
      </c>
      <c r="N1716" s="138">
        <f t="shared" si="2561"/>
        <v>0</v>
      </c>
      <c r="P1716" s="81" t="s">
        <v>1205</v>
      </c>
      <c r="Q1716" s="71"/>
      <c r="R1716" s="72"/>
      <c r="S1716" s="72"/>
      <c r="T1716" s="73">
        <f t="shared" si="2582"/>
        <v>0</v>
      </c>
      <c r="U1716" s="71"/>
      <c r="V1716" s="72"/>
      <c r="W1716" s="72"/>
      <c r="X1716" s="73">
        <f t="shared" si="2583"/>
        <v>0</v>
      </c>
      <c r="Y1716" s="71"/>
      <c r="Z1716" s="72"/>
      <c r="AA1716" s="72"/>
      <c r="AB1716" s="73">
        <f t="shared" si="2584"/>
        <v>0</v>
      </c>
      <c r="AC1716" s="92">
        <f t="shared" si="2585"/>
        <v>0</v>
      </c>
      <c r="AD1716" s="116"/>
      <c r="AE1716" s="58"/>
    </row>
    <row r="1717" spans="1:31" ht="14.25" thickBot="1" x14ac:dyDescent="0.2">
      <c r="A1717" s="63"/>
      <c r="B1717" s="9"/>
      <c r="C1717" s="10"/>
      <c r="D1717" s="22"/>
      <c r="E1717" s="8">
        <f t="shared" si="2558"/>
        <v>0</v>
      </c>
      <c r="F1717" s="9"/>
      <c r="G1717" s="10"/>
      <c r="H1717" s="22"/>
      <c r="I1717" s="8">
        <f t="shared" si="2559"/>
        <v>0</v>
      </c>
      <c r="J1717" s="9"/>
      <c r="K1717" s="10"/>
      <c r="L1717" s="22"/>
      <c r="M1717" s="39">
        <f t="shared" si="2560"/>
        <v>0</v>
      </c>
      <c r="N1717" s="139">
        <f t="shared" si="2561"/>
        <v>0</v>
      </c>
      <c r="P1717" s="4" t="s">
        <v>1659</v>
      </c>
      <c r="Q1717" s="9"/>
      <c r="R1717" s="10"/>
      <c r="S1717" s="10"/>
      <c r="T1717" s="8">
        <f t="shared" si="2582"/>
        <v>0</v>
      </c>
      <c r="U1717" s="9"/>
      <c r="V1717" s="10"/>
      <c r="W1717" s="10"/>
      <c r="X1717" s="8">
        <f t="shared" si="2583"/>
        <v>0</v>
      </c>
      <c r="Y1717" s="9"/>
      <c r="Z1717" s="10"/>
      <c r="AA1717" s="10"/>
      <c r="AB1717" s="8">
        <f t="shared" si="2584"/>
        <v>0</v>
      </c>
      <c r="AC1717" s="93">
        <f t="shared" si="2585"/>
        <v>0</v>
      </c>
      <c r="AD1717" s="116" t="s">
        <v>1301</v>
      </c>
      <c r="AE1717" s="58"/>
    </row>
    <row r="1718" spans="1:31" ht="14.25" thickBot="1" x14ac:dyDescent="0.2">
      <c r="A1718" s="104" t="s">
        <v>5</v>
      </c>
      <c r="B1718" s="12">
        <f>SUM(B1694:B1717)</f>
        <v>18</v>
      </c>
      <c r="C1718" s="12">
        <f>SUM(C1694:C1717)</f>
        <v>30</v>
      </c>
      <c r="D1718" s="12">
        <f>SUM(D1694:D1717)</f>
        <v>18</v>
      </c>
      <c r="E1718" s="13">
        <f t="shared" si="2558"/>
        <v>66</v>
      </c>
      <c r="F1718" s="12">
        <f>SUM(F1694:F1717)</f>
        <v>16</v>
      </c>
      <c r="G1718" s="12">
        <f>SUM(G1694:G1717)</f>
        <v>27</v>
      </c>
      <c r="H1718" s="12">
        <f>SUM(H1694:H1717)</f>
        <v>15</v>
      </c>
      <c r="I1718" s="13">
        <f t="shared" si="2559"/>
        <v>58</v>
      </c>
      <c r="J1718" s="12">
        <f>SUM(J1694:J1717)</f>
        <v>17</v>
      </c>
      <c r="K1718" s="12">
        <f>SUM(K1694:K1717)</f>
        <v>28</v>
      </c>
      <c r="L1718" s="12">
        <f>SUM(L1694:L1717)</f>
        <v>16</v>
      </c>
      <c r="M1718" s="12">
        <f t="shared" si="2560"/>
        <v>61</v>
      </c>
      <c r="N1718" s="142">
        <f t="shared" si="2561"/>
        <v>185</v>
      </c>
      <c r="P1718" s="3" t="s">
        <v>5</v>
      </c>
      <c r="Q1718" s="12">
        <f>SUM(Q1694:Q1717)</f>
        <v>205</v>
      </c>
      <c r="R1718" s="12">
        <f t="shared" ref="R1718:AC1718" si="2590">SUM(R1694:R1717)</f>
        <v>242</v>
      </c>
      <c r="S1718" s="12">
        <f t="shared" si="2590"/>
        <v>140</v>
      </c>
      <c r="T1718" s="13">
        <f t="shared" si="2590"/>
        <v>587</v>
      </c>
      <c r="U1718" s="12">
        <f t="shared" si="2590"/>
        <v>170</v>
      </c>
      <c r="V1718" s="12">
        <f t="shared" si="2590"/>
        <v>202</v>
      </c>
      <c r="W1718" s="12">
        <f t="shared" si="2590"/>
        <v>140</v>
      </c>
      <c r="X1718" s="13">
        <f t="shared" si="2590"/>
        <v>512</v>
      </c>
      <c r="Y1718" s="12">
        <f t="shared" si="2590"/>
        <v>185</v>
      </c>
      <c r="Z1718" s="12">
        <f t="shared" si="2590"/>
        <v>222</v>
      </c>
      <c r="AA1718" s="12">
        <f t="shared" si="2590"/>
        <v>180</v>
      </c>
      <c r="AB1718" s="13">
        <f t="shared" si="2590"/>
        <v>587</v>
      </c>
      <c r="AC1718" s="155">
        <f t="shared" si="2590"/>
        <v>1686</v>
      </c>
    </row>
    <row r="1719" spans="1:31" ht="14.25" thickBot="1" x14ac:dyDescent="0.2">
      <c r="A1719" s="105" t="s">
        <v>6</v>
      </c>
      <c r="B1719" s="20">
        <f>B1693-B1718</f>
        <v>29</v>
      </c>
      <c r="C1719" s="20">
        <f t="shared" ref="C1719:E1719" si="2591">C1693-C1718</f>
        <v>15</v>
      </c>
      <c r="D1719" s="20">
        <f t="shared" si="2591"/>
        <v>23</v>
      </c>
      <c r="E1719" s="18">
        <f t="shared" si="2591"/>
        <v>67</v>
      </c>
      <c r="F1719" s="20">
        <f>F1693-F1718</f>
        <v>25</v>
      </c>
      <c r="G1719" s="20">
        <f t="shared" ref="G1719:I1719" si="2592">G1693-G1718</f>
        <v>22</v>
      </c>
      <c r="H1719" s="20">
        <f t="shared" si="2592"/>
        <v>18</v>
      </c>
      <c r="I1719" s="18">
        <f t="shared" si="2592"/>
        <v>65</v>
      </c>
      <c r="J1719" s="20">
        <f>J1693-J1718</f>
        <v>32</v>
      </c>
      <c r="K1719" s="20">
        <f t="shared" ref="K1719:M1719" si="2593">K1693-K1718</f>
        <v>13</v>
      </c>
      <c r="L1719" s="20">
        <f t="shared" si="2593"/>
        <v>28</v>
      </c>
      <c r="M1719" s="20">
        <f t="shared" si="2593"/>
        <v>73</v>
      </c>
      <c r="N1719" s="140">
        <f t="shared" si="2561"/>
        <v>205</v>
      </c>
      <c r="P1719" s="19" t="s">
        <v>6</v>
      </c>
      <c r="Q1719" s="20">
        <f>Q1693-Q1718</f>
        <v>237</v>
      </c>
      <c r="R1719" s="20">
        <f t="shared" ref="R1719:AC1719" si="2594">R1693-R1718</f>
        <v>126</v>
      </c>
      <c r="S1719" s="20">
        <f t="shared" si="2594"/>
        <v>250</v>
      </c>
      <c r="T1719" s="18">
        <f t="shared" si="2594"/>
        <v>613</v>
      </c>
      <c r="U1719" s="20">
        <f t="shared" si="2594"/>
        <v>315</v>
      </c>
      <c r="V1719" s="20">
        <f t="shared" si="2594"/>
        <v>312</v>
      </c>
      <c r="W1719" s="20">
        <f t="shared" si="2594"/>
        <v>355</v>
      </c>
      <c r="X1719" s="18">
        <f t="shared" si="2594"/>
        <v>982</v>
      </c>
      <c r="Y1719" s="20">
        <f t="shared" si="2594"/>
        <v>251</v>
      </c>
      <c r="Z1719" s="20">
        <f t="shared" si="2594"/>
        <v>217</v>
      </c>
      <c r="AA1719" s="20">
        <f t="shared" si="2594"/>
        <v>274</v>
      </c>
      <c r="AB1719" s="18">
        <f t="shared" si="2594"/>
        <v>742</v>
      </c>
      <c r="AC1719" s="88">
        <f t="shared" si="2594"/>
        <v>2337</v>
      </c>
    </row>
    <row r="1720" spans="1:31" x14ac:dyDescent="0.15">
      <c r="P1720" s="156" t="s">
        <v>1665</v>
      </c>
      <c r="Q1720" s="80">
        <f>Q1718+Q1675+Q1632+Q1589+Q1546+Q1503+Q1460+Q1417+Q1374+Q1331+Q1288+Q1245+Q1204</f>
        <v>4842</v>
      </c>
      <c r="R1720" s="80">
        <f t="shared" ref="R1720:AC1720" si="2595">R1718+R1675+R1632+R1589+R1546+R1503+R1460+R1417+R1374+R1331+R1288+R1245+R1204</f>
        <v>7414</v>
      </c>
      <c r="S1720" s="80">
        <f t="shared" si="2595"/>
        <v>5007</v>
      </c>
      <c r="T1720" s="80">
        <f t="shared" si="2595"/>
        <v>17263</v>
      </c>
      <c r="U1720" s="80">
        <f t="shared" si="2595"/>
        <v>4702</v>
      </c>
      <c r="V1720" s="80">
        <f t="shared" si="2595"/>
        <v>7174</v>
      </c>
      <c r="W1720" s="80">
        <f t="shared" si="2595"/>
        <v>4935</v>
      </c>
      <c r="X1720" s="80">
        <f t="shared" si="2595"/>
        <v>16811</v>
      </c>
      <c r="Y1720" s="80">
        <f t="shared" si="2595"/>
        <v>4821</v>
      </c>
      <c r="Z1720" s="80">
        <f t="shared" si="2595"/>
        <v>7367</v>
      </c>
      <c r="AA1720" s="80">
        <f t="shared" si="2595"/>
        <v>5044</v>
      </c>
      <c r="AB1720" s="80">
        <f t="shared" si="2595"/>
        <v>17232</v>
      </c>
      <c r="AC1720" s="80">
        <f t="shared" si="2595"/>
        <v>51306</v>
      </c>
    </row>
    <row r="1721" spans="1:31" x14ac:dyDescent="0.15">
      <c r="P1721" s="157" t="s">
        <v>1130</v>
      </c>
      <c r="Q1721" s="65">
        <f>Q1720/$T$1720*100</f>
        <v>28.048427272200659</v>
      </c>
      <c r="R1721" s="65">
        <f t="shared" ref="R1721:T1721" si="2596">R1720/$T$1720*100</f>
        <v>42.94734403058564</v>
      </c>
      <c r="S1721" s="65">
        <f t="shared" si="2596"/>
        <v>29.004228697213698</v>
      </c>
      <c r="T1721" s="65">
        <f t="shared" si="2596"/>
        <v>100</v>
      </c>
      <c r="U1721" s="65">
        <f>U1720/$X$1720*100</f>
        <v>27.969781690559753</v>
      </c>
      <c r="V1721" s="65">
        <f t="shared" ref="V1721:X1721" si="2597">V1720/$X$1720*100</f>
        <v>42.674439355184106</v>
      </c>
      <c r="W1721" s="65">
        <f t="shared" si="2597"/>
        <v>29.355778954256138</v>
      </c>
      <c r="X1721" s="65">
        <f t="shared" si="2597"/>
        <v>100</v>
      </c>
      <c r="Y1721" s="65">
        <f>Y1720/$AB$1720*100</f>
        <v>27.977019498607241</v>
      </c>
      <c r="Z1721" s="65">
        <f t="shared" ref="Z1721:AB1721" si="2598">Z1720/$AB$1720*100</f>
        <v>42.751857010213556</v>
      </c>
      <c r="AA1721" s="65">
        <f t="shared" si="2598"/>
        <v>29.271123491179203</v>
      </c>
      <c r="AB1721" s="65">
        <f t="shared" si="2598"/>
        <v>100</v>
      </c>
    </row>
    <row r="1722" spans="1:31" ht="19.5" thickBot="1" x14ac:dyDescent="0.25">
      <c r="A1722" s="108" t="s">
        <v>264</v>
      </c>
      <c r="B1722" s="47"/>
      <c r="C1722" s="47"/>
      <c r="D1722" s="47"/>
      <c r="E1722" s="47"/>
      <c r="F1722" s="48"/>
      <c r="G1722" s="48"/>
      <c r="H1722" s="48"/>
      <c r="I1722" s="48"/>
      <c r="J1722" s="48"/>
      <c r="K1722" s="48"/>
      <c r="L1722" s="1"/>
      <c r="M1722" s="1"/>
      <c r="N1722" s="137"/>
      <c r="P1722" s="306" t="s">
        <v>1666</v>
      </c>
      <c r="Q1722" s="44"/>
      <c r="R1722" s="44"/>
      <c r="S1722" s="44"/>
      <c r="T1722" s="307">
        <f>T1720/AC1720*100</f>
        <v>33.647136787120417</v>
      </c>
      <c r="U1722" s="308"/>
      <c r="V1722" s="308"/>
      <c r="W1722" s="308"/>
      <c r="X1722" s="309">
        <f>X1720/AC1720*100</f>
        <v>32.766148208786497</v>
      </c>
      <c r="Y1722" s="310"/>
      <c r="Z1722" s="311"/>
      <c r="AA1722" s="312"/>
      <c r="AB1722" s="313">
        <f>AB1720/AC1720*100</f>
        <v>33.586715004093087</v>
      </c>
      <c r="AC1722" s="114">
        <v>100</v>
      </c>
    </row>
    <row r="1723" spans="1:31" ht="14.25" thickBot="1" x14ac:dyDescent="0.2">
      <c r="A1723" s="100" t="s">
        <v>0</v>
      </c>
      <c r="B1723" s="337" t="s">
        <v>11</v>
      </c>
      <c r="C1723" s="337"/>
      <c r="D1723" s="337"/>
      <c r="E1723" s="338"/>
      <c r="F1723" s="339" t="s">
        <v>9</v>
      </c>
      <c r="G1723" s="340"/>
      <c r="H1723" s="340"/>
      <c r="I1723" s="341"/>
      <c r="J1723" s="342" t="s">
        <v>12</v>
      </c>
      <c r="K1723" s="343"/>
      <c r="L1723" s="343"/>
      <c r="M1723" s="343"/>
      <c r="N1723" s="347" t="s">
        <v>13</v>
      </c>
      <c r="P1723" s="2" t="s">
        <v>0</v>
      </c>
      <c r="Q1723" s="336" t="s">
        <v>11</v>
      </c>
      <c r="R1723" s="337"/>
      <c r="S1723" s="337"/>
      <c r="T1723" s="338"/>
      <c r="U1723" s="339" t="s">
        <v>9</v>
      </c>
      <c r="V1723" s="340"/>
      <c r="W1723" s="340"/>
      <c r="X1723" s="341"/>
      <c r="Y1723" s="342" t="s">
        <v>12</v>
      </c>
      <c r="Z1723" s="343"/>
      <c r="AA1723" s="343"/>
      <c r="AB1723" s="344"/>
      <c r="AC1723" s="133" t="s">
        <v>13</v>
      </c>
    </row>
    <row r="1724" spans="1:31" ht="14.25" thickBot="1" x14ac:dyDescent="0.2">
      <c r="A1724" s="100" t="s">
        <v>1</v>
      </c>
      <c r="B1724" s="3" t="s">
        <v>7</v>
      </c>
      <c r="C1724" s="2" t="s">
        <v>10</v>
      </c>
      <c r="D1724" s="2" t="s">
        <v>8</v>
      </c>
      <c r="E1724" s="2" t="s">
        <v>2</v>
      </c>
      <c r="F1724" s="3" t="s">
        <v>7</v>
      </c>
      <c r="G1724" s="2" t="s">
        <v>10</v>
      </c>
      <c r="H1724" s="2" t="s">
        <v>8</v>
      </c>
      <c r="I1724" s="2" t="s">
        <v>2</v>
      </c>
      <c r="J1724" s="3" t="s">
        <v>7</v>
      </c>
      <c r="K1724" s="2" t="s">
        <v>10</v>
      </c>
      <c r="L1724" s="2" t="s">
        <v>8</v>
      </c>
      <c r="M1724" s="3" t="s">
        <v>2</v>
      </c>
      <c r="N1724" s="348"/>
      <c r="P1724" s="2" t="s">
        <v>1</v>
      </c>
      <c r="Q1724" s="3" t="s">
        <v>7</v>
      </c>
      <c r="R1724" s="2" t="s">
        <v>10</v>
      </c>
      <c r="S1724" s="2" t="s">
        <v>8</v>
      </c>
      <c r="T1724" s="2" t="s">
        <v>2</v>
      </c>
      <c r="U1724" s="3" t="s">
        <v>7</v>
      </c>
      <c r="V1724" s="2" t="s">
        <v>10</v>
      </c>
      <c r="W1724" s="2" t="s">
        <v>8</v>
      </c>
      <c r="X1724" s="2" t="s">
        <v>2</v>
      </c>
      <c r="Y1724" s="3" t="s">
        <v>7</v>
      </c>
      <c r="Z1724" s="2" t="s">
        <v>10</v>
      </c>
      <c r="AA1724" s="2" t="s">
        <v>8</v>
      </c>
      <c r="AB1724" s="2" t="s">
        <v>2</v>
      </c>
      <c r="AC1724" s="134"/>
    </row>
    <row r="1725" spans="1:31" x14ac:dyDescent="0.15">
      <c r="A1725" s="106" t="s">
        <v>6</v>
      </c>
      <c r="B1725" s="41">
        <f>B1719</f>
        <v>29</v>
      </c>
      <c r="C1725" s="41">
        <f t="shared" ref="C1725:E1725" si="2599">C1719</f>
        <v>15</v>
      </c>
      <c r="D1725" s="41">
        <f t="shared" si="2599"/>
        <v>23</v>
      </c>
      <c r="E1725" s="42">
        <f t="shared" si="2599"/>
        <v>67</v>
      </c>
      <c r="F1725" s="41">
        <f>F1719</f>
        <v>25</v>
      </c>
      <c r="G1725" s="41">
        <f t="shared" ref="G1725:I1725" si="2600">G1719</f>
        <v>22</v>
      </c>
      <c r="H1725" s="41">
        <f t="shared" si="2600"/>
        <v>18</v>
      </c>
      <c r="I1725" s="42">
        <f t="shared" si="2600"/>
        <v>65</v>
      </c>
      <c r="J1725" s="41">
        <f>J1719</f>
        <v>32</v>
      </c>
      <c r="K1725" s="41">
        <f t="shared" ref="K1725:M1725" si="2601">K1719</f>
        <v>13</v>
      </c>
      <c r="L1725" s="41">
        <f t="shared" si="2601"/>
        <v>28</v>
      </c>
      <c r="M1725" s="42">
        <f t="shared" si="2601"/>
        <v>73</v>
      </c>
      <c r="N1725" s="143">
        <f>E1725+I1725+M1725</f>
        <v>205</v>
      </c>
      <c r="P1725" s="36" t="s">
        <v>6</v>
      </c>
      <c r="Q1725" s="41">
        <f>Q1719</f>
        <v>237</v>
      </c>
      <c r="R1725" s="41">
        <f t="shared" ref="R1725:AC1725" si="2602">R1719</f>
        <v>126</v>
      </c>
      <c r="S1725" s="41">
        <f t="shared" si="2602"/>
        <v>250</v>
      </c>
      <c r="T1725" s="42">
        <f t="shared" si="2602"/>
        <v>613</v>
      </c>
      <c r="U1725" s="41">
        <f t="shared" si="2602"/>
        <v>315</v>
      </c>
      <c r="V1725" s="41">
        <f t="shared" si="2602"/>
        <v>312</v>
      </c>
      <c r="W1725" s="41">
        <f t="shared" si="2602"/>
        <v>355</v>
      </c>
      <c r="X1725" s="42">
        <f t="shared" si="2602"/>
        <v>982</v>
      </c>
      <c r="Y1725" s="41">
        <f t="shared" si="2602"/>
        <v>251</v>
      </c>
      <c r="Z1725" s="41">
        <f t="shared" si="2602"/>
        <v>217</v>
      </c>
      <c r="AA1725" s="41">
        <f t="shared" si="2602"/>
        <v>274</v>
      </c>
      <c r="AB1725" s="42">
        <f t="shared" si="2602"/>
        <v>742</v>
      </c>
      <c r="AC1725" s="90">
        <f t="shared" si="2602"/>
        <v>2337</v>
      </c>
    </row>
    <row r="1726" spans="1:31" x14ac:dyDescent="0.15">
      <c r="A1726" s="158" t="s">
        <v>3</v>
      </c>
      <c r="B1726" s="237"/>
      <c r="C1726" s="238">
        <v>15</v>
      </c>
      <c r="D1726" s="238"/>
      <c r="E1726" s="161">
        <f t="shared" ref="E1726:E1761" si="2603">SUM(B1726:D1726)</f>
        <v>15</v>
      </c>
      <c r="F1726" s="237"/>
      <c r="G1726" s="238">
        <v>15</v>
      </c>
      <c r="H1726" s="238"/>
      <c r="I1726" s="161">
        <f t="shared" ref="I1726:I1761" si="2604">SUM(F1726:H1726)</f>
        <v>15</v>
      </c>
      <c r="J1726" s="237"/>
      <c r="K1726" s="238">
        <v>15</v>
      </c>
      <c r="L1726" s="238"/>
      <c r="M1726" s="163">
        <f t="shared" ref="M1726:M1761" si="2605">SUM(J1726:L1726)</f>
        <v>15</v>
      </c>
      <c r="N1726" s="153">
        <f t="shared" ref="N1726:N1762" si="2606">E1726+I1726+M1726</f>
        <v>45</v>
      </c>
      <c r="O1726" s="164">
        <v>46111</v>
      </c>
      <c r="P1726" s="6" t="s">
        <v>3</v>
      </c>
      <c r="Q1726" s="14"/>
      <c r="R1726" s="11"/>
      <c r="S1726" s="11"/>
      <c r="T1726" s="5">
        <f t="shared" ref="T1726:T1735" si="2607">SUM(Q1726:S1726)</f>
        <v>0</v>
      </c>
      <c r="U1726" s="14"/>
      <c r="V1726" s="11"/>
      <c r="W1726" s="11"/>
      <c r="X1726" s="5">
        <f t="shared" ref="X1726:X1735" si="2608">SUM(U1726:W1726)</f>
        <v>0</v>
      </c>
      <c r="Y1726" s="25"/>
      <c r="Z1726" s="26"/>
      <c r="AA1726" s="26"/>
      <c r="AB1726" s="5">
        <f t="shared" ref="AB1726:AB1735" si="2609">SUM(Y1726:AA1726)</f>
        <v>0</v>
      </c>
      <c r="AC1726" s="86">
        <f t="shared" ref="AC1726:AC1735" si="2610">T1726+X1726+AB1726</f>
        <v>0</v>
      </c>
    </row>
    <row r="1727" spans="1:31" x14ac:dyDescent="0.15">
      <c r="A1727" s="158" t="s">
        <v>3</v>
      </c>
      <c r="B1727" s="159"/>
      <c r="C1727" s="160"/>
      <c r="D1727" s="160">
        <v>5</v>
      </c>
      <c r="E1727" s="161">
        <f t="shared" si="2603"/>
        <v>5</v>
      </c>
      <c r="F1727" s="162"/>
      <c r="G1727" s="160"/>
      <c r="H1727" s="160">
        <v>15</v>
      </c>
      <c r="I1727" s="161">
        <f t="shared" si="2604"/>
        <v>15</v>
      </c>
      <c r="J1727" s="162"/>
      <c r="K1727" s="160"/>
      <c r="L1727" s="160"/>
      <c r="M1727" s="163">
        <f t="shared" si="2605"/>
        <v>0</v>
      </c>
      <c r="N1727" s="153">
        <f t="shared" si="2606"/>
        <v>20</v>
      </c>
      <c r="O1727" s="164">
        <v>46120</v>
      </c>
      <c r="P1727" s="6" t="s">
        <v>3</v>
      </c>
      <c r="Q1727" s="14"/>
      <c r="R1727" s="11"/>
      <c r="S1727" s="11"/>
      <c r="T1727" s="5">
        <f t="shared" ref="T1727:T1728" si="2611">SUM(Q1727:S1727)</f>
        <v>0</v>
      </c>
      <c r="U1727" s="14"/>
      <c r="V1727" s="11"/>
      <c r="W1727" s="11"/>
      <c r="X1727" s="5">
        <f t="shared" ref="X1727:X1728" si="2612">SUM(U1727:W1727)</f>
        <v>0</v>
      </c>
      <c r="Y1727" s="25"/>
      <c r="Z1727" s="26"/>
      <c r="AA1727" s="26"/>
      <c r="AB1727" s="8">
        <f t="shared" ref="AB1727:AB1728" si="2613">SUM(Y1727:AA1727)</f>
        <v>0</v>
      </c>
      <c r="AC1727" s="86">
        <f t="shared" ref="AC1727:AC1728" si="2614">T1727+X1727+AB1727</f>
        <v>0</v>
      </c>
    </row>
    <row r="1728" spans="1:31" x14ac:dyDescent="0.15">
      <c r="A1728" s="102" t="s">
        <v>281</v>
      </c>
      <c r="B1728" s="14">
        <v>1</v>
      </c>
      <c r="C1728" s="11"/>
      <c r="D1728" s="11"/>
      <c r="E1728" s="5">
        <f t="shared" si="2603"/>
        <v>1</v>
      </c>
      <c r="F1728" s="34">
        <v>1</v>
      </c>
      <c r="G1728" s="11"/>
      <c r="H1728" s="11"/>
      <c r="I1728" s="5">
        <f t="shared" si="2604"/>
        <v>1</v>
      </c>
      <c r="J1728" s="34">
        <v>1</v>
      </c>
      <c r="K1728" s="11"/>
      <c r="L1728" s="11"/>
      <c r="M1728" s="38">
        <f t="shared" si="2605"/>
        <v>1</v>
      </c>
      <c r="N1728" s="138">
        <f t="shared" si="2606"/>
        <v>3</v>
      </c>
      <c r="O1728" s="70">
        <v>46114</v>
      </c>
      <c r="P1728" s="7" t="s">
        <v>652</v>
      </c>
      <c r="Q1728" s="27">
        <v>300</v>
      </c>
      <c r="R1728" s="26">
        <v>600</v>
      </c>
      <c r="S1728" s="26">
        <v>300</v>
      </c>
      <c r="T1728" s="5">
        <f t="shared" si="2611"/>
        <v>1200</v>
      </c>
      <c r="U1728" s="27">
        <v>300</v>
      </c>
      <c r="V1728" s="26">
        <v>500</v>
      </c>
      <c r="W1728" s="26">
        <v>300</v>
      </c>
      <c r="X1728" s="5">
        <f t="shared" si="2612"/>
        <v>1100</v>
      </c>
      <c r="Y1728" s="25">
        <v>300</v>
      </c>
      <c r="Z1728" s="26">
        <v>500</v>
      </c>
      <c r="AA1728" s="26">
        <v>300</v>
      </c>
      <c r="AB1728" s="5">
        <f t="shared" si="2613"/>
        <v>1100</v>
      </c>
      <c r="AC1728" s="86">
        <f t="shared" si="2614"/>
        <v>3400</v>
      </c>
      <c r="AD1728" s="109" t="s">
        <v>1708</v>
      </c>
    </row>
    <row r="1729" spans="1:30" x14ac:dyDescent="0.15">
      <c r="A1729" s="102" t="s">
        <v>3</v>
      </c>
      <c r="B1729" s="14"/>
      <c r="C1729" s="11">
        <v>5</v>
      </c>
      <c r="D1729" s="11">
        <v>15</v>
      </c>
      <c r="E1729" s="5">
        <f t="shared" si="2603"/>
        <v>20</v>
      </c>
      <c r="F1729" s="34"/>
      <c r="G1729" s="11">
        <v>10</v>
      </c>
      <c r="H1729" s="11">
        <v>5</v>
      </c>
      <c r="I1729" s="5">
        <f t="shared" si="2604"/>
        <v>15</v>
      </c>
      <c r="J1729" s="34"/>
      <c r="K1729" s="11">
        <v>10</v>
      </c>
      <c r="L1729" s="11">
        <v>20</v>
      </c>
      <c r="M1729" s="38">
        <f t="shared" si="2605"/>
        <v>30</v>
      </c>
      <c r="N1729" s="138">
        <f t="shared" si="2606"/>
        <v>65</v>
      </c>
      <c r="O1729" s="24">
        <v>46122</v>
      </c>
      <c r="P1729" s="6" t="s">
        <v>3</v>
      </c>
      <c r="Q1729" s="14"/>
      <c r="R1729" s="11"/>
      <c r="S1729" s="11"/>
      <c r="T1729" s="5">
        <f t="shared" si="2607"/>
        <v>0</v>
      </c>
      <c r="U1729" s="14"/>
      <c r="V1729" s="11"/>
      <c r="W1729" s="11"/>
      <c r="X1729" s="5">
        <f t="shared" si="2608"/>
        <v>0</v>
      </c>
      <c r="Y1729" s="25"/>
      <c r="Z1729" s="26"/>
      <c r="AA1729" s="26"/>
      <c r="AB1729" s="8">
        <f t="shared" si="2609"/>
        <v>0</v>
      </c>
      <c r="AC1729" s="86">
        <f t="shared" si="2610"/>
        <v>0</v>
      </c>
    </row>
    <row r="1730" spans="1:30" x14ac:dyDescent="0.15">
      <c r="A1730" s="102" t="s">
        <v>3</v>
      </c>
      <c r="B1730" s="14"/>
      <c r="C1730" s="11"/>
      <c r="D1730" s="11"/>
      <c r="E1730" s="5">
        <f t="shared" si="2603"/>
        <v>0</v>
      </c>
      <c r="F1730" s="34"/>
      <c r="G1730" s="11"/>
      <c r="H1730" s="11"/>
      <c r="I1730" s="5">
        <f t="shared" si="2604"/>
        <v>0</v>
      </c>
      <c r="J1730" s="34"/>
      <c r="K1730" s="11"/>
      <c r="L1730" s="11"/>
      <c r="M1730" s="38">
        <f t="shared" si="2605"/>
        <v>0</v>
      </c>
      <c r="N1730" s="138">
        <f t="shared" si="2606"/>
        <v>0</v>
      </c>
      <c r="P1730" s="6" t="s">
        <v>3</v>
      </c>
      <c r="Q1730" s="27"/>
      <c r="R1730" s="26"/>
      <c r="S1730" s="26"/>
      <c r="T1730" s="8">
        <f t="shared" si="2607"/>
        <v>0</v>
      </c>
      <c r="U1730" s="27"/>
      <c r="V1730" s="26"/>
      <c r="W1730" s="26"/>
      <c r="X1730" s="8">
        <f t="shared" si="2608"/>
        <v>0</v>
      </c>
      <c r="Y1730" s="25"/>
      <c r="Z1730" s="26"/>
      <c r="AA1730" s="26"/>
      <c r="AB1730" s="8">
        <f t="shared" si="2609"/>
        <v>0</v>
      </c>
      <c r="AC1730" s="86">
        <f t="shared" si="2610"/>
        <v>0</v>
      </c>
    </row>
    <row r="1731" spans="1:30" x14ac:dyDescent="0.15">
      <c r="A1731" s="102" t="s">
        <v>3</v>
      </c>
      <c r="B1731" s="25"/>
      <c r="C1731" s="26"/>
      <c r="D1731" s="26"/>
      <c r="E1731" s="8">
        <f t="shared" si="2603"/>
        <v>0</v>
      </c>
      <c r="F1731" s="25"/>
      <c r="G1731" s="26"/>
      <c r="H1731" s="26"/>
      <c r="I1731" s="8">
        <f t="shared" si="2604"/>
        <v>0</v>
      </c>
      <c r="J1731" s="25"/>
      <c r="K1731" s="26"/>
      <c r="L1731" s="26"/>
      <c r="M1731" s="39">
        <f t="shared" si="2605"/>
        <v>0</v>
      </c>
      <c r="N1731" s="138">
        <f t="shared" si="2606"/>
        <v>0</v>
      </c>
      <c r="P1731" s="6" t="s">
        <v>3</v>
      </c>
      <c r="Q1731" s="14"/>
      <c r="R1731" s="11"/>
      <c r="S1731" s="11"/>
      <c r="T1731" s="5">
        <f t="shared" ref="T1731" si="2615">SUM(Q1731:S1731)</f>
        <v>0</v>
      </c>
      <c r="U1731" s="14"/>
      <c r="V1731" s="11"/>
      <c r="W1731" s="11"/>
      <c r="X1731" s="5">
        <f t="shared" ref="X1731" si="2616">SUM(U1731:W1731)</f>
        <v>0</v>
      </c>
      <c r="Y1731" s="25"/>
      <c r="Z1731" s="26"/>
      <c r="AA1731" s="26"/>
      <c r="AB1731" s="8">
        <f t="shared" ref="AB1731" si="2617">SUM(Y1731:AA1731)</f>
        <v>0</v>
      </c>
      <c r="AC1731" s="86">
        <f t="shared" ref="AC1731" si="2618">T1731+X1731+AB1731</f>
        <v>0</v>
      </c>
    </row>
    <row r="1732" spans="1:30" x14ac:dyDescent="0.15">
      <c r="A1732" s="102" t="s">
        <v>3</v>
      </c>
      <c r="B1732" s="27"/>
      <c r="C1732" s="26"/>
      <c r="D1732" s="26"/>
      <c r="E1732" s="5">
        <f t="shared" si="2603"/>
        <v>0</v>
      </c>
      <c r="F1732" s="25"/>
      <c r="G1732" s="26"/>
      <c r="H1732" s="26"/>
      <c r="I1732" s="5">
        <f t="shared" si="2604"/>
        <v>0</v>
      </c>
      <c r="J1732" s="25"/>
      <c r="K1732" s="26"/>
      <c r="L1732" s="26"/>
      <c r="M1732" s="38">
        <f t="shared" si="2605"/>
        <v>0</v>
      </c>
      <c r="N1732" s="138">
        <f t="shared" si="2606"/>
        <v>0</v>
      </c>
      <c r="P1732" s="6" t="s">
        <v>3</v>
      </c>
      <c r="Q1732" s="14"/>
      <c r="R1732" s="11"/>
      <c r="S1732" s="11"/>
      <c r="T1732" s="5">
        <f t="shared" si="2607"/>
        <v>0</v>
      </c>
      <c r="U1732" s="14"/>
      <c r="V1732" s="11"/>
      <c r="W1732" s="11"/>
      <c r="X1732" s="5">
        <f t="shared" si="2608"/>
        <v>0</v>
      </c>
      <c r="Y1732" s="25"/>
      <c r="Z1732" s="26"/>
      <c r="AA1732" s="26"/>
      <c r="AB1732" s="8">
        <f t="shared" si="2609"/>
        <v>0</v>
      </c>
      <c r="AC1732" s="86">
        <f t="shared" si="2610"/>
        <v>0</v>
      </c>
    </row>
    <row r="1733" spans="1:30" x14ac:dyDescent="0.15">
      <c r="A1733" s="102" t="s">
        <v>3</v>
      </c>
      <c r="B1733" s="27"/>
      <c r="C1733" s="26"/>
      <c r="D1733" s="26"/>
      <c r="E1733" s="5">
        <f t="shared" si="2603"/>
        <v>0</v>
      </c>
      <c r="F1733" s="25"/>
      <c r="G1733" s="26"/>
      <c r="H1733" s="26"/>
      <c r="I1733" s="5">
        <f t="shared" si="2604"/>
        <v>0</v>
      </c>
      <c r="J1733" s="25"/>
      <c r="K1733" s="26"/>
      <c r="L1733" s="26"/>
      <c r="M1733" s="38">
        <f t="shared" si="2605"/>
        <v>0</v>
      </c>
      <c r="N1733" s="138">
        <f t="shared" si="2606"/>
        <v>0</v>
      </c>
      <c r="P1733" s="6" t="s">
        <v>3</v>
      </c>
      <c r="Q1733" s="14"/>
      <c r="R1733" s="11"/>
      <c r="S1733" s="11"/>
      <c r="T1733" s="5">
        <f t="shared" si="2607"/>
        <v>0</v>
      </c>
      <c r="U1733" s="14"/>
      <c r="V1733" s="11"/>
      <c r="W1733" s="11"/>
      <c r="X1733" s="5">
        <f t="shared" si="2608"/>
        <v>0</v>
      </c>
      <c r="Y1733" s="25"/>
      <c r="Z1733" s="26"/>
      <c r="AA1733" s="26"/>
      <c r="AB1733" s="8">
        <f t="shared" si="2609"/>
        <v>0</v>
      </c>
      <c r="AC1733" s="86">
        <f t="shared" si="2610"/>
        <v>0</v>
      </c>
    </row>
    <row r="1734" spans="1:30" x14ac:dyDescent="0.15">
      <c r="A1734" s="102" t="s">
        <v>3</v>
      </c>
      <c r="B1734" s="27"/>
      <c r="C1734" s="26"/>
      <c r="D1734" s="26"/>
      <c r="E1734" s="5">
        <f t="shared" si="2603"/>
        <v>0</v>
      </c>
      <c r="F1734" s="25"/>
      <c r="G1734" s="26"/>
      <c r="H1734" s="26"/>
      <c r="I1734" s="5">
        <f t="shared" si="2604"/>
        <v>0</v>
      </c>
      <c r="J1734" s="25"/>
      <c r="K1734" s="26"/>
      <c r="L1734" s="26"/>
      <c r="M1734" s="38">
        <f t="shared" si="2605"/>
        <v>0</v>
      </c>
      <c r="N1734" s="138">
        <f t="shared" si="2606"/>
        <v>0</v>
      </c>
      <c r="P1734" s="6" t="s">
        <v>3</v>
      </c>
      <c r="Q1734" s="14"/>
      <c r="R1734" s="11"/>
      <c r="S1734" s="11"/>
      <c r="T1734" s="5">
        <f t="shared" si="2607"/>
        <v>0</v>
      </c>
      <c r="U1734" s="14"/>
      <c r="V1734" s="11"/>
      <c r="W1734" s="11"/>
      <c r="X1734" s="5">
        <f t="shared" si="2608"/>
        <v>0</v>
      </c>
      <c r="Y1734" s="25"/>
      <c r="Z1734" s="26"/>
      <c r="AA1734" s="26"/>
      <c r="AB1734" s="8">
        <f t="shared" si="2609"/>
        <v>0</v>
      </c>
      <c r="AC1734" s="86">
        <f t="shared" si="2610"/>
        <v>0</v>
      </c>
    </row>
    <row r="1735" spans="1:30" ht="14.25" thickBot="1" x14ac:dyDescent="0.2">
      <c r="A1735" s="102" t="s">
        <v>3</v>
      </c>
      <c r="B1735" s="28"/>
      <c r="C1735" s="29"/>
      <c r="D1735" s="32"/>
      <c r="E1735" s="15">
        <f t="shared" si="2603"/>
        <v>0</v>
      </c>
      <c r="F1735" s="35"/>
      <c r="G1735" s="29"/>
      <c r="H1735" s="32"/>
      <c r="I1735" s="15">
        <f t="shared" si="2604"/>
        <v>0</v>
      </c>
      <c r="J1735" s="35"/>
      <c r="K1735" s="29"/>
      <c r="L1735" s="32"/>
      <c r="M1735" s="40">
        <f t="shared" si="2605"/>
        <v>0</v>
      </c>
      <c r="N1735" s="139">
        <f t="shared" si="2606"/>
        <v>0</v>
      </c>
      <c r="P1735" s="6" t="s">
        <v>3</v>
      </c>
      <c r="Q1735" s="14"/>
      <c r="R1735" s="11"/>
      <c r="S1735" s="11"/>
      <c r="T1735" s="5">
        <f t="shared" si="2607"/>
        <v>0</v>
      </c>
      <c r="U1735" s="14"/>
      <c r="V1735" s="11"/>
      <c r="W1735" s="11"/>
      <c r="X1735" s="5">
        <f t="shared" si="2608"/>
        <v>0</v>
      </c>
      <c r="Y1735" s="25"/>
      <c r="Z1735" s="26"/>
      <c r="AA1735" s="26"/>
      <c r="AB1735" s="8">
        <f t="shared" si="2609"/>
        <v>0</v>
      </c>
      <c r="AC1735" s="86">
        <f t="shared" si="2610"/>
        <v>0</v>
      </c>
    </row>
    <row r="1736" spans="1:30" ht="14.25" thickBot="1" x14ac:dyDescent="0.2">
      <c r="A1736" s="103" t="s">
        <v>4</v>
      </c>
      <c r="B1736" s="17">
        <f>SUM(B1725:B1735)</f>
        <v>30</v>
      </c>
      <c r="C1736" s="17">
        <f>SUM(C1725:C1735)</f>
        <v>35</v>
      </c>
      <c r="D1736" s="17">
        <f>SUM(D1725:D1735)</f>
        <v>43</v>
      </c>
      <c r="E1736" s="18">
        <f t="shared" si="2603"/>
        <v>108</v>
      </c>
      <c r="F1736" s="17">
        <f>SUM(F1725:F1735)</f>
        <v>26</v>
      </c>
      <c r="G1736" s="17">
        <f>SUM(G1725:G1735)</f>
        <v>47</v>
      </c>
      <c r="H1736" s="17">
        <f>SUM(H1725:H1735)</f>
        <v>38</v>
      </c>
      <c r="I1736" s="18">
        <f t="shared" si="2604"/>
        <v>111</v>
      </c>
      <c r="J1736" s="17">
        <f>SUM(J1725:J1735)</f>
        <v>33</v>
      </c>
      <c r="K1736" s="17">
        <f>SUM(K1725:K1735)</f>
        <v>38</v>
      </c>
      <c r="L1736" s="17">
        <f>SUM(L1725:L1735)</f>
        <v>48</v>
      </c>
      <c r="M1736" s="20">
        <f t="shared" si="2605"/>
        <v>119</v>
      </c>
      <c r="N1736" s="140">
        <f t="shared" si="2606"/>
        <v>338</v>
      </c>
      <c r="P1736" s="16" t="s">
        <v>4</v>
      </c>
      <c r="Q1736" s="17">
        <f>SUM(Q1725:Q1735)</f>
        <v>537</v>
      </c>
      <c r="R1736" s="17">
        <f t="shared" ref="R1736:AC1736" si="2619">SUM(R1725:R1735)</f>
        <v>726</v>
      </c>
      <c r="S1736" s="17">
        <f t="shared" si="2619"/>
        <v>550</v>
      </c>
      <c r="T1736" s="18">
        <f t="shared" si="2619"/>
        <v>1813</v>
      </c>
      <c r="U1736" s="17">
        <f t="shared" si="2619"/>
        <v>615</v>
      </c>
      <c r="V1736" s="17">
        <f t="shared" si="2619"/>
        <v>812</v>
      </c>
      <c r="W1736" s="17">
        <f t="shared" si="2619"/>
        <v>655</v>
      </c>
      <c r="X1736" s="18">
        <f t="shared" si="2619"/>
        <v>2082</v>
      </c>
      <c r="Y1736" s="17">
        <f t="shared" si="2619"/>
        <v>551</v>
      </c>
      <c r="Z1736" s="17">
        <f t="shared" si="2619"/>
        <v>717</v>
      </c>
      <c r="AA1736" s="17">
        <f t="shared" si="2619"/>
        <v>574</v>
      </c>
      <c r="AB1736" s="18">
        <f t="shared" si="2619"/>
        <v>1842</v>
      </c>
      <c r="AC1736" s="88">
        <f t="shared" si="2619"/>
        <v>5737</v>
      </c>
    </row>
    <row r="1737" spans="1:30" x14ac:dyDescent="0.15">
      <c r="A1737" s="33" t="s">
        <v>1602</v>
      </c>
      <c r="B1737" s="9"/>
      <c r="C1737" s="10"/>
      <c r="D1737" s="31"/>
      <c r="E1737" s="5">
        <f t="shared" si="2603"/>
        <v>0</v>
      </c>
      <c r="F1737" s="9"/>
      <c r="G1737" s="10">
        <v>2</v>
      </c>
      <c r="H1737" s="31"/>
      <c r="I1737" s="5">
        <f t="shared" si="2604"/>
        <v>2</v>
      </c>
      <c r="J1737" s="9"/>
      <c r="K1737" s="10"/>
      <c r="L1737" s="31"/>
      <c r="M1737" s="38">
        <f t="shared" si="2605"/>
        <v>0</v>
      </c>
      <c r="N1737" s="141">
        <f t="shared" si="2606"/>
        <v>2</v>
      </c>
      <c r="O1737" s="24">
        <v>46113</v>
      </c>
      <c r="P1737" s="11" t="s">
        <v>1760</v>
      </c>
      <c r="Q1737" s="9">
        <v>10</v>
      </c>
      <c r="R1737" s="10"/>
      <c r="S1737" s="10">
        <v>6</v>
      </c>
      <c r="T1737" s="8">
        <f t="shared" ref="T1737" si="2620">SUM(Q1737:S1737)</f>
        <v>16</v>
      </c>
      <c r="U1737" s="9">
        <v>10</v>
      </c>
      <c r="V1737" s="10"/>
      <c r="W1737" s="10">
        <v>6</v>
      </c>
      <c r="X1737" s="8">
        <f t="shared" ref="X1737" si="2621">SUM(U1737:W1737)</f>
        <v>16</v>
      </c>
      <c r="Y1737" s="9">
        <v>10</v>
      </c>
      <c r="Z1737" s="10"/>
      <c r="AA1737" s="10">
        <v>6</v>
      </c>
      <c r="AB1737" s="8">
        <f t="shared" ref="AB1737" si="2622">SUM(Y1737:AA1737)</f>
        <v>16</v>
      </c>
      <c r="AC1737" s="93">
        <f t="shared" ref="AC1737" si="2623">T1737+X1737+AB1737</f>
        <v>48</v>
      </c>
      <c r="AD1737" s="109">
        <v>46113</v>
      </c>
    </row>
    <row r="1738" spans="1:30" x14ac:dyDescent="0.15">
      <c r="A1738" s="33" t="s">
        <v>1602</v>
      </c>
      <c r="B1738" s="9"/>
      <c r="C1738" s="10"/>
      <c r="D1738" s="10"/>
      <c r="E1738" s="5">
        <f t="shared" si="2603"/>
        <v>0</v>
      </c>
      <c r="F1738" s="9"/>
      <c r="G1738" s="10">
        <v>6</v>
      </c>
      <c r="H1738" s="10"/>
      <c r="I1738" s="5">
        <f t="shared" si="2604"/>
        <v>6</v>
      </c>
      <c r="J1738" s="9"/>
      <c r="K1738" s="10"/>
      <c r="L1738" s="10"/>
      <c r="M1738" s="38">
        <f t="shared" si="2605"/>
        <v>0</v>
      </c>
      <c r="N1738" s="138">
        <f t="shared" si="2606"/>
        <v>6</v>
      </c>
      <c r="O1738" s="24">
        <v>46113</v>
      </c>
      <c r="P1738" s="11" t="s">
        <v>1664</v>
      </c>
      <c r="Q1738" s="9"/>
      <c r="R1738" s="10">
        <v>15</v>
      </c>
      <c r="S1738" s="10">
        <v>15</v>
      </c>
      <c r="T1738" s="5">
        <f t="shared" ref="T1738:T1746" si="2624">SUM(Q1738:S1738)</f>
        <v>30</v>
      </c>
      <c r="U1738" s="9"/>
      <c r="V1738" s="10">
        <v>15</v>
      </c>
      <c r="W1738" s="10">
        <v>15</v>
      </c>
      <c r="X1738" s="5">
        <f t="shared" ref="X1738:X1746" si="2625">SUM(U1738:W1738)</f>
        <v>30</v>
      </c>
      <c r="Y1738" s="9"/>
      <c r="Z1738" s="10">
        <v>15</v>
      </c>
      <c r="AA1738" s="10">
        <v>15</v>
      </c>
      <c r="AB1738" s="5">
        <f t="shared" ref="AB1738:AB1746" si="2626">SUM(Y1738:AA1738)</f>
        <v>30</v>
      </c>
      <c r="AC1738" s="93">
        <f t="shared" ref="AC1738:AC1746" si="2627">T1738+X1738+AB1738</f>
        <v>90</v>
      </c>
      <c r="AD1738" s="109">
        <v>46112</v>
      </c>
    </row>
    <row r="1739" spans="1:30" x14ac:dyDescent="0.15">
      <c r="A1739" s="33" t="s">
        <v>36</v>
      </c>
      <c r="B1739" s="9"/>
      <c r="C1739" s="10"/>
      <c r="D1739" s="10"/>
      <c r="E1739" s="5">
        <f t="shared" si="2603"/>
        <v>0</v>
      </c>
      <c r="F1739" s="9"/>
      <c r="G1739" s="10"/>
      <c r="H1739" s="10"/>
      <c r="I1739" s="5">
        <f t="shared" si="2604"/>
        <v>0</v>
      </c>
      <c r="J1739" s="9"/>
      <c r="K1739" s="10"/>
      <c r="L1739" s="10">
        <v>1</v>
      </c>
      <c r="M1739" s="38">
        <f t="shared" si="2605"/>
        <v>1</v>
      </c>
      <c r="N1739" s="138">
        <f t="shared" si="2606"/>
        <v>1</v>
      </c>
      <c r="O1739" s="70">
        <v>46113</v>
      </c>
      <c r="P1739" s="4" t="s">
        <v>1667</v>
      </c>
      <c r="Q1739" s="9">
        <v>15</v>
      </c>
      <c r="R1739" s="10"/>
      <c r="S1739" s="10">
        <v>20</v>
      </c>
      <c r="T1739" s="5">
        <f t="shared" si="2624"/>
        <v>35</v>
      </c>
      <c r="U1739" s="9"/>
      <c r="V1739" s="10"/>
      <c r="W1739" s="10"/>
      <c r="X1739" s="5">
        <f t="shared" si="2625"/>
        <v>0</v>
      </c>
      <c r="Y1739" s="9"/>
      <c r="Z1739" s="10">
        <v>5</v>
      </c>
      <c r="AA1739" s="10"/>
      <c r="AB1739" s="5">
        <f t="shared" si="2626"/>
        <v>5</v>
      </c>
      <c r="AC1739" s="93">
        <f t="shared" si="2627"/>
        <v>40</v>
      </c>
      <c r="AD1739" s="109">
        <v>46109</v>
      </c>
    </row>
    <row r="1740" spans="1:30" x14ac:dyDescent="0.15">
      <c r="A1740" s="33" t="s">
        <v>1686</v>
      </c>
      <c r="B1740" s="9"/>
      <c r="C1740" s="10">
        <v>2</v>
      </c>
      <c r="D1740" s="10"/>
      <c r="E1740" s="5">
        <f t="shared" si="2603"/>
        <v>2</v>
      </c>
      <c r="F1740" s="9"/>
      <c r="G1740" s="10">
        <v>2</v>
      </c>
      <c r="H1740" s="10"/>
      <c r="I1740" s="5">
        <f t="shared" si="2604"/>
        <v>2</v>
      </c>
      <c r="J1740" s="9"/>
      <c r="K1740" s="10">
        <v>2</v>
      </c>
      <c r="L1740" s="10"/>
      <c r="M1740" s="38">
        <f t="shared" si="2605"/>
        <v>2</v>
      </c>
      <c r="N1740" s="138">
        <f t="shared" si="2606"/>
        <v>6</v>
      </c>
      <c r="O1740" s="24">
        <v>46115</v>
      </c>
      <c r="P1740" s="11" t="s">
        <v>1668</v>
      </c>
      <c r="Q1740" s="9"/>
      <c r="R1740" s="10">
        <v>15</v>
      </c>
      <c r="S1740" s="10"/>
      <c r="T1740" s="5">
        <f t="shared" si="2624"/>
        <v>15</v>
      </c>
      <c r="U1740" s="9"/>
      <c r="V1740" s="10">
        <v>15</v>
      </c>
      <c r="W1740" s="10"/>
      <c r="X1740" s="5">
        <f t="shared" si="2625"/>
        <v>15</v>
      </c>
      <c r="Y1740" s="9"/>
      <c r="Z1740" s="10">
        <v>15</v>
      </c>
      <c r="AA1740" s="10"/>
      <c r="AB1740" s="5">
        <f t="shared" si="2626"/>
        <v>15</v>
      </c>
      <c r="AC1740" s="93">
        <f t="shared" si="2627"/>
        <v>45</v>
      </c>
      <c r="AD1740" s="109">
        <v>46111</v>
      </c>
    </row>
    <row r="1741" spans="1:30" x14ac:dyDescent="0.15">
      <c r="A1741" s="33" t="s">
        <v>1691</v>
      </c>
      <c r="B1741" s="9"/>
      <c r="C1741" s="10">
        <v>5</v>
      </c>
      <c r="D1741" s="10">
        <v>5</v>
      </c>
      <c r="E1741" s="5">
        <f t="shared" si="2603"/>
        <v>10</v>
      </c>
      <c r="F1741" s="9"/>
      <c r="G1741" s="10">
        <v>5</v>
      </c>
      <c r="H1741" s="10">
        <v>5</v>
      </c>
      <c r="I1741" s="5">
        <f t="shared" si="2604"/>
        <v>10</v>
      </c>
      <c r="J1741" s="9"/>
      <c r="K1741" s="10">
        <v>5</v>
      </c>
      <c r="L1741" s="10">
        <v>5</v>
      </c>
      <c r="M1741" s="38">
        <f t="shared" si="2605"/>
        <v>10</v>
      </c>
      <c r="N1741" s="138">
        <f t="shared" si="2606"/>
        <v>30</v>
      </c>
      <c r="O1741" s="24">
        <v>46118</v>
      </c>
      <c r="P1741" s="4" t="s">
        <v>1670</v>
      </c>
      <c r="Q1741" s="9"/>
      <c r="R1741" s="10">
        <v>10</v>
      </c>
      <c r="S1741" s="10"/>
      <c r="T1741" s="5">
        <f t="shared" si="2624"/>
        <v>10</v>
      </c>
      <c r="U1741" s="9"/>
      <c r="V1741" s="10">
        <v>10</v>
      </c>
      <c r="W1741" s="10"/>
      <c r="X1741" s="5">
        <f t="shared" si="2625"/>
        <v>10</v>
      </c>
      <c r="Y1741" s="9"/>
      <c r="Z1741" s="10">
        <v>10</v>
      </c>
      <c r="AA1741" s="10"/>
      <c r="AB1741" s="5">
        <f t="shared" si="2626"/>
        <v>10</v>
      </c>
      <c r="AC1741" s="93">
        <f t="shared" si="2627"/>
        <v>30</v>
      </c>
      <c r="AD1741" s="109">
        <v>46113</v>
      </c>
    </row>
    <row r="1742" spans="1:30" x14ac:dyDescent="0.15">
      <c r="A1742" s="33" t="s">
        <v>36</v>
      </c>
      <c r="B1742" s="9">
        <v>1</v>
      </c>
      <c r="C1742" s="10"/>
      <c r="D1742" s="10">
        <v>1</v>
      </c>
      <c r="E1742" s="8">
        <f t="shared" si="2603"/>
        <v>2</v>
      </c>
      <c r="F1742" s="9">
        <v>1</v>
      </c>
      <c r="G1742" s="10"/>
      <c r="H1742" s="10">
        <v>1</v>
      </c>
      <c r="I1742" s="8">
        <f t="shared" si="2604"/>
        <v>2</v>
      </c>
      <c r="J1742" s="9">
        <v>1</v>
      </c>
      <c r="K1742" s="10"/>
      <c r="L1742" s="10">
        <v>1</v>
      </c>
      <c r="M1742" s="39">
        <f t="shared" si="2605"/>
        <v>2</v>
      </c>
      <c r="N1742" s="138">
        <f t="shared" si="2606"/>
        <v>6</v>
      </c>
      <c r="O1742" s="70">
        <v>46115</v>
      </c>
      <c r="P1742" s="4" t="s">
        <v>1671</v>
      </c>
      <c r="Q1742" s="9">
        <v>1</v>
      </c>
      <c r="R1742" s="10"/>
      <c r="S1742" s="10"/>
      <c r="T1742" s="8">
        <f t="shared" si="2624"/>
        <v>1</v>
      </c>
      <c r="U1742" s="9">
        <v>1</v>
      </c>
      <c r="V1742" s="10"/>
      <c r="W1742" s="10"/>
      <c r="X1742" s="8">
        <f t="shared" si="2625"/>
        <v>1</v>
      </c>
      <c r="Y1742" s="9">
        <v>1</v>
      </c>
      <c r="Z1742" s="10"/>
      <c r="AA1742" s="10"/>
      <c r="AB1742" s="8">
        <f t="shared" si="2626"/>
        <v>1</v>
      </c>
      <c r="AC1742" s="93">
        <f t="shared" si="2627"/>
        <v>3</v>
      </c>
      <c r="AD1742" s="109">
        <v>46115</v>
      </c>
    </row>
    <row r="1743" spans="1:30" x14ac:dyDescent="0.15">
      <c r="A1743" s="4" t="s">
        <v>1694</v>
      </c>
      <c r="B1743" s="9">
        <v>1</v>
      </c>
      <c r="C1743" s="10">
        <v>1</v>
      </c>
      <c r="D1743" s="10"/>
      <c r="E1743" s="8">
        <f t="shared" si="2603"/>
        <v>2</v>
      </c>
      <c r="F1743" s="9">
        <v>1</v>
      </c>
      <c r="G1743" s="10">
        <v>1</v>
      </c>
      <c r="H1743" s="10"/>
      <c r="I1743" s="8">
        <f t="shared" si="2604"/>
        <v>2</v>
      </c>
      <c r="J1743" s="9">
        <v>1</v>
      </c>
      <c r="K1743" s="10">
        <v>1</v>
      </c>
      <c r="L1743" s="10"/>
      <c r="M1743" s="39">
        <f t="shared" si="2605"/>
        <v>2</v>
      </c>
      <c r="N1743" s="138">
        <f t="shared" si="2606"/>
        <v>6</v>
      </c>
      <c r="O1743" s="24">
        <v>46120</v>
      </c>
      <c r="P1743" s="4" t="s">
        <v>1685</v>
      </c>
      <c r="Q1743" s="9">
        <v>30</v>
      </c>
      <c r="R1743" s="10">
        <v>50</v>
      </c>
      <c r="S1743" s="10">
        <v>40</v>
      </c>
      <c r="T1743" s="8">
        <f t="shared" si="2624"/>
        <v>120</v>
      </c>
      <c r="U1743" s="9">
        <v>30</v>
      </c>
      <c r="V1743" s="10">
        <v>50</v>
      </c>
      <c r="W1743" s="10">
        <v>40</v>
      </c>
      <c r="X1743" s="8">
        <f t="shared" si="2625"/>
        <v>120</v>
      </c>
      <c r="Y1743" s="9">
        <v>30</v>
      </c>
      <c r="Z1743" s="10">
        <v>50</v>
      </c>
      <c r="AA1743" s="10">
        <v>40</v>
      </c>
      <c r="AB1743" s="8">
        <f t="shared" si="2626"/>
        <v>120</v>
      </c>
      <c r="AC1743" s="93">
        <f t="shared" si="2627"/>
        <v>360</v>
      </c>
      <c r="AD1743" s="109">
        <v>46114</v>
      </c>
    </row>
    <row r="1744" spans="1:30" x14ac:dyDescent="0.15">
      <c r="A1744" s="33" t="s">
        <v>1699</v>
      </c>
      <c r="B1744" s="9"/>
      <c r="C1744" s="10"/>
      <c r="D1744" s="10">
        <v>1</v>
      </c>
      <c r="E1744" s="8">
        <f t="shared" si="2603"/>
        <v>1</v>
      </c>
      <c r="F1744" s="9"/>
      <c r="G1744" s="10"/>
      <c r="H1744" s="10">
        <v>1</v>
      </c>
      <c r="I1744" s="8">
        <f t="shared" si="2604"/>
        <v>1</v>
      </c>
      <c r="J1744" s="9"/>
      <c r="K1744" s="10"/>
      <c r="L1744" s="10">
        <v>1</v>
      </c>
      <c r="M1744" s="39">
        <f t="shared" si="2605"/>
        <v>1</v>
      </c>
      <c r="N1744" s="138">
        <f t="shared" si="2606"/>
        <v>3</v>
      </c>
      <c r="O1744" s="24">
        <v>46120</v>
      </c>
      <c r="P1744" s="4" t="s">
        <v>1672</v>
      </c>
      <c r="Q1744" s="9">
        <v>40</v>
      </c>
      <c r="R1744" s="10">
        <v>70</v>
      </c>
      <c r="S1744" s="10">
        <v>20</v>
      </c>
      <c r="T1744" s="8">
        <f t="shared" si="2624"/>
        <v>130</v>
      </c>
      <c r="U1744" s="9">
        <v>40</v>
      </c>
      <c r="V1744" s="10">
        <v>70</v>
      </c>
      <c r="W1744" s="10">
        <v>20</v>
      </c>
      <c r="X1744" s="8">
        <f t="shared" si="2625"/>
        <v>130</v>
      </c>
      <c r="Y1744" s="9">
        <v>40</v>
      </c>
      <c r="Z1744" s="10">
        <v>70</v>
      </c>
      <c r="AA1744" s="10">
        <v>20</v>
      </c>
      <c r="AB1744" s="8">
        <f t="shared" si="2626"/>
        <v>130</v>
      </c>
      <c r="AC1744" s="93">
        <f t="shared" si="2627"/>
        <v>390</v>
      </c>
      <c r="AD1744" s="109">
        <v>46114</v>
      </c>
    </row>
    <row r="1745" spans="1:30" x14ac:dyDescent="0.15">
      <c r="A1745" s="33" t="s">
        <v>36</v>
      </c>
      <c r="B1745" s="9"/>
      <c r="C1745" s="10"/>
      <c r="D1745" s="10">
        <v>1</v>
      </c>
      <c r="E1745" s="8">
        <f t="shared" si="2603"/>
        <v>1</v>
      </c>
      <c r="F1745" s="9"/>
      <c r="G1745" s="10"/>
      <c r="H1745" s="10">
        <v>1</v>
      </c>
      <c r="I1745" s="8">
        <f t="shared" si="2604"/>
        <v>1</v>
      </c>
      <c r="J1745" s="9"/>
      <c r="K1745" s="10"/>
      <c r="L1745" s="10">
        <v>1</v>
      </c>
      <c r="M1745" s="39">
        <f t="shared" si="2605"/>
        <v>1</v>
      </c>
      <c r="N1745" s="138">
        <f t="shared" si="2606"/>
        <v>3</v>
      </c>
      <c r="O1745" s="70">
        <v>46118</v>
      </c>
      <c r="P1745" s="4" t="s">
        <v>1674</v>
      </c>
      <c r="Q1745" s="9">
        <v>30</v>
      </c>
      <c r="R1745" s="10">
        <v>30</v>
      </c>
      <c r="S1745" s="10">
        <v>30</v>
      </c>
      <c r="T1745" s="8">
        <f t="shared" si="2624"/>
        <v>90</v>
      </c>
      <c r="U1745" s="9">
        <v>30</v>
      </c>
      <c r="V1745" s="10">
        <v>30</v>
      </c>
      <c r="W1745" s="10">
        <v>30</v>
      </c>
      <c r="X1745" s="8">
        <f t="shared" si="2625"/>
        <v>90</v>
      </c>
      <c r="Y1745" s="9">
        <v>30</v>
      </c>
      <c r="Z1745" s="10">
        <v>30</v>
      </c>
      <c r="AA1745" s="10">
        <v>30</v>
      </c>
      <c r="AB1745" s="8">
        <f t="shared" si="2626"/>
        <v>90</v>
      </c>
      <c r="AC1745" s="93">
        <f t="shared" si="2627"/>
        <v>270</v>
      </c>
      <c r="AD1745" s="109">
        <v>46114</v>
      </c>
    </row>
    <row r="1746" spans="1:30" x14ac:dyDescent="0.15">
      <c r="A1746" s="33" t="s">
        <v>1709</v>
      </c>
      <c r="B1746" s="9"/>
      <c r="C1746" s="10"/>
      <c r="D1746" s="10">
        <v>1</v>
      </c>
      <c r="E1746" s="8">
        <f t="shared" si="2603"/>
        <v>1</v>
      </c>
      <c r="F1746" s="9"/>
      <c r="G1746" s="10"/>
      <c r="H1746" s="10">
        <v>1</v>
      </c>
      <c r="I1746" s="8">
        <f t="shared" si="2604"/>
        <v>1</v>
      </c>
      <c r="J1746" s="9"/>
      <c r="K1746" s="10"/>
      <c r="L1746" s="10">
        <v>1</v>
      </c>
      <c r="M1746" s="39">
        <f t="shared" si="2605"/>
        <v>1</v>
      </c>
      <c r="N1746" s="138">
        <f t="shared" si="2606"/>
        <v>3</v>
      </c>
      <c r="O1746" s="24">
        <v>46121</v>
      </c>
      <c r="P1746" s="11" t="s">
        <v>1675</v>
      </c>
      <c r="Q1746" s="9">
        <v>20</v>
      </c>
      <c r="R1746" s="10"/>
      <c r="S1746" s="10">
        <v>10</v>
      </c>
      <c r="T1746" s="8">
        <f t="shared" si="2624"/>
        <v>30</v>
      </c>
      <c r="U1746" s="9">
        <v>20</v>
      </c>
      <c r="V1746" s="10"/>
      <c r="W1746" s="10">
        <v>10</v>
      </c>
      <c r="X1746" s="8">
        <f t="shared" si="2625"/>
        <v>30</v>
      </c>
      <c r="Y1746" s="9">
        <v>20</v>
      </c>
      <c r="Z1746" s="10"/>
      <c r="AA1746" s="10">
        <v>10</v>
      </c>
      <c r="AB1746" s="8">
        <f t="shared" si="2626"/>
        <v>30</v>
      </c>
      <c r="AC1746" s="93">
        <f t="shared" si="2627"/>
        <v>90</v>
      </c>
      <c r="AD1746" s="109">
        <v>46114</v>
      </c>
    </row>
    <row r="1747" spans="1:30" x14ac:dyDescent="0.15">
      <c r="A1747" s="33" t="s">
        <v>36</v>
      </c>
      <c r="B1747" s="9"/>
      <c r="C1747" s="10"/>
      <c r="D1747" s="10">
        <v>1</v>
      </c>
      <c r="E1747" s="8">
        <f t="shared" si="2603"/>
        <v>1</v>
      </c>
      <c r="F1747" s="9"/>
      <c r="G1747" s="10"/>
      <c r="H1747" s="10">
        <v>1</v>
      </c>
      <c r="I1747" s="8">
        <f t="shared" si="2604"/>
        <v>1</v>
      </c>
      <c r="J1747" s="9"/>
      <c r="K1747" s="10"/>
      <c r="L1747" s="10">
        <v>1</v>
      </c>
      <c r="M1747" s="39">
        <f t="shared" si="2605"/>
        <v>1</v>
      </c>
      <c r="N1747" s="138">
        <f t="shared" si="2606"/>
        <v>3</v>
      </c>
      <c r="O1747" s="24">
        <v>46119</v>
      </c>
      <c r="P1747" s="4" t="s">
        <v>1676</v>
      </c>
      <c r="Q1747" s="9">
        <v>25</v>
      </c>
      <c r="R1747" s="10">
        <v>35</v>
      </c>
      <c r="S1747" s="10">
        <v>20</v>
      </c>
      <c r="T1747" s="8">
        <f t="shared" ref="T1747:T1748" si="2628">SUM(Q1747:S1747)</f>
        <v>80</v>
      </c>
      <c r="U1747" s="9">
        <v>15</v>
      </c>
      <c r="V1747" s="10">
        <v>25</v>
      </c>
      <c r="W1747" s="10">
        <v>15</v>
      </c>
      <c r="X1747" s="8">
        <f t="shared" ref="X1747:X1748" si="2629">SUM(U1747:W1747)</f>
        <v>55</v>
      </c>
      <c r="Y1747" s="9">
        <v>15</v>
      </c>
      <c r="Z1747" s="10">
        <v>25</v>
      </c>
      <c r="AA1747" s="10">
        <v>15</v>
      </c>
      <c r="AB1747" s="8">
        <f t="shared" ref="AB1747:AB1748" si="2630">SUM(Y1747:AA1747)</f>
        <v>55</v>
      </c>
      <c r="AC1747" s="93">
        <f t="shared" ref="AC1747:AC1748" si="2631">T1747+X1747+AB1747</f>
        <v>190</v>
      </c>
      <c r="AD1747" s="109">
        <v>46115</v>
      </c>
    </row>
    <row r="1748" spans="1:30" x14ac:dyDescent="0.15">
      <c r="A1748" s="33" t="s">
        <v>1711</v>
      </c>
      <c r="B1748" s="9"/>
      <c r="C1748" s="10"/>
      <c r="D1748" s="10">
        <v>2</v>
      </c>
      <c r="E1748" s="8">
        <f t="shared" si="2603"/>
        <v>2</v>
      </c>
      <c r="F1748" s="9"/>
      <c r="G1748" s="10"/>
      <c r="H1748" s="10">
        <v>2</v>
      </c>
      <c r="I1748" s="8">
        <f t="shared" si="2604"/>
        <v>2</v>
      </c>
      <c r="J1748" s="9"/>
      <c r="K1748" s="10"/>
      <c r="L1748" s="10">
        <v>2</v>
      </c>
      <c r="M1748" s="39">
        <f t="shared" si="2605"/>
        <v>2</v>
      </c>
      <c r="N1748" s="138">
        <f t="shared" si="2606"/>
        <v>6</v>
      </c>
      <c r="O1748" s="24">
        <v>46122</v>
      </c>
      <c r="P1748" s="11" t="s">
        <v>1677</v>
      </c>
      <c r="Q1748" s="9"/>
      <c r="R1748" s="10">
        <v>30</v>
      </c>
      <c r="S1748" s="10"/>
      <c r="T1748" s="8">
        <f t="shared" si="2628"/>
        <v>30</v>
      </c>
      <c r="U1748" s="9"/>
      <c r="V1748" s="10">
        <v>30</v>
      </c>
      <c r="W1748" s="10"/>
      <c r="X1748" s="8">
        <f t="shared" si="2629"/>
        <v>30</v>
      </c>
      <c r="Y1748" s="9"/>
      <c r="Z1748" s="10">
        <v>30</v>
      </c>
      <c r="AA1748" s="10"/>
      <c r="AB1748" s="8">
        <f t="shared" si="2630"/>
        <v>30</v>
      </c>
      <c r="AC1748" s="93">
        <f t="shared" si="2631"/>
        <v>90</v>
      </c>
      <c r="AD1748" s="109">
        <v>46114</v>
      </c>
    </row>
    <row r="1749" spans="1:30" x14ac:dyDescent="0.15">
      <c r="A1749" s="33" t="s">
        <v>36</v>
      </c>
      <c r="B1749" s="9"/>
      <c r="C1749" s="10"/>
      <c r="D1749" s="10">
        <v>1</v>
      </c>
      <c r="E1749" s="8">
        <f t="shared" si="2603"/>
        <v>1</v>
      </c>
      <c r="F1749" s="9"/>
      <c r="G1749" s="10"/>
      <c r="H1749" s="10">
        <v>1</v>
      </c>
      <c r="I1749" s="8">
        <f t="shared" si="2604"/>
        <v>1</v>
      </c>
      <c r="J1749" s="9"/>
      <c r="K1749" s="10"/>
      <c r="L1749" s="10">
        <v>1</v>
      </c>
      <c r="M1749" s="39">
        <f t="shared" si="2605"/>
        <v>1</v>
      </c>
      <c r="N1749" s="138">
        <f t="shared" si="2606"/>
        <v>3</v>
      </c>
      <c r="O1749" s="70">
        <v>46120</v>
      </c>
      <c r="P1749" s="11" t="s">
        <v>1684</v>
      </c>
      <c r="Q1749" s="9">
        <v>5</v>
      </c>
      <c r="R1749" s="10">
        <v>5</v>
      </c>
      <c r="S1749" s="10">
        <v>2</v>
      </c>
      <c r="T1749" s="8">
        <f t="shared" ref="T1749:T1752" si="2632">SUM(Q1749:S1749)</f>
        <v>12</v>
      </c>
      <c r="U1749" s="9">
        <v>5</v>
      </c>
      <c r="V1749" s="10">
        <v>5</v>
      </c>
      <c r="W1749" s="10">
        <v>2</v>
      </c>
      <c r="X1749" s="8">
        <f t="shared" ref="X1749:X1752" si="2633">SUM(U1749:W1749)</f>
        <v>12</v>
      </c>
      <c r="Y1749" s="9">
        <v>5</v>
      </c>
      <c r="Z1749" s="10">
        <v>5</v>
      </c>
      <c r="AA1749" s="10">
        <v>2</v>
      </c>
      <c r="AB1749" s="8">
        <f t="shared" ref="AB1749:AB1752" si="2634">SUM(Y1749:AA1749)</f>
        <v>12</v>
      </c>
      <c r="AC1749" s="93">
        <f t="shared" ref="AC1749:AC1752" si="2635">T1749+X1749+AB1749</f>
        <v>36</v>
      </c>
      <c r="AD1749" s="109">
        <v>46115</v>
      </c>
    </row>
    <row r="1750" spans="1:30" x14ac:dyDescent="0.15">
      <c r="A1750" s="33" t="s">
        <v>1714</v>
      </c>
      <c r="B1750" s="9">
        <v>1</v>
      </c>
      <c r="C1750" s="10"/>
      <c r="D1750" s="10"/>
      <c r="E1750" s="8">
        <f t="shared" si="2603"/>
        <v>1</v>
      </c>
      <c r="F1750" s="9">
        <v>1</v>
      </c>
      <c r="G1750" s="10"/>
      <c r="H1750" s="10"/>
      <c r="I1750" s="8">
        <f t="shared" si="2604"/>
        <v>1</v>
      </c>
      <c r="J1750" s="9">
        <v>1</v>
      </c>
      <c r="K1750" s="10"/>
      <c r="L1750" s="10"/>
      <c r="M1750" s="39">
        <f t="shared" si="2605"/>
        <v>1</v>
      </c>
      <c r="N1750" s="138">
        <f t="shared" si="2606"/>
        <v>3</v>
      </c>
      <c r="O1750" s="70">
        <v>46122</v>
      </c>
      <c r="P1750" s="4" t="s">
        <v>1689</v>
      </c>
      <c r="Q1750" s="9">
        <v>6</v>
      </c>
      <c r="R1750" s="10">
        <v>3</v>
      </c>
      <c r="S1750" s="10"/>
      <c r="T1750" s="8">
        <f t="shared" si="2632"/>
        <v>9</v>
      </c>
      <c r="U1750" s="9">
        <v>6</v>
      </c>
      <c r="V1750" s="10">
        <v>3</v>
      </c>
      <c r="W1750" s="10"/>
      <c r="X1750" s="8">
        <f t="shared" si="2633"/>
        <v>9</v>
      </c>
      <c r="Y1750" s="9">
        <v>6</v>
      </c>
      <c r="Z1750" s="10">
        <v>3</v>
      </c>
      <c r="AA1750" s="10"/>
      <c r="AB1750" s="8">
        <f t="shared" si="2634"/>
        <v>9</v>
      </c>
      <c r="AC1750" s="93">
        <f t="shared" si="2635"/>
        <v>27</v>
      </c>
      <c r="AD1750" s="109">
        <v>46116</v>
      </c>
    </row>
    <row r="1751" spans="1:30" x14ac:dyDescent="0.15">
      <c r="A1751" s="33" t="s">
        <v>1715</v>
      </c>
      <c r="B1751" s="9">
        <v>1</v>
      </c>
      <c r="C1751" s="10"/>
      <c r="D1751" s="10">
        <v>1</v>
      </c>
      <c r="E1751" s="8">
        <f t="shared" si="2603"/>
        <v>2</v>
      </c>
      <c r="F1751" s="9">
        <v>1</v>
      </c>
      <c r="G1751" s="10"/>
      <c r="H1751" s="10">
        <v>1</v>
      </c>
      <c r="I1751" s="8">
        <f t="shared" si="2604"/>
        <v>2</v>
      </c>
      <c r="J1751" s="9">
        <v>1</v>
      </c>
      <c r="K1751" s="10"/>
      <c r="L1751" s="10">
        <v>1</v>
      </c>
      <c r="M1751" s="39">
        <f t="shared" si="2605"/>
        <v>2</v>
      </c>
      <c r="N1751" s="138">
        <f t="shared" si="2606"/>
        <v>6</v>
      </c>
      <c r="O1751" s="24">
        <v>46122</v>
      </c>
      <c r="P1751" s="11" t="s">
        <v>1692</v>
      </c>
      <c r="Q1751" s="9"/>
      <c r="R1751" s="10"/>
      <c r="S1751" s="10">
        <v>20</v>
      </c>
      <c r="T1751" s="8">
        <f t="shared" si="2632"/>
        <v>20</v>
      </c>
      <c r="U1751" s="9"/>
      <c r="V1751" s="10"/>
      <c r="W1751" s="10">
        <v>20</v>
      </c>
      <c r="X1751" s="8">
        <f t="shared" si="2633"/>
        <v>20</v>
      </c>
      <c r="Y1751" s="9"/>
      <c r="Z1751" s="10"/>
      <c r="AA1751" s="10">
        <v>20</v>
      </c>
      <c r="AB1751" s="8">
        <f t="shared" si="2634"/>
        <v>20</v>
      </c>
      <c r="AC1751" s="93">
        <f t="shared" si="2635"/>
        <v>60</v>
      </c>
      <c r="AD1751" s="109">
        <v>46116</v>
      </c>
    </row>
    <row r="1752" spans="1:30" x14ac:dyDescent="0.15">
      <c r="A1752" s="63" t="s">
        <v>36</v>
      </c>
      <c r="B1752" s="9"/>
      <c r="C1752" s="10">
        <v>1</v>
      </c>
      <c r="D1752" s="10"/>
      <c r="E1752" s="8">
        <f t="shared" si="2603"/>
        <v>1</v>
      </c>
      <c r="F1752" s="9"/>
      <c r="G1752" s="10">
        <v>1</v>
      </c>
      <c r="H1752" s="10"/>
      <c r="I1752" s="8">
        <f t="shared" si="2604"/>
        <v>1</v>
      </c>
      <c r="J1752" s="9"/>
      <c r="K1752" s="10">
        <v>1</v>
      </c>
      <c r="L1752" s="10"/>
      <c r="M1752" s="39">
        <f t="shared" si="2605"/>
        <v>1</v>
      </c>
      <c r="N1752" s="138">
        <f t="shared" si="2606"/>
        <v>3</v>
      </c>
      <c r="O1752" s="70">
        <v>46121</v>
      </c>
      <c r="P1752" s="165" t="s">
        <v>1319</v>
      </c>
      <c r="Q1752" s="166"/>
      <c r="R1752" s="167"/>
      <c r="S1752" s="167">
        <v>5</v>
      </c>
      <c r="T1752" s="168">
        <f t="shared" si="2632"/>
        <v>5</v>
      </c>
      <c r="U1752" s="166"/>
      <c r="V1752" s="167"/>
      <c r="W1752" s="167">
        <v>15</v>
      </c>
      <c r="X1752" s="168">
        <f t="shared" si="2633"/>
        <v>15</v>
      </c>
      <c r="Y1752" s="166"/>
      <c r="Z1752" s="167"/>
      <c r="AA1752" s="167"/>
      <c r="AB1752" s="168">
        <f t="shared" si="2634"/>
        <v>0</v>
      </c>
      <c r="AC1752" s="169">
        <f t="shared" si="2635"/>
        <v>20</v>
      </c>
      <c r="AD1752" s="170">
        <v>46120</v>
      </c>
    </row>
    <row r="1753" spans="1:30" x14ac:dyDescent="0.15">
      <c r="A1753" s="33"/>
      <c r="B1753" s="9"/>
      <c r="C1753" s="10"/>
      <c r="D1753" s="10"/>
      <c r="E1753" s="8">
        <f t="shared" si="2603"/>
        <v>0</v>
      </c>
      <c r="F1753" s="9"/>
      <c r="G1753" s="10"/>
      <c r="H1753" s="10"/>
      <c r="I1753" s="8">
        <f t="shared" si="2604"/>
        <v>0</v>
      </c>
      <c r="J1753" s="9"/>
      <c r="K1753" s="10"/>
      <c r="L1753" s="10"/>
      <c r="M1753" s="39">
        <f t="shared" si="2605"/>
        <v>0</v>
      </c>
      <c r="N1753" s="138">
        <f t="shared" si="2606"/>
        <v>0</v>
      </c>
      <c r="P1753" s="6" t="s">
        <v>1577</v>
      </c>
      <c r="Q1753" s="71"/>
      <c r="R1753" s="72"/>
      <c r="S1753" s="72"/>
      <c r="T1753" s="73">
        <f t="shared" ref="T1753:T1760" si="2636">SUM(Q1753:S1753)</f>
        <v>0</v>
      </c>
      <c r="U1753" s="71"/>
      <c r="V1753" s="72"/>
      <c r="W1753" s="72"/>
      <c r="X1753" s="73">
        <f t="shared" ref="X1753:X1760" si="2637">SUM(U1753:W1753)</f>
        <v>0</v>
      </c>
      <c r="Y1753" s="71"/>
      <c r="Z1753" s="72"/>
      <c r="AA1753" s="72"/>
      <c r="AB1753" s="73">
        <f t="shared" ref="AB1753:AB1760" si="2638">SUM(Y1753:AA1753)</f>
        <v>0</v>
      </c>
      <c r="AC1753" s="92">
        <f t="shared" ref="AC1753:AC1760" si="2639">T1753+X1753+AB1753</f>
        <v>0</v>
      </c>
      <c r="AD1753" s="116"/>
    </row>
    <row r="1754" spans="1:30" x14ac:dyDescent="0.15">
      <c r="A1754" s="33"/>
      <c r="B1754" s="9"/>
      <c r="C1754" s="10"/>
      <c r="D1754" s="10"/>
      <c r="E1754" s="8">
        <f t="shared" si="2603"/>
        <v>0</v>
      </c>
      <c r="F1754" s="9"/>
      <c r="G1754" s="10"/>
      <c r="H1754" s="10"/>
      <c r="I1754" s="8">
        <f t="shared" si="2604"/>
        <v>0</v>
      </c>
      <c r="J1754" s="9"/>
      <c r="K1754" s="10"/>
      <c r="L1754" s="10"/>
      <c r="M1754" s="39">
        <f t="shared" si="2605"/>
        <v>0</v>
      </c>
      <c r="N1754" s="138">
        <f t="shared" si="2606"/>
        <v>0</v>
      </c>
      <c r="P1754" s="11" t="s">
        <v>1578</v>
      </c>
      <c r="Q1754" s="9"/>
      <c r="R1754" s="10"/>
      <c r="S1754" s="10"/>
      <c r="T1754" s="8">
        <f t="shared" si="2636"/>
        <v>0</v>
      </c>
      <c r="U1754" s="9"/>
      <c r="V1754" s="10"/>
      <c r="W1754" s="10"/>
      <c r="X1754" s="8">
        <f t="shared" si="2637"/>
        <v>0</v>
      </c>
      <c r="Y1754" s="9"/>
      <c r="Z1754" s="10"/>
      <c r="AA1754" s="10"/>
      <c r="AB1754" s="8">
        <f t="shared" si="2638"/>
        <v>0</v>
      </c>
      <c r="AC1754" s="93">
        <f t="shared" si="2639"/>
        <v>0</v>
      </c>
      <c r="AD1754" s="116" t="s">
        <v>1542</v>
      </c>
    </row>
    <row r="1755" spans="1:30" x14ac:dyDescent="0.15">
      <c r="A1755" s="33"/>
      <c r="B1755" s="9"/>
      <c r="C1755" s="10"/>
      <c r="D1755" s="10"/>
      <c r="E1755" s="8">
        <f t="shared" si="2603"/>
        <v>0</v>
      </c>
      <c r="F1755" s="9"/>
      <c r="G1755" s="10"/>
      <c r="H1755" s="10"/>
      <c r="I1755" s="8">
        <f t="shared" si="2604"/>
        <v>0</v>
      </c>
      <c r="J1755" s="9"/>
      <c r="K1755" s="10"/>
      <c r="L1755" s="10"/>
      <c r="M1755" s="39">
        <f t="shared" si="2605"/>
        <v>0</v>
      </c>
      <c r="N1755" s="138">
        <f t="shared" si="2606"/>
        <v>0</v>
      </c>
      <c r="P1755" s="81" t="s">
        <v>1478</v>
      </c>
      <c r="Q1755" s="71"/>
      <c r="R1755" s="72"/>
      <c r="S1755" s="72"/>
      <c r="T1755" s="73">
        <f t="shared" si="2636"/>
        <v>0</v>
      </c>
      <c r="U1755" s="71"/>
      <c r="V1755" s="72"/>
      <c r="W1755" s="72"/>
      <c r="X1755" s="73">
        <f t="shared" si="2637"/>
        <v>0</v>
      </c>
      <c r="Y1755" s="71"/>
      <c r="Z1755" s="72"/>
      <c r="AA1755" s="72"/>
      <c r="AB1755" s="73">
        <f t="shared" si="2638"/>
        <v>0</v>
      </c>
      <c r="AC1755" s="92">
        <f t="shared" si="2639"/>
        <v>0</v>
      </c>
      <c r="AD1755" s="116"/>
    </row>
    <row r="1756" spans="1:30" x14ac:dyDescent="0.15">
      <c r="A1756" s="33"/>
      <c r="B1756" s="9"/>
      <c r="C1756" s="10"/>
      <c r="D1756" s="10"/>
      <c r="E1756" s="8">
        <f t="shared" si="2603"/>
        <v>0</v>
      </c>
      <c r="F1756" s="9"/>
      <c r="G1756" s="10"/>
      <c r="H1756" s="10"/>
      <c r="I1756" s="8">
        <f t="shared" si="2604"/>
        <v>0</v>
      </c>
      <c r="J1756" s="9"/>
      <c r="K1756" s="10"/>
      <c r="L1756" s="10"/>
      <c r="M1756" s="39">
        <f t="shared" si="2605"/>
        <v>0</v>
      </c>
      <c r="N1756" s="138">
        <f t="shared" si="2606"/>
        <v>0</v>
      </c>
      <c r="P1756" s="4" t="s">
        <v>1477</v>
      </c>
      <c r="Q1756" s="9"/>
      <c r="R1756" s="10"/>
      <c r="S1756" s="10"/>
      <c r="T1756" s="8">
        <f t="shared" si="2636"/>
        <v>0</v>
      </c>
      <c r="U1756" s="9"/>
      <c r="V1756" s="10"/>
      <c r="W1756" s="10"/>
      <c r="X1756" s="8">
        <f t="shared" si="2637"/>
        <v>0</v>
      </c>
      <c r="Y1756" s="9"/>
      <c r="Z1756" s="10"/>
      <c r="AA1756" s="10"/>
      <c r="AB1756" s="8">
        <f t="shared" si="2638"/>
        <v>0</v>
      </c>
      <c r="AC1756" s="93">
        <f t="shared" si="2639"/>
        <v>0</v>
      </c>
      <c r="AD1756" s="116" t="s">
        <v>1479</v>
      </c>
    </row>
    <row r="1757" spans="1:30" x14ac:dyDescent="0.15">
      <c r="A1757" s="33"/>
      <c r="B1757" s="9"/>
      <c r="C1757" s="10"/>
      <c r="D1757" s="10"/>
      <c r="E1757" s="8">
        <f t="shared" si="2603"/>
        <v>0</v>
      </c>
      <c r="F1757" s="9"/>
      <c r="G1757" s="10"/>
      <c r="H1757" s="10"/>
      <c r="I1757" s="8">
        <f t="shared" si="2604"/>
        <v>0</v>
      </c>
      <c r="J1757" s="9"/>
      <c r="K1757" s="10"/>
      <c r="L1757" s="10"/>
      <c r="M1757" s="39">
        <f t="shared" si="2605"/>
        <v>0</v>
      </c>
      <c r="N1757" s="138">
        <f t="shared" si="2606"/>
        <v>0</v>
      </c>
      <c r="P1757" s="6" t="s">
        <v>1459</v>
      </c>
      <c r="Q1757" s="71"/>
      <c r="R1757" s="72"/>
      <c r="S1757" s="72"/>
      <c r="T1757" s="73">
        <f t="shared" si="2636"/>
        <v>0</v>
      </c>
      <c r="U1757" s="71"/>
      <c r="V1757" s="72"/>
      <c r="W1757" s="72"/>
      <c r="X1757" s="73">
        <f t="shared" si="2637"/>
        <v>0</v>
      </c>
      <c r="Y1757" s="71"/>
      <c r="Z1757" s="72"/>
      <c r="AA1757" s="72"/>
      <c r="AB1757" s="73">
        <f t="shared" si="2638"/>
        <v>0</v>
      </c>
      <c r="AC1757" s="92">
        <f t="shared" si="2639"/>
        <v>0</v>
      </c>
      <c r="AD1757" s="116"/>
    </row>
    <row r="1758" spans="1:30" x14ac:dyDescent="0.15">
      <c r="A1758" s="33"/>
      <c r="B1758" s="9"/>
      <c r="C1758" s="10"/>
      <c r="D1758" s="10"/>
      <c r="E1758" s="8">
        <f t="shared" si="2603"/>
        <v>0</v>
      </c>
      <c r="F1758" s="9"/>
      <c r="G1758" s="10"/>
      <c r="H1758" s="10"/>
      <c r="I1758" s="8">
        <f t="shared" si="2604"/>
        <v>0</v>
      </c>
      <c r="J1758" s="9"/>
      <c r="K1758" s="10"/>
      <c r="L1758" s="10"/>
      <c r="M1758" s="39">
        <f t="shared" si="2605"/>
        <v>0</v>
      </c>
      <c r="N1758" s="138">
        <f t="shared" si="2606"/>
        <v>0</v>
      </c>
      <c r="P1758" s="11" t="s">
        <v>1462</v>
      </c>
      <c r="Q1758" s="9"/>
      <c r="R1758" s="10"/>
      <c r="S1758" s="10"/>
      <c r="T1758" s="8">
        <f t="shared" si="2636"/>
        <v>0</v>
      </c>
      <c r="U1758" s="9"/>
      <c r="V1758" s="10"/>
      <c r="W1758" s="10"/>
      <c r="X1758" s="8">
        <f t="shared" si="2637"/>
        <v>0</v>
      </c>
      <c r="Y1758" s="9"/>
      <c r="Z1758" s="10"/>
      <c r="AA1758" s="10"/>
      <c r="AB1758" s="8">
        <f t="shared" si="2638"/>
        <v>0</v>
      </c>
      <c r="AC1758" s="93">
        <f t="shared" si="2639"/>
        <v>0</v>
      </c>
      <c r="AD1758" s="116" t="s">
        <v>1458</v>
      </c>
    </row>
    <row r="1759" spans="1:30" x14ac:dyDescent="0.15">
      <c r="A1759" s="33"/>
      <c r="B1759" s="9"/>
      <c r="C1759" s="10"/>
      <c r="D1759" s="10"/>
      <c r="E1759" s="8">
        <f t="shared" si="2603"/>
        <v>0</v>
      </c>
      <c r="F1759" s="9"/>
      <c r="G1759" s="10"/>
      <c r="H1759" s="10"/>
      <c r="I1759" s="8">
        <f t="shared" si="2604"/>
        <v>0</v>
      </c>
      <c r="J1759" s="9"/>
      <c r="K1759" s="10"/>
      <c r="L1759" s="10"/>
      <c r="M1759" s="39">
        <f t="shared" si="2605"/>
        <v>0</v>
      </c>
      <c r="N1759" s="138">
        <f t="shared" si="2606"/>
        <v>0</v>
      </c>
      <c r="P1759" s="81" t="s">
        <v>1387</v>
      </c>
      <c r="Q1759" s="71"/>
      <c r="R1759" s="72"/>
      <c r="S1759" s="72"/>
      <c r="T1759" s="73">
        <f t="shared" si="2636"/>
        <v>0</v>
      </c>
      <c r="U1759" s="71"/>
      <c r="V1759" s="72"/>
      <c r="W1759" s="72"/>
      <c r="X1759" s="73">
        <f t="shared" si="2637"/>
        <v>0</v>
      </c>
      <c r="Y1759" s="71"/>
      <c r="Z1759" s="72"/>
      <c r="AA1759" s="72"/>
      <c r="AB1759" s="73">
        <f t="shared" si="2638"/>
        <v>0</v>
      </c>
      <c r="AC1759" s="92">
        <f t="shared" si="2639"/>
        <v>0</v>
      </c>
      <c r="AD1759" s="117"/>
    </row>
    <row r="1760" spans="1:30" ht="14.25" thickBot="1" x14ac:dyDescent="0.2">
      <c r="A1760" s="63"/>
      <c r="B1760" s="9"/>
      <c r="C1760" s="10"/>
      <c r="D1760" s="22"/>
      <c r="E1760" s="8">
        <f t="shared" si="2603"/>
        <v>0</v>
      </c>
      <c r="F1760" s="9"/>
      <c r="G1760" s="10"/>
      <c r="H1760" s="22"/>
      <c r="I1760" s="8">
        <f t="shared" si="2604"/>
        <v>0</v>
      </c>
      <c r="J1760" s="9"/>
      <c r="K1760" s="10"/>
      <c r="L1760" s="22"/>
      <c r="M1760" s="39">
        <f t="shared" si="2605"/>
        <v>0</v>
      </c>
      <c r="N1760" s="139">
        <f t="shared" si="2606"/>
        <v>0</v>
      </c>
      <c r="P1760" s="4" t="s">
        <v>1372</v>
      </c>
      <c r="Q1760" s="9"/>
      <c r="R1760" s="10"/>
      <c r="S1760" s="10"/>
      <c r="T1760" s="8">
        <f t="shared" si="2636"/>
        <v>0</v>
      </c>
      <c r="U1760" s="9"/>
      <c r="V1760" s="10"/>
      <c r="W1760" s="10"/>
      <c r="X1760" s="8">
        <f t="shared" si="2637"/>
        <v>0</v>
      </c>
      <c r="Y1760" s="9"/>
      <c r="Z1760" s="10"/>
      <c r="AA1760" s="10"/>
      <c r="AB1760" s="8">
        <f t="shared" si="2638"/>
        <v>0</v>
      </c>
      <c r="AC1760" s="93">
        <f t="shared" si="2639"/>
        <v>0</v>
      </c>
      <c r="AD1760" s="116" t="s">
        <v>1475</v>
      </c>
    </row>
    <row r="1761" spans="1:29" ht="14.25" thickBot="1" x14ac:dyDescent="0.2">
      <c r="A1761" s="104" t="s">
        <v>5</v>
      </c>
      <c r="B1761" s="12">
        <f>SUM(B1737:B1760)</f>
        <v>4</v>
      </c>
      <c r="C1761" s="12">
        <f>SUM(C1737:C1760)</f>
        <v>9</v>
      </c>
      <c r="D1761" s="12">
        <f>SUM(D1737:D1760)</f>
        <v>14</v>
      </c>
      <c r="E1761" s="13">
        <f t="shared" si="2603"/>
        <v>27</v>
      </c>
      <c r="F1761" s="12">
        <f>SUM(F1737:F1760)</f>
        <v>4</v>
      </c>
      <c r="G1761" s="12">
        <f>SUM(G1737:G1760)</f>
        <v>17</v>
      </c>
      <c r="H1761" s="12">
        <f>SUM(H1737:H1760)</f>
        <v>14</v>
      </c>
      <c r="I1761" s="13">
        <f t="shared" si="2604"/>
        <v>35</v>
      </c>
      <c r="J1761" s="12">
        <f>SUM(J1737:J1760)</f>
        <v>4</v>
      </c>
      <c r="K1761" s="12">
        <f>SUM(K1737:K1760)</f>
        <v>9</v>
      </c>
      <c r="L1761" s="12">
        <f>SUM(L1737:L1760)</f>
        <v>15</v>
      </c>
      <c r="M1761" s="12">
        <f t="shared" si="2605"/>
        <v>28</v>
      </c>
      <c r="N1761" s="142">
        <f t="shared" si="2606"/>
        <v>90</v>
      </c>
      <c r="P1761" s="3" t="s">
        <v>5</v>
      </c>
      <c r="Q1761" s="12">
        <f>SUM(Q1737:Q1760)</f>
        <v>182</v>
      </c>
      <c r="R1761" s="12">
        <f t="shared" ref="R1761:AC1761" si="2640">SUM(R1737:R1760)</f>
        <v>263</v>
      </c>
      <c r="S1761" s="12">
        <f t="shared" si="2640"/>
        <v>188</v>
      </c>
      <c r="T1761" s="13">
        <f t="shared" si="2640"/>
        <v>633</v>
      </c>
      <c r="U1761" s="12">
        <f t="shared" si="2640"/>
        <v>157</v>
      </c>
      <c r="V1761" s="12">
        <f t="shared" si="2640"/>
        <v>253</v>
      </c>
      <c r="W1761" s="12">
        <f t="shared" si="2640"/>
        <v>173</v>
      </c>
      <c r="X1761" s="13">
        <f t="shared" si="2640"/>
        <v>583</v>
      </c>
      <c r="Y1761" s="12">
        <f t="shared" si="2640"/>
        <v>157</v>
      </c>
      <c r="Z1761" s="12">
        <f t="shared" si="2640"/>
        <v>258</v>
      </c>
      <c r="AA1761" s="12">
        <f t="shared" si="2640"/>
        <v>158</v>
      </c>
      <c r="AB1761" s="13">
        <f t="shared" si="2640"/>
        <v>573</v>
      </c>
      <c r="AC1761" s="155">
        <f t="shared" si="2640"/>
        <v>1789</v>
      </c>
    </row>
    <row r="1762" spans="1:29" ht="14.25" thickBot="1" x14ac:dyDescent="0.2">
      <c r="A1762" s="105" t="s">
        <v>6</v>
      </c>
      <c r="B1762" s="20">
        <f>B1736-B1761</f>
        <v>26</v>
      </c>
      <c r="C1762" s="20">
        <f t="shared" ref="C1762:E1762" si="2641">C1736-C1761</f>
        <v>26</v>
      </c>
      <c r="D1762" s="20">
        <f t="shared" si="2641"/>
        <v>29</v>
      </c>
      <c r="E1762" s="18">
        <f t="shared" si="2641"/>
        <v>81</v>
      </c>
      <c r="F1762" s="20">
        <f>F1736-F1761</f>
        <v>22</v>
      </c>
      <c r="G1762" s="20">
        <f t="shared" ref="G1762:I1762" si="2642">G1736-G1761</f>
        <v>30</v>
      </c>
      <c r="H1762" s="20">
        <f t="shared" si="2642"/>
        <v>24</v>
      </c>
      <c r="I1762" s="18">
        <f t="shared" si="2642"/>
        <v>76</v>
      </c>
      <c r="J1762" s="20">
        <f>J1736-J1761</f>
        <v>29</v>
      </c>
      <c r="K1762" s="20">
        <f t="shared" ref="K1762:M1762" si="2643">K1736-K1761</f>
        <v>29</v>
      </c>
      <c r="L1762" s="20">
        <f t="shared" si="2643"/>
        <v>33</v>
      </c>
      <c r="M1762" s="20">
        <f t="shared" si="2643"/>
        <v>91</v>
      </c>
      <c r="N1762" s="140">
        <f t="shared" si="2606"/>
        <v>248</v>
      </c>
      <c r="P1762" s="19" t="s">
        <v>6</v>
      </c>
      <c r="Q1762" s="20">
        <f>Q1736-Q1761</f>
        <v>355</v>
      </c>
      <c r="R1762" s="20">
        <f t="shared" ref="R1762:AC1762" si="2644">R1736-R1761</f>
        <v>463</v>
      </c>
      <c r="S1762" s="20">
        <f t="shared" si="2644"/>
        <v>362</v>
      </c>
      <c r="T1762" s="18">
        <f t="shared" si="2644"/>
        <v>1180</v>
      </c>
      <c r="U1762" s="20">
        <f t="shared" si="2644"/>
        <v>458</v>
      </c>
      <c r="V1762" s="20">
        <f t="shared" si="2644"/>
        <v>559</v>
      </c>
      <c r="W1762" s="20">
        <f t="shared" si="2644"/>
        <v>482</v>
      </c>
      <c r="X1762" s="18">
        <f t="shared" si="2644"/>
        <v>1499</v>
      </c>
      <c r="Y1762" s="20">
        <f t="shared" si="2644"/>
        <v>394</v>
      </c>
      <c r="Z1762" s="20">
        <f t="shared" si="2644"/>
        <v>459</v>
      </c>
      <c r="AA1762" s="20">
        <f t="shared" si="2644"/>
        <v>416</v>
      </c>
      <c r="AB1762" s="18">
        <f t="shared" si="2644"/>
        <v>1269</v>
      </c>
      <c r="AC1762" s="88">
        <f t="shared" si="2644"/>
        <v>3948</v>
      </c>
    </row>
    <row r="1765" spans="1:29" ht="19.5" thickBot="1" x14ac:dyDescent="0.25">
      <c r="A1765" s="108" t="s">
        <v>264</v>
      </c>
      <c r="B1765" s="47"/>
      <c r="C1765" s="47"/>
      <c r="D1765" s="47"/>
      <c r="E1765" s="47"/>
      <c r="F1765" s="48"/>
      <c r="G1765" s="48"/>
      <c r="H1765" s="48"/>
      <c r="I1765" s="48"/>
      <c r="J1765" s="48"/>
      <c r="K1765" s="48"/>
      <c r="L1765" s="1"/>
      <c r="M1765" s="1"/>
      <c r="N1765" s="137"/>
      <c r="P1765" s="43" t="s">
        <v>263</v>
      </c>
      <c r="Q1765" s="44"/>
      <c r="R1765" s="44"/>
      <c r="S1765" s="44"/>
      <c r="T1765" s="44"/>
      <c r="U1765" s="45"/>
      <c r="V1765" s="45"/>
      <c r="W1765" s="45"/>
      <c r="X1765" s="45"/>
      <c r="Y1765" s="46"/>
      <c r="Z1765" s="53"/>
      <c r="AA1765" s="1"/>
      <c r="AB1765" s="1"/>
    </row>
    <row r="1766" spans="1:29" ht="14.25" thickBot="1" x14ac:dyDescent="0.2">
      <c r="A1766" s="100" t="s">
        <v>0</v>
      </c>
      <c r="B1766" s="337" t="s">
        <v>11</v>
      </c>
      <c r="C1766" s="337"/>
      <c r="D1766" s="337"/>
      <c r="E1766" s="338"/>
      <c r="F1766" s="339" t="s">
        <v>9</v>
      </c>
      <c r="G1766" s="340"/>
      <c r="H1766" s="340"/>
      <c r="I1766" s="341"/>
      <c r="J1766" s="342" t="s">
        <v>12</v>
      </c>
      <c r="K1766" s="343"/>
      <c r="L1766" s="343"/>
      <c r="M1766" s="343"/>
      <c r="N1766" s="347" t="s">
        <v>13</v>
      </c>
      <c r="P1766" s="2" t="s">
        <v>0</v>
      </c>
      <c r="Q1766" s="336" t="s">
        <v>11</v>
      </c>
      <c r="R1766" s="337"/>
      <c r="S1766" s="337"/>
      <c r="T1766" s="338"/>
      <c r="U1766" s="339" t="s">
        <v>9</v>
      </c>
      <c r="V1766" s="340"/>
      <c r="W1766" s="340"/>
      <c r="X1766" s="341"/>
      <c r="Y1766" s="342" t="s">
        <v>12</v>
      </c>
      <c r="Z1766" s="343"/>
      <c r="AA1766" s="343"/>
      <c r="AB1766" s="344"/>
      <c r="AC1766" s="345" t="s">
        <v>13</v>
      </c>
    </row>
    <row r="1767" spans="1:29" ht="14.25" thickBot="1" x14ac:dyDescent="0.2">
      <c r="A1767" s="100" t="s">
        <v>1</v>
      </c>
      <c r="B1767" s="3" t="s">
        <v>7</v>
      </c>
      <c r="C1767" s="2" t="s">
        <v>10</v>
      </c>
      <c r="D1767" s="2" t="s">
        <v>8</v>
      </c>
      <c r="E1767" s="2" t="s">
        <v>2</v>
      </c>
      <c r="F1767" s="3" t="s">
        <v>7</v>
      </c>
      <c r="G1767" s="2" t="s">
        <v>10</v>
      </c>
      <c r="H1767" s="2" t="s">
        <v>8</v>
      </c>
      <c r="I1767" s="2" t="s">
        <v>2</v>
      </c>
      <c r="J1767" s="3" t="s">
        <v>7</v>
      </c>
      <c r="K1767" s="2" t="s">
        <v>10</v>
      </c>
      <c r="L1767" s="2" t="s">
        <v>8</v>
      </c>
      <c r="M1767" s="3" t="s">
        <v>2</v>
      </c>
      <c r="N1767" s="348"/>
      <c r="P1767" s="2" t="s">
        <v>1</v>
      </c>
      <c r="Q1767" s="3" t="s">
        <v>7</v>
      </c>
      <c r="R1767" s="2" t="s">
        <v>10</v>
      </c>
      <c r="S1767" s="2" t="s">
        <v>8</v>
      </c>
      <c r="T1767" s="2" t="s">
        <v>2</v>
      </c>
      <c r="U1767" s="3" t="s">
        <v>7</v>
      </c>
      <c r="V1767" s="2" t="s">
        <v>10</v>
      </c>
      <c r="W1767" s="2" t="s">
        <v>8</v>
      </c>
      <c r="X1767" s="2" t="s">
        <v>2</v>
      </c>
      <c r="Y1767" s="3" t="s">
        <v>7</v>
      </c>
      <c r="Z1767" s="2" t="s">
        <v>10</v>
      </c>
      <c r="AA1767" s="2" t="s">
        <v>8</v>
      </c>
      <c r="AB1767" s="2" t="s">
        <v>2</v>
      </c>
      <c r="AC1767" s="346"/>
    </row>
    <row r="1768" spans="1:29" x14ac:dyDescent="0.15">
      <c r="A1768" s="106" t="s">
        <v>6</v>
      </c>
      <c r="B1768" s="41">
        <f>B1762</f>
        <v>26</v>
      </c>
      <c r="C1768" s="41">
        <f t="shared" ref="C1768:E1768" si="2645">C1762</f>
        <v>26</v>
      </c>
      <c r="D1768" s="41">
        <f t="shared" si="2645"/>
        <v>29</v>
      </c>
      <c r="E1768" s="42">
        <f t="shared" si="2645"/>
        <v>81</v>
      </c>
      <c r="F1768" s="41">
        <f>F1762</f>
        <v>22</v>
      </c>
      <c r="G1768" s="41">
        <f t="shared" ref="G1768:I1768" si="2646">G1762</f>
        <v>30</v>
      </c>
      <c r="H1768" s="41">
        <f t="shared" si="2646"/>
        <v>24</v>
      </c>
      <c r="I1768" s="42">
        <f t="shared" si="2646"/>
        <v>76</v>
      </c>
      <c r="J1768" s="41">
        <f>J1762</f>
        <v>29</v>
      </c>
      <c r="K1768" s="41">
        <f t="shared" ref="K1768:M1768" si="2647">K1762</f>
        <v>29</v>
      </c>
      <c r="L1768" s="41">
        <f t="shared" si="2647"/>
        <v>33</v>
      </c>
      <c r="M1768" s="42">
        <f t="shared" si="2647"/>
        <v>91</v>
      </c>
      <c r="N1768" s="143">
        <f>E1768+I1768+M1768</f>
        <v>248</v>
      </c>
      <c r="P1768" s="36" t="s">
        <v>6</v>
      </c>
      <c r="Q1768" s="41">
        <f>Q1762</f>
        <v>355</v>
      </c>
      <c r="R1768" s="41">
        <f t="shared" ref="R1768:AC1768" si="2648">R1762</f>
        <v>463</v>
      </c>
      <c r="S1768" s="41">
        <f t="shared" si="2648"/>
        <v>362</v>
      </c>
      <c r="T1768" s="42">
        <f t="shared" si="2648"/>
        <v>1180</v>
      </c>
      <c r="U1768" s="41">
        <f t="shared" si="2648"/>
        <v>458</v>
      </c>
      <c r="V1768" s="41">
        <f t="shared" si="2648"/>
        <v>559</v>
      </c>
      <c r="W1768" s="41">
        <f t="shared" si="2648"/>
        <v>482</v>
      </c>
      <c r="X1768" s="42">
        <f t="shared" si="2648"/>
        <v>1499</v>
      </c>
      <c r="Y1768" s="41">
        <f t="shared" si="2648"/>
        <v>394</v>
      </c>
      <c r="Z1768" s="41">
        <f t="shared" si="2648"/>
        <v>459</v>
      </c>
      <c r="AA1768" s="41">
        <f t="shared" si="2648"/>
        <v>416</v>
      </c>
      <c r="AB1768" s="42">
        <f t="shared" si="2648"/>
        <v>1269</v>
      </c>
      <c r="AC1768" s="90">
        <f t="shared" si="2648"/>
        <v>3948</v>
      </c>
    </row>
    <row r="1769" spans="1:29" x14ac:dyDescent="0.15">
      <c r="A1769" s="158" t="s">
        <v>3</v>
      </c>
      <c r="B1769" s="237">
        <v>10</v>
      </c>
      <c r="C1769" s="238">
        <v>5</v>
      </c>
      <c r="D1769" s="238"/>
      <c r="E1769" s="161">
        <f t="shared" ref="E1769:E1804" si="2649">SUM(B1769:D1769)</f>
        <v>15</v>
      </c>
      <c r="F1769" s="237">
        <v>10</v>
      </c>
      <c r="G1769" s="238"/>
      <c r="H1769" s="238">
        <v>5</v>
      </c>
      <c r="I1769" s="161">
        <f t="shared" ref="I1769:I1804" si="2650">SUM(F1769:H1769)</f>
        <v>15</v>
      </c>
      <c r="J1769" s="237">
        <v>5</v>
      </c>
      <c r="K1769" s="238"/>
      <c r="L1769" s="238"/>
      <c r="M1769" s="163">
        <f t="shared" ref="M1769:M1804" si="2651">SUM(J1769:L1769)</f>
        <v>5</v>
      </c>
      <c r="N1769" s="153">
        <f t="shared" ref="N1769:N1805" si="2652">E1769+I1769+M1769</f>
        <v>35</v>
      </c>
      <c r="O1769" s="164">
        <v>46130</v>
      </c>
      <c r="P1769" s="6" t="s">
        <v>3</v>
      </c>
      <c r="Q1769" s="14"/>
      <c r="R1769" s="11"/>
      <c r="S1769" s="11"/>
      <c r="T1769" s="5">
        <f t="shared" ref="T1769:T1778" si="2653">SUM(Q1769:S1769)</f>
        <v>0</v>
      </c>
      <c r="U1769" s="14"/>
      <c r="V1769" s="11"/>
      <c r="W1769" s="11"/>
      <c r="X1769" s="5">
        <f t="shared" ref="X1769:X1778" si="2654">SUM(U1769:W1769)</f>
        <v>0</v>
      </c>
      <c r="Y1769" s="25"/>
      <c r="Z1769" s="26"/>
      <c r="AA1769" s="26"/>
      <c r="AB1769" s="5">
        <f t="shared" ref="AB1769:AB1778" si="2655">SUM(Y1769:AA1769)</f>
        <v>0</v>
      </c>
      <c r="AC1769" s="86">
        <f t="shared" ref="AC1769:AC1778" si="2656">T1769+X1769+AB1769</f>
        <v>0</v>
      </c>
    </row>
    <row r="1770" spans="1:29" x14ac:dyDescent="0.15">
      <c r="A1770" s="102" t="s">
        <v>319</v>
      </c>
      <c r="B1770" s="14">
        <v>3</v>
      </c>
      <c r="C1770" s="11">
        <v>3</v>
      </c>
      <c r="D1770" s="11">
        <v>4</v>
      </c>
      <c r="E1770" s="5">
        <f t="shared" si="2649"/>
        <v>10</v>
      </c>
      <c r="F1770" s="34">
        <v>3</v>
      </c>
      <c r="G1770" s="11">
        <v>3</v>
      </c>
      <c r="H1770" s="11">
        <v>4</v>
      </c>
      <c r="I1770" s="5">
        <f t="shared" si="2650"/>
        <v>10</v>
      </c>
      <c r="J1770" s="34">
        <v>3</v>
      </c>
      <c r="K1770" s="11">
        <v>3</v>
      </c>
      <c r="L1770" s="11">
        <v>4</v>
      </c>
      <c r="M1770" s="38">
        <f t="shared" si="2651"/>
        <v>10</v>
      </c>
      <c r="N1770" s="138">
        <f t="shared" si="2652"/>
        <v>30</v>
      </c>
      <c r="O1770" s="70">
        <v>46129</v>
      </c>
      <c r="P1770" s="81" t="s">
        <v>3</v>
      </c>
      <c r="Q1770" s="62"/>
      <c r="R1770" s="4"/>
      <c r="S1770" s="4"/>
      <c r="T1770" s="5">
        <f t="shared" si="2653"/>
        <v>0</v>
      </c>
      <c r="U1770" s="62"/>
      <c r="V1770" s="4"/>
      <c r="W1770" s="4"/>
      <c r="X1770" s="5">
        <f t="shared" si="2654"/>
        <v>0</v>
      </c>
      <c r="Y1770" s="280"/>
      <c r="Z1770" s="281"/>
      <c r="AA1770" s="281"/>
      <c r="AB1770" s="5">
        <f t="shared" si="2655"/>
        <v>0</v>
      </c>
      <c r="AC1770" s="91">
        <f t="shared" si="2656"/>
        <v>0</v>
      </c>
    </row>
    <row r="1771" spans="1:29" x14ac:dyDescent="0.15">
      <c r="A1771" s="102" t="s">
        <v>57</v>
      </c>
      <c r="B1771" s="14">
        <v>1</v>
      </c>
      <c r="C1771" s="11"/>
      <c r="D1771" s="11"/>
      <c r="E1771" s="5">
        <f t="shared" si="2649"/>
        <v>1</v>
      </c>
      <c r="F1771" s="34">
        <v>1</v>
      </c>
      <c r="G1771" s="11"/>
      <c r="H1771" s="11"/>
      <c r="I1771" s="5">
        <f t="shared" si="2650"/>
        <v>1</v>
      </c>
      <c r="J1771" s="34">
        <v>1</v>
      </c>
      <c r="K1771" s="11"/>
      <c r="L1771" s="11"/>
      <c r="M1771" s="38">
        <f t="shared" si="2651"/>
        <v>1</v>
      </c>
      <c r="N1771" s="138">
        <f t="shared" si="2652"/>
        <v>3</v>
      </c>
      <c r="O1771" s="70">
        <v>46133</v>
      </c>
      <c r="P1771" s="81" t="s">
        <v>3</v>
      </c>
      <c r="Q1771" s="62"/>
      <c r="R1771" s="4"/>
      <c r="S1771" s="4"/>
      <c r="T1771" s="5">
        <f t="shared" ref="T1771" si="2657">SUM(Q1771:S1771)</f>
        <v>0</v>
      </c>
      <c r="U1771" s="62"/>
      <c r="V1771" s="4"/>
      <c r="W1771" s="4"/>
      <c r="X1771" s="5">
        <f t="shared" ref="X1771" si="2658">SUM(U1771:W1771)</f>
        <v>0</v>
      </c>
      <c r="Y1771" s="280"/>
      <c r="Z1771" s="281"/>
      <c r="AA1771" s="281"/>
      <c r="AB1771" s="5">
        <f t="shared" ref="AB1771" si="2659">SUM(Y1771:AA1771)</f>
        <v>0</v>
      </c>
      <c r="AC1771" s="91">
        <f t="shared" ref="AC1771" si="2660">T1771+X1771+AB1771</f>
        <v>0</v>
      </c>
    </row>
    <row r="1772" spans="1:29" x14ac:dyDescent="0.15">
      <c r="A1772" s="102" t="s">
        <v>1754</v>
      </c>
      <c r="B1772" s="14">
        <v>3</v>
      </c>
      <c r="C1772" s="11">
        <v>1</v>
      </c>
      <c r="D1772" s="11">
        <v>3</v>
      </c>
      <c r="E1772" s="5">
        <f t="shared" si="2649"/>
        <v>7</v>
      </c>
      <c r="F1772" s="34">
        <v>3</v>
      </c>
      <c r="G1772" s="11">
        <v>1</v>
      </c>
      <c r="H1772" s="11">
        <v>3</v>
      </c>
      <c r="I1772" s="5">
        <f t="shared" si="2650"/>
        <v>7</v>
      </c>
      <c r="J1772" s="34">
        <v>3</v>
      </c>
      <c r="K1772" s="11">
        <v>1</v>
      </c>
      <c r="L1772" s="11">
        <v>3</v>
      </c>
      <c r="M1772" s="38">
        <f t="shared" si="2651"/>
        <v>7</v>
      </c>
      <c r="N1772" s="138">
        <f t="shared" si="2652"/>
        <v>21</v>
      </c>
      <c r="O1772" s="70">
        <v>46135</v>
      </c>
      <c r="P1772" s="6" t="s">
        <v>3</v>
      </c>
      <c r="Q1772" s="14"/>
      <c r="R1772" s="11"/>
      <c r="S1772" s="11"/>
      <c r="T1772" s="5">
        <f t="shared" si="2653"/>
        <v>0</v>
      </c>
      <c r="U1772" s="14"/>
      <c r="V1772" s="11"/>
      <c r="W1772" s="11"/>
      <c r="X1772" s="5">
        <f t="shared" si="2654"/>
        <v>0</v>
      </c>
      <c r="Y1772" s="25"/>
      <c r="Z1772" s="26"/>
      <c r="AA1772" s="26"/>
      <c r="AB1772" s="8">
        <f t="shared" si="2655"/>
        <v>0</v>
      </c>
      <c r="AC1772" s="86">
        <f t="shared" si="2656"/>
        <v>0</v>
      </c>
    </row>
    <row r="1773" spans="1:29" x14ac:dyDescent="0.15">
      <c r="A1773" s="102" t="s">
        <v>3</v>
      </c>
      <c r="B1773" s="14"/>
      <c r="C1773" s="11"/>
      <c r="D1773" s="11"/>
      <c r="E1773" s="5">
        <f t="shared" si="2649"/>
        <v>0</v>
      </c>
      <c r="F1773" s="34"/>
      <c r="G1773" s="11"/>
      <c r="H1773" s="11"/>
      <c r="I1773" s="5">
        <f t="shared" si="2650"/>
        <v>0</v>
      </c>
      <c r="J1773" s="34"/>
      <c r="K1773" s="11"/>
      <c r="L1773" s="11"/>
      <c r="M1773" s="38">
        <f t="shared" si="2651"/>
        <v>0</v>
      </c>
      <c r="N1773" s="138">
        <f t="shared" si="2652"/>
        <v>0</v>
      </c>
      <c r="P1773" s="6" t="s">
        <v>3</v>
      </c>
      <c r="Q1773" s="14"/>
      <c r="R1773" s="11"/>
      <c r="S1773" s="11"/>
      <c r="T1773" s="5">
        <f t="shared" ref="T1773:T1774" si="2661">SUM(Q1773:S1773)</f>
        <v>0</v>
      </c>
      <c r="U1773" s="14"/>
      <c r="V1773" s="11"/>
      <c r="W1773" s="11"/>
      <c r="X1773" s="5">
        <f t="shared" ref="X1773:X1774" si="2662">SUM(U1773:W1773)</f>
        <v>0</v>
      </c>
      <c r="Y1773" s="25"/>
      <c r="Z1773" s="26"/>
      <c r="AA1773" s="26"/>
      <c r="AB1773" s="8">
        <f t="shared" ref="AB1773:AB1774" si="2663">SUM(Y1773:AA1773)</f>
        <v>0</v>
      </c>
      <c r="AC1773" s="86">
        <f t="shared" ref="AC1773:AC1774" si="2664">T1773+X1773+AB1773</f>
        <v>0</v>
      </c>
    </row>
    <row r="1774" spans="1:29" x14ac:dyDescent="0.15">
      <c r="A1774" s="102" t="s">
        <v>3</v>
      </c>
      <c r="B1774" s="25"/>
      <c r="C1774" s="26"/>
      <c r="D1774" s="26"/>
      <c r="E1774" s="8">
        <f t="shared" si="2649"/>
        <v>0</v>
      </c>
      <c r="F1774" s="25"/>
      <c r="G1774" s="26"/>
      <c r="H1774" s="26"/>
      <c r="I1774" s="8">
        <f t="shared" si="2650"/>
        <v>0</v>
      </c>
      <c r="J1774" s="25"/>
      <c r="K1774" s="26"/>
      <c r="L1774" s="26"/>
      <c r="M1774" s="39">
        <f t="shared" si="2651"/>
        <v>0</v>
      </c>
      <c r="N1774" s="138">
        <f t="shared" si="2652"/>
        <v>0</v>
      </c>
      <c r="P1774" s="6" t="s">
        <v>3</v>
      </c>
      <c r="Q1774" s="14"/>
      <c r="R1774" s="11"/>
      <c r="S1774" s="11"/>
      <c r="T1774" s="5">
        <f t="shared" si="2661"/>
        <v>0</v>
      </c>
      <c r="U1774" s="14"/>
      <c r="V1774" s="11"/>
      <c r="W1774" s="11"/>
      <c r="X1774" s="5">
        <f t="shared" si="2662"/>
        <v>0</v>
      </c>
      <c r="Y1774" s="25"/>
      <c r="Z1774" s="26"/>
      <c r="AA1774" s="26"/>
      <c r="AB1774" s="8">
        <f t="shared" si="2663"/>
        <v>0</v>
      </c>
      <c r="AC1774" s="86">
        <f t="shared" si="2664"/>
        <v>0</v>
      </c>
    </row>
    <row r="1775" spans="1:29" x14ac:dyDescent="0.15">
      <c r="A1775" s="102" t="s">
        <v>3</v>
      </c>
      <c r="B1775" s="27"/>
      <c r="C1775" s="26"/>
      <c r="D1775" s="26"/>
      <c r="E1775" s="5">
        <f t="shared" si="2649"/>
        <v>0</v>
      </c>
      <c r="F1775" s="25"/>
      <c r="G1775" s="26"/>
      <c r="H1775" s="26"/>
      <c r="I1775" s="5">
        <f t="shared" si="2650"/>
        <v>0</v>
      </c>
      <c r="J1775" s="25"/>
      <c r="K1775" s="26"/>
      <c r="L1775" s="26"/>
      <c r="M1775" s="38">
        <f t="shared" si="2651"/>
        <v>0</v>
      </c>
      <c r="N1775" s="138">
        <f t="shared" si="2652"/>
        <v>0</v>
      </c>
      <c r="P1775" s="6" t="s">
        <v>3</v>
      </c>
      <c r="Q1775" s="14"/>
      <c r="R1775" s="11"/>
      <c r="S1775" s="11"/>
      <c r="T1775" s="5">
        <f t="shared" si="2653"/>
        <v>0</v>
      </c>
      <c r="U1775" s="14"/>
      <c r="V1775" s="11"/>
      <c r="W1775" s="11"/>
      <c r="X1775" s="5">
        <f t="shared" si="2654"/>
        <v>0</v>
      </c>
      <c r="Y1775" s="25"/>
      <c r="Z1775" s="26"/>
      <c r="AA1775" s="26"/>
      <c r="AB1775" s="8">
        <f t="shared" si="2655"/>
        <v>0</v>
      </c>
      <c r="AC1775" s="86">
        <f t="shared" si="2656"/>
        <v>0</v>
      </c>
    </row>
    <row r="1776" spans="1:29" x14ac:dyDescent="0.15">
      <c r="A1776" s="102" t="s">
        <v>3</v>
      </c>
      <c r="B1776" s="27"/>
      <c r="C1776" s="26"/>
      <c r="D1776" s="26"/>
      <c r="E1776" s="5">
        <f t="shared" si="2649"/>
        <v>0</v>
      </c>
      <c r="F1776" s="25"/>
      <c r="G1776" s="26"/>
      <c r="H1776" s="26"/>
      <c r="I1776" s="5">
        <f t="shared" si="2650"/>
        <v>0</v>
      </c>
      <c r="J1776" s="25"/>
      <c r="K1776" s="26"/>
      <c r="L1776" s="26"/>
      <c r="M1776" s="38">
        <f t="shared" si="2651"/>
        <v>0</v>
      </c>
      <c r="N1776" s="138">
        <f t="shared" si="2652"/>
        <v>0</v>
      </c>
      <c r="P1776" s="6" t="s">
        <v>3</v>
      </c>
      <c r="Q1776" s="14"/>
      <c r="R1776" s="11"/>
      <c r="S1776" s="11"/>
      <c r="T1776" s="5">
        <f t="shared" si="2653"/>
        <v>0</v>
      </c>
      <c r="U1776" s="14"/>
      <c r="V1776" s="11"/>
      <c r="W1776" s="11"/>
      <c r="X1776" s="5">
        <f t="shared" si="2654"/>
        <v>0</v>
      </c>
      <c r="Y1776" s="25"/>
      <c r="Z1776" s="26"/>
      <c r="AA1776" s="26"/>
      <c r="AB1776" s="8">
        <f t="shared" si="2655"/>
        <v>0</v>
      </c>
      <c r="AC1776" s="86">
        <f t="shared" si="2656"/>
        <v>0</v>
      </c>
    </row>
    <row r="1777" spans="1:31" x14ac:dyDescent="0.15">
      <c r="A1777" s="102" t="s">
        <v>3</v>
      </c>
      <c r="B1777" s="27"/>
      <c r="C1777" s="26"/>
      <c r="D1777" s="26"/>
      <c r="E1777" s="5">
        <f t="shared" si="2649"/>
        <v>0</v>
      </c>
      <c r="F1777" s="25"/>
      <c r="G1777" s="26"/>
      <c r="H1777" s="26"/>
      <c r="I1777" s="5">
        <f t="shared" si="2650"/>
        <v>0</v>
      </c>
      <c r="J1777" s="25"/>
      <c r="K1777" s="26"/>
      <c r="L1777" s="26"/>
      <c r="M1777" s="38">
        <f t="shared" si="2651"/>
        <v>0</v>
      </c>
      <c r="N1777" s="138">
        <f t="shared" si="2652"/>
        <v>0</v>
      </c>
      <c r="P1777" s="6" t="s">
        <v>3</v>
      </c>
      <c r="Q1777" s="14"/>
      <c r="R1777" s="11"/>
      <c r="S1777" s="11"/>
      <c r="T1777" s="5">
        <f t="shared" si="2653"/>
        <v>0</v>
      </c>
      <c r="U1777" s="14"/>
      <c r="V1777" s="11"/>
      <c r="W1777" s="11"/>
      <c r="X1777" s="5">
        <f t="shared" si="2654"/>
        <v>0</v>
      </c>
      <c r="Y1777" s="25"/>
      <c r="Z1777" s="26"/>
      <c r="AA1777" s="26"/>
      <c r="AB1777" s="8">
        <f t="shared" si="2655"/>
        <v>0</v>
      </c>
      <c r="AC1777" s="86">
        <f t="shared" si="2656"/>
        <v>0</v>
      </c>
    </row>
    <row r="1778" spans="1:31" ht="14.25" thickBot="1" x14ac:dyDescent="0.2">
      <c r="A1778" s="102" t="s">
        <v>3</v>
      </c>
      <c r="B1778" s="28"/>
      <c r="C1778" s="29"/>
      <c r="D1778" s="32"/>
      <c r="E1778" s="15">
        <f t="shared" si="2649"/>
        <v>0</v>
      </c>
      <c r="F1778" s="35"/>
      <c r="G1778" s="29"/>
      <c r="H1778" s="32"/>
      <c r="I1778" s="15">
        <f t="shared" si="2650"/>
        <v>0</v>
      </c>
      <c r="J1778" s="35"/>
      <c r="K1778" s="29"/>
      <c r="L1778" s="32"/>
      <c r="M1778" s="40">
        <f t="shared" si="2651"/>
        <v>0</v>
      </c>
      <c r="N1778" s="139">
        <f t="shared" si="2652"/>
        <v>0</v>
      </c>
      <c r="P1778" s="6" t="s">
        <v>3</v>
      </c>
      <c r="Q1778" s="14"/>
      <c r="R1778" s="11"/>
      <c r="S1778" s="11"/>
      <c r="T1778" s="5">
        <f t="shared" si="2653"/>
        <v>0</v>
      </c>
      <c r="U1778" s="14"/>
      <c r="V1778" s="11"/>
      <c r="W1778" s="11"/>
      <c r="X1778" s="5">
        <f t="shared" si="2654"/>
        <v>0</v>
      </c>
      <c r="Y1778" s="25"/>
      <c r="Z1778" s="26"/>
      <c r="AA1778" s="26"/>
      <c r="AB1778" s="8">
        <f t="shared" si="2655"/>
        <v>0</v>
      </c>
      <c r="AC1778" s="86">
        <f t="shared" si="2656"/>
        <v>0</v>
      </c>
    </row>
    <row r="1779" spans="1:31" ht="14.25" thickBot="1" x14ac:dyDescent="0.2">
      <c r="A1779" s="103" t="s">
        <v>4</v>
      </c>
      <c r="B1779" s="17">
        <f>SUM(B1768:B1778)</f>
        <v>43</v>
      </c>
      <c r="C1779" s="17">
        <f>SUM(C1768:C1778)</f>
        <v>35</v>
      </c>
      <c r="D1779" s="17">
        <f>SUM(D1768:D1778)</f>
        <v>36</v>
      </c>
      <c r="E1779" s="18">
        <f t="shared" si="2649"/>
        <v>114</v>
      </c>
      <c r="F1779" s="17">
        <f>SUM(F1768:F1778)</f>
        <v>39</v>
      </c>
      <c r="G1779" s="17">
        <f>SUM(G1768:G1778)</f>
        <v>34</v>
      </c>
      <c r="H1779" s="17">
        <f>SUM(H1768:H1778)</f>
        <v>36</v>
      </c>
      <c r="I1779" s="18">
        <f t="shared" si="2650"/>
        <v>109</v>
      </c>
      <c r="J1779" s="17">
        <f>SUM(J1768:J1778)</f>
        <v>41</v>
      </c>
      <c r="K1779" s="17">
        <f>SUM(K1768:K1778)</f>
        <v>33</v>
      </c>
      <c r="L1779" s="17">
        <f>SUM(L1768:L1778)</f>
        <v>40</v>
      </c>
      <c r="M1779" s="20">
        <f t="shared" si="2651"/>
        <v>114</v>
      </c>
      <c r="N1779" s="140">
        <f t="shared" si="2652"/>
        <v>337</v>
      </c>
      <c r="P1779" s="16" t="s">
        <v>4</v>
      </c>
      <c r="Q1779" s="17">
        <f>SUM(Q1768:Q1778)</f>
        <v>355</v>
      </c>
      <c r="R1779" s="17">
        <f t="shared" ref="R1779:AC1779" si="2665">SUM(R1768:R1778)</f>
        <v>463</v>
      </c>
      <c r="S1779" s="17">
        <f t="shared" si="2665"/>
        <v>362</v>
      </c>
      <c r="T1779" s="18">
        <f t="shared" si="2665"/>
        <v>1180</v>
      </c>
      <c r="U1779" s="17">
        <f t="shared" si="2665"/>
        <v>458</v>
      </c>
      <c r="V1779" s="17">
        <f t="shared" si="2665"/>
        <v>559</v>
      </c>
      <c r="W1779" s="17">
        <f t="shared" si="2665"/>
        <v>482</v>
      </c>
      <c r="X1779" s="18">
        <f t="shared" si="2665"/>
        <v>1499</v>
      </c>
      <c r="Y1779" s="17">
        <f t="shared" si="2665"/>
        <v>394</v>
      </c>
      <c r="Z1779" s="17">
        <f t="shared" si="2665"/>
        <v>459</v>
      </c>
      <c r="AA1779" s="17">
        <f t="shared" si="2665"/>
        <v>416</v>
      </c>
      <c r="AB1779" s="18">
        <f t="shared" si="2665"/>
        <v>1269</v>
      </c>
      <c r="AC1779" s="88">
        <f t="shared" si="2665"/>
        <v>3948</v>
      </c>
    </row>
    <row r="1780" spans="1:31" x14ac:dyDescent="0.15">
      <c r="A1780" s="33" t="s">
        <v>1717</v>
      </c>
      <c r="B1780" s="9"/>
      <c r="C1780" s="10"/>
      <c r="D1780" s="31">
        <v>4</v>
      </c>
      <c r="E1780" s="5">
        <f t="shared" si="2649"/>
        <v>4</v>
      </c>
      <c r="F1780" s="9"/>
      <c r="G1780" s="10"/>
      <c r="H1780" s="31">
        <v>4</v>
      </c>
      <c r="I1780" s="5">
        <f t="shared" si="2650"/>
        <v>4</v>
      </c>
      <c r="J1780" s="9"/>
      <c r="K1780" s="10"/>
      <c r="L1780" s="31">
        <v>4</v>
      </c>
      <c r="M1780" s="38">
        <f t="shared" si="2651"/>
        <v>4</v>
      </c>
      <c r="N1780" s="141">
        <f t="shared" si="2652"/>
        <v>12</v>
      </c>
      <c r="O1780" s="24">
        <v>46125</v>
      </c>
      <c r="P1780" s="4" t="s">
        <v>1696</v>
      </c>
      <c r="Q1780" s="9">
        <v>5</v>
      </c>
      <c r="R1780" s="10">
        <v>5</v>
      </c>
      <c r="S1780" s="31"/>
      <c r="T1780" s="5">
        <f t="shared" ref="T1780:T1790" si="2666">SUM(Q1780:S1780)</f>
        <v>10</v>
      </c>
      <c r="U1780" s="9">
        <v>5</v>
      </c>
      <c r="V1780" s="10">
        <v>5</v>
      </c>
      <c r="W1780" s="31"/>
      <c r="X1780" s="5">
        <f t="shared" ref="X1780:X1790" si="2667">SUM(U1780:W1780)</f>
        <v>10</v>
      </c>
      <c r="Y1780" s="9">
        <v>5</v>
      </c>
      <c r="Z1780" s="10">
        <v>5</v>
      </c>
      <c r="AA1780" s="31"/>
      <c r="AB1780" s="5">
        <f t="shared" ref="AB1780:AB1790" si="2668">SUM(Y1780:AA1780)</f>
        <v>10</v>
      </c>
      <c r="AC1780" s="148">
        <f t="shared" ref="AC1780:AC1790" si="2669">T1780+X1780+AB1780</f>
        <v>30</v>
      </c>
      <c r="AD1780" s="109">
        <v>46116</v>
      </c>
    </row>
    <row r="1781" spans="1:31" x14ac:dyDescent="0.15">
      <c r="A1781" s="33" t="s">
        <v>1719</v>
      </c>
      <c r="B1781" s="9">
        <v>3</v>
      </c>
      <c r="C1781" s="10">
        <v>1</v>
      </c>
      <c r="D1781" s="10"/>
      <c r="E1781" s="5">
        <f t="shared" si="2649"/>
        <v>4</v>
      </c>
      <c r="F1781" s="9">
        <v>3</v>
      </c>
      <c r="G1781" s="10">
        <v>1</v>
      </c>
      <c r="H1781" s="10"/>
      <c r="I1781" s="5">
        <f t="shared" si="2650"/>
        <v>4</v>
      </c>
      <c r="J1781" s="9">
        <v>3</v>
      </c>
      <c r="K1781" s="10">
        <v>1</v>
      </c>
      <c r="L1781" s="10"/>
      <c r="M1781" s="38">
        <f t="shared" si="2651"/>
        <v>4</v>
      </c>
      <c r="N1781" s="138">
        <f t="shared" si="2652"/>
        <v>12</v>
      </c>
      <c r="O1781" s="24">
        <v>46127</v>
      </c>
      <c r="P1781" s="4" t="s">
        <v>1700</v>
      </c>
      <c r="Q1781" s="9">
        <v>1</v>
      </c>
      <c r="R1781" s="10"/>
      <c r="S1781" s="10"/>
      <c r="T1781" s="5">
        <f t="shared" si="2666"/>
        <v>1</v>
      </c>
      <c r="U1781" s="9">
        <v>1</v>
      </c>
      <c r="V1781" s="10"/>
      <c r="W1781" s="10"/>
      <c r="X1781" s="5">
        <f t="shared" si="2667"/>
        <v>1</v>
      </c>
      <c r="Y1781" s="9">
        <v>1</v>
      </c>
      <c r="Z1781" s="10"/>
      <c r="AA1781" s="10"/>
      <c r="AB1781" s="5">
        <f t="shared" si="2668"/>
        <v>1</v>
      </c>
      <c r="AC1781" s="93">
        <f t="shared" si="2669"/>
        <v>3</v>
      </c>
      <c r="AD1781" s="109">
        <v>46118</v>
      </c>
    </row>
    <row r="1782" spans="1:31" x14ac:dyDescent="0.15">
      <c r="A1782" s="33" t="s">
        <v>36</v>
      </c>
      <c r="B1782" s="9">
        <v>4</v>
      </c>
      <c r="C1782" s="10">
        <v>1</v>
      </c>
      <c r="D1782" s="10">
        <v>1</v>
      </c>
      <c r="E1782" s="5">
        <f t="shared" si="2649"/>
        <v>6</v>
      </c>
      <c r="F1782" s="9">
        <v>4</v>
      </c>
      <c r="G1782" s="10">
        <v>1</v>
      </c>
      <c r="H1782" s="10">
        <v>1</v>
      </c>
      <c r="I1782" s="5">
        <f t="shared" si="2650"/>
        <v>6</v>
      </c>
      <c r="J1782" s="9">
        <v>4</v>
      </c>
      <c r="K1782" s="10">
        <v>1</v>
      </c>
      <c r="L1782" s="10">
        <v>1</v>
      </c>
      <c r="M1782" s="38">
        <f t="shared" si="2651"/>
        <v>6</v>
      </c>
      <c r="N1782" s="138">
        <f t="shared" si="2652"/>
        <v>18</v>
      </c>
      <c r="O1782" s="24">
        <v>46125</v>
      </c>
      <c r="P1782" s="4" t="s">
        <v>1701</v>
      </c>
      <c r="Q1782" s="9">
        <v>20</v>
      </c>
      <c r="R1782" s="10">
        <v>10</v>
      </c>
      <c r="S1782" s="10">
        <v>15</v>
      </c>
      <c r="T1782" s="5">
        <f t="shared" si="2666"/>
        <v>45</v>
      </c>
      <c r="U1782" s="9">
        <v>30</v>
      </c>
      <c r="V1782" s="10">
        <v>30</v>
      </c>
      <c r="W1782" s="10">
        <v>20</v>
      </c>
      <c r="X1782" s="5">
        <f t="shared" si="2667"/>
        <v>80</v>
      </c>
      <c r="Y1782" s="9">
        <v>20</v>
      </c>
      <c r="Z1782" s="10">
        <v>15</v>
      </c>
      <c r="AA1782" s="10">
        <v>15</v>
      </c>
      <c r="AB1782" s="5">
        <f t="shared" si="2668"/>
        <v>50</v>
      </c>
      <c r="AC1782" s="93">
        <f t="shared" si="2669"/>
        <v>175</v>
      </c>
      <c r="AD1782" s="109">
        <v>46121</v>
      </c>
    </row>
    <row r="1783" spans="1:31" x14ac:dyDescent="0.15">
      <c r="A1783" s="33" t="s">
        <v>1721</v>
      </c>
      <c r="B1783" s="9">
        <v>2</v>
      </c>
      <c r="C1783" s="10">
        <v>2</v>
      </c>
      <c r="D1783" s="10"/>
      <c r="E1783" s="5">
        <f t="shared" si="2649"/>
        <v>4</v>
      </c>
      <c r="F1783" s="9">
        <v>2</v>
      </c>
      <c r="G1783" s="10">
        <v>2</v>
      </c>
      <c r="H1783" s="10"/>
      <c r="I1783" s="5">
        <f t="shared" si="2650"/>
        <v>4</v>
      </c>
      <c r="J1783" s="9">
        <v>2</v>
      </c>
      <c r="K1783" s="10">
        <v>2</v>
      </c>
      <c r="L1783" s="10"/>
      <c r="M1783" s="38">
        <f t="shared" si="2651"/>
        <v>4</v>
      </c>
      <c r="N1783" s="138">
        <f t="shared" si="2652"/>
        <v>12</v>
      </c>
      <c r="O1783" s="24">
        <v>46128</v>
      </c>
      <c r="P1783" s="4" t="s">
        <v>1707</v>
      </c>
      <c r="Q1783" s="9">
        <v>10</v>
      </c>
      <c r="R1783" s="10">
        <v>10</v>
      </c>
      <c r="S1783" s="10">
        <v>5</v>
      </c>
      <c r="T1783" s="5">
        <f t="shared" si="2666"/>
        <v>25</v>
      </c>
      <c r="U1783" s="9">
        <v>10</v>
      </c>
      <c r="V1783" s="10">
        <v>10</v>
      </c>
      <c r="W1783" s="10">
        <v>5</v>
      </c>
      <c r="X1783" s="5">
        <f t="shared" si="2667"/>
        <v>25</v>
      </c>
      <c r="Y1783" s="9">
        <v>10</v>
      </c>
      <c r="Z1783" s="10">
        <v>10</v>
      </c>
      <c r="AA1783" s="10">
        <v>5</v>
      </c>
      <c r="AB1783" s="5">
        <f t="shared" si="2668"/>
        <v>25</v>
      </c>
      <c r="AC1783" s="93">
        <f t="shared" si="2669"/>
        <v>75</v>
      </c>
      <c r="AD1783" s="109">
        <v>46122</v>
      </c>
    </row>
    <row r="1784" spans="1:31" x14ac:dyDescent="0.15">
      <c r="A1784" s="33" t="s">
        <v>36</v>
      </c>
      <c r="B1784" s="9"/>
      <c r="C1784" s="10"/>
      <c r="D1784" s="10">
        <v>1</v>
      </c>
      <c r="E1784" s="5">
        <f t="shared" si="2649"/>
        <v>1</v>
      </c>
      <c r="F1784" s="9"/>
      <c r="G1784" s="10"/>
      <c r="H1784" s="10">
        <v>1</v>
      </c>
      <c r="I1784" s="5">
        <f t="shared" si="2650"/>
        <v>1</v>
      </c>
      <c r="J1784" s="9"/>
      <c r="K1784" s="10"/>
      <c r="L1784" s="10">
        <v>1</v>
      </c>
      <c r="M1784" s="38">
        <f t="shared" si="2651"/>
        <v>1</v>
      </c>
      <c r="N1784" s="138">
        <f t="shared" si="2652"/>
        <v>3</v>
      </c>
      <c r="O1784" s="24">
        <v>46126</v>
      </c>
      <c r="P1784" s="4" t="s">
        <v>1710</v>
      </c>
      <c r="Q1784" s="9"/>
      <c r="R1784" s="10"/>
      <c r="S1784" s="10"/>
      <c r="T1784" s="5">
        <f t="shared" si="2666"/>
        <v>0</v>
      </c>
      <c r="U1784" s="9"/>
      <c r="V1784" s="10"/>
      <c r="W1784" s="10"/>
      <c r="X1784" s="5">
        <f t="shared" si="2667"/>
        <v>0</v>
      </c>
      <c r="Y1784" s="9"/>
      <c r="Z1784" s="10"/>
      <c r="AA1784" s="10">
        <v>25</v>
      </c>
      <c r="AB1784" s="5">
        <f t="shared" si="2668"/>
        <v>25</v>
      </c>
      <c r="AC1784" s="93">
        <f t="shared" si="2669"/>
        <v>25</v>
      </c>
      <c r="AD1784" s="109">
        <v>46120</v>
      </c>
    </row>
    <row r="1785" spans="1:31" x14ac:dyDescent="0.15">
      <c r="A1785" s="33" t="s">
        <v>1722</v>
      </c>
      <c r="B1785" s="9"/>
      <c r="C1785" s="10">
        <v>2</v>
      </c>
      <c r="D1785" s="10"/>
      <c r="E1785" s="8">
        <f t="shared" si="2649"/>
        <v>2</v>
      </c>
      <c r="F1785" s="9"/>
      <c r="G1785" s="10">
        <v>2</v>
      </c>
      <c r="H1785" s="10"/>
      <c r="I1785" s="8">
        <f t="shared" si="2650"/>
        <v>2</v>
      </c>
      <c r="J1785" s="9"/>
      <c r="K1785" s="10">
        <v>2</v>
      </c>
      <c r="L1785" s="10"/>
      <c r="M1785" s="39">
        <f t="shared" si="2651"/>
        <v>2</v>
      </c>
      <c r="N1785" s="138">
        <f t="shared" si="2652"/>
        <v>6</v>
      </c>
      <c r="O1785" s="24">
        <v>46129</v>
      </c>
      <c r="P1785" s="4" t="s">
        <v>1712</v>
      </c>
      <c r="Q1785" s="9">
        <v>15</v>
      </c>
      <c r="R1785" s="10">
        <v>20</v>
      </c>
      <c r="S1785" s="10">
        <v>10</v>
      </c>
      <c r="T1785" s="8">
        <f t="shared" si="2666"/>
        <v>45</v>
      </c>
      <c r="U1785" s="9">
        <v>5</v>
      </c>
      <c r="V1785" s="10">
        <v>10</v>
      </c>
      <c r="W1785" s="10">
        <v>20</v>
      </c>
      <c r="X1785" s="8">
        <f t="shared" si="2667"/>
        <v>35</v>
      </c>
      <c r="Y1785" s="9">
        <v>20</v>
      </c>
      <c r="Z1785" s="10">
        <v>12</v>
      </c>
      <c r="AA1785" s="10"/>
      <c r="AB1785" s="8">
        <f t="shared" si="2668"/>
        <v>32</v>
      </c>
      <c r="AC1785" s="93">
        <f t="shared" si="2669"/>
        <v>112</v>
      </c>
      <c r="AD1785" s="109">
        <v>46122</v>
      </c>
    </row>
    <row r="1786" spans="1:31" x14ac:dyDescent="0.15">
      <c r="A1786" s="33" t="s">
        <v>1724</v>
      </c>
      <c r="B1786" s="9">
        <v>1</v>
      </c>
      <c r="C1786" s="10">
        <v>1</v>
      </c>
      <c r="D1786" s="10"/>
      <c r="E1786" s="8">
        <f t="shared" si="2649"/>
        <v>2</v>
      </c>
      <c r="F1786" s="9">
        <v>1</v>
      </c>
      <c r="G1786" s="10">
        <v>1</v>
      </c>
      <c r="H1786" s="10"/>
      <c r="I1786" s="8">
        <f t="shared" si="2650"/>
        <v>2</v>
      </c>
      <c r="J1786" s="9">
        <v>1</v>
      </c>
      <c r="K1786" s="10">
        <v>1</v>
      </c>
      <c r="L1786" s="10"/>
      <c r="M1786" s="39">
        <f t="shared" si="2651"/>
        <v>2</v>
      </c>
      <c r="N1786" s="138">
        <f t="shared" si="2652"/>
        <v>6</v>
      </c>
      <c r="O1786" s="24">
        <v>46129</v>
      </c>
      <c r="P1786" s="4" t="s">
        <v>1713</v>
      </c>
      <c r="Q1786" s="9">
        <v>10</v>
      </c>
      <c r="R1786" s="10"/>
      <c r="S1786" s="10">
        <v>10</v>
      </c>
      <c r="T1786" s="8">
        <f t="shared" si="2666"/>
        <v>20</v>
      </c>
      <c r="U1786" s="9">
        <v>10</v>
      </c>
      <c r="V1786" s="10"/>
      <c r="W1786" s="10">
        <v>10</v>
      </c>
      <c r="X1786" s="8">
        <f t="shared" si="2667"/>
        <v>20</v>
      </c>
      <c r="Y1786" s="9">
        <v>10</v>
      </c>
      <c r="Z1786" s="10"/>
      <c r="AA1786" s="10">
        <v>10</v>
      </c>
      <c r="AB1786" s="8">
        <f t="shared" si="2668"/>
        <v>20</v>
      </c>
      <c r="AC1786" s="93">
        <f t="shared" si="2669"/>
        <v>60</v>
      </c>
      <c r="AD1786" s="109">
        <v>46126</v>
      </c>
    </row>
    <row r="1787" spans="1:31" x14ac:dyDescent="0.15">
      <c r="A1787" s="33" t="s">
        <v>36</v>
      </c>
      <c r="B1787" s="9">
        <v>1</v>
      </c>
      <c r="C1787" s="10"/>
      <c r="D1787" s="10">
        <v>1</v>
      </c>
      <c r="E1787" s="8">
        <f t="shared" si="2649"/>
        <v>2</v>
      </c>
      <c r="F1787" s="9"/>
      <c r="G1787" s="10"/>
      <c r="H1787" s="10">
        <v>1</v>
      </c>
      <c r="I1787" s="8">
        <f t="shared" si="2650"/>
        <v>1</v>
      </c>
      <c r="J1787" s="9"/>
      <c r="K1787" s="10"/>
      <c r="L1787" s="10">
        <v>1</v>
      </c>
      <c r="M1787" s="39">
        <f t="shared" si="2651"/>
        <v>1</v>
      </c>
      <c r="N1787" s="138">
        <f t="shared" si="2652"/>
        <v>4</v>
      </c>
      <c r="O1787" s="70">
        <v>46128</v>
      </c>
      <c r="P1787" s="4" t="s">
        <v>1716</v>
      </c>
      <c r="Q1787" s="9">
        <v>10</v>
      </c>
      <c r="R1787" s="10"/>
      <c r="S1787" s="10">
        <v>30</v>
      </c>
      <c r="T1787" s="8">
        <f t="shared" si="2666"/>
        <v>40</v>
      </c>
      <c r="U1787" s="9"/>
      <c r="V1787" s="10"/>
      <c r="W1787" s="10">
        <v>20</v>
      </c>
      <c r="X1787" s="8">
        <f t="shared" si="2667"/>
        <v>20</v>
      </c>
      <c r="Y1787" s="9">
        <v>10</v>
      </c>
      <c r="Z1787" s="10">
        <v>30</v>
      </c>
      <c r="AA1787" s="10">
        <v>30</v>
      </c>
      <c r="AB1787" s="8">
        <f t="shared" si="2668"/>
        <v>70</v>
      </c>
      <c r="AC1787" s="93">
        <f t="shared" si="2669"/>
        <v>130</v>
      </c>
      <c r="AD1787" s="109">
        <v>46123</v>
      </c>
      <c r="AE1787" s="58"/>
    </row>
    <row r="1788" spans="1:31" x14ac:dyDescent="0.15">
      <c r="A1788" s="33" t="s">
        <v>1727</v>
      </c>
      <c r="B1788" s="9">
        <v>2</v>
      </c>
      <c r="C1788" s="10"/>
      <c r="D1788" s="10"/>
      <c r="E1788" s="8">
        <f t="shared" si="2649"/>
        <v>2</v>
      </c>
      <c r="F1788" s="9">
        <v>2</v>
      </c>
      <c r="G1788" s="10"/>
      <c r="H1788" s="10"/>
      <c r="I1788" s="8">
        <f t="shared" si="2650"/>
        <v>2</v>
      </c>
      <c r="J1788" s="9">
        <v>2</v>
      </c>
      <c r="K1788" s="10"/>
      <c r="L1788" s="10"/>
      <c r="M1788" s="39">
        <f t="shared" si="2651"/>
        <v>2</v>
      </c>
      <c r="N1788" s="138">
        <f t="shared" si="2652"/>
        <v>6</v>
      </c>
      <c r="O1788" s="24">
        <v>46132</v>
      </c>
      <c r="P1788" s="4" t="s">
        <v>1319</v>
      </c>
      <c r="Q1788" s="9"/>
      <c r="R1788" s="10">
        <v>5</v>
      </c>
      <c r="S1788" s="10">
        <v>15</v>
      </c>
      <c r="T1788" s="8">
        <f t="shared" si="2666"/>
        <v>20</v>
      </c>
      <c r="U1788" s="9"/>
      <c r="V1788" s="10">
        <v>10</v>
      </c>
      <c r="W1788" s="10">
        <v>5</v>
      </c>
      <c r="X1788" s="8">
        <f t="shared" si="2667"/>
        <v>15</v>
      </c>
      <c r="Y1788" s="9"/>
      <c r="Z1788" s="10">
        <v>10</v>
      </c>
      <c r="AA1788" s="10">
        <v>20</v>
      </c>
      <c r="AB1788" s="8">
        <f t="shared" si="2668"/>
        <v>30</v>
      </c>
      <c r="AC1788" s="93">
        <f t="shared" si="2669"/>
        <v>65</v>
      </c>
      <c r="AD1788" s="109">
        <v>46122</v>
      </c>
    </row>
    <row r="1789" spans="1:31" x14ac:dyDescent="0.15">
      <c r="A1789" s="33" t="s">
        <v>36</v>
      </c>
      <c r="B1789" s="9"/>
      <c r="C1789" s="10">
        <v>1</v>
      </c>
      <c r="D1789" s="10"/>
      <c r="E1789" s="8">
        <f t="shared" si="2649"/>
        <v>1</v>
      </c>
      <c r="F1789" s="9"/>
      <c r="G1789" s="10">
        <v>1</v>
      </c>
      <c r="H1789" s="10"/>
      <c r="I1789" s="8">
        <f t="shared" si="2650"/>
        <v>1</v>
      </c>
      <c r="J1789" s="9"/>
      <c r="K1789" s="10">
        <v>1</v>
      </c>
      <c r="L1789" s="10"/>
      <c r="M1789" s="39">
        <f t="shared" si="2651"/>
        <v>1</v>
      </c>
      <c r="N1789" s="138">
        <f t="shared" si="2652"/>
        <v>3</v>
      </c>
      <c r="O1789" s="24">
        <v>46129</v>
      </c>
      <c r="P1789" s="4" t="s">
        <v>1718</v>
      </c>
      <c r="Q1789" s="9"/>
      <c r="R1789" s="10">
        <v>10</v>
      </c>
      <c r="S1789" s="10"/>
      <c r="T1789" s="8">
        <f t="shared" si="2666"/>
        <v>10</v>
      </c>
      <c r="U1789" s="9">
        <v>10</v>
      </c>
      <c r="V1789" s="10">
        <v>10</v>
      </c>
      <c r="W1789" s="10"/>
      <c r="X1789" s="8">
        <f t="shared" si="2667"/>
        <v>20</v>
      </c>
      <c r="Y1789" s="9"/>
      <c r="Z1789" s="10">
        <v>20</v>
      </c>
      <c r="AA1789" s="10"/>
      <c r="AB1789" s="8">
        <f t="shared" si="2668"/>
        <v>20</v>
      </c>
      <c r="AC1789" s="93">
        <f t="shared" si="2669"/>
        <v>50</v>
      </c>
      <c r="AD1789" s="109">
        <v>46123</v>
      </c>
    </row>
    <row r="1790" spans="1:31" x14ac:dyDescent="0.15">
      <c r="A1790" s="33" t="s">
        <v>1729</v>
      </c>
      <c r="B1790" s="9">
        <v>1</v>
      </c>
      <c r="C1790" s="10">
        <v>1</v>
      </c>
      <c r="D1790" s="10"/>
      <c r="E1790" s="8">
        <f t="shared" si="2649"/>
        <v>2</v>
      </c>
      <c r="F1790" s="9">
        <v>1</v>
      </c>
      <c r="G1790" s="10">
        <v>1</v>
      </c>
      <c r="H1790" s="10"/>
      <c r="I1790" s="8">
        <f t="shared" si="2650"/>
        <v>2</v>
      </c>
      <c r="J1790" s="9">
        <v>1</v>
      </c>
      <c r="K1790" s="10">
        <v>1</v>
      </c>
      <c r="L1790" s="10"/>
      <c r="M1790" s="39">
        <f t="shared" si="2651"/>
        <v>2</v>
      </c>
      <c r="N1790" s="138">
        <f t="shared" si="2652"/>
        <v>6</v>
      </c>
      <c r="O1790" s="24">
        <v>46134</v>
      </c>
      <c r="P1790" s="4" t="s">
        <v>1723</v>
      </c>
      <c r="Q1790" s="9">
        <v>10</v>
      </c>
      <c r="R1790" s="10"/>
      <c r="S1790" s="10"/>
      <c r="T1790" s="8">
        <f t="shared" si="2666"/>
        <v>10</v>
      </c>
      <c r="U1790" s="9">
        <v>10</v>
      </c>
      <c r="V1790" s="10"/>
      <c r="W1790" s="10"/>
      <c r="X1790" s="8">
        <f t="shared" si="2667"/>
        <v>10</v>
      </c>
      <c r="Y1790" s="9">
        <v>10</v>
      </c>
      <c r="Z1790" s="10"/>
      <c r="AA1790" s="10"/>
      <c r="AB1790" s="8">
        <f t="shared" si="2668"/>
        <v>10</v>
      </c>
      <c r="AC1790" s="93">
        <f t="shared" si="2669"/>
        <v>30</v>
      </c>
      <c r="AD1790" s="109">
        <v>46128</v>
      </c>
    </row>
    <row r="1791" spans="1:31" x14ac:dyDescent="0.15">
      <c r="A1791" s="33" t="s">
        <v>36</v>
      </c>
      <c r="B1791" s="9">
        <v>1</v>
      </c>
      <c r="C1791" s="10"/>
      <c r="D1791" s="10"/>
      <c r="E1791" s="8">
        <f t="shared" si="2649"/>
        <v>1</v>
      </c>
      <c r="F1791" s="9">
        <v>1</v>
      </c>
      <c r="G1791" s="10"/>
      <c r="H1791" s="10"/>
      <c r="I1791" s="8">
        <f t="shared" si="2650"/>
        <v>1</v>
      </c>
      <c r="J1791" s="9">
        <v>1</v>
      </c>
      <c r="K1791" s="10"/>
      <c r="L1791" s="10"/>
      <c r="M1791" s="39">
        <f t="shared" si="2651"/>
        <v>1</v>
      </c>
      <c r="N1791" s="138">
        <f t="shared" si="2652"/>
        <v>3</v>
      </c>
      <c r="O1791" s="24">
        <v>46132</v>
      </c>
      <c r="P1791" s="4" t="s">
        <v>1725</v>
      </c>
      <c r="Q1791" s="9"/>
      <c r="R1791" s="10">
        <v>5</v>
      </c>
      <c r="S1791" s="10"/>
      <c r="T1791" s="8">
        <f t="shared" ref="T1791:T1792" si="2670">SUM(Q1791:S1791)</f>
        <v>5</v>
      </c>
      <c r="U1791" s="9"/>
      <c r="V1791" s="10">
        <v>5</v>
      </c>
      <c r="W1791" s="10"/>
      <c r="X1791" s="8">
        <f t="shared" ref="X1791:X1792" si="2671">SUM(U1791:W1791)</f>
        <v>5</v>
      </c>
      <c r="Y1791" s="9"/>
      <c r="Z1791" s="10">
        <v>5</v>
      </c>
      <c r="AA1791" s="10"/>
      <c r="AB1791" s="8">
        <f t="shared" ref="AB1791:AB1792" si="2672">SUM(Y1791:AA1791)</f>
        <v>5</v>
      </c>
      <c r="AC1791" s="93">
        <f t="shared" ref="AC1791:AC1792" si="2673">T1791+X1791+AB1791</f>
        <v>15</v>
      </c>
      <c r="AD1791" s="109">
        <v>46129</v>
      </c>
    </row>
    <row r="1792" spans="1:31" x14ac:dyDescent="0.15">
      <c r="A1792" s="33" t="s">
        <v>1735</v>
      </c>
      <c r="B1792" s="9"/>
      <c r="C1792" s="10"/>
      <c r="D1792" s="10">
        <v>1</v>
      </c>
      <c r="E1792" s="8">
        <f t="shared" si="2649"/>
        <v>1</v>
      </c>
      <c r="F1792" s="9"/>
      <c r="G1792" s="10"/>
      <c r="H1792" s="10">
        <v>1</v>
      </c>
      <c r="I1792" s="8">
        <f t="shared" si="2650"/>
        <v>1</v>
      </c>
      <c r="J1792" s="9"/>
      <c r="K1792" s="10"/>
      <c r="L1792" s="10">
        <v>1</v>
      </c>
      <c r="M1792" s="39">
        <f t="shared" si="2651"/>
        <v>1</v>
      </c>
      <c r="N1792" s="138">
        <f t="shared" si="2652"/>
        <v>3</v>
      </c>
      <c r="O1792" s="24">
        <v>46135</v>
      </c>
      <c r="P1792" s="165" t="s">
        <v>1726</v>
      </c>
      <c r="Q1792" s="166">
        <v>10</v>
      </c>
      <c r="R1792" s="167">
        <v>5</v>
      </c>
      <c r="S1792" s="167"/>
      <c r="T1792" s="168">
        <f t="shared" si="2670"/>
        <v>15</v>
      </c>
      <c r="U1792" s="166">
        <v>10</v>
      </c>
      <c r="V1792" s="167"/>
      <c r="W1792" s="167">
        <v>5</v>
      </c>
      <c r="X1792" s="168">
        <f t="shared" si="2671"/>
        <v>15</v>
      </c>
      <c r="Y1792" s="166">
        <v>5</v>
      </c>
      <c r="Z1792" s="167"/>
      <c r="AA1792" s="167"/>
      <c r="AB1792" s="168">
        <f t="shared" si="2672"/>
        <v>5</v>
      </c>
      <c r="AC1792" s="169">
        <f t="shared" si="2673"/>
        <v>35</v>
      </c>
      <c r="AD1792" s="170">
        <v>46130</v>
      </c>
    </row>
    <row r="1793" spans="1:30" x14ac:dyDescent="0.15">
      <c r="A1793" s="33" t="s">
        <v>36</v>
      </c>
      <c r="B1793" s="9">
        <v>4</v>
      </c>
      <c r="C1793" s="10"/>
      <c r="D1793" s="10"/>
      <c r="E1793" s="8">
        <f t="shared" si="2649"/>
        <v>4</v>
      </c>
      <c r="F1793" s="9">
        <v>1</v>
      </c>
      <c r="G1793" s="10"/>
      <c r="H1793" s="10"/>
      <c r="I1793" s="8">
        <f t="shared" si="2650"/>
        <v>1</v>
      </c>
      <c r="J1793" s="9">
        <v>1</v>
      </c>
      <c r="K1793" s="10"/>
      <c r="L1793" s="10"/>
      <c r="M1793" s="39">
        <f t="shared" si="2651"/>
        <v>1</v>
      </c>
      <c r="N1793" s="138">
        <f t="shared" si="2652"/>
        <v>6</v>
      </c>
      <c r="O1793" s="70">
        <v>46133</v>
      </c>
      <c r="P1793" s="11" t="s">
        <v>1728</v>
      </c>
      <c r="Q1793" s="9">
        <v>4</v>
      </c>
      <c r="R1793" s="10">
        <v>5</v>
      </c>
      <c r="S1793" s="10"/>
      <c r="T1793" s="8">
        <f t="shared" ref="T1793:T1798" si="2674">SUM(Q1793:S1793)</f>
        <v>9</v>
      </c>
      <c r="U1793" s="9">
        <v>4</v>
      </c>
      <c r="V1793" s="10">
        <v>5</v>
      </c>
      <c r="W1793" s="10"/>
      <c r="X1793" s="8">
        <f t="shared" ref="X1793:X1798" si="2675">SUM(U1793:W1793)</f>
        <v>9</v>
      </c>
      <c r="Y1793" s="9">
        <v>4</v>
      </c>
      <c r="Z1793" s="10">
        <v>5</v>
      </c>
      <c r="AA1793" s="10"/>
      <c r="AB1793" s="8">
        <f t="shared" ref="AB1793:AB1798" si="2676">SUM(Y1793:AA1793)</f>
        <v>9</v>
      </c>
      <c r="AC1793" s="93">
        <f t="shared" ref="AC1793:AC1798" si="2677">T1793+X1793+AB1793</f>
        <v>27</v>
      </c>
      <c r="AD1793" s="109">
        <v>46132</v>
      </c>
    </row>
    <row r="1794" spans="1:30" x14ac:dyDescent="0.15">
      <c r="A1794" s="33" t="s">
        <v>1740</v>
      </c>
      <c r="B1794" s="9"/>
      <c r="C1794" s="10">
        <v>2</v>
      </c>
      <c r="D1794" s="10"/>
      <c r="E1794" s="8">
        <f t="shared" si="2649"/>
        <v>2</v>
      </c>
      <c r="F1794" s="9"/>
      <c r="G1794" s="10">
        <v>2</v>
      </c>
      <c r="H1794" s="10"/>
      <c r="I1794" s="8">
        <f t="shared" si="2650"/>
        <v>2</v>
      </c>
      <c r="J1794" s="9"/>
      <c r="K1794" s="10">
        <v>2</v>
      </c>
      <c r="L1794" s="10"/>
      <c r="M1794" s="39">
        <f t="shared" si="2651"/>
        <v>2</v>
      </c>
      <c r="N1794" s="138">
        <f t="shared" si="2652"/>
        <v>6</v>
      </c>
      <c r="O1794" s="24">
        <v>46136</v>
      </c>
      <c r="P1794" s="4"/>
      <c r="Q1794" s="9"/>
      <c r="R1794" s="10"/>
      <c r="S1794" s="10"/>
      <c r="T1794" s="8">
        <f t="shared" si="2674"/>
        <v>0</v>
      </c>
      <c r="U1794" s="9"/>
      <c r="V1794" s="10"/>
      <c r="W1794" s="10"/>
      <c r="X1794" s="8">
        <f t="shared" si="2675"/>
        <v>0</v>
      </c>
      <c r="Y1794" s="9"/>
      <c r="Z1794" s="10"/>
      <c r="AA1794" s="10"/>
      <c r="AB1794" s="8">
        <f t="shared" si="2676"/>
        <v>0</v>
      </c>
      <c r="AC1794" s="93">
        <f t="shared" si="2677"/>
        <v>0</v>
      </c>
    </row>
    <row r="1795" spans="1:30" x14ac:dyDescent="0.15">
      <c r="A1795" s="33" t="s">
        <v>1742</v>
      </c>
      <c r="B1795" s="9">
        <v>2</v>
      </c>
      <c r="C1795" s="10">
        <v>5</v>
      </c>
      <c r="D1795" s="10">
        <v>4</v>
      </c>
      <c r="E1795" s="8">
        <f t="shared" si="2649"/>
        <v>11</v>
      </c>
      <c r="F1795" s="9">
        <v>2</v>
      </c>
      <c r="G1795" s="10">
        <v>5</v>
      </c>
      <c r="H1795" s="10">
        <v>4</v>
      </c>
      <c r="I1795" s="8">
        <f t="shared" si="2650"/>
        <v>11</v>
      </c>
      <c r="J1795" s="9">
        <v>2</v>
      </c>
      <c r="K1795" s="10">
        <v>5</v>
      </c>
      <c r="L1795" s="10">
        <v>4</v>
      </c>
      <c r="M1795" s="39">
        <f t="shared" si="2651"/>
        <v>11</v>
      </c>
      <c r="N1795" s="138">
        <f t="shared" si="2652"/>
        <v>33</v>
      </c>
      <c r="O1795" s="24">
        <v>46137</v>
      </c>
      <c r="P1795" s="81" t="s">
        <v>1410</v>
      </c>
      <c r="Q1795" s="71"/>
      <c r="R1795" s="72"/>
      <c r="S1795" s="72"/>
      <c r="T1795" s="73">
        <f t="shared" si="2674"/>
        <v>0</v>
      </c>
      <c r="U1795" s="71"/>
      <c r="V1795" s="72"/>
      <c r="W1795" s="72"/>
      <c r="X1795" s="73">
        <f t="shared" si="2675"/>
        <v>0</v>
      </c>
      <c r="Y1795" s="71"/>
      <c r="Z1795" s="72"/>
      <c r="AA1795" s="72"/>
      <c r="AB1795" s="73">
        <f t="shared" si="2676"/>
        <v>0</v>
      </c>
      <c r="AC1795" s="93">
        <f t="shared" si="2677"/>
        <v>0</v>
      </c>
      <c r="AD1795" s="116"/>
    </row>
    <row r="1796" spans="1:30" x14ac:dyDescent="0.15">
      <c r="A1796" s="33" t="s">
        <v>36</v>
      </c>
      <c r="B1796" s="9"/>
      <c r="C1796" s="10"/>
      <c r="D1796" s="10"/>
      <c r="E1796" s="8">
        <f t="shared" si="2649"/>
        <v>0</v>
      </c>
      <c r="F1796" s="9"/>
      <c r="G1796" s="10"/>
      <c r="H1796" s="10"/>
      <c r="I1796" s="8">
        <f t="shared" si="2650"/>
        <v>0</v>
      </c>
      <c r="J1796" s="9"/>
      <c r="K1796" s="10"/>
      <c r="L1796" s="10">
        <v>1</v>
      </c>
      <c r="M1796" s="39">
        <f t="shared" si="2651"/>
        <v>1</v>
      </c>
      <c r="N1796" s="138">
        <f t="shared" si="2652"/>
        <v>1</v>
      </c>
      <c r="O1796" s="70">
        <v>46135</v>
      </c>
      <c r="P1796" s="4" t="s">
        <v>1412</v>
      </c>
      <c r="Q1796" s="9"/>
      <c r="R1796" s="10"/>
      <c r="S1796" s="10"/>
      <c r="T1796" s="8">
        <f t="shared" si="2674"/>
        <v>0</v>
      </c>
      <c r="U1796" s="9"/>
      <c r="V1796" s="10"/>
      <c r="W1796" s="10"/>
      <c r="X1796" s="8">
        <f t="shared" si="2675"/>
        <v>0</v>
      </c>
      <c r="Y1796" s="9"/>
      <c r="Z1796" s="10"/>
      <c r="AA1796" s="10"/>
      <c r="AB1796" s="8">
        <f t="shared" si="2676"/>
        <v>0</v>
      </c>
      <c r="AC1796" s="93">
        <f t="shared" si="2677"/>
        <v>0</v>
      </c>
      <c r="AD1796" s="116" t="s">
        <v>1411</v>
      </c>
    </row>
    <row r="1797" spans="1:30" x14ac:dyDescent="0.15">
      <c r="A1797" s="33" t="s">
        <v>36</v>
      </c>
      <c r="B1797" s="9">
        <v>1</v>
      </c>
      <c r="C1797" s="10">
        <v>1</v>
      </c>
      <c r="D1797" s="10">
        <v>1</v>
      </c>
      <c r="E1797" s="8">
        <f t="shared" si="2649"/>
        <v>3</v>
      </c>
      <c r="F1797" s="9"/>
      <c r="G1797" s="10">
        <v>1</v>
      </c>
      <c r="H1797" s="10">
        <v>1</v>
      </c>
      <c r="I1797" s="8">
        <f t="shared" si="2650"/>
        <v>2</v>
      </c>
      <c r="J1797" s="9"/>
      <c r="K1797" s="10">
        <v>1</v>
      </c>
      <c r="L1797" s="10">
        <v>1</v>
      </c>
      <c r="M1797" s="39">
        <f t="shared" si="2651"/>
        <v>2</v>
      </c>
      <c r="N1797" s="138">
        <f t="shared" si="2652"/>
        <v>7</v>
      </c>
      <c r="O1797" s="70">
        <v>46136</v>
      </c>
      <c r="P1797" s="81" t="s">
        <v>1416</v>
      </c>
      <c r="Q1797" s="71"/>
      <c r="R1797" s="72"/>
      <c r="S1797" s="72"/>
      <c r="T1797" s="73">
        <f t="shared" si="2674"/>
        <v>0</v>
      </c>
      <c r="U1797" s="71"/>
      <c r="V1797" s="72"/>
      <c r="W1797" s="72"/>
      <c r="X1797" s="73">
        <f t="shared" si="2675"/>
        <v>0</v>
      </c>
      <c r="Y1797" s="71"/>
      <c r="Z1797" s="72"/>
      <c r="AA1797" s="72"/>
      <c r="AB1797" s="73">
        <f t="shared" si="2676"/>
        <v>0</v>
      </c>
      <c r="AC1797" s="92">
        <f t="shared" si="2677"/>
        <v>0</v>
      </c>
      <c r="AD1797" s="116"/>
    </row>
    <row r="1798" spans="1:30" x14ac:dyDescent="0.15">
      <c r="A1798" s="33" t="s">
        <v>1749</v>
      </c>
      <c r="B1798" s="9">
        <v>2</v>
      </c>
      <c r="C1798" s="10">
        <v>3</v>
      </c>
      <c r="D1798" s="10">
        <v>2</v>
      </c>
      <c r="E1798" s="8">
        <f t="shared" si="2649"/>
        <v>7</v>
      </c>
      <c r="F1798" s="9">
        <v>2</v>
      </c>
      <c r="G1798" s="10">
        <v>3</v>
      </c>
      <c r="H1798" s="10">
        <v>2</v>
      </c>
      <c r="I1798" s="8">
        <f t="shared" si="2650"/>
        <v>7</v>
      </c>
      <c r="J1798" s="9">
        <v>2</v>
      </c>
      <c r="K1798" s="10">
        <v>3</v>
      </c>
      <c r="L1798" s="10">
        <v>2</v>
      </c>
      <c r="M1798" s="39">
        <f t="shared" si="2651"/>
        <v>7</v>
      </c>
      <c r="N1798" s="138">
        <f t="shared" si="2652"/>
        <v>21</v>
      </c>
      <c r="O1798" s="24">
        <v>46140</v>
      </c>
      <c r="P1798" s="4" t="s">
        <v>1705</v>
      </c>
      <c r="Q1798" s="9"/>
      <c r="R1798" s="10"/>
      <c r="S1798" s="10"/>
      <c r="T1798" s="8">
        <f t="shared" si="2674"/>
        <v>0</v>
      </c>
      <c r="U1798" s="9"/>
      <c r="V1798" s="10"/>
      <c r="W1798" s="10"/>
      <c r="X1798" s="8">
        <f t="shared" si="2675"/>
        <v>0</v>
      </c>
      <c r="Y1798" s="9"/>
      <c r="Z1798" s="10"/>
      <c r="AA1798" s="10"/>
      <c r="AB1798" s="8">
        <f t="shared" si="2676"/>
        <v>0</v>
      </c>
      <c r="AC1798" s="93">
        <f t="shared" si="2677"/>
        <v>0</v>
      </c>
      <c r="AD1798" s="116" t="s">
        <v>1411</v>
      </c>
    </row>
    <row r="1799" spans="1:30" x14ac:dyDescent="0.15">
      <c r="A1799" s="33" t="s">
        <v>36</v>
      </c>
      <c r="B1799" s="9">
        <v>2</v>
      </c>
      <c r="C1799" s="10">
        <v>2</v>
      </c>
      <c r="D1799" s="10">
        <v>3</v>
      </c>
      <c r="E1799" s="8">
        <f t="shared" si="2649"/>
        <v>7</v>
      </c>
      <c r="F1799" s="9">
        <v>2</v>
      </c>
      <c r="G1799" s="10">
        <v>2</v>
      </c>
      <c r="H1799" s="10">
        <v>1</v>
      </c>
      <c r="I1799" s="8">
        <f t="shared" si="2650"/>
        <v>5</v>
      </c>
      <c r="J1799" s="9">
        <v>2</v>
      </c>
      <c r="K1799" s="10">
        <v>2</v>
      </c>
      <c r="L1799" s="10">
        <v>6</v>
      </c>
      <c r="M1799" s="39">
        <f t="shared" si="2651"/>
        <v>10</v>
      </c>
      <c r="N1799" s="138">
        <f t="shared" si="2652"/>
        <v>22</v>
      </c>
      <c r="O1799" s="70">
        <v>46139</v>
      </c>
      <c r="P1799" s="11" t="s">
        <v>1505</v>
      </c>
      <c r="Q1799" s="9"/>
      <c r="R1799" s="10"/>
      <c r="S1799" s="10"/>
      <c r="T1799" s="8">
        <f t="shared" ref="T1799:T1801" si="2678">SUM(Q1799:S1799)</f>
        <v>0</v>
      </c>
      <c r="U1799" s="9"/>
      <c r="V1799" s="10"/>
      <c r="W1799" s="10"/>
      <c r="X1799" s="8">
        <f t="shared" ref="X1799:X1801" si="2679">SUM(U1799:W1799)</f>
        <v>0</v>
      </c>
      <c r="Y1799" s="9"/>
      <c r="Z1799" s="10"/>
      <c r="AA1799" s="10"/>
      <c r="AB1799" s="8">
        <f t="shared" ref="AB1799:AB1801" si="2680">SUM(Y1799:AA1799)</f>
        <v>0</v>
      </c>
      <c r="AC1799" s="93">
        <f t="shared" ref="AC1799:AC1801" si="2681">T1799+X1799+AB1799</f>
        <v>0</v>
      </c>
      <c r="AD1799" s="116" t="s">
        <v>1504</v>
      </c>
    </row>
    <row r="1800" spans="1:30" x14ac:dyDescent="0.15">
      <c r="A1800" s="33" t="s">
        <v>1755</v>
      </c>
      <c r="B1800" s="9"/>
      <c r="C1800" s="10"/>
      <c r="D1800" s="10">
        <v>1</v>
      </c>
      <c r="E1800" s="8">
        <f t="shared" si="2649"/>
        <v>1</v>
      </c>
      <c r="F1800" s="9"/>
      <c r="G1800" s="10"/>
      <c r="H1800" s="10">
        <v>1</v>
      </c>
      <c r="I1800" s="8">
        <f t="shared" si="2650"/>
        <v>1</v>
      </c>
      <c r="J1800" s="9"/>
      <c r="K1800" s="10"/>
      <c r="L1800" s="10">
        <v>1</v>
      </c>
      <c r="M1800" s="39">
        <f t="shared" si="2651"/>
        <v>1</v>
      </c>
      <c r="N1800" s="138">
        <f t="shared" si="2652"/>
        <v>3</v>
      </c>
      <c r="O1800" s="24">
        <v>46142</v>
      </c>
      <c r="P1800" s="81" t="s">
        <v>1401</v>
      </c>
      <c r="Q1800" s="71"/>
      <c r="R1800" s="72"/>
      <c r="S1800" s="72"/>
      <c r="T1800" s="73">
        <f t="shared" si="2678"/>
        <v>0</v>
      </c>
      <c r="U1800" s="71"/>
      <c r="V1800" s="72"/>
      <c r="W1800" s="72"/>
      <c r="X1800" s="73">
        <f t="shared" si="2679"/>
        <v>0</v>
      </c>
      <c r="Y1800" s="71"/>
      <c r="Z1800" s="72"/>
      <c r="AA1800" s="72"/>
      <c r="AB1800" s="73">
        <f t="shared" si="2680"/>
        <v>0</v>
      </c>
      <c r="AC1800" s="92">
        <f t="shared" si="2681"/>
        <v>0</v>
      </c>
      <c r="AD1800" s="117"/>
    </row>
    <row r="1801" spans="1:30" x14ac:dyDescent="0.15">
      <c r="A1801" s="33" t="s">
        <v>36</v>
      </c>
      <c r="B1801" s="9"/>
      <c r="C1801" s="10"/>
      <c r="D1801" s="10"/>
      <c r="E1801" s="8">
        <f t="shared" si="2649"/>
        <v>0</v>
      </c>
      <c r="F1801" s="9"/>
      <c r="G1801" s="10"/>
      <c r="H1801" s="10"/>
      <c r="I1801" s="8">
        <f t="shared" si="2650"/>
        <v>0</v>
      </c>
      <c r="J1801" s="9">
        <v>1</v>
      </c>
      <c r="K1801" s="10"/>
      <c r="L1801" s="10"/>
      <c r="M1801" s="39">
        <f t="shared" si="2651"/>
        <v>1</v>
      </c>
      <c r="N1801" s="138">
        <f t="shared" si="2652"/>
        <v>1</v>
      </c>
      <c r="O1801" s="70">
        <v>46140</v>
      </c>
      <c r="P1801" s="4" t="s">
        <v>1415</v>
      </c>
      <c r="Q1801" s="9"/>
      <c r="R1801" s="10"/>
      <c r="S1801" s="10"/>
      <c r="T1801" s="8">
        <f t="shared" si="2678"/>
        <v>0</v>
      </c>
      <c r="U1801" s="327"/>
      <c r="V1801" s="10"/>
      <c r="W1801" s="10"/>
      <c r="X1801" s="8">
        <f t="shared" si="2679"/>
        <v>0</v>
      </c>
      <c r="Y1801" s="9"/>
      <c r="Z1801" s="10"/>
      <c r="AA1801" s="10"/>
      <c r="AB1801" s="8">
        <f t="shared" si="2680"/>
        <v>0</v>
      </c>
      <c r="AC1801" s="93">
        <f t="shared" si="2681"/>
        <v>0</v>
      </c>
      <c r="AD1801" s="116" t="s">
        <v>1400</v>
      </c>
    </row>
    <row r="1802" spans="1:30" x14ac:dyDescent="0.15">
      <c r="A1802" s="33" t="s">
        <v>36</v>
      </c>
      <c r="B1802" s="9"/>
      <c r="C1802" s="10">
        <v>2</v>
      </c>
      <c r="D1802" s="10"/>
      <c r="E1802" s="8">
        <f t="shared" si="2649"/>
        <v>2</v>
      </c>
      <c r="F1802" s="9">
        <v>1</v>
      </c>
      <c r="G1802" s="10">
        <v>1</v>
      </c>
      <c r="H1802" s="10"/>
      <c r="I1802" s="8">
        <f t="shared" si="2650"/>
        <v>2</v>
      </c>
      <c r="J1802" s="9">
        <v>1</v>
      </c>
      <c r="K1802" s="10">
        <v>1</v>
      </c>
      <c r="L1802" s="10"/>
      <c r="M1802" s="39">
        <f t="shared" si="2651"/>
        <v>2</v>
      </c>
      <c r="N1802" s="138">
        <f t="shared" si="2652"/>
        <v>6</v>
      </c>
      <c r="O1802" s="70">
        <v>46142</v>
      </c>
      <c r="P1802" s="81" t="s">
        <v>1518</v>
      </c>
      <c r="Q1802" s="71"/>
      <c r="R1802" s="72"/>
      <c r="S1802" s="72"/>
      <c r="T1802" s="73">
        <f t="shared" ref="T1802:T1803" si="2682">SUM(Q1802:S1802)</f>
        <v>0</v>
      </c>
      <c r="U1802" s="71"/>
      <c r="V1802" s="72"/>
      <c r="W1802" s="72"/>
      <c r="X1802" s="73">
        <f t="shared" ref="X1802:X1803" si="2683">SUM(U1802:W1802)</f>
        <v>0</v>
      </c>
      <c r="Y1802" s="71"/>
      <c r="Z1802" s="72"/>
      <c r="AA1802" s="72"/>
      <c r="AB1802" s="73">
        <f t="shared" ref="AB1802:AB1803" si="2684">SUM(Y1802:AA1802)</f>
        <v>0</v>
      </c>
      <c r="AC1802" s="92">
        <f t="shared" ref="AC1802:AC1803" si="2685">T1802+X1802+AB1802</f>
        <v>0</v>
      </c>
      <c r="AD1802" s="116"/>
    </row>
    <row r="1803" spans="1:30" ht="14.25" thickBot="1" x14ac:dyDescent="0.2">
      <c r="A1803" s="63"/>
      <c r="B1803" s="9"/>
      <c r="C1803" s="10"/>
      <c r="D1803" s="22"/>
      <c r="E1803" s="8">
        <f t="shared" si="2649"/>
        <v>0</v>
      </c>
      <c r="F1803" s="9"/>
      <c r="G1803" s="10"/>
      <c r="H1803" s="22"/>
      <c r="I1803" s="8">
        <f t="shared" si="2650"/>
        <v>0</v>
      </c>
      <c r="J1803" s="9"/>
      <c r="K1803" s="10"/>
      <c r="L1803" s="22"/>
      <c r="M1803" s="39">
        <f t="shared" si="2651"/>
        <v>0</v>
      </c>
      <c r="N1803" s="139">
        <f t="shared" si="2652"/>
        <v>0</v>
      </c>
      <c r="P1803" s="11" t="s">
        <v>1519</v>
      </c>
      <c r="Q1803" s="9"/>
      <c r="R1803" s="10"/>
      <c r="S1803" s="10"/>
      <c r="T1803" s="8">
        <f t="shared" si="2682"/>
        <v>0</v>
      </c>
      <c r="U1803" s="9"/>
      <c r="V1803" s="10"/>
      <c r="W1803" s="10"/>
      <c r="X1803" s="8">
        <f t="shared" si="2683"/>
        <v>0</v>
      </c>
      <c r="Y1803" s="9"/>
      <c r="Z1803" s="10"/>
      <c r="AA1803" s="10"/>
      <c r="AB1803" s="8">
        <f t="shared" si="2684"/>
        <v>0</v>
      </c>
      <c r="AC1803" s="93">
        <f t="shared" si="2685"/>
        <v>0</v>
      </c>
      <c r="AD1803" s="116" t="s">
        <v>1520</v>
      </c>
    </row>
    <row r="1804" spans="1:30" ht="14.25" thickBot="1" x14ac:dyDescent="0.2">
      <c r="A1804" s="104" t="s">
        <v>5</v>
      </c>
      <c r="B1804" s="12">
        <f>SUM(B1780:B1803)</f>
        <v>26</v>
      </c>
      <c r="C1804" s="12">
        <f>SUM(C1780:C1803)</f>
        <v>24</v>
      </c>
      <c r="D1804" s="12">
        <f>SUM(D1780:D1803)</f>
        <v>19</v>
      </c>
      <c r="E1804" s="13">
        <f t="shared" si="2649"/>
        <v>69</v>
      </c>
      <c r="F1804" s="12">
        <f>SUM(F1780:F1803)</f>
        <v>22</v>
      </c>
      <c r="G1804" s="12">
        <f>SUM(G1780:G1803)</f>
        <v>23</v>
      </c>
      <c r="H1804" s="12">
        <f>SUM(H1780:H1803)</f>
        <v>17</v>
      </c>
      <c r="I1804" s="13">
        <f t="shared" si="2650"/>
        <v>62</v>
      </c>
      <c r="J1804" s="12">
        <f>SUM(J1780:J1803)</f>
        <v>23</v>
      </c>
      <c r="K1804" s="12">
        <f>SUM(K1780:K1803)</f>
        <v>23</v>
      </c>
      <c r="L1804" s="12">
        <f>SUM(L1780:L1803)</f>
        <v>23</v>
      </c>
      <c r="M1804" s="12">
        <f t="shared" si="2651"/>
        <v>69</v>
      </c>
      <c r="N1804" s="142">
        <f t="shared" si="2652"/>
        <v>200</v>
      </c>
      <c r="P1804" s="3" t="s">
        <v>5</v>
      </c>
      <c r="Q1804" s="12">
        <f>SUM(Q1780:Q1803)</f>
        <v>95</v>
      </c>
      <c r="R1804" s="12">
        <f t="shared" ref="R1804:AC1804" si="2686">SUM(R1780:R1803)</f>
        <v>75</v>
      </c>
      <c r="S1804" s="12">
        <f t="shared" si="2686"/>
        <v>85</v>
      </c>
      <c r="T1804" s="13">
        <f t="shared" si="2686"/>
        <v>255</v>
      </c>
      <c r="U1804" s="12">
        <f t="shared" si="2686"/>
        <v>95</v>
      </c>
      <c r="V1804" s="12">
        <f t="shared" si="2686"/>
        <v>85</v>
      </c>
      <c r="W1804" s="12">
        <f t="shared" si="2686"/>
        <v>85</v>
      </c>
      <c r="X1804" s="13">
        <f t="shared" si="2686"/>
        <v>265</v>
      </c>
      <c r="Y1804" s="12">
        <f t="shared" si="2686"/>
        <v>95</v>
      </c>
      <c r="Z1804" s="12">
        <f t="shared" si="2686"/>
        <v>112</v>
      </c>
      <c r="AA1804" s="12">
        <f t="shared" si="2686"/>
        <v>105</v>
      </c>
      <c r="AB1804" s="13">
        <f t="shared" si="2686"/>
        <v>312</v>
      </c>
      <c r="AC1804" s="155">
        <f t="shared" si="2686"/>
        <v>832</v>
      </c>
    </row>
    <row r="1805" spans="1:30" ht="14.25" thickBot="1" x14ac:dyDescent="0.2">
      <c r="A1805" s="105" t="s">
        <v>6</v>
      </c>
      <c r="B1805" s="20">
        <f>B1779-B1804</f>
        <v>17</v>
      </c>
      <c r="C1805" s="20">
        <f t="shared" ref="C1805:E1805" si="2687">C1779-C1804</f>
        <v>11</v>
      </c>
      <c r="D1805" s="20">
        <f t="shared" si="2687"/>
        <v>17</v>
      </c>
      <c r="E1805" s="18">
        <f t="shared" si="2687"/>
        <v>45</v>
      </c>
      <c r="F1805" s="20">
        <f>F1779-F1804</f>
        <v>17</v>
      </c>
      <c r="G1805" s="20">
        <f t="shared" ref="G1805:I1805" si="2688">G1779-G1804</f>
        <v>11</v>
      </c>
      <c r="H1805" s="20">
        <f t="shared" si="2688"/>
        <v>19</v>
      </c>
      <c r="I1805" s="18">
        <f t="shared" si="2688"/>
        <v>47</v>
      </c>
      <c r="J1805" s="20">
        <f>J1779-J1804</f>
        <v>18</v>
      </c>
      <c r="K1805" s="20">
        <f t="shared" ref="K1805:M1805" si="2689">K1779-K1804</f>
        <v>10</v>
      </c>
      <c r="L1805" s="20">
        <f t="shared" si="2689"/>
        <v>17</v>
      </c>
      <c r="M1805" s="20">
        <f t="shared" si="2689"/>
        <v>45</v>
      </c>
      <c r="N1805" s="140">
        <f t="shared" si="2652"/>
        <v>137</v>
      </c>
      <c r="P1805" s="19" t="s">
        <v>6</v>
      </c>
      <c r="Q1805" s="20">
        <f>Q1779-Q1804</f>
        <v>260</v>
      </c>
      <c r="R1805" s="20">
        <f t="shared" ref="R1805:AC1805" si="2690">R1779-R1804</f>
        <v>388</v>
      </c>
      <c r="S1805" s="20">
        <f t="shared" si="2690"/>
        <v>277</v>
      </c>
      <c r="T1805" s="18">
        <f t="shared" si="2690"/>
        <v>925</v>
      </c>
      <c r="U1805" s="20">
        <f t="shared" si="2690"/>
        <v>363</v>
      </c>
      <c r="V1805" s="20">
        <f t="shared" si="2690"/>
        <v>474</v>
      </c>
      <c r="W1805" s="20">
        <f t="shared" si="2690"/>
        <v>397</v>
      </c>
      <c r="X1805" s="18">
        <f t="shared" si="2690"/>
        <v>1234</v>
      </c>
      <c r="Y1805" s="20">
        <f t="shared" si="2690"/>
        <v>299</v>
      </c>
      <c r="Z1805" s="20">
        <f t="shared" si="2690"/>
        <v>347</v>
      </c>
      <c r="AA1805" s="20">
        <f t="shared" si="2690"/>
        <v>311</v>
      </c>
      <c r="AB1805" s="18">
        <f t="shared" si="2690"/>
        <v>957</v>
      </c>
      <c r="AC1805" s="88">
        <f t="shared" si="2690"/>
        <v>3116</v>
      </c>
      <c r="AD1805" s="128" t="s">
        <v>1581</v>
      </c>
    </row>
    <row r="1808" spans="1:30" ht="19.5" thickBot="1" x14ac:dyDescent="0.25">
      <c r="A1808" s="108" t="s">
        <v>264</v>
      </c>
      <c r="B1808" s="47"/>
      <c r="C1808" s="47"/>
      <c r="D1808" s="47"/>
      <c r="E1808" s="47"/>
      <c r="F1808" s="48"/>
      <c r="G1808" s="48"/>
      <c r="H1808" s="48"/>
      <c r="I1808" s="48"/>
      <c r="J1808" s="48"/>
      <c r="K1808" s="48"/>
      <c r="L1808" s="1"/>
      <c r="M1808" s="1"/>
      <c r="N1808" s="137"/>
      <c r="P1808" s="43" t="s">
        <v>263</v>
      </c>
      <c r="Q1808" s="44"/>
      <c r="R1808" s="44"/>
      <c r="S1808" s="44"/>
      <c r="T1808" s="44"/>
      <c r="U1808" s="45"/>
      <c r="V1808" s="45"/>
      <c r="W1808" s="45"/>
      <c r="X1808" s="45"/>
      <c r="Y1808" s="46"/>
      <c r="Z1808" s="53"/>
      <c r="AA1808" s="1"/>
      <c r="AB1808" s="1"/>
    </row>
    <row r="1809" spans="1:30" ht="14.25" thickBot="1" x14ac:dyDescent="0.2">
      <c r="A1809" s="100" t="s">
        <v>0</v>
      </c>
      <c r="B1809" s="337" t="s">
        <v>11</v>
      </c>
      <c r="C1809" s="337"/>
      <c r="D1809" s="337"/>
      <c r="E1809" s="338"/>
      <c r="F1809" s="339" t="s">
        <v>9</v>
      </c>
      <c r="G1809" s="340"/>
      <c r="H1809" s="340"/>
      <c r="I1809" s="341"/>
      <c r="J1809" s="342" t="s">
        <v>12</v>
      </c>
      <c r="K1809" s="343"/>
      <c r="L1809" s="343"/>
      <c r="M1809" s="343"/>
      <c r="N1809" s="347" t="s">
        <v>13</v>
      </c>
      <c r="P1809" s="2" t="s">
        <v>0</v>
      </c>
      <c r="Q1809" s="336" t="s">
        <v>11</v>
      </c>
      <c r="R1809" s="337"/>
      <c r="S1809" s="337"/>
      <c r="T1809" s="338"/>
      <c r="U1809" s="339" t="s">
        <v>9</v>
      </c>
      <c r="V1809" s="340"/>
      <c r="W1809" s="340"/>
      <c r="X1809" s="341"/>
      <c r="Y1809" s="342" t="s">
        <v>12</v>
      </c>
      <c r="Z1809" s="343"/>
      <c r="AA1809" s="343"/>
      <c r="AB1809" s="344"/>
      <c r="AC1809" s="345" t="s">
        <v>13</v>
      </c>
    </row>
    <row r="1810" spans="1:30" ht="14.25" thickBot="1" x14ac:dyDescent="0.2">
      <c r="A1810" s="100" t="s">
        <v>1</v>
      </c>
      <c r="B1810" s="3" t="s">
        <v>7</v>
      </c>
      <c r="C1810" s="2" t="s">
        <v>10</v>
      </c>
      <c r="D1810" s="2" t="s">
        <v>8</v>
      </c>
      <c r="E1810" s="2" t="s">
        <v>2</v>
      </c>
      <c r="F1810" s="3" t="s">
        <v>7</v>
      </c>
      <c r="G1810" s="2" t="s">
        <v>10</v>
      </c>
      <c r="H1810" s="2" t="s">
        <v>8</v>
      </c>
      <c r="I1810" s="2" t="s">
        <v>2</v>
      </c>
      <c r="J1810" s="3" t="s">
        <v>7</v>
      </c>
      <c r="K1810" s="2" t="s">
        <v>10</v>
      </c>
      <c r="L1810" s="2" t="s">
        <v>8</v>
      </c>
      <c r="M1810" s="3" t="s">
        <v>2</v>
      </c>
      <c r="N1810" s="348"/>
      <c r="P1810" s="2" t="s">
        <v>1</v>
      </c>
      <c r="Q1810" s="3" t="s">
        <v>7</v>
      </c>
      <c r="R1810" s="2" t="s">
        <v>10</v>
      </c>
      <c r="S1810" s="2" t="s">
        <v>8</v>
      </c>
      <c r="T1810" s="2" t="s">
        <v>2</v>
      </c>
      <c r="U1810" s="3" t="s">
        <v>7</v>
      </c>
      <c r="V1810" s="2" t="s">
        <v>10</v>
      </c>
      <c r="W1810" s="2" t="s">
        <v>8</v>
      </c>
      <c r="X1810" s="2" t="s">
        <v>2</v>
      </c>
      <c r="Y1810" s="3" t="s">
        <v>7</v>
      </c>
      <c r="Z1810" s="2" t="s">
        <v>10</v>
      </c>
      <c r="AA1810" s="2" t="s">
        <v>8</v>
      </c>
      <c r="AB1810" s="2" t="s">
        <v>2</v>
      </c>
      <c r="AC1810" s="346"/>
    </row>
    <row r="1811" spans="1:30" x14ac:dyDescent="0.15">
      <c r="A1811" s="106" t="s">
        <v>6</v>
      </c>
      <c r="B1811" s="41">
        <f>B1805</f>
        <v>17</v>
      </c>
      <c r="C1811" s="41">
        <f t="shared" ref="C1811:E1811" si="2691">C1805</f>
        <v>11</v>
      </c>
      <c r="D1811" s="41">
        <f t="shared" si="2691"/>
        <v>17</v>
      </c>
      <c r="E1811" s="42">
        <f t="shared" si="2691"/>
        <v>45</v>
      </c>
      <c r="F1811" s="41">
        <f>F1805</f>
        <v>17</v>
      </c>
      <c r="G1811" s="41">
        <f t="shared" ref="G1811:I1811" si="2692">G1805</f>
        <v>11</v>
      </c>
      <c r="H1811" s="41">
        <f t="shared" si="2692"/>
        <v>19</v>
      </c>
      <c r="I1811" s="42">
        <f t="shared" si="2692"/>
        <v>47</v>
      </c>
      <c r="J1811" s="41">
        <f>J1805</f>
        <v>18</v>
      </c>
      <c r="K1811" s="41">
        <f t="shared" ref="K1811:M1811" si="2693">K1805</f>
        <v>10</v>
      </c>
      <c r="L1811" s="41">
        <f t="shared" si="2693"/>
        <v>17</v>
      </c>
      <c r="M1811" s="42">
        <f t="shared" si="2693"/>
        <v>45</v>
      </c>
      <c r="N1811" s="143">
        <f>E1811+I1811+M1811</f>
        <v>137</v>
      </c>
      <c r="P1811" s="36" t="s">
        <v>6</v>
      </c>
      <c r="Q1811" s="41">
        <f>Q1805</f>
        <v>260</v>
      </c>
      <c r="R1811" s="41">
        <f t="shared" ref="R1811:AC1811" si="2694">R1805</f>
        <v>388</v>
      </c>
      <c r="S1811" s="41">
        <f t="shared" si="2694"/>
        <v>277</v>
      </c>
      <c r="T1811" s="42">
        <f t="shared" si="2694"/>
        <v>925</v>
      </c>
      <c r="U1811" s="41">
        <f t="shared" si="2694"/>
        <v>363</v>
      </c>
      <c r="V1811" s="41">
        <f t="shared" si="2694"/>
        <v>474</v>
      </c>
      <c r="W1811" s="41">
        <f t="shared" si="2694"/>
        <v>397</v>
      </c>
      <c r="X1811" s="42">
        <f t="shared" si="2694"/>
        <v>1234</v>
      </c>
      <c r="Y1811" s="41">
        <f t="shared" si="2694"/>
        <v>299</v>
      </c>
      <c r="Z1811" s="41">
        <f t="shared" si="2694"/>
        <v>347</v>
      </c>
      <c r="AA1811" s="41">
        <f t="shared" si="2694"/>
        <v>311</v>
      </c>
      <c r="AB1811" s="42">
        <f t="shared" si="2694"/>
        <v>957</v>
      </c>
      <c r="AC1811" s="90">
        <f t="shared" si="2694"/>
        <v>3116</v>
      </c>
    </row>
    <row r="1812" spans="1:30" x14ac:dyDescent="0.15">
      <c r="A1812" s="102" t="s">
        <v>3</v>
      </c>
      <c r="B1812" s="25">
        <v>10</v>
      </c>
      <c r="C1812" s="26">
        <v>10</v>
      </c>
      <c r="D1812" s="26">
        <v>10</v>
      </c>
      <c r="E1812" s="5">
        <f t="shared" ref="E1812:E1847" si="2695">SUM(B1812:D1812)</f>
        <v>30</v>
      </c>
      <c r="F1812" s="25">
        <v>10</v>
      </c>
      <c r="G1812" s="26">
        <v>10</v>
      </c>
      <c r="H1812" s="26">
        <v>10</v>
      </c>
      <c r="I1812" s="5">
        <f t="shared" ref="I1812:I1847" si="2696">SUM(F1812:H1812)</f>
        <v>30</v>
      </c>
      <c r="J1812" s="25">
        <v>10</v>
      </c>
      <c r="K1812" s="26">
        <v>10</v>
      </c>
      <c r="L1812" s="26">
        <v>10</v>
      </c>
      <c r="M1812" s="38">
        <f t="shared" ref="M1812:M1847" si="2697">SUM(J1812:L1812)</f>
        <v>30</v>
      </c>
      <c r="N1812" s="138">
        <f t="shared" ref="N1812:N1848" si="2698">E1812+I1812+M1812</f>
        <v>90</v>
      </c>
      <c r="O1812" s="24">
        <v>46144</v>
      </c>
      <c r="P1812" s="6" t="s">
        <v>3</v>
      </c>
      <c r="Q1812" s="14"/>
      <c r="R1812" s="11"/>
      <c r="S1812" s="11"/>
      <c r="T1812" s="5">
        <f t="shared" ref="T1812:T1821" si="2699">SUM(Q1812:S1812)</f>
        <v>0</v>
      </c>
      <c r="U1812" s="14"/>
      <c r="V1812" s="11"/>
      <c r="W1812" s="11"/>
      <c r="X1812" s="5">
        <f t="shared" ref="X1812:X1821" si="2700">SUM(U1812:W1812)</f>
        <v>0</v>
      </c>
      <c r="Y1812" s="25"/>
      <c r="Z1812" s="26"/>
      <c r="AA1812" s="26"/>
      <c r="AB1812" s="5">
        <f t="shared" ref="AB1812:AB1821" si="2701">SUM(Y1812:AA1812)</f>
        <v>0</v>
      </c>
      <c r="AC1812" s="86">
        <f t="shared" ref="AC1812:AC1821" si="2702">T1812+X1812+AB1812</f>
        <v>0</v>
      </c>
    </row>
    <row r="1813" spans="1:30" x14ac:dyDescent="0.15">
      <c r="A1813" s="102" t="s">
        <v>3</v>
      </c>
      <c r="B1813" s="14"/>
      <c r="C1813" s="11">
        <v>15</v>
      </c>
      <c r="D1813" s="11">
        <v>15</v>
      </c>
      <c r="E1813" s="5">
        <f t="shared" si="2695"/>
        <v>30</v>
      </c>
      <c r="F1813" s="34"/>
      <c r="G1813" s="11">
        <v>15</v>
      </c>
      <c r="H1813" s="11">
        <v>15</v>
      </c>
      <c r="I1813" s="5">
        <f t="shared" si="2696"/>
        <v>30</v>
      </c>
      <c r="J1813" s="34"/>
      <c r="K1813" s="11">
        <v>15</v>
      </c>
      <c r="L1813" s="11">
        <v>15</v>
      </c>
      <c r="M1813" s="38">
        <f t="shared" si="2697"/>
        <v>30</v>
      </c>
      <c r="N1813" s="138">
        <f t="shared" si="2698"/>
        <v>90</v>
      </c>
      <c r="O1813" s="24">
        <v>46150</v>
      </c>
      <c r="P1813" s="81" t="s">
        <v>3</v>
      </c>
      <c r="Q1813" s="62"/>
      <c r="R1813" s="4"/>
      <c r="S1813" s="4"/>
      <c r="T1813" s="5">
        <f t="shared" si="2699"/>
        <v>0</v>
      </c>
      <c r="U1813" s="62"/>
      <c r="V1813" s="4"/>
      <c r="W1813" s="4"/>
      <c r="X1813" s="5">
        <f t="shared" si="2700"/>
        <v>0</v>
      </c>
      <c r="Y1813" s="280"/>
      <c r="Z1813" s="281"/>
      <c r="AA1813" s="281"/>
      <c r="AB1813" s="5">
        <f t="shared" si="2701"/>
        <v>0</v>
      </c>
      <c r="AC1813" s="91">
        <f t="shared" si="2702"/>
        <v>0</v>
      </c>
    </row>
    <row r="1814" spans="1:30" x14ac:dyDescent="0.15">
      <c r="A1814" s="158" t="s">
        <v>3</v>
      </c>
      <c r="B1814" s="159">
        <v>10</v>
      </c>
      <c r="C1814" s="160"/>
      <c r="D1814" s="160"/>
      <c r="E1814" s="161">
        <f t="shared" si="2695"/>
        <v>10</v>
      </c>
      <c r="F1814" s="162">
        <v>10</v>
      </c>
      <c r="G1814" s="160"/>
      <c r="H1814" s="160"/>
      <c r="I1814" s="161">
        <f t="shared" si="2696"/>
        <v>10</v>
      </c>
      <c r="J1814" s="162">
        <v>10</v>
      </c>
      <c r="K1814" s="160"/>
      <c r="L1814" s="160"/>
      <c r="M1814" s="163">
        <f t="shared" si="2697"/>
        <v>10</v>
      </c>
      <c r="N1814" s="153">
        <f t="shared" si="2698"/>
        <v>30</v>
      </c>
      <c r="O1814" s="164">
        <v>46155</v>
      </c>
      <c r="P1814" s="81" t="s">
        <v>3</v>
      </c>
      <c r="Q1814" s="62"/>
      <c r="R1814" s="4"/>
      <c r="S1814" s="4"/>
      <c r="T1814" s="5">
        <f t="shared" ref="T1814:T1818" si="2703">SUM(Q1814:S1814)</f>
        <v>0</v>
      </c>
      <c r="U1814" s="62"/>
      <c r="V1814" s="4"/>
      <c r="W1814" s="4"/>
      <c r="X1814" s="5">
        <f t="shared" ref="X1814:X1818" si="2704">SUM(U1814:W1814)</f>
        <v>0</v>
      </c>
      <c r="Y1814" s="280"/>
      <c r="Z1814" s="281"/>
      <c r="AA1814" s="281"/>
      <c r="AB1814" s="5">
        <f t="shared" ref="AB1814:AB1818" si="2705">SUM(Y1814:AA1814)</f>
        <v>0</v>
      </c>
      <c r="AC1814" s="91">
        <f t="shared" ref="AC1814:AC1818" si="2706">T1814+X1814+AB1814</f>
        <v>0</v>
      </c>
    </row>
    <row r="1815" spans="1:30" x14ac:dyDescent="0.15">
      <c r="A1815" s="102" t="s">
        <v>57</v>
      </c>
      <c r="B1815" s="14"/>
      <c r="C1815" s="11">
        <v>1</v>
      </c>
      <c r="D1815" s="11"/>
      <c r="E1815" s="5">
        <f t="shared" si="2695"/>
        <v>1</v>
      </c>
      <c r="F1815" s="34"/>
      <c r="G1815" s="11">
        <v>1</v>
      </c>
      <c r="H1815" s="11"/>
      <c r="I1815" s="5">
        <f t="shared" si="2696"/>
        <v>1</v>
      </c>
      <c r="J1815" s="34"/>
      <c r="K1815" s="11">
        <v>1</v>
      </c>
      <c r="L1815" s="11"/>
      <c r="M1815" s="38">
        <f t="shared" si="2697"/>
        <v>1</v>
      </c>
      <c r="N1815" s="138">
        <f t="shared" si="2698"/>
        <v>3</v>
      </c>
      <c r="O1815" s="70">
        <v>46154</v>
      </c>
      <c r="P1815" s="81" t="s">
        <v>3</v>
      </c>
      <c r="Q1815" s="62"/>
      <c r="R1815" s="4"/>
      <c r="S1815" s="4"/>
      <c r="T1815" s="5">
        <f t="shared" ref="T1815" si="2707">SUM(Q1815:S1815)</f>
        <v>0</v>
      </c>
      <c r="U1815" s="62"/>
      <c r="V1815" s="4"/>
      <c r="W1815" s="4"/>
      <c r="X1815" s="5">
        <f t="shared" ref="X1815" si="2708">SUM(U1815:W1815)</f>
        <v>0</v>
      </c>
      <c r="Y1815" s="280"/>
      <c r="Z1815" s="281"/>
      <c r="AA1815" s="281"/>
      <c r="AB1815" s="5">
        <f t="shared" ref="AB1815" si="2709">SUM(Y1815:AA1815)</f>
        <v>0</v>
      </c>
      <c r="AC1815" s="91">
        <f t="shared" ref="AC1815" si="2710">T1815+X1815+AB1815</f>
        <v>0</v>
      </c>
    </row>
    <row r="1816" spans="1:30" x14ac:dyDescent="0.15">
      <c r="A1816" s="102" t="s">
        <v>281</v>
      </c>
      <c r="B1816" s="14"/>
      <c r="C1816" s="11">
        <v>1</v>
      </c>
      <c r="D1816" s="11">
        <v>1</v>
      </c>
      <c r="E1816" s="5">
        <f t="shared" si="2695"/>
        <v>2</v>
      </c>
      <c r="F1816" s="34"/>
      <c r="G1816" s="11">
        <v>1</v>
      </c>
      <c r="H1816" s="11">
        <v>1</v>
      </c>
      <c r="I1816" s="5">
        <f t="shared" si="2696"/>
        <v>2</v>
      </c>
      <c r="J1816" s="34"/>
      <c r="K1816" s="11">
        <v>1</v>
      </c>
      <c r="L1816" s="11">
        <v>1</v>
      </c>
      <c r="M1816" s="38">
        <f t="shared" si="2697"/>
        <v>2</v>
      </c>
      <c r="N1816" s="138">
        <f t="shared" si="2698"/>
        <v>6</v>
      </c>
      <c r="O1816" s="70">
        <v>46155</v>
      </c>
      <c r="P1816" s="81" t="s">
        <v>3</v>
      </c>
      <c r="Q1816" s="62"/>
      <c r="R1816" s="4"/>
      <c r="S1816" s="4"/>
      <c r="T1816" s="5">
        <f t="shared" si="2703"/>
        <v>0</v>
      </c>
      <c r="U1816" s="62"/>
      <c r="V1816" s="4"/>
      <c r="W1816" s="4"/>
      <c r="X1816" s="5">
        <f t="shared" si="2704"/>
        <v>0</v>
      </c>
      <c r="Y1816" s="280"/>
      <c r="Z1816" s="281"/>
      <c r="AA1816" s="281"/>
      <c r="AB1816" s="5">
        <f t="shared" si="2705"/>
        <v>0</v>
      </c>
      <c r="AC1816" s="91">
        <f t="shared" si="2706"/>
        <v>0</v>
      </c>
    </row>
    <row r="1817" spans="1:30" x14ac:dyDescent="0.15">
      <c r="A1817" s="102" t="s">
        <v>3</v>
      </c>
      <c r="B1817" s="25"/>
      <c r="C1817" s="26"/>
      <c r="D1817" s="26"/>
      <c r="E1817" s="8">
        <f t="shared" si="2695"/>
        <v>0</v>
      </c>
      <c r="F1817" s="25"/>
      <c r="G1817" s="26"/>
      <c r="H1817" s="26"/>
      <c r="I1817" s="8">
        <f t="shared" si="2696"/>
        <v>0</v>
      </c>
      <c r="J1817" s="25"/>
      <c r="K1817" s="26"/>
      <c r="L1817" s="26"/>
      <c r="M1817" s="39">
        <f t="shared" si="2697"/>
        <v>0</v>
      </c>
      <c r="N1817" s="138">
        <f t="shared" si="2698"/>
        <v>0</v>
      </c>
      <c r="P1817" s="81" t="s">
        <v>3</v>
      </c>
      <c r="Q1817" s="62"/>
      <c r="R1817" s="4"/>
      <c r="S1817" s="4"/>
      <c r="T1817" s="5">
        <f t="shared" si="2703"/>
        <v>0</v>
      </c>
      <c r="U1817" s="62"/>
      <c r="V1817" s="4"/>
      <c r="W1817" s="4"/>
      <c r="X1817" s="5">
        <f t="shared" si="2704"/>
        <v>0</v>
      </c>
      <c r="Y1817" s="280"/>
      <c r="Z1817" s="281"/>
      <c r="AA1817" s="281"/>
      <c r="AB1817" s="5">
        <f t="shared" si="2705"/>
        <v>0</v>
      </c>
      <c r="AC1817" s="91">
        <f t="shared" si="2706"/>
        <v>0</v>
      </c>
    </row>
    <row r="1818" spans="1:30" x14ac:dyDescent="0.15">
      <c r="A1818" s="102" t="s">
        <v>3</v>
      </c>
      <c r="B1818" s="27"/>
      <c r="C1818" s="26"/>
      <c r="D1818" s="26"/>
      <c r="E1818" s="5">
        <f t="shared" si="2695"/>
        <v>0</v>
      </c>
      <c r="F1818" s="25"/>
      <c r="G1818" s="26"/>
      <c r="H1818" s="26"/>
      <c r="I1818" s="5">
        <f t="shared" si="2696"/>
        <v>0</v>
      </c>
      <c r="J1818" s="25"/>
      <c r="K1818" s="26"/>
      <c r="L1818" s="26"/>
      <c r="M1818" s="38">
        <f t="shared" si="2697"/>
        <v>0</v>
      </c>
      <c r="N1818" s="138">
        <f t="shared" si="2698"/>
        <v>0</v>
      </c>
      <c r="P1818" s="81" t="s">
        <v>3</v>
      </c>
      <c r="Q1818" s="62"/>
      <c r="R1818" s="4"/>
      <c r="S1818" s="4"/>
      <c r="T1818" s="5">
        <f t="shared" si="2703"/>
        <v>0</v>
      </c>
      <c r="U1818" s="62"/>
      <c r="V1818" s="4"/>
      <c r="W1818" s="4"/>
      <c r="X1818" s="5">
        <f t="shared" si="2704"/>
        <v>0</v>
      </c>
      <c r="Y1818" s="280"/>
      <c r="Z1818" s="281"/>
      <c r="AA1818" s="281"/>
      <c r="AB1818" s="5">
        <f t="shared" si="2705"/>
        <v>0</v>
      </c>
      <c r="AC1818" s="91">
        <f t="shared" si="2706"/>
        <v>0</v>
      </c>
    </row>
    <row r="1819" spans="1:30" x14ac:dyDescent="0.15">
      <c r="A1819" s="102" t="s">
        <v>3</v>
      </c>
      <c r="B1819" s="27"/>
      <c r="C1819" s="26"/>
      <c r="D1819" s="26"/>
      <c r="E1819" s="5">
        <f t="shared" si="2695"/>
        <v>0</v>
      </c>
      <c r="F1819" s="25"/>
      <c r="G1819" s="26"/>
      <c r="H1819" s="26"/>
      <c r="I1819" s="5">
        <f t="shared" si="2696"/>
        <v>0</v>
      </c>
      <c r="J1819" s="25"/>
      <c r="K1819" s="26"/>
      <c r="L1819" s="26"/>
      <c r="M1819" s="38">
        <f t="shared" si="2697"/>
        <v>0</v>
      </c>
      <c r="N1819" s="138">
        <f t="shared" si="2698"/>
        <v>0</v>
      </c>
      <c r="P1819" s="6" t="s">
        <v>3</v>
      </c>
      <c r="Q1819" s="14"/>
      <c r="R1819" s="11"/>
      <c r="S1819" s="11"/>
      <c r="T1819" s="5">
        <f t="shared" si="2699"/>
        <v>0</v>
      </c>
      <c r="U1819" s="14"/>
      <c r="V1819" s="11"/>
      <c r="W1819" s="11"/>
      <c r="X1819" s="5">
        <f t="shared" si="2700"/>
        <v>0</v>
      </c>
      <c r="Y1819" s="25"/>
      <c r="Z1819" s="26"/>
      <c r="AA1819" s="26"/>
      <c r="AB1819" s="8">
        <f t="shared" si="2701"/>
        <v>0</v>
      </c>
      <c r="AC1819" s="86">
        <f t="shared" si="2702"/>
        <v>0</v>
      </c>
    </row>
    <row r="1820" spans="1:30" x14ac:dyDescent="0.15">
      <c r="A1820" s="102" t="s">
        <v>3</v>
      </c>
      <c r="B1820" s="27"/>
      <c r="C1820" s="26"/>
      <c r="D1820" s="26"/>
      <c r="E1820" s="5">
        <f t="shared" si="2695"/>
        <v>0</v>
      </c>
      <c r="F1820" s="25"/>
      <c r="G1820" s="26"/>
      <c r="H1820" s="26"/>
      <c r="I1820" s="5">
        <f t="shared" si="2696"/>
        <v>0</v>
      </c>
      <c r="J1820" s="25"/>
      <c r="K1820" s="26"/>
      <c r="L1820" s="26"/>
      <c r="M1820" s="38">
        <f t="shared" si="2697"/>
        <v>0</v>
      </c>
      <c r="N1820" s="138">
        <f t="shared" si="2698"/>
        <v>0</v>
      </c>
      <c r="P1820" s="6" t="s">
        <v>3</v>
      </c>
      <c r="Q1820" s="14"/>
      <c r="R1820" s="11"/>
      <c r="S1820" s="11"/>
      <c r="T1820" s="5">
        <f t="shared" si="2699"/>
        <v>0</v>
      </c>
      <c r="U1820" s="14"/>
      <c r="V1820" s="11"/>
      <c r="W1820" s="11"/>
      <c r="X1820" s="5">
        <f t="shared" si="2700"/>
        <v>0</v>
      </c>
      <c r="Y1820" s="25"/>
      <c r="Z1820" s="26"/>
      <c r="AA1820" s="26"/>
      <c r="AB1820" s="8">
        <f t="shared" si="2701"/>
        <v>0</v>
      </c>
      <c r="AC1820" s="86">
        <f t="shared" si="2702"/>
        <v>0</v>
      </c>
    </row>
    <row r="1821" spans="1:30" ht="14.25" thickBot="1" x14ac:dyDescent="0.2">
      <c r="A1821" s="102" t="s">
        <v>3</v>
      </c>
      <c r="B1821" s="28"/>
      <c r="C1821" s="29"/>
      <c r="D1821" s="32"/>
      <c r="E1821" s="15">
        <f t="shared" si="2695"/>
        <v>0</v>
      </c>
      <c r="F1821" s="35"/>
      <c r="G1821" s="29"/>
      <c r="H1821" s="32"/>
      <c r="I1821" s="15">
        <f t="shared" si="2696"/>
        <v>0</v>
      </c>
      <c r="J1821" s="35"/>
      <c r="K1821" s="29"/>
      <c r="L1821" s="32"/>
      <c r="M1821" s="40">
        <f t="shared" si="2697"/>
        <v>0</v>
      </c>
      <c r="N1821" s="139">
        <f t="shared" si="2698"/>
        <v>0</v>
      </c>
      <c r="P1821" s="6" t="s">
        <v>3</v>
      </c>
      <c r="Q1821" s="14"/>
      <c r="R1821" s="11"/>
      <c r="S1821" s="11"/>
      <c r="T1821" s="5">
        <f t="shared" si="2699"/>
        <v>0</v>
      </c>
      <c r="U1821" s="14"/>
      <c r="V1821" s="11"/>
      <c r="W1821" s="11"/>
      <c r="X1821" s="5">
        <f t="shared" si="2700"/>
        <v>0</v>
      </c>
      <c r="Y1821" s="25"/>
      <c r="Z1821" s="26"/>
      <c r="AA1821" s="26"/>
      <c r="AB1821" s="8">
        <f t="shared" si="2701"/>
        <v>0</v>
      </c>
      <c r="AC1821" s="86">
        <f t="shared" si="2702"/>
        <v>0</v>
      </c>
    </row>
    <row r="1822" spans="1:30" ht="14.25" thickBot="1" x14ac:dyDescent="0.2">
      <c r="A1822" s="103" t="s">
        <v>4</v>
      </c>
      <c r="B1822" s="17">
        <f>SUM(B1811:B1821)</f>
        <v>37</v>
      </c>
      <c r="C1822" s="17">
        <f>SUM(C1811:C1821)</f>
        <v>38</v>
      </c>
      <c r="D1822" s="17">
        <f>SUM(D1811:D1821)</f>
        <v>43</v>
      </c>
      <c r="E1822" s="18">
        <f t="shared" si="2695"/>
        <v>118</v>
      </c>
      <c r="F1822" s="17">
        <f>SUM(F1811:F1821)</f>
        <v>37</v>
      </c>
      <c r="G1822" s="17">
        <f>SUM(G1811:G1821)</f>
        <v>38</v>
      </c>
      <c r="H1822" s="17">
        <f>SUM(H1811:H1821)</f>
        <v>45</v>
      </c>
      <c r="I1822" s="18">
        <f t="shared" si="2696"/>
        <v>120</v>
      </c>
      <c r="J1822" s="17">
        <f>SUM(J1811:J1821)</f>
        <v>38</v>
      </c>
      <c r="K1822" s="17">
        <f>SUM(K1811:K1821)</f>
        <v>37</v>
      </c>
      <c r="L1822" s="17">
        <f>SUM(L1811:L1821)</f>
        <v>43</v>
      </c>
      <c r="M1822" s="20">
        <f t="shared" si="2697"/>
        <v>118</v>
      </c>
      <c r="N1822" s="140">
        <f t="shared" si="2698"/>
        <v>356</v>
      </c>
      <c r="P1822" s="16" t="s">
        <v>4</v>
      </c>
      <c r="Q1822" s="17">
        <f>SUM(Q1811:Q1821)</f>
        <v>260</v>
      </c>
      <c r="R1822" s="17">
        <f t="shared" ref="R1822:AC1822" si="2711">SUM(R1811:R1821)</f>
        <v>388</v>
      </c>
      <c r="S1822" s="17">
        <f t="shared" si="2711"/>
        <v>277</v>
      </c>
      <c r="T1822" s="18">
        <f t="shared" si="2711"/>
        <v>925</v>
      </c>
      <c r="U1822" s="17">
        <f t="shared" si="2711"/>
        <v>363</v>
      </c>
      <c r="V1822" s="17">
        <f t="shared" si="2711"/>
        <v>474</v>
      </c>
      <c r="W1822" s="17">
        <f t="shared" si="2711"/>
        <v>397</v>
      </c>
      <c r="X1822" s="18">
        <f t="shared" si="2711"/>
        <v>1234</v>
      </c>
      <c r="Y1822" s="17">
        <f t="shared" si="2711"/>
        <v>299</v>
      </c>
      <c r="Z1822" s="17">
        <f t="shared" si="2711"/>
        <v>347</v>
      </c>
      <c r="AA1822" s="17">
        <f t="shared" si="2711"/>
        <v>311</v>
      </c>
      <c r="AB1822" s="18">
        <f t="shared" si="2711"/>
        <v>957</v>
      </c>
      <c r="AC1822" s="88">
        <f t="shared" si="2711"/>
        <v>3116</v>
      </c>
    </row>
    <row r="1823" spans="1:30" x14ac:dyDescent="0.15">
      <c r="A1823" s="33" t="s">
        <v>1764</v>
      </c>
      <c r="B1823" s="9">
        <v>3</v>
      </c>
      <c r="C1823" s="10"/>
      <c r="D1823" s="31">
        <v>9</v>
      </c>
      <c r="E1823" s="5">
        <f t="shared" si="2695"/>
        <v>12</v>
      </c>
      <c r="F1823" s="9">
        <v>3</v>
      </c>
      <c r="G1823" s="10"/>
      <c r="H1823" s="31">
        <v>9</v>
      </c>
      <c r="I1823" s="5">
        <f t="shared" si="2696"/>
        <v>12</v>
      </c>
      <c r="J1823" s="9">
        <v>3</v>
      </c>
      <c r="K1823" s="10"/>
      <c r="L1823" s="31">
        <v>9</v>
      </c>
      <c r="M1823" s="38">
        <f t="shared" si="2697"/>
        <v>12</v>
      </c>
      <c r="N1823" s="141">
        <f t="shared" si="2698"/>
        <v>36</v>
      </c>
      <c r="O1823" s="24">
        <v>46149</v>
      </c>
      <c r="P1823" s="4" t="s">
        <v>1738</v>
      </c>
      <c r="Q1823" s="9">
        <v>30</v>
      </c>
      <c r="R1823" s="10">
        <v>40</v>
      </c>
      <c r="S1823" s="31">
        <v>30</v>
      </c>
      <c r="T1823" s="5">
        <f t="shared" ref="T1823:T1835" si="2712">SUM(Q1823:S1823)</f>
        <v>100</v>
      </c>
      <c r="U1823" s="9"/>
      <c r="V1823" s="10">
        <v>5</v>
      </c>
      <c r="W1823" s="31">
        <v>10</v>
      </c>
      <c r="X1823" s="5">
        <f t="shared" ref="X1823:X1835" si="2713">SUM(U1823:W1823)</f>
        <v>15</v>
      </c>
      <c r="Y1823" s="9">
        <v>40</v>
      </c>
      <c r="Z1823" s="10">
        <v>30</v>
      </c>
      <c r="AA1823" s="31">
        <v>70</v>
      </c>
      <c r="AB1823" s="5">
        <f t="shared" ref="AB1823:AB1835" si="2714">SUM(Y1823:AA1823)</f>
        <v>140</v>
      </c>
      <c r="AC1823" s="148">
        <f t="shared" ref="AC1823:AC1835" si="2715">T1823+X1823+AB1823</f>
        <v>255</v>
      </c>
      <c r="AD1823" s="109">
        <v>46135</v>
      </c>
    </row>
    <row r="1824" spans="1:30" x14ac:dyDescent="0.15">
      <c r="A1824" s="33" t="s">
        <v>36</v>
      </c>
      <c r="B1824" s="9">
        <v>2</v>
      </c>
      <c r="C1824" s="10"/>
      <c r="D1824" s="10"/>
      <c r="E1824" s="5">
        <f t="shared" si="2695"/>
        <v>2</v>
      </c>
      <c r="F1824" s="9"/>
      <c r="G1824" s="10"/>
      <c r="H1824" s="10"/>
      <c r="I1824" s="5">
        <f t="shared" si="2696"/>
        <v>0</v>
      </c>
      <c r="J1824" s="9"/>
      <c r="K1824" s="10"/>
      <c r="L1824" s="10"/>
      <c r="M1824" s="38">
        <f t="shared" si="2697"/>
        <v>0</v>
      </c>
      <c r="N1824" s="138">
        <f t="shared" si="2698"/>
        <v>2</v>
      </c>
      <c r="O1824" s="24">
        <v>46143</v>
      </c>
      <c r="P1824" s="11" t="s">
        <v>1743</v>
      </c>
      <c r="Q1824" s="9">
        <v>2</v>
      </c>
      <c r="R1824" s="10">
        <v>6</v>
      </c>
      <c r="S1824" s="10">
        <v>6</v>
      </c>
      <c r="T1824" s="5">
        <f t="shared" si="2712"/>
        <v>14</v>
      </c>
      <c r="U1824" s="9">
        <v>2</v>
      </c>
      <c r="V1824" s="10">
        <v>6</v>
      </c>
      <c r="W1824" s="10">
        <v>6</v>
      </c>
      <c r="X1824" s="5">
        <f t="shared" si="2713"/>
        <v>14</v>
      </c>
      <c r="Y1824" s="9">
        <v>2</v>
      </c>
      <c r="Z1824" s="10">
        <v>6</v>
      </c>
      <c r="AA1824" s="10">
        <v>6</v>
      </c>
      <c r="AB1824" s="5">
        <f t="shared" si="2714"/>
        <v>14</v>
      </c>
      <c r="AC1824" s="93">
        <f t="shared" si="2715"/>
        <v>42</v>
      </c>
      <c r="AD1824" s="109">
        <v>46139</v>
      </c>
    </row>
    <row r="1825" spans="1:31" x14ac:dyDescent="0.15">
      <c r="A1825" s="33" t="s">
        <v>1774</v>
      </c>
      <c r="B1825" s="9">
        <v>1</v>
      </c>
      <c r="C1825" s="10">
        <v>3</v>
      </c>
      <c r="D1825" s="10">
        <v>5</v>
      </c>
      <c r="E1825" s="5">
        <f t="shared" si="2695"/>
        <v>9</v>
      </c>
      <c r="F1825" s="9">
        <v>1</v>
      </c>
      <c r="G1825" s="10">
        <v>3</v>
      </c>
      <c r="H1825" s="10">
        <v>5</v>
      </c>
      <c r="I1825" s="5">
        <f t="shared" si="2696"/>
        <v>9</v>
      </c>
      <c r="J1825" s="9">
        <v>1</v>
      </c>
      <c r="K1825" s="10">
        <v>3</v>
      </c>
      <c r="L1825" s="10">
        <v>5</v>
      </c>
      <c r="M1825" s="38">
        <f t="shared" si="2697"/>
        <v>9</v>
      </c>
      <c r="N1825" s="138">
        <f t="shared" si="2698"/>
        <v>27</v>
      </c>
      <c r="O1825" s="24">
        <v>46150</v>
      </c>
      <c r="P1825" s="4" t="s">
        <v>1744</v>
      </c>
      <c r="Q1825" s="9">
        <v>18</v>
      </c>
      <c r="R1825" s="10">
        <v>22</v>
      </c>
      <c r="S1825" s="10">
        <v>12</v>
      </c>
      <c r="T1825" s="5">
        <f t="shared" si="2712"/>
        <v>52</v>
      </c>
      <c r="U1825" s="9">
        <v>18</v>
      </c>
      <c r="V1825" s="10">
        <v>22</v>
      </c>
      <c r="W1825" s="10">
        <v>12</v>
      </c>
      <c r="X1825" s="5">
        <f t="shared" si="2713"/>
        <v>52</v>
      </c>
      <c r="Y1825" s="9">
        <v>18</v>
      </c>
      <c r="Z1825" s="10">
        <v>22</v>
      </c>
      <c r="AA1825" s="10">
        <v>12</v>
      </c>
      <c r="AB1825" s="5">
        <f t="shared" si="2714"/>
        <v>52</v>
      </c>
      <c r="AC1825" s="93">
        <f t="shared" si="2715"/>
        <v>156</v>
      </c>
      <c r="AD1825" s="109">
        <v>46139</v>
      </c>
    </row>
    <row r="1826" spans="1:31" x14ac:dyDescent="0.15">
      <c r="A1826" s="33" t="s">
        <v>1775</v>
      </c>
      <c r="B1826" s="9"/>
      <c r="C1826" s="10"/>
      <c r="D1826" s="10"/>
      <c r="E1826" s="5">
        <f t="shared" si="2695"/>
        <v>0</v>
      </c>
      <c r="F1826" s="9"/>
      <c r="G1826" s="10"/>
      <c r="H1826" s="10">
        <v>1</v>
      </c>
      <c r="I1826" s="5">
        <f t="shared" si="2696"/>
        <v>1</v>
      </c>
      <c r="J1826" s="9"/>
      <c r="K1826" s="10"/>
      <c r="L1826" s="10"/>
      <c r="M1826" s="38">
        <f t="shared" si="2697"/>
        <v>0</v>
      </c>
      <c r="N1826" s="138">
        <f t="shared" si="2698"/>
        <v>1</v>
      </c>
      <c r="O1826" s="24">
        <v>46150</v>
      </c>
      <c r="P1826" s="4" t="s">
        <v>1747</v>
      </c>
      <c r="Q1826" s="9">
        <v>10</v>
      </c>
      <c r="R1826" s="10"/>
      <c r="S1826" s="10"/>
      <c r="T1826" s="5">
        <f t="shared" si="2712"/>
        <v>10</v>
      </c>
      <c r="U1826" s="9">
        <v>10</v>
      </c>
      <c r="V1826" s="10">
        <v>25</v>
      </c>
      <c r="W1826" s="10"/>
      <c r="X1826" s="5">
        <f t="shared" si="2713"/>
        <v>35</v>
      </c>
      <c r="Y1826" s="9"/>
      <c r="Z1826" s="10">
        <v>50</v>
      </c>
      <c r="AA1826" s="10"/>
      <c r="AB1826" s="5">
        <f t="shared" si="2714"/>
        <v>50</v>
      </c>
      <c r="AC1826" s="93">
        <f t="shared" si="2715"/>
        <v>95</v>
      </c>
      <c r="AD1826" s="109">
        <v>46137</v>
      </c>
      <c r="AE1826" s="58"/>
    </row>
    <row r="1827" spans="1:31" x14ac:dyDescent="0.15">
      <c r="A1827" s="33" t="s">
        <v>36</v>
      </c>
      <c r="B1827" s="9">
        <v>2</v>
      </c>
      <c r="C1827" s="10">
        <v>3</v>
      </c>
      <c r="D1827" s="10">
        <v>4</v>
      </c>
      <c r="E1827" s="8">
        <f t="shared" ref="E1827:E1828" si="2716">SUM(B1827:D1827)</f>
        <v>9</v>
      </c>
      <c r="F1827" s="9">
        <v>2</v>
      </c>
      <c r="G1827" s="10">
        <v>3</v>
      </c>
      <c r="H1827" s="10">
        <v>4</v>
      </c>
      <c r="I1827" s="8">
        <f t="shared" ref="I1827:I1828" si="2717">SUM(F1827:H1827)</f>
        <v>9</v>
      </c>
      <c r="J1827" s="9">
        <v>2</v>
      </c>
      <c r="K1827" s="10">
        <v>3</v>
      </c>
      <c r="L1827" s="10">
        <v>4</v>
      </c>
      <c r="M1827" s="39">
        <f t="shared" ref="M1827:M1828" si="2718">SUM(J1827:L1827)</f>
        <v>9</v>
      </c>
      <c r="N1827" s="138">
        <f t="shared" ref="N1827:N1828" si="2719">E1827+I1827+M1827</f>
        <v>27</v>
      </c>
      <c r="O1827" s="70">
        <v>46149</v>
      </c>
      <c r="P1827" s="11" t="s">
        <v>1752</v>
      </c>
      <c r="Q1827" s="9"/>
      <c r="R1827" s="10">
        <v>8</v>
      </c>
      <c r="S1827" s="10"/>
      <c r="T1827" s="5">
        <f t="shared" si="2712"/>
        <v>8</v>
      </c>
      <c r="U1827" s="9"/>
      <c r="V1827" s="10"/>
      <c r="W1827" s="10"/>
      <c r="X1827" s="5">
        <f t="shared" si="2713"/>
        <v>0</v>
      </c>
      <c r="Y1827" s="9"/>
      <c r="Z1827" s="10"/>
      <c r="AA1827" s="10"/>
      <c r="AB1827" s="5">
        <f t="shared" si="2714"/>
        <v>0</v>
      </c>
      <c r="AC1827" s="93">
        <f t="shared" si="2715"/>
        <v>8</v>
      </c>
      <c r="AD1827" s="109">
        <v>46141</v>
      </c>
    </row>
    <row r="1828" spans="1:31" x14ac:dyDescent="0.15">
      <c r="A1828" s="33" t="s">
        <v>1783</v>
      </c>
      <c r="B1828" s="9">
        <v>2</v>
      </c>
      <c r="C1828" s="10">
        <v>5</v>
      </c>
      <c r="D1828" s="10"/>
      <c r="E1828" s="8">
        <f t="shared" si="2716"/>
        <v>7</v>
      </c>
      <c r="F1828" s="9">
        <v>2</v>
      </c>
      <c r="G1828" s="10">
        <v>5</v>
      </c>
      <c r="H1828" s="10"/>
      <c r="I1828" s="8">
        <f t="shared" si="2717"/>
        <v>7</v>
      </c>
      <c r="J1828" s="9">
        <v>2</v>
      </c>
      <c r="K1828" s="10">
        <v>5</v>
      </c>
      <c r="L1828" s="10"/>
      <c r="M1828" s="39">
        <f t="shared" si="2718"/>
        <v>7</v>
      </c>
      <c r="N1828" s="138">
        <f t="shared" si="2719"/>
        <v>21</v>
      </c>
      <c r="O1828" s="24">
        <v>46153</v>
      </c>
      <c r="P1828" s="11" t="s">
        <v>1761</v>
      </c>
      <c r="Q1828" s="9"/>
      <c r="R1828" s="10">
        <v>5</v>
      </c>
      <c r="S1828" s="10"/>
      <c r="T1828" s="8">
        <f t="shared" si="2712"/>
        <v>5</v>
      </c>
      <c r="U1828" s="9"/>
      <c r="V1828" s="10">
        <v>5</v>
      </c>
      <c r="W1828" s="10"/>
      <c r="X1828" s="8">
        <f t="shared" si="2713"/>
        <v>5</v>
      </c>
      <c r="Y1828" s="9"/>
      <c r="Z1828" s="10">
        <v>5</v>
      </c>
      <c r="AA1828" s="10"/>
      <c r="AB1828" s="8">
        <f t="shared" si="2714"/>
        <v>5</v>
      </c>
      <c r="AC1828" s="93">
        <f t="shared" si="2715"/>
        <v>15</v>
      </c>
      <c r="AD1828" s="109">
        <v>46154</v>
      </c>
    </row>
    <row r="1829" spans="1:31" x14ac:dyDescent="0.15">
      <c r="A1829" s="33" t="s">
        <v>36</v>
      </c>
      <c r="B1829" s="9"/>
      <c r="C1829" s="10"/>
      <c r="D1829" s="10"/>
      <c r="E1829" s="8">
        <f t="shared" si="2695"/>
        <v>0</v>
      </c>
      <c r="F1829" s="9"/>
      <c r="G1829" s="10"/>
      <c r="H1829" s="10"/>
      <c r="I1829" s="8">
        <f t="shared" si="2696"/>
        <v>0</v>
      </c>
      <c r="J1829" s="9"/>
      <c r="K1829" s="10"/>
      <c r="L1829" s="10">
        <v>1</v>
      </c>
      <c r="M1829" s="39">
        <f t="shared" si="2697"/>
        <v>1</v>
      </c>
      <c r="N1829" s="138">
        <f t="shared" si="2698"/>
        <v>1</v>
      </c>
      <c r="O1829" s="70">
        <v>46150</v>
      </c>
      <c r="P1829" s="4" t="s">
        <v>1762</v>
      </c>
      <c r="Q1829" s="9"/>
      <c r="R1829" s="10">
        <v>2</v>
      </c>
      <c r="S1829" s="10">
        <v>2</v>
      </c>
      <c r="T1829" s="8">
        <f t="shared" si="2712"/>
        <v>4</v>
      </c>
      <c r="U1829" s="9"/>
      <c r="V1829" s="10">
        <v>2</v>
      </c>
      <c r="W1829" s="10">
        <v>2</v>
      </c>
      <c r="X1829" s="8">
        <f t="shared" si="2713"/>
        <v>4</v>
      </c>
      <c r="Y1829" s="9"/>
      <c r="Z1829" s="10">
        <v>2</v>
      </c>
      <c r="AA1829" s="10">
        <v>2</v>
      </c>
      <c r="AB1829" s="8">
        <f t="shared" si="2714"/>
        <v>4</v>
      </c>
      <c r="AC1829" s="93">
        <f t="shared" si="2715"/>
        <v>12</v>
      </c>
      <c r="AD1829" s="109">
        <v>46160</v>
      </c>
    </row>
    <row r="1830" spans="1:31" x14ac:dyDescent="0.15">
      <c r="A1830" s="33" t="s">
        <v>36</v>
      </c>
      <c r="B1830" s="9">
        <v>1</v>
      </c>
      <c r="C1830" s="10">
        <v>1</v>
      </c>
      <c r="D1830" s="10"/>
      <c r="E1830" s="8">
        <f t="shared" si="2695"/>
        <v>2</v>
      </c>
      <c r="F1830" s="9">
        <v>1</v>
      </c>
      <c r="G1830" s="10">
        <v>2</v>
      </c>
      <c r="H1830" s="10">
        <v>1</v>
      </c>
      <c r="I1830" s="8">
        <f t="shared" si="2696"/>
        <v>4</v>
      </c>
      <c r="J1830" s="9">
        <v>1</v>
      </c>
      <c r="K1830" s="10">
        <v>1</v>
      </c>
      <c r="L1830" s="10"/>
      <c r="M1830" s="39">
        <f t="shared" si="2697"/>
        <v>2</v>
      </c>
      <c r="N1830" s="138">
        <f t="shared" si="2698"/>
        <v>8</v>
      </c>
      <c r="O1830" s="24">
        <v>46153</v>
      </c>
      <c r="P1830" s="4" t="s">
        <v>1765</v>
      </c>
      <c r="Q1830" s="9">
        <v>5</v>
      </c>
      <c r="R1830" s="10">
        <v>5</v>
      </c>
      <c r="S1830" s="10">
        <v>5</v>
      </c>
      <c r="T1830" s="8">
        <f t="shared" si="2712"/>
        <v>15</v>
      </c>
      <c r="U1830" s="9">
        <v>5</v>
      </c>
      <c r="V1830" s="10">
        <v>5</v>
      </c>
      <c r="W1830" s="10">
        <v>5</v>
      </c>
      <c r="X1830" s="8">
        <f t="shared" si="2713"/>
        <v>15</v>
      </c>
      <c r="Y1830" s="9">
        <v>5</v>
      </c>
      <c r="Z1830" s="10">
        <v>5</v>
      </c>
      <c r="AA1830" s="10">
        <v>5</v>
      </c>
      <c r="AB1830" s="8">
        <f t="shared" si="2714"/>
        <v>15</v>
      </c>
      <c r="AC1830" s="93">
        <f t="shared" si="2715"/>
        <v>45</v>
      </c>
      <c r="AD1830" s="109">
        <v>46160</v>
      </c>
    </row>
    <row r="1831" spans="1:31" x14ac:dyDescent="0.15">
      <c r="A1831" s="33" t="s">
        <v>1786</v>
      </c>
      <c r="B1831" s="9">
        <v>5</v>
      </c>
      <c r="C1831" s="10">
        <v>4</v>
      </c>
      <c r="D1831" s="10">
        <v>5</v>
      </c>
      <c r="E1831" s="8">
        <f t="shared" si="2695"/>
        <v>14</v>
      </c>
      <c r="F1831" s="9">
        <v>5</v>
      </c>
      <c r="G1831" s="10">
        <v>4</v>
      </c>
      <c r="H1831" s="10">
        <v>5</v>
      </c>
      <c r="I1831" s="8">
        <f t="shared" si="2696"/>
        <v>14</v>
      </c>
      <c r="J1831" s="9">
        <v>5</v>
      </c>
      <c r="K1831" s="10">
        <v>4</v>
      </c>
      <c r="L1831" s="10">
        <v>5</v>
      </c>
      <c r="M1831" s="39">
        <f t="shared" si="2697"/>
        <v>14</v>
      </c>
      <c r="N1831" s="138">
        <f t="shared" si="2698"/>
        <v>42</v>
      </c>
      <c r="O1831" s="24">
        <v>46156</v>
      </c>
      <c r="P1831" s="4" t="s">
        <v>1769</v>
      </c>
      <c r="Q1831" s="9">
        <v>10</v>
      </c>
      <c r="R1831" s="10">
        <v>10</v>
      </c>
      <c r="S1831" s="10">
        <v>10</v>
      </c>
      <c r="T1831" s="8">
        <f t="shared" si="2712"/>
        <v>30</v>
      </c>
      <c r="U1831" s="9">
        <v>10</v>
      </c>
      <c r="V1831" s="10">
        <v>10</v>
      </c>
      <c r="W1831" s="10">
        <v>10</v>
      </c>
      <c r="X1831" s="8">
        <f t="shared" si="2713"/>
        <v>30</v>
      </c>
      <c r="Y1831" s="9">
        <v>10</v>
      </c>
      <c r="Z1831" s="10">
        <v>10</v>
      </c>
      <c r="AA1831" s="10">
        <v>10</v>
      </c>
      <c r="AB1831" s="8">
        <f t="shared" si="2714"/>
        <v>30</v>
      </c>
      <c r="AC1831" s="93">
        <f t="shared" si="2715"/>
        <v>90</v>
      </c>
      <c r="AD1831" s="109">
        <v>46144</v>
      </c>
    </row>
    <row r="1832" spans="1:31" x14ac:dyDescent="0.15">
      <c r="A1832" s="33" t="s">
        <v>36</v>
      </c>
      <c r="B1832" s="9">
        <v>1</v>
      </c>
      <c r="C1832" s="10"/>
      <c r="D1832" s="10">
        <v>1</v>
      </c>
      <c r="E1832" s="8">
        <f t="shared" si="2695"/>
        <v>2</v>
      </c>
      <c r="F1832" s="9">
        <v>1</v>
      </c>
      <c r="G1832" s="10"/>
      <c r="H1832" s="10"/>
      <c r="I1832" s="8">
        <f t="shared" si="2696"/>
        <v>1</v>
      </c>
      <c r="J1832" s="9">
        <v>1</v>
      </c>
      <c r="K1832" s="10"/>
      <c r="L1832" s="10"/>
      <c r="M1832" s="39">
        <f t="shared" si="2697"/>
        <v>1</v>
      </c>
      <c r="N1832" s="138">
        <f t="shared" si="2698"/>
        <v>4</v>
      </c>
      <c r="O1832" s="70">
        <v>46154</v>
      </c>
      <c r="P1832" s="4" t="s">
        <v>1739</v>
      </c>
      <c r="Q1832" s="9">
        <v>20</v>
      </c>
      <c r="R1832" s="10"/>
      <c r="S1832" s="10"/>
      <c r="T1832" s="8">
        <f t="shared" si="2712"/>
        <v>20</v>
      </c>
      <c r="U1832" s="9">
        <v>20</v>
      </c>
      <c r="V1832" s="10">
        <v>15</v>
      </c>
      <c r="W1832" s="10">
        <v>10</v>
      </c>
      <c r="X1832" s="8">
        <f t="shared" si="2713"/>
        <v>45</v>
      </c>
      <c r="Y1832" s="9">
        <v>10</v>
      </c>
      <c r="Z1832" s="10">
        <v>25</v>
      </c>
      <c r="AA1832" s="10"/>
      <c r="AB1832" s="8">
        <f t="shared" si="2714"/>
        <v>35</v>
      </c>
      <c r="AC1832" s="93">
        <f t="shared" si="2715"/>
        <v>100</v>
      </c>
      <c r="AD1832" s="109">
        <v>46154</v>
      </c>
    </row>
    <row r="1833" spans="1:31" x14ac:dyDescent="0.15">
      <c r="A1833" s="33" t="s">
        <v>1787</v>
      </c>
      <c r="B1833" s="9">
        <v>1</v>
      </c>
      <c r="C1833" s="10"/>
      <c r="D1833" s="10"/>
      <c r="E1833" s="8">
        <f t="shared" si="2695"/>
        <v>1</v>
      </c>
      <c r="F1833" s="9">
        <v>1</v>
      </c>
      <c r="G1833" s="10"/>
      <c r="H1833" s="10"/>
      <c r="I1833" s="8">
        <f t="shared" si="2696"/>
        <v>1</v>
      </c>
      <c r="J1833" s="9">
        <v>1</v>
      </c>
      <c r="K1833" s="10"/>
      <c r="L1833" s="10"/>
      <c r="M1833" s="39">
        <f t="shared" si="2697"/>
        <v>1</v>
      </c>
      <c r="N1833" s="138">
        <f t="shared" si="2698"/>
        <v>3</v>
      </c>
      <c r="O1833" s="24">
        <v>46157</v>
      </c>
      <c r="P1833" s="4" t="s">
        <v>1319</v>
      </c>
      <c r="Q1833" s="9"/>
      <c r="R1833" s="10">
        <v>15</v>
      </c>
      <c r="S1833" s="10">
        <v>15</v>
      </c>
      <c r="T1833" s="8">
        <f t="shared" si="2712"/>
        <v>30</v>
      </c>
      <c r="U1833" s="9"/>
      <c r="V1833" s="10">
        <v>15</v>
      </c>
      <c r="W1833" s="10">
        <v>15</v>
      </c>
      <c r="X1833" s="8">
        <f t="shared" si="2713"/>
        <v>30</v>
      </c>
      <c r="Y1833" s="9"/>
      <c r="Z1833" s="10">
        <v>15</v>
      </c>
      <c r="AA1833" s="10">
        <v>15</v>
      </c>
      <c r="AB1833" s="8">
        <f t="shared" si="2714"/>
        <v>30</v>
      </c>
      <c r="AC1833" s="93">
        <f t="shared" si="2715"/>
        <v>90</v>
      </c>
      <c r="AD1833" s="109">
        <v>46150</v>
      </c>
    </row>
    <row r="1834" spans="1:31" x14ac:dyDescent="0.15">
      <c r="A1834" s="33" t="s">
        <v>36</v>
      </c>
      <c r="B1834" s="9"/>
      <c r="C1834" s="10"/>
      <c r="D1834" s="10">
        <v>1</v>
      </c>
      <c r="E1834" s="8">
        <f t="shared" si="2695"/>
        <v>1</v>
      </c>
      <c r="F1834" s="9"/>
      <c r="G1834" s="10"/>
      <c r="H1834" s="10">
        <v>1</v>
      </c>
      <c r="I1834" s="8">
        <f t="shared" si="2696"/>
        <v>1</v>
      </c>
      <c r="J1834" s="9"/>
      <c r="K1834" s="10"/>
      <c r="L1834" s="10">
        <v>1</v>
      </c>
      <c r="M1834" s="39">
        <f t="shared" si="2697"/>
        <v>1</v>
      </c>
      <c r="N1834" s="138">
        <f t="shared" si="2698"/>
        <v>3</v>
      </c>
      <c r="O1834" s="24">
        <v>46155</v>
      </c>
      <c r="P1834" s="11" t="s">
        <v>1779</v>
      </c>
      <c r="Q1834" s="9"/>
      <c r="R1834" s="10">
        <v>9</v>
      </c>
      <c r="S1834" s="10">
        <v>5</v>
      </c>
      <c r="T1834" s="5">
        <f t="shared" si="2712"/>
        <v>14</v>
      </c>
      <c r="U1834" s="9"/>
      <c r="V1834" s="10">
        <v>9</v>
      </c>
      <c r="W1834" s="10">
        <v>5</v>
      </c>
      <c r="X1834" s="5">
        <f t="shared" si="2713"/>
        <v>14</v>
      </c>
      <c r="Y1834" s="9"/>
      <c r="Z1834" s="10">
        <v>9</v>
      </c>
      <c r="AA1834" s="10">
        <v>5</v>
      </c>
      <c r="AB1834" s="38">
        <f t="shared" si="2714"/>
        <v>14</v>
      </c>
      <c r="AC1834" s="138">
        <f t="shared" si="2715"/>
        <v>42</v>
      </c>
      <c r="AD1834" s="109">
        <v>46153</v>
      </c>
    </row>
    <row r="1835" spans="1:31" x14ac:dyDescent="0.15">
      <c r="A1835" s="33" t="s">
        <v>36</v>
      </c>
      <c r="B1835" s="9">
        <v>1</v>
      </c>
      <c r="C1835" s="10">
        <v>1</v>
      </c>
      <c r="D1835" s="10"/>
      <c r="E1835" s="8">
        <f t="shared" si="2695"/>
        <v>2</v>
      </c>
      <c r="F1835" s="9">
        <v>1</v>
      </c>
      <c r="G1835" s="10">
        <v>1</v>
      </c>
      <c r="H1835" s="10"/>
      <c r="I1835" s="8">
        <f t="shared" si="2696"/>
        <v>2</v>
      </c>
      <c r="J1835" s="9">
        <v>1</v>
      </c>
      <c r="K1835" s="10">
        <v>1</v>
      </c>
      <c r="L1835" s="10"/>
      <c r="M1835" s="39">
        <f t="shared" si="2697"/>
        <v>2</v>
      </c>
      <c r="N1835" s="138">
        <f t="shared" si="2698"/>
        <v>6</v>
      </c>
      <c r="O1835" s="24">
        <v>46156</v>
      </c>
      <c r="P1835" s="4" t="s">
        <v>1784</v>
      </c>
      <c r="Q1835" s="9"/>
      <c r="R1835" s="10">
        <v>15</v>
      </c>
      <c r="S1835" s="10">
        <v>5</v>
      </c>
      <c r="T1835" s="8">
        <f t="shared" si="2712"/>
        <v>20</v>
      </c>
      <c r="U1835" s="9"/>
      <c r="V1835" s="10">
        <v>15</v>
      </c>
      <c r="W1835" s="10">
        <v>5</v>
      </c>
      <c r="X1835" s="8">
        <f t="shared" si="2713"/>
        <v>20</v>
      </c>
      <c r="Y1835" s="9"/>
      <c r="Z1835" s="10">
        <v>15</v>
      </c>
      <c r="AA1835" s="10">
        <v>5</v>
      </c>
      <c r="AB1835" s="8">
        <f t="shared" si="2714"/>
        <v>20</v>
      </c>
      <c r="AC1835" s="93">
        <f t="shared" si="2715"/>
        <v>60</v>
      </c>
      <c r="AD1835" s="109">
        <v>46151</v>
      </c>
    </row>
    <row r="1836" spans="1:31" x14ac:dyDescent="0.15">
      <c r="A1836" s="33" t="s">
        <v>1498</v>
      </c>
      <c r="B1836" s="9">
        <v>1</v>
      </c>
      <c r="C1836" s="10">
        <v>-1</v>
      </c>
      <c r="D1836" s="10"/>
      <c r="E1836" s="8">
        <f t="shared" si="2695"/>
        <v>0</v>
      </c>
      <c r="F1836" s="9"/>
      <c r="G1836" s="10"/>
      <c r="H1836" s="10"/>
      <c r="I1836" s="8">
        <f t="shared" si="2696"/>
        <v>0</v>
      </c>
      <c r="J1836" s="9">
        <v>1</v>
      </c>
      <c r="K1836" s="10">
        <v>-1</v>
      </c>
      <c r="L1836" s="10"/>
      <c r="M1836" s="39">
        <f t="shared" si="2697"/>
        <v>0</v>
      </c>
      <c r="N1836" s="138">
        <f t="shared" si="2698"/>
        <v>0</v>
      </c>
      <c r="O1836" s="70">
        <v>46156</v>
      </c>
      <c r="P1836" s="4" t="s">
        <v>1785</v>
      </c>
      <c r="Q1836" s="9"/>
      <c r="R1836" s="10">
        <v>25</v>
      </c>
      <c r="S1836" s="10"/>
      <c r="T1836" s="8">
        <f t="shared" ref="T1836:T1840" si="2720">SUM(Q1836:S1836)</f>
        <v>25</v>
      </c>
      <c r="U1836" s="9"/>
      <c r="V1836" s="10"/>
      <c r="W1836" s="10"/>
      <c r="X1836" s="8">
        <f t="shared" ref="X1836:X1840" si="2721">SUM(U1836:W1836)</f>
        <v>0</v>
      </c>
      <c r="Y1836" s="9"/>
      <c r="Z1836" s="10"/>
      <c r="AA1836" s="10"/>
      <c r="AB1836" s="8">
        <f t="shared" ref="AB1836:AB1840" si="2722">SUM(Y1836:AA1836)</f>
        <v>0</v>
      </c>
      <c r="AC1836" s="93">
        <f t="shared" ref="AC1836:AC1840" si="2723">T1836+X1836+AB1836</f>
        <v>25</v>
      </c>
      <c r="AD1836" s="109">
        <v>46154</v>
      </c>
    </row>
    <row r="1837" spans="1:31" x14ac:dyDescent="0.15">
      <c r="A1837" s="33"/>
      <c r="B1837" s="9"/>
      <c r="C1837" s="10"/>
      <c r="D1837" s="10"/>
      <c r="E1837" s="8">
        <f t="shared" si="2695"/>
        <v>0</v>
      </c>
      <c r="F1837" s="9"/>
      <c r="G1837" s="10"/>
      <c r="H1837" s="10"/>
      <c r="I1837" s="8">
        <f t="shared" si="2696"/>
        <v>0</v>
      </c>
      <c r="J1837" s="9"/>
      <c r="K1837" s="10"/>
      <c r="L1837" s="10"/>
      <c r="M1837" s="39">
        <f t="shared" si="2697"/>
        <v>0</v>
      </c>
      <c r="N1837" s="138">
        <f t="shared" si="2698"/>
        <v>0</v>
      </c>
      <c r="P1837" s="165" t="s">
        <v>1319</v>
      </c>
      <c r="Q1837" s="166">
        <v>10</v>
      </c>
      <c r="R1837" s="167"/>
      <c r="S1837" s="167"/>
      <c r="T1837" s="168">
        <f t="shared" si="2720"/>
        <v>10</v>
      </c>
      <c r="U1837" s="166">
        <v>10</v>
      </c>
      <c r="V1837" s="167"/>
      <c r="W1837" s="167"/>
      <c r="X1837" s="168">
        <f t="shared" si="2721"/>
        <v>10</v>
      </c>
      <c r="Y1837" s="166">
        <v>10</v>
      </c>
      <c r="Z1837" s="167"/>
      <c r="AA1837" s="167"/>
      <c r="AB1837" s="168">
        <f t="shared" si="2722"/>
        <v>10</v>
      </c>
      <c r="AC1837" s="169">
        <f t="shared" si="2723"/>
        <v>30</v>
      </c>
      <c r="AD1837" s="170">
        <v>46155</v>
      </c>
    </row>
    <row r="1838" spans="1:31" x14ac:dyDescent="0.15">
      <c r="A1838" s="63"/>
      <c r="B1838" s="9"/>
      <c r="C1838" s="10"/>
      <c r="D1838" s="10"/>
      <c r="E1838" s="8">
        <f t="shared" si="2695"/>
        <v>0</v>
      </c>
      <c r="F1838" s="9"/>
      <c r="G1838" s="10"/>
      <c r="H1838" s="10"/>
      <c r="I1838" s="8">
        <f t="shared" si="2696"/>
        <v>0</v>
      </c>
      <c r="J1838" s="9"/>
      <c r="K1838" s="10"/>
      <c r="L1838" s="10"/>
      <c r="M1838" s="39">
        <f t="shared" si="2697"/>
        <v>0</v>
      </c>
      <c r="N1838" s="138">
        <f t="shared" si="2698"/>
        <v>0</v>
      </c>
      <c r="P1838" s="4"/>
      <c r="Q1838" s="9"/>
      <c r="R1838" s="10"/>
      <c r="S1838" s="10"/>
      <c r="T1838" s="8">
        <f t="shared" si="2720"/>
        <v>0</v>
      </c>
      <c r="U1838" s="9"/>
      <c r="V1838" s="10"/>
      <c r="W1838" s="10"/>
      <c r="X1838" s="8">
        <f t="shared" si="2721"/>
        <v>0</v>
      </c>
      <c r="Y1838" s="9"/>
      <c r="Z1838" s="10"/>
      <c r="AA1838" s="10"/>
      <c r="AB1838" s="8">
        <f t="shared" si="2722"/>
        <v>0</v>
      </c>
      <c r="AC1838" s="93">
        <f t="shared" si="2723"/>
        <v>0</v>
      </c>
    </row>
    <row r="1839" spans="1:31" x14ac:dyDescent="0.15">
      <c r="A1839" s="33"/>
      <c r="B1839" s="9"/>
      <c r="C1839" s="10"/>
      <c r="D1839" s="10"/>
      <c r="E1839" s="8">
        <f t="shared" si="2695"/>
        <v>0</v>
      </c>
      <c r="F1839" s="9"/>
      <c r="G1839" s="10"/>
      <c r="H1839" s="10"/>
      <c r="I1839" s="8">
        <f t="shared" si="2696"/>
        <v>0</v>
      </c>
      <c r="J1839" s="9"/>
      <c r="K1839" s="10"/>
      <c r="L1839" s="10"/>
      <c r="M1839" s="39">
        <f t="shared" si="2697"/>
        <v>0</v>
      </c>
      <c r="N1839" s="138">
        <f t="shared" si="2698"/>
        <v>0</v>
      </c>
      <c r="P1839" s="81" t="s">
        <v>1575</v>
      </c>
      <c r="Q1839" s="71"/>
      <c r="R1839" s="72"/>
      <c r="S1839" s="72"/>
      <c r="T1839" s="73">
        <f t="shared" si="2720"/>
        <v>0</v>
      </c>
      <c r="U1839" s="71"/>
      <c r="V1839" s="72"/>
      <c r="W1839" s="72"/>
      <c r="X1839" s="73">
        <f t="shared" si="2721"/>
        <v>0</v>
      </c>
      <c r="Y1839" s="71"/>
      <c r="Z1839" s="72"/>
      <c r="AA1839" s="72"/>
      <c r="AB1839" s="73">
        <f t="shared" si="2722"/>
        <v>0</v>
      </c>
      <c r="AC1839" s="92">
        <f t="shared" si="2723"/>
        <v>0</v>
      </c>
      <c r="AD1839" s="116"/>
    </row>
    <row r="1840" spans="1:31" x14ac:dyDescent="0.15">
      <c r="A1840" s="33"/>
      <c r="B1840" s="9"/>
      <c r="C1840" s="10"/>
      <c r="D1840" s="10"/>
      <c r="E1840" s="8">
        <f t="shared" si="2695"/>
        <v>0</v>
      </c>
      <c r="F1840" s="9"/>
      <c r="G1840" s="10"/>
      <c r="H1840" s="10"/>
      <c r="I1840" s="8">
        <f t="shared" si="2696"/>
        <v>0</v>
      </c>
      <c r="J1840" s="9"/>
      <c r="K1840" s="10"/>
      <c r="L1840" s="10"/>
      <c r="M1840" s="39">
        <f t="shared" si="2697"/>
        <v>0</v>
      </c>
      <c r="N1840" s="138">
        <f t="shared" si="2698"/>
        <v>0</v>
      </c>
      <c r="P1840" s="4" t="s">
        <v>1574</v>
      </c>
      <c r="Q1840" s="9"/>
      <c r="R1840" s="10"/>
      <c r="S1840" s="10"/>
      <c r="T1840" s="8">
        <f t="shared" si="2720"/>
        <v>0</v>
      </c>
      <c r="U1840" s="9"/>
      <c r="V1840" s="10"/>
      <c r="W1840" s="10"/>
      <c r="X1840" s="8">
        <f t="shared" si="2721"/>
        <v>0</v>
      </c>
      <c r="Y1840" s="9"/>
      <c r="Z1840" s="10"/>
      <c r="AA1840" s="10"/>
      <c r="AB1840" s="8">
        <f t="shared" si="2722"/>
        <v>0</v>
      </c>
      <c r="AC1840" s="93">
        <f t="shared" si="2723"/>
        <v>0</v>
      </c>
      <c r="AD1840" s="116" t="s">
        <v>1576</v>
      </c>
    </row>
    <row r="1841" spans="1:30" x14ac:dyDescent="0.15">
      <c r="A1841" s="33"/>
      <c r="B1841" s="9"/>
      <c r="C1841" s="10"/>
      <c r="D1841" s="10"/>
      <c r="E1841" s="8">
        <f t="shared" si="2695"/>
        <v>0</v>
      </c>
      <c r="F1841" s="9"/>
      <c r="G1841" s="10"/>
      <c r="H1841" s="10"/>
      <c r="I1841" s="8">
        <f t="shared" si="2696"/>
        <v>0</v>
      </c>
      <c r="J1841" s="9"/>
      <c r="K1841" s="10"/>
      <c r="L1841" s="10"/>
      <c r="M1841" s="39">
        <f t="shared" si="2697"/>
        <v>0</v>
      </c>
      <c r="N1841" s="138">
        <f t="shared" si="2698"/>
        <v>0</v>
      </c>
      <c r="P1841" s="11" t="s">
        <v>1606</v>
      </c>
      <c r="Q1841" s="9"/>
      <c r="R1841" s="10"/>
      <c r="S1841" s="10"/>
      <c r="T1841" s="8">
        <f t="shared" ref="T1841:T1846" si="2724">SUM(Q1841:S1841)</f>
        <v>0</v>
      </c>
      <c r="U1841" s="9"/>
      <c r="V1841" s="10"/>
      <c r="W1841" s="10"/>
      <c r="X1841" s="8">
        <f t="shared" ref="X1841:X1846" si="2725">SUM(U1841:W1841)</f>
        <v>0</v>
      </c>
      <c r="Y1841" s="9"/>
      <c r="Z1841" s="10"/>
      <c r="AA1841" s="10"/>
      <c r="AB1841" s="8">
        <f t="shared" ref="AB1841:AB1846" si="2726">SUM(Y1841:AA1841)</f>
        <v>0</v>
      </c>
      <c r="AC1841" s="93">
        <f t="shared" ref="AC1841:AC1846" si="2727">T1841+X1841+AB1841</f>
        <v>0</v>
      </c>
      <c r="AD1841" s="116" t="s">
        <v>744</v>
      </c>
    </row>
    <row r="1842" spans="1:30" x14ac:dyDescent="0.15">
      <c r="A1842" s="33"/>
      <c r="B1842" s="9"/>
      <c r="C1842" s="10"/>
      <c r="D1842" s="10"/>
      <c r="E1842" s="8">
        <f t="shared" si="2695"/>
        <v>0</v>
      </c>
      <c r="F1842" s="9"/>
      <c r="G1842" s="10"/>
      <c r="H1842" s="10"/>
      <c r="I1842" s="8">
        <f t="shared" si="2696"/>
        <v>0</v>
      </c>
      <c r="J1842" s="9"/>
      <c r="K1842" s="10"/>
      <c r="L1842" s="10"/>
      <c r="M1842" s="39">
        <f t="shared" si="2697"/>
        <v>0</v>
      </c>
      <c r="N1842" s="138">
        <f t="shared" si="2698"/>
        <v>0</v>
      </c>
      <c r="P1842" s="11" t="s">
        <v>1603</v>
      </c>
      <c r="Q1842" s="9"/>
      <c r="R1842" s="10"/>
      <c r="S1842" s="10"/>
      <c r="T1842" s="8">
        <f t="shared" si="2724"/>
        <v>0</v>
      </c>
      <c r="U1842" s="9"/>
      <c r="V1842" s="10"/>
      <c r="W1842" s="10"/>
      <c r="X1842" s="8">
        <f t="shared" si="2725"/>
        <v>0</v>
      </c>
      <c r="Y1842" s="9"/>
      <c r="Z1842" s="10"/>
      <c r="AA1842" s="10"/>
      <c r="AB1842" s="8">
        <f t="shared" si="2726"/>
        <v>0</v>
      </c>
      <c r="AC1842" s="93">
        <f t="shared" si="2727"/>
        <v>0</v>
      </c>
      <c r="AD1842" s="116" t="s">
        <v>132</v>
      </c>
    </row>
    <row r="1843" spans="1:30" x14ac:dyDescent="0.15">
      <c r="A1843" s="33"/>
      <c r="B1843" s="9"/>
      <c r="C1843" s="10"/>
      <c r="D1843" s="10"/>
      <c r="E1843" s="8">
        <f t="shared" si="2695"/>
        <v>0</v>
      </c>
      <c r="F1843" s="9"/>
      <c r="G1843" s="10"/>
      <c r="H1843" s="10"/>
      <c r="I1843" s="8">
        <f t="shared" si="2696"/>
        <v>0</v>
      </c>
      <c r="J1843" s="9"/>
      <c r="K1843" s="10"/>
      <c r="L1843" s="10"/>
      <c r="M1843" s="39">
        <f t="shared" si="2697"/>
        <v>0</v>
      </c>
      <c r="N1843" s="138">
        <f t="shared" si="2698"/>
        <v>0</v>
      </c>
      <c r="P1843" s="81" t="s">
        <v>1508</v>
      </c>
      <c r="Q1843" s="71"/>
      <c r="R1843" s="72"/>
      <c r="S1843" s="72"/>
      <c r="T1843" s="73">
        <f t="shared" si="2724"/>
        <v>0</v>
      </c>
      <c r="U1843" s="71"/>
      <c r="V1843" s="72"/>
      <c r="W1843" s="72"/>
      <c r="X1843" s="73">
        <f t="shared" si="2725"/>
        <v>0</v>
      </c>
      <c r="Y1843" s="71"/>
      <c r="Z1843" s="72"/>
      <c r="AA1843" s="72"/>
      <c r="AB1843" s="73">
        <f t="shared" si="2726"/>
        <v>0</v>
      </c>
      <c r="AC1843" s="92">
        <f t="shared" si="2727"/>
        <v>0</v>
      </c>
      <c r="AD1843" s="116"/>
    </row>
    <row r="1844" spans="1:30" x14ac:dyDescent="0.15">
      <c r="A1844" s="33"/>
      <c r="B1844" s="9"/>
      <c r="C1844" s="10"/>
      <c r="D1844" s="10"/>
      <c r="E1844" s="8">
        <f t="shared" si="2695"/>
        <v>0</v>
      </c>
      <c r="F1844" s="9"/>
      <c r="G1844" s="10"/>
      <c r="H1844" s="10"/>
      <c r="I1844" s="8">
        <f t="shared" si="2696"/>
        <v>0</v>
      </c>
      <c r="J1844" s="9"/>
      <c r="K1844" s="10"/>
      <c r="L1844" s="10"/>
      <c r="M1844" s="39">
        <f t="shared" si="2697"/>
        <v>0</v>
      </c>
      <c r="N1844" s="138">
        <f t="shared" si="2698"/>
        <v>0</v>
      </c>
      <c r="P1844" s="4" t="s">
        <v>1509</v>
      </c>
      <c r="Q1844" s="9"/>
      <c r="R1844" s="10"/>
      <c r="S1844" s="10"/>
      <c r="T1844" s="8">
        <f t="shared" si="2724"/>
        <v>0</v>
      </c>
      <c r="U1844" s="9"/>
      <c r="V1844" s="10"/>
      <c r="W1844" s="10"/>
      <c r="X1844" s="8">
        <f t="shared" si="2725"/>
        <v>0</v>
      </c>
      <c r="Y1844" s="9"/>
      <c r="Z1844" s="10"/>
      <c r="AA1844" s="10"/>
      <c r="AB1844" s="8">
        <f t="shared" si="2726"/>
        <v>0</v>
      </c>
      <c r="AC1844" s="86">
        <f t="shared" si="2727"/>
        <v>0</v>
      </c>
      <c r="AD1844" s="116" t="s">
        <v>1510</v>
      </c>
    </row>
    <row r="1845" spans="1:30" x14ac:dyDescent="0.15">
      <c r="A1845" s="33"/>
      <c r="B1845" s="9"/>
      <c r="C1845" s="10"/>
      <c r="D1845" s="10"/>
      <c r="E1845" s="8">
        <f t="shared" si="2695"/>
        <v>0</v>
      </c>
      <c r="F1845" s="9"/>
      <c r="G1845" s="10"/>
      <c r="H1845" s="10"/>
      <c r="I1845" s="8">
        <f t="shared" si="2696"/>
        <v>0</v>
      </c>
      <c r="J1845" s="9"/>
      <c r="K1845" s="10"/>
      <c r="L1845" s="10"/>
      <c r="M1845" s="39">
        <f t="shared" si="2697"/>
        <v>0</v>
      </c>
      <c r="N1845" s="138">
        <f t="shared" si="2698"/>
        <v>0</v>
      </c>
      <c r="P1845" s="81" t="s">
        <v>1539</v>
      </c>
      <c r="Q1845" s="71"/>
      <c r="R1845" s="72"/>
      <c r="S1845" s="72"/>
      <c r="T1845" s="73">
        <f t="shared" si="2724"/>
        <v>0</v>
      </c>
      <c r="U1845" s="71"/>
      <c r="V1845" s="72"/>
      <c r="W1845" s="72"/>
      <c r="X1845" s="73">
        <f t="shared" si="2725"/>
        <v>0</v>
      </c>
      <c r="Y1845" s="71"/>
      <c r="Z1845" s="72"/>
      <c r="AA1845" s="72"/>
      <c r="AB1845" s="73">
        <f t="shared" si="2726"/>
        <v>0</v>
      </c>
      <c r="AC1845" s="92">
        <f t="shared" si="2727"/>
        <v>0</v>
      </c>
      <c r="AD1845" s="116"/>
    </row>
    <row r="1846" spans="1:30" ht="14.25" thickBot="1" x14ac:dyDescent="0.2">
      <c r="A1846" s="63"/>
      <c r="B1846" s="9"/>
      <c r="C1846" s="10"/>
      <c r="D1846" s="22"/>
      <c r="E1846" s="8">
        <f t="shared" si="2695"/>
        <v>0</v>
      </c>
      <c r="F1846" s="9"/>
      <c r="G1846" s="10"/>
      <c r="H1846" s="22"/>
      <c r="I1846" s="8">
        <f t="shared" si="2696"/>
        <v>0</v>
      </c>
      <c r="J1846" s="9"/>
      <c r="K1846" s="10"/>
      <c r="L1846" s="22"/>
      <c r="M1846" s="39">
        <f t="shared" si="2697"/>
        <v>0</v>
      </c>
      <c r="N1846" s="139">
        <f t="shared" si="2698"/>
        <v>0</v>
      </c>
      <c r="P1846" s="4" t="s">
        <v>1538</v>
      </c>
      <c r="Q1846" s="9"/>
      <c r="R1846" s="10"/>
      <c r="S1846" s="10"/>
      <c r="T1846" s="8">
        <f t="shared" si="2724"/>
        <v>0</v>
      </c>
      <c r="U1846" s="9"/>
      <c r="V1846" s="10"/>
      <c r="W1846" s="10"/>
      <c r="X1846" s="8">
        <f t="shared" si="2725"/>
        <v>0</v>
      </c>
      <c r="Y1846" s="9"/>
      <c r="Z1846" s="10"/>
      <c r="AA1846" s="10"/>
      <c r="AB1846" s="8">
        <f t="shared" si="2726"/>
        <v>0</v>
      </c>
      <c r="AC1846" s="93">
        <f t="shared" si="2727"/>
        <v>0</v>
      </c>
      <c r="AD1846" s="116" t="s">
        <v>1537</v>
      </c>
    </row>
    <row r="1847" spans="1:30" ht="14.25" thickBot="1" x14ac:dyDescent="0.2">
      <c r="A1847" s="104" t="s">
        <v>5</v>
      </c>
      <c r="B1847" s="12">
        <f>SUM(B1823:B1846)</f>
        <v>20</v>
      </c>
      <c r="C1847" s="12">
        <f>SUM(C1823:C1846)</f>
        <v>16</v>
      </c>
      <c r="D1847" s="12">
        <f>SUM(D1823:D1846)</f>
        <v>25</v>
      </c>
      <c r="E1847" s="13">
        <f t="shared" si="2695"/>
        <v>61</v>
      </c>
      <c r="F1847" s="12">
        <f>SUM(F1823:F1846)</f>
        <v>17</v>
      </c>
      <c r="G1847" s="12">
        <f>SUM(G1823:G1846)</f>
        <v>18</v>
      </c>
      <c r="H1847" s="12">
        <f>SUM(H1823:H1846)</f>
        <v>26</v>
      </c>
      <c r="I1847" s="13">
        <f t="shared" si="2696"/>
        <v>61</v>
      </c>
      <c r="J1847" s="12">
        <f>SUM(J1823:J1846)</f>
        <v>18</v>
      </c>
      <c r="K1847" s="12">
        <f>SUM(K1823:K1846)</f>
        <v>16</v>
      </c>
      <c r="L1847" s="12">
        <f>SUM(L1823:L1846)</f>
        <v>25</v>
      </c>
      <c r="M1847" s="12">
        <f t="shared" si="2697"/>
        <v>59</v>
      </c>
      <c r="N1847" s="142">
        <f t="shared" si="2698"/>
        <v>181</v>
      </c>
      <c r="P1847" s="3" t="s">
        <v>5</v>
      </c>
      <c r="Q1847" s="12">
        <f>SUM(Q1823:Q1846)</f>
        <v>105</v>
      </c>
      <c r="R1847" s="12">
        <f t="shared" ref="R1847:AC1847" si="2728">SUM(R1823:R1846)</f>
        <v>162</v>
      </c>
      <c r="S1847" s="12">
        <f t="shared" si="2728"/>
        <v>90</v>
      </c>
      <c r="T1847" s="13">
        <f t="shared" si="2728"/>
        <v>357</v>
      </c>
      <c r="U1847" s="12">
        <f t="shared" si="2728"/>
        <v>75</v>
      </c>
      <c r="V1847" s="12">
        <f t="shared" si="2728"/>
        <v>134</v>
      </c>
      <c r="W1847" s="12">
        <f t="shared" si="2728"/>
        <v>80</v>
      </c>
      <c r="X1847" s="13">
        <f t="shared" si="2728"/>
        <v>289</v>
      </c>
      <c r="Y1847" s="12">
        <f t="shared" si="2728"/>
        <v>95</v>
      </c>
      <c r="Z1847" s="12">
        <f t="shared" si="2728"/>
        <v>194</v>
      </c>
      <c r="AA1847" s="12">
        <f t="shared" si="2728"/>
        <v>130</v>
      </c>
      <c r="AB1847" s="13">
        <f t="shared" si="2728"/>
        <v>419</v>
      </c>
      <c r="AC1847" s="155">
        <f t="shared" si="2728"/>
        <v>1065</v>
      </c>
    </row>
    <row r="1848" spans="1:30" ht="14.25" thickBot="1" x14ac:dyDescent="0.2">
      <c r="A1848" s="105" t="s">
        <v>6</v>
      </c>
      <c r="B1848" s="20">
        <f>B1822-B1847</f>
        <v>17</v>
      </c>
      <c r="C1848" s="20">
        <f t="shared" ref="C1848:E1848" si="2729">C1822-C1847</f>
        <v>22</v>
      </c>
      <c r="D1848" s="20">
        <f t="shared" si="2729"/>
        <v>18</v>
      </c>
      <c r="E1848" s="18">
        <f t="shared" si="2729"/>
        <v>57</v>
      </c>
      <c r="F1848" s="20">
        <f>F1822-F1847</f>
        <v>20</v>
      </c>
      <c r="G1848" s="20">
        <f t="shared" ref="G1848:I1848" si="2730">G1822-G1847</f>
        <v>20</v>
      </c>
      <c r="H1848" s="20">
        <f t="shared" si="2730"/>
        <v>19</v>
      </c>
      <c r="I1848" s="18">
        <f t="shared" si="2730"/>
        <v>59</v>
      </c>
      <c r="J1848" s="20">
        <f>J1822-J1847</f>
        <v>20</v>
      </c>
      <c r="K1848" s="20">
        <f t="shared" ref="K1848:M1848" si="2731">K1822-K1847</f>
        <v>21</v>
      </c>
      <c r="L1848" s="20">
        <f t="shared" si="2731"/>
        <v>18</v>
      </c>
      <c r="M1848" s="20">
        <f t="shared" si="2731"/>
        <v>59</v>
      </c>
      <c r="N1848" s="140">
        <f t="shared" si="2698"/>
        <v>175</v>
      </c>
      <c r="P1848" s="19" t="s">
        <v>6</v>
      </c>
      <c r="Q1848" s="20">
        <f>Q1822-Q1847</f>
        <v>155</v>
      </c>
      <c r="R1848" s="20">
        <f t="shared" ref="R1848:AC1848" si="2732">R1822-R1847</f>
        <v>226</v>
      </c>
      <c r="S1848" s="20">
        <f t="shared" si="2732"/>
        <v>187</v>
      </c>
      <c r="T1848" s="18">
        <f t="shared" si="2732"/>
        <v>568</v>
      </c>
      <c r="U1848" s="20">
        <f t="shared" si="2732"/>
        <v>288</v>
      </c>
      <c r="V1848" s="20">
        <f t="shared" si="2732"/>
        <v>340</v>
      </c>
      <c r="W1848" s="20">
        <f t="shared" si="2732"/>
        <v>317</v>
      </c>
      <c r="X1848" s="18">
        <f t="shared" si="2732"/>
        <v>945</v>
      </c>
      <c r="Y1848" s="20">
        <f t="shared" si="2732"/>
        <v>204</v>
      </c>
      <c r="Z1848" s="20">
        <f t="shared" si="2732"/>
        <v>153</v>
      </c>
      <c r="AA1848" s="20">
        <f t="shared" si="2732"/>
        <v>181</v>
      </c>
      <c r="AB1848" s="18">
        <f t="shared" si="2732"/>
        <v>538</v>
      </c>
      <c r="AC1848" s="88">
        <f t="shared" si="2732"/>
        <v>2051</v>
      </c>
      <c r="AD1848" s="128" t="s">
        <v>1617</v>
      </c>
    </row>
    <row r="1851" spans="1:30" ht="19.5" thickBot="1" x14ac:dyDescent="0.25">
      <c r="A1851" s="108" t="s">
        <v>264</v>
      </c>
      <c r="B1851" s="47"/>
      <c r="C1851" s="47"/>
      <c r="D1851" s="47"/>
      <c r="E1851" s="47"/>
      <c r="F1851" s="48"/>
      <c r="G1851" s="48"/>
      <c r="H1851" s="48"/>
      <c r="I1851" s="48"/>
      <c r="J1851" s="48"/>
      <c r="K1851" s="48"/>
      <c r="L1851" s="1"/>
      <c r="M1851" s="1"/>
      <c r="N1851" s="137"/>
      <c r="P1851" s="43" t="s">
        <v>263</v>
      </c>
      <c r="Q1851" s="44"/>
      <c r="R1851" s="44"/>
      <c r="S1851" s="44"/>
      <c r="T1851" s="44"/>
      <c r="U1851" s="45"/>
      <c r="V1851" s="45"/>
      <c r="W1851" s="45"/>
      <c r="X1851" s="45"/>
      <c r="Y1851" s="46"/>
      <c r="Z1851" s="53"/>
      <c r="AA1851" s="1"/>
      <c r="AB1851" s="1"/>
    </row>
    <row r="1852" spans="1:30" ht="14.25" thickBot="1" x14ac:dyDescent="0.2">
      <c r="A1852" s="100" t="s">
        <v>0</v>
      </c>
      <c r="B1852" s="337" t="s">
        <v>11</v>
      </c>
      <c r="C1852" s="337"/>
      <c r="D1852" s="337"/>
      <c r="E1852" s="338"/>
      <c r="F1852" s="339" t="s">
        <v>9</v>
      </c>
      <c r="G1852" s="340"/>
      <c r="H1852" s="340"/>
      <c r="I1852" s="341"/>
      <c r="J1852" s="342" t="s">
        <v>12</v>
      </c>
      <c r="K1852" s="343"/>
      <c r="L1852" s="343"/>
      <c r="M1852" s="343"/>
      <c r="N1852" s="347" t="s">
        <v>13</v>
      </c>
      <c r="P1852" s="2" t="s">
        <v>0</v>
      </c>
      <c r="Q1852" s="336" t="s">
        <v>11</v>
      </c>
      <c r="R1852" s="337"/>
      <c r="S1852" s="337"/>
      <c r="T1852" s="338"/>
      <c r="U1852" s="339" t="s">
        <v>9</v>
      </c>
      <c r="V1852" s="340"/>
      <c r="W1852" s="340"/>
      <c r="X1852" s="341"/>
      <c r="Y1852" s="342" t="s">
        <v>12</v>
      </c>
      <c r="Z1852" s="343"/>
      <c r="AA1852" s="343"/>
      <c r="AB1852" s="344"/>
      <c r="AC1852" s="345" t="s">
        <v>13</v>
      </c>
    </row>
    <row r="1853" spans="1:30" ht="14.25" thickBot="1" x14ac:dyDescent="0.2">
      <c r="A1853" s="100" t="s">
        <v>1</v>
      </c>
      <c r="B1853" s="3" t="s">
        <v>7</v>
      </c>
      <c r="C1853" s="2" t="s">
        <v>10</v>
      </c>
      <c r="D1853" s="2" t="s">
        <v>8</v>
      </c>
      <c r="E1853" s="2" t="s">
        <v>2</v>
      </c>
      <c r="F1853" s="3" t="s">
        <v>7</v>
      </c>
      <c r="G1853" s="2" t="s">
        <v>10</v>
      </c>
      <c r="H1853" s="2" t="s">
        <v>8</v>
      </c>
      <c r="I1853" s="2" t="s">
        <v>2</v>
      </c>
      <c r="J1853" s="3" t="s">
        <v>7</v>
      </c>
      <c r="K1853" s="2" t="s">
        <v>10</v>
      </c>
      <c r="L1853" s="2" t="s">
        <v>8</v>
      </c>
      <c r="M1853" s="3" t="s">
        <v>2</v>
      </c>
      <c r="N1853" s="348"/>
      <c r="P1853" s="2" t="s">
        <v>1</v>
      </c>
      <c r="Q1853" s="3" t="s">
        <v>7</v>
      </c>
      <c r="R1853" s="2" t="s">
        <v>10</v>
      </c>
      <c r="S1853" s="2" t="s">
        <v>8</v>
      </c>
      <c r="T1853" s="2" t="s">
        <v>2</v>
      </c>
      <c r="U1853" s="3" t="s">
        <v>7</v>
      </c>
      <c r="V1853" s="2" t="s">
        <v>10</v>
      </c>
      <c r="W1853" s="2" t="s">
        <v>8</v>
      </c>
      <c r="X1853" s="2" t="s">
        <v>2</v>
      </c>
      <c r="Y1853" s="3" t="s">
        <v>7</v>
      </c>
      <c r="Z1853" s="2" t="s">
        <v>10</v>
      </c>
      <c r="AA1853" s="2" t="s">
        <v>8</v>
      </c>
      <c r="AB1853" s="2" t="s">
        <v>2</v>
      </c>
      <c r="AC1853" s="346"/>
    </row>
    <row r="1854" spans="1:30" x14ac:dyDescent="0.15">
      <c r="A1854" s="106" t="s">
        <v>6</v>
      </c>
      <c r="B1854" s="41">
        <f>B1848</f>
        <v>17</v>
      </c>
      <c r="C1854" s="41">
        <f t="shared" ref="C1854:E1854" si="2733">C1848</f>
        <v>22</v>
      </c>
      <c r="D1854" s="41">
        <f t="shared" si="2733"/>
        <v>18</v>
      </c>
      <c r="E1854" s="42">
        <f t="shared" si="2733"/>
        <v>57</v>
      </c>
      <c r="F1854" s="41">
        <f>F1848</f>
        <v>20</v>
      </c>
      <c r="G1854" s="41">
        <f t="shared" ref="G1854:I1854" si="2734">G1848</f>
        <v>20</v>
      </c>
      <c r="H1854" s="41">
        <f t="shared" si="2734"/>
        <v>19</v>
      </c>
      <c r="I1854" s="42">
        <f t="shared" si="2734"/>
        <v>59</v>
      </c>
      <c r="J1854" s="41">
        <f>J1848</f>
        <v>20</v>
      </c>
      <c r="K1854" s="41">
        <f t="shared" ref="K1854:M1854" si="2735">K1848</f>
        <v>21</v>
      </c>
      <c r="L1854" s="41">
        <f t="shared" si="2735"/>
        <v>18</v>
      </c>
      <c r="M1854" s="42">
        <f t="shared" si="2735"/>
        <v>59</v>
      </c>
      <c r="N1854" s="143">
        <f>E1854+I1854+M1854</f>
        <v>175</v>
      </c>
      <c r="P1854" s="36" t="s">
        <v>6</v>
      </c>
      <c r="Q1854" s="41">
        <f>Q1848</f>
        <v>155</v>
      </c>
      <c r="R1854" s="41">
        <f t="shared" ref="R1854:AC1854" si="2736">R1848</f>
        <v>226</v>
      </c>
      <c r="S1854" s="41">
        <f t="shared" si="2736"/>
        <v>187</v>
      </c>
      <c r="T1854" s="42">
        <f t="shared" si="2736"/>
        <v>568</v>
      </c>
      <c r="U1854" s="41">
        <f t="shared" si="2736"/>
        <v>288</v>
      </c>
      <c r="V1854" s="41">
        <f t="shared" si="2736"/>
        <v>340</v>
      </c>
      <c r="W1854" s="41">
        <f t="shared" si="2736"/>
        <v>317</v>
      </c>
      <c r="X1854" s="42">
        <f t="shared" si="2736"/>
        <v>945</v>
      </c>
      <c r="Y1854" s="41">
        <f t="shared" si="2736"/>
        <v>204</v>
      </c>
      <c r="Z1854" s="41">
        <f t="shared" si="2736"/>
        <v>153</v>
      </c>
      <c r="AA1854" s="41">
        <f t="shared" si="2736"/>
        <v>181</v>
      </c>
      <c r="AB1854" s="42">
        <f t="shared" si="2736"/>
        <v>538</v>
      </c>
      <c r="AC1854" s="90">
        <f t="shared" si="2736"/>
        <v>2051</v>
      </c>
    </row>
    <row r="1855" spans="1:30" x14ac:dyDescent="0.15">
      <c r="A1855" s="102" t="s">
        <v>3</v>
      </c>
      <c r="B1855" s="25">
        <v>10</v>
      </c>
      <c r="C1855" s="26">
        <v>5</v>
      </c>
      <c r="D1855" s="26">
        <v>10</v>
      </c>
      <c r="E1855" s="5">
        <f t="shared" ref="E1855:E1890" si="2737">SUM(B1855:D1855)</f>
        <v>25</v>
      </c>
      <c r="F1855" s="25">
        <v>5</v>
      </c>
      <c r="G1855" s="26">
        <v>5</v>
      </c>
      <c r="H1855" s="26">
        <v>10</v>
      </c>
      <c r="I1855" s="5">
        <f t="shared" ref="I1855:I1890" si="2738">SUM(F1855:H1855)</f>
        <v>20</v>
      </c>
      <c r="J1855" s="25">
        <v>5</v>
      </c>
      <c r="K1855" s="26">
        <v>5</v>
      </c>
      <c r="L1855" s="26">
        <v>10</v>
      </c>
      <c r="M1855" s="38">
        <f t="shared" ref="M1855:M1890" si="2739">SUM(J1855:L1855)</f>
        <v>20</v>
      </c>
      <c r="N1855" s="138">
        <f t="shared" ref="N1855:N1891" si="2740">E1855+I1855+M1855</f>
        <v>65</v>
      </c>
      <c r="O1855" s="24">
        <v>46158</v>
      </c>
      <c r="P1855" s="6" t="s">
        <v>3</v>
      </c>
      <c r="Q1855" s="14"/>
      <c r="R1855" s="11"/>
      <c r="S1855" s="11"/>
      <c r="T1855" s="5">
        <f t="shared" ref="T1855:T1864" si="2741">SUM(Q1855:S1855)</f>
        <v>0</v>
      </c>
      <c r="U1855" s="14"/>
      <c r="V1855" s="11"/>
      <c r="W1855" s="11"/>
      <c r="X1855" s="5">
        <f t="shared" ref="X1855:X1864" si="2742">SUM(U1855:W1855)</f>
        <v>0</v>
      </c>
      <c r="Y1855" s="25"/>
      <c r="Z1855" s="26"/>
      <c r="AA1855" s="26"/>
      <c r="AB1855" s="5">
        <f t="shared" ref="AB1855:AB1864" si="2743">SUM(Y1855:AA1855)</f>
        <v>0</v>
      </c>
      <c r="AC1855" s="86">
        <f t="shared" ref="AC1855:AC1864" si="2744">T1855+X1855+AB1855</f>
        <v>0</v>
      </c>
    </row>
    <row r="1856" spans="1:30" x14ac:dyDescent="0.15">
      <c r="A1856" s="102" t="s">
        <v>492</v>
      </c>
      <c r="B1856" s="14"/>
      <c r="C1856" s="11"/>
      <c r="D1856" s="11">
        <v>1</v>
      </c>
      <c r="E1856" s="5">
        <f t="shared" si="2737"/>
        <v>1</v>
      </c>
      <c r="F1856" s="34"/>
      <c r="G1856" s="11"/>
      <c r="H1856" s="11">
        <v>1</v>
      </c>
      <c r="I1856" s="5">
        <f t="shared" si="2738"/>
        <v>1</v>
      </c>
      <c r="J1856" s="34"/>
      <c r="K1856" s="11"/>
      <c r="L1856" s="11">
        <v>1</v>
      </c>
      <c r="M1856" s="38">
        <f t="shared" si="2739"/>
        <v>1</v>
      </c>
      <c r="N1856" s="138">
        <f t="shared" si="2740"/>
        <v>3</v>
      </c>
      <c r="O1856" s="24">
        <v>46156</v>
      </c>
      <c r="P1856" s="81" t="s">
        <v>3</v>
      </c>
      <c r="Q1856" s="62"/>
      <c r="R1856" s="4"/>
      <c r="S1856" s="4"/>
      <c r="T1856" s="5">
        <f t="shared" si="2741"/>
        <v>0</v>
      </c>
      <c r="U1856" s="62"/>
      <c r="V1856" s="4"/>
      <c r="W1856" s="4"/>
      <c r="X1856" s="5">
        <f t="shared" si="2742"/>
        <v>0</v>
      </c>
      <c r="Y1856" s="280"/>
      <c r="Z1856" s="281"/>
      <c r="AA1856" s="281"/>
      <c r="AB1856" s="5">
        <f t="shared" si="2743"/>
        <v>0</v>
      </c>
      <c r="AC1856" s="91">
        <f t="shared" si="2744"/>
        <v>0</v>
      </c>
    </row>
    <row r="1857" spans="1:31" x14ac:dyDescent="0.15">
      <c r="A1857" s="102" t="s">
        <v>319</v>
      </c>
      <c r="B1857" s="14">
        <v>3</v>
      </c>
      <c r="C1857" s="11">
        <v>3</v>
      </c>
      <c r="D1857" s="11">
        <v>4</v>
      </c>
      <c r="E1857" s="5">
        <f t="shared" si="2737"/>
        <v>10</v>
      </c>
      <c r="F1857" s="34">
        <v>3</v>
      </c>
      <c r="G1857" s="11">
        <v>3</v>
      </c>
      <c r="H1857" s="11">
        <v>4</v>
      </c>
      <c r="I1857" s="5">
        <f t="shared" si="2738"/>
        <v>10</v>
      </c>
      <c r="J1857" s="34">
        <v>3</v>
      </c>
      <c r="K1857" s="11">
        <v>3</v>
      </c>
      <c r="L1857" s="11">
        <v>4</v>
      </c>
      <c r="M1857" s="38">
        <f t="shared" si="2739"/>
        <v>10</v>
      </c>
      <c r="N1857" s="138">
        <f t="shared" si="2740"/>
        <v>30</v>
      </c>
      <c r="O1857" s="70">
        <v>46157</v>
      </c>
      <c r="P1857" s="6" t="s">
        <v>1341</v>
      </c>
      <c r="Q1857" s="27">
        <v>400</v>
      </c>
      <c r="R1857" s="26">
        <v>600</v>
      </c>
      <c r="S1857" s="26">
        <v>400</v>
      </c>
      <c r="T1857" s="8">
        <f t="shared" si="2741"/>
        <v>1400</v>
      </c>
      <c r="U1857" s="27">
        <v>300</v>
      </c>
      <c r="V1857" s="26">
        <v>500</v>
      </c>
      <c r="W1857" s="26">
        <v>300</v>
      </c>
      <c r="X1857" s="8">
        <f t="shared" si="2742"/>
        <v>1100</v>
      </c>
      <c r="Y1857" s="25">
        <v>350</v>
      </c>
      <c r="Z1857" s="26">
        <v>600</v>
      </c>
      <c r="AA1857" s="26">
        <v>400</v>
      </c>
      <c r="AB1857" s="8">
        <f t="shared" si="2743"/>
        <v>1350</v>
      </c>
      <c r="AC1857" s="86">
        <f t="shared" si="2744"/>
        <v>3850</v>
      </c>
      <c r="AD1857" s="116" t="s">
        <v>1859</v>
      </c>
    </row>
    <row r="1858" spans="1:31" x14ac:dyDescent="0.15">
      <c r="A1858" s="102" t="s">
        <v>3</v>
      </c>
      <c r="B1858" s="14">
        <v>10</v>
      </c>
      <c r="C1858" s="11">
        <v>10</v>
      </c>
      <c r="D1858" s="11"/>
      <c r="E1858" s="5">
        <f t="shared" si="2737"/>
        <v>20</v>
      </c>
      <c r="F1858" s="34">
        <v>10</v>
      </c>
      <c r="G1858" s="11">
        <v>10</v>
      </c>
      <c r="H1858" s="11"/>
      <c r="I1858" s="5">
        <f t="shared" si="2738"/>
        <v>20</v>
      </c>
      <c r="J1858" s="34">
        <v>10</v>
      </c>
      <c r="K1858" s="11">
        <v>10</v>
      </c>
      <c r="L1858" s="11"/>
      <c r="M1858" s="38">
        <f t="shared" si="2739"/>
        <v>20</v>
      </c>
      <c r="N1858" s="138">
        <f t="shared" si="2740"/>
        <v>60</v>
      </c>
      <c r="O1858" s="24">
        <v>46167</v>
      </c>
      <c r="P1858" s="81" t="s">
        <v>701</v>
      </c>
      <c r="Q1858" s="62">
        <v>18</v>
      </c>
      <c r="R1858" s="4">
        <v>60</v>
      </c>
      <c r="S1858" s="4">
        <v>35</v>
      </c>
      <c r="T1858" s="5">
        <f t="shared" ref="T1858" si="2745">SUM(Q1858:S1858)</f>
        <v>113</v>
      </c>
      <c r="U1858" s="62">
        <v>26</v>
      </c>
      <c r="V1858" s="4">
        <v>25</v>
      </c>
      <c r="W1858" s="4">
        <v>16</v>
      </c>
      <c r="X1858" s="5">
        <f t="shared" ref="X1858" si="2746">SUM(U1858:W1858)</f>
        <v>67</v>
      </c>
      <c r="Y1858" s="280">
        <v>14</v>
      </c>
      <c r="Z1858" s="281">
        <v>39</v>
      </c>
      <c r="AA1858" s="281">
        <v>35</v>
      </c>
      <c r="AB1858" s="5">
        <f t="shared" ref="AB1858" si="2747">SUM(Y1858:AA1858)</f>
        <v>88</v>
      </c>
      <c r="AC1858" s="91">
        <f t="shared" ref="AC1858" si="2748">T1858+X1858+AB1858</f>
        <v>268</v>
      </c>
      <c r="AD1858" s="116"/>
    </row>
    <row r="1859" spans="1:31" x14ac:dyDescent="0.15">
      <c r="A1859" s="158" t="s">
        <v>3</v>
      </c>
      <c r="B1859" s="159"/>
      <c r="C1859" s="160"/>
      <c r="D1859" s="160">
        <v>10</v>
      </c>
      <c r="E1859" s="161">
        <f t="shared" si="2737"/>
        <v>10</v>
      </c>
      <c r="F1859" s="162"/>
      <c r="G1859" s="160"/>
      <c r="H1859" s="160">
        <v>10</v>
      </c>
      <c r="I1859" s="161">
        <f t="shared" si="2738"/>
        <v>10</v>
      </c>
      <c r="J1859" s="162"/>
      <c r="K1859" s="160"/>
      <c r="L1859" s="160">
        <v>10</v>
      </c>
      <c r="M1859" s="163">
        <f t="shared" si="2739"/>
        <v>10</v>
      </c>
      <c r="N1859" s="153">
        <f t="shared" si="2740"/>
        <v>30</v>
      </c>
      <c r="O1859" s="164">
        <v>46168</v>
      </c>
      <c r="P1859" s="81" t="s">
        <v>3</v>
      </c>
      <c r="Q1859" s="62"/>
      <c r="R1859" s="4"/>
      <c r="S1859" s="4"/>
      <c r="T1859" s="5">
        <f t="shared" si="2741"/>
        <v>0</v>
      </c>
      <c r="U1859" s="62"/>
      <c r="V1859" s="4"/>
      <c r="W1859" s="4"/>
      <c r="X1859" s="5">
        <f t="shared" si="2742"/>
        <v>0</v>
      </c>
      <c r="Y1859" s="280"/>
      <c r="Z1859" s="281"/>
      <c r="AA1859" s="281"/>
      <c r="AB1859" s="5">
        <f t="shared" si="2743"/>
        <v>0</v>
      </c>
      <c r="AC1859" s="91">
        <f t="shared" si="2744"/>
        <v>0</v>
      </c>
    </row>
    <row r="1860" spans="1:31" x14ac:dyDescent="0.15">
      <c r="A1860" s="102" t="s">
        <v>57</v>
      </c>
      <c r="B1860" s="25"/>
      <c r="C1860" s="26"/>
      <c r="D1860" s="26">
        <v>1</v>
      </c>
      <c r="E1860" s="8">
        <f t="shared" si="2737"/>
        <v>1</v>
      </c>
      <c r="F1860" s="25"/>
      <c r="G1860" s="26"/>
      <c r="H1860" s="26">
        <v>1</v>
      </c>
      <c r="I1860" s="8">
        <f t="shared" si="2738"/>
        <v>1</v>
      </c>
      <c r="J1860" s="25"/>
      <c r="K1860" s="26"/>
      <c r="L1860" s="26">
        <v>1</v>
      </c>
      <c r="M1860" s="39">
        <f t="shared" si="2739"/>
        <v>1</v>
      </c>
      <c r="N1860" s="138">
        <f t="shared" si="2740"/>
        <v>3</v>
      </c>
      <c r="O1860" s="70">
        <v>46168</v>
      </c>
      <c r="P1860" s="81" t="s">
        <v>3</v>
      </c>
      <c r="Q1860" s="62"/>
      <c r="R1860" s="4"/>
      <c r="S1860" s="4"/>
      <c r="T1860" s="5">
        <f t="shared" si="2741"/>
        <v>0</v>
      </c>
      <c r="U1860" s="62"/>
      <c r="V1860" s="4"/>
      <c r="W1860" s="4"/>
      <c r="X1860" s="5">
        <f t="shared" si="2742"/>
        <v>0</v>
      </c>
      <c r="Y1860" s="280"/>
      <c r="Z1860" s="281"/>
      <c r="AA1860" s="281"/>
      <c r="AB1860" s="5">
        <f t="shared" si="2743"/>
        <v>0</v>
      </c>
      <c r="AC1860" s="91">
        <f t="shared" si="2744"/>
        <v>0</v>
      </c>
    </row>
    <row r="1861" spans="1:31" x14ac:dyDescent="0.15">
      <c r="A1861" s="102" t="s">
        <v>3</v>
      </c>
      <c r="B1861" s="27"/>
      <c r="C1861" s="26"/>
      <c r="D1861" s="26"/>
      <c r="E1861" s="5">
        <f t="shared" si="2737"/>
        <v>0</v>
      </c>
      <c r="F1861" s="25"/>
      <c r="G1861" s="26"/>
      <c r="H1861" s="26"/>
      <c r="I1861" s="5">
        <f t="shared" si="2738"/>
        <v>0</v>
      </c>
      <c r="J1861" s="25"/>
      <c r="K1861" s="26"/>
      <c r="L1861" s="26"/>
      <c r="M1861" s="38">
        <f t="shared" si="2739"/>
        <v>0</v>
      </c>
      <c r="N1861" s="138">
        <f t="shared" si="2740"/>
        <v>0</v>
      </c>
      <c r="P1861" s="81" t="s">
        <v>3</v>
      </c>
      <c r="Q1861" s="62"/>
      <c r="R1861" s="4"/>
      <c r="S1861" s="4"/>
      <c r="T1861" s="5">
        <f t="shared" si="2741"/>
        <v>0</v>
      </c>
      <c r="U1861" s="62"/>
      <c r="V1861" s="4"/>
      <c r="W1861" s="4"/>
      <c r="X1861" s="5">
        <f t="shared" si="2742"/>
        <v>0</v>
      </c>
      <c r="Y1861" s="280"/>
      <c r="Z1861" s="281"/>
      <c r="AA1861" s="281"/>
      <c r="AB1861" s="5">
        <f t="shared" si="2743"/>
        <v>0</v>
      </c>
      <c r="AC1861" s="91">
        <f t="shared" si="2744"/>
        <v>0</v>
      </c>
    </row>
    <row r="1862" spans="1:31" x14ac:dyDescent="0.15">
      <c r="A1862" s="102" t="s">
        <v>3</v>
      </c>
      <c r="B1862" s="27"/>
      <c r="C1862" s="26"/>
      <c r="D1862" s="26"/>
      <c r="E1862" s="5">
        <f t="shared" si="2737"/>
        <v>0</v>
      </c>
      <c r="F1862" s="25"/>
      <c r="G1862" s="26"/>
      <c r="H1862" s="26"/>
      <c r="I1862" s="5">
        <f t="shared" si="2738"/>
        <v>0</v>
      </c>
      <c r="J1862" s="25"/>
      <c r="K1862" s="26"/>
      <c r="L1862" s="26"/>
      <c r="M1862" s="38">
        <f t="shared" si="2739"/>
        <v>0</v>
      </c>
      <c r="N1862" s="138">
        <f t="shared" si="2740"/>
        <v>0</v>
      </c>
      <c r="P1862" s="6" t="s">
        <v>3</v>
      </c>
      <c r="Q1862" s="14"/>
      <c r="R1862" s="11"/>
      <c r="S1862" s="11"/>
      <c r="T1862" s="5">
        <f t="shared" si="2741"/>
        <v>0</v>
      </c>
      <c r="U1862" s="14"/>
      <c r="V1862" s="11"/>
      <c r="W1862" s="11"/>
      <c r="X1862" s="5">
        <f t="shared" si="2742"/>
        <v>0</v>
      </c>
      <c r="Y1862" s="25"/>
      <c r="Z1862" s="26"/>
      <c r="AA1862" s="26"/>
      <c r="AB1862" s="8">
        <f t="shared" si="2743"/>
        <v>0</v>
      </c>
      <c r="AC1862" s="86">
        <f t="shared" si="2744"/>
        <v>0</v>
      </c>
    </row>
    <row r="1863" spans="1:31" x14ac:dyDescent="0.15">
      <c r="A1863" s="102" t="s">
        <v>3</v>
      </c>
      <c r="B1863" s="27"/>
      <c r="C1863" s="26"/>
      <c r="D1863" s="26"/>
      <c r="E1863" s="5">
        <f t="shared" si="2737"/>
        <v>0</v>
      </c>
      <c r="F1863" s="25"/>
      <c r="G1863" s="26"/>
      <c r="H1863" s="26"/>
      <c r="I1863" s="5">
        <f t="shared" si="2738"/>
        <v>0</v>
      </c>
      <c r="J1863" s="25"/>
      <c r="K1863" s="26"/>
      <c r="L1863" s="26"/>
      <c r="M1863" s="38">
        <f t="shared" si="2739"/>
        <v>0</v>
      </c>
      <c r="N1863" s="138">
        <f t="shared" si="2740"/>
        <v>0</v>
      </c>
      <c r="P1863" s="6" t="s">
        <v>3</v>
      </c>
      <c r="Q1863" s="14"/>
      <c r="R1863" s="11"/>
      <c r="S1863" s="11"/>
      <c r="T1863" s="5">
        <f t="shared" si="2741"/>
        <v>0</v>
      </c>
      <c r="U1863" s="14"/>
      <c r="V1863" s="11"/>
      <c r="W1863" s="11"/>
      <c r="X1863" s="5">
        <f t="shared" si="2742"/>
        <v>0</v>
      </c>
      <c r="Y1863" s="25"/>
      <c r="Z1863" s="26"/>
      <c r="AA1863" s="26"/>
      <c r="AB1863" s="8">
        <f t="shared" si="2743"/>
        <v>0</v>
      </c>
      <c r="AC1863" s="86">
        <f t="shared" si="2744"/>
        <v>0</v>
      </c>
    </row>
    <row r="1864" spans="1:31" ht="14.25" thickBot="1" x14ac:dyDescent="0.2">
      <c r="A1864" s="102" t="s">
        <v>3</v>
      </c>
      <c r="B1864" s="28"/>
      <c r="C1864" s="29"/>
      <c r="D1864" s="32"/>
      <c r="E1864" s="15">
        <f t="shared" si="2737"/>
        <v>0</v>
      </c>
      <c r="F1864" s="35"/>
      <c r="G1864" s="29"/>
      <c r="H1864" s="32"/>
      <c r="I1864" s="15">
        <f t="shared" si="2738"/>
        <v>0</v>
      </c>
      <c r="J1864" s="35"/>
      <c r="K1864" s="29"/>
      <c r="L1864" s="32"/>
      <c r="M1864" s="40">
        <f t="shared" si="2739"/>
        <v>0</v>
      </c>
      <c r="N1864" s="139">
        <f t="shared" si="2740"/>
        <v>0</v>
      </c>
      <c r="P1864" s="6" t="s">
        <v>3</v>
      </c>
      <c r="Q1864" s="14"/>
      <c r="R1864" s="11"/>
      <c r="S1864" s="11"/>
      <c r="T1864" s="5">
        <f t="shared" si="2741"/>
        <v>0</v>
      </c>
      <c r="U1864" s="14"/>
      <c r="V1864" s="11"/>
      <c r="W1864" s="11"/>
      <c r="X1864" s="5">
        <f t="shared" si="2742"/>
        <v>0</v>
      </c>
      <c r="Y1864" s="25"/>
      <c r="Z1864" s="26"/>
      <c r="AA1864" s="26"/>
      <c r="AB1864" s="8">
        <f t="shared" si="2743"/>
        <v>0</v>
      </c>
      <c r="AC1864" s="86">
        <f t="shared" si="2744"/>
        <v>0</v>
      </c>
    </row>
    <row r="1865" spans="1:31" ht="14.25" thickBot="1" x14ac:dyDescent="0.2">
      <c r="A1865" s="103" t="s">
        <v>4</v>
      </c>
      <c r="B1865" s="17">
        <f>SUM(B1854:B1864)</f>
        <v>40</v>
      </c>
      <c r="C1865" s="17">
        <f>SUM(C1854:C1864)</f>
        <v>40</v>
      </c>
      <c r="D1865" s="17">
        <f>SUM(D1854:D1864)</f>
        <v>44</v>
      </c>
      <c r="E1865" s="18">
        <f t="shared" si="2737"/>
        <v>124</v>
      </c>
      <c r="F1865" s="17">
        <f>SUM(F1854:F1864)</f>
        <v>38</v>
      </c>
      <c r="G1865" s="17">
        <f>SUM(G1854:G1864)</f>
        <v>38</v>
      </c>
      <c r="H1865" s="17">
        <f>SUM(H1854:H1864)</f>
        <v>45</v>
      </c>
      <c r="I1865" s="18">
        <f t="shared" si="2738"/>
        <v>121</v>
      </c>
      <c r="J1865" s="17">
        <f>SUM(J1854:J1864)</f>
        <v>38</v>
      </c>
      <c r="K1865" s="17">
        <f>SUM(K1854:K1864)</f>
        <v>39</v>
      </c>
      <c r="L1865" s="17">
        <f>SUM(L1854:L1864)</f>
        <v>44</v>
      </c>
      <c r="M1865" s="20">
        <f t="shared" si="2739"/>
        <v>121</v>
      </c>
      <c r="N1865" s="140">
        <f t="shared" si="2740"/>
        <v>366</v>
      </c>
      <c r="P1865" s="16" t="s">
        <v>4</v>
      </c>
      <c r="Q1865" s="17">
        <f>SUM(Q1854:Q1864)</f>
        <v>573</v>
      </c>
      <c r="R1865" s="17">
        <f t="shared" ref="R1865:AC1865" si="2749">SUM(R1854:R1864)</f>
        <v>886</v>
      </c>
      <c r="S1865" s="17">
        <f t="shared" si="2749"/>
        <v>622</v>
      </c>
      <c r="T1865" s="18">
        <f t="shared" si="2749"/>
        <v>2081</v>
      </c>
      <c r="U1865" s="17">
        <f t="shared" si="2749"/>
        <v>614</v>
      </c>
      <c r="V1865" s="17">
        <f t="shared" si="2749"/>
        <v>865</v>
      </c>
      <c r="W1865" s="17">
        <f t="shared" si="2749"/>
        <v>633</v>
      </c>
      <c r="X1865" s="18">
        <f t="shared" si="2749"/>
        <v>2112</v>
      </c>
      <c r="Y1865" s="17">
        <f t="shared" si="2749"/>
        <v>568</v>
      </c>
      <c r="Z1865" s="17">
        <f t="shared" si="2749"/>
        <v>792</v>
      </c>
      <c r="AA1865" s="17">
        <f t="shared" si="2749"/>
        <v>616</v>
      </c>
      <c r="AB1865" s="18">
        <f t="shared" si="2749"/>
        <v>1976</v>
      </c>
      <c r="AC1865" s="88">
        <f t="shared" si="2749"/>
        <v>6169</v>
      </c>
    </row>
    <row r="1866" spans="1:31" x14ac:dyDescent="0.15">
      <c r="A1866" s="4" t="s">
        <v>1791</v>
      </c>
      <c r="B1866" s="9"/>
      <c r="C1866" s="10"/>
      <c r="D1866" s="31">
        <v>5</v>
      </c>
      <c r="E1866" s="5">
        <f t="shared" si="2737"/>
        <v>5</v>
      </c>
      <c r="F1866" s="9"/>
      <c r="G1866" s="10"/>
      <c r="H1866" s="31">
        <v>5</v>
      </c>
      <c r="I1866" s="5">
        <f t="shared" si="2738"/>
        <v>5</v>
      </c>
      <c r="J1866" s="9"/>
      <c r="K1866" s="10"/>
      <c r="L1866" s="31">
        <v>5</v>
      </c>
      <c r="M1866" s="38">
        <f t="shared" si="2739"/>
        <v>5</v>
      </c>
      <c r="N1866" s="141">
        <f t="shared" si="2740"/>
        <v>15</v>
      </c>
      <c r="O1866" s="24">
        <v>46158</v>
      </c>
      <c r="P1866" s="4" t="s">
        <v>1788</v>
      </c>
      <c r="Q1866" s="9">
        <v>15</v>
      </c>
      <c r="R1866" s="10">
        <v>30</v>
      </c>
      <c r="S1866" s="31">
        <v>20</v>
      </c>
      <c r="T1866" s="5">
        <f t="shared" ref="T1866:T1868" si="2750">SUM(Q1866:S1866)</f>
        <v>65</v>
      </c>
      <c r="U1866" s="9">
        <v>15</v>
      </c>
      <c r="V1866" s="10">
        <v>30</v>
      </c>
      <c r="W1866" s="31">
        <v>20</v>
      </c>
      <c r="X1866" s="5">
        <f t="shared" ref="X1866:X1868" si="2751">SUM(U1866:W1866)</f>
        <v>65</v>
      </c>
      <c r="Y1866" s="9">
        <v>15</v>
      </c>
      <c r="Z1866" s="10">
        <v>30</v>
      </c>
      <c r="AA1866" s="31">
        <v>20</v>
      </c>
      <c r="AB1866" s="5">
        <f t="shared" ref="AB1866:AB1868" si="2752">SUM(Y1866:AA1866)</f>
        <v>65</v>
      </c>
      <c r="AC1866" s="148">
        <f t="shared" ref="AC1866:AC1868" si="2753">T1866+X1866+AB1866</f>
        <v>195</v>
      </c>
      <c r="AD1866" s="109">
        <v>46156</v>
      </c>
      <c r="AE1866" s="58"/>
    </row>
    <row r="1867" spans="1:31" x14ac:dyDescent="0.15">
      <c r="A1867" s="33" t="s">
        <v>1798</v>
      </c>
      <c r="B1867" s="9">
        <v>2</v>
      </c>
      <c r="C1867" s="10"/>
      <c r="D1867" s="10"/>
      <c r="E1867" s="5">
        <f t="shared" si="2737"/>
        <v>2</v>
      </c>
      <c r="F1867" s="9">
        <v>1</v>
      </c>
      <c r="G1867" s="10">
        <v>1</v>
      </c>
      <c r="H1867" s="10"/>
      <c r="I1867" s="5">
        <f t="shared" si="2738"/>
        <v>2</v>
      </c>
      <c r="J1867" s="9">
        <v>1</v>
      </c>
      <c r="K1867" s="10"/>
      <c r="L1867" s="10"/>
      <c r="M1867" s="38">
        <f t="shared" si="2739"/>
        <v>1</v>
      </c>
      <c r="N1867" s="138">
        <f t="shared" si="2740"/>
        <v>5</v>
      </c>
      <c r="O1867" s="24">
        <v>46157</v>
      </c>
      <c r="P1867" s="4" t="s">
        <v>1789</v>
      </c>
      <c r="Q1867" s="9">
        <v>20</v>
      </c>
      <c r="R1867" s="10">
        <v>20</v>
      </c>
      <c r="S1867" s="10"/>
      <c r="T1867" s="5">
        <f t="shared" si="2750"/>
        <v>40</v>
      </c>
      <c r="U1867" s="9">
        <v>20</v>
      </c>
      <c r="V1867" s="10">
        <v>20</v>
      </c>
      <c r="W1867" s="10"/>
      <c r="X1867" s="5">
        <f t="shared" si="2751"/>
        <v>40</v>
      </c>
      <c r="Y1867" s="9">
        <v>20</v>
      </c>
      <c r="Z1867" s="10">
        <v>20</v>
      </c>
      <c r="AA1867" s="10"/>
      <c r="AB1867" s="5">
        <f t="shared" si="2752"/>
        <v>40</v>
      </c>
      <c r="AC1867" s="93">
        <f t="shared" si="2753"/>
        <v>120</v>
      </c>
      <c r="AD1867" s="109">
        <v>46157</v>
      </c>
    </row>
    <row r="1868" spans="1:31" x14ac:dyDescent="0.15">
      <c r="A1868" s="33" t="s">
        <v>1800</v>
      </c>
      <c r="B1868" s="9"/>
      <c r="C1868" s="10">
        <v>4</v>
      </c>
      <c r="D1868" s="10"/>
      <c r="E1868" s="5">
        <f t="shared" si="2737"/>
        <v>4</v>
      </c>
      <c r="F1868" s="9"/>
      <c r="G1868" s="10">
        <v>4</v>
      </c>
      <c r="H1868" s="10"/>
      <c r="I1868" s="5">
        <f t="shared" si="2738"/>
        <v>4</v>
      </c>
      <c r="J1868" s="9"/>
      <c r="K1868" s="10">
        <v>4</v>
      </c>
      <c r="L1868" s="10"/>
      <c r="M1868" s="38">
        <f t="shared" si="2739"/>
        <v>4</v>
      </c>
      <c r="N1868" s="138">
        <f t="shared" si="2740"/>
        <v>12</v>
      </c>
      <c r="O1868" s="24">
        <v>46162</v>
      </c>
      <c r="P1868" s="33" t="s">
        <v>1790</v>
      </c>
      <c r="Q1868" s="9">
        <v>1</v>
      </c>
      <c r="R1868" s="10">
        <v>8</v>
      </c>
      <c r="S1868" s="10"/>
      <c r="T1868" s="5">
        <f t="shared" si="2750"/>
        <v>9</v>
      </c>
      <c r="U1868" s="9">
        <v>1</v>
      </c>
      <c r="V1868" s="10">
        <v>8</v>
      </c>
      <c r="W1868" s="10"/>
      <c r="X1868" s="5">
        <f t="shared" si="2751"/>
        <v>9</v>
      </c>
      <c r="Y1868" s="9">
        <v>1</v>
      </c>
      <c r="Z1868" s="10">
        <v>8</v>
      </c>
      <c r="AA1868" s="10"/>
      <c r="AB1868" s="5">
        <f t="shared" si="2752"/>
        <v>9</v>
      </c>
      <c r="AC1868" s="93">
        <f t="shared" si="2753"/>
        <v>27</v>
      </c>
      <c r="AD1868" s="109">
        <v>46160</v>
      </c>
    </row>
    <row r="1869" spans="1:31" x14ac:dyDescent="0.15">
      <c r="A1869" s="33" t="s">
        <v>36</v>
      </c>
      <c r="B1869" s="9">
        <v>2</v>
      </c>
      <c r="C1869" s="10">
        <v>1</v>
      </c>
      <c r="D1869" s="10">
        <v>1</v>
      </c>
      <c r="E1869" s="5">
        <f t="shared" si="2737"/>
        <v>4</v>
      </c>
      <c r="F1869" s="9">
        <v>2</v>
      </c>
      <c r="G1869" s="10">
        <v>1</v>
      </c>
      <c r="H1869" s="10">
        <v>2</v>
      </c>
      <c r="I1869" s="5">
        <f t="shared" si="2738"/>
        <v>5</v>
      </c>
      <c r="J1869" s="9">
        <v>2</v>
      </c>
      <c r="K1869" s="10">
        <v>1</v>
      </c>
      <c r="L1869" s="10">
        <v>3</v>
      </c>
      <c r="M1869" s="38">
        <f t="shared" si="2739"/>
        <v>6</v>
      </c>
      <c r="N1869" s="138">
        <f t="shared" si="2740"/>
        <v>15</v>
      </c>
      <c r="O1869" s="24">
        <v>46160</v>
      </c>
      <c r="P1869" s="11" t="s">
        <v>1797</v>
      </c>
      <c r="Q1869" s="9">
        <v>10</v>
      </c>
      <c r="R1869" s="10">
        <v>5</v>
      </c>
      <c r="S1869" s="10">
        <v>10</v>
      </c>
      <c r="T1869" s="5">
        <f t="shared" ref="T1869:T1876" si="2754">SUM(Q1869:S1869)</f>
        <v>25</v>
      </c>
      <c r="U1869" s="9">
        <v>5</v>
      </c>
      <c r="V1869" s="10">
        <v>5</v>
      </c>
      <c r="W1869" s="10">
        <v>10</v>
      </c>
      <c r="X1869" s="5">
        <f t="shared" ref="X1869:X1876" si="2755">SUM(U1869:W1869)</f>
        <v>20</v>
      </c>
      <c r="Y1869" s="9">
        <v>5</v>
      </c>
      <c r="Z1869" s="10">
        <v>5</v>
      </c>
      <c r="AA1869" s="10">
        <v>10</v>
      </c>
      <c r="AB1869" s="5">
        <f t="shared" ref="AB1869:AB1876" si="2756">SUM(Y1869:AA1869)</f>
        <v>20</v>
      </c>
      <c r="AC1869" s="93">
        <f t="shared" ref="AC1869:AC1876" si="2757">T1869+X1869+AB1869</f>
        <v>65</v>
      </c>
      <c r="AD1869" s="109">
        <v>46158</v>
      </c>
    </row>
    <row r="1870" spans="1:31" x14ac:dyDescent="0.15">
      <c r="A1870" s="33" t="s">
        <v>1806</v>
      </c>
      <c r="B1870" s="9">
        <v>2</v>
      </c>
      <c r="C1870" s="10">
        <v>4</v>
      </c>
      <c r="D1870" s="10">
        <v>5</v>
      </c>
      <c r="E1870" s="5">
        <f t="shared" si="2737"/>
        <v>11</v>
      </c>
      <c r="F1870" s="9">
        <v>2</v>
      </c>
      <c r="G1870" s="10">
        <v>4</v>
      </c>
      <c r="H1870" s="10">
        <v>5</v>
      </c>
      <c r="I1870" s="5">
        <f t="shared" si="2738"/>
        <v>11</v>
      </c>
      <c r="J1870" s="9">
        <v>2</v>
      </c>
      <c r="K1870" s="10">
        <v>4</v>
      </c>
      <c r="L1870" s="10">
        <v>5</v>
      </c>
      <c r="M1870" s="38">
        <f t="shared" si="2739"/>
        <v>11</v>
      </c>
      <c r="N1870" s="138">
        <f t="shared" si="2740"/>
        <v>33</v>
      </c>
      <c r="O1870" s="24">
        <v>46163</v>
      </c>
      <c r="P1870" s="11" t="s">
        <v>1804</v>
      </c>
      <c r="Q1870" s="9">
        <v>3</v>
      </c>
      <c r="R1870" s="10">
        <v>4</v>
      </c>
      <c r="S1870" s="10"/>
      <c r="T1870" s="5">
        <f t="shared" si="2754"/>
        <v>7</v>
      </c>
      <c r="U1870" s="9">
        <v>3</v>
      </c>
      <c r="V1870" s="10">
        <v>4</v>
      </c>
      <c r="W1870" s="10"/>
      <c r="X1870" s="5">
        <f t="shared" si="2755"/>
        <v>7</v>
      </c>
      <c r="Y1870" s="9">
        <v>3</v>
      </c>
      <c r="Z1870" s="10">
        <v>4</v>
      </c>
      <c r="AA1870" s="10"/>
      <c r="AB1870" s="5">
        <f t="shared" si="2756"/>
        <v>7</v>
      </c>
      <c r="AC1870" s="93">
        <f t="shared" si="2757"/>
        <v>21</v>
      </c>
      <c r="AD1870" s="109">
        <v>46162</v>
      </c>
    </row>
    <row r="1871" spans="1:31" x14ac:dyDescent="0.15">
      <c r="A1871" s="33" t="s">
        <v>1812</v>
      </c>
      <c r="B1871" s="9">
        <v>3</v>
      </c>
      <c r="C1871" s="10"/>
      <c r="D1871" s="10">
        <v>5</v>
      </c>
      <c r="E1871" s="8">
        <f t="shared" si="2737"/>
        <v>8</v>
      </c>
      <c r="F1871" s="9">
        <v>3</v>
      </c>
      <c r="G1871" s="10"/>
      <c r="H1871" s="10">
        <v>5</v>
      </c>
      <c r="I1871" s="8">
        <f t="shared" si="2738"/>
        <v>8</v>
      </c>
      <c r="J1871" s="9">
        <v>3</v>
      </c>
      <c r="K1871" s="10"/>
      <c r="L1871" s="10">
        <v>5</v>
      </c>
      <c r="M1871" s="39">
        <f t="shared" si="2739"/>
        <v>8</v>
      </c>
      <c r="N1871" s="138">
        <f t="shared" si="2740"/>
        <v>24</v>
      </c>
      <c r="O1871" s="24">
        <v>46164</v>
      </c>
      <c r="P1871" s="4" t="s">
        <v>1807</v>
      </c>
      <c r="Q1871" s="9"/>
      <c r="R1871" s="10">
        <v>15</v>
      </c>
      <c r="S1871" s="10"/>
      <c r="T1871" s="5">
        <f t="shared" si="2754"/>
        <v>15</v>
      </c>
      <c r="U1871" s="9"/>
      <c r="V1871" s="10">
        <v>10</v>
      </c>
      <c r="W1871" s="10"/>
      <c r="X1871" s="5">
        <f t="shared" si="2755"/>
        <v>10</v>
      </c>
      <c r="Y1871" s="9"/>
      <c r="Z1871" s="10">
        <v>15</v>
      </c>
      <c r="AA1871" s="10"/>
      <c r="AB1871" s="5">
        <f t="shared" si="2756"/>
        <v>15</v>
      </c>
      <c r="AC1871" s="93">
        <f t="shared" si="2757"/>
        <v>40</v>
      </c>
      <c r="AD1871" s="109">
        <v>46163</v>
      </c>
    </row>
    <row r="1872" spans="1:31" x14ac:dyDescent="0.15">
      <c r="A1872" s="33" t="s">
        <v>36</v>
      </c>
      <c r="B1872" s="9"/>
      <c r="C1872" s="10"/>
      <c r="D1872" s="10"/>
      <c r="E1872" s="8">
        <f t="shared" si="2737"/>
        <v>0</v>
      </c>
      <c r="F1872" s="9"/>
      <c r="G1872" s="10"/>
      <c r="H1872" s="10">
        <v>2</v>
      </c>
      <c r="I1872" s="8">
        <f t="shared" si="2738"/>
        <v>2</v>
      </c>
      <c r="J1872" s="9"/>
      <c r="K1872" s="10"/>
      <c r="L1872" s="10"/>
      <c r="M1872" s="39">
        <f t="shared" si="2739"/>
        <v>0</v>
      </c>
      <c r="N1872" s="138">
        <f t="shared" si="2740"/>
        <v>2</v>
      </c>
      <c r="O1872" s="70">
        <v>46162</v>
      </c>
      <c r="P1872" s="4" t="s">
        <v>1813</v>
      </c>
      <c r="Q1872" s="9">
        <v>20</v>
      </c>
      <c r="R1872" s="10">
        <v>20</v>
      </c>
      <c r="S1872" s="10">
        <v>15</v>
      </c>
      <c r="T1872" s="5">
        <f t="shared" si="2754"/>
        <v>55</v>
      </c>
      <c r="U1872" s="9">
        <v>20</v>
      </c>
      <c r="V1872" s="10">
        <v>20</v>
      </c>
      <c r="W1872" s="10">
        <v>15</v>
      </c>
      <c r="X1872" s="5">
        <f t="shared" si="2755"/>
        <v>55</v>
      </c>
      <c r="Y1872" s="9">
        <v>20</v>
      </c>
      <c r="Z1872" s="10">
        <v>20</v>
      </c>
      <c r="AA1872" s="10">
        <v>15</v>
      </c>
      <c r="AB1872" s="5">
        <f t="shared" si="2756"/>
        <v>55</v>
      </c>
      <c r="AC1872" s="93">
        <f t="shared" si="2757"/>
        <v>165</v>
      </c>
      <c r="AD1872" s="109">
        <v>46164</v>
      </c>
    </row>
    <row r="1873" spans="1:33" x14ac:dyDescent="0.15">
      <c r="A1873" s="33" t="s">
        <v>1814</v>
      </c>
      <c r="B1873" s="9"/>
      <c r="C1873" s="10">
        <v>3</v>
      </c>
      <c r="D1873" s="10"/>
      <c r="E1873" s="8">
        <f t="shared" si="2737"/>
        <v>3</v>
      </c>
      <c r="F1873" s="9"/>
      <c r="G1873" s="10">
        <v>3</v>
      </c>
      <c r="H1873" s="10"/>
      <c r="I1873" s="8">
        <f t="shared" si="2738"/>
        <v>3</v>
      </c>
      <c r="J1873" s="9"/>
      <c r="K1873" s="10">
        <v>3</v>
      </c>
      <c r="L1873" s="10"/>
      <c r="M1873" s="39">
        <f t="shared" si="2739"/>
        <v>3</v>
      </c>
      <c r="N1873" s="138">
        <f t="shared" si="2740"/>
        <v>9</v>
      </c>
      <c r="O1873" s="24">
        <v>46165</v>
      </c>
      <c r="P1873" s="160" t="s">
        <v>1319</v>
      </c>
      <c r="Q1873" s="166"/>
      <c r="R1873" s="167"/>
      <c r="S1873" s="167">
        <v>10</v>
      </c>
      <c r="T1873" s="161">
        <f t="shared" si="2754"/>
        <v>10</v>
      </c>
      <c r="U1873" s="166"/>
      <c r="V1873" s="167"/>
      <c r="W1873" s="167">
        <v>10</v>
      </c>
      <c r="X1873" s="161">
        <f t="shared" si="2755"/>
        <v>10</v>
      </c>
      <c r="Y1873" s="166"/>
      <c r="Z1873" s="167"/>
      <c r="AA1873" s="167">
        <v>10</v>
      </c>
      <c r="AB1873" s="161">
        <f t="shared" si="2756"/>
        <v>10</v>
      </c>
      <c r="AC1873" s="169">
        <f t="shared" si="2757"/>
        <v>30</v>
      </c>
      <c r="AD1873" s="170">
        <v>46168</v>
      </c>
    </row>
    <row r="1874" spans="1:33" x14ac:dyDescent="0.15">
      <c r="A1874" s="33" t="s">
        <v>36</v>
      </c>
      <c r="B1874" s="9"/>
      <c r="C1874" s="10"/>
      <c r="D1874" s="10"/>
      <c r="E1874" s="8">
        <f t="shared" si="2737"/>
        <v>0</v>
      </c>
      <c r="F1874" s="9"/>
      <c r="G1874" s="10">
        <v>1</v>
      </c>
      <c r="H1874" s="10"/>
      <c r="I1874" s="8">
        <f t="shared" si="2738"/>
        <v>1</v>
      </c>
      <c r="J1874" s="9"/>
      <c r="K1874" s="10">
        <v>1</v>
      </c>
      <c r="L1874" s="10"/>
      <c r="M1874" s="39">
        <f t="shared" si="2739"/>
        <v>1</v>
      </c>
      <c r="N1874" s="138">
        <f t="shared" si="2740"/>
        <v>2</v>
      </c>
      <c r="O1874" s="24">
        <v>46163</v>
      </c>
      <c r="P1874" s="4" t="s">
        <v>1821</v>
      </c>
      <c r="Q1874" s="9"/>
      <c r="R1874" s="10"/>
      <c r="S1874" s="10"/>
      <c r="T1874" s="5">
        <f t="shared" si="2754"/>
        <v>0</v>
      </c>
      <c r="U1874" s="9"/>
      <c r="V1874" s="10"/>
      <c r="W1874" s="10">
        <v>5</v>
      </c>
      <c r="X1874" s="5">
        <f t="shared" si="2755"/>
        <v>5</v>
      </c>
      <c r="Y1874" s="9"/>
      <c r="Z1874" s="10"/>
      <c r="AA1874" s="10"/>
      <c r="AB1874" s="5">
        <f t="shared" si="2756"/>
        <v>0</v>
      </c>
      <c r="AC1874" s="93">
        <f t="shared" si="2757"/>
        <v>5</v>
      </c>
      <c r="AD1874" s="109">
        <v>46165</v>
      </c>
      <c r="AE1874" s="58"/>
    </row>
    <row r="1875" spans="1:33" x14ac:dyDescent="0.15">
      <c r="A1875" s="33" t="s">
        <v>1820</v>
      </c>
      <c r="B1875" s="9"/>
      <c r="C1875" s="10">
        <v>2</v>
      </c>
      <c r="D1875" s="10">
        <v>3</v>
      </c>
      <c r="E1875" s="8">
        <f t="shared" si="2737"/>
        <v>5</v>
      </c>
      <c r="F1875" s="9"/>
      <c r="G1875" s="10">
        <v>2</v>
      </c>
      <c r="H1875" s="10">
        <v>3</v>
      </c>
      <c r="I1875" s="8">
        <f t="shared" si="2738"/>
        <v>5</v>
      </c>
      <c r="J1875" s="9"/>
      <c r="K1875" s="10">
        <v>2</v>
      </c>
      <c r="L1875" s="10">
        <v>3</v>
      </c>
      <c r="M1875" s="39">
        <f t="shared" si="2739"/>
        <v>5</v>
      </c>
      <c r="N1875" s="138">
        <f t="shared" si="2740"/>
        <v>15</v>
      </c>
      <c r="O1875" s="24">
        <v>46167</v>
      </c>
      <c r="P1875" s="11" t="s">
        <v>1432</v>
      </c>
      <c r="Q1875" s="9">
        <v>10</v>
      </c>
      <c r="R1875" s="10">
        <v>10</v>
      </c>
      <c r="S1875" s="10"/>
      <c r="T1875" s="5">
        <f t="shared" si="2754"/>
        <v>20</v>
      </c>
      <c r="U1875" s="9">
        <v>10</v>
      </c>
      <c r="V1875" s="10">
        <v>10</v>
      </c>
      <c r="W1875" s="10"/>
      <c r="X1875" s="5">
        <f t="shared" si="2755"/>
        <v>20</v>
      </c>
      <c r="Y1875" s="9">
        <v>10</v>
      </c>
      <c r="Z1875" s="10">
        <v>10</v>
      </c>
      <c r="AA1875" s="10"/>
      <c r="AB1875" s="5">
        <f t="shared" si="2756"/>
        <v>20</v>
      </c>
      <c r="AC1875" s="93">
        <f t="shared" si="2757"/>
        <v>60</v>
      </c>
      <c r="AD1875" s="109">
        <v>46167</v>
      </c>
    </row>
    <row r="1876" spans="1:33" x14ac:dyDescent="0.15">
      <c r="A1876" s="33" t="s">
        <v>1822</v>
      </c>
      <c r="B1876" s="9"/>
      <c r="C1876" s="10"/>
      <c r="D1876" s="10">
        <v>1</v>
      </c>
      <c r="E1876" s="8">
        <f t="shared" si="2737"/>
        <v>1</v>
      </c>
      <c r="F1876" s="9"/>
      <c r="G1876" s="10"/>
      <c r="H1876" s="10">
        <v>1</v>
      </c>
      <c r="I1876" s="8">
        <f t="shared" si="2738"/>
        <v>1</v>
      </c>
      <c r="J1876" s="9"/>
      <c r="K1876" s="10"/>
      <c r="L1876" s="10">
        <v>1</v>
      </c>
      <c r="M1876" s="39">
        <f t="shared" si="2739"/>
        <v>1</v>
      </c>
      <c r="N1876" s="138">
        <f t="shared" si="2740"/>
        <v>3</v>
      </c>
      <c r="O1876" s="70">
        <v>46164</v>
      </c>
      <c r="P1876" s="11" t="s">
        <v>1830</v>
      </c>
      <c r="Q1876" s="9">
        <v>8</v>
      </c>
      <c r="R1876" s="10">
        <v>5</v>
      </c>
      <c r="S1876" s="10">
        <v>1</v>
      </c>
      <c r="T1876" s="5">
        <f t="shared" si="2754"/>
        <v>14</v>
      </c>
      <c r="U1876" s="9">
        <v>8</v>
      </c>
      <c r="V1876" s="10">
        <v>5</v>
      </c>
      <c r="W1876" s="10">
        <v>1</v>
      </c>
      <c r="X1876" s="5">
        <f t="shared" si="2755"/>
        <v>14</v>
      </c>
      <c r="Y1876" s="9">
        <v>8</v>
      </c>
      <c r="Z1876" s="10">
        <v>5</v>
      </c>
      <c r="AA1876" s="10">
        <v>1</v>
      </c>
      <c r="AB1876" s="5">
        <f t="shared" si="2756"/>
        <v>14</v>
      </c>
      <c r="AC1876" s="93">
        <f t="shared" si="2757"/>
        <v>42</v>
      </c>
      <c r="AD1876" s="109">
        <v>46168</v>
      </c>
    </row>
    <row r="1877" spans="1:33" x14ac:dyDescent="0.15">
      <c r="A1877" s="33" t="s">
        <v>1823</v>
      </c>
      <c r="B1877" s="9">
        <v>1</v>
      </c>
      <c r="C1877" s="10">
        <v>4</v>
      </c>
      <c r="D1877" s="10"/>
      <c r="E1877" s="8">
        <f t="shared" si="2737"/>
        <v>5</v>
      </c>
      <c r="F1877" s="9">
        <v>1</v>
      </c>
      <c r="G1877" s="10">
        <v>4</v>
      </c>
      <c r="H1877" s="10"/>
      <c r="I1877" s="8">
        <f t="shared" si="2738"/>
        <v>5</v>
      </c>
      <c r="J1877" s="9">
        <v>1</v>
      </c>
      <c r="K1877" s="10">
        <v>4</v>
      </c>
      <c r="L1877" s="10"/>
      <c r="M1877" s="39">
        <f t="shared" si="2739"/>
        <v>5</v>
      </c>
      <c r="N1877" s="138">
        <f t="shared" si="2740"/>
        <v>15</v>
      </c>
      <c r="O1877" s="24">
        <v>46169</v>
      </c>
      <c r="P1877" s="4" t="s">
        <v>1831</v>
      </c>
      <c r="Q1877" s="9"/>
      <c r="R1877" s="10">
        <v>15</v>
      </c>
      <c r="S1877" s="10">
        <v>5</v>
      </c>
      <c r="T1877" s="5">
        <f t="shared" ref="T1877:T1884" si="2758">SUM(Q1877:S1877)</f>
        <v>20</v>
      </c>
      <c r="U1877" s="9"/>
      <c r="V1877" s="10">
        <v>15</v>
      </c>
      <c r="W1877" s="10">
        <v>5</v>
      </c>
      <c r="X1877" s="5">
        <f t="shared" ref="X1877:X1884" si="2759">SUM(U1877:W1877)</f>
        <v>20</v>
      </c>
      <c r="Y1877" s="9"/>
      <c r="Z1877" s="10">
        <v>15</v>
      </c>
      <c r="AA1877" s="10">
        <v>5</v>
      </c>
      <c r="AB1877" s="5">
        <f t="shared" ref="AB1877:AB1884" si="2760">SUM(Y1877:AA1877)</f>
        <v>20</v>
      </c>
      <c r="AC1877" s="93">
        <f t="shared" ref="AC1877:AC1884" si="2761">T1877+X1877+AB1877</f>
        <v>60</v>
      </c>
      <c r="AD1877" s="109">
        <v>46170</v>
      </c>
      <c r="AE1877" s="58"/>
      <c r="AF1877" s="58"/>
      <c r="AG1877" s="58"/>
    </row>
    <row r="1878" spans="1:33" x14ac:dyDescent="0.15">
      <c r="A1878" s="33" t="s">
        <v>36</v>
      </c>
      <c r="B1878" s="9"/>
      <c r="C1878" s="10">
        <v>1</v>
      </c>
      <c r="D1878" s="10"/>
      <c r="E1878" s="8">
        <f t="shared" si="2737"/>
        <v>1</v>
      </c>
      <c r="F1878" s="9"/>
      <c r="G1878" s="10"/>
      <c r="H1878" s="10"/>
      <c r="I1878" s="8">
        <f t="shared" si="2738"/>
        <v>0</v>
      </c>
      <c r="J1878" s="9"/>
      <c r="K1878" s="10"/>
      <c r="L1878" s="10"/>
      <c r="M1878" s="39">
        <f t="shared" si="2739"/>
        <v>0</v>
      </c>
      <c r="N1878" s="138">
        <f t="shared" si="2740"/>
        <v>1</v>
      </c>
      <c r="O1878" s="24">
        <v>46167</v>
      </c>
      <c r="P1878" s="160"/>
      <c r="Q1878" s="166"/>
      <c r="R1878" s="167"/>
      <c r="S1878" s="167"/>
      <c r="T1878" s="161">
        <f t="shared" si="2758"/>
        <v>0</v>
      </c>
      <c r="U1878" s="166"/>
      <c r="V1878" s="167"/>
      <c r="W1878" s="167"/>
      <c r="X1878" s="161">
        <f t="shared" si="2759"/>
        <v>0</v>
      </c>
      <c r="Y1878" s="166"/>
      <c r="Z1878" s="167"/>
      <c r="AA1878" s="167"/>
      <c r="AB1878" s="161">
        <f t="shared" si="2760"/>
        <v>0</v>
      </c>
      <c r="AC1878" s="169">
        <f t="shared" si="2761"/>
        <v>0</v>
      </c>
      <c r="AD1878" s="170"/>
    </row>
    <row r="1879" spans="1:33" x14ac:dyDescent="0.15">
      <c r="A1879" s="33" t="s">
        <v>1832</v>
      </c>
      <c r="B1879" s="9">
        <v>4</v>
      </c>
      <c r="C1879" s="10">
        <v>4</v>
      </c>
      <c r="D1879" s="10"/>
      <c r="E1879" s="8">
        <f t="shared" si="2737"/>
        <v>8</v>
      </c>
      <c r="F1879" s="9">
        <v>4</v>
      </c>
      <c r="G1879" s="10">
        <v>4</v>
      </c>
      <c r="H1879" s="10"/>
      <c r="I1879" s="8">
        <f t="shared" si="2738"/>
        <v>8</v>
      </c>
      <c r="J1879" s="9">
        <v>4</v>
      </c>
      <c r="K1879" s="10">
        <v>4</v>
      </c>
      <c r="L1879" s="10"/>
      <c r="M1879" s="39">
        <f t="shared" si="2739"/>
        <v>8</v>
      </c>
      <c r="N1879" s="138">
        <f t="shared" si="2740"/>
        <v>24</v>
      </c>
      <c r="O1879" s="24">
        <v>46170</v>
      </c>
      <c r="P1879" s="81" t="s">
        <v>1660</v>
      </c>
      <c r="Q1879" s="71"/>
      <c r="R1879" s="72"/>
      <c r="S1879" s="72"/>
      <c r="T1879" s="84">
        <f t="shared" ref="T1879:T1880" si="2762">SUM(Q1879:S1879)</f>
        <v>0</v>
      </c>
      <c r="U1879" s="71"/>
      <c r="V1879" s="72"/>
      <c r="W1879" s="72"/>
      <c r="X1879" s="84">
        <f t="shared" ref="X1879:X1880" si="2763">SUM(U1879:W1879)</f>
        <v>0</v>
      </c>
      <c r="Y1879" s="71"/>
      <c r="Z1879" s="72"/>
      <c r="AA1879" s="72"/>
      <c r="AB1879" s="84">
        <f t="shared" ref="AB1879:AB1880" si="2764">SUM(Y1879:AA1879)</f>
        <v>0</v>
      </c>
      <c r="AC1879" s="92">
        <f t="shared" ref="AC1879:AC1880" si="2765">T1879+X1879+AB1879</f>
        <v>0</v>
      </c>
      <c r="AD1879" s="116"/>
    </row>
    <row r="1880" spans="1:33" x14ac:dyDescent="0.15">
      <c r="A1880" s="33" t="s">
        <v>1836</v>
      </c>
      <c r="B1880" s="9"/>
      <c r="C1880" s="10"/>
      <c r="D1880" s="10">
        <v>3</v>
      </c>
      <c r="E1880" s="8">
        <f t="shared" si="2737"/>
        <v>3</v>
      </c>
      <c r="F1880" s="9"/>
      <c r="G1880" s="10"/>
      <c r="H1880" s="10">
        <v>3</v>
      </c>
      <c r="I1880" s="8">
        <f t="shared" si="2738"/>
        <v>3</v>
      </c>
      <c r="J1880" s="9"/>
      <c r="K1880" s="10"/>
      <c r="L1880" s="10">
        <v>3</v>
      </c>
      <c r="M1880" s="39">
        <f t="shared" si="2739"/>
        <v>3</v>
      </c>
      <c r="N1880" s="138">
        <f t="shared" si="2740"/>
        <v>9</v>
      </c>
      <c r="O1880" s="24">
        <v>46171</v>
      </c>
      <c r="P1880" s="4" t="s">
        <v>1657</v>
      </c>
      <c r="Q1880" s="9"/>
      <c r="R1880" s="10"/>
      <c r="S1880" s="10"/>
      <c r="T1880" s="5">
        <f t="shared" si="2762"/>
        <v>0</v>
      </c>
      <c r="U1880" s="9"/>
      <c r="V1880" s="10"/>
      <c r="W1880" s="10"/>
      <c r="X1880" s="5">
        <f t="shared" si="2763"/>
        <v>0</v>
      </c>
      <c r="Y1880" s="9"/>
      <c r="Z1880" s="10"/>
      <c r="AA1880" s="10"/>
      <c r="AB1880" s="5">
        <f t="shared" si="2764"/>
        <v>0</v>
      </c>
      <c r="AC1880" s="93">
        <f t="shared" si="2765"/>
        <v>0</v>
      </c>
      <c r="AD1880" s="116" t="s">
        <v>1658</v>
      </c>
    </row>
    <row r="1881" spans="1:33" x14ac:dyDescent="0.15">
      <c r="A1881" s="33" t="s">
        <v>36</v>
      </c>
      <c r="B1881" s="9"/>
      <c r="C1881" s="10"/>
      <c r="D1881" s="10"/>
      <c r="E1881" s="8">
        <f t="shared" si="2737"/>
        <v>0</v>
      </c>
      <c r="F1881" s="9"/>
      <c r="G1881" s="10">
        <v>1</v>
      </c>
      <c r="H1881" s="10"/>
      <c r="I1881" s="8">
        <f t="shared" si="2738"/>
        <v>1</v>
      </c>
      <c r="J1881" s="9"/>
      <c r="K1881" s="10">
        <v>2</v>
      </c>
      <c r="L1881" s="10"/>
      <c r="M1881" s="39">
        <f t="shared" si="2739"/>
        <v>2</v>
      </c>
      <c r="N1881" s="138">
        <f t="shared" si="2740"/>
        <v>3</v>
      </c>
      <c r="O1881" s="70">
        <v>46169</v>
      </c>
      <c r="P1881" s="81" t="s">
        <v>1680</v>
      </c>
      <c r="Q1881" s="71"/>
      <c r="R1881" s="72"/>
      <c r="S1881" s="72"/>
      <c r="T1881" s="73">
        <f t="shared" si="2758"/>
        <v>0</v>
      </c>
      <c r="U1881" s="71"/>
      <c r="V1881" s="72"/>
      <c r="W1881" s="72"/>
      <c r="X1881" s="73">
        <f t="shared" si="2759"/>
        <v>0</v>
      </c>
      <c r="Y1881" s="71"/>
      <c r="Z1881" s="72"/>
      <c r="AA1881" s="72"/>
      <c r="AB1881" s="73">
        <f t="shared" si="2760"/>
        <v>0</v>
      </c>
      <c r="AC1881" s="92">
        <f t="shared" si="2761"/>
        <v>0</v>
      </c>
      <c r="AD1881" s="116"/>
    </row>
    <row r="1882" spans="1:33" x14ac:dyDescent="0.15">
      <c r="A1882" s="33" t="s">
        <v>1843</v>
      </c>
      <c r="B1882" s="9"/>
      <c r="C1882" s="10">
        <v>1</v>
      </c>
      <c r="D1882" s="10">
        <v>1</v>
      </c>
      <c r="E1882" s="8">
        <f t="shared" si="2737"/>
        <v>2</v>
      </c>
      <c r="F1882" s="9"/>
      <c r="G1882" s="10">
        <v>1</v>
      </c>
      <c r="H1882" s="10">
        <v>1</v>
      </c>
      <c r="I1882" s="8">
        <f t="shared" si="2738"/>
        <v>2</v>
      </c>
      <c r="J1882" s="9"/>
      <c r="K1882" s="10">
        <v>1</v>
      </c>
      <c r="L1882" s="10">
        <v>1</v>
      </c>
      <c r="M1882" s="39">
        <f t="shared" si="2739"/>
        <v>2</v>
      </c>
      <c r="N1882" s="138">
        <f t="shared" si="2740"/>
        <v>6</v>
      </c>
      <c r="O1882" s="24">
        <v>46172</v>
      </c>
      <c r="P1882" s="4" t="s">
        <v>1682</v>
      </c>
      <c r="Q1882" s="9"/>
      <c r="R1882" s="10"/>
      <c r="S1882" s="10"/>
      <c r="T1882" s="8">
        <f t="shared" si="2758"/>
        <v>0</v>
      </c>
      <c r="U1882" s="9"/>
      <c r="V1882" s="10"/>
      <c r="W1882" s="10"/>
      <c r="X1882" s="8">
        <f t="shared" si="2759"/>
        <v>0</v>
      </c>
      <c r="Y1882" s="9"/>
      <c r="Z1882" s="10"/>
      <c r="AA1882" s="10"/>
      <c r="AB1882" s="8">
        <f t="shared" si="2760"/>
        <v>0</v>
      </c>
      <c r="AC1882" s="93">
        <f t="shared" si="2761"/>
        <v>0</v>
      </c>
      <c r="AD1882" s="116" t="s">
        <v>1681</v>
      </c>
    </row>
    <row r="1883" spans="1:33" x14ac:dyDescent="0.15">
      <c r="A1883" s="33" t="s">
        <v>36</v>
      </c>
      <c r="B1883" s="9">
        <v>1</v>
      </c>
      <c r="C1883" s="10">
        <v>2</v>
      </c>
      <c r="D1883" s="10"/>
      <c r="E1883" s="8">
        <f t="shared" si="2737"/>
        <v>3</v>
      </c>
      <c r="F1883" s="9">
        <v>1</v>
      </c>
      <c r="G1883" s="10"/>
      <c r="H1883" s="10"/>
      <c r="I1883" s="8">
        <f t="shared" si="2738"/>
        <v>1</v>
      </c>
      <c r="J1883" s="9">
        <v>2</v>
      </c>
      <c r="K1883" s="10"/>
      <c r="L1883" s="10"/>
      <c r="M1883" s="39">
        <f t="shared" si="2739"/>
        <v>2</v>
      </c>
      <c r="N1883" s="138">
        <f t="shared" si="2740"/>
        <v>6</v>
      </c>
      <c r="O1883" s="70">
        <v>46170</v>
      </c>
      <c r="P1883" s="81" t="s">
        <v>1766</v>
      </c>
      <c r="Q1883" s="71"/>
      <c r="R1883" s="72"/>
      <c r="S1883" s="72"/>
      <c r="T1883" s="84">
        <f t="shared" si="2758"/>
        <v>0</v>
      </c>
      <c r="U1883" s="71"/>
      <c r="V1883" s="72"/>
      <c r="W1883" s="72"/>
      <c r="X1883" s="84">
        <f t="shared" si="2759"/>
        <v>0</v>
      </c>
      <c r="Y1883" s="71"/>
      <c r="Z1883" s="72"/>
      <c r="AA1883" s="72"/>
      <c r="AB1883" s="84">
        <f t="shared" si="2760"/>
        <v>0</v>
      </c>
      <c r="AC1883" s="92">
        <f t="shared" si="2761"/>
        <v>0</v>
      </c>
      <c r="AD1883" s="116"/>
    </row>
    <row r="1884" spans="1:33" x14ac:dyDescent="0.15">
      <c r="A1884" s="33" t="s">
        <v>1846</v>
      </c>
      <c r="B1884" s="9"/>
      <c r="C1884" s="10">
        <v>1</v>
      </c>
      <c r="D1884" s="10"/>
      <c r="E1884" s="8">
        <f t="shared" si="2737"/>
        <v>1</v>
      </c>
      <c r="F1884" s="9"/>
      <c r="G1884" s="10">
        <v>1</v>
      </c>
      <c r="H1884" s="10"/>
      <c r="I1884" s="8">
        <f t="shared" si="2738"/>
        <v>1</v>
      </c>
      <c r="J1884" s="9"/>
      <c r="K1884" s="10">
        <v>1</v>
      </c>
      <c r="L1884" s="10"/>
      <c r="M1884" s="39">
        <f t="shared" si="2739"/>
        <v>1</v>
      </c>
      <c r="N1884" s="138">
        <f t="shared" si="2740"/>
        <v>3</v>
      </c>
      <c r="O1884" s="24">
        <v>46174</v>
      </c>
      <c r="P1884" s="4" t="s">
        <v>1767</v>
      </c>
      <c r="Q1884" s="9"/>
      <c r="R1884" s="10"/>
      <c r="S1884" s="10"/>
      <c r="T1884" s="5">
        <f t="shared" si="2758"/>
        <v>0</v>
      </c>
      <c r="U1884" s="9"/>
      <c r="V1884" s="10"/>
      <c r="W1884" s="10"/>
      <c r="X1884" s="5">
        <f t="shared" si="2759"/>
        <v>0</v>
      </c>
      <c r="Y1884" s="9"/>
      <c r="Z1884" s="10"/>
      <c r="AA1884" s="10"/>
      <c r="AB1884" s="5">
        <f t="shared" si="2760"/>
        <v>0</v>
      </c>
      <c r="AC1884" s="93">
        <f t="shared" si="2761"/>
        <v>0</v>
      </c>
      <c r="AD1884" s="116" t="s">
        <v>1768</v>
      </c>
    </row>
    <row r="1885" spans="1:33" x14ac:dyDescent="0.15">
      <c r="A1885" s="33"/>
      <c r="B1885" s="9"/>
      <c r="C1885" s="10"/>
      <c r="D1885" s="10"/>
      <c r="E1885" s="8">
        <f t="shared" ref="E1885" si="2766">SUM(B1885:D1885)</f>
        <v>0</v>
      </c>
      <c r="F1885" s="9"/>
      <c r="G1885" s="10"/>
      <c r="H1885" s="10"/>
      <c r="I1885" s="8">
        <f t="shared" ref="I1885" si="2767">SUM(F1885:H1885)</f>
        <v>0</v>
      </c>
      <c r="J1885" s="9"/>
      <c r="K1885" s="10"/>
      <c r="L1885" s="10"/>
      <c r="M1885" s="39">
        <f t="shared" ref="M1885" si="2768">SUM(J1885:L1885)</f>
        <v>0</v>
      </c>
      <c r="N1885" s="138">
        <f t="shared" ref="N1885" si="2769">E1885+I1885+M1885</f>
        <v>0</v>
      </c>
      <c r="O1885" s="58"/>
      <c r="P1885" s="11" t="s">
        <v>1631</v>
      </c>
      <c r="Q1885" s="9"/>
      <c r="R1885" s="10"/>
      <c r="S1885" s="10"/>
      <c r="T1885" s="8">
        <f t="shared" ref="T1885" si="2770">SUM(Q1885:S1885)</f>
        <v>0</v>
      </c>
      <c r="U1885" s="9"/>
      <c r="V1885" s="10"/>
      <c r="W1885" s="10"/>
      <c r="X1885" s="8">
        <f t="shared" ref="X1885" si="2771">SUM(U1885:W1885)</f>
        <v>0</v>
      </c>
      <c r="Y1885" s="9"/>
      <c r="Z1885" s="10"/>
      <c r="AA1885" s="10"/>
      <c r="AB1885" s="8">
        <f t="shared" ref="AB1885" si="2772">SUM(Y1885:AA1885)</f>
        <v>0</v>
      </c>
      <c r="AC1885" s="93">
        <f t="shared" ref="AC1885" si="2773">T1885+X1885+AB1885</f>
        <v>0</v>
      </c>
      <c r="AD1885" s="116" t="s">
        <v>767</v>
      </c>
    </row>
    <row r="1886" spans="1:33" x14ac:dyDescent="0.15">
      <c r="A1886" s="33"/>
      <c r="B1886" s="9"/>
      <c r="C1886" s="10"/>
      <c r="D1886" s="10"/>
      <c r="E1886" s="8">
        <f t="shared" si="2737"/>
        <v>0</v>
      </c>
      <c r="F1886" s="9"/>
      <c r="G1886" s="10"/>
      <c r="H1886" s="10"/>
      <c r="I1886" s="8">
        <f t="shared" si="2738"/>
        <v>0</v>
      </c>
      <c r="J1886" s="9"/>
      <c r="K1886" s="10"/>
      <c r="L1886" s="10"/>
      <c r="M1886" s="39">
        <f t="shared" si="2739"/>
        <v>0</v>
      </c>
      <c r="N1886" s="138">
        <f t="shared" si="2740"/>
        <v>0</v>
      </c>
      <c r="O1886" s="58"/>
      <c r="P1886" s="81" t="s">
        <v>1633</v>
      </c>
      <c r="Q1886" s="71"/>
      <c r="R1886" s="72"/>
      <c r="S1886" s="72"/>
      <c r="T1886" s="73">
        <f t="shared" ref="T1886:T1887" si="2774">SUM(Q1886:S1886)</f>
        <v>0</v>
      </c>
      <c r="U1886" s="71"/>
      <c r="V1886" s="72"/>
      <c r="W1886" s="72"/>
      <c r="X1886" s="73">
        <f t="shared" ref="X1886:X1887" si="2775">SUM(U1886:W1886)</f>
        <v>0</v>
      </c>
      <c r="Y1886" s="71"/>
      <c r="Z1886" s="72"/>
      <c r="AA1886" s="72"/>
      <c r="AB1886" s="73">
        <f t="shared" ref="AB1886:AB1887" si="2776">SUM(Y1886:AA1886)</f>
        <v>0</v>
      </c>
      <c r="AC1886" s="92">
        <f t="shared" ref="AC1886:AC1887" si="2777">T1886+X1886+AB1886</f>
        <v>0</v>
      </c>
      <c r="AD1886" s="116"/>
    </row>
    <row r="1887" spans="1:33" x14ac:dyDescent="0.15">
      <c r="A1887" s="33"/>
      <c r="B1887" s="9"/>
      <c r="C1887" s="10"/>
      <c r="D1887" s="10"/>
      <c r="E1887" s="8">
        <f t="shared" si="2737"/>
        <v>0</v>
      </c>
      <c r="F1887" s="9"/>
      <c r="G1887" s="10"/>
      <c r="H1887" s="10"/>
      <c r="I1887" s="8">
        <f t="shared" si="2738"/>
        <v>0</v>
      </c>
      <c r="J1887" s="9"/>
      <c r="K1887" s="10"/>
      <c r="L1887" s="10"/>
      <c r="M1887" s="39">
        <f t="shared" si="2739"/>
        <v>0</v>
      </c>
      <c r="N1887" s="138">
        <f t="shared" si="2740"/>
        <v>0</v>
      </c>
      <c r="P1887" s="4" t="s">
        <v>1634</v>
      </c>
      <c r="Q1887" s="9"/>
      <c r="R1887" s="10"/>
      <c r="S1887" s="10"/>
      <c r="T1887" s="8">
        <f t="shared" si="2774"/>
        <v>0</v>
      </c>
      <c r="U1887" s="9"/>
      <c r="V1887" s="10"/>
      <c r="W1887" s="10"/>
      <c r="X1887" s="8">
        <f t="shared" si="2775"/>
        <v>0</v>
      </c>
      <c r="Y1887" s="9"/>
      <c r="Z1887" s="10"/>
      <c r="AA1887" s="10"/>
      <c r="AB1887" s="8">
        <f t="shared" si="2776"/>
        <v>0</v>
      </c>
      <c r="AC1887" s="86">
        <f t="shared" si="2777"/>
        <v>0</v>
      </c>
      <c r="AD1887" s="116" t="s">
        <v>1635</v>
      </c>
    </row>
    <row r="1888" spans="1:33" x14ac:dyDescent="0.15">
      <c r="A1888" s="33"/>
      <c r="B1888" s="9"/>
      <c r="C1888" s="10"/>
      <c r="D1888" s="10"/>
      <c r="E1888" s="8">
        <f t="shared" si="2737"/>
        <v>0</v>
      </c>
      <c r="F1888" s="9"/>
      <c r="G1888" s="10"/>
      <c r="H1888" s="10"/>
      <c r="I1888" s="8">
        <f t="shared" si="2738"/>
        <v>0</v>
      </c>
      <c r="J1888" s="9"/>
      <c r="K1888" s="10"/>
      <c r="L1888" s="10"/>
      <c r="M1888" s="39">
        <f t="shared" si="2739"/>
        <v>0</v>
      </c>
      <c r="N1888" s="138">
        <f t="shared" si="2740"/>
        <v>0</v>
      </c>
      <c r="P1888" s="81" t="s">
        <v>1550</v>
      </c>
      <c r="Q1888" s="71"/>
      <c r="R1888" s="72"/>
      <c r="S1888" s="72"/>
      <c r="T1888" s="73">
        <f t="shared" ref="T1888:T1889" si="2778">SUM(Q1888:S1888)</f>
        <v>0</v>
      </c>
      <c r="U1888" s="71"/>
      <c r="V1888" s="72"/>
      <c r="W1888" s="72"/>
      <c r="X1888" s="73">
        <f t="shared" ref="X1888:X1889" si="2779">SUM(U1888:W1888)</f>
        <v>0</v>
      </c>
      <c r="Y1888" s="71"/>
      <c r="Z1888" s="72"/>
      <c r="AA1888" s="72"/>
      <c r="AB1888" s="73">
        <f t="shared" ref="AB1888:AB1889" si="2780">SUM(Y1888:AA1888)</f>
        <v>0</v>
      </c>
      <c r="AC1888" s="92">
        <f t="shared" ref="AC1888:AC1889" si="2781">T1888+X1888+AB1888</f>
        <v>0</v>
      </c>
      <c r="AD1888" s="116"/>
    </row>
    <row r="1889" spans="1:30" ht="14.25" thickBot="1" x14ac:dyDescent="0.2">
      <c r="A1889" s="63"/>
      <c r="B1889" s="9"/>
      <c r="C1889" s="10"/>
      <c r="D1889" s="22"/>
      <c r="E1889" s="8">
        <f t="shared" si="2737"/>
        <v>0</v>
      </c>
      <c r="F1889" s="9"/>
      <c r="G1889" s="10"/>
      <c r="H1889" s="22"/>
      <c r="I1889" s="8">
        <f t="shared" si="2738"/>
        <v>0</v>
      </c>
      <c r="J1889" s="9"/>
      <c r="K1889" s="10"/>
      <c r="L1889" s="22"/>
      <c r="M1889" s="39">
        <f t="shared" si="2739"/>
        <v>0</v>
      </c>
      <c r="N1889" s="139">
        <f t="shared" si="2740"/>
        <v>0</v>
      </c>
      <c r="P1889" s="4" t="s">
        <v>1551</v>
      </c>
      <c r="Q1889" s="9"/>
      <c r="R1889" s="10"/>
      <c r="S1889" s="10"/>
      <c r="T1889" s="8">
        <f t="shared" si="2778"/>
        <v>0</v>
      </c>
      <c r="U1889" s="9"/>
      <c r="V1889" s="10"/>
      <c r="W1889" s="10"/>
      <c r="X1889" s="8">
        <f t="shared" si="2779"/>
        <v>0</v>
      </c>
      <c r="Y1889" s="9"/>
      <c r="Z1889" s="10"/>
      <c r="AA1889" s="10"/>
      <c r="AB1889" s="8">
        <f t="shared" si="2780"/>
        <v>0</v>
      </c>
      <c r="AC1889" s="93">
        <f t="shared" si="2781"/>
        <v>0</v>
      </c>
      <c r="AD1889" s="116" t="s">
        <v>1627</v>
      </c>
    </row>
    <row r="1890" spans="1:30" ht="14.25" thickBot="1" x14ac:dyDescent="0.2">
      <c r="A1890" s="104" t="s">
        <v>5</v>
      </c>
      <c r="B1890" s="12">
        <f>SUM(B1866:B1889)</f>
        <v>15</v>
      </c>
      <c r="C1890" s="12">
        <f>SUM(C1866:C1889)</f>
        <v>27</v>
      </c>
      <c r="D1890" s="12">
        <f>SUM(D1866:D1889)</f>
        <v>24</v>
      </c>
      <c r="E1890" s="13">
        <f t="shared" si="2737"/>
        <v>66</v>
      </c>
      <c r="F1890" s="12">
        <f>SUM(F1866:F1889)</f>
        <v>14</v>
      </c>
      <c r="G1890" s="12">
        <f>SUM(G1866:G1889)</f>
        <v>27</v>
      </c>
      <c r="H1890" s="12">
        <f>SUM(H1866:H1889)</f>
        <v>27</v>
      </c>
      <c r="I1890" s="13">
        <f t="shared" si="2738"/>
        <v>68</v>
      </c>
      <c r="J1890" s="12">
        <f>SUM(J1866:J1889)</f>
        <v>15</v>
      </c>
      <c r="K1890" s="12">
        <f>SUM(K1866:K1889)</f>
        <v>27</v>
      </c>
      <c r="L1890" s="12">
        <f>SUM(L1866:L1889)</f>
        <v>26</v>
      </c>
      <c r="M1890" s="12">
        <f t="shared" si="2739"/>
        <v>68</v>
      </c>
      <c r="N1890" s="142">
        <f t="shared" si="2740"/>
        <v>202</v>
      </c>
      <c r="P1890" s="3" t="s">
        <v>5</v>
      </c>
      <c r="Q1890" s="12">
        <f>SUM(Q1866:Q1889)</f>
        <v>87</v>
      </c>
      <c r="R1890" s="12">
        <f t="shared" ref="R1890:AC1890" si="2782">SUM(R1866:R1889)</f>
        <v>132</v>
      </c>
      <c r="S1890" s="12">
        <f t="shared" si="2782"/>
        <v>61</v>
      </c>
      <c r="T1890" s="13">
        <f t="shared" si="2782"/>
        <v>280</v>
      </c>
      <c r="U1890" s="12">
        <f t="shared" si="2782"/>
        <v>82</v>
      </c>
      <c r="V1890" s="12">
        <f t="shared" si="2782"/>
        <v>127</v>
      </c>
      <c r="W1890" s="12">
        <f t="shared" si="2782"/>
        <v>66</v>
      </c>
      <c r="X1890" s="13">
        <f t="shared" si="2782"/>
        <v>275</v>
      </c>
      <c r="Y1890" s="12">
        <f t="shared" si="2782"/>
        <v>82</v>
      </c>
      <c r="Z1890" s="12">
        <f t="shared" si="2782"/>
        <v>132</v>
      </c>
      <c r="AA1890" s="12">
        <f t="shared" si="2782"/>
        <v>61</v>
      </c>
      <c r="AB1890" s="13">
        <f t="shared" si="2782"/>
        <v>275</v>
      </c>
      <c r="AC1890" s="155">
        <f t="shared" si="2782"/>
        <v>830</v>
      </c>
    </row>
    <row r="1891" spans="1:30" ht="14.25" thickBot="1" x14ac:dyDescent="0.2">
      <c r="A1891" s="105" t="s">
        <v>6</v>
      </c>
      <c r="B1891" s="20">
        <f>B1865-B1890</f>
        <v>25</v>
      </c>
      <c r="C1891" s="20">
        <f t="shared" ref="C1891:E1891" si="2783">C1865-C1890</f>
        <v>13</v>
      </c>
      <c r="D1891" s="20">
        <f t="shared" si="2783"/>
        <v>20</v>
      </c>
      <c r="E1891" s="18">
        <f t="shared" si="2783"/>
        <v>58</v>
      </c>
      <c r="F1891" s="20">
        <f>F1865-F1890</f>
        <v>24</v>
      </c>
      <c r="G1891" s="20">
        <f t="shared" ref="G1891:I1891" si="2784">G1865-G1890</f>
        <v>11</v>
      </c>
      <c r="H1891" s="20">
        <f t="shared" si="2784"/>
        <v>18</v>
      </c>
      <c r="I1891" s="18">
        <f t="shared" si="2784"/>
        <v>53</v>
      </c>
      <c r="J1891" s="20">
        <f>J1865-J1890</f>
        <v>23</v>
      </c>
      <c r="K1891" s="20">
        <f t="shared" ref="K1891:M1891" si="2785">K1865-K1890</f>
        <v>12</v>
      </c>
      <c r="L1891" s="20">
        <f t="shared" si="2785"/>
        <v>18</v>
      </c>
      <c r="M1891" s="20">
        <f t="shared" si="2785"/>
        <v>53</v>
      </c>
      <c r="N1891" s="140">
        <f t="shared" si="2740"/>
        <v>164</v>
      </c>
      <c r="P1891" s="19" t="s">
        <v>6</v>
      </c>
      <c r="Q1891" s="20">
        <f>Q1865-Q1890</f>
        <v>486</v>
      </c>
      <c r="R1891" s="20">
        <f t="shared" ref="R1891:AC1891" si="2786">R1865-R1890</f>
        <v>754</v>
      </c>
      <c r="S1891" s="20">
        <f t="shared" si="2786"/>
        <v>561</v>
      </c>
      <c r="T1891" s="18">
        <f t="shared" si="2786"/>
        <v>1801</v>
      </c>
      <c r="U1891" s="20">
        <f t="shared" si="2786"/>
        <v>532</v>
      </c>
      <c r="V1891" s="20">
        <f t="shared" si="2786"/>
        <v>738</v>
      </c>
      <c r="W1891" s="20">
        <f t="shared" si="2786"/>
        <v>567</v>
      </c>
      <c r="X1891" s="18">
        <f t="shared" si="2786"/>
        <v>1837</v>
      </c>
      <c r="Y1891" s="20">
        <f t="shared" si="2786"/>
        <v>486</v>
      </c>
      <c r="Z1891" s="20">
        <f t="shared" si="2786"/>
        <v>660</v>
      </c>
      <c r="AA1891" s="20">
        <f t="shared" si="2786"/>
        <v>555</v>
      </c>
      <c r="AB1891" s="18">
        <f t="shared" si="2786"/>
        <v>1701</v>
      </c>
      <c r="AC1891" s="88">
        <f t="shared" si="2786"/>
        <v>5339</v>
      </c>
    </row>
    <row r="1894" spans="1:30" ht="19.5" thickBot="1" x14ac:dyDescent="0.25">
      <c r="A1894" s="108" t="s">
        <v>264</v>
      </c>
      <c r="B1894" s="47"/>
      <c r="C1894" s="47"/>
      <c r="D1894" s="47"/>
      <c r="E1894" s="47"/>
      <c r="F1894" s="48"/>
      <c r="G1894" s="48"/>
      <c r="H1894" s="48"/>
      <c r="I1894" s="48"/>
      <c r="J1894" s="48"/>
      <c r="K1894" s="48"/>
      <c r="L1894" s="1"/>
      <c r="M1894" s="1"/>
      <c r="N1894" s="137"/>
      <c r="P1894" s="43" t="s">
        <v>263</v>
      </c>
      <c r="Q1894" s="44"/>
      <c r="R1894" s="44"/>
      <c r="S1894" s="44"/>
      <c r="T1894" s="44"/>
      <c r="U1894" s="45"/>
      <c r="V1894" s="45"/>
      <c r="W1894" s="45"/>
      <c r="X1894" s="45"/>
      <c r="Y1894" s="46"/>
      <c r="Z1894" s="53"/>
      <c r="AA1894" s="1"/>
      <c r="AB1894" s="1"/>
    </row>
    <row r="1895" spans="1:30" ht="14.25" thickBot="1" x14ac:dyDescent="0.2">
      <c r="A1895" s="100" t="s">
        <v>0</v>
      </c>
      <c r="B1895" s="337" t="s">
        <v>11</v>
      </c>
      <c r="C1895" s="337"/>
      <c r="D1895" s="337"/>
      <c r="E1895" s="338"/>
      <c r="F1895" s="339" t="s">
        <v>9</v>
      </c>
      <c r="G1895" s="340"/>
      <c r="H1895" s="340"/>
      <c r="I1895" s="341"/>
      <c r="J1895" s="342" t="s">
        <v>12</v>
      </c>
      <c r="K1895" s="343"/>
      <c r="L1895" s="343"/>
      <c r="M1895" s="343"/>
      <c r="N1895" s="347" t="s">
        <v>13</v>
      </c>
      <c r="P1895" s="2" t="s">
        <v>0</v>
      </c>
      <c r="Q1895" s="336" t="s">
        <v>11</v>
      </c>
      <c r="R1895" s="337"/>
      <c r="S1895" s="337"/>
      <c r="T1895" s="338"/>
      <c r="U1895" s="339" t="s">
        <v>9</v>
      </c>
      <c r="V1895" s="340"/>
      <c r="W1895" s="340"/>
      <c r="X1895" s="341"/>
      <c r="Y1895" s="342" t="s">
        <v>12</v>
      </c>
      <c r="Z1895" s="343"/>
      <c r="AA1895" s="343"/>
      <c r="AB1895" s="344"/>
      <c r="AC1895" s="345" t="s">
        <v>13</v>
      </c>
    </row>
    <row r="1896" spans="1:30" ht="14.25" thickBot="1" x14ac:dyDescent="0.2">
      <c r="A1896" s="100" t="s">
        <v>1</v>
      </c>
      <c r="B1896" s="3" t="s">
        <v>7</v>
      </c>
      <c r="C1896" s="2" t="s">
        <v>10</v>
      </c>
      <c r="D1896" s="2" t="s">
        <v>8</v>
      </c>
      <c r="E1896" s="2" t="s">
        <v>2</v>
      </c>
      <c r="F1896" s="3" t="s">
        <v>7</v>
      </c>
      <c r="G1896" s="2" t="s">
        <v>10</v>
      </c>
      <c r="H1896" s="2" t="s">
        <v>8</v>
      </c>
      <c r="I1896" s="2" t="s">
        <v>2</v>
      </c>
      <c r="J1896" s="3" t="s">
        <v>7</v>
      </c>
      <c r="K1896" s="2" t="s">
        <v>10</v>
      </c>
      <c r="L1896" s="2" t="s">
        <v>8</v>
      </c>
      <c r="M1896" s="3" t="s">
        <v>2</v>
      </c>
      <c r="N1896" s="348"/>
      <c r="P1896" s="2" t="s">
        <v>1</v>
      </c>
      <c r="Q1896" s="3" t="s">
        <v>7</v>
      </c>
      <c r="R1896" s="2" t="s">
        <v>10</v>
      </c>
      <c r="S1896" s="2" t="s">
        <v>8</v>
      </c>
      <c r="T1896" s="2" t="s">
        <v>2</v>
      </c>
      <c r="U1896" s="3" t="s">
        <v>7</v>
      </c>
      <c r="V1896" s="2" t="s">
        <v>10</v>
      </c>
      <c r="W1896" s="2" t="s">
        <v>8</v>
      </c>
      <c r="X1896" s="2" t="s">
        <v>2</v>
      </c>
      <c r="Y1896" s="3" t="s">
        <v>7</v>
      </c>
      <c r="Z1896" s="2" t="s">
        <v>10</v>
      </c>
      <c r="AA1896" s="2" t="s">
        <v>8</v>
      </c>
      <c r="AB1896" s="2" t="s">
        <v>2</v>
      </c>
      <c r="AC1896" s="346"/>
    </row>
    <row r="1897" spans="1:30" x14ac:dyDescent="0.15">
      <c r="A1897" s="106" t="s">
        <v>6</v>
      </c>
      <c r="B1897" s="41">
        <f>B1891</f>
        <v>25</v>
      </c>
      <c r="C1897" s="41">
        <f t="shared" ref="C1897:E1897" si="2787">C1891</f>
        <v>13</v>
      </c>
      <c r="D1897" s="41">
        <f t="shared" si="2787"/>
        <v>20</v>
      </c>
      <c r="E1897" s="42">
        <f t="shared" si="2787"/>
        <v>58</v>
      </c>
      <c r="F1897" s="41">
        <f>F1891</f>
        <v>24</v>
      </c>
      <c r="G1897" s="41">
        <f t="shared" ref="G1897:I1897" si="2788">G1891</f>
        <v>11</v>
      </c>
      <c r="H1897" s="41">
        <f t="shared" si="2788"/>
        <v>18</v>
      </c>
      <c r="I1897" s="42">
        <f t="shared" si="2788"/>
        <v>53</v>
      </c>
      <c r="J1897" s="41">
        <f>J1891</f>
        <v>23</v>
      </c>
      <c r="K1897" s="41">
        <f t="shared" ref="K1897:M1897" si="2789">K1891</f>
        <v>12</v>
      </c>
      <c r="L1897" s="41">
        <f t="shared" si="2789"/>
        <v>18</v>
      </c>
      <c r="M1897" s="42">
        <f t="shared" si="2789"/>
        <v>53</v>
      </c>
      <c r="N1897" s="143">
        <f>E1897+I1897+M1897</f>
        <v>164</v>
      </c>
      <c r="P1897" s="36" t="s">
        <v>6</v>
      </c>
      <c r="Q1897" s="41">
        <f>Q1891</f>
        <v>486</v>
      </c>
      <c r="R1897" s="41">
        <f t="shared" ref="R1897:AC1897" si="2790">R1891</f>
        <v>754</v>
      </c>
      <c r="S1897" s="41">
        <f t="shared" si="2790"/>
        <v>561</v>
      </c>
      <c r="T1897" s="42">
        <f t="shared" si="2790"/>
        <v>1801</v>
      </c>
      <c r="U1897" s="41">
        <f t="shared" si="2790"/>
        <v>532</v>
      </c>
      <c r="V1897" s="41">
        <f t="shared" si="2790"/>
        <v>738</v>
      </c>
      <c r="W1897" s="41">
        <f t="shared" si="2790"/>
        <v>567</v>
      </c>
      <c r="X1897" s="42">
        <f t="shared" si="2790"/>
        <v>1837</v>
      </c>
      <c r="Y1897" s="41">
        <f t="shared" si="2790"/>
        <v>486</v>
      </c>
      <c r="Z1897" s="41">
        <f t="shared" si="2790"/>
        <v>660</v>
      </c>
      <c r="AA1897" s="41">
        <f t="shared" si="2790"/>
        <v>555</v>
      </c>
      <c r="AB1897" s="42">
        <f t="shared" si="2790"/>
        <v>1701</v>
      </c>
      <c r="AC1897" s="90">
        <f t="shared" si="2790"/>
        <v>5339</v>
      </c>
    </row>
    <row r="1898" spans="1:30" x14ac:dyDescent="0.15">
      <c r="A1898" s="102" t="s">
        <v>3</v>
      </c>
      <c r="B1898" s="25"/>
      <c r="C1898" s="26">
        <v>10</v>
      </c>
      <c r="D1898" s="26"/>
      <c r="E1898" s="5">
        <f t="shared" ref="E1898:E1933" si="2791">SUM(B1898:D1898)</f>
        <v>10</v>
      </c>
      <c r="F1898" s="25"/>
      <c r="G1898" s="26">
        <v>10</v>
      </c>
      <c r="H1898" s="26"/>
      <c r="I1898" s="5">
        <f t="shared" ref="I1898:I1933" si="2792">SUM(F1898:H1898)</f>
        <v>10</v>
      </c>
      <c r="J1898" s="25"/>
      <c r="K1898" s="26">
        <v>10</v>
      </c>
      <c r="L1898" s="26"/>
      <c r="M1898" s="38">
        <f t="shared" ref="M1898:M1933" si="2793">SUM(J1898:L1898)</f>
        <v>10</v>
      </c>
      <c r="N1898" s="138">
        <f t="shared" ref="N1898:N1934" si="2794">E1898+I1898+M1898</f>
        <v>30</v>
      </c>
      <c r="O1898" s="24">
        <v>46172</v>
      </c>
      <c r="P1898" s="6" t="s">
        <v>3</v>
      </c>
      <c r="Q1898" s="14"/>
      <c r="R1898" s="11"/>
      <c r="S1898" s="11"/>
      <c r="T1898" s="5">
        <f t="shared" ref="T1898:T1907" si="2795">SUM(Q1898:S1898)</f>
        <v>0</v>
      </c>
      <c r="U1898" s="14"/>
      <c r="V1898" s="11"/>
      <c r="W1898" s="11"/>
      <c r="X1898" s="5">
        <f t="shared" ref="X1898:X1907" si="2796">SUM(U1898:W1898)</f>
        <v>0</v>
      </c>
      <c r="Y1898" s="25"/>
      <c r="Z1898" s="26"/>
      <c r="AA1898" s="26"/>
      <c r="AB1898" s="5">
        <f t="shared" ref="AB1898:AB1907" si="2797">SUM(Y1898:AA1898)</f>
        <v>0</v>
      </c>
      <c r="AC1898" s="86">
        <f t="shared" ref="AC1898:AC1907" si="2798">T1898+X1898+AB1898</f>
        <v>0</v>
      </c>
    </row>
    <row r="1899" spans="1:30" x14ac:dyDescent="0.15">
      <c r="A1899" s="102" t="s">
        <v>3</v>
      </c>
      <c r="B1899" s="14"/>
      <c r="C1899" s="11">
        <v>10</v>
      </c>
      <c r="D1899" s="11"/>
      <c r="E1899" s="5">
        <f t="shared" si="2791"/>
        <v>10</v>
      </c>
      <c r="F1899" s="34"/>
      <c r="G1899" s="11">
        <v>10</v>
      </c>
      <c r="H1899" s="11"/>
      <c r="I1899" s="5">
        <f t="shared" si="2792"/>
        <v>10</v>
      </c>
      <c r="J1899" s="34"/>
      <c r="K1899" s="11">
        <v>10</v>
      </c>
      <c r="L1899" s="11"/>
      <c r="M1899" s="38">
        <f t="shared" si="2793"/>
        <v>10</v>
      </c>
      <c r="N1899" s="138">
        <f t="shared" si="2794"/>
        <v>30</v>
      </c>
      <c r="O1899" s="24">
        <v>46176</v>
      </c>
      <c r="P1899" s="81" t="s">
        <v>3</v>
      </c>
      <c r="Q1899" s="62"/>
      <c r="R1899" s="4"/>
      <c r="S1899" s="4"/>
      <c r="T1899" s="5">
        <f t="shared" si="2795"/>
        <v>0</v>
      </c>
      <c r="U1899" s="62"/>
      <c r="V1899" s="4"/>
      <c r="W1899" s="4"/>
      <c r="X1899" s="5">
        <f t="shared" si="2796"/>
        <v>0</v>
      </c>
      <c r="Y1899" s="280"/>
      <c r="Z1899" s="281"/>
      <c r="AA1899" s="281"/>
      <c r="AB1899" s="5">
        <f t="shared" si="2797"/>
        <v>0</v>
      </c>
      <c r="AC1899" s="91">
        <f t="shared" si="2798"/>
        <v>0</v>
      </c>
    </row>
    <row r="1900" spans="1:30" x14ac:dyDescent="0.15">
      <c r="A1900" s="102" t="s">
        <v>3</v>
      </c>
      <c r="B1900" s="14"/>
      <c r="C1900" s="11"/>
      <c r="D1900" s="11">
        <v>10</v>
      </c>
      <c r="E1900" s="5">
        <f t="shared" si="2791"/>
        <v>10</v>
      </c>
      <c r="F1900" s="34"/>
      <c r="G1900" s="11"/>
      <c r="H1900" s="11">
        <v>10</v>
      </c>
      <c r="I1900" s="5">
        <f t="shared" si="2792"/>
        <v>10</v>
      </c>
      <c r="J1900" s="34"/>
      <c r="K1900" s="11">
        <v>5</v>
      </c>
      <c r="L1900" s="11">
        <v>10</v>
      </c>
      <c r="M1900" s="38">
        <f t="shared" si="2793"/>
        <v>15</v>
      </c>
      <c r="N1900" s="138">
        <f t="shared" si="2794"/>
        <v>35</v>
      </c>
      <c r="O1900" s="24">
        <v>46179</v>
      </c>
      <c r="P1900" s="81" t="s">
        <v>3</v>
      </c>
      <c r="Q1900" s="62"/>
      <c r="R1900" s="4"/>
      <c r="S1900" s="4"/>
      <c r="T1900" s="5">
        <f t="shared" ref="T1900:T1901" si="2799">SUM(Q1900:S1900)</f>
        <v>0</v>
      </c>
      <c r="U1900" s="62"/>
      <c r="V1900" s="4"/>
      <c r="W1900" s="4"/>
      <c r="X1900" s="5">
        <f t="shared" ref="X1900:X1901" si="2800">SUM(U1900:W1900)</f>
        <v>0</v>
      </c>
      <c r="Y1900" s="280"/>
      <c r="Z1900" s="281"/>
      <c r="AA1900" s="281"/>
      <c r="AB1900" s="5">
        <f t="shared" ref="AB1900:AB1901" si="2801">SUM(Y1900:AA1900)</f>
        <v>0</v>
      </c>
      <c r="AC1900" s="91">
        <f t="shared" ref="AC1900:AC1901" si="2802">T1900+X1900+AB1900</f>
        <v>0</v>
      </c>
    </row>
    <row r="1901" spans="1:30" x14ac:dyDescent="0.15">
      <c r="A1901" s="102" t="s">
        <v>57</v>
      </c>
      <c r="B1901" s="14">
        <v>1</v>
      </c>
      <c r="C1901" s="11"/>
      <c r="D1901" s="11">
        <v>1</v>
      </c>
      <c r="E1901" s="5">
        <f t="shared" si="2791"/>
        <v>2</v>
      </c>
      <c r="F1901" s="34">
        <v>1</v>
      </c>
      <c r="G1901" s="11"/>
      <c r="H1901" s="11">
        <v>1</v>
      </c>
      <c r="I1901" s="5">
        <f t="shared" si="2792"/>
        <v>2</v>
      </c>
      <c r="J1901" s="34">
        <v>1</v>
      </c>
      <c r="K1901" s="11"/>
      <c r="L1901" s="11">
        <v>1</v>
      </c>
      <c r="M1901" s="38">
        <f t="shared" si="2793"/>
        <v>2</v>
      </c>
      <c r="N1901" s="138">
        <f t="shared" si="2794"/>
        <v>6</v>
      </c>
      <c r="O1901" s="70">
        <v>46181</v>
      </c>
      <c r="P1901" s="81" t="s">
        <v>3</v>
      </c>
      <c r="Q1901" s="62"/>
      <c r="R1901" s="4"/>
      <c r="S1901" s="4"/>
      <c r="T1901" s="5">
        <f t="shared" si="2799"/>
        <v>0</v>
      </c>
      <c r="U1901" s="62"/>
      <c r="V1901" s="4"/>
      <c r="W1901" s="4"/>
      <c r="X1901" s="5">
        <f t="shared" si="2800"/>
        <v>0</v>
      </c>
      <c r="Y1901" s="280"/>
      <c r="Z1901" s="281"/>
      <c r="AA1901" s="281"/>
      <c r="AB1901" s="5">
        <f t="shared" si="2801"/>
        <v>0</v>
      </c>
      <c r="AC1901" s="91">
        <f t="shared" si="2802"/>
        <v>0</v>
      </c>
    </row>
    <row r="1902" spans="1:30" x14ac:dyDescent="0.15">
      <c r="A1902" s="158" t="s">
        <v>3</v>
      </c>
      <c r="B1902" s="159"/>
      <c r="C1902" s="160">
        <v>5</v>
      </c>
      <c r="D1902" s="160"/>
      <c r="E1902" s="161">
        <f t="shared" si="2791"/>
        <v>5</v>
      </c>
      <c r="F1902" s="162"/>
      <c r="G1902" s="160">
        <v>5</v>
      </c>
      <c r="H1902" s="160"/>
      <c r="I1902" s="161">
        <f t="shared" si="2792"/>
        <v>5</v>
      </c>
      <c r="J1902" s="162"/>
      <c r="K1902" s="160">
        <v>5</v>
      </c>
      <c r="L1902" s="160"/>
      <c r="M1902" s="163">
        <f t="shared" si="2793"/>
        <v>5</v>
      </c>
      <c r="N1902" s="153">
        <f t="shared" si="2794"/>
        <v>15</v>
      </c>
      <c r="O1902" s="164">
        <v>46184</v>
      </c>
      <c r="P1902" s="81" t="s">
        <v>3</v>
      </c>
      <c r="Q1902" s="62"/>
      <c r="R1902" s="4"/>
      <c r="S1902" s="4"/>
      <c r="T1902" s="5">
        <f t="shared" si="2795"/>
        <v>0</v>
      </c>
      <c r="U1902" s="62"/>
      <c r="V1902" s="4"/>
      <c r="W1902" s="4"/>
      <c r="X1902" s="5">
        <f t="shared" si="2796"/>
        <v>0</v>
      </c>
      <c r="Y1902" s="280"/>
      <c r="Z1902" s="281"/>
      <c r="AA1902" s="281"/>
      <c r="AB1902" s="5">
        <f t="shared" si="2797"/>
        <v>0</v>
      </c>
      <c r="AC1902" s="91">
        <f t="shared" si="2798"/>
        <v>0</v>
      </c>
    </row>
    <row r="1903" spans="1:30" x14ac:dyDescent="0.15">
      <c r="A1903" s="158" t="s">
        <v>3</v>
      </c>
      <c r="B1903" s="237">
        <v>10</v>
      </c>
      <c r="C1903" s="238">
        <v>15</v>
      </c>
      <c r="D1903" s="238">
        <v>5</v>
      </c>
      <c r="E1903" s="168">
        <f t="shared" si="2791"/>
        <v>30</v>
      </c>
      <c r="F1903" s="237">
        <v>10</v>
      </c>
      <c r="G1903" s="238">
        <v>20</v>
      </c>
      <c r="H1903" s="238">
        <v>10</v>
      </c>
      <c r="I1903" s="168">
        <f t="shared" si="2792"/>
        <v>40</v>
      </c>
      <c r="J1903" s="237">
        <v>10</v>
      </c>
      <c r="K1903" s="238">
        <v>15</v>
      </c>
      <c r="L1903" s="238">
        <v>10</v>
      </c>
      <c r="M1903" s="332">
        <f t="shared" si="2793"/>
        <v>35</v>
      </c>
      <c r="N1903" s="153">
        <f t="shared" si="2794"/>
        <v>105</v>
      </c>
      <c r="O1903" s="164">
        <v>46189</v>
      </c>
      <c r="P1903" s="81" t="s">
        <v>3</v>
      </c>
      <c r="Q1903" s="62"/>
      <c r="R1903" s="4"/>
      <c r="S1903" s="4"/>
      <c r="T1903" s="5">
        <f t="shared" si="2795"/>
        <v>0</v>
      </c>
      <c r="U1903" s="62"/>
      <c r="V1903" s="4"/>
      <c r="W1903" s="4"/>
      <c r="X1903" s="5">
        <f t="shared" si="2796"/>
        <v>0</v>
      </c>
      <c r="Y1903" s="280"/>
      <c r="Z1903" s="281"/>
      <c r="AA1903" s="281"/>
      <c r="AB1903" s="5">
        <f t="shared" si="2797"/>
        <v>0</v>
      </c>
      <c r="AC1903" s="91">
        <f t="shared" si="2798"/>
        <v>0</v>
      </c>
    </row>
    <row r="1904" spans="1:30" x14ac:dyDescent="0.15">
      <c r="A1904" s="158" t="s">
        <v>3</v>
      </c>
      <c r="B1904" s="284">
        <v>15</v>
      </c>
      <c r="C1904" s="238">
        <v>20</v>
      </c>
      <c r="D1904" s="238">
        <v>15</v>
      </c>
      <c r="E1904" s="161">
        <f t="shared" si="2791"/>
        <v>50</v>
      </c>
      <c r="F1904" s="237">
        <v>15</v>
      </c>
      <c r="G1904" s="238">
        <v>20</v>
      </c>
      <c r="H1904" s="238">
        <v>10</v>
      </c>
      <c r="I1904" s="161">
        <f t="shared" si="2792"/>
        <v>45</v>
      </c>
      <c r="J1904" s="237">
        <v>20</v>
      </c>
      <c r="K1904" s="238">
        <v>20</v>
      </c>
      <c r="L1904" s="238">
        <v>15</v>
      </c>
      <c r="M1904" s="163">
        <f t="shared" si="2793"/>
        <v>55</v>
      </c>
      <c r="N1904" s="153">
        <f t="shared" si="2794"/>
        <v>150</v>
      </c>
      <c r="O1904" s="164">
        <v>46190</v>
      </c>
      <c r="P1904" s="81" t="s">
        <v>3</v>
      </c>
      <c r="Q1904" s="62"/>
      <c r="R1904" s="4"/>
      <c r="S1904" s="4"/>
      <c r="T1904" s="5">
        <f t="shared" si="2795"/>
        <v>0</v>
      </c>
      <c r="U1904" s="62"/>
      <c r="V1904" s="4"/>
      <c r="W1904" s="4"/>
      <c r="X1904" s="5">
        <f t="shared" si="2796"/>
        <v>0</v>
      </c>
      <c r="Y1904" s="280"/>
      <c r="Z1904" s="281"/>
      <c r="AA1904" s="281"/>
      <c r="AB1904" s="5">
        <f t="shared" si="2797"/>
        <v>0</v>
      </c>
      <c r="AC1904" s="91">
        <f t="shared" si="2798"/>
        <v>0</v>
      </c>
    </row>
    <row r="1905" spans="1:30" x14ac:dyDescent="0.15">
      <c r="A1905" s="102" t="s">
        <v>3</v>
      </c>
      <c r="B1905" s="27"/>
      <c r="C1905" s="26"/>
      <c r="D1905" s="26"/>
      <c r="E1905" s="5">
        <f t="shared" si="2791"/>
        <v>0</v>
      </c>
      <c r="F1905" s="25"/>
      <c r="G1905" s="26"/>
      <c r="H1905" s="26"/>
      <c r="I1905" s="5">
        <f t="shared" si="2792"/>
        <v>0</v>
      </c>
      <c r="J1905" s="25"/>
      <c r="K1905" s="26"/>
      <c r="L1905" s="26"/>
      <c r="M1905" s="38">
        <f t="shared" si="2793"/>
        <v>0</v>
      </c>
      <c r="N1905" s="138">
        <f t="shared" si="2794"/>
        <v>0</v>
      </c>
      <c r="P1905" s="6" t="s">
        <v>3</v>
      </c>
      <c r="Q1905" s="14"/>
      <c r="R1905" s="11"/>
      <c r="S1905" s="11"/>
      <c r="T1905" s="5">
        <f t="shared" si="2795"/>
        <v>0</v>
      </c>
      <c r="U1905" s="14"/>
      <c r="V1905" s="11"/>
      <c r="W1905" s="11"/>
      <c r="X1905" s="5">
        <f t="shared" si="2796"/>
        <v>0</v>
      </c>
      <c r="Y1905" s="25"/>
      <c r="Z1905" s="26"/>
      <c r="AA1905" s="26"/>
      <c r="AB1905" s="8">
        <f t="shared" si="2797"/>
        <v>0</v>
      </c>
      <c r="AC1905" s="86">
        <f t="shared" si="2798"/>
        <v>0</v>
      </c>
    </row>
    <row r="1906" spans="1:30" x14ac:dyDescent="0.15">
      <c r="A1906" s="102" t="s">
        <v>3</v>
      </c>
      <c r="B1906" s="27"/>
      <c r="C1906" s="26"/>
      <c r="D1906" s="26"/>
      <c r="E1906" s="5">
        <f t="shared" si="2791"/>
        <v>0</v>
      </c>
      <c r="F1906" s="25"/>
      <c r="G1906" s="26"/>
      <c r="H1906" s="26"/>
      <c r="I1906" s="5">
        <f t="shared" si="2792"/>
        <v>0</v>
      </c>
      <c r="J1906" s="25"/>
      <c r="K1906" s="26"/>
      <c r="L1906" s="26"/>
      <c r="M1906" s="38">
        <f t="shared" si="2793"/>
        <v>0</v>
      </c>
      <c r="N1906" s="138">
        <f t="shared" si="2794"/>
        <v>0</v>
      </c>
      <c r="P1906" s="6" t="s">
        <v>3</v>
      </c>
      <c r="Q1906" s="14"/>
      <c r="R1906" s="11"/>
      <c r="S1906" s="11"/>
      <c r="T1906" s="5">
        <f t="shared" si="2795"/>
        <v>0</v>
      </c>
      <c r="U1906" s="14"/>
      <c r="V1906" s="11"/>
      <c r="W1906" s="11"/>
      <c r="X1906" s="5">
        <f t="shared" si="2796"/>
        <v>0</v>
      </c>
      <c r="Y1906" s="25"/>
      <c r="Z1906" s="26"/>
      <c r="AA1906" s="26"/>
      <c r="AB1906" s="8">
        <f t="shared" si="2797"/>
        <v>0</v>
      </c>
      <c r="AC1906" s="86">
        <f t="shared" si="2798"/>
        <v>0</v>
      </c>
    </row>
    <row r="1907" spans="1:30" ht="14.25" thickBot="1" x14ac:dyDescent="0.2">
      <c r="A1907" s="102" t="s">
        <v>3</v>
      </c>
      <c r="B1907" s="28"/>
      <c r="C1907" s="29"/>
      <c r="D1907" s="32"/>
      <c r="E1907" s="15">
        <f t="shared" si="2791"/>
        <v>0</v>
      </c>
      <c r="F1907" s="35"/>
      <c r="G1907" s="29"/>
      <c r="H1907" s="32"/>
      <c r="I1907" s="15">
        <f t="shared" si="2792"/>
        <v>0</v>
      </c>
      <c r="J1907" s="35"/>
      <c r="K1907" s="29"/>
      <c r="L1907" s="32"/>
      <c r="M1907" s="40">
        <f t="shared" si="2793"/>
        <v>0</v>
      </c>
      <c r="N1907" s="139">
        <f t="shared" si="2794"/>
        <v>0</v>
      </c>
      <c r="P1907" s="6" t="s">
        <v>3</v>
      </c>
      <c r="Q1907" s="14"/>
      <c r="R1907" s="11"/>
      <c r="S1907" s="11"/>
      <c r="T1907" s="5">
        <f t="shared" si="2795"/>
        <v>0</v>
      </c>
      <c r="U1907" s="14"/>
      <c r="V1907" s="11"/>
      <c r="W1907" s="11"/>
      <c r="X1907" s="5">
        <f t="shared" si="2796"/>
        <v>0</v>
      </c>
      <c r="Y1907" s="25"/>
      <c r="Z1907" s="26"/>
      <c r="AA1907" s="26"/>
      <c r="AB1907" s="8">
        <f t="shared" si="2797"/>
        <v>0</v>
      </c>
      <c r="AC1907" s="86">
        <f t="shared" si="2798"/>
        <v>0</v>
      </c>
    </row>
    <row r="1908" spans="1:30" ht="14.25" thickBot="1" x14ac:dyDescent="0.2">
      <c r="A1908" s="103" t="s">
        <v>4</v>
      </c>
      <c r="B1908" s="17">
        <f>SUM(B1897:B1907)</f>
        <v>51</v>
      </c>
      <c r="C1908" s="17">
        <f>SUM(C1897:C1907)</f>
        <v>73</v>
      </c>
      <c r="D1908" s="17">
        <f>SUM(D1897:D1907)</f>
        <v>51</v>
      </c>
      <c r="E1908" s="18">
        <f t="shared" si="2791"/>
        <v>175</v>
      </c>
      <c r="F1908" s="17">
        <f>SUM(F1897:F1907)</f>
        <v>50</v>
      </c>
      <c r="G1908" s="17">
        <f>SUM(G1897:G1907)</f>
        <v>76</v>
      </c>
      <c r="H1908" s="17">
        <f>SUM(H1897:H1907)</f>
        <v>49</v>
      </c>
      <c r="I1908" s="18">
        <f t="shared" si="2792"/>
        <v>175</v>
      </c>
      <c r="J1908" s="17">
        <f>SUM(J1897:J1907)</f>
        <v>54</v>
      </c>
      <c r="K1908" s="17">
        <f>SUM(K1897:K1907)</f>
        <v>77</v>
      </c>
      <c r="L1908" s="17">
        <f>SUM(L1897:L1907)</f>
        <v>54</v>
      </c>
      <c r="M1908" s="20">
        <f t="shared" si="2793"/>
        <v>185</v>
      </c>
      <c r="N1908" s="140">
        <f t="shared" si="2794"/>
        <v>535</v>
      </c>
      <c r="P1908" s="16" t="s">
        <v>4</v>
      </c>
      <c r="Q1908" s="17">
        <f>SUM(Q1897:Q1907)</f>
        <v>486</v>
      </c>
      <c r="R1908" s="17">
        <f t="shared" ref="R1908:AC1908" si="2803">SUM(R1897:R1907)</f>
        <v>754</v>
      </c>
      <c r="S1908" s="17">
        <f t="shared" si="2803"/>
        <v>561</v>
      </c>
      <c r="T1908" s="18">
        <f t="shared" si="2803"/>
        <v>1801</v>
      </c>
      <c r="U1908" s="17">
        <f t="shared" si="2803"/>
        <v>532</v>
      </c>
      <c r="V1908" s="17">
        <f t="shared" si="2803"/>
        <v>738</v>
      </c>
      <c r="W1908" s="17">
        <f t="shared" si="2803"/>
        <v>567</v>
      </c>
      <c r="X1908" s="18">
        <f t="shared" si="2803"/>
        <v>1837</v>
      </c>
      <c r="Y1908" s="17">
        <f t="shared" si="2803"/>
        <v>486</v>
      </c>
      <c r="Z1908" s="17">
        <f t="shared" si="2803"/>
        <v>660</v>
      </c>
      <c r="AA1908" s="17">
        <f t="shared" si="2803"/>
        <v>555</v>
      </c>
      <c r="AB1908" s="18">
        <f t="shared" si="2803"/>
        <v>1701</v>
      </c>
      <c r="AC1908" s="88">
        <f t="shared" si="2803"/>
        <v>5339</v>
      </c>
    </row>
    <row r="1909" spans="1:30" x14ac:dyDescent="0.15">
      <c r="A1909" s="33" t="s">
        <v>1851</v>
      </c>
      <c r="B1909" s="9">
        <v>1</v>
      </c>
      <c r="C1909" s="10">
        <v>1</v>
      </c>
      <c r="D1909" s="10">
        <v>1</v>
      </c>
      <c r="E1909" s="8">
        <f t="shared" si="2791"/>
        <v>3</v>
      </c>
      <c r="F1909" s="9">
        <v>1</v>
      </c>
      <c r="G1909" s="10">
        <v>1</v>
      </c>
      <c r="H1909" s="10">
        <v>1</v>
      </c>
      <c r="I1909" s="8">
        <f t="shared" si="2792"/>
        <v>3</v>
      </c>
      <c r="J1909" s="9">
        <v>1</v>
      </c>
      <c r="K1909" s="10">
        <v>1</v>
      </c>
      <c r="L1909" s="10">
        <v>1</v>
      </c>
      <c r="M1909" s="39">
        <f t="shared" si="2793"/>
        <v>3</v>
      </c>
      <c r="N1909" s="138">
        <f t="shared" si="2794"/>
        <v>9</v>
      </c>
      <c r="O1909" s="24">
        <v>46176</v>
      </c>
      <c r="P1909" s="4" t="s">
        <v>1842</v>
      </c>
      <c r="Q1909" s="9">
        <v>10</v>
      </c>
      <c r="R1909" s="10">
        <v>5</v>
      </c>
      <c r="S1909" s="31">
        <v>10</v>
      </c>
      <c r="T1909" s="5">
        <f t="shared" ref="T1909:T1918" si="2804">SUM(Q1909:S1909)</f>
        <v>25</v>
      </c>
      <c r="U1909" s="9">
        <v>10</v>
      </c>
      <c r="V1909" s="10">
        <v>5</v>
      </c>
      <c r="W1909" s="31">
        <v>10</v>
      </c>
      <c r="X1909" s="5">
        <f t="shared" ref="X1909:X1918" si="2805">SUM(U1909:W1909)</f>
        <v>25</v>
      </c>
      <c r="Y1909" s="9">
        <v>10</v>
      </c>
      <c r="Z1909" s="10">
        <v>5</v>
      </c>
      <c r="AA1909" s="31">
        <v>10</v>
      </c>
      <c r="AB1909" s="5">
        <f t="shared" ref="AB1909:AB1918" si="2806">SUM(Y1909:AA1909)</f>
        <v>25</v>
      </c>
      <c r="AC1909" s="148">
        <f t="shared" ref="AC1909:AC1918" si="2807">T1909+X1909+AB1909</f>
        <v>75</v>
      </c>
      <c r="AD1909" s="109">
        <v>46174</v>
      </c>
    </row>
    <row r="1910" spans="1:30" x14ac:dyDescent="0.15">
      <c r="A1910" s="33" t="s">
        <v>36</v>
      </c>
      <c r="B1910" s="9"/>
      <c r="C1910" s="10">
        <v>1</v>
      </c>
      <c r="D1910" s="10">
        <v>1</v>
      </c>
      <c r="E1910" s="5">
        <f t="shared" si="2791"/>
        <v>2</v>
      </c>
      <c r="F1910" s="9"/>
      <c r="G1910" s="10">
        <v>1</v>
      </c>
      <c r="H1910" s="10">
        <v>1</v>
      </c>
      <c r="I1910" s="5">
        <f t="shared" si="2792"/>
        <v>2</v>
      </c>
      <c r="J1910" s="9">
        <v>1</v>
      </c>
      <c r="K1910" s="10">
        <v>5</v>
      </c>
      <c r="L1910" s="10">
        <v>1</v>
      </c>
      <c r="M1910" s="38">
        <f t="shared" si="2793"/>
        <v>7</v>
      </c>
      <c r="N1910" s="138">
        <f t="shared" si="2794"/>
        <v>11</v>
      </c>
      <c r="O1910" s="24">
        <v>46174</v>
      </c>
      <c r="P1910" s="4" t="s">
        <v>1844</v>
      </c>
      <c r="Q1910" s="9">
        <v>15</v>
      </c>
      <c r="R1910" s="10">
        <v>10</v>
      </c>
      <c r="S1910" s="10"/>
      <c r="T1910" s="5">
        <f t="shared" si="2804"/>
        <v>25</v>
      </c>
      <c r="U1910" s="9">
        <v>5</v>
      </c>
      <c r="V1910" s="10">
        <v>10</v>
      </c>
      <c r="W1910" s="10">
        <v>5</v>
      </c>
      <c r="X1910" s="5">
        <f t="shared" si="2805"/>
        <v>20</v>
      </c>
      <c r="Y1910" s="9"/>
      <c r="Z1910" s="10">
        <v>10</v>
      </c>
      <c r="AA1910" s="10"/>
      <c r="AB1910" s="5">
        <f t="shared" si="2806"/>
        <v>10</v>
      </c>
      <c r="AC1910" s="93">
        <f t="shared" si="2807"/>
        <v>55</v>
      </c>
      <c r="AD1910" s="109">
        <v>46177</v>
      </c>
    </row>
    <row r="1911" spans="1:30" x14ac:dyDescent="0.15">
      <c r="A1911" s="33" t="s">
        <v>1853</v>
      </c>
      <c r="B1911" s="9"/>
      <c r="C1911" s="10">
        <v>5</v>
      </c>
      <c r="D1911" s="10">
        <v>1</v>
      </c>
      <c r="E1911" s="5">
        <f t="shared" si="2791"/>
        <v>6</v>
      </c>
      <c r="F1911" s="9"/>
      <c r="G1911" s="10">
        <v>5</v>
      </c>
      <c r="H1911" s="10">
        <v>1</v>
      </c>
      <c r="I1911" s="5">
        <f t="shared" si="2792"/>
        <v>6</v>
      </c>
      <c r="J1911" s="9"/>
      <c r="K1911" s="10">
        <v>5</v>
      </c>
      <c r="L1911" s="10">
        <v>1</v>
      </c>
      <c r="M1911" s="38">
        <f t="shared" si="2793"/>
        <v>6</v>
      </c>
      <c r="N1911" s="138">
        <f t="shared" si="2794"/>
        <v>18</v>
      </c>
      <c r="O1911" s="24">
        <v>46177</v>
      </c>
      <c r="P1911" s="4" t="s">
        <v>1815</v>
      </c>
      <c r="Q1911" s="9"/>
      <c r="R1911" s="10"/>
      <c r="S1911" s="10">
        <v>2</v>
      </c>
      <c r="T1911" s="5">
        <f t="shared" si="2804"/>
        <v>2</v>
      </c>
      <c r="U1911" s="9"/>
      <c r="V1911" s="10"/>
      <c r="W1911" s="10">
        <v>2</v>
      </c>
      <c r="X1911" s="5">
        <f t="shared" si="2805"/>
        <v>2</v>
      </c>
      <c r="Y1911" s="9"/>
      <c r="Z1911" s="10"/>
      <c r="AA1911" s="10">
        <v>2</v>
      </c>
      <c r="AB1911" s="5">
        <f t="shared" si="2806"/>
        <v>2</v>
      </c>
      <c r="AC1911" s="93">
        <f t="shared" si="2807"/>
        <v>6</v>
      </c>
      <c r="AD1911" s="109">
        <v>46177</v>
      </c>
    </row>
    <row r="1912" spans="1:30" x14ac:dyDescent="0.15">
      <c r="A1912" s="33" t="s">
        <v>36</v>
      </c>
      <c r="B1912" s="9"/>
      <c r="C1912" s="10">
        <v>1</v>
      </c>
      <c r="D1912" s="10"/>
      <c r="E1912" s="5">
        <f t="shared" si="2791"/>
        <v>1</v>
      </c>
      <c r="F1912" s="9"/>
      <c r="G1912" s="10">
        <v>1</v>
      </c>
      <c r="H1912" s="10"/>
      <c r="I1912" s="5">
        <f t="shared" si="2792"/>
        <v>1</v>
      </c>
      <c r="J1912" s="9"/>
      <c r="K1912" s="10">
        <v>1</v>
      </c>
      <c r="L1912" s="10"/>
      <c r="M1912" s="38">
        <f t="shared" si="2793"/>
        <v>1</v>
      </c>
      <c r="N1912" s="138">
        <f t="shared" si="2794"/>
        <v>3</v>
      </c>
      <c r="O1912" s="70">
        <v>46175</v>
      </c>
      <c r="P1912" s="11" t="s">
        <v>1850</v>
      </c>
      <c r="Q1912" s="9"/>
      <c r="R1912" s="10">
        <v>10</v>
      </c>
      <c r="S1912" s="10"/>
      <c r="T1912" s="5">
        <f t="shared" si="2804"/>
        <v>10</v>
      </c>
      <c r="U1912" s="9"/>
      <c r="V1912" s="10">
        <v>10</v>
      </c>
      <c r="W1912" s="10"/>
      <c r="X1912" s="5">
        <f t="shared" si="2805"/>
        <v>10</v>
      </c>
      <c r="Y1912" s="9"/>
      <c r="Z1912" s="10">
        <v>10</v>
      </c>
      <c r="AA1912" s="10"/>
      <c r="AB1912" s="5">
        <f t="shared" si="2806"/>
        <v>10</v>
      </c>
      <c r="AC1912" s="93">
        <f t="shared" si="2807"/>
        <v>30</v>
      </c>
      <c r="AD1912" s="109">
        <v>46172</v>
      </c>
    </row>
    <row r="1913" spans="1:30" x14ac:dyDescent="0.15">
      <c r="A1913" s="33" t="s">
        <v>1861</v>
      </c>
      <c r="B1913" s="9">
        <v>1</v>
      </c>
      <c r="C1913" s="10">
        <v>1</v>
      </c>
      <c r="D1913" s="10"/>
      <c r="E1913" s="5">
        <f t="shared" si="2791"/>
        <v>2</v>
      </c>
      <c r="F1913" s="9">
        <v>1</v>
      </c>
      <c r="G1913" s="10">
        <v>1</v>
      </c>
      <c r="H1913" s="10"/>
      <c r="I1913" s="5">
        <f t="shared" si="2792"/>
        <v>2</v>
      </c>
      <c r="J1913" s="9">
        <v>1</v>
      </c>
      <c r="K1913" s="10">
        <v>1</v>
      </c>
      <c r="L1913" s="10"/>
      <c r="M1913" s="38">
        <f t="shared" si="2793"/>
        <v>2</v>
      </c>
      <c r="N1913" s="138">
        <f t="shared" si="2794"/>
        <v>6</v>
      </c>
      <c r="O1913" s="24">
        <v>46178</v>
      </c>
      <c r="P1913" s="4" t="s">
        <v>1852</v>
      </c>
      <c r="Q1913" s="9"/>
      <c r="R1913" s="10"/>
      <c r="S1913" s="10">
        <v>4</v>
      </c>
      <c r="T1913" s="5">
        <f t="shared" si="2804"/>
        <v>4</v>
      </c>
      <c r="U1913" s="9"/>
      <c r="V1913" s="10"/>
      <c r="W1913" s="10">
        <v>4</v>
      </c>
      <c r="X1913" s="5">
        <f t="shared" si="2805"/>
        <v>4</v>
      </c>
      <c r="Y1913" s="9"/>
      <c r="Z1913" s="10"/>
      <c r="AA1913" s="10">
        <v>4</v>
      </c>
      <c r="AB1913" s="5">
        <f t="shared" si="2806"/>
        <v>4</v>
      </c>
      <c r="AC1913" s="93">
        <f t="shared" si="2807"/>
        <v>12</v>
      </c>
      <c r="AD1913" s="109">
        <v>46176</v>
      </c>
    </row>
    <row r="1914" spans="1:30" x14ac:dyDescent="0.15">
      <c r="A1914" s="33" t="s">
        <v>36</v>
      </c>
      <c r="B1914" s="9"/>
      <c r="C1914" s="10"/>
      <c r="D1914" s="10"/>
      <c r="E1914" s="8">
        <f t="shared" si="2791"/>
        <v>0</v>
      </c>
      <c r="F1914" s="9"/>
      <c r="G1914" s="10"/>
      <c r="H1914" s="10">
        <v>1</v>
      </c>
      <c r="I1914" s="8">
        <f t="shared" si="2792"/>
        <v>1</v>
      </c>
      <c r="J1914" s="9"/>
      <c r="K1914" s="10"/>
      <c r="L1914" s="10"/>
      <c r="M1914" s="39">
        <f t="shared" si="2793"/>
        <v>0</v>
      </c>
      <c r="N1914" s="138">
        <f t="shared" si="2794"/>
        <v>1</v>
      </c>
      <c r="O1914" s="70">
        <v>46176</v>
      </c>
      <c r="P1914" s="4" t="s">
        <v>1854</v>
      </c>
      <c r="Q1914" s="9">
        <v>4</v>
      </c>
      <c r="R1914" s="10">
        <v>8</v>
      </c>
      <c r="S1914" s="10">
        <v>4</v>
      </c>
      <c r="T1914" s="8">
        <f t="shared" si="2804"/>
        <v>16</v>
      </c>
      <c r="U1914" s="9">
        <v>4</v>
      </c>
      <c r="V1914" s="10">
        <v>8</v>
      </c>
      <c r="W1914" s="10">
        <v>4</v>
      </c>
      <c r="X1914" s="8">
        <f t="shared" si="2805"/>
        <v>16</v>
      </c>
      <c r="Y1914" s="9">
        <v>4</v>
      </c>
      <c r="Z1914" s="10">
        <v>8</v>
      </c>
      <c r="AA1914" s="10">
        <v>4</v>
      </c>
      <c r="AB1914" s="8">
        <f t="shared" si="2806"/>
        <v>16</v>
      </c>
      <c r="AC1914" s="93">
        <f t="shared" si="2807"/>
        <v>48</v>
      </c>
      <c r="AD1914" s="109">
        <v>46181</v>
      </c>
    </row>
    <row r="1915" spans="1:30" x14ac:dyDescent="0.15">
      <c r="A1915" s="33" t="s">
        <v>1862</v>
      </c>
      <c r="B1915" s="9">
        <v>1</v>
      </c>
      <c r="C1915" s="10">
        <v>1</v>
      </c>
      <c r="D1915" s="10"/>
      <c r="E1915" s="8">
        <f t="shared" si="2791"/>
        <v>2</v>
      </c>
      <c r="F1915" s="9">
        <v>1</v>
      </c>
      <c r="G1915" s="10">
        <v>1</v>
      </c>
      <c r="H1915" s="10"/>
      <c r="I1915" s="8">
        <f t="shared" si="2792"/>
        <v>2</v>
      </c>
      <c r="J1915" s="9">
        <v>1</v>
      </c>
      <c r="K1915" s="10">
        <v>1</v>
      </c>
      <c r="L1915" s="10"/>
      <c r="M1915" s="39">
        <f t="shared" si="2793"/>
        <v>2</v>
      </c>
      <c r="N1915" s="138">
        <f t="shared" si="2794"/>
        <v>6</v>
      </c>
      <c r="O1915" s="24">
        <v>46178</v>
      </c>
      <c r="P1915" s="11" t="s">
        <v>1319</v>
      </c>
      <c r="Q1915" s="9"/>
      <c r="R1915" s="10">
        <v>10</v>
      </c>
      <c r="S1915" s="10"/>
      <c r="T1915" s="8">
        <f t="shared" si="2804"/>
        <v>10</v>
      </c>
      <c r="U1915" s="9"/>
      <c r="V1915" s="10">
        <v>10</v>
      </c>
      <c r="W1915" s="10"/>
      <c r="X1915" s="8">
        <f t="shared" si="2805"/>
        <v>10</v>
      </c>
      <c r="Y1915" s="9"/>
      <c r="Z1915" s="10">
        <v>10</v>
      </c>
      <c r="AA1915" s="10"/>
      <c r="AB1915" s="8">
        <f t="shared" si="2806"/>
        <v>10</v>
      </c>
      <c r="AC1915" s="93">
        <f t="shared" si="2807"/>
        <v>30</v>
      </c>
      <c r="AD1915" s="109">
        <v>46176</v>
      </c>
    </row>
    <row r="1916" spans="1:30" x14ac:dyDescent="0.15">
      <c r="A1916" s="33" t="s">
        <v>36</v>
      </c>
      <c r="B1916" s="9"/>
      <c r="C1916" s="10">
        <v>1</v>
      </c>
      <c r="D1916" s="10"/>
      <c r="E1916" s="8">
        <f t="shared" si="2791"/>
        <v>1</v>
      </c>
      <c r="F1916" s="9"/>
      <c r="G1916" s="10">
        <v>1</v>
      </c>
      <c r="H1916" s="10"/>
      <c r="I1916" s="8">
        <f t="shared" si="2792"/>
        <v>1</v>
      </c>
      <c r="J1916" s="9"/>
      <c r="K1916" s="10">
        <v>1</v>
      </c>
      <c r="L1916" s="10"/>
      <c r="M1916" s="39">
        <f t="shared" si="2793"/>
        <v>1</v>
      </c>
      <c r="N1916" s="138">
        <f t="shared" si="2794"/>
        <v>3</v>
      </c>
      <c r="O1916" s="70">
        <v>46177</v>
      </c>
      <c r="P1916" s="4" t="s">
        <v>1842</v>
      </c>
      <c r="Q1916" s="9"/>
      <c r="R1916" s="10">
        <v>10</v>
      </c>
      <c r="S1916" s="10"/>
      <c r="T1916" s="8">
        <f t="shared" si="2804"/>
        <v>10</v>
      </c>
      <c r="U1916" s="9"/>
      <c r="V1916" s="10">
        <v>10</v>
      </c>
      <c r="W1916" s="10"/>
      <c r="X1916" s="8">
        <f t="shared" si="2805"/>
        <v>10</v>
      </c>
      <c r="Y1916" s="9"/>
      <c r="Z1916" s="10">
        <v>10</v>
      </c>
      <c r="AA1916" s="10"/>
      <c r="AB1916" s="8">
        <f t="shared" si="2806"/>
        <v>10</v>
      </c>
      <c r="AC1916" s="93">
        <f t="shared" si="2807"/>
        <v>30</v>
      </c>
      <c r="AD1916" s="109">
        <v>46178</v>
      </c>
    </row>
    <row r="1917" spans="1:30" x14ac:dyDescent="0.15">
      <c r="A1917" s="33" t="s">
        <v>1868</v>
      </c>
      <c r="B1917" s="9"/>
      <c r="C1917" s="10"/>
      <c r="D1917" s="10">
        <v>1</v>
      </c>
      <c r="E1917" s="8">
        <f t="shared" si="2791"/>
        <v>1</v>
      </c>
      <c r="F1917" s="9"/>
      <c r="G1917" s="10"/>
      <c r="H1917" s="10">
        <v>1</v>
      </c>
      <c r="I1917" s="8">
        <f t="shared" si="2792"/>
        <v>1</v>
      </c>
      <c r="J1917" s="9"/>
      <c r="K1917" s="10"/>
      <c r="L1917" s="10">
        <v>1</v>
      </c>
      <c r="M1917" s="39">
        <f t="shared" si="2793"/>
        <v>1</v>
      </c>
      <c r="N1917" s="138">
        <f t="shared" si="2794"/>
        <v>3</v>
      </c>
      <c r="O1917" s="24">
        <v>46181</v>
      </c>
      <c r="P1917" s="4" t="s">
        <v>1857</v>
      </c>
      <c r="Q1917" s="9">
        <v>7</v>
      </c>
      <c r="R1917" s="10">
        <v>11</v>
      </c>
      <c r="S1917" s="10">
        <v>11</v>
      </c>
      <c r="T1917" s="8">
        <f t="shared" si="2804"/>
        <v>29</v>
      </c>
      <c r="U1917" s="9">
        <v>7</v>
      </c>
      <c r="V1917" s="10">
        <v>11</v>
      </c>
      <c r="W1917" s="10">
        <v>11</v>
      </c>
      <c r="X1917" s="8">
        <f t="shared" si="2805"/>
        <v>29</v>
      </c>
      <c r="Y1917" s="9">
        <v>7</v>
      </c>
      <c r="Z1917" s="10">
        <v>11</v>
      </c>
      <c r="AA1917" s="10">
        <v>11</v>
      </c>
      <c r="AB1917" s="8">
        <f t="shared" si="2806"/>
        <v>29</v>
      </c>
      <c r="AC1917" s="93">
        <f t="shared" si="2807"/>
        <v>87</v>
      </c>
      <c r="AD1917" s="109">
        <v>46185</v>
      </c>
    </row>
    <row r="1918" spans="1:30" x14ac:dyDescent="0.15">
      <c r="A1918" s="33" t="s">
        <v>36</v>
      </c>
      <c r="B1918" s="9"/>
      <c r="C1918" s="10">
        <v>3</v>
      </c>
      <c r="D1918" s="10"/>
      <c r="E1918" s="8">
        <f t="shared" si="2791"/>
        <v>3</v>
      </c>
      <c r="F1918" s="9"/>
      <c r="G1918" s="10">
        <v>3</v>
      </c>
      <c r="H1918" s="10"/>
      <c r="I1918" s="8">
        <f t="shared" si="2792"/>
        <v>3</v>
      </c>
      <c r="J1918" s="9"/>
      <c r="K1918" s="10">
        <v>5</v>
      </c>
      <c r="L1918" s="10">
        <v>1</v>
      </c>
      <c r="M1918" s="39">
        <f t="shared" si="2793"/>
        <v>6</v>
      </c>
      <c r="N1918" s="138">
        <f t="shared" si="2794"/>
        <v>12</v>
      </c>
      <c r="O1918" s="24">
        <v>46178</v>
      </c>
      <c r="P1918" s="4" t="s">
        <v>1860</v>
      </c>
      <c r="Q1918" s="9">
        <v>5</v>
      </c>
      <c r="R1918" s="10">
        <v>5</v>
      </c>
      <c r="S1918" s="10">
        <v>5</v>
      </c>
      <c r="T1918" s="8">
        <f t="shared" si="2804"/>
        <v>15</v>
      </c>
      <c r="U1918" s="9">
        <v>5</v>
      </c>
      <c r="V1918" s="10">
        <v>5</v>
      </c>
      <c r="W1918" s="10">
        <v>5</v>
      </c>
      <c r="X1918" s="8">
        <f t="shared" si="2805"/>
        <v>15</v>
      </c>
      <c r="Y1918" s="9">
        <v>5</v>
      </c>
      <c r="Z1918" s="10">
        <v>5</v>
      </c>
      <c r="AA1918" s="10">
        <v>5</v>
      </c>
      <c r="AB1918" s="8">
        <f t="shared" si="2806"/>
        <v>15</v>
      </c>
      <c r="AC1918" s="93">
        <f t="shared" si="2807"/>
        <v>45</v>
      </c>
      <c r="AD1918" s="109">
        <v>46177</v>
      </c>
    </row>
    <row r="1919" spans="1:30" x14ac:dyDescent="0.15">
      <c r="A1919" s="33" t="s">
        <v>1872</v>
      </c>
      <c r="B1919" s="9"/>
      <c r="C1919" s="10"/>
      <c r="D1919" s="10">
        <v>1</v>
      </c>
      <c r="E1919" s="8">
        <f t="shared" si="2791"/>
        <v>1</v>
      </c>
      <c r="F1919" s="9"/>
      <c r="G1919" s="10"/>
      <c r="H1919" s="10">
        <v>1</v>
      </c>
      <c r="I1919" s="8">
        <f t="shared" si="2792"/>
        <v>1</v>
      </c>
      <c r="J1919" s="9"/>
      <c r="K1919" s="10"/>
      <c r="L1919" s="10">
        <v>1</v>
      </c>
      <c r="M1919" s="39">
        <f t="shared" si="2793"/>
        <v>1</v>
      </c>
      <c r="N1919" s="138">
        <f t="shared" si="2794"/>
        <v>3</v>
      </c>
      <c r="O1919" s="24">
        <v>46183</v>
      </c>
      <c r="P1919" s="11" t="s">
        <v>1863</v>
      </c>
      <c r="Q1919" s="9"/>
      <c r="R1919" s="10"/>
      <c r="S1919" s="10">
        <v>10</v>
      </c>
      <c r="T1919" s="8">
        <f t="shared" ref="T1919:T1921" si="2808">SUM(Q1919:S1919)</f>
        <v>10</v>
      </c>
      <c r="U1919" s="9"/>
      <c r="V1919" s="10"/>
      <c r="W1919" s="10">
        <v>10</v>
      </c>
      <c r="X1919" s="8">
        <f t="shared" ref="X1919:X1921" si="2809">SUM(U1919:W1919)</f>
        <v>10</v>
      </c>
      <c r="Y1919" s="9"/>
      <c r="Z1919" s="10"/>
      <c r="AA1919" s="10">
        <v>10</v>
      </c>
      <c r="AB1919" s="8">
        <f t="shared" ref="AB1919:AB1921" si="2810">SUM(Y1919:AA1919)</f>
        <v>10</v>
      </c>
      <c r="AC1919" s="93">
        <f t="shared" ref="AC1919:AC1921" si="2811">T1919+X1919+AB1919</f>
        <v>30</v>
      </c>
      <c r="AD1919" s="109">
        <v>46184</v>
      </c>
    </row>
    <row r="1920" spans="1:30" x14ac:dyDescent="0.15">
      <c r="A1920" s="33" t="s">
        <v>1873</v>
      </c>
      <c r="B1920" s="9"/>
      <c r="C1920" s="10"/>
      <c r="D1920" s="10"/>
      <c r="E1920" s="8">
        <f t="shared" si="2791"/>
        <v>0</v>
      </c>
      <c r="F1920" s="9"/>
      <c r="G1920" s="10">
        <v>3</v>
      </c>
      <c r="H1920" s="10"/>
      <c r="I1920" s="8">
        <f t="shared" si="2792"/>
        <v>3</v>
      </c>
      <c r="J1920" s="9"/>
      <c r="K1920" s="10"/>
      <c r="L1920" s="10"/>
      <c r="M1920" s="39">
        <f t="shared" si="2793"/>
        <v>0</v>
      </c>
      <c r="N1920" s="138">
        <f t="shared" si="2794"/>
        <v>3</v>
      </c>
      <c r="O1920" s="70">
        <v>46181</v>
      </c>
      <c r="P1920" s="4" t="s">
        <v>1864</v>
      </c>
      <c r="Q1920" s="9">
        <v>15</v>
      </c>
      <c r="R1920" s="10">
        <v>20</v>
      </c>
      <c r="S1920" s="10">
        <v>5</v>
      </c>
      <c r="T1920" s="8">
        <f t="shared" si="2808"/>
        <v>40</v>
      </c>
      <c r="U1920" s="9">
        <v>15</v>
      </c>
      <c r="V1920" s="10">
        <v>20</v>
      </c>
      <c r="W1920" s="10">
        <v>5</v>
      </c>
      <c r="X1920" s="8">
        <f t="shared" si="2809"/>
        <v>40</v>
      </c>
      <c r="Y1920" s="9">
        <v>15</v>
      </c>
      <c r="Z1920" s="10">
        <v>20</v>
      </c>
      <c r="AA1920" s="10">
        <v>5</v>
      </c>
      <c r="AB1920" s="8">
        <f t="shared" si="2810"/>
        <v>40</v>
      </c>
      <c r="AC1920" s="93">
        <f t="shared" si="2811"/>
        <v>120</v>
      </c>
      <c r="AD1920" s="109">
        <v>46181</v>
      </c>
    </row>
    <row r="1921" spans="1:32" x14ac:dyDescent="0.15">
      <c r="A1921" s="33" t="s">
        <v>36</v>
      </c>
      <c r="B1921" s="9">
        <v>2</v>
      </c>
      <c r="C1921" s="10">
        <v>2</v>
      </c>
      <c r="D1921" s="10">
        <v>1</v>
      </c>
      <c r="E1921" s="8">
        <f t="shared" si="2791"/>
        <v>5</v>
      </c>
      <c r="F1921" s="9">
        <v>2</v>
      </c>
      <c r="G1921" s="10">
        <v>2</v>
      </c>
      <c r="H1921" s="10">
        <v>1</v>
      </c>
      <c r="I1921" s="8">
        <f t="shared" si="2792"/>
        <v>5</v>
      </c>
      <c r="J1921" s="9">
        <v>2</v>
      </c>
      <c r="K1921" s="10">
        <v>2</v>
      </c>
      <c r="L1921" s="10">
        <v>1</v>
      </c>
      <c r="M1921" s="39">
        <f t="shared" si="2793"/>
        <v>5</v>
      </c>
      <c r="N1921" s="138">
        <f t="shared" si="2794"/>
        <v>15</v>
      </c>
      <c r="O1921" s="70">
        <v>46181</v>
      </c>
      <c r="P1921" s="4" t="s">
        <v>1432</v>
      </c>
      <c r="Q1921" s="9"/>
      <c r="R1921" s="10"/>
      <c r="S1921" s="10">
        <v>10</v>
      </c>
      <c r="T1921" s="8">
        <f t="shared" si="2808"/>
        <v>10</v>
      </c>
      <c r="U1921" s="9"/>
      <c r="V1921" s="10"/>
      <c r="W1921" s="10">
        <v>10</v>
      </c>
      <c r="X1921" s="8">
        <f t="shared" si="2809"/>
        <v>10</v>
      </c>
      <c r="Y1921" s="9"/>
      <c r="Z1921" s="10">
        <v>5</v>
      </c>
      <c r="AA1921" s="10">
        <v>10</v>
      </c>
      <c r="AB1921" s="8">
        <f t="shared" si="2810"/>
        <v>15</v>
      </c>
      <c r="AC1921" s="93">
        <f t="shared" si="2811"/>
        <v>35</v>
      </c>
      <c r="AD1921" s="109">
        <v>46179</v>
      </c>
      <c r="AE1921" s="58"/>
    </row>
    <row r="1922" spans="1:32" x14ac:dyDescent="0.15">
      <c r="A1922" s="33" t="s">
        <v>1875</v>
      </c>
      <c r="B1922" s="9">
        <v>1</v>
      </c>
      <c r="C1922" s="10">
        <v>1</v>
      </c>
      <c r="D1922" s="10">
        <v>2</v>
      </c>
      <c r="E1922" s="8">
        <f t="shared" si="2791"/>
        <v>4</v>
      </c>
      <c r="F1922" s="9">
        <v>1</v>
      </c>
      <c r="G1922" s="10">
        <v>1</v>
      </c>
      <c r="H1922" s="10">
        <v>2</v>
      </c>
      <c r="I1922" s="8">
        <f t="shared" si="2792"/>
        <v>4</v>
      </c>
      <c r="J1922" s="9">
        <v>1</v>
      </c>
      <c r="K1922" s="10">
        <v>1</v>
      </c>
      <c r="L1922" s="10">
        <v>2</v>
      </c>
      <c r="M1922" s="39">
        <f t="shared" si="2793"/>
        <v>4</v>
      </c>
      <c r="N1922" s="138">
        <f t="shared" si="2794"/>
        <v>12</v>
      </c>
      <c r="O1922" s="24">
        <v>46184</v>
      </c>
      <c r="P1922" s="4" t="s">
        <v>1874</v>
      </c>
      <c r="Q1922" s="9">
        <v>32</v>
      </c>
      <c r="R1922" s="10">
        <v>35</v>
      </c>
      <c r="S1922" s="10">
        <v>20</v>
      </c>
      <c r="T1922" s="8">
        <f t="shared" ref="T1922:T1923" si="2812">SUM(Q1922:S1922)</f>
        <v>87</v>
      </c>
      <c r="U1922" s="9">
        <v>32</v>
      </c>
      <c r="V1922" s="10">
        <v>35</v>
      </c>
      <c r="W1922" s="10">
        <v>20</v>
      </c>
      <c r="X1922" s="8">
        <f t="shared" ref="X1922:X1923" si="2813">SUM(U1922:W1922)</f>
        <v>87</v>
      </c>
      <c r="Y1922" s="9">
        <v>32</v>
      </c>
      <c r="Z1922" s="10">
        <v>35</v>
      </c>
      <c r="AA1922" s="10">
        <v>20</v>
      </c>
      <c r="AB1922" s="8">
        <f t="shared" ref="AB1922:AB1923" si="2814">SUM(Y1922:AA1922)</f>
        <v>87</v>
      </c>
      <c r="AC1922" s="93">
        <f t="shared" ref="AC1922:AC1923" si="2815">T1922+X1922+AB1922</f>
        <v>261</v>
      </c>
      <c r="AD1922" s="109">
        <v>46185</v>
      </c>
    </row>
    <row r="1923" spans="1:32" x14ac:dyDescent="0.15">
      <c r="A1923" s="33" t="s">
        <v>36</v>
      </c>
      <c r="B1923" s="9"/>
      <c r="C1923" s="10"/>
      <c r="D1923" s="10"/>
      <c r="E1923" s="8">
        <f t="shared" si="2791"/>
        <v>0</v>
      </c>
      <c r="F1923" s="9"/>
      <c r="G1923" s="10"/>
      <c r="H1923" s="10"/>
      <c r="I1923" s="8">
        <f t="shared" si="2792"/>
        <v>0</v>
      </c>
      <c r="J1923" s="9">
        <v>1</v>
      </c>
      <c r="K1923" s="10"/>
      <c r="L1923" s="10"/>
      <c r="M1923" s="39">
        <f t="shared" si="2793"/>
        <v>1</v>
      </c>
      <c r="N1923" s="138">
        <f t="shared" si="2794"/>
        <v>1</v>
      </c>
      <c r="O1923" s="70">
        <v>46182</v>
      </c>
      <c r="P1923" s="33" t="s">
        <v>1881</v>
      </c>
      <c r="Q1923" s="9">
        <v>15</v>
      </c>
      <c r="R1923" s="10">
        <v>8</v>
      </c>
      <c r="S1923" s="10">
        <v>4</v>
      </c>
      <c r="T1923" s="8">
        <f t="shared" si="2812"/>
        <v>27</v>
      </c>
      <c r="U1923" s="9">
        <v>15</v>
      </c>
      <c r="V1923" s="10">
        <v>8</v>
      </c>
      <c r="W1923" s="10">
        <v>4</v>
      </c>
      <c r="X1923" s="8">
        <f t="shared" si="2813"/>
        <v>27</v>
      </c>
      <c r="Y1923" s="9">
        <v>15</v>
      </c>
      <c r="Z1923" s="10">
        <v>8</v>
      </c>
      <c r="AA1923" s="10">
        <v>4</v>
      </c>
      <c r="AB1923" s="8">
        <f t="shared" si="2814"/>
        <v>27</v>
      </c>
      <c r="AC1923" s="93">
        <f t="shared" si="2815"/>
        <v>81</v>
      </c>
      <c r="AD1923" s="109">
        <v>46185</v>
      </c>
      <c r="AE1923" s="58"/>
      <c r="AF1923" s="58"/>
    </row>
    <row r="1924" spans="1:32" x14ac:dyDescent="0.15">
      <c r="A1924" s="33" t="s">
        <v>36</v>
      </c>
      <c r="B1924" s="9">
        <v>1</v>
      </c>
      <c r="C1924" s="10">
        <v>1</v>
      </c>
      <c r="D1924" s="10"/>
      <c r="E1924" s="8">
        <f t="shared" si="2791"/>
        <v>2</v>
      </c>
      <c r="F1924" s="9">
        <v>1</v>
      </c>
      <c r="G1924" s="10"/>
      <c r="H1924" s="10"/>
      <c r="I1924" s="8">
        <f t="shared" si="2792"/>
        <v>1</v>
      </c>
      <c r="J1924" s="9">
        <v>1</v>
      </c>
      <c r="K1924" s="10"/>
      <c r="L1924" s="10"/>
      <c r="M1924" s="39">
        <f t="shared" si="2793"/>
        <v>1</v>
      </c>
      <c r="N1924" s="138">
        <f t="shared" si="2794"/>
        <v>4</v>
      </c>
      <c r="O1924" s="24">
        <v>46183</v>
      </c>
      <c r="P1924" s="11" t="s">
        <v>1883</v>
      </c>
      <c r="Q1924" s="9"/>
      <c r="R1924" s="10">
        <v>5</v>
      </c>
      <c r="S1924" s="10"/>
      <c r="T1924" s="8">
        <f t="shared" ref="T1924:T1927" si="2816">SUM(Q1924:S1924)</f>
        <v>5</v>
      </c>
      <c r="U1924" s="9"/>
      <c r="V1924" s="10">
        <v>5</v>
      </c>
      <c r="W1924" s="10"/>
      <c r="X1924" s="8">
        <f t="shared" ref="X1924:X1927" si="2817">SUM(U1924:W1924)</f>
        <v>5</v>
      </c>
      <c r="Y1924" s="9"/>
      <c r="Z1924" s="10">
        <v>5</v>
      </c>
      <c r="AA1924" s="10"/>
      <c r="AB1924" s="8">
        <f t="shared" ref="AB1924:AB1927" si="2818">SUM(Y1924:AA1924)</f>
        <v>5</v>
      </c>
      <c r="AC1924" s="93">
        <f t="shared" ref="AC1924:AC1927" si="2819">T1924+X1924+AB1924</f>
        <v>15</v>
      </c>
      <c r="AD1924" s="109">
        <v>46189</v>
      </c>
      <c r="AE1924" s="58"/>
      <c r="AF1924" s="58"/>
    </row>
    <row r="1925" spans="1:32" x14ac:dyDescent="0.15">
      <c r="A1925" s="33" t="s">
        <v>36</v>
      </c>
      <c r="B1925" s="9">
        <v>1</v>
      </c>
      <c r="C1925" s="10"/>
      <c r="D1925" s="10"/>
      <c r="E1925" s="8">
        <f t="shared" si="2791"/>
        <v>1</v>
      </c>
      <c r="F1925" s="9"/>
      <c r="G1925" s="10"/>
      <c r="H1925" s="10"/>
      <c r="I1925" s="8">
        <f t="shared" si="2792"/>
        <v>0</v>
      </c>
      <c r="J1925" s="9"/>
      <c r="K1925" s="10"/>
      <c r="L1925" s="10"/>
      <c r="M1925" s="39">
        <f t="shared" si="2793"/>
        <v>0</v>
      </c>
      <c r="N1925" s="138">
        <f t="shared" si="2794"/>
        <v>1</v>
      </c>
      <c r="O1925" s="24">
        <v>46184</v>
      </c>
      <c r="P1925" s="160" t="s">
        <v>1319</v>
      </c>
      <c r="Q1925" s="166"/>
      <c r="R1925" s="167">
        <v>5</v>
      </c>
      <c r="S1925" s="167"/>
      <c r="T1925" s="168">
        <f t="shared" si="2816"/>
        <v>5</v>
      </c>
      <c r="U1925" s="166"/>
      <c r="V1925" s="167">
        <v>5</v>
      </c>
      <c r="W1925" s="167"/>
      <c r="X1925" s="168">
        <f t="shared" si="2817"/>
        <v>5</v>
      </c>
      <c r="Y1925" s="166"/>
      <c r="Z1925" s="167">
        <v>5</v>
      </c>
      <c r="AA1925" s="167"/>
      <c r="AB1925" s="168">
        <f t="shared" si="2818"/>
        <v>5</v>
      </c>
      <c r="AC1925" s="169">
        <f t="shared" si="2819"/>
        <v>15</v>
      </c>
      <c r="AD1925" s="170">
        <v>46184</v>
      </c>
    </row>
    <row r="1926" spans="1:32" x14ac:dyDescent="0.15">
      <c r="A1926" s="33" t="s">
        <v>1888</v>
      </c>
      <c r="B1926" s="9"/>
      <c r="C1926" s="10">
        <v>4</v>
      </c>
      <c r="D1926" s="10">
        <v>3</v>
      </c>
      <c r="E1926" s="8">
        <f t="shared" si="2791"/>
        <v>7</v>
      </c>
      <c r="F1926" s="9"/>
      <c r="G1926" s="10">
        <v>4</v>
      </c>
      <c r="H1926" s="10">
        <v>3</v>
      </c>
      <c r="I1926" s="8">
        <f t="shared" si="2792"/>
        <v>7</v>
      </c>
      <c r="J1926" s="9"/>
      <c r="K1926" s="10">
        <v>4</v>
      </c>
      <c r="L1926" s="10">
        <v>3</v>
      </c>
      <c r="M1926" s="39">
        <f t="shared" si="2793"/>
        <v>7</v>
      </c>
      <c r="N1926" s="138">
        <f t="shared" si="2794"/>
        <v>21</v>
      </c>
      <c r="O1926" s="24">
        <v>46188</v>
      </c>
      <c r="P1926" s="33" t="s">
        <v>1884</v>
      </c>
      <c r="Q1926" s="77">
        <v>2</v>
      </c>
      <c r="R1926" s="78">
        <v>6</v>
      </c>
      <c r="S1926" s="78">
        <v>2</v>
      </c>
      <c r="T1926" s="5">
        <f t="shared" si="2816"/>
        <v>10</v>
      </c>
      <c r="U1926" s="77">
        <v>2</v>
      </c>
      <c r="V1926" s="78">
        <v>6</v>
      </c>
      <c r="W1926" s="78">
        <v>2</v>
      </c>
      <c r="X1926" s="5">
        <f t="shared" si="2817"/>
        <v>10</v>
      </c>
      <c r="Y1926" s="77">
        <v>2</v>
      </c>
      <c r="Z1926" s="78">
        <v>6</v>
      </c>
      <c r="AA1926" s="78">
        <v>2</v>
      </c>
      <c r="AB1926" s="5">
        <f t="shared" si="2818"/>
        <v>10</v>
      </c>
      <c r="AC1926" s="148">
        <f t="shared" si="2819"/>
        <v>30</v>
      </c>
      <c r="AD1926" s="109">
        <v>46185</v>
      </c>
    </row>
    <row r="1927" spans="1:32" x14ac:dyDescent="0.15">
      <c r="A1927" s="33" t="s">
        <v>1891</v>
      </c>
      <c r="B1927" s="9">
        <v>3</v>
      </c>
      <c r="C1927" s="10">
        <v>8</v>
      </c>
      <c r="D1927" s="10">
        <v>7</v>
      </c>
      <c r="E1927" s="8">
        <f t="shared" si="2791"/>
        <v>18</v>
      </c>
      <c r="F1927" s="9">
        <v>3</v>
      </c>
      <c r="G1927" s="10">
        <v>8</v>
      </c>
      <c r="H1927" s="10">
        <v>7</v>
      </c>
      <c r="I1927" s="8">
        <f t="shared" si="2792"/>
        <v>18</v>
      </c>
      <c r="J1927" s="9">
        <v>3</v>
      </c>
      <c r="K1927" s="10">
        <v>8</v>
      </c>
      <c r="L1927" s="10">
        <v>7</v>
      </c>
      <c r="M1927" s="39">
        <f t="shared" si="2793"/>
        <v>18</v>
      </c>
      <c r="N1927" s="138">
        <f t="shared" si="2794"/>
        <v>54</v>
      </c>
      <c r="O1927" s="24">
        <v>46190</v>
      </c>
      <c r="P1927" s="165" t="s">
        <v>1319</v>
      </c>
      <c r="Q1927" s="166">
        <v>10</v>
      </c>
      <c r="R1927" s="167">
        <v>15</v>
      </c>
      <c r="S1927" s="167">
        <v>5</v>
      </c>
      <c r="T1927" s="161">
        <f t="shared" si="2816"/>
        <v>30</v>
      </c>
      <c r="U1927" s="166">
        <v>10</v>
      </c>
      <c r="V1927" s="167">
        <v>20</v>
      </c>
      <c r="W1927" s="167">
        <v>10</v>
      </c>
      <c r="X1927" s="161">
        <f t="shared" si="2817"/>
        <v>40</v>
      </c>
      <c r="Y1927" s="166">
        <v>10</v>
      </c>
      <c r="Z1927" s="167">
        <v>15</v>
      </c>
      <c r="AA1927" s="167">
        <v>10</v>
      </c>
      <c r="AB1927" s="161">
        <f t="shared" si="2818"/>
        <v>35</v>
      </c>
      <c r="AC1927" s="169">
        <f t="shared" si="2819"/>
        <v>105</v>
      </c>
      <c r="AD1927" s="170">
        <v>46189</v>
      </c>
    </row>
    <row r="1928" spans="1:32" x14ac:dyDescent="0.15">
      <c r="A1928" s="33" t="s">
        <v>36</v>
      </c>
      <c r="B1928" s="9">
        <v>4</v>
      </c>
      <c r="C1928" s="10">
        <v>3</v>
      </c>
      <c r="D1928" s="10"/>
      <c r="E1928" s="8">
        <f t="shared" si="2791"/>
        <v>7</v>
      </c>
      <c r="F1928" s="9">
        <v>4</v>
      </c>
      <c r="G1928" s="10">
        <v>3</v>
      </c>
      <c r="H1928" s="10"/>
      <c r="I1928" s="8">
        <f t="shared" si="2792"/>
        <v>7</v>
      </c>
      <c r="J1928" s="9">
        <v>4</v>
      </c>
      <c r="K1928" s="10">
        <v>3</v>
      </c>
      <c r="L1928" s="10"/>
      <c r="M1928" s="39">
        <f t="shared" si="2793"/>
        <v>7</v>
      </c>
      <c r="N1928" s="138">
        <f t="shared" si="2794"/>
        <v>21</v>
      </c>
      <c r="O1928" s="24">
        <v>46188</v>
      </c>
      <c r="P1928" s="11" t="s">
        <v>1746</v>
      </c>
      <c r="Q1928" s="9"/>
      <c r="R1928" s="10"/>
      <c r="S1928" s="10"/>
      <c r="T1928" s="8">
        <f t="shared" ref="T1928:T1932" si="2820">SUM(Q1928:S1928)</f>
        <v>0</v>
      </c>
      <c r="U1928" s="9"/>
      <c r="V1928" s="10"/>
      <c r="W1928" s="10"/>
      <c r="X1928" s="8">
        <f t="shared" ref="X1928:X1932" si="2821">SUM(U1928:W1928)</f>
        <v>0</v>
      </c>
      <c r="Y1928" s="9"/>
      <c r="Z1928" s="10"/>
      <c r="AA1928" s="10"/>
      <c r="AB1928" s="8">
        <f t="shared" ref="AB1928:AB1932" si="2822">SUM(Y1928:AA1928)</f>
        <v>0</v>
      </c>
      <c r="AC1928" s="93">
        <f t="shared" ref="AC1928:AC1932" si="2823">T1928+X1928+AB1928</f>
        <v>0</v>
      </c>
      <c r="AD1928" s="116" t="s">
        <v>1745</v>
      </c>
    </row>
    <row r="1929" spans="1:32" x14ac:dyDescent="0.15">
      <c r="A1929" s="33" t="s">
        <v>1893</v>
      </c>
      <c r="B1929" s="9">
        <v>4</v>
      </c>
      <c r="C1929" s="10">
        <v>9</v>
      </c>
      <c r="D1929" s="10">
        <v>3</v>
      </c>
      <c r="E1929" s="8">
        <f t="shared" si="2791"/>
        <v>16</v>
      </c>
      <c r="F1929" s="9">
        <v>4</v>
      </c>
      <c r="G1929" s="10">
        <v>9</v>
      </c>
      <c r="H1929" s="10">
        <v>3</v>
      </c>
      <c r="I1929" s="8">
        <f t="shared" si="2792"/>
        <v>16</v>
      </c>
      <c r="J1929" s="9">
        <v>4</v>
      </c>
      <c r="K1929" s="10">
        <v>9</v>
      </c>
      <c r="L1929" s="10">
        <v>3</v>
      </c>
      <c r="M1929" s="39">
        <f t="shared" si="2793"/>
        <v>16</v>
      </c>
      <c r="N1929" s="138">
        <f t="shared" si="2794"/>
        <v>48</v>
      </c>
      <c r="O1929" s="24">
        <v>46191</v>
      </c>
      <c r="P1929" s="11" t="s">
        <v>1763</v>
      </c>
      <c r="Q1929" s="9"/>
      <c r="R1929" s="10"/>
      <c r="S1929" s="10"/>
      <c r="T1929" s="8">
        <f t="shared" si="2820"/>
        <v>0</v>
      </c>
      <c r="U1929" s="9"/>
      <c r="V1929" s="10"/>
      <c r="W1929" s="10"/>
      <c r="X1929" s="8">
        <f t="shared" si="2821"/>
        <v>0</v>
      </c>
      <c r="Y1929" s="9"/>
      <c r="Z1929" s="10"/>
      <c r="AA1929" s="10"/>
      <c r="AB1929" s="8">
        <f t="shared" si="2822"/>
        <v>0</v>
      </c>
      <c r="AC1929" s="93">
        <f t="shared" si="2823"/>
        <v>0</v>
      </c>
      <c r="AD1929" s="116" t="s">
        <v>804</v>
      </c>
    </row>
    <row r="1930" spans="1:32" x14ac:dyDescent="0.15">
      <c r="A1930" s="33"/>
      <c r="B1930" s="9"/>
      <c r="C1930" s="10"/>
      <c r="D1930" s="10"/>
      <c r="E1930" s="8">
        <f t="shared" si="2791"/>
        <v>0</v>
      </c>
      <c r="F1930" s="9"/>
      <c r="G1930" s="10"/>
      <c r="H1930" s="10"/>
      <c r="I1930" s="8">
        <f t="shared" si="2792"/>
        <v>0</v>
      </c>
      <c r="J1930" s="9"/>
      <c r="K1930" s="10"/>
      <c r="L1930" s="10"/>
      <c r="M1930" s="39">
        <f t="shared" si="2793"/>
        <v>0</v>
      </c>
      <c r="N1930" s="138">
        <f t="shared" si="2794"/>
        <v>0</v>
      </c>
      <c r="O1930" s="58"/>
      <c r="P1930" s="11" t="s">
        <v>1751</v>
      </c>
      <c r="Q1930" s="9"/>
      <c r="R1930" s="10"/>
      <c r="S1930" s="10"/>
      <c r="T1930" s="8">
        <f t="shared" si="2820"/>
        <v>0</v>
      </c>
      <c r="U1930" s="9"/>
      <c r="V1930" s="10"/>
      <c r="W1930" s="10"/>
      <c r="X1930" s="8">
        <f t="shared" si="2821"/>
        <v>0</v>
      </c>
      <c r="Y1930" s="9"/>
      <c r="Z1930" s="10"/>
      <c r="AA1930" s="10"/>
      <c r="AB1930" s="8">
        <f t="shared" si="2822"/>
        <v>0</v>
      </c>
      <c r="AC1930" s="93">
        <f t="shared" si="2823"/>
        <v>0</v>
      </c>
      <c r="AD1930" s="116" t="s">
        <v>1750</v>
      </c>
    </row>
    <row r="1931" spans="1:32" x14ac:dyDescent="0.15">
      <c r="A1931" s="33"/>
      <c r="B1931" s="9"/>
      <c r="C1931" s="10"/>
      <c r="D1931" s="10"/>
      <c r="E1931" s="8">
        <f t="shared" si="2791"/>
        <v>0</v>
      </c>
      <c r="F1931" s="9"/>
      <c r="G1931" s="10"/>
      <c r="H1931" s="10"/>
      <c r="I1931" s="8">
        <f t="shared" si="2792"/>
        <v>0</v>
      </c>
      <c r="J1931" s="9"/>
      <c r="K1931" s="10"/>
      <c r="L1931" s="10"/>
      <c r="M1931" s="39">
        <f t="shared" si="2793"/>
        <v>0</v>
      </c>
      <c r="N1931" s="138">
        <f t="shared" si="2794"/>
        <v>0</v>
      </c>
      <c r="P1931" s="81" t="s">
        <v>1704</v>
      </c>
      <c r="Q1931" s="71"/>
      <c r="R1931" s="72"/>
      <c r="S1931" s="72"/>
      <c r="T1931" s="73">
        <f t="shared" si="2820"/>
        <v>0</v>
      </c>
      <c r="U1931" s="71"/>
      <c r="V1931" s="72"/>
      <c r="W1931" s="72"/>
      <c r="X1931" s="73">
        <f t="shared" si="2821"/>
        <v>0</v>
      </c>
      <c r="Y1931" s="71"/>
      <c r="Z1931" s="72"/>
      <c r="AA1931" s="72"/>
      <c r="AB1931" s="73">
        <f t="shared" si="2822"/>
        <v>0</v>
      </c>
      <c r="AC1931" s="92">
        <f t="shared" si="2823"/>
        <v>0</v>
      </c>
      <c r="AD1931" s="116"/>
    </row>
    <row r="1932" spans="1:32" ht="14.25" thickBot="1" x14ac:dyDescent="0.2">
      <c r="A1932" s="63"/>
      <c r="B1932" s="9"/>
      <c r="C1932" s="10"/>
      <c r="D1932" s="22"/>
      <c r="E1932" s="8">
        <f t="shared" si="2791"/>
        <v>0</v>
      </c>
      <c r="F1932" s="9"/>
      <c r="G1932" s="10"/>
      <c r="H1932" s="22"/>
      <c r="I1932" s="8">
        <f t="shared" si="2792"/>
        <v>0</v>
      </c>
      <c r="J1932" s="9"/>
      <c r="K1932" s="10"/>
      <c r="L1932" s="22"/>
      <c r="M1932" s="39">
        <f t="shared" si="2793"/>
        <v>0</v>
      </c>
      <c r="N1932" s="139">
        <f t="shared" si="2794"/>
        <v>0</v>
      </c>
      <c r="P1932" s="4" t="s">
        <v>1702</v>
      </c>
      <c r="Q1932" s="9"/>
      <c r="R1932" s="10"/>
      <c r="S1932" s="10"/>
      <c r="T1932" s="8">
        <f t="shared" si="2820"/>
        <v>0</v>
      </c>
      <c r="U1932" s="9"/>
      <c r="V1932" s="10"/>
      <c r="W1932" s="10"/>
      <c r="X1932" s="8">
        <f t="shared" si="2821"/>
        <v>0</v>
      </c>
      <c r="Y1932" s="9"/>
      <c r="Z1932" s="10"/>
      <c r="AA1932" s="10"/>
      <c r="AB1932" s="8">
        <f t="shared" si="2822"/>
        <v>0</v>
      </c>
      <c r="AC1932" s="93">
        <f t="shared" si="2823"/>
        <v>0</v>
      </c>
      <c r="AD1932" s="116" t="s">
        <v>1703</v>
      </c>
    </row>
    <row r="1933" spans="1:32" ht="14.25" thickBot="1" x14ac:dyDescent="0.2">
      <c r="A1933" s="104" t="s">
        <v>5</v>
      </c>
      <c r="B1933" s="12">
        <f>SUM(B1909:B1932)</f>
        <v>19</v>
      </c>
      <c r="C1933" s="12">
        <f>SUM(C1909:C1932)</f>
        <v>42</v>
      </c>
      <c r="D1933" s="12">
        <f>SUM(D1909:D1932)</f>
        <v>21</v>
      </c>
      <c r="E1933" s="13">
        <f t="shared" si="2791"/>
        <v>82</v>
      </c>
      <c r="F1933" s="12">
        <f>SUM(F1909:F1932)</f>
        <v>18</v>
      </c>
      <c r="G1933" s="12">
        <f>SUM(G1909:G1932)</f>
        <v>44</v>
      </c>
      <c r="H1933" s="12">
        <f>SUM(H1909:H1932)</f>
        <v>22</v>
      </c>
      <c r="I1933" s="13">
        <f t="shared" si="2792"/>
        <v>84</v>
      </c>
      <c r="J1933" s="12">
        <f>SUM(J1909:J1932)</f>
        <v>20</v>
      </c>
      <c r="K1933" s="12">
        <f>SUM(K1909:K1932)</f>
        <v>47</v>
      </c>
      <c r="L1933" s="12">
        <f>SUM(L1909:L1932)</f>
        <v>22</v>
      </c>
      <c r="M1933" s="12">
        <f t="shared" si="2793"/>
        <v>89</v>
      </c>
      <c r="N1933" s="142">
        <f t="shared" si="2794"/>
        <v>255</v>
      </c>
      <c r="P1933" s="3" t="s">
        <v>5</v>
      </c>
      <c r="Q1933" s="12">
        <f>SUM(Q1909:Q1932)</f>
        <v>115</v>
      </c>
      <c r="R1933" s="12">
        <f t="shared" ref="R1933:AC1933" si="2824">SUM(R1909:R1932)</f>
        <v>163</v>
      </c>
      <c r="S1933" s="12">
        <f t="shared" si="2824"/>
        <v>92</v>
      </c>
      <c r="T1933" s="13">
        <f t="shared" si="2824"/>
        <v>370</v>
      </c>
      <c r="U1933" s="12">
        <f t="shared" si="2824"/>
        <v>105</v>
      </c>
      <c r="V1933" s="12">
        <f t="shared" si="2824"/>
        <v>168</v>
      </c>
      <c r="W1933" s="12">
        <f t="shared" si="2824"/>
        <v>102</v>
      </c>
      <c r="X1933" s="13">
        <f t="shared" si="2824"/>
        <v>375</v>
      </c>
      <c r="Y1933" s="12">
        <f t="shared" si="2824"/>
        <v>100</v>
      </c>
      <c r="Z1933" s="12">
        <f t="shared" si="2824"/>
        <v>168</v>
      </c>
      <c r="AA1933" s="12">
        <f t="shared" si="2824"/>
        <v>97</v>
      </c>
      <c r="AB1933" s="13">
        <f t="shared" si="2824"/>
        <v>365</v>
      </c>
      <c r="AC1933" s="155">
        <f t="shared" si="2824"/>
        <v>1110</v>
      </c>
    </row>
    <row r="1934" spans="1:32" ht="14.25" thickBot="1" x14ac:dyDescent="0.2">
      <c r="A1934" s="105" t="s">
        <v>6</v>
      </c>
      <c r="B1934" s="20">
        <f>B1908-B1933</f>
        <v>32</v>
      </c>
      <c r="C1934" s="20">
        <f t="shared" ref="C1934:E1934" si="2825">C1908-C1933</f>
        <v>31</v>
      </c>
      <c r="D1934" s="20">
        <f t="shared" si="2825"/>
        <v>30</v>
      </c>
      <c r="E1934" s="18">
        <f t="shared" si="2825"/>
        <v>93</v>
      </c>
      <c r="F1934" s="20">
        <f>F1908-F1933</f>
        <v>32</v>
      </c>
      <c r="G1934" s="20">
        <f t="shared" ref="G1934:I1934" si="2826">G1908-G1933</f>
        <v>32</v>
      </c>
      <c r="H1934" s="20">
        <f t="shared" si="2826"/>
        <v>27</v>
      </c>
      <c r="I1934" s="18">
        <f t="shared" si="2826"/>
        <v>91</v>
      </c>
      <c r="J1934" s="20">
        <f>J1908-J1933</f>
        <v>34</v>
      </c>
      <c r="K1934" s="20">
        <f t="shared" ref="K1934:M1934" si="2827">K1908-K1933</f>
        <v>30</v>
      </c>
      <c r="L1934" s="20">
        <f t="shared" si="2827"/>
        <v>32</v>
      </c>
      <c r="M1934" s="20">
        <f t="shared" si="2827"/>
        <v>96</v>
      </c>
      <c r="N1934" s="140">
        <f t="shared" si="2794"/>
        <v>280</v>
      </c>
      <c r="P1934" s="19" t="s">
        <v>6</v>
      </c>
      <c r="Q1934" s="20">
        <f>Q1908-Q1933</f>
        <v>371</v>
      </c>
      <c r="R1934" s="20">
        <f t="shared" ref="R1934:AC1934" si="2828">R1908-R1933</f>
        <v>591</v>
      </c>
      <c r="S1934" s="20">
        <f t="shared" si="2828"/>
        <v>469</v>
      </c>
      <c r="T1934" s="18">
        <f t="shared" si="2828"/>
        <v>1431</v>
      </c>
      <c r="U1934" s="20">
        <f t="shared" si="2828"/>
        <v>427</v>
      </c>
      <c r="V1934" s="20">
        <f t="shared" si="2828"/>
        <v>570</v>
      </c>
      <c r="W1934" s="20">
        <f t="shared" si="2828"/>
        <v>465</v>
      </c>
      <c r="X1934" s="18">
        <f t="shared" si="2828"/>
        <v>1462</v>
      </c>
      <c r="Y1934" s="20">
        <f t="shared" si="2828"/>
        <v>386</v>
      </c>
      <c r="Z1934" s="20">
        <f t="shared" si="2828"/>
        <v>492</v>
      </c>
      <c r="AA1934" s="20">
        <f t="shared" si="2828"/>
        <v>458</v>
      </c>
      <c r="AB1934" s="18">
        <f t="shared" si="2828"/>
        <v>1336</v>
      </c>
      <c r="AC1934" s="88">
        <f t="shared" si="2828"/>
        <v>4229</v>
      </c>
    </row>
    <row r="1937" spans="1:30" ht="19.5" thickBot="1" x14ac:dyDescent="0.25">
      <c r="A1937" s="108" t="s">
        <v>264</v>
      </c>
      <c r="B1937" s="47"/>
      <c r="C1937" s="47"/>
      <c r="D1937" s="47"/>
      <c r="E1937" s="47"/>
      <c r="F1937" s="48"/>
      <c r="G1937" s="48"/>
      <c r="H1937" s="48"/>
      <c r="I1937" s="48"/>
      <c r="J1937" s="48"/>
      <c r="K1937" s="48"/>
      <c r="L1937" s="1"/>
      <c r="M1937" s="1"/>
      <c r="N1937" s="137"/>
      <c r="P1937" s="43" t="s">
        <v>263</v>
      </c>
      <c r="Q1937" s="44"/>
      <c r="R1937" s="44"/>
      <c r="S1937" s="44"/>
      <c r="T1937" s="44"/>
      <c r="U1937" s="45"/>
      <c r="V1937" s="45"/>
      <c r="W1937" s="45"/>
      <c r="X1937" s="45"/>
      <c r="Y1937" s="46"/>
      <c r="Z1937" s="53"/>
      <c r="AA1937" s="1"/>
      <c r="AB1937" s="1"/>
    </row>
    <row r="1938" spans="1:30" ht="14.25" thickBot="1" x14ac:dyDescent="0.2">
      <c r="A1938" s="100" t="s">
        <v>0</v>
      </c>
      <c r="B1938" s="337" t="s">
        <v>11</v>
      </c>
      <c r="C1938" s="337"/>
      <c r="D1938" s="337"/>
      <c r="E1938" s="338"/>
      <c r="F1938" s="339" t="s">
        <v>9</v>
      </c>
      <c r="G1938" s="340"/>
      <c r="H1938" s="340"/>
      <c r="I1938" s="341"/>
      <c r="J1938" s="342" t="s">
        <v>12</v>
      </c>
      <c r="K1938" s="343"/>
      <c r="L1938" s="343"/>
      <c r="M1938" s="343"/>
      <c r="N1938" s="347" t="s">
        <v>13</v>
      </c>
      <c r="P1938" s="2" t="s">
        <v>0</v>
      </c>
      <c r="Q1938" s="336" t="s">
        <v>11</v>
      </c>
      <c r="R1938" s="337"/>
      <c r="S1938" s="337"/>
      <c r="T1938" s="338"/>
      <c r="U1938" s="339" t="s">
        <v>9</v>
      </c>
      <c r="V1938" s="340"/>
      <c r="W1938" s="340"/>
      <c r="X1938" s="341"/>
      <c r="Y1938" s="342" t="s">
        <v>12</v>
      </c>
      <c r="Z1938" s="343"/>
      <c r="AA1938" s="343"/>
      <c r="AB1938" s="344"/>
      <c r="AC1938" s="345" t="s">
        <v>13</v>
      </c>
    </row>
    <row r="1939" spans="1:30" ht="14.25" thickBot="1" x14ac:dyDescent="0.2">
      <c r="A1939" s="100" t="s">
        <v>1</v>
      </c>
      <c r="B1939" s="3" t="s">
        <v>7</v>
      </c>
      <c r="C1939" s="2" t="s">
        <v>10</v>
      </c>
      <c r="D1939" s="2" t="s">
        <v>8</v>
      </c>
      <c r="E1939" s="2" t="s">
        <v>2</v>
      </c>
      <c r="F1939" s="3" t="s">
        <v>7</v>
      </c>
      <c r="G1939" s="2" t="s">
        <v>10</v>
      </c>
      <c r="H1939" s="2" t="s">
        <v>8</v>
      </c>
      <c r="I1939" s="2" t="s">
        <v>2</v>
      </c>
      <c r="J1939" s="3" t="s">
        <v>7</v>
      </c>
      <c r="K1939" s="2" t="s">
        <v>10</v>
      </c>
      <c r="L1939" s="2" t="s">
        <v>8</v>
      </c>
      <c r="M1939" s="3" t="s">
        <v>2</v>
      </c>
      <c r="N1939" s="348"/>
      <c r="P1939" s="2" t="s">
        <v>1</v>
      </c>
      <c r="Q1939" s="3" t="s">
        <v>7</v>
      </c>
      <c r="R1939" s="2" t="s">
        <v>10</v>
      </c>
      <c r="S1939" s="2" t="s">
        <v>8</v>
      </c>
      <c r="T1939" s="2" t="s">
        <v>2</v>
      </c>
      <c r="U1939" s="3" t="s">
        <v>7</v>
      </c>
      <c r="V1939" s="2" t="s">
        <v>10</v>
      </c>
      <c r="W1939" s="2" t="s">
        <v>8</v>
      </c>
      <c r="X1939" s="2" t="s">
        <v>2</v>
      </c>
      <c r="Y1939" s="3" t="s">
        <v>7</v>
      </c>
      <c r="Z1939" s="2" t="s">
        <v>10</v>
      </c>
      <c r="AA1939" s="2" t="s">
        <v>8</v>
      </c>
      <c r="AB1939" s="2" t="s">
        <v>2</v>
      </c>
      <c r="AC1939" s="346"/>
    </row>
    <row r="1940" spans="1:30" x14ac:dyDescent="0.15">
      <c r="A1940" s="106" t="s">
        <v>6</v>
      </c>
      <c r="B1940" s="41">
        <f>B1934</f>
        <v>32</v>
      </c>
      <c r="C1940" s="41">
        <f t="shared" ref="C1940:E1940" si="2829">C1934</f>
        <v>31</v>
      </c>
      <c r="D1940" s="41">
        <f t="shared" si="2829"/>
        <v>30</v>
      </c>
      <c r="E1940" s="42">
        <f t="shared" si="2829"/>
        <v>93</v>
      </c>
      <c r="F1940" s="41">
        <f>F1934</f>
        <v>32</v>
      </c>
      <c r="G1940" s="41">
        <f t="shared" ref="G1940:I1940" si="2830">G1934</f>
        <v>32</v>
      </c>
      <c r="H1940" s="41">
        <f t="shared" si="2830"/>
        <v>27</v>
      </c>
      <c r="I1940" s="42">
        <f t="shared" si="2830"/>
        <v>91</v>
      </c>
      <c r="J1940" s="41">
        <f>J1934</f>
        <v>34</v>
      </c>
      <c r="K1940" s="41">
        <f t="shared" ref="K1940:M1940" si="2831">K1934</f>
        <v>30</v>
      </c>
      <c r="L1940" s="41">
        <f t="shared" si="2831"/>
        <v>32</v>
      </c>
      <c r="M1940" s="42">
        <f t="shared" si="2831"/>
        <v>96</v>
      </c>
      <c r="N1940" s="143">
        <f>E1940+I1940+M1940</f>
        <v>280</v>
      </c>
      <c r="P1940" s="36" t="s">
        <v>6</v>
      </c>
      <c r="Q1940" s="41">
        <f>Q1934</f>
        <v>371</v>
      </c>
      <c r="R1940" s="41">
        <f t="shared" ref="R1940:AC1940" si="2832">R1934</f>
        <v>591</v>
      </c>
      <c r="S1940" s="41">
        <f t="shared" si="2832"/>
        <v>469</v>
      </c>
      <c r="T1940" s="42">
        <f t="shared" si="2832"/>
        <v>1431</v>
      </c>
      <c r="U1940" s="41">
        <f t="shared" si="2832"/>
        <v>427</v>
      </c>
      <c r="V1940" s="41">
        <f t="shared" si="2832"/>
        <v>570</v>
      </c>
      <c r="W1940" s="41">
        <f t="shared" si="2832"/>
        <v>465</v>
      </c>
      <c r="X1940" s="42">
        <f t="shared" si="2832"/>
        <v>1462</v>
      </c>
      <c r="Y1940" s="41">
        <f t="shared" si="2832"/>
        <v>386</v>
      </c>
      <c r="Z1940" s="41">
        <f t="shared" si="2832"/>
        <v>492</v>
      </c>
      <c r="AA1940" s="41">
        <f t="shared" si="2832"/>
        <v>458</v>
      </c>
      <c r="AB1940" s="42">
        <f t="shared" si="2832"/>
        <v>1336</v>
      </c>
      <c r="AC1940" s="90">
        <f t="shared" si="2832"/>
        <v>4229</v>
      </c>
    </row>
    <row r="1941" spans="1:30" x14ac:dyDescent="0.15">
      <c r="A1941" s="102" t="s">
        <v>195</v>
      </c>
      <c r="B1941" s="25"/>
      <c r="C1941" s="26">
        <v>1</v>
      </c>
      <c r="D1941" s="26"/>
      <c r="E1941" s="5">
        <f t="shared" ref="E1941:E1976" si="2833">SUM(B1941:D1941)</f>
        <v>1</v>
      </c>
      <c r="F1941" s="25"/>
      <c r="G1941" s="26"/>
      <c r="H1941" s="26">
        <v>1</v>
      </c>
      <c r="I1941" s="5">
        <f t="shared" ref="I1941:I1976" si="2834">SUM(F1941:H1941)</f>
        <v>1</v>
      </c>
      <c r="J1941" s="25"/>
      <c r="K1941" s="26">
        <v>1</v>
      </c>
      <c r="L1941" s="26"/>
      <c r="M1941" s="38">
        <f t="shared" ref="M1941:M1976" si="2835">SUM(J1941:L1941)</f>
        <v>1</v>
      </c>
      <c r="N1941" s="138">
        <f t="shared" ref="N1941:N1977" si="2836">E1941+I1941+M1941</f>
        <v>3</v>
      </c>
      <c r="O1941" s="70">
        <v>46190</v>
      </c>
      <c r="P1941" s="6" t="s">
        <v>3</v>
      </c>
      <c r="Q1941" s="14"/>
      <c r="R1941" s="11"/>
      <c r="S1941" s="11"/>
      <c r="T1941" s="5">
        <f t="shared" ref="T1941:T1950" si="2837">SUM(Q1941:S1941)</f>
        <v>0</v>
      </c>
      <c r="U1941" s="14"/>
      <c r="V1941" s="11"/>
      <c r="W1941" s="11"/>
      <c r="X1941" s="5">
        <f t="shared" ref="X1941:X1950" si="2838">SUM(U1941:W1941)</f>
        <v>0</v>
      </c>
      <c r="Y1941" s="25"/>
      <c r="Z1941" s="26"/>
      <c r="AA1941" s="26"/>
      <c r="AB1941" s="5">
        <f t="shared" ref="AB1941:AB1950" si="2839">SUM(Y1941:AA1941)</f>
        <v>0</v>
      </c>
      <c r="AC1941" s="86">
        <f t="shared" ref="AC1941:AC1950" si="2840">T1941+X1941+AB1941</f>
        <v>0</v>
      </c>
    </row>
    <row r="1942" spans="1:30" x14ac:dyDescent="0.15">
      <c r="A1942" s="102" t="s">
        <v>1914</v>
      </c>
      <c r="B1942" s="14">
        <v>1</v>
      </c>
      <c r="C1942" s="11">
        <v>1</v>
      </c>
      <c r="D1942" s="11"/>
      <c r="E1942" s="5">
        <f t="shared" si="2833"/>
        <v>2</v>
      </c>
      <c r="F1942" s="34"/>
      <c r="G1942" s="11">
        <v>2</v>
      </c>
      <c r="H1942" s="11"/>
      <c r="I1942" s="5">
        <f t="shared" si="2834"/>
        <v>2</v>
      </c>
      <c r="J1942" s="34">
        <v>1</v>
      </c>
      <c r="K1942" s="11">
        <v>2</v>
      </c>
      <c r="L1942" s="11"/>
      <c r="M1942" s="38">
        <f t="shared" si="2835"/>
        <v>3</v>
      </c>
      <c r="N1942" s="138">
        <f t="shared" si="2836"/>
        <v>7</v>
      </c>
      <c r="O1942" s="70">
        <v>46191</v>
      </c>
      <c r="P1942" s="81" t="s">
        <v>3</v>
      </c>
      <c r="Q1942" s="62"/>
      <c r="R1942" s="4"/>
      <c r="S1942" s="4"/>
      <c r="T1942" s="5">
        <f t="shared" si="2837"/>
        <v>0</v>
      </c>
      <c r="U1942" s="62"/>
      <c r="V1942" s="4"/>
      <c r="W1942" s="4"/>
      <c r="X1942" s="5">
        <f t="shared" si="2838"/>
        <v>0</v>
      </c>
      <c r="Y1942" s="280"/>
      <c r="Z1942" s="281"/>
      <c r="AA1942" s="281"/>
      <c r="AB1942" s="5">
        <f t="shared" si="2839"/>
        <v>0</v>
      </c>
      <c r="AC1942" s="91">
        <f t="shared" si="2840"/>
        <v>0</v>
      </c>
    </row>
    <row r="1943" spans="1:30" x14ac:dyDescent="0.15">
      <c r="A1943" s="102" t="s">
        <v>3</v>
      </c>
      <c r="B1943" s="14"/>
      <c r="C1943" s="11"/>
      <c r="D1943" s="11"/>
      <c r="E1943" s="5">
        <f t="shared" si="2833"/>
        <v>0</v>
      </c>
      <c r="F1943" s="34"/>
      <c r="G1943" s="11"/>
      <c r="H1943" s="11"/>
      <c r="I1943" s="5">
        <f t="shared" si="2834"/>
        <v>0</v>
      </c>
      <c r="J1943" s="34"/>
      <c r="K1943" s="11"/>
      <c r="L1943" s="11"/>
      <c r="M1943" s="38">
        <f t="shared" si="2835"/>
        <v>0</v>
      </c>
      <c r="N1943" s="138">
        <f t="shared" si="2836"/>
        <v>0</v>
      </c>
      <c r="P1943" s="81" t="s">
        <v>3</v>
      </c>
      <c r="Q1943" s="62"/>
      <c r="R1943" s="4"/>
      <c r="S1943" s="4"/>
      <c r="T1943" s="5">
        <f t="shared" si="2837"/>
        <v>0</v>
      </c>
      <c r="U1943" s="62"/>
      <c r="V1943" s="4"/>
      <c r="W1943" s="4"/>
      <c r="X1943" s="5">
        <f t="shared" si="2838"/>
        <v>0</v>
      </c>
      <c r="Y1943" s="280"/>
      <c r="Z1943" s="281"/>
      <c r="AA1943" s="281"/>
      <c r="AB1943" s="5">
        <f t="shared" si="2839"/>
        <v>0</v>
      </c>
      <c r="AC1943" s="91">
        <f t="shared" si="2840"/>
        <v>0</v>
      </c>
    </row>
    <row r="1944" spans="1:30" x14ac:dyDescent="0.15">
      <c r="A1944" s="102" t="s">
        <v>3</v>
      </c>
      <c r="B1944" s="14"/>
      <c r="C1944" s="11"/>
      <c r="D1944" s="11"/>
      <c r="E1944" s="5">
        <f t="shared" si="2833"/>
        <v>0</v>
      </c>
      <c r="F1944" s="34"/>
      <c r="G1944" s="11"/>
      <c r="H1944" s="11"/>
      <c r="I1944" s="5">
        <f t="shared" si="2834"/>
        <v>0</v>
      </c>
      <c r="J1944" s="34"/>
      <c r="K1944" s="11"/>
      <c r="L1944" s="11"/>
      <c r="M1944" s="38">
        <f t="shared" si="2835"/>
        <v>0</v>
      </c>
      <c r="N1944" s="138">
        <f t="shared" si="2836"/>
        <v>0</v>
      </c>
      <c r="P1944" s="81" t="s">
        <v>3</v>
      </c>
      <c r="Q1944" s="62"/>
      <c r="R1944" s="4"/>
      <c r="S1944" s="4"/>
      <c r="T1944" s="5">
        <f t="shared" ref="T1944:T1946" si="2841">SUM(Q1944:S1944)</f>
        <v>0</v>
      </c>
      <c r="U1944" s="62"/>
      <c r="V1944" s="4"/>
      <c r="W1944" s="4"/>
      <c r="X1944" s="5">
        <f t="shared" ref="X1944:X1946" si="2842">SUM(U1944:W1944)</f>
        <v>0</v>
      </c>
      <c r="Y1944" s="280"/>
      <c r="Z1944" s="281"/>
      <c r="AA1944" s="281"/>
      <c r="AB1944" s="5">
        <f t="shared" ref="AB1944:AB1946" si="2843">SUM(Y1944:AA1944)</f>
        <v>0</v>
      </c>
      <c r="AC1944" s="91">
        <f t="shared" ref="AC1944:AC1946" si="2844">T1944+X1944+AB1944</f>
        <v>0</v>
      </c>
    </row>
    <row r="1945" spans="1:30" x14ac:dyDescent="0.15">
      <c r="A1945" s="102" t="s">
        <v>3</v>
      </c>
      <c r="B1945" s="14"/>
      <c r="C1945" s="11"/>
      <c r="D1945" s="11"/>
      <c r="E1945" s="5">
        <f t="shared" si="2833"/>
        <v>0</v>
      </c>
      <c r="F1945" s="34"/>
      <c r="G1945" s="11"/>
      <c r="H1945" s="11"/>
      <c r="I1945" s="5">
        <f t="shared" si="2834"/>
        <v>0</v>
      </c>
      <c r="J1945" s="34"/>
      <c r="K1945" s="11"/>
      <c r="L1945" s="11"/>
      <c r="M1945" s="38">
        <f t="shared" si="2835"/>
        <v>0</v>
      </c>
      <c r="N1945" s="138">
        <f t="shared" si="2836"/>
        <v>0</v>
      </c>
      <c r="P1945" s="81" t="s">
        <v>3</v>
      </c>
      <c r="Q1945" s="62"/>
      <c r="R1945" s="4"/>
      <c r="S1945" s="4"/>
      <c r="T1945" s="5">
        <f t="shared" si="2841"/>
        <v>0</v>
      </c>
      <c r="U1945" s="62"/>
      <c r="V1945" s="4"/>
      <c r="W1945" s="4"/>
      <c r="X1945" s="5">
        <f t="shared" si="2842"/>
        <v>0</v>
      </c>
      <c r="Y1945" s="280"/>
      <c r="Z1945" s="281"/>
      <c r="AA1945" s="281"/>
      <c r="AB1945" s="5">
        <f t="shared" si="2843"/>
        <v>0</v>
      </c>
      <c r="AC1945" s="91">
        <f t="shared" si="2844"/>
        <v>0</v>
      </c>
    </row>
    <row r="1946" spans="1:30" x14ac:dyDescent="0.15">
      <c r="A1946" s="102" t="s">
        <v>3</v>
      </c>
      <c r="B1946" s="25"/>
      <c r="C1946" s="26"/>
      <c r="D1946" s="26"/>
      <c r="E1946" s="8">
        <f t="shared" si="2833"/>
        <v>0</v>
      </c>
      <c r="F1946" s="25"/>
      <c r="G1946" s="26"/>
      <c r="H1946" s="26"/>
      <c r="I1946" s="8">
        <f t="shared" si="2834"/>
        <v>0</v>
      </c>
      <c r="J1946" s="25"/>
      <c r="K1946" s="26"/>
      <c r="L1946" s="26"/>
      <c r="M1946" s="39">
        <f t="shared" si="2835"/>
        <v>0</v>
      </c>
      <c r="N1946" s="138">
        <f t="shared" si="2836"/>
        <v>0</v>
      </c>
      <c r="P1946" s="81" t="s">
        <v>3</v>
      </c>
      <c r="Q1946" s="62"/>
      <c r="R1946" s="4"/>
      <c r="S1946" s="4"/>
      <c r="T1946" s="5">
        <f t="shared" si="2841"/>
        <v>0</v>
      </c>
      <c r="U1946" s="62"/>
      <c r="V1946" s="4"/>
      <c r="W1946" s="4"/>
      <c r="X1946" s="5">
        <f t="shared" si="2842"/>
        <v>0</v>
      </c>
      <c r="Y1946" s="280"/>
      <c r="Z1946" s="281"/>
      <c r="AA1946" s="281"/>
      <c r="AB1946" s="5">
        <f t="shared" si="2843"/>
        <v>0</v>
      </c>
      <c r="AC1946" s="91">
        <f t="shared" si="2844"/>
        <v>0</v>
      </c>
    </row>
    <row r="1947" spans="1:30" x14ac:dyDescent="0.15">
      <c r="A1947" s="102" t="s">
        <v>3</v>
      </c>
      <c r="B1947" s="27"/>
      <c r="C1947" s="26"/>
      <c r="D1947" s="26"/>
      <c r="E1947" s="5">
        <f t="shared" si="2833"/>
        <v>0</v>
      </c>
      <c r="F1947" s="25"/>
      <c r="G1947" s="26"/>
      <c r="H1947" s="26"/>
      <c r="I1947" s="5">
        <f t="shared" si="2834"/>
        <v>0</v>
      </c>
      <c r="J1947" s="25"/>
      <c r="K1947" s="26"/>
      <c r="L1947" s="26"/>
      <c r="M1947" s="38">
        <f t="shared" si="2835"/>
        <v>0</v>
      </c>
      <c r="N1947" s="138">
        <f t="shared" si="2836"/>
        <v>0</v>
      </c>
      <c r="P1947" s="81" t="s">
        <v>3</v>
      </c>
      <c r="Q1947" s="62"/>
      <c r="R1947" s="4"/>
      <c r="S1947" s="4"/>
      <c r="T1947" s="5">
        <f t="shared" si="2837"/>
        <v>0</v>
      </c>
      <c r="U1947" s="62"/>
      <c r="V1947" s="4"/>
      <c r="W1947" s="4"/>
      <c r="X1947" s="5">
        <f t="shared" si="2838"/>
        <v>0</v>
      </c>
      <c r="Y1947" s="280"/>
      <c r="Z1947" s="281"/>
      <c r="AA1947" s="281"/>
      <c r="AB1947" s="5">
        <f t="shared" si="2839"/>
        <v>0</v>
      </c>
      <c r="AC1947" s="91">
        <f t="shared" si="2840"/>
        <v>0</v>
      </c>
    </row>
    <row r="1948" spans="1:30" x14ac:dyDescent="0.15">
      <c r="A1948" s="102" t="s">
        <v>3</v>
      </c>
      <c r="B1948" s="27"/>
      <c r="C1948" s="26"/>
      <c r="D1948" s="26"/>
      <c r="E1948" s="5">
        <f t="shared" si="2833"/>
        <v>0</v>
      </c>
      <c r="F1948" s="25"/>
      <c r="G1948" s="26"/>
      <c r="H1948" s="26"/>
      <c r="I1948" s="5">
        <f t="shared" si="2834"/>
        <v>0</v>
      </c>
      <c r="J1948" s="25"/>
      <c r="K1948" s="26"/>
      <c r="L1948" s="26"/>
      <c r="M1948" s="38">
        <f t="shared" si="2835"/>
        <v>0</v>
      </c>
      <c r="N1948" s="138">
        <f t="shared" si="2836"/>
        <v>0</v>
      </c>
      <c r="P1948" s="6" t="s">
        <v>3</v>
      </c>
      <c r="Q1948" s="14"/>
      <c r="R1948" s="11"/>
      <c r="S1948" s="11"/>
      <c r="T1948" s="5">
        <f t="shared" si="2837"/>
        <v>0</v>
      </c>
      <c r="U1948" s="14"/>
      <c r="V1948" s="11"/>
      <c r="W1948" s="11"/>
      <c r="X1948" s="5">
        <f t="shared" si="2838"/>
        <v>0</v>
      </c>
      <c r="Y1948" s="25"/>
      <c r="Z1948" s="26"/>
      <c r="AA1948" s="26"/>
      <c r="AB1948" s="8">
        <f t="shared" si="2839"/>
        <v>0</v>
      </c>
      <c r="AC1948" s="86">
        <f t="shared" si="2840"/>
        <v>0</v>
      </c>
    </row>
    <row r="1949" spans="1:30" x14ac:dyDescent="0.15">
      <c r="A1949" s="102" t="s">
        <v>3</v>
      </c>
      <c r="B1949" s="27"/>
      <c r="C1949" s="26"/>
      <c r="D1949" s="26"/>
      <c r="E1949" s="5">
        <f t="shared" si="2833"/>
        <v>0</v>
      </c>
      <c r="F1949" s="25"/>
      <c r="G1949" s="26"/>
      <c r="H1949" s="26"/>
      <c r="I1949" s="5">
        <f t="shared" si="2834"/>
        <v>0</v>
      </c>
      <c r="J1949" s="25"/>
      <c r="K1949" s="26"/>
      <c r="L1949" s="26"/>
      <c r="M1949" s="38">
        <f t="shared" si="2835"/>
        <v>0</v>
      </c>
      <c r="N1949" s="138">
        <f t="shared" si="2836"/>
        <v>0</v>
      </c>
      <c r="P1949" s="6" t="s">
        <v>3</v>
      </c>
      <c r="Q1949" s="14"/>
      <c r="R1949" s="11"/>
      <c r="S1949" s="11"/>
      <c r="T1949" s="5">
        <f t="shared" si="2837"/>
        <v>0</v>
      </c>
      <c r="U1949" s="14"/>
      <c r="V1949" s="11"/>
      <c r="W1949" s="11"/>
      <c r="X1949" s="5">
        <f t="shared" si="2838"/>
        <v>0</v>
      </c>
      <c r="Y1949" s="25"/>
      <c r="Z1949" s="26"/>
      <c r="AA1949" s="26"/>
      <c r="AB1949" s="8">
        <f t="shared" si="2839"/>
        <v>0</v>
      </c>
      <c r="AC1949" s="86">
        <f t="shared" si="2840"/>
        <v>0</v>
      </c>
    </row>
    <row r="1950" spans="1:30" ht="14.25" thickBot="1" x14ac:dyDescent="0.2">
      <c r="A1950" s="102" t="s">
        <v>3</v>
      </c>
      <c r="B1950" s="28"/>
      <c r="C1950" s="29"/>
      <c r="D1950" s="32"/>
      <c r="E1950" s="15">
        <f t="shared" si="2833"/>
        <v>0</v>
      </c>
      <c r="F1950" s="35"/>
      <c r="G1950" s="29"/>
      <c r="H1950" s="32"/>
      <c r="I1950" s="15">
        <f t="shared" si="2834"/>
        <v>0</v>
      </c>
      <c r="J1950" s="35"/>
      <c r="K1950" s="29"/>
      <c r="L1950" s="32"/>
      <c r="M1950" s="40">
        <f t="shared" si="2835"/>
        <v>0</v>
      </c>
      <c r="N1950" s="139">
        <f t="shared" si="2836"/>
        <v>0</v>
      </c>
      <c r="P1950" s="6" t="s">
        <v>3</v>
      </c>
      <c r="Q1950" s="14"/>
      <c r="R1950" s="11"/>
      <c r="S1950" s="11"/>
      <c r="T1950" s="5">
        <f t="shared" si="2837"/>
        <v>0</v>
      </c>
      <c r="U1950" s="14"/>
      <c r="V1950" s="11"/>
      <c r="W1950" s="11"/>
      <c r="X1950" s="5">
        <f t="shared" si="2838"/>
        <v>0</v>
      </c>
      <c r="Y1950" s="25"/>
      <c r="Z1950" s="26"/>
      <c r="AA1950" s="26"/>
      <c r="AB1950" s="8">
        <f t="shared" si="2839"/>
        <v>0</v>
      </c>
      <c r="AC1950" s="86">
        <f t="shared" si="2840"/>
        <v>0</v>
      </c>
    </row>
    <row r="1951" spans="1:30" ht="14.25" thickBot="1" x14ac:dyDescent="0.2">
      <c r="A1951" s="103" t="s">
        <v>4</v>
      </c>
      <c r="B1951" s="17">
        <f>SUM(B1940:B1950)</f>
        <v>33</v>
      </c>
      <c r="C1951" s="17">
        <f>SUM(C1940:C1950)</f>
        <v>33</v>
      </c>
      <c r="D1951" s="17">
        <f>SUM(D1940:D1950)</f>
        <v>30</v>
      </c>
      <c r="E1951" s="18">
        <f t="shared" si="2833"/>
        <v>96</v>
      </c>
      <c r="F1951" s="17">
        <f>SUM(F1940:F1950)</f>
        <v>32</v>
      </c>
      <c r="G1951" s="17">
        <f>SUM(G1940:G1950)</f>
        <v>34</v>
      </c>
      <c r="H1951" s="17">
        <f>SUM(H1940:H1950)</f>
        <v>28</v>
      </c>
      <c r="I1951" s="18">
        <f t="shared" si="2834"/>
        <v>94</v>
      </c>
      <c r="J1951" s="17">
        <f>SUM(J1940:J1950)</f>
        <v>35</v>
      </c>
      <c r="K1951" s="17">
        <f>SUM(K1940:K1950)</f>
        <v>33</v>
      </c>
      <c r="L1951" s="17">
        <f>SUM(L1940:L1950)</f>
        <v>32</v>
      </c>
      <c r="M1951" s="20">
        <f t="shared" si="2835"/>
        <v>100</v>
      </c>
      <c r="N1951" s="140">
        <f t="shared" si="2836"/>
        <v>290</v>
      </c>
      <c r="P1951" s="16" t="s">
        <v>4</v>
      </c>
      <c r="Q1951" s="17">
        <f>SUM(Q1940:Q1950)</f>
        <v>371</v>
      </c>
      <c r="R1951" s="17">
        <f t="shared" ref="R1951:AC1951" si="2845">SUM(R1940:R1950)</f>
        <v>591</v>
      </c>
      <c r="S1951" s="17">
        <f t="shared" si="2845"/>
        <v>469</v>
      </c>
      <c r="T1951" s="18">
        <f t="shared" si="2845"/>
        <v>1431</v>
      </c>
      <c r="U1951" s="17">
        <f t="shared" si="2845"/>
        <v>427</v>
      </c>
      <c r="V1951" s="17">
        <f t="shared" si="2845"/>
        <v>570</v>
      </c>
      <c r="W1951" s="17">
        <f t="shared" si="2845"/>
        <v>465</v>
      </c>
      <c r="X1951" s="18">
        <f t="shared" si="2845"/>
        <v>1462</v>
      </c>
      <c r="Y1951" s="17">
        <f t="shared" si="2845"/>
        <v>386</v>
      </c>
      <c r="Z1951" s="17">
        <f t="shared" si="2845"/>
        <v>492</v>
      </c>
      <c r="AA1951" s="17">
        <f t="shared" si="2845"/>
        <v>458</v>
      </c>
      <c r="AB1951" s="18">
        <f t="shared" si="2845"/>
        <v>1336</v>
      </c>
      <c r="AC1951" s="88">
        <f t="shared" si="2845"/>
        <v>4229</v>
      </c>
    </row>
    <row r="1952" spans="1:30" x14ac:dyDescent="0.15">
      <c r="A1952" s="4" t="s">
        <v>1896</v>
      </c>
      <c r="B1952" s="9"/>
      <c r="C1952" s="10">
        <v>2</v>
      </c>
      <c r="D1952" s="31">
        <v>5</v>
      </c>
      <c r="E1952" s="5">
        <f t="shared" si="2833"/>
        <v>7</v>
      </c>
      <c r="F1952" s="9"/>
      <c r="G1952" s="10">
        <v>2</v>
      </c>
      <c r="H1952" s="31">
        <v>5</v>
      </c>
      <c r="I1952" s="5">
        <f t="shared" si="2834"/>
        <v>7</v>
      </c>
      <c r="J1952" s="9"/>
      <c r="K1952" s="10">
        <v>2</v>
      </c>
      <c r="L1952" s="31">
        <v>5</v>
      </c>
      <c r="M1952" s="38">
        <f t="shared" si="2835"/>
        <v>7</v>
      </c>
      <c r="N1952" s="141">
        <f t="shared" si="2836"/>
        <v>21</v>
      </c>
      <c r="O1952" s="24">
        <v>46191</v>
      </c>
      <c r="P1952" s="4" t="s">
        <v>1886</v>
      </c>
      <c r="Q1952" s="9">
        <v>35</v>
      </c>
      <c r="R1952" s="10">
        <v>25</v>
      </c>
      <c r="S1952" s="10">
        <v>25</v>
      </c>
      <c r="T1952" s="5">
        <f t="shared" ref="T1952" si="2846">SUM(Q1952:S1952)</f>
        <v>85</v>
      </c>
      <c r="U1952" s="9">
        <v>35</v>
      </c>
      <c r="V1952" s="10">
        <v>25</v>
      </c>
      <c r="W1952" s="10">
        <v>25</v>
      </c>
      <c r="X1952" s="5">
        <f t="shared" ref="X1952" si="2847">SUM(U1952:W1952)</f>
        <v>85</v>
      </c>
      <c r="Y1952" s="9">
        <v>35</v>
      </c>
      <c r="Z1952" s="10">
        <v>25</v>
      </c>
      <c r="AA1952" s="10">
        <v>25</v>
      </c>
      <c r="AB1952" s="5">
        <f t="shared" ref="AB1952" si="2848">SUM(Y1952:AA1952)</f>
        <v>85</v>
      </c>
      <c r="AC1952" s="93">
        <f t="shared" ref="AC1952" si="2849">T1952+X1952+AB1952</f>
        <v>255</v>
      </c>
      <c r="AD1952" s="109">
        <v>46188</v>
      </c>
    </row>
    <row r="1953" spans="1:31" x14ac:dyDescent="0.15">
      <c r="A1953" s="33" t="s">
        <v>36</v>
      </c>
      <c r="B1953" s="9">
        <v>1</v>
      </c>
      <c r="C1953" s="10"/>
      <c r="D1953" s="10"/>
      <c r="E1953" s="5">
        <f t="shared" si="2833"/>
        <v>1</v>
      </c>
      <c r="F1953" s="9">
        <v>1</v>
      </c>
      <c r="G1953" s="10"/>
      <c r="H1953" s="10"/>
      <c r="I1953" s="5">
        <f t="shared" si="2834"/>
        <v>1</v>
      </c>
      <c r="J1953" s="9">
        <v>1</v>
      </c>
      <c r="K1953" s="10"/>
      <c r="L1953" s="10"/>
      <c r="M1953" s="38">
        <f t="shared" si="2835"/>
        <v>1</v>
      </c>
      <c r="N1953" s="138">
        <f t="shared" si="2836"/>
        <v>3</v>
      </c>
      <c r="O1953" s="24">
        <v>46189</v>
      </c>
      <c r="P1953" s="4" t="s">
        <v>1887</v>
      </c>
      <c r="Q1953" s="9"/>
      <c r="R1953" s="10">
        <v>3</v>
      </c>
      <c r="S1953" s="10"/>
      <c r="T1953" s="5">
        <f t="shared" ref="T1953" si="2850">SUM(Q1953:S1953)</f>
        <v>3</v>
      </c>
      <c r="U1953" s="9"/>
      <c r="V1953" s="10">
        <v>3</v>
      </c>
      <c r="W1953" s="10"/>
      <c r="X1953" s="5">
        <f t="shared" ref="X1953" si="2851">SUM(U1953:W1953)</f>
        <v>3</v>
      </c>
      <c r="Y1953" s="9"/>
      <c r="Z1953" s="10">
        <v>3</v>
      </c>
      <c r="AA1953" s="10"/>
      <c r="AB1953" s="5">
        <f t="shared" ref="AB1953" si="2852">SUM(Y1953:AA1953)</f>
        <v>3</v>
      </c>
      <c r="AC1953" s="93">
        <f t="shared" ref="AC1953" si="2853">T1953+X1953+AB1953</f>
        <v>9</v>
      </c>
      <c r="AD1953" s="109">
        <v>46189</v>
      </c>
    </row>
    <row r="1954" spans="1:31" x14ac:dyDescent="0.15">
      <c r="A1954" s="33" t="s">
        <v>1898</v>
      </c>
      <c r="B1954" s="9"/>
      <c r="C1954" s="10"/>
      <c r="D1954" s="10"/>
      <c r="E1954" s="5">
        <f t="shared" si="2833"/>
        <v>0</v>
      </c>
      <c r="F1954" s="9"/>
      <c r="G1954" s="10"/>
      <c r="H1954" s="10"/>
      <c r="I1954" s="5">
        <f t="shared" si="2834"/>
        <v>0</v>
      </c>
      <c r="J1954" s="9">
        <v>1</v>
      </c>
      <c r="K1954" s="10"/>
      <c r="L1954" s="10"/>
      <c r="M1954" s="38">
        <f t="shared" si="2835"/>
        <v>1</v>
      </c>
      <c r="N1954" s="138">
        <f t="shared" si="2836"/>
        <v>1</v>
      </c>
      <c r="O1954" s="24">
        <v>46190</v>
      </c>
      <c r="P1954" s="4" t="s">
        <v>1890</v>
      </c>
      <c r="Q1954" s="9"/>
      <c r="R1954" s="10">
        <v>10</v>
      </c>
      <c r="S1954" s="10">
        <v>4</v>
      </c>
      <c r="T1954" s="5">
        <f t="shared" ref="T1954:T1963" si="2854">SUM(Q1954:S1954)</f>
        <v>14</v>
      </c>
      <c r="U1954" s="9"/>
      <c r="V1954" s="10">
        <v>10</v>
      </c>
      <c r="W1954" s="10">
        <v>4</v>
      </c>
      <c r="X1954" s="5">
        <f t="shared" ref="X1954:X1963" si="2855">SUM(U1954:W1954)</f>
        <v>14</v>
      </c>
      <c r="Y1954" s="9"/>
      <c r="Z1954" s="10">
        <v>10</v>
      </c>
      <c r="AA1954" s="10">
        <v>4</v>
      </c>
      <c r="AB1954" s="5">
        <f t="shared" ref="AB1954:AB1963" si="2856">SUM(Y1954:AA1954)</f>
        <v>14</v>
      </c>
      <c r="AC1954" s="93">
        <f t="shared" ref="AC1954:AC1963" si="2857">T1954+X1954+AB1954</f>
        <v>42</v>
      </c>
      <c r="AD1954" s="109">
        <v>46188</v>
      </c>
    </row>
    <row r="1955" spans="1:31" x14ac:dyDescent="0.15">
      <c r="A1955" s="33" t="s">
        <v>1899</v>
      </c>
      <c r="B1955" s="9"/>
      <c r="C1955" s="10"/>
      <c r="D1955" s="10"/>
      <c r="E1955" s="5">
        <f t="shared" si="2833"/>
        <v>0</v>
      </c>
      <c r="F1955" s="9">
        <v>1</v>
      </c>
      <c r="G1955" s="10"/>
      <c r="H1955" s="10"/>
      <c r="I1955" s="5">
        <f t="shared" si="2834"/>
        <v>1</v>
      </c>
      <c r="J1955" s="9">
        <v>1</v>
      </c>
      <c r="K1955" s="10"/>
      <c r="L1955" s="10"/>
      <c r="M1955" s="38">
        <f t="shared" si="2835"/>
        <v>1</v>
      </c>
      <c r="N1955" s="138">
        <f t="shared" si="2836"/>
        <v>2</v>
      </c>
      <c r="O1955" s="24">
        <v>46190</v>
      </c>
      <c r="P1955" s="4" t="s">
        <v>1892</v>
      </c>
      <c r="Q1955" s="9"/>
      <c r="R1955" s="10">
        <v>10</v>
      </c>
      <c r="S1955" s="10">
        <v>15</v>
      </c>
      <c r="T1955" s="5">
        <f t="shared" si="2854"/>
        <v>25</v>
      </c>
      <c r="U1955" s="9"/>
      <c r="V1955" s="10">
        <v>10</v>
      </c>
      <c r="W1955" s="10">
        <v>15</v>
      </c>
      <c r="X1955" s="5">
        <f t="shared" si="2855"/>
        <v>25</v>
      </c>
      <c r="Y1955" s="9"/>
      <c r="Z1955" s="10">
        <v>10</v>
      </c>
      <c r="AA1955" s="10">
        <v>15</v>
      </c>
      <c r="AB1955" s="5">
        <f t="shared" si="2856"/>
        <v>25</v>
      </c>
      <c r="AC1955" s="93">
        <f t="shared" si="2857"/>
        <v>75</v>
      </c>
      <c r="AD1955" s="109">
        <v>46191</v>
      </c>
    </row>
    <row r="1956" spans="1:31" x14ac:dyDescent="0.15">
      <c r="A1956" s="33" t="s">
        <v>1893</v>
      </c>
      <c r="B1956" s="9">
        <v>3</v>
      </c>
      <c r="C1956" s="10">
        <v>2</v>
      </c>
      <c r="D1956" s="10">
        <v>4</v>
      </c>
      <c r="E1956" s="5">
        <f t="shared" si="2833"/>
        <v>9</v>
      </c>
      <c r="F1956" s="9">
        <v>3</v>
      </c>
      <c r="G1956" s="10">
        <v>2</v>
      </c>
      <c r="H1956" s="10">
        <v>4</v>
      </c>
      <c r="I1956" s="5">
        <f t="shared" si="2834"/>
        <v>9</v>
      </c>
      <c r="J1956" s="9">
        <v>3</v>
      </c>
      <c r="K1956" s="10">
        <v>2</v>
      </c>
      <c r="L1956" s="10">
        <v>4</v>
      </c>
      <c r="M1956" s="38">
        <f t="shared" si="2835"/>
        <v>9</v>
      </c>
      <c r="N1956" s="138">
        <f t="shared" si="2836"/>
        <v>27</v>
      </c>
      <c r="O1956" s="24">
        <v>46192</v>
      </c>
      <c r="P1956" s="4" t="s">
        <v>1895</v>
      </c>
      <c r="Q1956" s="9">
        <v>20</v>
      </c>
      <c r="R1956" s="10">
        <v>110</v>
      </c>
      <c r="S1956" s="10">
        <v>20</v>
      </c>
      <c r="T1956" s="5">
        <f t="shared" si="2854"/>
        <v>150</v>
      </c>
      <c r="U1956" s="9">
        <v>20</v>
      </c>
      <c r="V1956" s="10">
        <v>110</v>
      </c>
      <c r="W1956" s="10">
        <v>20</v>
      </c>
      <c r="X1956" s="5">
        <f t="shared" si="2855"/>
        <v>150</v>
      </c>
      <c r="Y1956" s="9">
        <v>20</v>
      </c>
      <c r="Z1956" s="10">
        <v>110</v>
      </c>
      <c r="AA1956" s="10">
        <v>20</v>
      </c>
      <c r="AB1956" s="5">
        <f t="shared" si="2856"/>
        <v>150</v>
      </c>
      <c r="AC1956" s="93">
        <f t="shared" si="2857"/>
        <v>450</v>
      </c>
      <c r="AD1956" s="109">
        <v>46190</v>
      </c>
    </row>
    <row r="1957" spans="1:31" x14ac:dyDescent="0.15">
      <c r="A1957" s="33" t="s">
        <v>36</v>
      </c>
      <c r="B1957" s="9"/>
      <c r="C1957" s="10">
        <v>1</v>
      </c>
      <c r="D1957" s="10"/>
      <c r="E1957" s="8">
        <f t="shared" si="2833"/>
        <v>1</v>
      </c>
      <c r="F1957" s="9">
        <v>1</v>
      </c>
      <c r="G1957" s="10"/>
      <c r="H1957" s="10"/>
      <c r="I1957" s="8">
        <f t="shared" si="2834"/>
        <v>1</v>
      </c>
      <c r="J1957" s="9"/>
      <c r="K1957" s="10"/>
      <c r="L1957" s="10"/>
      <c r="M1957" s="39">
        <f t="shared" si="2835"/>
        <v>0</v>
      </c>
      <c r="N1957" s="138">
        <f t="shared" si="2836"/>
        <v>2</v>
      </c>
      <c r="O1957" s="70">
        <v>46190</v>
      </c>
      <c r="P1957" s="37" t="s">
        <v>1897</v>
      </c>
      <c r="Q1957" s="51"/>
      <c r="R1957" s="52">
        <v>30</v>
      </c>
      <c r="S1957" s="52"/>
      <c r="T1957" s="50">
        <f t="shared" si="2854"/>
        <v>30</v>
      </c>
      <c r="U1957" s="51"/>
      <c r="V1957" s="52">
        <v>30</v>
      </c>
      <c r="W1957" s="52"/>
      <c r="X1957" s="50">
        <f t="shared" si="2855"/>
        <v>30</v>
      </c>
      <c r="Y1957" s="51"/>
      <c r="Z1957" s="52">
        <v>30</v>
      </c>
      <c r="AA1957" s="52"/>
      <c r="AB1957" s="50">
        <f t="shared" si="2856"/>
        <v>30</v>
      </c>
      <c r="AC1957" s="149">
        <f t="shared" si="2857"/>
        <v>90</v>
      </c>
      <c r="AD1957" s="113">
        <v>46195</v>
      </c>
    </row>
    <row r="1958" spans="1:31" x14ac:dyDescent="0.15">
      <c r="A1958" s="333" t="s">
        <v>1912</v>
      </c>
      <c r="B1958" s="51"/>
      <c r="C1958" s="52">
        <v>2</v>
      </c>
      <c r="D1958" s="52">
        <v>1</v>
      </c>
      <c r="E1958" s="50">
        <f t="shared" si="2833"/>
        <v>3</v>
      </c>
      <c r="F1958" s="51"/>
      <c r="G1958" s="52">
        <v>2</v>
      </c>
      <c r="H1958" s="52">
        <v>1</v>
      </c>
      <c r="I1958" s="50">
        <f t="shared" si="2834"/>
        <v>3</v>
      </c>
      <c r="J1958" s="51"/>
      <c r="K1958" s="52">
        <v>2</v>
      </c>
      <c r="L1958" s="52">
        <v>1</v>
      </c>
      <c r="M1958" s="334">
        <f t="shared" si="2835"/>
        <v>3</v>
      </c>
      <c r="N1958" s="143">
        <f t="shared" si="2836"/>
        <v>9</v>
      </c>
      <c r="O1958" s="335">
        <v>46192</v>
      </c>
      <c r="P1958" s="160" t="s">
        <v>1319</v>
      </c>
      <c r="Q1958" s="166">
        <v>15</v>
      </c>
      <c r="R1958" s="167">
        <v>20</v>
      </c>
      <c r="S1958" s="167">
        <v>15</v>
      </c>
      <c r="T1958" s="168">
        <f t="shared" si="2854"/>
        <v>50</v>
      </c>
      <c r="U1958" s="166">
        <v>15</v>
      </c>
      <c r="V1958" s="167">
        <v>20</v>
      </c>
      <c r="W1958" s="167">
        <v>10</v>
      </c>
      <c r="X1958" s="168">
        <f t="shared" si="2855"/>
        <v>45</v>
      </c>
      <c r="Y1958" s="166">
        <v>20</v>
      </c>
      <c r="Z1958" s="167">
        <v>20</v>
      </c>
      <c r="AA1958" s="167">
        <v>15</v>
      </c>
      <c r="AB1958" s="168">
        <f t="shared" si="2856"/>
        <v>55</v>
      </c>
      <c r="AC1958" s="169">
        <f t="shared" si="2857"/>
        <v>150</v>
      </c>
      <c r="AD1958" s="170">
        <v>46190</v>
      </c>
    </row>
    <row r="1959" spans="1:31" x14ac:dyDescent="0.15">
      <c r="A1959" s="33"/>
      <c r="B1959" s="9"/>
      <c r="C1959" s="10"/>
      <c r="D1959" s="10"/>
      <c r="E1959" s="8">
        <f t="shared" si="2833"/>
        <v>0</v>
      </c>
      <c r="F1959" s="9"/>
      <c r="G1959" s="10"/>
      <c r="H1959" s="10"/>
      <c r="I1959" s="8">
        <f t="shared" si="2834"/>
        <v>0</v>
      </c>
      <c r="J1959" s="9"/>
      <c r="K1959" s="10"/>
      <c r="L1959" s="10"/>
      <c r="M1959" s="39">
        <f t="shared" si="2835"/>
        <v>0</v>
      </c>
      <c r="N1959" s="138">
        <f t="shared" si="2836"/>
        <v>0</v>
      </c>
      <c r="P1959" s="4" t="s">
        <v>1906</v>
      </c>
      <c r="Q1959" s="9"/>
      <c r="R1959" s="10"/>
      <c r="S1959" s="10"/>
      <c r="T1959" s="8">
        <f t="shared" si="2854"/>
        <v>0</v>
      </c>
      <c r="U1959" s="9">
        <v>15</v>
      </c>
      <c r="V1959" s="10">
        <v>25</v>
      </c>
      <c r="W1959" s="10">
        <v>10</v>
      </c>
      <c r="X1959" s="8">
        <f t="shared" si="2855"/>
        <v>50</v>
      </c>
      <c r="Y1959" s="9">
        <v>30</v>
      </c>
      <c r="Z1959" s="10">
        <v>30</v>
      </c>
      <c r="AA1959" s="10"/>
      <c r="AB1959" s="8">
        <f t="shared" si="2856"/>
        <v>60</v>
      </c>
      <c r="AC1959" s="93">
        <f t="shared" si="2857"/>
        <v>110</v>
      </c>
      <c r="AD1959" s="109">
        <v>46191</v>
      </c>
      <c r="AE1959" s="58"/>
    </row>
    <row r="1960" spans="1:31" x14ac:dyDescent="0.15">
      <c r="A1960" s="33"/>
      <c r="B1960" s="9"/>
      <c r="C1960" s="10"/>
      <c r="D1960" s="10"/>
      <c r="E1960" s="8">
        <f t="shared" si="2833"/>
        <v>0</v>
      </c>
      <c r="F1960" s="9"/>
      <c r="G1960" s="10"/>
      <c r="H1960" s="10"/>
      <c r="I1960" s="8">
        <f t="shared" si="2834"/>
        <v>0</v>
      </c>
      <c r="J1960" s="9"/>
      <c r="K1960" s="10"/>
      <c r="L1960" s="10"/>
      <c r="M1960" s="39">
        <f t="shared" si="2835"/>
        <v>0</v>
      </c>
      <c r="N1960" s="138">
        <f t="shared" si="2836"/>
        <v>0</v>
      </c>
      <c r="P1960" s="37" t="s">
        <v>1913</v>
      </c>
      <c r="Q1960" s="51">
        <v>20</v>
      </c>
      <c r="R1960" s="52">
        <v>10</v>
      </c>
      <c r="S1960" s="52"/>
      <c r="T1960" s="50">
        <f t="shared" si="2854"/>
        <v>30</v>
      </c>
      <c r="U1960" s="51"/>
      <c r="V1960" s="52"/>
      <c r="W1960" s="52">
        <v>15</v>
      </c>
      <c r="X1960" s="50">
        <f t="shared" si="2855"/>
        <v>15</v>
      </c>
      <c r="Y1960" s="51"/>
      <c r="Z1960" s="52"/>
      <c r="AA1960" s="52">
        <v>10</v>
      </c>
      <c r="AB1960" s="50">
        <f t="shared" si="2856"/>
        <v>10</v>
      </c>
      <c r="AC1960" s="149">
        <f t="shared" si="2857"/>
        <v>55</v>
      </c>
      <c r="AD1960" s="113">
        <v>46193</v>
      </c>
      <c r="AE1960" s="58"/>
    </row>
    <row r="1961" spans="1:31" x14ac:dyDescent="0.15">
      <c r="A1961" s="33"/>
      <c r="B1961" s="9"/>
      <c r="C1961" s="10"/>
      <c r="D1961" s="10"/>
      <c r="E1961" s="8">
        <f t="shared" si="2833"/>
        <v>0</v>
      </c>
      <c r="F1961" s="9"/>
      <c r="G1961" s="10"/>
      <c r="H1961" s="10"/>
      <c r="I1961" s="8">
        <f t="shared" si="2834"/>
        <v>0</v>
      </c>
      <c r="J1961" s="9"/>
      <c r="K1961" s="10"/>
      <c r="L1961" s="10"/>
      <c r="M1961" s="39">
        <f t="shared" si="2835"/>
        <v>0</v>
      </c>
      <c r="N1961" s="138">
        <f t="shared" si="2836"/>
        <v>0</v>
      </c>
      <c r="P1961" s="4"/>
      <c r="Q1961" s="9"/>
      <c r="R1961" s="10"/>
      <c r="S1961" s="10"/>
      <c r="T1961" s="8">
        <f t="shared" si="2854"/>
        <v>0</v>
      </c>
      <c r="U1961" s="9"/>
      <c r="V1961" s="10"/>
      <c r="W1961" s="10"/>
      <c r="X1961" s="8">
        <f t="shared" si="2855"/>
        <v>0</v>
      </c>
      <c r="Y1961" s="9"/>
      <c r="Z1961" s="10"/>
      <c r="AA1961" s="10"/>
      <c r="AB1961" s="8">
        <f t="shared" si="2856"/>
        <v>0</v>
      </c>
      <c r="AC1961" s="93">
        <f t="shared" si="2857"/>
        <v>0</v>
      </c>
    </row>
    <row r="1962" spans="1:31" x14ac:dyDescent="0.15">
      <c r="A1962" s="33"/>
      <c r="B1962" s="9"/>
      <c r="C1962" s="10"/>
      <c r="D1962" s="10"/>
      <c r="E1962" s="8">
        <f t="shared" si="2833"/>
        <v>0</v>
      </c>
      <c r="F1962" s="9"/>
      <c r="G1962" s="10"/>
      <c r="H1962" s="10"/>
      <c r="I1962" s="8">
        <f t="shared" si="2834"/>
        <v>0</v>
      </c>
      <c r="J1962" s="9"/>
      <c r="K1962" s="10"/>
      <c r="L1962" s="10"/>
      <c r="M1962" s="39">
        <f t="shared" si="2835"/>
        <v>0</v>
      </c>
      <c r="N1962" s="138">
        <f t="shared" si="2836"/>
        <v>0</v>
      </c>
      <c r="P1962" s="4"/>
      <c r="Q1962" s="9"/>
      <c r="R1962" s="10"/>
      <c r="S1962" s="10"/>
      <c r="T1962" s="8">
        <f t="shared" si="2854"/>
        <v>0</v>
      </c>
      <c r="U1962" s="9"/>
      <c r="V1962" s="10"/>
      <c r="W1962" s="10"/>
      <c r="X1962" s="8">
        <f t="shared" si="2855"/>
        <v>0</v>
      </c>
      <c r="Y1962" s="9"/>
      <c r="Z1962" s="10"/>
      <c r="AA1962" s="10"/>
      <c r="AB1962" s="8">
        <f t="shared" si="2856"/>
        <v>0</v>
      </c>
      <c r="AC1962" s="93">
        <f t="shared" si="2857"/>
        <v>0</v>
      </c>
    </row>
    <row r="1963" spans="1:31" x14ac:dyDescent="0.15">
      <c r="A1963" s="33"/>
      <c r="B1963" s="9"/>
      <c r="C1963" s="10"/>
      <c r="D1963" s="10"/>
      <c r="E1963" s="8">
        <f t="shared" si="2833"/>
        <v>0</v>
      </c>
      <c r="F1963" s="9"/>
      <c r="G1963" s="10"/>
      <c r="H1963" s="10"/>
      <c r="I1963" s="8">
        <f t="shared" si="2834"/>
        <v>0</v>
      </c>
      <c r="J1963" s="9"/>
      <c r="K1963" s="10"/>
      <c r="L1963" s="10"/>
      <c r="M1963" s="39">
        <f t="shared" si="2835"/>
        <v>0</v>
      </c>
      <c r="N1963" s="138">
        <f t="shared" si="2836"/>
        <v>0</v>
      </c>
      <c r="P1963" s="4"/>
      <c r="Q1963" s="9"/>
      <c r="R1963" s="10"/>
      <c r="S1963" s="10"/>
      <c r="T1963" s="8">
        <f t="shared" si="2854"/>
        <v>0</v>
      </c>
      <c r="U1963" s="9"/>
      <c r="V1963" s="10"/>
      <c r="W1963" s="10"/>
      <c r="X1963" s="8">
        <f t="shared" si="2855"/>
        <v>0</v>
      </c>
      <c r="Y1963" s="9"/>
      <c r="Z1963" s="10"/>
      <c r="AA1963" s="10"/>
      <c r="AB1963" s="8">
        <f t="shared" si="2856"/>
        <v>0</v>
      </c>
      <c r="AC1963" s="93">
        <f t="shared" si="2857"/>
        <v>0</v>
      </c>
    </row>
    <row r="1964" spans="1:31" x14ac:dyDescent="0.15">
      <c r="A1964" s="33"/>
      <c r="B1964" s="9"/>
      <c r="C1964" s="10"/>
      <c r="D1964" s="10"/>
      <c r="E1964" s="8">
        <f t="shared" si="2833"/>
        <v>0</v>
      </c>
      <c r="F1964" s="9"/>
      <c r="G1964" s="10"/>
      <c r="H1964" s="10"/>
      <c r="I1964" s="8">
        <f t="shared" si="2834"/>
        <v>0</v>
      </c>
      <c r="J1964" s="9"/>
      <c r="K1964" s="10"/>
      <c r="L1964" s="10"/>
      <c r="M1964" s="39">
        <f t="shared" si="2835"/>
        <v>0</v>
      </c>
      <c r="N1964" s="138">
        <f t="shared" si="2836"/>
        <v>0</v>
      </c>
      <c r="P1964" s="4"/>
      <c r="Q1964" s="9"/>
      <c r="R1964" s="10"/>
      <c r="S1964" s="10"/>
      <c r="T1964" s="8">
        <f t="shared" ref="T1964" si="2858">SUM(Q1964:S1964)</f>
        <v>0</v>
      </c>
      <c r="U1964" s="9"/>
      <c r="V1964" s="10"/>
      <c r="W1964" s="10"/>
      <c r="X1964" s="8">
        <f t="shared" ref="X1964" si="2859">SUM(U1964:W1964)</f>
        <v>0</v>
      </c>
      <c r="Y1964" s="9"/>
      <c r="Z1964" s="10"/>
      <c r="AA1964" s="10"/>
      <c r="AB1964" s="8">
        <f t="shared" ref="AB1964" si="2860">SUM(Y1964:AA1964)</f>
        <v>0</v>
      </c>
      <c r="AC1964" s="93">
        <f t="shared" ref="AC1964" si="2861">T1964+X1964+AB1964</f>
        <v>0</v>
      </c>
    </row>
    <row r="1965" spans="1:31" x14ac:dyDescent="0.15">
      <c r="A1965" s="33"/>
      <c r="B1965" s="9"/>
      <c r="C1965" s="10"/>
      <c r="D1965" s="10"/>
      <c r="E1965" s="8">
        <f t="shared" si="2833"/>
        <v>0</v>
      </c>
      <c r="F1965" s="9"/>
      <c r="G1965" s="10"/>
      <c r="H1965" s="10"/>
      <c r="I1965" s="8">
        <f t="shared" si="2834"/>
        <v>0</v>
      </c>
      <c r="J1965" s="9"/>
      <c r="K1965" s="10"/>
      <c r="L1965" s="10"/>
      <c r="M1965" s="39">
        <f t="shared" si="2835"/>
        <v>0</v>
      </c>
      <c r="N1965" s="138">
        <f t="shared" si="2836"/>
        <v>0</v>
      </c>
      <c r="P1965" s="4"/>
      <c r="Q1965" s="9"/>
      <c r="R1965" s="10"/>
      <c r="S1965" s="10"/>
      <c r="T1965" s="8">
        <f t="shared" ref="T1965:T1967" si="2862">SUM(Q1965:S1965)</f>
        <v>0</v>
      </c>
      <c r="U1965" s="9"/>
      <c r="V1965" s="10"/>
      <c r="W1965" s="10"/>
      <c r="X1965" s="8">
        <f t="shared" ref="X1965:X1967" si="2863">SUM(U1965:W1965)</f>
        <v>0</v>
      </c>
      <c r="Y1965" s="9"/>
      <c r="Z1965" s="10"/>
      <c r="AA1965" s="10"/>
      <c r="AB1965" s="8">
        <f t="shared" ref="AB1965:AB1967" si="2864">SUM(Y1965:AA1965)</f>
        <v>0</v>
      </c>
      <c r="AC1965" s="93">
        <f t="shared" ref="AC1965:AC1967" si="2865">T1965+X1965+AB1965</f>
        <v>0</v>
      </c>
    </row>
    <row r="1966" spans="1:31" x14ac:dyDescent="0.15">
      <c r="A1966" s="33"/>
      <c r="B1966" s="9"/>
      <c r="C1966" s="10"/>
      <c r="D1966" s="10"/>
      <c r="E1966" s="8">
        <f t="shared" si="2833"/>
        <v>0</v>
      </c>
      <c r="F1966" s="9"/>
      <c r="G1966" s="10"/>
      <c r="H1966" s="10"/>
      <c r="I1966" s="8">
        <f t="shared" si="2834"/>
        <v>0</v>
      </c>
      <c r="J1966" s="9"/>
      <c r="K1966" s="10"/>
      <c r="L1966" s="10"/>
      <c r="M1966" s="39">
        <f t="shared" si="2835"/>
        <v>0</v>
      </c>
      <c r="N1966" s="138">
        <f t="shared" si="2836"/>
        <v>0</v>
      </c>
      <c r="P1966" s="126" t="s">
        <v>1698</v>
      </c>
      <c r="Q1966" s="68">
        <v>0</v>
      </c>
      <c r="R1966" s="69">
        <v>0</v>
      </c>
      <c r="S1966" s="69">
        <v>0</v>
      </c>
      <c r="T1966" s="67">
        <f t="shared" si="2862"/>
        <v>0</v>
      </c>
      <c r="U1966" s="68">
        <v>0</v>
      </c>
      <c r="V1966" s="69">
        <v>0</v>
      </c>
      <c r="W1966" s="69">
        <v>0</v>
      </c>
      <c r="X1966" s="67">
        <f t="shared" si="2863"/>
        <v>0</v>
      </c>
      <c r="Y1966" s="68">
        <v>0</v>
      </c>
      <c r="Z1966" s="69">
        <v>0</v>
      </c>
      <c r="AA1966" s="69">
        <v>0</v>
      </c>
      <c r="AB1966" s="67">
        <f t="shared" si="2864"/>
        <v>0</v>
      </c>
      <c r="AC1966" s="135">
        <f t="shared" si="2865"/>
        <v>0</v>
      </c>
    </row>
    <row r="1967" spans="1:31" x14ac:dyDescent="0.15">
      <c r="A1967" s="63"/>
      <c r="B1967" s="9"/>
      <c r="C1967" s="10"/>
      <c r="D1967" s="10"/>
      <c r="E1967" s="8">
        <f t="shared" si="2833"/>
        <v>0</v>
      </c>
      <c r="F1967" s="9"/>
      <c r="G1967" s="10"/>
      <c r="H1967" s="10"/>
      <c r="I1967" s="8">
        <f t="shared" si="2834"/>
        <v>0</v>
      </c>
      <c r="J1967" s="9"/>
      <c r="K1967" s="10"/>
      <c r="L1967" s="10"/>
      <c r="M1967" s="39">
        <f t="shared" si="2835"/>
        <v>0</v>
      </c>
      <c r="N1967" s="138">
        <f t="shared" si="2836"/>
        <v>0</v>
      </c>
      <c r="P1967" s="37" t="s">
        <v>1697</v>
      </c>
      <c r="Q1967" s="51">
        <f>20-4</f>
        <v>16</v>
      </c>
      <c r="R1967" s="52">
        <f>40-8-3-2</f>
        <v>27</v>
      </c>
      <c r="S1967" s="52">
        <f>20-4-5</f>
        <v>11</v>
      </c>
      <c r="T1967" s="50">
        <f t="shared" si="2862"/>
        <v>54</v>
      </c>
      <c r="U1967" s="51">
        <f>20-4</f>
        <v>16</v>
      </c>
      <c r="V1967" s="52">
        <f>40-8-3-2</f>
        <v>27</v>
      </c>
      <c r="W1967" s="52">
        <f>20-4-5</f>
        <v>11</v>
      </c>
      <c r="X1967" s="50">
        <f t="shared" si="2863"/>
        <v>54</v>
      </c>
      <c r="Y1967" s="51">
        <f>20-4</f>
        <v>16</v>
      </c>
      <c r="Z1967" s="52">
        <f>40-8-3-2</f>
        <v>27</v>
      </c>
      <c r="AA1967" s="52">
        <f>20-4-5</f>
        <v>11</v>
      </c>
      <c r="AB1967" s="50">
        <f t="shared" si="2864"/>
        <v>54</v>
      </c>
      <c r="AC1967" s="149">
        <f t="shared" si="2865"/>
        <v>162</v>
      </c>
      <c r="AD1967" s="123" t="s">
        <v>1880</v>
      </c>
    </row>
    <row r="1968" spans="1:31" x14ac:dyDescent="0.15">
      <c r="A1968" s="33"/>
      <c r="B1968" s="9"/>
      <c r="C1968" s="10"/>
      <c r="D1968" s="10"/>
      <c r="E1968" s="8">
        <f t="shared" si="2833"/>
        <v>0</v>
      </c>
      <c r="F1968" s="9"/>
      <c r="G1968" s="10"/>
      <c r="H1968" s="10"/>
      <c r="I1968" s="8">
        <f t="shared" si="2834"/>
        <v>0</v>
      </c>
      <c r="J1968" s="9"/>
      <c r="K1968" s="10"/>
      <c r="L1968" s="10"/>
      <c r="M1968" s="39">
        <f t="shared" si="2835"/>
        <v>0</v>
      </c>
      <c r="N1968" s="138">
        <f t="shared" si="2836"/>
        <v>0</v>
      </c>
      <c r="P1968" s="126" t="s">
        <v>1437</v>
      </c>
      <c r="Q1968" s="68">
        <v>0</v>
      </c>
      <c r="R1968" s="69">
        <v>0</v>
      </c>
      <c r="S1968" s="69">
        <v>0</v>
      </c>
      <c r="T1968" s="67">
        <f t="shared" ref="T1968:T1969" si="2866">SUM(Q1968:S1968)</f>
        <v>0</v>
      </c>
      <c r="U1968" s="68">
        <v>0</v>
      </c>
      <c r="V1968" s="69">
        <v>0</v>
      </c>
      <c r="W1968" s="69">
        <v>0</v>
      </c>
      <c r="X1968" s="67">
        <f t="shared" ref="X1968:X1969" si="2867">SUM(U1968:W1968)</f>
        <v>0</v>
      </c>
      <c r="Y1968" s="68">
        <v>0</v>
      </c>
      <c r="Z1968" s="69">
        <v>0</v>
      </c>
      <c r="AA1968" s="69">
        <v>0</v>
      </c>
      <c r="AB1968" s="67">
        <f t="shared" ref="AB1968:AB1969" si="2868">SUM(Y1968:AA1968)</f>
        <v>0</v>
      </c>
      <c r="AC1968" s="135">
        <f t="shared" ref="AC1968:AC1969" si="2869">T1968+X1968+AB1968</f>
        <v>0</v>
      </c>
      <c r="AD1968" s="123"/>
    </row>
    <row r="1969" spans="1:30" x14ac:dyDescent="0.15">
      <c r="A1969" s="33"/>
      <c r="B1969" s="9"/>
      <c r="C1969" s="10"/>
      <c r="D1969" s="10"/>
      <c r="E1969" s="8">
        <f t="shared" si="2833"/>
        <v>0</v>
      </c>
      <c r="F1969" s="9"/>
      <c r="G1969" s="10"/>
      <c r="H1969" s="10"/>
      <c r="I1969" s="8">
        <f t="shared" si="2834"/>
        <v>0</v>
      </c>
      <c r="J1969" s="9"/>
      <c r="K1969" s="10"/>
      <c r="L1969" s="10"/>
      <c r="M1969" s="39">
        <f t="shared" si="2835"/>
        <v>0</v>
      </c>
      <c r="N1969" s="138">
        <f t="shared" si="2836"/>
        <v>0</v>
      </c>
      <c r="P1969" s="37" t="s">
        <v>1436</v>
      </c>
      <c r="Q1969" s="51">
        <f>12-7</f>
        <v>5</v>
      </c>
      <c r="R1969" s="52">
        <f>19-11</f>
        <v>8</v>
      </c>
      <c r="S1969" s="52">
        <f>19-2-11</f>
        <v>6</v>
      </c>
      <c r="T1969" s="50">
        <f t="shared" si="2866"/>
        <v>19</v>
      </c>
      <c r="U1969" s="51">
        <f>12-7</f>
        <v>5</v>
      </c>
      <c r="V1969" s="52">
        <f>19-11</f>
        <v>8</v>
      </c>
      <c r="W1969" s="52">
        <f>19-2-11</f>
        <v>6</v>
      </c>
      <c r="X1969" s="50">
        <f t="shared" si="2867"/>
        <v>19</v>
      </c>
      <c r="Y1969" s="51">
        <f>12-7</f>
        <v>5</v>
      </c>
      <c r="Z1969" s="52">
        <f>19-11</f>
        <v>8</v>
      </c>
      <c r="AA1969" s="52">
        <f>19-2-11</f>
        <v>6</v>
      </c>
      <c r="AB1969" s="50">
        <f t="shared" si="2868"/>
        <v>19</v>
      </c>
      <c r="AC1969" s="149">
        <f t="shared" si="2869"/>
        <v>57</v>
      </c>
      <c r="AD1969" s="123" t="s">
        <v>1531</v>
      </c>
    </row>
    <row r="1970" spans="1:30" x14ac:dyDescent="0.15">
      <c r="A1970" s="33"/>
      <c r="B1970" s="9"/>
      <c r="C1970" s="10"/>
      <c r="D1970" s="10"/>
      <c r="E1970" s="8">
        <f t="shared" si="2833"/>
        <v>0</v>
      </c>
      <c r="F1970" s="9"/>
      <c r="G1970" s="10"/>
      <c r="H1970" s="10"/>
      <c r="I1970" s="8">
        <f t="shared" si="2834"/>
        <v>0</v>
      </c>
      <c r="J1970" s="9"/>
      <c r="K1970" s="10"/>
      <c r="L1970" s="10"/>
      <c r="M1970" s="39">
        <f t="shared" si="2835"/>
        <v>0</v>
      </c>
      <c r="N1970" s="138">
        <f t="shared" si="2836"/>
        <v>0</v>
      </c>
      <c r="P1970" s="126" t="s">
        <v>1770</v>
      </c>
      <c r="Q1970" s="68">
        <v>0</v>
      </c>
      <c r="R1970" s="69">
        <v>0</v>
      </c>
      <c r="S1970" s="69">
        <v>0</v>
      </c>
      <c r="T1970" s="67">
        <f t="shared" ref="T1970:T1975" si="2870">SUM(Q1970:S1970)</f>
        <v>0</v>
      </c>
      <c r="U1970" s="68">
        <v>0</v>
      </c>
      <c r="V1970" s="69">
        <v>0</v>
      </c>
      <c r="W1970" s="69">
        <v>0</v>
      </c>
      <c r="X1970" s="67">
        <f t="shared" ref="X1970:X1975" si="2871">SUM(U1970:W1970)</f>
        <v>0</v>
      </c>
      <c r="Y1970" s="68">
        <v>0</v>
      </c>
      <c r="Z1970" s="69">
        <v>0</v>
      </c>
      <c r="AA1970" s="69">
        <v>0</v>
      </c>
      <c r="AB1970" s="67">
        <f t="shared" ref="AB1970:AB1975" si="2872">SUM(Y1970:AA1970)</f>
        <v>0</v>
      </c>
      <c r="AC1970" s="135">
        <f t="shared" ref="AC1970:AC1975" si="2873">T1970+X1970+AB1970</f>
        <v>0</v>
      </c>
    </row>
    <row r="1971" spans="1:30" x14ac:dyDescent="0.15">
      <c r="A1971" s="33"/>
      <c r="B1971" s="9"/>
      <c r="C1971" s="10"/>
      <c r="D1971" s="10"/>
      <c r="E1971" s="8">
        <f t="shared" si="2833"/>
        <v>0</v>
      </c>
      <c r="F1971" s="9"/>
      <c r="G1971" s="10"/>
      <c r="H1971" s="10"/>
      <c r="I1971" s="8">
        <f t="shared" si="2834"/>
        <v>0</v>
      </c>
      <c r="J1971" s="9"/>
      <c r="K1971" s="10"/>
      <c r="L1971" s="10"/>
      <c r="M1971" s="39">
        <f t="shared" si="2835"/>
        <v>0</v>
      </c>
      <c r="N1971" s="138">
        <f t="shared" si="2836"/>
        <v>0</v>
      </c>
      <c r="P1971" s="37" t="s">
        <v>1772</v>
      </c>
      <c r="Q1971" s="51">
        <v>15</v>
      </c>
      <c r="R1971" s="52">
        <v>20</v>
      </c>
      <c r="S1971" s="52">
        <v>15</v>
      </c>
      <c r="T1971" s="50">
        <f t="shared" si="2870"/>
        <v>50</v>
      </c>
      <c r="U1971" s="51">
        <v>15</v>
      </c>
      <c r="V1971" s="52">
        <v>20</v>
      </c>
      <c r="W1971" s="52">
        <v>15</v>
      </c>
      <c r="X1971" s="50">
        <f t="shared" si="2871"/>
        <v>50</v>
      </c>
      <c r="Y1971" s="51">
        <v>15</v>
      </c>
      <c r="Z1971" s="52">
        <v>20</v>
      </c>
      <c r="AA1971" s="52">
        <v>15</v>
      </c>
      <c r="AB1971" s="50">
        <f t="shared" si="2872"/>
        <v>50</v>
      </c>
      <c r="AC1971" s="90">
        <f t="shared" si="2873"/>
        <v>150</v>
      </c>
      <c r="AD1971" s="123" t="s">
        <v>1771</v>
      </c>
    </row>
    <row r="1972" spans="1:30" x14ac:dyDescent="0.15">
      <c r="A1972" s="33"/>
      <c r="B1972" s="9"/>
      <c r="C1972" s="10"/>
      <c r="D1972" s="10"/>
      <c r="E1972" s="8">
        <f t="shared" si="2833"/>
        <v>0</v>
      </c>
      <c r="F1972" s="9"/>
      <c r="G1972" s="10"/>
      <c r="H1972" s="10"/>
      <c r="I1972" s="8">
        <f t="shared" si="2834"/>
        <v>0</v>
      </c>
      <c r="J1972" s="9"/>
      <c r="K1972" s="10"/>
      <c r="L1972" s="10"/>
      <c r="M1972" s="39">
        <f t="shared" si="2835"/>
        <v>0</v>
      </c>
      <c r="N1972" s="138">
        <f t="shared" si="2836"/>
        <v>0</v>
      </c>
      <c r="P1972" s="126" t="s">
        <v>1639</v>
      </c>
      <c r="Q1972" s="68">
        <v>-30</v>
      </c>
      <c r="R1972" s="69">
        <v>-80</v>
      </c>
      <c r="S1972" s="69">
        <v>-40</v>
      </c>
      <c r="T1972" s="67">
        <f t="shared" si="2870"/>
        <v>-150</v>
      </c>
      <c r="U1972" s="68">
        <v>-10</v>
      </c>
      <c r="V1972" s="69">
        <v>-15</v>
      </c>
      <c r="W1972" s="69">
        <v>-40</v>
      </c>
      <c r="X1972" s="67">
        <f t="shared" si="2871"/>
        <v>-65</v>
      </c>
      <c r="Y1972" s="68">
        <v>-25</v>
      </c>
      <c r="Z1972" s="69">
        <v>-30</v>
      </c>
      <c r="AA1972" s="69">
        <v>-70</v>
      </c>
      <c r="AB1972" s="67">
        <f t="shared" si="2872"/>
        <v>-125</v>
      </c>
      <c r="AC1972" s="135">
        <f t="shared" si="2873"/>
        <v>-340</v>
      </c>
      <c r="AD1972" s="123"/>
    </row>
    <row r="1973" spans="1:30" x14ac:dyDescent="0.15">
      <c r="A1973" s="33"/>
      <c r="B1973" s="9"/>
      <c r="C1973" s="10"/>
      <c r="D1973" s="10"/>
      <c r="E1973" s="8">
        <f t="shared" si="2833"/>
        <v>0</v>
      </c>
      <c r="F1973" s="9"/>
      <c r="G1973" s="10"/>
      <c r="H1973" s="10"/>
      <c r="I1973" s="8">
        <f t="shared" si="2834"/>
        <v>0</v>
      </c>
      <c r="J1973" s="9"/>
      <c r="K1973" s="10"/>
      <c r="L1973" s="10"/>
      <c r="M1973" s="39">
        <f t="shared" si="2835"/>
        <v>0</v>
      </c>
      <c r="N1973" s="138">
        <f t="shared" si="2836"/>
        <v>0</v>
      </c>
      <c r="P1973" s="37" t="s">
        <v>1638</v>
      </c>
      <c r="Q1973" s="51">
        <f>90-15-20</f>
        <v>55</v>
      </c>
      <c r="R1973" s="52">
        <f>165-10-10</f>
        <v>145</v>
      </c>
      <c r="S1973" s="52">
        <v>83</v>
      </c>
      <c r="T1973" s="50">
        <f t="shared" si="2870"/>
        <v>283</v>
      </c>
      <c r="U1973" s="51">
        <f>68-5-15</f>
        <v>48</v>
      </c>
      <c r="V1973" s="52">
        <f>75-10-25</f>
        <v>40</v>
      </c>
      <c r="W1973" s="52">
        <f>83-5-10-15</f>
        <v>53</v>
      </c>
      <c r="X1973" s="50">
        <f t="shared" si="2871"/>
        <v>141</v>
      </c>
      <c r="Y1973" s="51">
        <f>83-30</f>
        <v>53</v>
      </c>
      <c r="Z1973" s="52">
        <f>143-10-30</f>
        <v>103</v>
      </c>
      <c r="AA1973" s="52">
        <f>135-10</f>
        <v>125</v>
      </c>
      <c r="AB1973" s="50">
        <f t="shared" si="2872"/>
        <v>281</v>
      </c>
      <c r="AC1973" s="149">
        <f t="shared" si="2873"/>
        <v>705</v>
      </c>
      <c r="AD1973" s="123" t="s">
        <v>1720</v>
      </c>
    </row>
    <row r="1974" spans="1:30" x14ac:dyDescent="0.15">
      <c r="A1974" s="33"/>
      <c r="B1974" s="9"/>
      <c r="C1974" s="10"/>
      <c r="D1974" s="10"/>
      <c r="E1974" s="8">
        <f t="shared" si="2833"/>
        <v>0</v>
      </c>
      <c r="F1974" s="9"/>
      <c r="G1974" s="10"/>
      <c r="H1974" s="10"/>
      <c r="I1974" s="8">
        <f t="shared" si="2834"/>
        <v>0</v>
      </c>
      <c r="J1974" s="9"/>
      <c r="K1974" s="10"/>
      <c r="L1974" s="10"/>
      <c r="M1974" s="39">
        <f t="shared" si="2835"/>
        <v>0</v>
      </c>
      <c r="N1974" s="138">
        <f t="shared" si="2836"/>
        <v>0</v>
      </c>
      <c r="P1974" s="126" t="s">
        <v>1620</v>
      </c>
      <c r="Q1974" s="68">
        <v>-70</v>
      </c>
      <c r="R1974" s="69">
        <v>-100</v>
      </c>
      <c r="S1974" s="69">
        <v>-110</v>
      </c>
      <c r="T1974" s="67">
        <f t="shared" si="2870"/>
        <v>-280</v>
      </c>
      <c r="U1974" s="68">
        <v>-70</v>
      </c>
      <c r="V1974" s="69">
        <v>-100</v>
      </c>
      <c r="W1974" s="69">
        <v>-110</v>
      </c>
      <c r="X1974" s="67">
        <f t="shared" si="2871"/>
        <v>-280</v>
      </c>
      <c r="Y1974" s="68">
        <v>-70</v>
      </c>
      <c r="Z1974" s="69">
        <v>-100</v>
      </c>
      <c r="AA1974" s="69">
        <v>-110</v>
      </c>
      <c r="AB1974" s="67">
        <f t="shared" si="2872"/>
        <v>-280</v>
      </c>
      <c r="AC1974" s="135">
        <f t="shared" si="2873"/>
        <v>-840</v>
      </c>
    </row>
    <row r="1975" spans="1:30" ht="14.25" thickBot="1" x14ac:dyDescent="0.2">
      <c r="A1975" s="63"/>
      <c r="B1975" s="9"/>
      <c r="C1975" s="10"/>
      <c r="D1975" s="22"/>
      <c r="E1975" s="8">
        <f t="shared" si="2833"/>
        <v>0</v>
      </c>
      <c r="F1975" s="9"/>
      <c r="G1975" s="10"/>
      <c r="H1975" s="22"/>
      <c r="I1975" s="8">
        <f t="shared" si="2834"/>
        <v>0</v>
      </c>
      <c r="J1975" s="9"/>
      <c r="K1975" s="10"/>
      <c r="L1975" s="22"/>
      <c r="M1975" s="39">
        <f t="shared" si="2835"/>
        <v>0</v>
      </c>
      <c r="N1975" s="139">
        <f t="shared" si="2836"/>
        <v>0</v>
      </c>
      <c r="P1975" s="37" t="s">
        <v>1621</v>
      </c>
      <c r="Q1975" s="51">
        <f>130-20</f>
        <v>110</v>
      </c>
      <c r="R1975" s="52">
        <f>250-110</f>
        <v>140</v>
      </c>
      <c r="S1975" s="52">
        <f>180-20</f>
        <v>160</v>
      </c>
      <c r="T1975" s="50">
        <f t="shared" si="2870"/>
        <v>410</v>
      </c>
      <c r="U1975" s="51">
        <f>130-20</f>
        <v>110</v>
      </c>
      <c r="V1975" s="52">
        <f>250-110</f>
        <v>140</v>
      </c>
      <c r="W1975" s="52">
        <f>180-20</f>
        <v>160</v>
      </c>
      <c r="X1975" s="50">
        <f t="shared" si="2871"/>
        <v>410</v>
      </c>
      <c r="Y1975" s="51">
        <f>130-20</f>
        <v>110</v>
      </c>
      <c r="Z1975" s="52">
        <f>250-110</f>
        <v>140</v>
      </c>
      <c r="AA1975" s="52">
        <f>180-20</f>
        <v>160</v>
      </c>
      <c r="AB1975" s="50">
        <f t="shared" si="2872"/>
        <v>410</v>
      </c>
      <c r="AC1975" s="149">
        <f t="shared" si="2873"/>
        <v>1230</v>
      </c>
      <c r="AD1975" s="123" t="s">
        <v>1626</v>
      </c>
    </row>
    <row r="1976" spans="1:30" ht="14.25" thickBot="1" x14ac:dyDescent="0.2">
      <c r="A1976" s="104" t="s">
        <v>5</v>
      </c>
      <c r="B1976" s="12">
        <f>SUM(B1952:B1975)</f>
        <v>4</v>
      </c>
      <c r="C1976" s="12">
        <f>SUM(C1952:C1975)</f>
        <v>7</v>
      </c>
      <c r="D1976" s="12">
        <f>SUM(D1952:D1975)</f>
        <v>10</v>
      </c>
      <c r="E1976" s="13">
        <f t="shared" si="2833"/>
        <v>21</v>
      </c>
      <c r="F1976" s="12">
        <f>SUM(F1952:F1975)</f>
        <v>6</v>
      </c>
      <c r="G1976" s="12">
        <f>SUM(G1952:G1975)</f>
        <v>6</v>
      </c>
      <c r="H1976" s="12">
        <f>SUM(H1952:H1975)</f>
        <v>10</v>
      </c>
      <c r="I1976" s="13">
        <f t="shared" si="2834"/>
        <v>22</v>
      </c>
      <c r="J1976" s="12">
        <f>SUM(J1952:J1975)</f>
        <v>6</v>
      </c>
      <c r="K1976" s="12">
        <f>SUM(K1952:K1975)</f>
        <v>6</v>
      </c>
      <c r="L1976" s="12">
        <f>SUM(L1952:L1975)</f>
        <v>10</v>
      </c>
      <c r="M1976" s="12">
        <f t="shared" si="2835"/>
        <v>22</v>
      </c>
      <c r="N1976" s="142">
        <f t="shared" si="2836"/>
        <v>65</v>
      </c>
      <c r="P1976" s="3" t="s">
        <v>5</v>
      </c>
      <c r="Q1976" s="12">
        <f>SUM(Q1952:Q1975)</f>
        <v>191</v>
      </c>
      <c r="R1976" s="12">
        <f t="shared" ref="R1976:AC1976" si="2874">SUM(R1952:R1975)</f>
        <v>378</v>
      </c>
      <c r="S1976" s="12">
        <f t="shared" si="2874"/>
        <v>204</v>
      </c>
      <c r="T1976" s="13">
        <f t="shared" si="2874"/>
        <v>773</v>
      </c>
      <c r="U1976" s="12">
        <f t="shared" si="2874"/>
        <v>199</v>
      </c>
      <c r="V1976" s="12">
        <f t="shared" si="2874"/>
        <v>353</v>
      </c>
      <c r="W1976" s="12">
        <f t="shared" si="2874"/>
        <v>194</v>
      </c>
      <c r="X1976" s="13">
        <f t="shared" si="2874"/>
        <v>746</v>
      </c>
      <c r="Y1976" s="12">
        <f t="shared" si="2874"/>
        <v>209</v>
      </c>
      <c r="Z1976" s="12">
        <f t="shared" si="2874"/>
        <v>406</v>
      </c>
      <c r="AA1976" s="12">
        <f t="shared" si="2874"/>
        <v>226</v>
      </c>
      <c r="AB1976" s="13">
        <f t="shared" si="2874"/>
        <v>841</v>
      </c>
      <c r="AC1976" s="155">
        <f t="shared" si="2874"/>
        <v>2360</v>
      </c>
    </row>
    <row r="1977" spans="1:30" ht="14.25" thickBot="1" x14ac:dyDescent="0.2">
      <c r="A1977" s="105" t="s">
        <v>6</v>
      </c>
      <c r="B1977" s="20">
        <f>B1951-B1976</f>
        <v>29</v>
      </c>
      <c r="C1977" s="20">
        <f t="shared" ref="C1977:E1977" si="2875">C1951-C1976</f>
        <v>26</v>
      </c>
      <c r="D1977" s="20">
        <f t="shared" si="2875"/>
        <v>20</v>
      </c>
      <c r="E1977" s="18">
        <f t="shared" si="2875"/>
        <v>75</v>
      </c>
      <c r="F1977" s="20">
        <f>F1951-F1976</f>
        <v>26</v>
      </c>
      <c r="G1977" s="20">
        <f t="shared" ref="G1977:I1977" si="2876">G1951-G1976</f>
        <v>28</v>
      </c>
      <c r="H1977" s="20">
        <f t="shared" si="2876"/>
        <v>18</v>
      </c>
      <c r="I1977" s="18">
        <f t="shared" si="2876"/>
        <v>72</v>
      </c>
      <c r="J1977" s="20">
        <f>J1951-J1976</f>
        <v>29</v>
      </c>
      <c r="K1977" s="20">
        <f t="shared" ref="K1977:M1977" si="2877">K1951-K1976</f>
        <v>27</v>
      </c>
      <c r="L1977" s="20">
        <f t="shared" si="2877"/>
        <v>22</v>
      </c>
      <c r="M1977" s="20">
        <f t="shared" si="2877"/>
        <v>78</v>
      </c>
      <c r="N1977" s="140">
        <f t="shared" si="2836"/>
        <v>225</v>
      </c>
      <c r="P1977" s="19" t="s">
        <v>6</v>
      </c>
      <c r="Q1977" s="20">
        <f>Q1951-Q1976</f>
        <v>180</v>
      </c>
      <c r="R1977" s="20">
        <f t="shared" ref="R1977:AC1977" si="2878">R1951-R1976</f>
        <v>213</v>
      </c>
      <c r="S1977" s="20">
        <f t="shared" si="2878"/>
        <v>265</v>
      </c>
      <c r="T1977" s="18">
        <f t="shared" si="2878"/>
        <v>658</v>
      </c>
      <c r="U1977" s="20">
        <f t="shared" si="2878"/>
        <v>228</v>
      </c>
      <c r="V1977" s="20">
        <f t="shared" si="2878"/>
        <v>217</v>
      </c>
      <c r="W1977" s="20">
        <f t="shared" si="2878"/>
        <v>271</v>
      </c>
      <c r="X1977" s="18">
        <f t="shared" si="2878"/>
        <v>716</v>
      </c>
      <c r="Y1977" s="20">
        <f t="shared" si="2878"/>
        <v>177</v>
      </c>
      <c r="Z1977" s="20">
        <f t="shared" si="2878"/>
        <v>86</v>
      </c>
      <c r="AA1977" s="20">
        <f t="shared" si="2878"/>
        <v>232</v>
      </c>
      <c r="AB1977" s="18">
        <f t="shared" si="2878"/>
        <v>495</v>
      </c>
      <c r="AC1977" s="88">
        <f t="shared" si="2878"/>
        <v>1869</v>
      </c>
    </row>
    <row r="1978" spans="1:30" x14ac:dyDescent="0.15">
      <c r="P1978" s="156" t="s">
        <v>1129</v>
      </c>
      <c r="Q1978" s="314">
        <f>Q1977/$T$1977*100</f>
        <v>27.355623100303951</v>
      </c>
      <c r="R1978" s="314">
        <f t="shared" ref="R1978:T1978" si="2879">R1977/$T$1977*100</f>
        <v>32.370820668693007</v>
      </c>
      <c r="S1978" s="314">
        <f t="shared" si="2879"/>
        <v>40.273556231003042</v>
      </c>
      <c r="T1978" s="314">
        <f t="shared" si="2879"/>
        <v>100</v>
      </c>
      <c r="U1978" s="314">
        <f>U1977/$X$1977*100</f>
        <v>31.843575418994412</v>
      </c>
      <c r="V1978" s="314">
        <f t="shared" ref="V1978:X1978" si="2880">V1977/$X$1977*100</f>
        <v>30.307262569832403</v>
      </c>
      <c r="W1978" s="314">
        <f t="shared" si="2880"/>
        <v>37.849162011173185</v>
      </c>
      <c r="X1978" s="314">
        <f t="shared" si="2880"/>
        <v>100</v>
      </c>
      <c r="Y1978" s="314">
        <f>Y1977/$AB$1977*100</f>
        <v>35.757575757575758</v>
      </c>
      <c r="Z1978" s="314">
        <f t="shared" ref="Z1978:AB1978" si="2881">Z1977/$AB$1977*100</f>
        <v>17.373737373737374</v>
      </c>
      <c r="AA1978" s="314">
        <f t="shared" si="2881"/>
        <v>46.868686868686872</v>
      </c>
      <c r="AB1978" s="314">
        <f t="shared" si="2881"/>
        <v>100</v>
      </c>
    </row>
    <row r="1979" spans="1:30" x14ac:dyDescent="0.15">
      <c r="P1979" s="157" t="s">
        <v>1130</v>
      </c>
      <c r="Q1979" s="65">
        <v>28</v>
      </c>
      <c r="R1979" s="65">
        <v>42.9</v>
      </c>
      <c r="S1979" s="65">
        <v>29.1</v>
      </c>
      <c r="T1979" s="65">
        <f>SUM(Q1979:S1979)</f>
        <v>100</v>
      </c>
      <c r="U1979" s="65">
        <v>28</v>
      </c>
      <c r="V1979" s="65">
        <v>42.6</v>
      </c>
      <c r="W1979" s="65">
        <v>29.4</v>
      </c>
      <c r="X1979" s="65">
        <f>SUM(U1979:W1979)</f>
        <v>100</v>
      </c>
      <c r="Y1979" s="65">
        <v>27.9</v>
      </c>
      <c r="Z1979" s="65">
        <v>42.8</v>
      </c>
      <c r="AA1979" s="65">
        <v>29.3</v>
      </c>
      <c r="AB1979" s="65">
        <f>SUM(Y1979:AA1979)</f>
        <v>99.999999999999986</v>
      </c>
    </row>
    <row r="1980" spans="1:30" ht="19.5" thickBot="1" x14ac:dyDescent="0.25">
      <c r="A1980" s="108" t="s">
        <v>264</v>
      </c>
      <c r="B1980" s="47"/>
      <c r="C1980" s="47"/>
      <c r="D1980" s="47"/>
      <c r="E1980" s="47"/>
      <c r="F1980" s="48"/>
      <c r="G1980" s="48"/>
      <c r="H1980" s="48"/>
      <c r="I1980" s="48"/>
      <c r="J1980" s="48"/>
      <c r="K1980" s="48"/>
      <c r="L1980" s="1"/>
      <c r="M1980" s="1"/>
      <c r="N1980" s="137"/>
      <c r="P1980" s="43" t="s">
        <v>263</v>
      </c>
      <c r="Q1980" s="44"/>
      <c r="R1980" s="44"/>
      <c r="S1980" s="44"/>
      <c r="T1980" s="44"/>
      <c r="U1980" s="45"/>
      <c r="V1980" s="45"/>
      <c r="W1980" s="45"/>
      <c r="X1980" s="45"/>
      <c r="Y1980" s="46"/>
      <c r="Z1980" s="53"/>
      <c r="AA1980" s="1"/>
      <c r="AB1980" s="1"/>
    </row>
    <row r="1981" spans="1:30" ht="14.25" thickBot="1" x14ac:dyDescent="0.2">
      <c r="A1981" s="100" t="s">
        <v>0</v>
      </c>
      <c r="B1981" s="337" t="s">
        <v>11</v>
      </c>
      <c r="C1981" s="337"/>
      <c r="D1981" s="337"/>
      <c r="E1981" s="338"/>
      <c r="F1981" s="339" t="s">
        <v>9</v>
      </c>
      <c r="G1981" s="340"/>
      <c r="H1981" s="340"/>
      <c r="I1981" s="341"/>
      <c r="J1981" s="342" t="s">
        <v>12</v>
      </c>
      <c r="K1981" s="343"/>
      <c r="L1981" s="343"/>
      <c r="M1981" s="343"/>
      <c r="N1981" s="347" t="s">
        <v>13</v>
      </c>
      <c r="P1981" s="2" t="s">
        <v>0</v>
      </c>
      <c r="Q1981" s="336" t="s">
        <v>11</v>
      </c>
      <c r="R1981" s="337"/>
      <c r="S1981" s="337"/>
      <c r="T1981" s="338"/>
      <c r="U1981" s="339" t="s">
        <v>9</v>
      </c>
      <c r="V1981" s="340"/>
      <c r="W1981" s="340"/>
      <c r="X1981" s="341"/>
      <c r="Y1981" s="342" t="s">
        <v>12</v>
      </c>
      <c r="Z1981" s="343"/>
      <c r="AA1981" s="343"/>
      <c r="AB1981" s="344"/>
      <c r="AC1981" s="345" t="s">
        <v>13</v>
      </c>
    </row>
    <row r="1982" spans="1:30" ht="14.25" thickBot="1" x14ac:dyDescent="0.2">
      <c r="A1982" s="100" t="s">
        <v>1</v>
      </c>
      <c r="B1982" s="3" t="s">
        <v>7</v>
      </c>
      <c r="C1982" s="2" t="s">
        <v>10</v>
      </c>
      <c r="D1982" s="2" t="s">
        <v>8</v>
      </c>
      <c r="E1982" s="2" t="s">
        <v>2</v>
      </c>
      <c r="F1982" s="3" t="s">
        <v>7</v>
      </c>
      <c r="G1982" s="2" t="s">
        <v>10</v>
      </c>
      <c r="H1982" s="2" t="s">
        <v>8</v>
      </c>
      <c r="I1982" s="2" t="s">
        <v>2</v>
      </c>
      <c r="J1982" s="3" t="s">
        <v>7</v>
      </c>
      <c r="K1982" s="2" t="s">
        <v>10</v>
      </c>
      <c r="L1982" s="2" t="s">
        <v>8</v>
      </c>
      <c r="M1982" s="3" t="s">
        <v>2</v>
      </c>
      <c r="N1982" s="348"/>
      <c r="P1982" s="2" t="s">
        <v>1</v>
      </c>
      <c r="Q1982" s="3" t="s">
        <v>7</v>
      </c>
      <c r="R1982" s="2" t="s">
        <v>10</v>
      </c>
      <c r="S1982" s="2" t="s">
        <v>8</v>
      </c>
      <c r="T1982" s="2" t="s">
        <v>2</v>
      </c>
      <c r="U1982" s="3" t="s">
        <v>7</v>
      </c>
      <c r="V1982" s="2" t="s">
        <v>10</v>
      </c>
      <c r="W1982" s="2" t="s">
        <v>8</v>
      </c>
      <c r="X1982" s="2" t="s">
        <v>2</v>
      </c>
      <c r="Y1982" s="3" t="s">
        <v>7</v>
      </c>
      <c r="Z1982" s="2" t="s">
        <v>10</v>
      </c>
      <c r="AA1982" s="2" t="s">
        <v>8</v>
      </c>
      <c r="AB1982" s="2" t="s">
        <v>2</v>
      </c>
      <c r="AC1982" s="346"/>
    </row>
    <row r="1983" spans="1:30" x14ac:dyDescent="0.15">
      <c r="A1983" s="106" t="s">
        <v>6</v>
      </c>
      <c r="B1983" s="41">
        <f>B1977</f>
        <v>29</v>
      </c>
      <c r="C1983" s="41">
        <f t="shared" ref="C1983:E1983" si="2882">C1977</f>
        <v>26</v>
      </c>
      <c r="D1983" s="41">
        <f t="shared" si="2882"/>
        <v>20</v>
      </c>
      <c r="E1983" s="42">
        <f t="shared" si="2882"/>
        <v>75</v>
      </c>
      <c r="F1983" s="41">
        <f>F1977</f>
        <v>26</v>
      </c>
      <c r="G1983" s="41">
        <f t="shared" ref="G1983:I1983" si="2883">G1977</f>
        <v>28</v>
      </c>
      <c r="H1983" s="41">
        <f t="shared" si="2883"/>
        <v>18</v>
      </c>
      <c r="I1983" s="42">
        <f t="shared" si="2883"/>
        <v>72</v>
      </c>
      <c r="J1983" s="41">
        <f>J1977</f>
        <v>29</v>
      </c>
      <c r="K1983" s="41">
        <f t="shared" ref="K1983:M1983" si="2884">K1977</f>
        <v>27</v>
      </c>
      <c r="L1983" s="41">
        <f t="shared" si="2884"/>
        <v>22</v>
      </c>
      <c r="M1983" s="42">
        <f t="shared" si="2884"/>
        <v>78</v>
      </c>
      <c r="N1983" s="143">
        <f>E1983+I1983+M1983</f>
        <v>225</v>
      </c>
      <c r="P1983" s="36" t="s">
        <v>6</v>
      </c>
      <c r="Q1983" s="41">
        <f>Q1977</f>
        <v>180</v>
      </c>
      <c r="R1983" s="41">
        <f t="shared" ref="R1983:AC1983" si="2885">R1977</f>
        <v>213</v>
      </c>
      <c r="S1983" s="41">
        <f t="shared" si="2885"/>
        <v>265</v>
      </c>
      <c r="T1983" s="42">
        <f t="shared" si="2885"/>
        <v>658</v>
      </c>
      <c r="U1983" s="41">
        <f t="shared" si="2885"/>
        <v>228</v>
      </c>
      <c r="V1983" s="41">
        <f t="shared" si="2885"/>
        <v>217</v>
      </c>
      <c r="W1983" s="41">
        <f t="shared" si="2885"/>
        <v>271</v>
      </c>
      <c r="X1983" s="42">
        <f t="shared" si="2885"/>
        <v>716</v>
      </c>
      <c r="Y1983" s="41">
        <f t="shared" si="2885"/>
        <v>177</v>
      </c>
      <c r="Z1983" s="41">
        <f t="shared" si="2885"/>
        <v>86</v>
      </c>
      <c r="AA1983" s="41">
        <f t="shared" si="2885"/>
        <v>232</v>
      </c>
      <c r="AB1983" s="42">
        <f t="shared" si="2885"/>
        <v>495</v>
      </c>
      <c r="AC1983" s="90">
        <f t="shared" si="2885"/>
        <v>1869</v>
      </c>
    </row>
    <row r="1984" spans="1:30" x14ac:dyDescent="0.15">
      <c r="A1984" s="102" t="s">
        <v>3</v>
      </c>
      <c r="B1984" s="25"/>
      <c r="C1984" s="26"/>
      <c r="D1984" s="26"/>
      <c r="E1984" s="5">
        <f t="shared" ref="E1984:E2019" si="2886">SUM(B1984:D1984)</f>
        <v>0</v>
      </c>
      <c r="F1984" s="25"/>
      <c r="G1984" s="26"/>
      <c r="H1984" s="26"/>
      <c r="I1984" s="5">
        <f t="shared" ref="I1984:I2019" si="2887">SUM(F1984:H1984)</f>
        <v>0</v>
      </c>
      <c r="J1984" s="25"/>
      <c r="K1984" s="26"/>
      <c r="L1984" s="26"/>
      <c r="M1984" s="38">
        <f t="shared" ref="M1984:M2019" si="2888">SUM(J1984:L1984)</f>
        <v>0</v>
      </c>
      <c r="N1984" s="138">
        <f t="shared" ref="N1984:N2020" si="2889">E1984+I1984+M1984</f>
        <v>0</v>
      </c>
      <c r="P1984" s="6" t="s">
        <v>3</v>
      </c>
      <c r="Q1984" s="14"/>
      <c r="R1984" s="11"/>
      <c r="S1984" s="11"/>
      <c r="T1984" s="5">
        <f t="shared" ref="T1984:T1993" si="2890">SUM(Q1984:S1984)</f>
        <v>0</v>
      </c>
      <c r="U1984" s="14"/>
      <c r="V1984" s="11"/>
      <c r="W1984" s="11"/>
      <c r="X1984" s="5">
        <f t="shared" ref="X1984:X1993" si="2891">SUM(U1984:W1984)</f>
        <v>0</v>
      </c>
      <c r="Y1984" s="25"/>
      <c r="Z1984" s="26"/>
      <c r="AA1984" s="26"/>
      <c r="AB1984" s="5">
        <f t="shared" ref="AB1984:AB1993" si="2892">SUM(Y1984:AA1984)</f>
        <v>0</v>
      </c>
      <c r="AC1984" s="86">
        <f t="shared" ref="AC1984:AC1993" si="2893">T1984+X1984+AB1984</f>
        <v>0</v>
      </c>
    </row>
    <row r="1985" spans="1:30" x14ac:dyDescent="0.15">
      <c r="A1985" s="102" t="s">
        <v>3</v>
      </c>
      <c r="B1985" s="14"/>
      <c r="C1985" s="11"/>
      <c r="D1985" s="11"/>
      <c r="E1985" s="5">
        <f t="shared" si="2886"/>
        <v>0</v>
      </c>
      <c r="F1985" s="34"/>
      <c r="G1985" s="11"/>
      <c r="H1985" s="11"/>
      <c r="I1985" s="5">
        <f t="shared" si="2887"/>
        <v>0</v>
      </c>
      <c r="J1985" s="34"/>
      <c r="K1985" s="11"/>
      <c r="L1985" s="11"/>
      <c r="M1985" s="38">
        <f t="shared" si="2888"/>
        <v>0</v>
      </c>
      <c r="N1985" s="138">
        <f t="shared" si="2889"/>
        <v>0</v>
      </c>
      <c r="P1985" s="81" t="s">
        <v>3</v>
      </c>
      <c r="Q1985" s="62"/>
      <c r="R1985" s="4"/>
      <c r="S1985" s="4"/>
      <c r="T1985" s="5">
        <f t="shared" si="2890"/>
        <v>0</v>
      </c>
      <c r="U1985" s="62"/>
      <c r="V1985" s="4"/>
      <c r="W1985" s="4"/>
      <c r="X1985" s="5">
        <f t="shared" si="2891"/>
        <v>0</v>
      </c>
      <c r="Y1985" s="280"/>
      <c r="Z1985" s="281"/>
      <c r="AA1985" s="281"/>
      <c r="AB1985" s="5">
        <f t="shared" si="2892"/>
        <v>0</v>
      </c>
      <c r="AC1985" s="91">
        <f t="shared" si="2893"/>
        <v>0</v>
      </c>
    </row>
    <row r="1986" spans="1:30" x14ac:dyDescent="0.15">
      <c r="A1986" s="102" t="s">
        <v>3</v>
      </c>
      <c r="B1986" s="14"/>
      <c r="C1986" s="11"/>
      <c r="D1986" s="11"/>
      <c r="E1986" s="5">
        <f t="shared" si="2886"/>
        <v>0</v>
      </c>
      <c r="F1986" s="34"/>
      <c r="G1986" s="11"/>
      <c r="H1986" s="11"/>
      <c r="I1986" s="5">
        <f t="shared" si="2887"/>
        <v>0</v>
      </c>
      <c r="J1986" s="34"/>
      <c r="K1986" s="11"/>
      <c r="L1986" s="11"/>
      <c r="M1986" s="38">
        <f t="shared" si="2888"/>
        <v>0</v>
      </c>
      <c r="N1986" s="138">
        <f t="shared" si="2889"/>
        <v>0</v>
      </c>
      <c r="P1986" s="126" t="s">
        <v>377</v>
      </c>
      <c r="Q1986" s="323">
        <v>300</v>
      </c>
      <c r="R1986" s="37">
        <v>400</v>
      </c>
      <c r="S1986" s="37">
        <v>300</v>
      </c>
      <c r="T1986" s="147">
        <f t="shared" si="2890"/>
        <v>1000</v>
      </c>
      <c r="U1986" s="323">
        <v>300</v>
      </c>
      <c r="V1986" s="37">
        <v>400</v>
      </c>
      <c r="W1986" s="37">
        <v>250</v>
      </c>
      <c r="X1986" s="147">
        <f t="shared" si="2891"/>
        <v>950</v>
      </c>
      <c r="Y1986" s="324">
        <v>300</v>
      </c>
      <c r="Z1986" s="325">
        <v>400</v>
      </c>
      <c r="AA1986" s="325">
        <v>300</v>
      </c>
      <c r="AB1986" s="147">
        <f t="shared" si="2892"/>
        <v>1000</v>
      </c>
      <c r="AC1986" s="326">
        <f t="shared" si="2893"/>
        <v>2950</v>
      </c>
      <c r="AD1986" s="113">
        <v>46204</v>
      </c>
    </row>
    <row r="1987" spans="1:30" x14ac:dyDescent="0.15">
      <c r="A1987" s="102" t="s">
        <v>3</v>
      </c>
      <c r="B1987" s="14"/>
      <c r="C1987" s="11"/>
      <c r="D1987" s="11"/>
      <c r="E1987" s="5">
        <f t="shared" si="2886"/>
        <v>0</v>
      </c>
      <c r="F1987" s="34"/>
      <c r="G1987" s="11"/>
      <c r="H1987" s="11"/>
      <c r="I1987" s="5">
        <f t="shared" si="2887"/>
        <v>0</v>
      </c>
      <c r="J1987" s="34"/>
      <c r="K1987" s="11"/>
      <c r="L1987" s="11"/>
      <c r="M1987" s="38">
        <f t="shared" si="2888"/>
        <v>0</v>
      </c>
      <c r="N1987" s="138">
        <f t="shared" si="2889"/>
        <v>0</v>
      </c>
      <c r="P1987" s="81" t="s">
        <v>3</v>
      </c>
      <c r="Q1987" s="62"/>
      <c r="R1987" s="4"/>
      <c r="S1987" s="4"/>
      <c r="T1987" s="5">
        <f t="shared" ref="T1987" si="2894">SUM(Q1987:S1987)</f>
        <v>0</v>
      </c>
      <c r="U1987" s="62"/>
      <c r="V1987" s="4"/>
      <c r="W1987" s="4"/>
      <c r="X1987" s="5">
        <f t="shared" ref="X1987" si="2895">SUM(U1987:W1987)</f>
        <v>0</v>
      </c>
      <c r="Y1987" s="280"/>
      <c r="Z1987" s="281"/>
      <c r="AA1987" s="281"/>
      <c r="AB1987" s="5">
        <f t="shared" ref="AB1987" si="2896">SUM(Y1987:AA1987)</f>
        <v>0</v>
      </c>
      <c r="AC1987" s="91">
        <f t="shared" ref="AC1987" si="2897">T1987+X1987+AB1987</f>
        <v>0</v>
      </c>
    </row>
    <row r="1988" spans="1:30" x14ac:dyDescent="0.15">
      <c r="A1988" s="102" t="s">
        <v>3</v>
      </c>
      <c r="B1988" s="14"/>
      <c r="C1988" s="11"/>
      <c r="D1988" s="11"/>
      <c r="E1988" s="5">
        <f t="shared" si="2886"/>
        <v>0</v>
      </c>
      <c r="F1988" s="34"/>
      <c r="G1988" s="11"/>
      <c r="H1988" s="11"/>
      <c r="I1988" s="5">
        <f t="shared" si="2887"/>
        <v>0</v>
      </c>
      <c r="J1988" s="34"/>
      <c r="K1988" s="11"/>
      <c r="L1988" s="11"/>
      <c r="M1988" s="38">
        <f t="shared" si="2888"/>
        <v>0</v>
      </c>
      <c r="N1988" s="138">
        <f t="shared" si="2889"/>
        <v>0</v>
      </c>
      <c r="P1988" s="81" t="s">
        <v>3</v>
      </c>
      <c r="Q1988" s="62"/>
      <c r="R1988" s="4"/>
      <c r="S1988" s="4"/>
      <c r="T1988" s="5">
        <f t="shared" ref="T1988" si="2898">SUM(Q1988:S1988)</f>
        <v>0</v>
      </c>
      <c r="U1988" s="62"/>
      <c r="V1988" s="4"/>
      <c r="W1988" s="4"/>
      <c r="X1988" s="5">
        <f t="shared" ref="X1988" si="2899">SUM(U1988:W1988)</f>
        <v>0</v>
      </c>
      <c r="Y1988" s="280"/>
      <c r="Z1988" s="281"/>
      <c r="AA1988" s="281"/>
      <c r="AB1988" s="5">
        <f t="shared" ref="AB1988" si="2900">SUM(Y1988:AA1988)</f>
        <v>0</v>
      </c>
      <c r="AC1988" s="91">
        <f t="shared" ref="AC1988" si="2901">T1988+X1988+AB1988</f>
        <v>0</v>
      </c>
    </row>
    <row r="1989" spans="1:30" x14ac:dyDescent="0.15">
      <c r="A1989" s="102" t="s">
        <v>3</v>
      </c>
      <c r="B1989" s="25"/>
      <c r="C1989" s="26"/>
      <c r="D1989" s="26"/>
      <c r="E1989" s="8">
        <f t="shared" si="2886"/>
        <v>0</v>
      </c>
      <c r="F1989" s="25"/>
      <c r="G1989" s="26"/>
      <c r="H1989" s="26"/>
      <c r="I1989" s="8">
        <f t="shared" si="2887"/>
        <v>0</v>
      </c>
      <c r="J1989" s="25"/>
      <c r="K1989" s="26"/>
      <c r="L1989" s="26"/>
      <c r="M1989" s="39">
        <f t="shared" si="2888"/>
        <v>0</v>
      </c>
      <c r="N1989" s="138">
        <f t="shared" si="2889"/>
        <v>0</v>
      </c>
      <c r="P1989" s="81" t="s">
        <v>3</v>
      </c>
      <c r="Q1989" s="62"/>
      <c r="R1989" s="4"/>
      <c r="S1989" s="4"/>
      <c r="T1989" s="5">
        <f t="shared" si="2890"/>
        <v>0</v>
      </c>
      <c r="U1989" s="62"/>
      <c r="V1989" s="4"/>
      <c r="W1989" s="4"/>
      <c r="X1989" s="5">
        <f t="shared" si="2891"/>
        <v>0</v>
      </c>
      <c r="Y1989" s="280"/>
      <c r="Z1989" s="281"/>
      <c r="AA1989" s="281"/>
      <c r="AB1989" s="5">
        <f t="shared" si="2892"/>
        <v>0</v>
      </c>
      <c r="AC1989" s="91">
        <f t="shared" si="2893"/>
        <v>0</v>
      </c>
    </row>
    <row r="1990" spans="1:30" x14ac:dyDescent="0.15">
      <c r="A1990" s="102" t="s">
        <v>3</v>
      </c>
      <c r="B1990" s="27"/>
      <c r="C1990" s="26"/>
      <c r="D1990" s="26"/>
      <c r="E1990" s="5">
        <f t="shared" si="2886"/>
        <v>0</v>
      </c>
      <c r="F1990" s="25"/>
      <c r="G1990" s="26"/>
      <c r="H1990" s="26"/>
      <c r="I1990" s="5">
        <f t="shared" si="2887"/>
        <v>0</v>
      </c>
      <c r="J1990" s="25"/>
      <c r="K1990" s="26"/>
      <c r="L1990" s="26"/>
      <c r="M1990" s="38">
        <f t="shared" si="2888"/>
        <v>0</v>
      </c>
      <c r="N1990" s="138">
        <f t="shared" si="2889"/>
        <v>0</v>
      </c>
      <c r="P1990" s="81" t="s">
        <v>3</v>
      </c>
      <c r="Q1990" s="62"/>
      <c r="R1990" s="4"/>
      <c r="S1990" s="4"/>
      <c r="T1990" s="5">
        <f t="shared" si="2890"/>
        <v>0</v>
      </c>
      <c r="U1990" s="62"/>
      <c r="V1990" s="4"/>
      <c r="W1990" s="4"/>
      <c r="X1990" s="5">
        <f t="shared" si="2891"/>
        <v>0</v>
      </c>
      <c r="Y1990" s="280"/>
      <c r="Z1990" s="281"/>
      <c r="AA1990" s="281"/>
      <c r="AB1990" s="5">
        <f t="shared" si="2892"/>
        <v>0</v>
      </c>
      <c r="AC1990" s="91">
        <f t="shared" si="2893"/>
        <v>0</v>
      </c>
    </row>
    <row r="1991" spans="1:30" x14ac:dyDescent="0.15">
      <c r="A1991" s="102" t="s">
        <v>3</v>
      </c>
      <c r="B1991" s="27"/>
      <c r="C1991" s="26"/>
      <c r="D1991" s="26"/>
      <c r="E1991" s="5">
        <f t="shared" si="2886"/>
        <v>0</v>
      </c>
      <c r="F1991" s="25"/>
      <c r="G1991" s="26"/>
      <c r="H1991" s="26"/>
      <c r="I1991" s="5">
        <f t="shared" si="2887"/>
        <v>0</v>
      </c>
      <c r="J1991" s="25"/>
      <c r="K1991" s="26"/>
      <c r="L1991" s="26"/>
      <c r="M1991" s="38">
        <f t="shared" si="2888"/>
        <v>0</v>
      </c>
      <c r="N1991" s="138">
        <f t="shared" si="2889"/>
        <v>0</v>
      </c>
      <c r="P1991" s="6" t="s">
        <v>3</v>
      </c>
      <c r="Q1991" s="14"/>
      <c r="R1991" s="11"/>
      <c r="S1991" s="11"/>
      <c r="T1991" s="5">
        <f t="shared" si="2890"/>
        <v>0</v>
      </c>
      <c r="U1991" s="14"/>
      <c r="V1991" s="11"/>
      <c r="W1991" s="11"/>
      <c r="X1991" s="5">
        <f t="shared" si="2891"/>
        <v>0</v>
      </c>
      <c r="Y1991" s="25"/>
      <c r="Z1991" s="26"/>
      <c r="AA1991" s="26"/>
      <c r="AB1991" s="8">
        <f t="shared" si="2892"/>
        <v>0</v>
      </c>
      <c r="AC1991" s="86">
        <f t="shared" si="2893"/>
        <v>0</v>
      </c>
    </row>
    <row r="1992" spans="1:30" x14ac:dyDescent="0.15">
      <c r="A1992" s="102" t="s">
        <v>3</v>
      </c>
      <c r="B1992" s="27"/>
      <c r="C1992" s="26"/>
      <c r="D1992" s="26"/>
      <c r="E1992" s="5">
        <f t="shared" si="2886"/>
        <v>0</v>
      </c>
      <c r="F1992" s="25"/>
      <c r="G1992" s="26"/>
      <c r="H1992" s="26"/>
      <c r="I1992" s="5">
        <f t="shared" si="2887"/>
        <v>0</v>
      </c>
      <c r="J1992" s="25"/>
      <c r="K1992" s="26"/>
      <c r="L1992" s="26"/>
      <c r="M1992" s="38">
        <f t="shared" si="2888"/>
        <v>0</v>
      </c>
      <c r="N1992" s="138">
        <f t="shared" si="2889"/>
        <v>0</v>
      </c>
      <c r="P1992" s="6" t="s">
        <v>3</v>
      </c>
      <c r="Q1992" s="14"/>
      <c r="R1992" s="11"/>
      <c r="S1992" s="11"/>
      <c r="T1992" s="5">
        <f t="shared" si="2890"/>
        <v>0</v>
      </c>
      <c r="U1992" s="14"/>
      <c r="V1992" s="11"/>
      <c r="W1992" s="11"/>
      <c r="X1992" s="5">
        <f t="shared" si="2891"/>
        <v>0</v>
      </c>
      <c r="Y1992" s="25"/>
      <c r="Z1992" s="26"/>
      <c r="AA1992" s="26"/>
      <c r="AB1992" s="8">
        <f t="shared" si="2892"/>
        <v>0</v>
      </c>
      <c r="AC1992" s="86">
        <f t="shared" si="2893"/>
        <v>0</v>
      </c>
    </row>
    <row r="1993" spans="1:30" ht="14.25" thickBot="1" x14ac:dyDescent="0.2">
      <c r="A1993" s="102" t="s">
        <v>3</v>
      </c>
      <c r="B1993" s="28"/>
      <c r="C1993" s="29"/>
      <c r="D1993" s="32"/>
      <c r="E1993" s="15">
        <f t="shared" si="2886"/>
        <v>0</v>
      </c>
      <c r="F1993" s="35"/>
      <c r="G1993" s="29"/>
      <c r="H1993" s="32"/>
      <c r="I1993" s="15">
        <f t="shared" si="2887"/>
        <v>0</v>
      </c>
      <c r="J1993" s="35"/>
      <c r="K1993" s="29"/>
      <c r="L1993" s="32"/>
      <c r="M1993" s="40">
        <f t="shared" si="2888"/>
        <v>0</v>
      </c>
      <c r="N1993" s="139">
        <f t="shared" si="2889"/>
        <v>0</v>
      </c>
      <c r="P1993" s="6" t="s">
        <v>3</v>
      </c>
      <c r="Q1993" s="14"/>
      <c r="R1993" s="11"/>
      <c r="S1993" s="11"/>
      <c r="T1993" s="5">
        <f t="shared" si="2890"/>
        <v>0</v>
      </c>
      <c r="U1993" s="14"/>
      <c r="V1993" s="11"/>
      <c r="W1993" s="11"/>
      <c r="X1993" s="5">
        <f t="shared" si="2891"/>
        <v>0</v>
      </c>
      <c r="Y1993" s="25"/>
      <c r="Z1993" s="26"/>
      <c r="AA1993" s="26"/>
      <c r="AB1993" s="8">
        <f t="shared" si="2892"/>
        <v>0</v>
      </c>
      <c r="AC1993" s="86">
        <f t="shared" si="2893"/>
        <v>0</v>
      </c>
    </row>
    <row r="1994" spans="1:30" ht="14.25" thickBot="1" x14ac:dyDescent="0.2">
      <c r="A1994" s="103" t="s">
        <v>4</v>
      </c>
      <c r="B1994" s="17">
        <f>SUM(B1983:B1993)</f>
        <v>29</v>
      </c>
      <c r="C1994" s="17">
        <f>SUM(C1983:C1993)</f>
        <v>26</v>
      </c>
      <c r="D1994" s="17">
        <f>SUM(D1983:D1993)</f>
        <v>20</v>
      </c>
      <c r="E1994" s="18">
        <f t="shared" si="2886"/>
        <v>75</v>
      </c>
      <c r="F1994" s="17">
        <f>SUM(F1983:F1993)</f>
        <v>26</v>
      </c>
      <c r="G1994" s="17">
        <f>SUM(G1983:G1993)</f>
        <v>28</v>
      </c>
      <c r="H1994" s="17">
        <f>SUM(H1983:H1993)</f>
        <v>18</v>
      </c>
      <c r="I1994" s="18">
        <f t="shared" si="2887"/>
        <v>72</v>
      </c>
      <c r="J1994" s="17">
        <f>SUM(J1983:J1993)</f>
        <v>29</v>
      </c>
      <c r="K1994" s="17">
        <f>SUM(K1983:K1993)</f>
        <v>27</v>
      </c>
      <c r="L1994" s="17">
        <f>SUM(L1983:L1993)</f>
        <v>22</v>
      </c>
      <c r="M1994" s="20">
        <f t="shared" si="2888"/>
        <v>78</v>
      </c>
      <c r="N1994" s="140">
        <f t="shared" si="2889"/>
        <v>225</v>
      </c>
      <c r="P1994" s="16" t="s">
        <v>4</v>
      </c>
      <c r="Q1994" s="17">
        <f>SUM(Q1983:Q1993)</f>
        <v>480</v>
      </c>
      <c r="R1994" s="17">
        <f t="shared" ref="R1994:AC1994" si="2902">SUM(R1983:R1993)</f>
        <v>613</v>
      </c>
      <c r="S1994" s="17">
        <f t="shared" si="2902"/>
        <v>565</v>
      </c>
      <c r="T1994" s="18">
        <f t="shared" si="2902"/>
        <v>1658</v>
      </c>
      <c r="U1994" s="17">
        <f t="shared" si="2902"/>
        <v>528</v>
      </c>
      <c r="V1994" s="17">
        <f t="shared" si="2902"/>
        <v>617</v>
      </c>
      <c r="W1994" s="17">
        <f t="shared" si="2902"/>
        <v>521</v>
      </c>
      <c r="X1994" s="18">
        <f t="shared" si="2902"/>
        <v>1666</v>
      </c>
      <c r="Y1994" s="17">
        <f t="shared" si="2902"/>
        <v>477</v>
      </c>
      <c r="Z1994" s="17">
        <f t="shared" si="2902"/>
        <v>486</v>
      </c>
      <c r="AA1994" s="17">
        <f t="shared" si="2902"/>
        <v>532</v>
      </c>
      <c r="AB1994" s="18">
        <f t="shared" si="2902"/>
        <v>1495</v>
      </c>
      <c r="AC1994" s="88">
        <f t="shared" si="2902"/>
        <v>4819</v>
      </c>
    </row>
    <row r="1995" spans="1:30" x14ac:dyDescent="0.15">
      <c r="A1995" s="33"/>
      <c r="B1995" s="9"/>
      <c r="C1995" s="10"/>
      <c r="D1995" s="31"/>
      <c r="E1995" s="5">
        <f t="shared" si="2886"/>
        <v>0</v>
      </c>
      <c r="F1995" s="9"/>
      <c r="G1995" s="10"/>
      <c r="H1995" s="31"/>
      <c r="I1995" s="5">
        <f t="shared" si="2887"/>
        <v>0</v>
      </c>
      <c r="J1995" s="9"/>
      <c r="K1995" s="10"/>
      <c r="L1995" s="31"/>
      <c r="M1995" s="38">
        <f t="shared" si="2888"/>
        <v>0</v>
      </c>
      <c r="N1995" s="141">
        <f t="shared" si="2889"/>
        <v>0</v>
      </c>
      <c r="P1995" s="4"/>
      <c r="Q1995" s="9"/>
      <c r="R1995" s="10"/>
      <c r="S1995" s="31"/>
      <c r="T1995" s="5">
        <f t="shared" ref="T1995:T2006" si="2903">SUM(Q1995:S1995)</f>
        <v>0</v>
      </c>
      <c r="U1995" s="9"/>
      <c r="V1995" s="10"/>
      <c r="W1995" s="31"/>
      <c r="X1995" s="5">
        <f t="shared" ref="X1995:X2006" si="2904">SUM(U1995:W1995)</f>
        <v>0</v>
      </c>
      <c r="Y1995" s="9"/>
      <c r="Z1995" s="10"/>
      <c r="AA1995" s="31"/>
      <c r="AB1995" s="5">
        <f t="shared" ref="AB1995:AB2006" si="2905">SUM(Y1995:AA1995)</f>
        <v>0</v>
      </c>
      <c r="AC1995" s="148">
        <f t="shared" ref="AC1995:AC2006" si="2906">T1995+X1995+AB1995</f>
        <v>0</v>
      </c>
    </row>
    <row r="1996" spans="1:30" x14ac:dyDescent="0.15">
      <c r="A1996" s="33"/>
      <c r="B1996" s="9"/>
      <c r="C1996" s="10"/>
      <c r="D1996" s="10"/>
      <c r="E1996" s="5">
        <f t="shared" si="2886"/>
        <v>0</v>
      </c>
      <c r="F1996" s="9"/>
      <c r="G1996" s="10"/>
      <c r="H1996" s="10"/>
      <c r="I1996" s="5">
        <f t="shared" si="2887"/>
        <v>0</v>
      </c>
      <c r="J1996" s="9"/>
      <c r="K1996" s="10"/>
      <c r="L1996" s="10"/>
      <c r="M1996" s="38">
        <f t="shared" si="2888"/>
        <v>0</v>
      </c>
      <c r="N1996" s="138">
        <f t="shared" si="2889"/>
        <v>0</v>
      </c>
      <c r="P1996" s="4"/>
      <c r="Q1996" s="9"/>
      <c r="R1996" s="10"/>
      <c r="S1996" s="10"/>
      <c r="T1996" s="5">
        <f t="shared" si="2903"/>
        <v>0</v>
      </c>
      <c r="U1996" s="9"/>
      <c r="V1996" s="10"/>
      <c r="W1996" s="10"/>
      <c r="X1996" s="5">
        <f t="shared" si="2904"/>
        <v>0</v>
      </c>
      <c r="Y1996" s="9"/>
      <c r="Z1996" s="10"/>
      <c r="AA1996" s="10"/>
      <c r="AB1996" s="5">
        <f t="shared" si="2905"/>
        <v>0</v>
      </c>
      <c r="AC1996" s="93">
        <f t="shared" si="2906"/>
        <v>0</v>
      </c>
    </row>
    <row r="1997" spans="1:30" x14ac:dyDescent="0.15">
      <c r="A1997" s="33"/>
      <c r="B1997" s="9"/>
      <c r="C1997" s="10"/>
      <c r="D1997" s="10"/>
      <c r="E1997" s="5">
        <f t="shared" si="2886"/>
        <v>0</v>
      </c>
      <c r="F1997" s="9"/>
      <c r="G1997" s="10"/>
      <c r="H1997" s="10"/>
      <c r="I1997" s="5">
        <f t="shared" si="2887"/>
        <v>0</v>
      </c>
      <c r="J1997" s="9"/>
      <c r="K1997" s="10"/>
      <c r="L1997" s="10"/>
      <c r="M1997" s="38">
        <f t="shared" si="2888"/>
        <v>0</v>
      </c>
      <c r="N1997" s="138">
        <f t="shared" si="2889"/>
        <v>0</v>
      </c>
      <c r="P1997" s="11"/>
      <c r="Q1997" s="9"/>
      <c r="R1997" s="10"/>
      <c r="S1997" s="10"/>
      <c r="T1997" s="5">
        <f t="shared" si="2903"/>
        <v>0</v>
      </c>
      <c r="U1997" s="9"/>
      <c r="V1997" s="10"/>
      <c r="W1997" s="10"/>
      <c r="X1997" s="5">
        <f t="shared" si="2904"/>
        <v>0</v>
      </c>
      <c r="Y1997" s="9"/>
      <c r="Z1997" s="10"/>
      <c r="AA1997" s="10"/>
      <c r="AB1997" s="5">
        <f t="shared" si="2905"/>
        <v>0</v>
      </c>
      <c r="AC1997" s="93">
        <f t="shared" si="2906"/>
        <v>0</v>
      </c>
    </row>
    <row r="1998" spans="1:30" x14ac:dyDescent="0.15">
      <c r="A1998" s="33"/>
      <c r="B1998" s="9"/>
      <c r="C1998" s="10"/>
      <c r="D1998" s="10"/>
      <c r="E1998" s="5">
        <f t="shared" si="2886"/>
        <v>0</v>
      </c>
      <c r="F1998" s="9"/>
      <c r="G1998" s="10"/>
      <c r="H1998" s="10"/>
      <c r="I1998" s="5">
        <f t="shared" si="2887"/>
        <v>0</v>
      </c>
      <c r="J1998" s="9"/>
      <c r="K1998" s="10"/>
      <c r="L1998" s="10"/>
      <c r="M1998" s="38">
        <f t="shared" si="2888"/>
        <v>0</v>
      </c>
      <c r="N1998" s="138">
        <f t="shared" si="2889"/>
        <v>0</v>
      </c>
      <c r="P1998" s="11"/>
      <c r="Q1998" s="9"/>
      <c r="R1998" s="10"/>
      <c r="S1998" s="10"/>
      <c r="T1998" s="5">
        <f t="shared" si="2903"/>
        <v>0</v>
      </c>
      <c r="U1998" s="9"/>
      <c r="V1998" s="10"/>
      <c r="W1998" s="10"/>
      <c r="X1998" s="5">
        <f t="shared" si="2904"/>
        <v>0</v>
      </c>
      <c r="Y1998" s="9"/>
      <c r="Z1998" s="10"/>
      <c r="AA1998" s="10"/>
      <c r="AB1998" s="5">
        <f t="shared" si="2905"/>
        <v>0</v>
      </c>
      <c r="AC1998" s="93">
        <f t="shared" si="2906"/>
        <v>0</v>
      </c>
    </row>
    <row r="1999" spans="1:30" x14ac:dyDescent="0.15">
      <c r="A1999" s="33"/>
      <c r="B1999" s="9"/>
      <c r="C1999" s="10"/>
      <c r="D1999" s="10"/>
      <c r="E1999" s="5">
        <f t="shared" si="2886"/>
        <v>0</v>
      </c>
      <c r="F1999" s="9"/>
      <c r="G1999" s="10"/>
      <c r="H1999" s="10"/>
      <c r="I1999" s="5">
        <f t="shared" si="2887"/>
        <v>0</v>
      </c>
      <c r="J1999" s="9"/>
      <c r="K1999" s="10"/>
      <c r="L1999" s="10"/>
      <c r="M1999" s="38">
        <f t="shared" si="2888"/>
        <v>0</v>
      </c>
      <c r="N1999" s="138">
        <f t="shared" si="2889"/>
        <v>0</v>
      </c>
      <c r="P1999" s="11"/>
      <c r="Q1999" s="9"/>
      <c r="R1999" s="10"/>
      <c r="S1999" s="10"/>
      <c r="T1999" s="5">
        <f t="shared" si="2903"/>
        <v>0</v>
      </c>
      <c r="U1999" s="9"/>
      <c r="V1999" s="10"/>
      <c r="W1999" s="10"/>
      <c r="X1999" s="5">
        <f t="shared" si="2904"/>
        <v>0</v>
      </c>
      <c r="Y1999" s="9"/>
      <c r="Z1999" s="10"/>
      <c r="AA1999" s="10"/>
      <c r="AB1999" s="5">
        <f t="shared" si="2905"/>
        <v>0</v>
      </c>
      <c r="AC1999" s="93">
        <f t="shared" si="2906"/>
        <v>0</v>
      </c>
    </row>
    <row r="2000" spans="1:30" x14ac:dyDescent="0.15">
      <c r="A2000" s="33"/>
      <c r="B2000" s="9"/>
      <c r="C2000" s="10"/>
      <c r="D2000" s="10"/>
      <c r="E2000" s="8">
        <f t="shared" si="2886"/>
        <v>0</v>
      </c>
      <c r="F2000" s="9"/>
      <c r="G2000" s="10"/>
      <c r="H2000" s="10"/>
      <c r="I2000" s="8">
        <f t="shared" si="2887"/>
        <v>0</v>
      </c>
      <c r="J2000" s="9"/>
      <c r="K2000" s="10"/>
      <c r="L2000" s="10"/>
      <c r="M2000" s="39">
        <f t="shared" si="2888"/>
        <v>0</v>
      </c>
      <c r="N2000" s="138">
        <f t="shared" si="2889"/>
        <v>0</v>
      </c>
      <c r="P2000" s="4"/>
      <c r="Q2000" s="9"/>
      <c r="R2000" s="10"/>
      <c r="S2000" s="10"/>
      <c r="T2000" s="8">
        <f t="shared" si="2903"/>
        <v>0</v>
      </c>
      <c r="U2000" s="9"/>
      <c r="V2000" s="10"/>
      <c r="W2000" s="10"/>
      <c r="X2000" s="8">
        <f t="shared" si="2904"/>
        <v>0</v>
      </c>
      <c r="Y2000" s="9"/>
      <c r="Z2000" s="10"/>
      <c r="AA2000" s="10"/>
      <c r="AB2000" s="8">
        <f t="shared" si="2905"/>
        <v>0</v>
      </c>
      <c r="AC2000" s="93">
        <f t="shared" si="2906"/>
        <v>0</v>
      </c>
    </row>
    <row r="2001" spans="1:30" x14ac:dyDescent="0.15">
      <c r="A2001" s="33"/>
      <c r="B2001" s="9"/>
      <c r="C2001" s="10"/>
      <c r="D2001" s="10"/>
      <c r="E2001" s="8">
        <f t="shared" si="2886"/>
        <v>0</v>
      </c>
      <c r="F2001" s="9"/>
      <c r="G2001" s="10"/>
      <c r="H2001" s="10"/>
      <c r="I2001" s="8">
        <f t="shared" si="2887"/>
        <v>0</v>
      </c>
      <c r="J2001" s="9"/>
      <c r="K2001" s="10"/>
      <c r="L2001" s="10"/>
      <c r="M2001" s="39">
        <f t="shared" si="2888"/>
        <v>0</v>
      </c>
      <c r="N2001" s="138">
        <f t="shared" si="2889"/>
        <v>0</v>
      </c>
      <c r="P2001" s="11"/>
      <c r="Q2001" s="9"/>
      <c r="R2001" s="10"/>
      <c r="S2001" s="10"/>
      <c r="T2001" s="8">
        <f t="shared" si="2903"/>
        <v>0</v>
      </c>
      <c r="U2001" s="9"/>
      <c r="V2001" s="10"/>
      <c r="W2001" s="10"/>
      <c r="X2001" s="8">
        <f t="shared" si="2904"/>
        <v>0</v>
      </c>
      <c r="Y2001" s="9"/>
      <c r="Z2001" s="10"/>
      <c r="AA2001" s="10"/>
      <c r="AB2001" s="8">
        <f t="shared" si="2905"/>
        <v>0</v>
      </c>
      <c r="AC2001" s="93">
        <f t="shared" si="2906"/>
        <v>0</v>
      </c>
    </row>
    <row r="2002" spans="1:30" x14ac:dyDescent="0.15">
      <c r="A2002" s="33"/>
      <c r="B2002" s="9"/>
      <c r="C2002" s="10"/>
      <c r="D2002" s="10"/>
      <c r="E2002" s="8">
        <f t="shared" si="2886"/>
        <v>0</v>
      </c>
      <c r="F2002" s="9"/>
      <c r="G2002" s="10"/>
      <c r="H2002" s="10"/>
      <c r="I2002" s="8">
        <f t="shared" si="2887"/>
        <v>0</v>
      </c>
      <c r="J2002" s="9"/>
      <c r="K2002" s="10"/>
      <c r="L2002" s="10"/>
      <c r="M2002" s="39">
        <f t="shared" si="2888"/>
        <v>0</v>
      </c>
      <c r="N2002" s="138">
        <f t="shared" si="2889"/>
        <v>0</v>
      </c>
      <c r="P2002" s="4"/>
      <c r="Q2002" s="9"/>
      <c r="R2002" s="10"/>
      <c r="S2002" s="10"/>
      <c r="T2002" s="8">
        <f t="shared" si="2903"/>
        <v>0</v>
      </c>
      <c r="U2002" s="9"/>
      <c r="V2002" s="10"/>
      <c r="W2002" s="10"/>
      <c r="X2002" s="8">
        <f t="shared" si="2904"/>
        <v>0</v>
      </c>
      <c r="Y2002" s="9"/>
      <c r="Z2002" s="10"/>
      <c r="AA2002" s="10"/>
      <c r="AB2002" s="8">
        <f t="shared" si="2905"/>
        <v>0</v>
      </c>
      <c r="AC2002" s="93">
        <f t="shared" si="2906"/>
        <v>0</v>
      </c>
    </row>
    <row r="2003" spans="1:30" x14ac:dyDescent="0.15">
      <c r="A2003" s="33"/>
      <c r="B2003" s="9"/>
      <c r="C2003" s="10"/>
      <c r="D2003" s="10"/>
      <c r="E2003" s="8">
        <f t="shared" si="2886"/>
        <v>0</v>
      </c>
      <c r="F2003" s="9"/>
      <c r="G2003" s="10"/>
      <c r="H2003" s="10"/>
      <c r="I2003" s="8">
        <f t="shared" si="2887"/>
        <v>0</v>
      </c>
      <c r="J2003" s="9"/>
      <c r="K2003" s="10"/>
      <c r="L2003" s="10"/>
      <c r="M2003" s="39">
        <f t="shared" si="2888"/>
        <v>0</v>
      </c>
      <c r="N2003" s="138">
        <f t="shared" si="2889"/>
        <v>0</v>
      </c>
      <c r="P2003" s="4"/>
      <c r="Q2003" s="9"/>
      <c r="R2003" s="10"/>
      <c r="S2003" s="10"/>
      <c r="T2003" s="8">
        <f t="shared" si="2903"/>
        <v>0</v>
      </c>
      <c r="U2003" s="9"/>
      <c r="V2003" s="10"/>
      <c r="W2003" s="10"/>
      <c r="X2003" s="8">
        <f t="shared" si="2904"/>
        <v>0</v>
      </c>
      <c r="Y2003" s="9"/>
      <c r="Z2003" s="10"/>
      <c r="AA2003" s="10"/>
      <c r="AB2003" s="8">
        <f t="shared" si="2905"/>
        <v>0</v>
      </c>
      <c r="AC2003" s="93">
        <f t="shared" si="2906"/>
        <v>0</v>
      </c>
    </row>
    <row r="2004" spans="1:30" x14ac:dyDescent="0.15">
      <c r="A2004" s="33"/>
      <c r="B2004" s="9"/>
      <c r="C2004" s="10"/>
      <c r="D2004" s="10"/>
      <c r="E2004" s="8">
        <f t="shared" si="2886"/>
        <v>0</v>
      </c>
      <c r="F2004" s="9"/>
      <c r="G2004" s="10"/>
      <c r="H2004" s="10"/>
      <c r="I2004" s="8">
        <f t="shared" si="2887"/>
        <v>0</v>
      </c>
      <c r="J2004" s="9"/>
      <c r="K2004" s="10"/>
      <c r="L2004" s="10"/>
      <c r="M2004" s="39">
        <f t="shared" si="2888"/>
        <v>0</v>
      </c>
      <c r="N2004" s="138">
        <f t="shared" si="2889"/>
        <v>0</v>
      </c>
      <c r="P2004" s="4"/>
      <c r="Q2004" s="9"/>
      <c r="R2004" s="10"/>
      <c r="S2004" s="10"/>
      <c r="T2004" s="8">
        <f t="shared" si="2903"/>
        <v>0</v>
      </c>
      <c r="U2004" s="9"/>
      <c r="V2004" s="10"/>
      <c r="W2004" s="10"/>
      <c r="X2004" s="8">
        <f t="shared" si="2904"/>
        <v>0</v>
      </c>
      <c r="Y2004" s="9"/>
      <c r="Z2004" s="10"/>
      <c r="AA2004" s="10"/>
      <c r="AB2004" s="8">
        <f t="shared" si="2905"/>
        <v>0</v>
      </c>
      <c r="AC2004" s="93">
        <f t="shared" si="2906"/>
        <v>0</v>
      </c>
    </row>
    <row r="2005" spans="1:30" x14ac:dyDescent="0.15">
      <c r="A2005" s="33"/>
      <c r="B2005" s="9"/>
      <c r="C2005" s="10"/>
      <c r="D2005" s="10"/>
      <c r="E2005" s="8">
        <f t="shared" si="2886"/>
        <v>0</v>
      </c>
      <c r="F2005" s="9"/>
      <c r="G2005" s="10"/>
      <c r="H2005" s="10"/>
      <c r="I2005" s="8">
        <f t="shared" si="2887"/>
        <v>0</v>
      </c>
      <c r="J2005" s="9"/>
      <c r="K2005" s="10"/>
      <c r="L2005" s="10"/>
      <c r="M2005" s="39">
        <f t="shared" si="2888"/>
        <v>0</v>
      </c>
      <c r="N2005" s="138">
        <f t="shared" si="2889"/>
        <v>0</v>
      </c>
      <c r="P2005" s="4"/>
      <c r="Q2005" s="9"/>
      <c r="R2005" s="10"/>
      <c r="S2005" s="10"/>
      <c r="T2005" s="8">
        <f t="shared" si="2903"/>
        <v>0</v>
      </c>
      <c r="U2005" s="9"/>
      <c r="V2005" s="10"/>
      <c r="W2005" s="10"/>
      <c r="X2005" s="8">
        <f t="shared" si="2904"/>
        <v>0</v>
      </c>
      <c r="Y2005" s="9"/>
      <c r="Z2005" s="10"/>
      <c r="AA2005" s="10"/>
      <c r="AB2005" s="8">
        <f t="shared" si="2905"/>
        <v>0</v>
      </c>
      <c r="AC2005" s="93">
        <f t="shared" si="2906"/>
        <v>0</v>
      </c>
    </row>
    <row r="2006" spans="1:30" x14ac:dyDescent="0.15">
      <c r="A2006" s="33"/>
      <c r="B2006" s="9"/>
      <c r="C2006" s="10"/>
      <c r="D2006" s="10"/>
      <c r="E2006" s="8">
        <f t="shared" si="2886"/>
        <v>0</v>
      </c>
      <c r="F2006" s="9"/>
      <c r="G2006" s="10"/>
      <c r="H2006" s="10"/>
      <c r="I2006" s="8">
        <f t="shared" si="2887"/>
        <v>0</v>
      </c>
      <c r="J2006" s="9"/>
      <c r="K2006" s="10"/>
      <c r="L2006" s="10"/>
      <c r="M2006" s="39">
        <f t="shared" si="2888"/>
        <v>0</v>
      </c>
      <c r="N2006" s="138">
        <f t="shared" si="2889"/>
        <v>0</v>
      </c>
      <c r="P2006" s="4"/>
      <c r="Q2006" s="9"/>
      <c r="R2006" s="10"/>
      <c r="S2006" s="10"/>
      <c r="T2006" s="8">
        <f t="shared" si="2903"/>
        <v>0</v>
      </c>
      <c r="U2006" s="9"/>
      <c r="V2006" s="10"/>
      <c r="W2006" s="10"/>
      <c r="X2006" s="8">
        <f t="shared" si="2904"/>
        <v>0</v>
      </c>
      <c r="Y2006" s="9"/>
      <c r="Z2006" s="10"/>
      <c r="AA2006" s="10"/>
      <c r="AB2006" s="8">
        <f t="shared" si="2905"/>
        <v>0</v>
      </c>
      <c r="AC2006" s="93">
        <f t="shared" si="2906"/>
        <v>0</v>
      </c>
    </row>
    <row r="2007" spans="1:30" x14ac:dyDescent="0.15">
      <c r="A2007" s="33"/>
      <c r="B2007" s="9"/>
      <c r="C2007" s="10"/>
      <c r="D2007" s="10"/>
      <c r="E2007" s="8">
        <f t="shared" si="2886"/>
        <v>0</v>
      </c>
      <c r="F2007" s="9"/>
      <c r="G2007" s="10"/>
      <c r="H2007" s="10"/>
      <c r="I2007" s="8">
        <f t="shared" si="2887"/>
        <v>0</v>
      </c>
      <c r="J2007" s="9"/>
      <c r="K2007" s="10"/>
      <c r="L2007" s="10"/>
      <c r="M2007" s="39">
        <f t="shared" si="2888"/>
        <v>0</v>
      </c>
      <c r="N2007" s="138">
        <f t="shared" si="2889"/>
        <v>0</v>
      </c>
      <c r="P2007" s="4"/>
      <c r="Q2007" s="9"/>
      <c r="R2007" s="10"/>
      <c r="S2007" s="10"/>
      <c r="T2007" s="8">
        <f t="shared" ref="T2007:T2016" si="2907">SUM(Q2007:S2007)</f>
        <v>0</v>
      </c>
      <c r="U2007" s="9"/>
      <c r="V2007" s="10"/>
      <c r="W2007" s="10"/>
      <c r="X2007" s="8">
        <f t="shared" ref="X2007:X2016" si="2908">SUM(U2007:W2007)</f>
        <v>0</v>
      </c>
      <c r="Y2007" s="9"/>
      <c r="Z2007" s="10"/>
      <c r="AA2007" s="10"/>
      <c r="AB2007" s="8">
        <f t="shared" ref="AB2007:AB2016" si="2909">SUM(Y2007:AA2007)</f>
        <v>0</v>
      </c>
      <c r="AC2007" s="93">
        <f t="shared" ref="AC2007:AC2016" si="2910">T2007+X2007+AB2007</f>
        <v>0</v>
      </c>
    </row>
    <row r="2008" spans="1:30" x14ac:dyDescent="0.15">
      <c r="A2008" s="33"/>
      <c r="B2008" s="9"/>
      <c r="C2008" s="10"/>
      <c r="D2008" s="10"/>
      <c r="E2008" s="8">
        <f t="shared" si="2886"/>
        <v>0</v>
      </c>
      <c r="F2008" s="9"/>
      <c r="G2008" s="10"/>
      <c r="H2008" s="10"/>
      <c r="I2008" s="8">
        <f t="shared" si="2887"/>
        <v>0</v>
      </c>
      <c r="J2008" s="9"/>
      <c r="K2008" s="10"/>
      <c r="L2008" s="10"/>
      <c r="M2008" s="39">
        <f t="shared" si="2888"/>
        <v>0</v>
      </c>
      <c r="N2008" s="138">
        <f t="shared" si="2889"/>
        <v>0</v>
      </c>
      <c r="P2008" s="4"/>
      <c r="Q2008" s="9"/>
      <c r="R2008" s="10"/>
      <c r="S2008" s="10"/>
      <c r="T2008" s="8">
        <f t="shared" ref="T2008" si="2911">SUM(Q2008:S2008)</f>
        <v>0</v>
      </c>
      <c r="U2008" s="9"/>
      <c r="V2008" s="10"/>
      <c r="W2008" s="10"/>
      <c r="X2008" s="8">
        <f t="shared" ref="X2008" si="2912">SUM(U2008:W2008)</f>
        <v>0</v>
      </c>
      <c r="Y2008" s="9"/>
      <c r="Z2008" s="10"/>
      <c r="AA2008" s="10"/>
      <c r="AB2008" s="8">
        <f t="shared" ref="AB2008" si="2913">SUM(Y2008:AA2008)</f>
        <v>0</v>
      </c>
      <c r="AC2008" s="93">
        <f t="shared" ref="AC2008" si="2914">T2008+X2008+AB2008</f>
        <v>0</v>
      </c>
    </row>
    <row r="2009" spans="1:30" x14ac:dyDescent="0.15">
      <c r="A2009" s="33"/>
      <c r="B2009" s="9"/>
      <c r="C2009" s="10"/>
      <c r="D2009" s="10"/>
      <c r="E2009" s="8">
        <f t="shared" si="2886"/>
        <v>0</v>
      </c>
      <c r="F2009" s="9"/>
      <c r="G2009" s="10"/>
      <c r="H2009" s="10"/>
      <c r="I2009" s="8">
        <f t="shared" si="2887"/>
        <v>0</v>
      </c>
      <c r="J2009" s="9"/>
      <c r="K2009" s="10"/>
      <c r="L2009" s="10"/>
      <c r="M2009" s="39">
        <f t="shared" si="2888"/>
        <v>0</v>
      </c>
      <c r="N2009" s="138">
        <f t="shared" si="2889"/>
        <v>0</v>
      </c>
      <c r="P2009" s="4"/>
      <c r="Q2009" s="9"/>
      <c r="R2009" s="10"/>
      <c r="S2009" s="10"/>
      <c r="T2009" s="8">
        <f t="shared" ref="T2009" si="2915">SUM(Q2009:S2009)</f>
        <v>0</v>
      </c>
      <c r="U2009" s="9"/>
      <c r="V2009" s="10"/>
      <c r="W2009" s="10"/>
      <c r="X2009" s="8">
        <f t="shared" ref="X2009" si="2916">SUM(U2009:W2009)</f>
        <v>0</v>
      </c>
      <c r="Y2009" s="9"/>
      <c r="Z2009" s="10"/>
      <c r="AA2009" s="10"/>
      <c r="AB2009" s="8">
        <f t="shared" ref="AB2009" si="2917">SUM(Y2009:AA2009)</f>
        <v>0</v>
      </c>
      <c r="AC2009" s="93">
        <f t="shared" ref="AC2009" si="2918">T2009+X2009+AB2009</f>
        <v>0</v>
      </c>
    </row>
    <row r="2010" spans="1:30" x14ac:dyDescent="0.15">
      <c r="A2010" s="63"/>
      <c r="B2010" s="9"/>
      <c r="C2010" s="10"/>
      <c r="D2010" s="10"/>
      <c r="E2010" s="8">
        <f t="shared" si="2886"/>
        <v>0</v>
      </c>
      <c r="F2010" s="9"/>
      <c r="G2010" s="10"/>
      <c r="H2010" s="10"/>
      <c r="I2010" s="8">
        <f t="shared" si="2887"/>
        <v>0</v>
      </c>
      <c r="J2010" s="9"/>
      <c r="K2010" s="10"/>
      <c r="L2010" s="10"/>
      <c r="M2010" s="39">
        <f t="shared" si="2888"/>
        <v>0</v>
      </c>
      <c r="N2010" s="138">
        <f t="shared" si="2889"/>
        <v>0</v>
      </c>
      <c r="P2010" s="4"/>
      <c r="Q2010" s="9"/>
      <c r="R2010" s="10"/>
      <c r="S2010" s="10"/>
      <c r="T2010" s="8">
        <f t="shared" ref="T2010" si="2919">SUM(Q2010:S2010)</f>
        <v>0</v>
      </c>
      <c r="U2010" s="9"/>
      <c r="V2010" s="10"/>
      <c r="W2010" s="10"/>
      <c r="X2010" s="8">
        <f t="shared" ref="X2010" si="2920">SUM(U2010:W2010)</f>
        <v>0</v>
      </c>
      <c r="Y2010" s="9"/>
      <c r="Z2010" s="10"/>
      <c r="AA2010" s="10"/>
      <c r="AB2010" s="8">
        <f t="shared" ref="AB2010" si="2921">SUM(Y2010:AA2010)</f>
        <v>0</v>
      </c>
      <c r="AC2010" s="93">
        <f t="shared" ref="AC2010" si="2922">T2010+X2010+AB2010</f>
        <v>0</v>
      </c>
    </row>
    <row r="2011" spans="1:30" x14ac:dyDescent="0.15">
      <c r="A2011" s="33"/>
      <c r="B2011" s="9"/>
      <c r="C2011" s="10"/>
      <c r="D2011" s="10"/>
      <c r="E2011" s="8">
        <f t="shared" si="2886"/>
        <v>0</v>
      </c>
      <c r="F2011" s="9"/>
      <c r="G2011" s="10"/>
      <c r="H2011" s="10"/>
      <c r="I2011" s="8">
        <f t="shared" si="2887"/>
        <v>0</v>
      </c>
      <c r="J2011" s="9"/>
      <c r="K2011" s="10"/>
      <c r="L2011" s="10"/>
      <c r="M2011" s="39">
        <f t="shared" si="2888"/>
        <v>0</v>
      </c>
      <c r="N2011" s="138">
        <f t="shared" si="2889"/>
        <v>0</v>
      </c>
      <c r="P2011" s="126" t="s">
        <v>1756</v>
      </c>
      <c r="Q2011" s="68">
        <v>-30</v>
      </c>
      <c r="R2011" s="69">
        <v>-30</v>
      </c>
      <c r="S2011" s="69">
        <v>-20</v>
      </c>
      <c r="T2011" s="67">
        <f t="shared" si="2907"/>
        <v>-80</v>
      </c>
      <c r="U2011" s="68">
        <v>-30</v>
      </c>
      <c r="V2011" s="69">
        <v>-30</v>
      </c>
      <c r="W2011" s="69">
        <v>-20</v>
      </c>
      <c r="X2011" s="67">
        <f t="shared" si="2908"/>
        <v>-80</v>
      </c>
      <c r="Y2011" s="68">
        <v>-30</v>
      </c>
      <c r="Z2011" s="69">
        <v>-30</v>
      </c>
      <c r="AA2011" s="69">
        <v>-20</v>
      </c>
      <c r="AB2011" s="67">
        <f t="shared" si="2909"/>
        <v>-80</v>
      </c>
      <c r="AC2011" s="135">
        <f t="shared" si="2910"/>
        <v>-240</v>
      </c>
      <c r="AD2011" s="123"/>
    </row>
    <row r="2012" spans="1:30" x14ac:dyDescent="0.15">
      <c r="A2012" s="33"/>
      <c r="B2012" s="9"/>
      <c r="C2012" s="10"/>
      <c r="D2012" s="10"/>
      <c r="E2012" s="8">
        <f t="shared" si="2886"/>
        <v>0</v>
      </c>
      <c r="F2012" s="9"/>
      <c r="G2012" s="10"/>
      <c r="H2012" s="10"/>
      <c r="I2012" s="8">
        <f t="shared" si="2887"/>
        <v>0</v>
      </c>
      <c r="J2012" s="9"/>
      <c r="K2012" s="10"/>
      <c r="L2012" s="10"/>
      <c r="M2012" s="39">
        <f t="shared" si="2888"/>
        <v>0</v>
      </c>
      <c r="N2012" s="138">
        <f t="shared" si="2889"/>
        <v>0</v>
      </c>
      <c r="P2012" s="37" t="s">
        <v>1757</v>
      </c>
      <c r="Q2012" s="51">
        <v>60</v>
      </c>
      <c r="R2012" s="52">
        <f>80-30</f>
        <v>50</v>
      </c>
      <c r="S2012" s="52">
        <v>44</v>
      </c>
      <c r="T2012" s="50">
        <f t="shared" si="2907"/>
        <v>154</v>
      </c>
      <c r="U2012" s="51">
        <v>60</v>
      </c>
      <c r="V2012" s="52">
        <f>80-30</f>
        <v>50</v>
      </c>
      <c r="W2012" s="52">
        <v>44</v>
      </c>
      <c r="X2012" s="50">
        <f t="shared" si="2908"/>
        <v>154</v>
      </c>
      <c r="Y2012" s="51">
        <v>60</v>
      </c>
      <c r="Z2012" s="52">
        <f>80-30</f>
        <v>50</v>
      </c>
      <c r="AA2012" s="52">
        <v>44</v>
      </c>
      <c r="AB2012" s="50">
        <f t="shared" si="2909"/>
        <v>154</v>
      </c>
      <c r="AC2012" s="149">
        <f t="shared" si="2910"/>
        <v>462</v>
      </c>
      <c r="AD2012" s="123" t="s">
        <v>1758</v>
      </c>
    </row>
    <row r="2013" spans="1:30" x14ac:dyDescent="0.15">
      <c r="A2013" s="33"/>
      <c r="B2013" s="9"/>
      <c r="C2013" s="10"/>
      <c r="D2013" s="10"/>
      <c r="E2013" s="8">
        <f t="shared" si="2886"/>
        <v>0</v>
      </c>
      <c r="F2013" s="9"/>
      <c r="G2013" s="10"/>
      <c r="H2013" s="10"/>
      <c r="I2013" s="8">
        <f t="shared" si="2887"/>
        <v>0</v>
      </c>
      <c r="J2013" s="9"/>
      <c r="K2013" s="10"/>
      <c r="L2013" s="10"/>
      <c r="M2013" s="39">
        <f t="shared" si="2888"/>
        <v>0</v>
      </c>
      <c r="N2013" s="138">
        <f t="shared" si="2889"/>
        <v>0</v>
      </c>
      <c r="P2013" s="126" t="s">
        <v>1640</v>
      </c>
      <c r="Q2013" s="68">
        <v>-20</v>
      </c>
      <c r="R2013" s="69">
        <v>-40</v>
      </c>
      <c r="S2013" s="69">
        <v>-20</v>
      </c>
      <c r="T2013" s="67">
        <f t="shared" si="2907"/>
        <v>-80</v>
      </c>
      <c r="U2013" s="68">
        <v>-20</v>
      </c>
      <c r="V2013" s="69">
        <v>-40</v>
      </c>
      <c r="W2013" s="69">
        <v>-20</v>
      </c>
      <c r="X2013" s="67">
        <f t="shared" si="2908"/>
        <v>-80</v>
      </c>
      <c r="Y2013" s="68">
        <v>-20</v>
      </c>
      <c r="Z2013" s="69">
        <v>-40</v>
      </c>
      <c r="AA2013" s="69">
        <v>-20</v>
      </c>
      <c r="AB2013" s="67">
        <f t="shared" si="2909"/>
        <v>-80</v>
      </c>
      <c r="AC2013" s="135">
        <f t="shared" si="2910"/>
        <v>-240</v>
      </c>
      <c r="AD2013" s="123"/>
    </row>
    <row r="2014" spans="1:30" x14ac:dyDescent="0.15">
      <c r="A2014" s="33"/>
      <c r="B2014" s="9"/>
      <c r="C2014" s="10"/>
      <c r="D2014" s="10"/>
      <c r="E2014" s="8">
        <f t="shared" si="2886"/>
        <v>0</v>
      </c>
      <c r="F2014" s="9"/>
      <c r="G2014" s="10"/>
      <c r="H2014" s="10"/>
      <c r="I2014" s="8">
        <f t="shared" si="2887"/>
        <v>0</v>
      </c>
      <c r="J2014" s="9"/>
      <c r="K2014" s="10"/>
      <c r="L2014" s="10"/>
      <c r="M2014" s="39">
        <f t="shared" si="2888"/>
        <v>0</v>
      </c>
      <c r="N2014" s="138">
        <f t="shared" si="2889"/>
        <v>0</v>
      </c>
      <c r="P2014" s="37" t="s">
        <v>1678</v>
      </c>
      <c r="Q2014" s="51">
        <v>70</v>
      </c>
      <c r="R2014" s="52">
        <v>130</v>
      </c>
      <c r="S2014" s="52">
        <v>90</v>
      </c>
      <c r="T2014" s="50">
        <f t="shared" si="2907"/>
        <v>290</v>
      </c>
      <c r="U2014" s="51">
        <v>70</v>
      </c>
      <c r="V2014" s="52">
        <v>130</v>
      </c>
      <c r="W2014" s="52">
        <v>90</v>
      </c>
      <c r="X2014" s="50">
        <f t="shared" si="2908"/>
        <v>290</v>
      </c>
      <c r="Y2014" s="51">
        <v>70</v>
      </c>
      <c r="Z2014" s="52">
        <v>130</v>
      </c>
      <c r="AA2014" s="52">
        <v>90</v>
      </c>
      <c r="AB2014" s="50">
        <f t="shared" si="2909"/>
        <v>290</v>
      </c>
      <c r="AC2014" s="149">
        <f t="shared" si="2910"/>
        <v>870</v>
      </c>
      <c r="AD2014" s="123" t="s">
        <v>1679</v>
      </c>
    </row>
    <row r="2015" spans="1:30" x14ac:dyDescent="0.15">
      <c r="A2015" s="33"/>
      <c r="B2015" s="9"/>
      <c r="C2015" s="10"/>
      <c r="D2015" s="10"/>
      <c r="E2015" s="8">
        <f t="shared" si="2886"/>
        <v>0</v>
      </c>
      <c r="F2015" s="9"/>
      <c r="G2015" s="10"/>
      <c r="H2015" s="10"/>
      <c r="I2015" s="8">
        <f t="shared" si="2887"/>
        <v>0</v>
      </c>
      <c r="J2015" s="9"/>
      <c r="K2015" s="10"/>
      <c r="L2015" s="10"/>
      <c r="M2015" s="39">
        <f t="shared" si="2888"/>
        <v>0</v>
      </c>
      <c r="N2015" s="138">
        <f t="shared" si="2889"/>
        <v>0</v>
      </c>
      <c r="P2015" s="126" t="s">
        <v>1810</v>
      </c>
      <c r="Q2015" s="68">
        <v>-10</v>
      </c>
      <c r="R2015" s="69">
        <v>0</v>
      </c>
      <c r="S2015" s="69">
        <v>-10</v>
      </c>
      <c r="T2015" s="67">
        <f t="shared" si="2907"/>
        <v>-20</v>
      </c>
      <c r="U2015" s="68">
        <v>-10</v>
      </c>
      <c r="V2015" s="69">
        <v>0</v>
      </c>
      <c r="W2015" s="69">
        <v>-10</v>
      </c>
      <c r="X2015" s="67">
        <f t="shared" si="2908"/>
        <v>-20</v>
      </c>
      <c r="Y2015" s="68">
        <v>-10</v>
      </c>
      <c r="Z2015" s="69">
        <v>0</v>
      </c>
      <c r="AA2015" s="69">
        <v>-10</v>
      </c>
      <c r="AB2015" s="67">
        <f t="shared" si="2909"/>
        <v>-20</v>
      </c>
      <c r="AC2015" s="135">
        <f t="shared" si="2910"/>
        <v>-60</v>
      </c>
    </row>
    <row r="2016" spans="1:30" x14ac:dyDescent="0.15">
      <c r="A2016" s="33"/>
      <c r="B2016" s="9"/>
      <c r="C2016" s="10"/>
      <c r="D2016" s="10"/>
      <c r="E2016" s="8">
        <f t="shared" si="2886"/>
        <v>0</v>
      </c>
      <c r="F2016" s="9"/>
      <c r="G2016" s="10"/>
      <c r="H2016" s="10"/>
      <c r="I2016" s="8">
        <f t="shared" si="2887"/>
        <v>0</v>
      </c>
      <c r="J2016" s="9"/>
      <c r="K2016" s="10"/>
      <c r="L2016" s="10"/>
      <c r="M2016" s="39">
        <f t="shared" si="2888"/>
        <v>0</v>
      </c>
      <c r="N2016" s="138">
        <f t="shared" si="2889"/>
        <v>0</v>
      </c>
      <c r="P2016" s="37" t="s">
        <v>1808</v>
      </c>
      <c r="Q2016" s="51">
        <v>20</v>
      </c>
      <c r="R2016" s="52">
        <v>20</v>
      </c>
      <c r="S2016" s="52">
        <v>20</v>
      </c>
      <c r="T2016" s="50">
        <f t="shared" si="2907"/>
        <v>60</v>
      </c>
      <c r="U2016" s="51">
        <v>20</v>
      </c>
      <c r="V2016" s="52">
        <v>20</v>
      </c>
      <c r="W2016" s="52">
        <v>20</v>
      </c>
      <c r="X2016" s="50">
        <f t="shared" si="2908"/>
        <v>60</v>
      </c>
      <c r="Y2016" s="51">
        <v>20</v>
      </c>
      <c r="Z2016" s="52">
        <v>20</v>
      </c>
      <c r="AA2016" s="52">
        <v>20</v>
      </c>
      <c r="AB2016" s="50">
        <f t="shared" si="2909"/>
        <v>60</v>
      </c>
      <c r="AC2016" s="149">
        <f t="shared" si="2910"/>
        <v>180</v>
      </c>
      <c r="AD2016" s="123" t="s">
        <v>1809</v>
      </c>
    </row>
    <row r="2017" spans="1:30" x14ac:dyDescent="0.15">
      <c r="A2017" s="33"/>
      <c r="B2017" s="9"/>
      <c r="C2017" s="10"/>
      <c r="D2017" s="10"/>
      <c r="E2017" s="8">
        <f t="shared" si="2886"/>
        <v>0</v>
      </c>
      <c r="F2017" s="9"/>
      <c r="G2017" s="10"/>
      <c r="H2017" s="10"/>
      <c r="I2017" s="8">
        <f t="shared" si="2887"/>
        <v>0</v>
      </c>
      <c r="J2017" s="9"/>
      <c r="K2017" s="10"/>
      <c r="L2017" s="10"/>
      <c r="M2017" s="39">
        <f t="shared" si="2888"/>
        <v>0</v>
      </c>
      <c r="N2017" s="138">
        <f t="shared" si="2889"/>
        <v>0</v>
      </c>
      <c r="P2017" s="126" t="s">
        <v>1736</v>
      </c>
      <c r="Q2017" s="68">
        <v>-15</v>
      </c>
      <c r="R2017" s="69">
        <v>-10</v>
      </c>
      <c r="S2017" s="69">
        <v>-10</v>
      </c>
      <c r="T2017" s="67">
        <f t="shared" ref="T2017:T2018" si="2923">SUM(Q2017:S2017)</f>
        <v>-35</v>
      </c>
      <c r="U2017" s="68">
        <v>-15</v>
      </c>
      <c r="V2017" s="69">
        <v>-10</v>
      </c>
      <c r="W2017" s="69">
        <v>-10</v>
      </c>
      <c r="X2017" s="67">
        <f t="shared" ref="X2017:X2018" si="2924">SUM(U2017:W2017)</f>
        <v>-35</v>
      </c>
      <c r="Y2017" s="68">
        <v>-15</v>
      </c>
      <c r="Z2017" s="69">
        <v>-10</v>
      </c>
      <c r="AA2017" s="69">
        <v>-10</v>
      </c>
      <c r="AB2017" s="67">
        <f t="shared" ref="AB2017:AB2018" si="2925">SUM(Y2017:AA2017)</f>
        <v>-35</v>
      </c>
      <c r="AC2017" s="135">
        <f t="shared" ref="AC2017:AC2018" si="2926">T2017+X2017+AB2017</f>
        <v>-105</v>
      </c>
      <c r="AD2017" s="128"/>
    </row>
    <row r="2018" spans="1:30" ht="14.25" thickBot="1" x14ac:dyDescent="0.2">
      <c r="A2018" s="63"/>
      <c r="B2018" s="9"/>
      <c r="C2018" s="10"/>
      <c r="D2018" s="22"/>
      <c r="E2018" s="8">
        <f t="shared" si="2886"/>
        <v>0</v>
      </c>
      <c r="F2018" s="9"/>
      <c r="G2018" s="10"/>
      <c r="H2018" s="22"/>
      <c r="I2018" s="8">
        <f t="shared" si="2887"/>
        <v>0</v>
      </c>
      <c r="J2018" s="9"/>
      <c r="K2018" s="10"/>
      <c r="L2018" s="22"/>
      <c r="M2018" s="39">
        <f t="shared" si="2888"/>
        <v>0</v>
      </c>
      <c r="N2018" s="139">
        <f t="shared" si="2889"/>
        <v>0</v>
      </c>
      <c r="P2018" s="37" t="s">
        <v>1748</v>
      </c>
      <c r="Q2018" s="51">
        <v>85</v>
      </c>
      <c r="R2018" s="52">
        <v>70</v>
      </c>
      <c r="S2018" s="52">
        <v>65</v>
      </c>
      <c r="T2018" s="50">
        <f t="shared" si="2923"/>
        <v>220</v>
      </c>
      <c r="U2018" s="51">
        <v>85</v>
      </c>
      <c r="V2018" s="52">
        <v>70</v>
      </c>
      <c r="W2018" s="52">
        <v>65</v>
      </c>
      <c r="X2018" s="50">
        <f t="shared" si="2924"/>
        <v>220</v>
      </c>
      <c r="Y2018" s="51">
        <v>85</v>
      </c>
      <c r="Z2018" s="52">
        <v>70</v>
      </c>
      <c r="AA2018" s="52">
        <v>65</v>
      </c>
      <c r="AB2018" s="50">
        <f t="shared" si="2925"/>
        <v>220</v>
      </c>
      <c r="AC2018" s="149">
        <f t="shared" si="2926"/>
        <v>660</v>
      </c>
      <c r="AD2018" s="123" t="s">
        <v>1737</v>
      </c>
    </row>
    <row r="2019" spans="1:30" ht="14.25" thickBot="1" x14ac:dyDescent="0.2">
      <c r="A2019" s="104" t="s">
        <v>5</v>
      </c>
      <c r="B2019" s="12">
        <f>SUM(B1995:B2018)</f>
        <v>0</v>
      </c>
      <c r="C2019" s="12">
        <f>SUM(C1995:C2018)</f>
        <v>0</v>
      </c>
      <c r="D2019" s="12">
        <f>SUM(D1995:D2018)</f>
        <v>0</v>
      </c>
      <c r="E2019" s="13">
        <f t="shared" si="2886"/>
        <v>0</v>
      </c>
      <c r="F2019" s="12">
        <f>SUM(F1995:F2018)</f>
        <v>0</v>
      </c>
      <c r="G2019" s="12">
        <f>SUM(G1995:G2018)</f>
        <v>0</v>
      </c>
      <c r="H2019" s="12">
        <f>SUM(H1995:H2018)</f>
        <v>0</v>
      </c>
      <c r="I2019" s="13">
        <f t="shared" si="2887"/>
        <v>0</v>
      </c>
      <c r="J2019" s="12">
        <f>SUM(J1995:J2018)</f>
        <v>0</v>
      </c>
      <c r="K2019" s="12">
        <f>SUM(K1995:K2018)</f>
        <v>0</v>
      </c>
      <c r="L2019" s="12">
        <f>SUM(L1995:L2018)</f>
        <v>0</v>
      </c>
      <c r="M2019" s="12">
        <f t="shared" si="2888"/>
        <v>0</v>
      </c>
      <c r="N2019" s="142">
        <f t="shared" si="2889"/>
        <v>0</v>
      </c>
      <c r="P2019" s="3" t="s">
        <v>5</v>
      </c>
      <c r="Q2019" s="12">
        <f>SUM(Q1995:Q2018)</f>
        <v>160</v>
      </c>
      <c r="R2019" s="12">
        <f t="shared" ref="R2019:AC2019" si="2927">SUM(R1995:R2018)</f>
        <v>190</v>
      </c>
      <c r="S2019" s="12">
        <f t="shared" si="2927"/>
        <v>159</v>
      </c>
      <c r="T2019" s="13">
        <f t="shared" si="2927"/>
        <v>509</v>
      </c>
      <c r="U2019" s="12">
        <f t="shared" si="2927"/>
        <v>160</v>
      </c>
      <c r="V2019" s="12">
        <f t="shared" si="2927"/>
        <v>190</v>
      </c>
      <c r="W2019" s="12">
        <f t="shared" si="2927"/>
        <v>159</v>
      </c>
      <c r="X2019" s="13">
        <f t="shared" si="2927"/>
        <v>509</v>
      </c>
      <c r="Y2019" s="12">
        <f t="shared" si="2927"/>
        <v>160</v>
      </c>
      <c r="Z2019" s="12">
        <f t="shared" si="2927"/>
        <v>190</v>
      </c>
      <c r="AA2019" s="12">
        <f t="shared" si="2927"/>
        <v>159</v>
      </c>
      <c r="AB2019" s="13">
        <f t="shared" si="2927"/>
        <v>509</v>
      </c>
      <c r="AC2019" s="155">
        <f t="shared" si="2927"/>
        <v>1527</v>
      </c>
    </row>
    <row r="2020" spans="1:30" ht="14.25" thickBot="1" x14ac:dyDescent="0.2">
      <c r="A2020" s="105" t="s">
        <v>6</v>
      </c>
      <c r="B2020" s="20">
        <f>B1994-B2019</f>
        <v>29</v>
      </c>
      <c r="C2020" s="20">
        <f t="shared" ref="C2020:E2020" si="2928">C1994-C2019</f>
        <v>26</v>
      </c>
      <c r="D2020" s="20">
        <f t="shared" si="2928"/>
        <v>20</v>
      </c>
      <c r="E2020" s="18">
        <f t="shared" si="2928"/>
        <v>75</v>
      </c>
      <c r="F2020" s="20">
        <f>F1994-F2019</f>
        <v>26</v>
      </c>
      <c r="G2020" s="20">
        <f t="shared" ref="G2020:I2020" si="2929">G1994-G2019</f>
        <v>28</v>
      </c>
      <c r="H2020" s="20">
        <f t="shared" si="2929"/>
        <v>18</v>
      </c>
      <c r="I2020" s="18">
        <f t="shared" si="2929"/>
        <v>72</v>
      </c>
      <c r="J2020" s="20">
        <f>J1994-J2019</f>
        <v>29</v>
      </c>
      <c r="K2020" s="20">
        <f t="shared" ref="K2020:M2020" si="2930">K1994-K2019</f>
        <v>27</v>
      </c>
      <c r="L2020" s="20">
        <f t="shared" si="2930"/>
        <v>22</v>
      </c>
      <c r="M2020" s="20">
        <f t="shared" si="2930"/>
        <v>78</v>
      </c>
      <c r="N2020" s="140">
        <f t="shared" si="2889"/>
        <v>225</v>
      </c>
      <c r="P2020" s="19" t="s">
        <v>6</v>
      </c>
      <c r="Q2020" s="20">
        <f>Q1994-Q2019</f>
        <v>320</v>
      </c>
      <c r="R2020" s="20">
        <f t="shared" ref="R2020:AC2020" si="2931">R1994-R2019</f>
        <v>423</v>
      </c>
      <c r="S2020" s="20">
        <f t="shared" si="2931"/>
        <v>406</v>
      </c>
      <c r="T2020" s="18">
        <f t="shared" si="2931"/>
        <v>1149</v>
      </c>
      <c r="U2020" s="20">
        <f t="shared" si="2931"/>
        <v>368</v>
      </c>
      <c r="V2020" s="20">
        <f t="shared" si="2931"/>
        <v>427</v>
      </c>
      <c r="W2020" s="20">
        <f t="shared" si="2931"/>
        <v>362</v>
      </c>
      <c r="X2020" s="18">
        <f t="shared" si="2931"/>
        <v>1157</v>
      </c>
      <c r="Y2020" s="20">
        <f t="shared" si="2931"/>
        <v>317</v>
      </c>
      <c r="Z2020" s="20">
        <f t="shared" si="2931"/>
        <v>296</v>
      </c>
      <c r="AA2020" s="20">
        <f t="shared" si="2931"/>
        <v>373</v>
      </c>
      <c r="AB2020" s="18">
        <f t="shared" si="2931"/>
        <v>986</v>
      </c>
      <c r="AC2020" s="88">
        <f t="shared" si="2931"/>
        <v>3292</v>
      </c>
    </row>
    <row r="2023" spans="1:30" ht="19.5" thickBot="1" x14ac:dyDescent="0.25">
      <c r="A2023" s="108" t="s">
        <v>264</v>
      </c>
      <c r="B2023" s="47"/>
      <c r="C2023" s="47"/>
      <c r="D2023" s="47"/>
      <c r="E2023" s="47"/>
      <c r="F2023" s="48"/>
      <c r="G2023" s="48"/>
      <c r="H2023" s="48"/>
      <c r="I2023" s="48"/>
      <c r="J2023" s="48"/>
      <c r="K2023" s="48"/>
      <c r="L2023" s="1"/>
      <c r="M2023" s="1"/>
      <c r="N2023" s="137"/>
      <c r="P2023" s="43" t="s">
        <v>263</v>
      </c>
      <c r="Q2023" s="44"/>
      <c r="R2023" s="44"/>
      <c r="S2023" s="44"/>
      <c r="T2023" s="44"/>
      <c r="U2023" s="45"/>
      <c r="V2023" s="45"/>
      <c r="W2023" s="45"/>
      <c r="X2023" s="45"/>
      <c r="Y2023" s="46"/>
      <c r="Z2023" s="53"/>
      <c r="AA2023" s="1"/>
      <c r="AB2023" s="1"/>
    </row>
    <row r="2024" spans="1:30" ht="14.25" thickBot="1" x14ac:dyDescent="0.2">
      <c r="A2024" s="100" t="s">
        <v>0</v>
      </c>
      <c r="B2024" s="337" t="s">
        <v>11</v>
      </c>
      <c r="C2024" s="337"/>
      <c r="D2024" s="337"/>
      <c r="E2024" s="338"/>
      <c r="F2024" s="339" t="s">
        <v>9</v>
      </c>
      <c r="G2024" s="340"/>
      <c r="H2024" s="340"/>
      <c r="I2024" s="341"/>
      <c r="J2024" s="342" t="s">
        <v>12</v>
      </c>
      <c r="K2024" s="343"/>
      <c r="L2024" s="343"/>
      <c r="M2024" s="343"/>
      <c r="N2024" s="347" t="s">
        <v>13</v>
      </c>
      <c r="P2024" s="2" t="s">
        <v>0</v>
      </c>
      <c r="Q2024" s="336" t="s">
        <v>11</v>
      </c>
      <c r="R2024" s="337"/>
      <c r="S2024" s="337"/>
      <c r="T2024" s="338"/>
      <c r="U2024" s="339" t="s">
        <v>9</v>
      </c>
      <c r="V2024" s="340"/>
      <c r="W2024" s="340"/>
      <c r="X2024" s="341"/>
      <c r="Y2024" s="342" t="s">
        <v>12</v>
      </c>
      <c r="Z2024" s="343"/>
      <c r="AA2024" s="343"/>
      <c r="AB2024" s="344"/>
      <c r="AC2024" s="345" t="s">
        <v>13</v>
      </c>
    </row>
    <row r="2025" spans="1:30" ht="14.25" thickBot="1" x14ac:dyDescent="0.2">
      <c r="A2025" s="100" t="s">
        <v>1</v>
      </c>
      <c r="B2025" s="3" t="s">
        <v>7</v>
      </c>
      <c r="C2025" s="2" t="s">
        <v>10</v>
      </c>
      <c r="D2025" s="2" t="s">
        <v>8</v>
      </c>
      <c r="E2025" s="2" t="s">
        <v>2</v>
      </c>
      <c r="F2025" s="3" t="s">
        <v>7</v>
      </c>
      <c r="G2025" s="2" t="s">
        <v>10</v>
      </c>
      <c r="H2025" s="2" t="s">
        <v>8</v>
      </c>
      <c r="I2025" s="2" t="s">
        <v>2</v>
      </c>
      <c r="J2025" s="3" t="s">
        <v>7</v>
      </c>
      <c r="K2025" s="2" t="s">
        <v>10</v>
      </c>
      <c r="L2025" s="2" t="s">
        <v>8</v>
      </c>
      <c r="M2025" s="3" t="s">
        <v>2</v>
      </c>
      <c r="N2025" s="348"/>
      <c r="P2025" s="2" t="s">
        <v>1</v>
      </c>
      <c r="Q2025" s="3" t="s">
        <v>7</v>
      </c>
      <c r="R2025" s="2" t="s">
        <v>10</v>
      </c>
      <c r="S2025" s="2" t="s">
        <v>8</v>
      </c>
      <c r="T2025" s="2" t="s">
        <v>2</v>
      </c>
      <c r="U2025" s="3" t="s">
        <v>7</v>
      </c>
      <c r="V2025" s="2" t="s">
        <v>10</v>
      </c>
      <c r="W2025" s="2" t="s">
        <v>8</v>
      </c>
      <c r="X2025" s="2" t="s">
        <v>2</v>
      </c>
      <c r="Y2025" s="3" t="s">
        <v>7</v>
      </c>
      <c r="Z2025" s="2" t="s">
        <v>10</v>
      </c>
      <c r="AA2025" s="2" t="s">
        <v>8</v>
      </c>
      <c r="AB2025" s="2" t="s">
        <v>2</v>
      </c>
      <c r="AC2025" s="346"/>
    </row>
    <row r="2026" spans="1:30" x14ac:dyDescent="0.15">
      <c r="A2026" s="106" t="s">
        <v>6</v>
      </c>
      <c r="B2026" s="41">
        <f>B2020</f>
        <v>29</v>
      </c>
      <c r="C2026" s="41">
        <f t="shared" ref="C2026:E2026" si="2932">C2020</f>
        <v>26</v>
      </c>
      <c r="D2026" s="41">
        <f t="shared" si="2932"/>
        <v>20</v>
      </c>
      <c r="E2026" s="42">
        <f t="shared" si="2932"/>
        <v>75</v>
      </c>
      <c r="F2026" s="41">
        <f>F2020</f>
        <v>26</v>
      </c>
      <c r="G2026" s="41">
        <f t="shared" ref="G2026:I2026" si="2933">G2020</f>
        <v>28</v>
      </c>
      <c r="H2026" s="41">
        <f t="shared" si="2933"/>
        <v>18</v>
      </c>
      <c r="I2026" s="42">
        <f t="shared" si="2933"/>
        <v>72</v>
      </c>
      <c r="J2026" s="41">
        <f>J2020</f>
        <v>29</v>
      </c>
      <c r="K2026" s="41">
        <f t="shared" ref="K2026:M2026" si="2934">K2020</f>
        <v>27</v>
      </c>
      <c r="L2026" s="41">
        <f t="shared" si="2934"/>
        <v>22</v>
      </c>
      <c r="M2026" s="42">
        <f t="shared" si="2934"/>
        <v>78</v>
      </c>
      <c r="N2026" s="143">
        <f>E2026+I2026+M2026</f>
        <v>225</v>
      </c>
      <c r="P2026" s="36" t="s">
        <v>6</v>
      </c>
      <c r="Q2026" s="41">
        <f>Q2020</f>
        <v>320</v>
      </c>
      <c r="R2026" s="41">
        <f t="shared" ref="R2026:AC2026" si="2935">R2020</f>
        <v>423</v>
      </c>
      <c r="S2026" s="41">
        <f t="shared" si="2935"/>
        <v>406</v>
      </c>
      <c r="T2026" s="42">
        <f t="shared" si="2935"/>
        <v>1149</v>
      </c>
      <c r="U2026" s="41">
        <f t="shared" si="2935"/>
        <v>368</v>
      </c>
      <c r="V2026" s="41">
        <f t="shared" si="2935"/>
        <v>427</v>
      </c>
      <c r="W2026" s="41">
        <f t="shared" si="2935"/>
        <v>362</v>
      </c>
      <c r="X2026" s="42">
        <f t="shared" si="2935"/>
        <v>1157</v>
      </c>
      <c r="Y2026" s="41">
        <f t="shared" si="2935"/>
        <v>317</v>
      </c>
      <c r="Z2026" s="41">
        <f t="shared" si="2935"/>
        <v>296</v>
      </c>
      <c r="AA2026" s="41">
        <f t="shared" si="2935"/>
        <v>373</v>
      </c>
      <c r="AB2026" s="42">
        <f t="shared" si="2935"/>
        <v>986</v>
      </c>
      <c r="AC2026" s="90">
        <f t="shared" si="2935"/>
        <v>3292</v>
      </c>
    </row>
    <row r="2027" spans="1:30" x14ac:dyDescent="0.15">
      <c r="A2027" s="102" t="s">
        <v>3</v>
      </c>
      <c r="B2027" s="25"/>
      <c r="C2027" s="26"/>
      <c r="D2027" s="26"/>
      <c r="E2027" s="5">
        <f t="shared" ref="E2027:E2062" si="2936">SUM(B2027:D2027)</f>
        <v>0</v>
      </c>
      <c r="F2027" s="25"/>
      <c r="G2027" s="26"/>
      <c r="H2027" s="26"/>
      <c r="I2027" s="5">
        <f t="shared" ref="I2027:I2062" si="2937">SUM(F2027:H2027)</f>
        <v>0</v>
      </c>
      <c r="J2027" s="25"/>
      <c r="K2027" s="26"/>
      <c r="L2027" s="26"/>
      <c r="M2027" s="38">
        <f t="shared" ref="M2027:M2062" si="2938">SUM(J2027:L2027)</f>
        <v>0</v>
      </c>
      <c r="N2027" s="138">
        <f t="shared" ref="N2027:N2063" si="2939">E2027+I2027+M2027</f>
        <v>0</v>
      </c>
      <c r="P2027" s="6" t="s">
        <v>3</v>
      </c>
      <c r="Q2027" s="14"/>
      <c r="R2027" s="11"/>
      <c r="S2027" s="11"/>
      <c r="T2027" s="5">
        <f t="shared" ref="T2027:T2036" si="2940">SUM(Q2027:S2027)</f>
        <v>0</v>
      </c>
      <c r="U2027" s="14"/>
      <c r="V2027" s="11"/>
      <c r="W2027" s="11"/>
      <c r="X2027" s="5">
        <f t="shared" ref="X2027:X2036" si="2941">SUM(U2027:W2027)</f>
        <v>0</v>
      </c>
      <c r="Y2027" s="25"/>
      <c r="Z2027" s="26"/>
      <c r="AA2027" s="26"/>
      <c r="AB2027" s="5">
        <f t="shared" ref="AB2027:AB2036" si="2942">SUM(Y2027:AA2027)</f>
        <v>0</v>
      </c>
      <c r="AC2027" s="86">
        <f t="shared" ref="AC2027:AC2036" si="2943">T2027+X2027+AB2027</f>
        <v>0</v>
      </c>
    </row>
    <row r="2028" spans="1:30" x14ac:dyDescent="0.15">
      <c r="A2028" s="102" t="s">
        <v>3</v>
      </c>
      <c r="B2028" s="14"/>
      <c r="C2028" s="11"/>
      <c r="D2028" s="11"/>
      <c r="E2028" s="5">
        <f t="shared" si="2936"/>
        <v>0</v>
      </c>
      <c r="F2028" s="34"/>
      <c r="G2028" s="11"/>
      <c r="H2028" s="11"/>
      <c r="I2028" s="5">
        <f t="shared" si="2937"/>
        <v>0</v>
      </c>
      <c r="J2028" s="34"/>
      <c r="K2028" s="11"/>
      <c r="L2028" s="11"/>
      <c r="M2028" s="38">
        <f t="shared" si="2938"/>
        <v>0</v>
      </c>
      <c r="N2028" s="138">
        <f t="shared" si="2939"/>
        <v>0</v>
      </c>
      <c r="P2028" s="81" t="s">
        <v>3</v>
      </c>
      <c r="Q2028" s="62"/>
      <c r="R2028" s="4"/>
      <c r="S2028" s="4"/>
      <c r="T2028" s="5">
        <f t="shared" si="2940"/>
        <v>0</v>
      </c>
      <c r="U2028" s="62"/>
      <c r="V2028" s="4"/>
      <c r="W2028" s="4"/>
      <c r="X2028" s="5">
        <f t="shared" si="2941"/>
        <v>0</v>
      </c>
      <c r="Y2028" s="280"/>
      <c r="Z2028" s="281"/>
      <c r="AA2028" s="281"/>
      <c r="AB2028" s="5">
        <f t="shared" si="2942"/>
        <v>0</v>
      </c>
      <c r="AC2028" s="91">
        <f t="shared" si="2943"/>
        <v>0</v>
      </c>
    </row>
    <row r="2029" spans="1:30" x14ac:dyDescent="0.15">
      <c r="A2029" s="102" t="s">
        <v>3</v>
      </c>
      <c r="B2029" s="14"/>
      <c r="C2029" s="11"/>
      <c r="D2029" s="11"/>
      <c r="E2029" s="5">
        <f t="shared" si="2936"/>
        <v>0</v>
      </c>
      <c r="F2029" s="34"/>
      <c r="G2029" s="11"/>
      <c r="H2029" s="11"/>
      <c r="I2029" s="5">
        <f t="shared" si="2937"/>
        <v>0</v>
      </c>
      <c r="J2029" s="34"/>
      <c r="K2029" s="11"/>
      <c r="L2029" s="11"/>
      <c r="M2029" s="38">
        <f t="shared" si="2938"/>
        <v>0</v>
      </c>
      <c r="N2029" s="138">
        <f t="shared" si="2939"/>
        <v>0</v>
      </c>
      <c r="P2029" s="81" t="s">
        <v>3</v>
      </c>
      <c r="Q2029" s="62"/>
      <c r="R2029" s="4"/>
      <c r="S2029" s="4"/>
      <c r="T2029" s="5">
        <f t="shared" si="2940"/>
        <v>0</v>
      </c>
      <c r="U2029" s="62"/>
      <c r="V2029" s="4"/>
      <c r="W2029" s="4"/>
      <c r="X2029" s="5">
        <f t="shared" si="2941"/>
        <v>0</v>
      </c>
      <c r="Y2029" s="280"/>
      <c r="Z2029" s="281"/>
      <c r="AA2029" s="281"/>
      <c r="AB2029" s="5">
        <f t="shared" si="2942"/>
        <v>0</v>
      </c>
      <c r="AC2029" s="91">
        <f t="shared" si="2943"/>
        <v>0</v>
      </c>
    </row>
    <row r="2030" spans="1:30" x14ac:dyDescent="0.15">
      <c r="A2030" s="102" t="s">
        <v>3</v>
      </c>
      <c r="B2030" s="14"/>
      <c r="C2030" s="11"/>
      <c r="D2030" s="11"/>
      <c r="E2030" s="5">
        <f t="shared" si="2936"/>
        <v>0</v>
      </c>
      <c r="F2030" s="34"/>
      <c r="G2030" s="11"/>
      <c r="H2030" s="11"/>
      <c r="I2030" s="5">
        <f t="shared" si="2937"/>
        <v>0</v>
      </c>
      <c r="J2030" s="34"/>
      <c r="K2030" s="11"/>
      <c r="L2030" s="11"/>
      <c r="M2030" s="38">
        <f t="shared" si="2938"/>
        <v>0</v>
      </c>
      <c r="N2030" s="138">
        <f t="shared" si="2939"/>
        <v>0</v>
      </c>
      <c r="P2030" s="81" t="s">
        <v>3</v>
      </c>
      <c r="Q2030" s="62"/>
      <c r="R2030" s="4"/>
      <c r="S2030" s="4"/>
      <c r="T2030" s="5">
        <f t="shared" ref="T2030:T2031" si="2944">SUM(Q2030:S2030)</f>
        <v>0</v>
      </c>
      <c r="U2030" s="62"/>
      <c r="V2030" s="4"/>
      <c r="W2030" s="4"/>
      <c r="X2030" s="5">
        <f t="shared" ref="X2030:X2031" si="2945">SUM(U2030:W2030)</f>
        <v>0</v>
      </c>
      <c r="Y2030" s="280"/>
      <c r="Z2030" s="281"/>
      <c r="AA2030" s="281"/>
      <c r="AB2030" s="5">
        <f t="shared" ref="AB2030:AB2031" si="2946">SUM(Y2030:AA2030)</f>
        <v>0</v>
      </c>
      <c r="AC2030" s="91">
        <f t="shared" ref="AC2030:AC2031" si="2947">T2030+X2030+AB2030</f>
        <v>0</v>
      </c>
    </row>
    <row r="2031" spans="1:30" x14ac:dyDescent="0.15">
      <c r="A2031" s="102" t="s">
        <v>3</v>
      </c>
      <c r="B2031" s="14"/>
      <c r="C2031" s="11"/>
      <c r="D2031" s="11"/>
      <c r="E2031" s="5">
        <f t="shared" si="2936"/>
        <v>0</v>
      </c>
      <c r="F2031" s="34"/>
      <c r="G2031" s="11"/>
      <c r="H2031" s="11"/>
      <c r="I2031" s="5">
        <f t="shared" si="2937"/>
        <v>0</v>
      </c>
      <c r="J2031" s="34"/>
      <c r="K2031" s="11"/>
      <c r="L2031" s="11"/>
      <c r="M2031" s="38">
        <f t="shared" si="2938"/>
        <v>0</v>
      </c>
      <c r="N2031" s="138">
        <f t="shared" si="2939"/>
        <v>0</v>
      </c>
      <c r="P2031" s="81" t="s">
        <v>3</v>
      </c>
      <c r="Q2031" s="62"/>
      <c r="R2031" s="4"/>
      <c r="S2031" s="4"/>
      <c r="T2031" s="5">
        <f t="shared" si="2944"/>
        <v>0</v>
      </c>
      <c r="U2031" s="62"/>
      <c r="V2031" s="4"/>
      <c r="W2031" s="4"/>
      <c r="X2031" s="5">
        <f t="shared" si="2945"/>
        <v>0</v>
      </c>
      <c r="Y2031" s="280"/>
      <c r="Z2031" s="281"/>
      <c r="AA2031" s="281"/>
      <c r="AB2031" s="5">
        <f t="shared" si="2946"/>
        <v>0</v>
      </c>
      <c r="AC2031" s="91">
        <f t="shared" si="2947"/>
        <v>0</v>
      </c>
    </row>
    <row r="2032" spans="1:30" x14ac:dyDescent="0.15">
      <c r="A2032" s="102" t="s">
        <v>3</v>
      </c>
      <c r="B2032" s="25"/>
      <c r="C2032" s="26"/>
      <c r="D2032" s="26"/>
      <c r="E2032" s="8">
        <f t="shared" si="2936"/>
        <v>0</v>
      </c>
      <c r="F2032" s="25"/>
      <c r="G2032" s="26"/>
      <c r="H2032" s="26"/>
      <c r="I2032" s="8">
        <f t="shared" si="2937"/>
        <v>0</v>
      </c>
      <c r="J2032" s="25"/>
      <c r="K2032" s="26"/>
      <c r="L2032" s="26"/>
      <c r="M2032" s="39">
        <f t="shared" si="2938"/>
        <v>0</v>
      </c>
      <c r="N2032" s="138">
        <f t="shared" si="2939"/>
        <v>0</v>
      </c>
      <c r="P2032" s="81" t="s">
        <v>3</v>
      </c>
      <c r="Q2032" s="62"/>
      <c r="R2032" s="4"/>
      <c r="S2032" s="4"/>
      <c r="T2032" s="5">
        <f t="shared" ref="T2032" si="2948">SUM(Q2032:S2032)</f>
        <v>0</v>
      </c>
      <c r="U2032" s="62"/>
      <c r="V2032" s="4"/>
      <c r="W2032" s="4"/>
      <c r="X2032" s="5">
        <f t="shared" ref="X2032" si="2949">SUM(U2032:W2032)</f>
        <v>0</v>
      </c>
      <c r="Y2032" s="280"/>
      <c r="Z2032" s="281"/>
      <c r="AA2032" s="281"/>
      <c r="AB2032" s="5">
        <f t="shared" ref="AB2032" si="2950">SUM(Y2032:AA2032)</f>
        <v>0</v>
      </c>
      <c r="AC2032" s="91">
        <f t="shared" ref="AC2032" si="2951">T2032+X2032+AB2032</f>
        <v>0</v>
      </c>
    </row>
    <row r="2033" spans="1:29" x14ac:dyDescent="0.15">
      <c r="A2033" s="102" t="s">
        <v>3</v>
      </c>
      <c r="B2033" s="27"/>
      <c r="C2033" s="26"/>
      <c r="D2033" s="26"/>
      <c r="E2033" s="5">
        <f t="shared" si="2936"/>
        <v>0</v>
      </c>
      <c r="F2033" s="25"/>
      <c r="G2033" s="26"/>
      <c r="H2033" s="26"/>
      <c r="I2033" s="5">
        <f t="shared" si="2937"/>
        <v>0</v>
      </c>
      <c r="J2033" s="25"/>
      <c r="K2033" s="26"/>
      <c r="L2033" s="26"/>
      <c r="M2033" s="38">
        <f t="shared" si="2938"/>
        <v>0</v>
      </c>
      <c r="N2033" s="138">
        <f t="shared" si="2939"/>
        <v>0</v>
      </c>
      <c r="P2033" s="81" t="s">
        <v>3</v>
      </c>
      <c r="Q2033" s="62"/>
      <c r="R2033" s="4"/>
      <c r="S2033" s="4"/>
      <c r="T2033" s="5">
        <f t="shared" si="2940"/>
        <v>0</v>
      </c>
      <c r="U2033" s="62"/>
      <c r="V2033" s="4"/>
      <c r="W2033" s="4"/>
      <c r="X2033" s="5">
        <f t="shared" si="2941"/>
        <v>0</v>
      </c>
      <c r="Y2033" s="280"/>
      <c r="Z2033" s="281"/>
      <c r="AA2033" s="281"/>
      <c r="AB2033" s="5">
        <f t="shared" si="2942"/>
        <v>0</v>
      </c>
      <c r="AC2033" s="91">
        <f t="shared" si="2943"/>
        <v>0</v>
      </c>
    </row>
    <row r="2034" spans="1:29" x14ac:dyDescent="0.15">
      <c r="A2034" s="102" t="s">
        <v>3</v>
      </c>
      <c r="B2034" s="27"/>
      <c r="C2034" s="26"/>
      <c r="D2034" s="26"/>
      <c r="E2034" s="5">
        <f t="shared" si="2936"/>
        <v>0</v>
      </c>
      <c r="F2034" s="25"/>
      <c r="G2034" s="26"/>
      <c r="H2034" s="26"/>
      <c r="I2034" s="5">
        <f t="shared" si="2937"/>
        <v>0</v>
      </c>
      <c r="J2034" s="25"/>
      <c r="K2034" s="26"/>
      <c r="L2034" s="26"/>
      <c r="M2034" s="38">
        <f t="shared" si="2938"/>
        <v>0</v>
      </c>
      <c r="N2034" s="138">
        <f t="shared" si="2939"/>
        <v>0</v>
      </c>
      <c r="P2034" s="6" t="s">
        <v>3</v>
      </c>
      <c r="Q2034" s="14"/>
      <c r="R2034" s="11"/>
      <c r="S2034" s="11"/>
      <c r="T2034" s="5">
        <f t="shared" si="2940"/>
        <v>0</v>
      </c>
      <c r="U2034" s="14"/>
      <c r="V2034" s="11"/>
      <c r="W2034" s="11"/>
      <c r="X2034" s="5">
        <f t="shared" si="2941"/>
        <v>0</v>
      </c>
      <c r="Y2034" s="25"/>
      <c r="Z2034" s="26"/>
      <c r="AA2034" s="26"/>
      <c r="AB2034" s="8">
        <f t="shared" si="2942"/>
        <v>0</v>
      </c>
      <c r="AC2034" s="86">
        <f t="shared" si="2943"/>
        <v>0</v>
      </c>
    </row>
    <row r="2035" spans="1:29" x14ac:dyDescent="0.15">
      <c r="A2035" s="102" t="s">
        <v>3</v>
      </c>
      <c r="B2035" s="27"/>
      <c r="C2035" s="26"/>
      <c r="D2035" s="26"/>
      <c r="E2035" s="5">
        <f t="shared" si="2936"/>
        <v>0</v>
      </c>
      <c r="F2035" s="25"/>
      <c r="G2035" s="26"/>
      <c r="H2035" s="26"/>
      <c r="I2035" s="5">
        <f t="shared" si="2937"/>
        <v>0</v>
      </c>
      <c r="J2035" s="25"/>
      <c r="K2035" s="26"/>
      <c r="L2035" s="26"/>
      <c r="M2035" s="38">
        <f t="shared" si="2938"/>
        <v>0</v>
      </c>
      <c r="N2035" s="138">
        <f t="shared" si="2939"/>
        <v>0</v>
      </c>
      <c r="P2035" s="6" t="s">
        <v>3</v>
      </c>
      <c r="Q2035" s="14"/>
      <c r="R2035" s="11"/>
      <c r="S2035" s="11"/>
      <c r="T2035" s="5">
        <f t="shared" si="2940"/>
        <v>0</v>
      </c>
      <c r="U2035" s="14"/>
      <c r="V2035" s="11"/>
      <c r="W2035" s="11"/>
      <c r="X2035" s="5">
        <f t="shared" si="2941"/>
        <v>0</v>
      </c>
      <c r="Y2035" s="25"/>
      <c r="Z2035" s="26"/>
      <c r="AA2035" s="26"/>
      <c r="AB2035" s="8">
        <f t="shared" si="2942"/>
        <v>0</v>
      </c>
      <c r="AC2035" s="86">
        <f t="shared" si="2943"/>
        <v>0</v>
      </c>
    </row>
    <row r="2036" spans="1:29" ht="14.25" thickBot="1" x14ac:dyDescent="0.2">
      <c r="A2036" s="102" t="s">
        <v>3</v>
      </c>
      <c r="B2036" s="28"/>
      <c r="C2036" s="29"/>
      <c r="D2036" s="32"/>
      <c r="E2036" s="15">
        <f t="shared" si="2936"/>
        <v>0</v>
      </c>
      <c r="F2036" s="35"/>
      <c r="G2036" s="29"/>
      <c r="H2036" s="32"/>
      <c r="I2036" s="15">
        <f t="shared" si="2937"/>
        <v>0</v>
      </c>
      <c r="J2036" s="35"/>
      <c r="K2036" s="29"/>
      <c r="L2036" s="32"/>
      <c r="M2036" s="40">
        <f t="shared" si="2938"/>
        <v>0</v>
      </c>
      <c r="N2036" s="139">
        <f t="shared" si="2939"/>
        <v>0</v>
      </c>
      <c r="P2036" s="6" t="s">
        <v>3</v>
      </c>
      <c r="Q2036" s="14"/>
      <c r="R2036" s="11"/>
      <c r="S2036" s="11"/>
      <c r="T2036" s="5">
        <f t="shared" si="2940"/>
        <v>0</v>
      </c>
      <c r="U2036" s="14"/>
      <c r="V2036" s="11"/>
      <c r="W2036" s="11"/>
      <c r="X2036" s="5">
        <f t="shared" si="2941"/>
        <v>0</v>
      </c>
      <c r="Y2036" s="25"/>
      <c r="Z2036" s="26"/>
      <c r="AA2036" s="26"/>
      <c r="AB2036" s="8">
        <f t="shared" si="2942"/>
        <v>0</v>
      </c>
      <c r="AC2036" s="86">
        <f t="shared" si="2943"/>
        <v>0</v>
      </c>
    </row>
    <row r="2037" spans="1:29" ht="14.25" thickBot="1" x14ac:dyDescent="0.2">
      <c r="A2037" s="103" t="s">
        <v>4</v>
      </c>
      <c r="B2037" s="17">
        <f>SUM(B2026:B2036)</f>
        <v>29</v>
      </c>
      <c r="C2037" s="17">
        <f>SUM(C2026:C2036)</f>
        <v>26</v>
      </c>
      <c r="D2037" s="17">
        <f>SUM(D2026:D2036)</f>
        <v>20</v>
      </c>
      <c r="E2037" s="18">
        <f t="shared" si="2936"/>
        <v>75</v>
      </c>
      <c r="F2037" s="17">
        <f>SUM(F2026:F2036)</f>
        <v>26</v>
      </c>
      <c r="G2037" s="17">
        <f>SUM(G2026:G2036)</f>
        <v>28</v>
      </c>
      <c r="H2037" s="17">
        <f>SUM(H2026:H2036)</f>
        <v>18</v>
      </c>
      <c r="I2037" s="18">
        <f t="shared" si="2937"/>
        <v>72</v>
      </c>
      <c r="J2037" s="17">
        <f>SUM(J2026:J2036)</f>
        <v>29</v>
      </c>
      <c r="K2037" s="17">
        <f>SUM(K2026:K2036)</f>
        <v>27</v>
      </c>
      <c r="L2037" s="17">
        <f>SUM(L2026:L2036)</f>
        <v>22</v>
      </c>
      <c r="M2037" s="20">
        <f t="shared" si="2938"/>
        <v>78</v>
      </c>
      <c r="N2037" s="140">
        <f t="shared" si="2939"/>
        <v>225</v>
      </c>
      <c r="P2037" s="16" t="s">
        <v>4</v>
      </c>
      <c r="Q2037" s="17">
        <f>SUM(Q2026:Q2036)</f>
        <v>320</v>
      </c>
      <c r="R2037" s="17">
        <f t="shared" ref="R2037:AC2037" si="2952">SUM(R2026:R2036)</f>
        <v>423</v>
      </c>
      <c r="S2037" s="17">
        <f t="shared" si="2952"/>
        <v>406</v>
      </c>
      <c r="T2037" s="18">
        <f t="shared" si="2952"/>
        <v>1149</v>
      </c>
      <c r="U2037" s="17">
        <f t="shared" si="2952"/>
        <v>368</v>
      </c>
      <c r="V2037" s="17">
        <f t="shared" si="2952"/>
        <v>427</v>
      </c>
      <c r="W2037" s="17">
        <f t="shared" si="2952"/>
        <v>362</v>
      </c>
      <c r="X2037" s="18">
        <f t="shared" si="2952"/>
        <v>1157</v>
      </c>
      <c r="Y2037" s="17">
        <f t="shared" si="2952"/>
        <v>317</v>
      </c>
      <c r="Z2037" s="17">
        <f t="shared" si="2952"/>
        <v>296</v>
      </c>
      <c r="AA2037" s="17">
        <f t="shared" si="2952"/>
        <v>373</v>
      </c>
      <c r="AB2037" s="18">
        <f t="shared" si="2952"/>
        <v>986</v>
      </c>
      <c r="AC2037" s="88">
        <f t="shared" si="2952"/>
        <v>3292</v>
      </c>
    </row>
    <row r="2038" spans="1:29" x14ac:dyDescent="0.15">
      <c r="A2038" s="33"/>
      <c r="B2038" s="9"/>
      <c r="C2038" s="10"/>
      <c r="D2038" s="31"/>
      <c r="E2038" s="5">
        <f t="shared" si="2936"/>
        <v>0</v>
      </c>
      <c r="F2038" s="9"/>
      <c r="G2038" s="10"/>
      <c r="H2038" s="31"/>
      <c r="I2038" s="5">
        <f t="shared" si="2937"/>
        <v>0</v>
      </c>
      <c r="J2038" s="9"/>
      <c r="K2038" s="10"/>
      <c r="L2038" s="31"/>
      <c r="M2038" s="38">
        <f t="shared" si="2938"/>
        <v>0</v>
      </c>
      <c r="N2038" s="141">
        <f t="shared" si="2939"/>
        <v>0</v>
      </c>
      <c r="P2038" s="4"/>
      <c r="Q2038" s="9"/>
      <c r="R2038" s="10"/>
      <c r="S2038" s="31"/>
      <c r="T2038" s="5">
        <f t="shared" ref="T2038:T2049" si="2953">SUM(Q2038:S2038)</f>
        <v>0</v>
      </c>
      <c r="U2038" s="9"/>
      <c r="V2038" s="10"/>
      <c r="W2038" s="31"/>
      <c r="X2038" s="5">
        <f t="shared" ref="X2038:X2049" si="2954">SUM(U2038:W2038)</f>
        <v>0</v>
      </c>
      <c r="Y2038" s="9"/>
      <c r="Z2038" s="10"/>
      <c r="AA2038" s="31"/>
      <c r="AB2038" s="5">
        <f t="shared" ref="AB2038:AB2049" si="2955">SUM(Y2038:AA2038)</f>
        <v>0</v>
      </c>
      <c r="AC2038" s="148">
        <f t="shared" ref="AC2038:AC2049" si="2956">T2038+X2038+AB2038</f>
        <v>0</v>
      </c>
    </row>
    <row r="2039" spans="1:29" x14ac:dyDescent="0.15">
      <c r="A2039" s="33"/>
      <c r="B2039" s="9"/>
      <c r="C2039" s="10"/>
      <c r="D2039" s="10"/>
      <c r="E2039" s="5">
        <f t="shared" si="2936"/>
        <v>0</v>
      </c>
      <c r="F2039" s="9"/>
      <c r="G2039" s="10"/>
      <c r="H2039" s="10"/>
      <c r="I2039" s="5">
        <f t="shared" si="2937"/>
        <v>0</v>
      </c>
      <c r="J2039" s="9"/>
      <c r="K2039" s="10"/>
      <c r="L2039" s="10"/>
      <c r="M2039" s="38">
        <f t="shared" si="2938"/>
        <v>0</v>
      </c>
      <c r="N2039" s="138">
        <f t="shared" si="2939"/>
        <v>0</v>
      </c>
      <c r="P2039" s="4"/>
      <c r="Q2039" s="9"/>
      <c r="R2039" s="10"/>
      <c r="S2039" s="10"/>
      <c r="T2039" s="5">
        <f t="shared" si="2953"/>
        <v>0</v>
      </c>
      <c r="U2039" s="9"/>
      <c r="V2039" s="10"/>
      <c r="W2039" s="10"/>
      <c r="X2039" s="5">
        <f t="shared" si="2954"/>
        <v>0</v>
      </c>
      <c r="Y2039" s="9"/>
      <c r="Z2039" s="10"/>
      <c r="AA2039" s="10"/>
      <c r="AB2039" s="5">
        <f t="shared" si="2955"/>
        <v>0</v>
      </c>
      <c r="AC2039" s="93">
        <f t="shared" si="2956"/>
        <v>0</v>
      </c>
    </row>
    <row r="2040" spans="1:29" x14ac:dyDescent="0.15">
      <c r="A2040" s="33"/>
      <c r="B2040" s="9"/>
      <c r="C2040" s="10"/>
      <c r="D2040" s="10"/>
      <c r="E2040" s="5">
        <f t="shared" si="2936"/>
        <v>0</v>
      </c>
      <c r="F2040" s="9"/>
      <c r="G2040" s="10"/>
      <c r="H2040" s="10"/>
      <c r="I2040" s="5">
        <f t="shared" si="2937"/>
        <v>0</v>
      </c>
      <c r="J2040" s="9"/>
      <c r="K2040" s="10"/>
      <c r="L2040" s="10"/>
      <c r="M2040" s="38">
        <f t="shared" si="2938"/>
        <v>0</v>
      </c>
      <c r="N2040" s="138">
        <f t="shared" si="2939"/>
        <v>0</v>
      </c>
      <c r="P2040" s="11"/>
      <c r="Q2040" s="9"/>
      <c r="R2040" s="10"/>
      <c r="S2040" s="10"/>
      <c r="T2040" s="5">
        <f t="shared" si="2953"/>
        <v>0</v>
      </c>
      <c r="U2040" s="9"/>
      <c r="V2040" s="10"/>
      <c r="W2040" s="10"/>
      <c r="X2040" s="5">
        <f t="shared" si="2954"/>
        <v>0</v>
      </c>
      <c r="Y2040" s="9"/>
      <c r="Z2040" s="10"/>
      <c r="AA2040" s="10"/>
      <c r="AB2040" s="5">
        <f t="shared" si="2955"/>
        <v>0</v>
      </c>
      <c r="AC2040" s="93">
        <f t="shared" si="2956"/>
        <v>0</v>
      </c>
    </row>
    <row r="2041" spans="1:29" x14ac:dyDescent="0.15">
      <c r="A2041" s="33"/>
      <c r="B2041" s="9"/>
      <c r="C2041" s="10"/>
      <c r="D2041" s="10"/>
      <c r="E2041" s="5">
        <f t="shared" si="2936"/>
        <v>0</v>
      </c>
      <c r="F2041" s="9"/>
      <c r="G2041" s="10"/>
      <c r="H2041" s="10"/>
      <c r="I2041" s="5">
        <f t="shared" si="2937"/>
        <v>0</v>
      </c>
      <c r="J2041" s="9"/>
      <c r="K2041" s="10"/>
      <c r="L2041" s="10"/>
      <c r="M2041" s="38">
        <f t="shared" si="2938"/>
        <v>0</v>
      </c>
      <c r="N2041" s="138">
        <f t="shared" si="2939"/>
        <v>0</v>
      </c>
      <c r="P2041" s="11"/>
      <c r="Q2041" s="9"/>
      <c r="R2041" s="10"/>
      <c r="S2041" s="10"/>
      <c r="T2041" s="5">
        <f t="shared" si="2953"/>
        <v>0</v>
      </c>
      <c r="U2041" s="9"/>
      <c r="V2041" s="10"/>
      <c r="W2041" s="10"/>
      <c r="X2041" s="5">
        <f t="shared" si="2954"/>
        <v>0</v>
      </c>
      <c r="Y2041" s="9"/>
      <c r="Z2041" s="10"/>
      <c r="AA2041" s="10"/>
      <c r="AB2041" s="5">
        <f t="shared" si="2955"/>
        <v>0</v>
      </c>
      <c r="AC2041" s="93">
        <f t="shared" si="2956"/>
        <v>0</v>
      </c>
    </row>
    <row r="2042" spans="1:29" x14ac:dyDescent="0.15">
      <c r="A2042" s="33"/>
      <c r="B2042" s="9"/>
      <c r="C2042" s="10"/>
      <c r="D2042" s="10"/>
      <c r="E2042" s="5">
        <f t="shared" si="2936"/>
        <v>0</v>
      </c>
      <c r="F2042" s="9"/>
      <c r="G2042" s="10"/>
      <c r="H2042" s="10"/>
      <c r="I2042" s="5">
        <f t="shared" si="2937"/>
        <v>0</v>
      </c>
      <c r="J2042" s="9"/>
      <c r="K2042" s="10"/>
      <c r="L2042" s="10"/>
      <c r="M2042" s="38">
        <f t="shared" si="2938"/>
        <v>0</v>
      </c>
      <c r="N2042" s="138">
        <f t="shared" si="2939"/>
        <v>0</v>
      </c>
      <c r="P2042" s="11"/>
      <c r="Q2042" s="9"/>
      <c r="R2042" s="10"/>
      <c r="S2042" s="10"/>
      <c r="T2042" s="5">
        <f t="shared" si="2953"/>
        <v>0</v>
      </c>
      <c r="U2042" s="9"/>
      <c r="V2042" s="10"/>
      <c r="W2042" s="10"/>
      <c r="X2042" s="5">
        <f t="shared" si="2954"/>
        <v>0</v>
      </c>
      <c r="Y2042" s="9"/>
      <c r="Z2042" s="10"/>
      <c r="AA2042" s="10"/>
      <c r="AB2042" s="5">
        <f t="shared" si="2955"/>
        <v>0</v>
      </c>
      <c r="AC2042" s="93">
        <f t="shared" si="2956"/>
        <v>0</v>
      </c>
    </row>
    <row r="2043" spans="1:29" x14ac:dyDescent="0.15">
      <c r="A2043" s="33"/>
      <c r="B2043" s="9"/>
      <c r="C2043" s="10"/>
      <c r="D2043" s="10"/>
      <c r="E2043" s="8">
        <f t="shared" si="2936"/>
        <v>0</v>
      </c>
      <c r="F2043" s="9"/>
      <c r="G2043" s="10"/>
      <c r="H2043" s="10"/>
      <c r="I2043" s="8">
        <f t="shared" si="2937"/>
        <v>0</v>
      </c>
      <c r="J2043" s="9"/>
      <c r="K2043" s="10"/>
      <c r="L2043" s="10"/>
      <c r="M2043" s="39">
        <f t="shared" si="2938"/>
        <v>0</v>
      </c>
      <c r="N2043" s="138">
        <f t="shared" si="2939"/>
        <v>0</v>
      </c>
      <c r="P2043" s="4"/>
      <c r="Q2043" s="9"/>
      <c r="R2043" s="10"/>
      <c r="S2043" s="10"/>
      <c r="T2043" s="8">
        <f t="shared" si="2953"/>
        <v>0</v>
      </c>
      <c r="U2043" s="9"/>
      <c r="V2043" s="10"/>
      <c r="W2043" s="10"/>
      <c r="X2043" s="8">
        <f t="shared" si="2954"/>
        <v>0</v>
      </c>
      <c r="Y2043" s="9"/>
      <c r="Z2043" s="10"/>
      <c r="AA2043" s="10"/>
      <c r="AB2043" s="8">
        <f t="shared" si="2955"/>
        <v>0</v>
      </c>
      <c r="AC2043" s="93">
        <f t="shared" si="2956"/>
        <v>0</v>
      </c>
    </row>
    <row r="2044" spans="1:29" x14ac:dyDescent="0.15">
      <c r="A2044" s="33"/>
      <c r="B2044" s="9"/>
      <c r="C2044" s="10"/>
      <c r="D2044" s="10"/>
      <c r="E2044" s="8">
        <f t="shared" si="2936"/>
        <v>0</v>
      </c>
      <c r="F2044" s="9"/>
      <c r="G2044" s="10"/>
      <c r="H2044" s="10"/>
      <c r="I2044" s="8">
        <f t="shared" si="2937"/>
        <v>0</v>
      </c>
      <c r="J2044" s="9"/>
      <c r="K2044" s="10"/>
      <c r="L2044" s="10"/>
      <c r="M2044" s="39">
        <f t="shared" si="2938"/>
        <v>0</v>
      </c>
      <c r="N2044" s="138">
        <f t="shared" si="2939"/>
        <v>0</v>
      </c>
      <c r="P2044" s="11"/>
      <c r="Q2044" s="9"/>
      <c r="R2044" s="10"/>
      <c r="S2044" s="10"/>
      <c r="T2044" s="8">
        <f t="shared" si="2953"/>
        <v>0</v>
      </c>
      <c r="U2044" s="9"/>
      <c r="V2044" s="10"/>
      <c r="W2044" s="10"/>
      <c r="X2044" s="8">
        <f t="shared" si="2954"/>
        <v>0</v>
      </c>
      <c r="Y2044" s="9"/>
      <c r="Z2044" s="10"/>
      <c r="AA2044" s="10"/>
      <c r="AB2044" s="8">
        <f t="shared" si="2955"/>
        <v>0</v>
      </c>
      <c r="AC2044" s="93">
        <f t="shared" si="2956"/>
        <v>0</v>
      </c>
    </row>
    <row r="2045" spans="1:29" x14ac:dyDescent="0.15">
      <c r="A2045" s="33"/>
      <c r="B2045" s="9"/>
      <c r="C2045" s="10"/>
      <c r="D2045" s="10"/>
      <c r="E2045" s="8">
        <f t="shared" si="2936"/>
        <v>0</v>
      </c>
      <c r="F2045" s="9"/>
      <c r="G2045" s="10"/>
      <c r="H2045" s="10"/>
      <c r="I2045" s="8">
        <f t="shared" si="2937"/>
        <v>0</v>
      </c>
      <c r="J2045" s="9"/>
      <c r="K2045" s="10"/>
      <c r="L2045" s="10"/>
      <c r="M2045" s="39">
        <f t="shared" si="2938"/>
        <v>0</v>
      </c>
      <c r="N2045" s="138">
        <f t="shared" si="2939"/>
        <v>0</v>
      </c>
      <c r="P2045" s="4"/>
      <c r="Q2045" s="9"/>
      <c r="R2045" s="10"/>
      <c r="S2045" s="10"/>
      <c r="T2045" s="8">
        <f t="shared" si="2953"/>
        <v>0</v>
      </c>
      <c r="U2045" s="9"/>
      <c r="V2045" s="10"/>
      <c r="W2045" s="10"/>
      <c r="X2045" s="8">
        <f t="shared" si="2954"/>
        <v>0</v>
      </c>
      <c r="Y2045" s="9"/>
      <c r="Z2045" s="10"/>
      <c r="AA2045" s="10"/>
      <c r="AB2045" s="8">
        <f t="shared" si="2955"/>
        <v>0</v>
      </c>
      <c r="AC2045" s="93">
        <f t="shared" si="2956"/>
        <v>0</v>
      </c>
    </row>
    <row r="2046" spans="1:29" x14ac:dyDescent="0.15">
      <c r="A2046" s="33"/>
      <c r="B2046" s="9"/>
      <c r="C2046" s="10"/>
      <c r="D2046" s="10"/>
      <c r="E2046" s="8">
        <f t="shared" si="2936"/>
        <v>0</v>
      </c>
      <c r="F2046" s="9"/>
      <c r="G2046" s="10"/>
      <c r="H2046" s="10"/>
      <c r="I2046" s="8">
        <f t="shared" si="2937"/>
        <v>0</v>
      </c>
      <c r="J2046" s="9"/>
      <c r="K2046" s="10"/>
      <c r="L2046" s="10"/>
      <c r="M2046" s="39">
        <f t="shared" si="2938"/>
        <v>0</v>
      </c>
      <c r="N2046" s="138">
        <f t="shared" si="2939"/>
        <v>0</v>
      </c>
      <c r="P2046" s="4"/>
      <c r="Q2046" s="9"/>
      <c r="R2046" s="10"/>
      <c r="S2046" s="10"/>
      <c r="T2046" s="8">
        <f t="shared" si="2953"/>
        <v>0</v>
      </c>
      <c r="U2046" s="9"/>
      <c r="V2046" s="10"/>
      <c r="W2046" s="10"/>
      <c r="X2046" s="8">
        <f t="shared" si="2954"/>
        <v>0</v>
      </c>
      <c r="Y2046" s="9"/>
      <c r="Z2046" s="10"/>
      <c r="AA2046" s="10"/>
      <c r="AB2046" s="8">
        <f t="shared" si="2955"/>
        <v>0</v>
      </c>
      <c r="AC2046" s="93">
        <f t="shared" si="2956"/>
        <v>0</v>
      </c>
    </row>
    <row r="2047" spans="1:29" x14ac:dyDescent="0.15">
      <c r="A2047" s="33"/>
      <c r="B2047" s="9"/>
      <c r="C2047" s="10"/>
      <c r="D2047" s="10"/>
      <c r="E2047" s="8">
        <f t="shared" si="2936"/>
        <v>0</v>
      </c>
      <c r="F2047" s="9"/>
      <c r="G2047" s="10"/>
      <c r="H2047" s="10"/>
      <c r="I2047" s="8">
        <f t="shared" si="2937"/>
        <v>0</v>
      </c>
      <c r="J2047" s="9"/>
      <c r="K2047" s="10"/>
      <c r="L2047" s="10"/>
      <c r="M2047" s="39">
        <f t="shared" si="2938"/>
        <v>0</v>
      </c>
      <c r="N2047" s="138">
        <f t="shared" si="2939"/>
        <v>0</v>
      </c>
      <c r="P2047" s="4"/>
      <c r="Q2047" s="9"/>
      <c r="R2047" s="10"/>
      <c r="S2047" s="10"/>
      <c r="T2047" s="8">
        <f t="shared" si="2953"/>
        <v>0</v>
      </c>
      <c r="U2047" s="9"/>
      <c r="V2047" s="10"/>
      <c r="W2047" s="10"/>
      <c r="X2047" s="8">
        <f t="shared" si="2954"/>
        <v>0</v>
      </c>
      <c r="Y2047" s="9"/>
      <c r="Z2047" s="10"/>
      <c r="AA2047" s="10"/>
      <c r="AB2047" s="8">
        <f t="shared" si="2955"/>
        <v>0</v>
      </c>
      <c r="AC2047" s="93">
        <f t="shared" si="2956"/>
        <v>0</v>
      </c>
    </row>
    <row r="2048" spans="1:29" x14ac:dyDescent="0.15">
      <c r="A2048" s="33"/>
      <c r="B2048" s="9"/>
      <c r="C2048" s="10"/>
      <c r="D2048" s="10"/>
      <c r="E2048" s="8">
        <f t="shared" si="2936"/>
        <v>0</v>
      </c>
      <c r="F2048" s="9"/>
      <c r="G2048" s="10"/>
      <c r="H2048" s="10"/>
      <c r="I2048" s="8">
        <f t="shared" si="2937"/>
        <v>0</v>
      </c>
      <c r="J2048" s="9"/>
      <c r="K2048" s="10"/>
      <c r="L2048" s="10"/>
      <c r="M2048" s="39">
        <f t="shared" si="2938"/>
        <v>0</v>
      </c>
      <c r="N2048" s="138">
        <f t="shared" si="2939"/>
        <v>0</v>
      </c>
      <c r="P2048" s="4"/>
      <c r="Q2048" s="9"/>
      <c r="R2048" s="10"/>
      <c r="S2048" s="10"/>
      <c r="T2048" s="8">
        <f t="shared" si="2953"/>
        <v>0</v>
      </c>
      <c r="U2048" s="9"/>
      <c r="V2048" s="10"/>
      <c r="W2048" s="10"/>
      <c r="X2048" s="8">
        <f t="shared" si="2954"/>
        <v>0</v>
      </c>
      <c r="Y2048" s="9"/>
      <c r="Z2048" s="10"/>
      <c r="AA2048" s="10"/>
      <c r="AB2048" s="8">
        <f t="shared" si="2955"/>
        <v>0</v>
      </c>
      <c r="AC2048" s="93">
        <f t="shared" si="2956"/>
        <v>0</v>
      </c>
    </row>
    <row r="2049" spans="1:30" x14ac:dyDescent="0.15">
      <c r="A2049" s="33"/>
      <c r="B2049" s="9"/>
      <c r="C2049" s="10"/>
      <c r="D2049" s="10"/>
      <c r="E2049" s="8">
        <f t="shared" si="2936"/>
        <v>0</v>
      </c>
      <c r="F2049" s="9"/>
      <c r="G2049" s="10"/>
      <c r="H2049" s="10"/>
      <c r="I2049" s="8">
        <f t="shared" si="2937"/>
        <v>0</v>
      </c>
      <c r="J2049" s="9"/>
      <c r="K2049" s="10"/>
      <c r="L2049" s="10"/>
      <c r="M2049" s="39">
        <f t="shared" si="2938"/>
        <v>0</v>
      </c>
      <c r="N2049" s="138">
        <f t="shared" si="2939"/>
        <v>0</v>
      </c>
      <c r="P2049" s="4"/>
      <c r="Q2049" s="9"/>
      <c r="R2049" s="10"/>
      <c r="S2049" s="10"/>
      <c r="T2049" s="8">
        <f t="shared" si="2953"/>
        <v>0</v>
      </c>
      <c r="U2049" s="9"/>
      <c r="V2049" s="10"/>
      <c r="W2049" s="10"/>
      <c r="X2049" s="8">
        <f t="shared" si="2954"/>
        <v>0</v>
      </c>
      <c r="Y2049" s="9"/>
      <c r="Z2049" s="10"/>
      <c r="AA2049" s="10"/>
      <c r="AB2049" s="8">
        <f t="shared" si="2955"/>
        <v>0</v>
      </c>
      <c r="AC2049" s="93">
        <f t="shared" si="2956"/>
        <v>0</v>
      </c>
    </row>
    <row r="2050" spans="1:30" x14ac:dyDescent="0.15">
      <c r="A2050" s="33"/>
      <c r="B2050" s="9"/>
      <c r="C2050" s="10"/>
      <c r="D2050" s="10"/>
      <c r="E2050" s="8">
        <f t="shared" si="2936"/>
        <v>0</v>
      </c>
      <c r="F2050" s="9"/>
      <c r="G2050" s="10"/>
      <c r="H2050" s="10"/>
      <c r="I2050" s="8">
        <f t="shared" si="2937"/>
        <v>0</v>
      </c>
      <c r="J2050" s="9"/>
      <c r="K2050" s="10"/>
      <c r="L2050" s="10"/>
      <c r="M2050" s="39">
        <f t="shared" si="2938"/>
        <v>0</v>
      </c>
      <c r="N2050" s="138">
        <f t="shared" si="2939"/>
        <v>0</v>
      </c>
      <c r="P2050" s="4"/>
      <c r="Q2050" s="9"/>
      <c r="R2050" s="10"/>
      <c r="S2050" s="10"/>
      <c r="T2050" s="8">
        <f t="shared" ref="T2050:T2055" si="2957">SUM(Q2050:S2050)</f>
        <v>0</v>
      </c>
      <c r="U2050" s="9"/>
      <c r="V2050" s="10"/>
      <c r="W2050" s="10"/>
      <c r="X2050" s="8">
        <f t="shared" ref="X2050:X2055" si="2958">SUM(U2050:W2050)</f>
        <v>0</v>
      </c>
      <c r="Y2050" s="9"/>
      <c r="Z2050" s="10"/>
      <c r="AA2050" s="10"/>
      <c r="AB2050" s="8">
        <f t="shared" ref="AB2050:AB2055" si="2959">SUM(Y2050:AA2050)</f>
        <v>0</v>
      </c>
      <c r="AC2050" s="93">
        <f t="shared" ref="AC2050:AC2055" si="2960">T2050+X2050+AB2050</f>
        <v>0</v>
      </c>
    </row>
    <row r="2051" spans="1:30" x14ac:dyDescent="0.15">
      <c r="A2051" s="33"/>
      <c r="B2051" s="9"/>
      <c r="C2051" s="10"/>
      <c r="D2051" s="10"/>
      <c r="E2051" s="8">
        <f t="shared" si="2936"/>
        <v>0</v>
      </c>
      <c r="F2051" s="9"/>
      <c r="G2051" s="10"/>
      <c r="H2051" s="10"/>
      <c r="I2051" s="8">
        <f t="shared" si="2937"/>
        <v>0</v>
      </c>
      <c r="J2051" s="9"/>
      <c r="K2051" s="10"/>
      <c r="L2051" s="10"/>
      <c r="M2051" s="39">
        <f t="shared" si="2938"/>
        <v>0</v>
      </c>
      <c r="N2051" s="138">
        <f t="shared" si="2939"/>
        <v>0</v>
      </c>
      <c r="P2051" s="4"/>
      <c r="Q2051" s="9"/>
      <c r="R2051" s="10"/>
      <c r="S2051" s="10"/>
      <c r="T2051" s="8">
        <f t="shared" si="2957"/>
        <v>0</v>
      </c>
      <c r="U2051" s="9"/>
      <c r="V2051" s="10"/>
      <c r="W2051" s="10"/>
      <c r="X2051" s="8">
        <f t="shared" si="2958"/>
        <v>0</v>
      </c>
      <c r="Y2051" s="9"/>
      <c r="Z2051" s="10"/>
      <c r="AA2051" s="10"/>
      <c r="AB2051" s="8">
        <f t="shared" si="2959"/>
        <v>0</v>
      </c>
      <c r="AC2051" s="93">
        <f t="shared" si="2960"/>
        <v>0</v>
      </c>
    </row>
    <row r="2052" spans="1:30" x14ac:dyDescent="0.15">
      <c r="A2052" s="33"/>
      <c r="B2052" s="9"/>
      <c r="C2052" s="10"/>
      <c r="D2052" s="10"/>
      <c r="E2052" s="8">
        <f t="shared" si="2936"/>
        <v>0</v>
      </c>
      <c r="F2052" s="9"/>
      <c r="G2052" s="10"/>
      <c r="H2052" s="10"/>
      <c r="I2052" s="8">
        <f t="shared" si="2937"/>
        <v>0</v>
      </c>
      <c r="J2052" s="9"/>
      <c r="K2052" s="10"/>
      <c r="L2052" s="10"/>
      <c r="M2052" s="39">
        <f t="shared" si="2938"/>
        <v>0</v>
      </c>
      <c r="N2052" s="138">
        <f t="shared" si="2939"/>
        <v>0</v>
      </c>
      <c r="P2052" s="49" t="s">
        <v>1856</v>
      </c>
      <c r="Q2052" s="51">
        <v>15</v>
      </c>
      <c r="R2052" s="52">
        <v>20</v>
      </c>
      <c r="S2052" s="52">
        <v>20</v>
      </c>
      <c r="T2052" s="50">
        <f t="shared" si="2957"/>
        <v>55</v>
      </c>
      <c r="U2052" s="51">
        <v>15</v>
      </c>
      <c r="V2052" s="52">
        <v>20</v>
      </c>
      <c r="W2052" s="52">
        <v>20</v>
      </c>
      <c r="X2052" s="50">
        <f t="shared" si="2958"/>
        <v>55</v>
      </c>
      <c r="Y2052" s="51">
        <v>15</v>
      </c>
      <c r="Z2052" s="52">
        <v>20</v>
      </c>
      <c r="AA2052" s="52">
        <v>20</v>
      </c>
      <c r="AB2052" s="50">
        <f t="shared" si="2959"/>
        <v>55</v>
      </c>
      <c r="AC2052" s="149">
        <f t="shared" si="2960"/>
        <v>165</v>
      </c>
      <c r="AD2052" s="123" t="s">
        <v>903</v>
      </c>
    </row>
    <row r="2053" spans="1:30" x14ac:dyDescent="0.15">
      <c r="A2053" s="63"/>
      <c r="B2053" s="9"/>
      <c r="C2053" s="10"/>
      <c r="D2053" s="10"/>
      <c r="E2053" s="8">
        <f t="shared" si="2936"/>
        <v>0</v>
      </c>
      <c r="F2053" s="9"/>
      <c r="G2053" s="10"/>
      <c r="H2053" s="10"/>
      <c r="I2053" s="8">
        <f t="shared" si="2937"/>
        <v>0</v>
      </c>
      <c r="J2053" s="9"/>
      <c r="K2053" s="10"/>
      <c r="L2053" s="10"/>
      <c r="M2053" s="39">
        <f t="shared" si="2938"/>
        <v>0</v>
      </c>
      <c r="N2053" s="138">
        <f t="shared" si="2939"/>
        <v>0</v>
      </c>
      <c r="P2053" s="49" t="s">
        <v>1825</v>
      </c>
      <c r="Q2053" s="51">
        <v>15</v>
      </c>
      <c r="R2053" s="52">
        <v>20</v>
      </c>
      <c r="S2053" s="52">
        <v>20</v>
      </c>
      <c r="T2053" s="50">
        <f t="shared" si="2957"/>
        <v>55</v>
      </c>
      <c r="U2053" s="51">
        <v>15</v>
      </c>
      <c r="V2053" s="52">
        <v>20</v>
      </c>
      <c r="W2053" s="52">
        <v>20</v>
      </c>
      <c r="X2053" s="50">
        <f t="shared" si="2958"/>
        <v>55</v>
      </c>
      <c r="Y2053" s="51">
        <v>15</v>
      </c>
      <c r="Z2053" s="52">
        <v>20</v>
      </c>
      <c r="AA2053" s="52">
        <v>20</v>
      </c>
      <c r="AB2053" s="50">
        <f t="shared" si="2959"/>
        <v>55</v>
      </c>
      <c r="AC2053" s="149">
        <f t="shared" si="2960"/>
        <v>165</v>
      </c>
      <c r="AD2053" s="123" t="s">
        <v>1824</v>
      </c>
    </row>
    <row r="2054" spans="1:30" x14ac:dyDescent="0.15">
      <c r="A2054" s="33"/>
      <c r="B2054" s="9"/>
      <c r="C2054" s="10"/>
      <c r="D2054" s="10"/>
      <c r="E2054" s="8">
        <f t="shared" si="2936"/>
        <v>0</v>
      </c>
      <c r="F2054" s="9"/>
      <c r="G2054" s="10"/>
      <c r="H2054" s="10"/>
      <c r="I2054" s="8">
        <f t="shared" si="2937"/>
        <v>0</v>
      </c>
      <c r="J2054" s="9"/>
      <c r="K2054" s="10"/>
      <c r="L2054" s="10"/>
      <c r="M2054" s="39">
        <f t="shared" si="2938"/>
        <v>0</v>
      </c>
      <c r="N2054" s="138">
        <f t="shared" si="2939"/>
        <v>0</v>
      </c>
      <c r="P2054" s="126" t="s">
        <v>1865</v>
      </c>
      <c r="Q2054" s="68">
        <v>0</v>
      </c>
      <c r="R2054" s="69">
        <v>0</v>
      </c>
      <c r="S2054" s="69">
        <v>0</v>
      </c>
      <c r="T2054" s="67">
        <f t="shared" si="2957"/>
        <v>0</v>
      </c>
      <c r="U2054" s="68">
        <v>0</v>
      </c>
      <c r="V2054" s="69">
        <v>0</v>
      </c>
      <c r="W2054" s="69">
        <v>0</v>
      </c>
      <c r="X2054" s="67">
        <f t="shared" si="2958"/>
        <v>0</v>
      </c>
      <c r="Y2054" s="68">
        <v>0</v>
      </c>
      <c r="Z2054" s="69">
        <v>0</v>
      </c>
      <c r="AA2054" s="69">
        <v>0</v>
      </c>
      <c r="AB2054" s="67">
        <f t="shared" si="2959"/>
        <v>0</v>
      </c>
      <c r="AC2054" s="135">
        <f t="shared" si="2960"/>
        <v>0</v>
      </c>
    </row>
    <row r="2055" spans="1:30" x14ac:dyDescent="0.15">
      <c r="A2055" s="33"/>
      <c r="B2055" s="9"/>
      <c r="C2055" s="10"/>
      <c r="D2055" s="10"/>
      <c r="E2055" s="8">
        <f t="shared" si="2936"/>
        <v>0</v>
      </c>
      <c r="F2055" s="9"/>
      <c r="G2055" s="10"/>
      <c r="H2055" s="10"/>
      <c r="I2055" s="8">
        <f t="shared" si="2937"/>
        <v>0</v>
      </c>
      <c r="J2055" s="9"/>
      <c r="K2055" s="10"/>
      <c r="L2055" s="10"/>
      <c r="M2055" s="39">
        <f t="shared" si="2938"/>
        <v>0</v>
      </c>
      <c r="N2055" s="138">
        <f t="shared" si="2939"/>
        <v>0</v>
      </c>
      <c r="P2055" s="37" t="s">
        <v>1866</v>
      </c>
      <c r="Q2055" s="51">
        <v>15</v>
      </c>
      <c r="R2055" s="52">
        <v>20</v>
      </c>
      <c r="S2055" s="52">
        <v>15</v>
      </c>
      <c r="T2055" s="50">
        <f t="shared" si="2957"/>
        <v>50</v>
      </c>
      <c r="U2055" s="51">
        <v>15</v>
      </c>
      <c r="V2055" s="52">
        <v>20</v>
      </c>
      <c r="W2055" s="52">
        <v>15</v>
      </c>
      <c r="X2055" s="50">
        <f t="shared" si="2958"/>
        <v>50</v>
      </c>
      <c r="Y2055" s="51">
        <v>15</v>
      </c>
      <c r="Z2055" s="52">
        <v>20</v>
      </c>
      <c r="AA2055" s="52">
        <v>15</v>
      </c>
      <c r="AB2055" s="50">
        <f t="shared" si="2959"/>
        <v>50</v>
      </c>
      <c r="AC2055" s="90">
        <f t="shared" si="2960"/>
        <v>150</v>
      </c>
      <c r="AD2055" s="123" t="s">
        <v>1867</v>
      </c>
    </row>
    <row r="2056" spans="1:30" x14ac:dyDescent="0.15">
      <c r="A2056" s="33"/>
      <c r="B2056" s="9"/>
      <c r="C2056" s="10"/>
      <c r="D2056" s="10"/>
      <c r="E2056" s="8">
        <f t="shared" si="2936"/>
        <v>0</v>
      </c>
      <c r="F2056" s="9"/>
      <c r="G2056" s="10"/>
      <c r="H2056" s="10"/>
      <c r="I2056" s="8">
        <f t="shared" si="2937"/>
        <v>0</v>
      </c>
      <c r="J2056" s="9"/>
      <c r="K2056" s="10"/>
      <c r="L2056" s="10"/>
      <c r="M2056" s="39">
        <f t="shared" si="2938"/>
        <v>0</v>
      </c>
      <c r="N2056" s="138">
        <f t="shared" si="2939"/>
        <v>0</v>
      </c>
      <c r="P2056" s="126" t="s">
        <v>1781</v>
      </c>
      <c r="Q2056" s="68">
        <v>0</v>
      </c>
      <c r="R2056" s="69">
        <v>0</v>
      </c>
      <c r="S2056" s="69">
        <v>0</v>
      </c>
      <c r="T2056" s="67">
        <f t="shared" ref="T2056:T2061" si="2961">SUM(Q2056:S2056)</f>
        <v>0</v>
      </c>
      <c r="U2056" s="68">
        <v>0</v>
      </c>
      <c r="V2056" s="69">
        <v>0</v>
      </c>
      <c r="W2056" s="69">
        <v>0</v>
      </c>
      <c r="X2056" s="67">
        <f t="shared" ref="X2056:X2061" si="2962">SUM(U2056:W2056)</f>
        <v>0</v>
      </c>
      <c r="Y2056" s="68">
        <v>0</v>
      </c>
      <c r="Z2056" s="69">
        <v>0</v>
      </c>
      <c r="AA2056" s="69">
        <v>0</v>
      </c>
      <c r="AB2056" s="67">
        <f t="shared" ref="AB2056:AB2061" si="2963">SUM(Y2056:AA2056)</f>
        <v>0</v>
      </c>
      <c r="AC2056" s="135">
        <f t="shared" ref="AC2056:AC2061" si="2964">T2056+X2056+AB2056</f>
        <v>0</v>
      </c>
    </row>
    <row r="2057" spans="1:30" x14ac:dyDescent="0.15">
      <c r="A2057" s="33"/>
      <c r="B2057" s="9"/>
      <c r="C2057" s="10"/>
      <c r="D2057" s="10"/>
      <c r="E2057" s="8">
        <f t="shared" si="2936"/>
        <v>0</v>
      </c>
      <c r="F2057" s="9"/>
      <c r="G2057" s="10"/>
      <c r="H2057" s="10"/>
      <c r="I2057" s="8">
        <f t="shared" si="2937"/>
        <v>0</v>
      </c>
      <c r="J2057" s="9"/>
      <c r="K2057" s="10"/>
      <c r="L2057" s="10"/>
      <c r="M2057" s="39">
        <f t="shared" si="2938"/>
        <v>0</v>
      </c>
      <c r="N2057" s="138">
        <f t="shared" si="2939"/>
        <v>0</v>
      </c>
      <c r="P2057" s="37" t="s">
        <v>1780</v>
      </c>
      <c r="Q2057" s="51">
        <v>10</v>
      </c>
      <c r="R2057" s="52">
        <v>10</v>
      </c>
      <c r="S2057" s="52">
        <v>10</v>
      </c>
      <c r="T2057" s="50">
        <f t="shared" si="2961"/>
        <v>30</v>
      </c>
      <c r="U2057" s="51">
        <v>10</v>
      </c>
      <c r="V2057" s="52">
        <v>10</v>
      </c>
      <c r="W2057" s="52">
        <v>10</v>
      </c>
      <c r="X2057" s="50">
        <f t="shared" si="2962"/>
        <v>30</v>
      </c>
      <c r="Y2057" s="51">
        <v>10</v>
      </c>
      <c r="Z2057" s="52">
        <v>10</v>
      </c>
      <c r="AA2057" s="52">
        <v>10</v>
      </c>
      <c r="AB2057" s="50">
        <f t="shared" si="2963"/>
        <v>30</v>
      </c>
      <c r="AC2057" s="149">
        <f t="shared" si="2964"/>
        <v>90</v>
      </c>
      <c r="AD2057" s="123" t="s">
        <v>1782</v>
      </c>
    </row>
    <row r="2058" spans="1:30" x14ac:dyDescent="0.15">
      <c r="A2058" s="33"/>
      <c r="B2058" s="9"/>
      <c r="C2058" s="10"/>
      <c r="D2058" s="10"/>
      <c r="E2058" s="8">
        <f t="shared" si="2936"/>
        <v>0</v>
      </c>
      <c r="F2058" s="9"/>
      <c r="G2058" s="10"/>
      <c r="H2058" s="10"/>
      <c r="I2058" s="8">
        <f t="shared" si="2937"/>
        <v>0</v>
      </c>
      <c r="J2058" s="9"/>
      <c r="K2058" s="10"/>
      <c r="L2058" s="10"/>
      <c r="M2058" s="39">
        <f t="shared" si="2938"/>
        <v>0</v>
      </c>
      <c r="N2058" s="138">
        <f t="shared" si="2939"/>
        <v>0</v>
      </c>
      <c r="P2058" s="126" t="s">
        <v>1837</v>
      </c>
      <c r="Q2058" s="68">
        <v>-5</v>
      </c>
      <c r="R2058" s="69">
        <v>-10</v>
      </c>
      <c r="S2058" s="69">
        <v>-5</v>
      </c>
      <c r="T2058" s="67">
        <f t="shared" si="2961"/>
        <v>-20</v>
      </c>
      <c r="U2058" s="68">
        <v>-5</v>
      </c>
      <c r="V2058" s="69">
        <v>-10</v>
      </c>
      <c r="W2058" s="69">
        <v>-5</v>
      </c>
      <c r="X2058" s="67">
        <f t="shared" si="2962"/>
        <v>-20</v>
      </c>
      <c r="Y2058" s="68">
        <v>-5</v>
      </c>
      <c r="Z2058" s="69">
        <v>-10</v>
      </c>
      <c r="AA2058" s="69">
        <v>-5</v>
      </c>
      <c r="AB2058" s="67">
        <f t="shared" si="2963"/>
        <v>-20</v>
      </c>
      <c r="AC2058" s="135">
        <f t="shared" si="2964"/>
        <v>-60</v>
      </c>
    </row>
    <row r="2059" spans="1:30" x14ac:dyDescent="0.15">
      <c r="A2059" s="33"/>
      <c r="B2059" s="9"/>
      <c r="C2059" s="10"/>
      <c r="D2059" s="10"/>
      <c r="E2059" s="8">
        <f t="shared" si="2936"/>
        <v>0</v>
      </c>
      <c r="F2059" s="9"/>
      <c r="G2059" s="10"/>
      <c r="H2059" s="10"/>
      <c r="I2059" s="8">
        <f t="shared" si="2937"/>
        <v>0</v>
      </c>
      <c r="J2059" s="9"/>
      <c r="K2059" s="10"/>
      <c r="L2059" s="10"/>
      <c r="M2059" s="39">
        <f t="shared" si="2938"/>
        <v>0</v>
      </c>
      <c r="N2059" s="138">
        <f t="shared" si="2939"/>
        <v>0</v>
      </c>
      <c r="P2059" s="37" t="s">
        <v>1840</v>
      </c>
      <c r="Q2059" s="51">
        <v>20</v>
      </c>
      <c r="R2059" s="52">
        <v>30</v>
      </c>
      <c r="S2059" s="52">
        <v>20</v>
      </c>
      <c r="T2059" s="50">
        <f t="shared" si="2961"/>
        <v>70</v>
      </c>
      <c r="U2059" s="51">
        <v>20</v>
      </c>
      <c r="V2059" s="52">
        <v>30</v>
      </c>
      <c r="W2059" s="52">
        <v>20</v>
      </c>
      <c r="X2059" s="50">
        <f t="shared" si="2962"/>
        <v>70</v>
      </c>
      <c r="Y2059" s="51">
        <v>20</v>
      </c>
      <c r="Z2059" s="52">
        <v>30</v>
      </c>
      <c r="AA2059" s="52">
        <v>20</v>
      </c>
      <c r="AB2059" s="50">
        <f t="shared" si="2963"/>
        <v>70</v>
      </c>
      <c r="AC2059" s="90">
        <f t="shared" si="2964"/>
        <v>210</v>
      </c>
      <c r="AD2059" s="123" t="s">
        <v>1839</v>
      </c>
    </row>
    <row r="2060" spans="1:30" x14ac:dyDescent="0.15">
      <c r="A2060" s="33"/>
      <c r="B2060" s="9"/>
      <c r="C2060" s="10"/>
      <c r="D2060" s="10"/>
      <c r="E2060" s="8">
        <f t="shared" si="2936"/>
        <v>0</v>
      </c>
      <c r="F2060" s="9"/>
      <c r="G2060" s="10"/>
      <c r="H2060" s="10"/>
      <c r="I2060" s="8">
        <f t="shared" si="2937"/>
        <v>0</v>
      </c>
      <c r="J2060" s="9"/>
      <c r="K2060" s="10"/>
      <c r="L2060" s="10"/>
      <c r="M2060" s="39">
        <f t="shared" si="2938"/>
        <v>0</v>
      </c>
      <c r="N2060" s="138">
        <f t="shared" si="2939"/>
        <v>0</v>
      </c>
      <c r="P2060" s="126" t="s">
        <v>1733</v>
      </c>
      <c r="Q2060" s="68">
        <v>-40</v>
      </c>
      <c r="R2060" s="69">
        <v>-50</v>
      </c>
      <c r="S2060" s="69">
        <v>-30</v>
      </c>
      <c r="T2060" s="67">
        <f t="shared" si="2961"/>
        <v>-120</v>
      </c>
      <c r="U2060" s="68">
        <v>-10</v>
      </c>
      <c r="V2060" s="69">
        <v>-15</v>
      </c>
      <c r="W2060" s="69">
        <v>-10</v>
      </c>
      <c r="X2060" s="67">
        <f t="shared" si="2962"/>
        <v>-35</v>
      </c>
      <c r="Y2060" s="68">
        <v>-30</v>
      </c>
      <c r="Z2060" s="69">
        <v>0</v>
      </c>
      <c r="AA2060" s="69">
        <v>-20</v>
      </c>
      <c r="AB2060" s="67">
        <f t="shared" si="2963"/>
        <v>-50</v>
      </c>
      <c r="AC2060" s="135">
        <f t="shared" si="2964"/>
        <v>-205</v>
      </c>
      <c r="AD2060" s="123"/>
    </row>
    <row r="2061" spans="1:30" ht="14.25" thickBot="1" x14ac:dyDescent="0.2">
      <c r="A2061" s="63"/>
      <c r="B2061" s="9"/>
      <c r="C2061" s="10"/>
      <c r="D2061" s="22"/>
      <c r="E2061" s="8">
        <f t="shared" si="2936"/>
        <v>0</v>
      </c>
      <c r="F2061" s="9"/>
      <c r="G2061" s="10"/>
      <c r="H2061" s="22"/>
      <c r="I2061" s="8">
        <f t="shared" si="2937"/>
        <v>0</v>
      </c>
      <c r="J2061" s="9"/>
      <c r="K2061" s="10"/>
      <c r="L2061" s="22"/>
      <c r="M2061" s="39">
        <f t="shared" si="2938"/>
        <v>0</v>
      </c>
      <c r="N2061" s="139">
        <f t="shared" si="2939"/>
        <v>0</v>
      </c>
      <c r="P2061" s="37" t="s">
        <v>1732</v>
      </c>
      <c r="Q2061" s="51">
        <v>115</v>
      </c>
      <c r="R2061" s="52">
        <v>130</v>
      </c>
      <c r="S2061" s="52">
        <v>70</v>
      </c>
      <c r="T2061" s="50">
        <f t="shared" si="2961"/>
        <v>315</v>
      </c>
      <c r="U2061" s="51">
        <v>60</v>
      </c>
      <c r="V2061" s="52">
        <v>75</v>
      </c>
      <c r="W2061" s="52">
        <v>45</v>
      </c>
      <c r="X2061" s="50">
        <f t="shared" si="2962"/>
        <v>180</v>
      </c>
      <c r="Y2061" s="51">
        <v>80</v>
      </c>
      <c r="Z2061" s="52">
        <v>100</v>
      </c>
      <c r="AA2061" s="52">
        <v>80</v>
      </c>
      <c r="AB2061" s="50">
        <f t="shared" si="2963"/>
        <v>260</v>
      </c>
      <c r="AC2061" s="149">
        <f t="shared" si="2964"/>
        <v>755</v>
      </c>
      <c r="AD2061" s="123" t="s">
        <v>1805</v>
      </c>
    </row>
    <row r="2062" spans="1:30" ht="14.25" thickBot="1" x14ac:dyDescent="0.2">
      <c r="A2062" s="104" t="s">
        <v>5</v>
      </c>
      <c r="B2062" s="12">
        <f>SUM(B2038:B2061)</f>
        <v>0</v>
      </c>
      <c r="C2062" s="12">
        <f>SUM(C2038:C2061)</f>
        <v>0</v>
      </c>
      <c r="D2062" s="12">
        <f>SUM(D2038:D2061)</f>
        <v>0</v>
      </c>
      <c r="E2062" s="13">
        <f t="shared" si="2936"/>
        <v>0</v>
      </c>
      <c r="F2062" s="12">
        <f>SUM(F2038:F2061)</f>
        <v>0</v>
      </c>
      <c r="G2062" s="12">
        <f>SUM(G2038:G2061)</f>
        <v>0</v>
      </c>
      <c r="H2062" s="12">
        <f>SUM(H2038:H2061)</f>
        <v>0</v>
      </c>
      <c r="I2062" s="13">
        <f t="shared" si="2937"/>
        <v>0</v>
      </c>
      <c r="J2062" s="12">
        <f>SUM(J2038:J2061)</f>
        <v>0</v>
      </c>
      <c r="K2062" s="12">
        <f>SUM(K2038:K2061)</f>
        <v>0</v>
      </c>
      <c r="L2062" s="12">
        <f>SUM(L2038:L2061)</f>
        <v>0</v>
      </c>
      <c r="M2062" s="12">
        <f t="shared" si="2938"/>
        <v>0</v>
      </c>
      <c r="N2062" s="142">
        <f t="shared" si="2939"/>
        <v>0</v>
      </c>
      <c r="P2062" s="3" t="s">
        <v>5</v>
      </c>
      <c r="Q2062" s="12">
        <f>SUM(Q2038:Q2061)</f>
        <v>145</v>
      </c>
      <c r="R2062" s="12">
        <f t="shared" ref="R2062:AC2062" si="2965">SUM(R2038:R2061)</f>
        <v>170</v>
      </c>
      <c r="S2062" s="12">
        <f t="shared" si="2965"/>
        <v>120</v>
      </c>
      <c r="T2062" s="13">
        <f t="shared" si="2965"/>
        <v>435</v>
      </c>
      <c r="U2062" s="12">
        <f t="shared" si="2965"/>
        <v>120</v>
      </c>
      <c r="V2062" s="12">
        <f t="shared" si="2965"/>
        <v>150</v>
      </c>
      <c r="W2062" s="12">
        <f t="shared" si="2965"/>
        <v>115</v>
      </c>
      <c r="X2062" s="13">
        <f t="shared" si="2965"/>
        <v>385</v>
      </c>
      <c r="Y2062" s="12">
        <f t="shared" si="2965"/>
        <v>120</v>
      </c>
      <c r="Z2062" s="12">
        <f t="shared" si="2965"/>
        <v>190</v>
      </c>
      <c r="AA2062" s="12">
        <f t="shared" si="2965"/>
        <v>140</v>
      </c>
      <c r="AB2062" s="13">
        <f t="shared" si="2965"/>
        <v>450</v>
      </c>
      <c r="AC2062" s="155">
        <f t="shared" si="2965"/>
        <v>1270</v>
      </c>
    </row>
    <row r="2063" spans="1:30" ht="14.25" thickBot="1" x14ac:dyDescent="0.2">
      <c r="A2063" s="105" t="s">
        <v>6</v>
      </c>
      <c r="B2063" s="20">
        <f>B2037-B2062</f>
        <v>29</v>
      </c>
      <c r="C2063" s="20">
        <f t="shared" ref="C2063:E2063" si="2966">C2037-C2062</f>
        <v>26</v>
      </c>
      <c r="D2063" s="20">
        <f t="shared" si="2966"/>
        <v>20</v>
      </c>
      <c r="E2063" s="18">
        <f t="shared" si="2966"/>
        <v>75</v>
      </c>
      <c r="F2063" s="20">
        <f>F2037-F2062</f>
        <v>26</v>
      </c>
      <c r="G2063" s="20">
        <f t="shared" ref="G2063:I2063" si="2967">G2037-G2062</f>
        <v>28</v>
      </c>
      <c r="H2063" s="20">
        <f t="shared" si="2967"/>
        <v>18</v>
      </c>
      <c r="I2063" s="18">
        <f t="shared" si="2967"/>
        <v>72</v>
      </c>
      <c r="J2063" s="20">
        <f>J2037-J2062</f>
        <v>29</v>
      </c>
      <c r="K2063" s="20">
        <f t="shared" ref="K2063:M2063" si="2968">K2037-K2062</f>
        <v>27</v>
      </c>
      <c r="L2063" s="20">
        <f t="shared" si="2968"/>
        <v>22</v>
      </c>
      <c r="M2063" s="20">
        <f t="shared" si="2968"/>
        <v>78</v>
      </c>
      <c r="N2063" s="140">
        <f t="shared" si="2939"/>
        <v>225</v>
      </c>
      <c r="P2063" s="19" t="s">
        <v>6</v>
      </c>
      <c r="Q2063" s="20">
        <f>Q2037-Q2062</f>
        <v>175</v>
      </c>
      <c r="R2063" s="20">
        <f t="shared" ref="R2063:AC2063" si="2969">R2037-R2062</f>
        <v>253</v>
      </c>
      <c r="S2063" s="20">
        <f t="shared" si="2969"/>
        <v>286</v>
      </c>
      <c r="T2063" s="18">
        <f t="shared" si="2969"/>
        <v>714</v>
      </c>
      <c r="U2063" s="20">
        <f t="shared" si="2969"/>
        <v>248</v>
      </c>
      <c r="V2063" s="20">
        <f t="shared" si="2969"/>
        <v>277</v>
      </c>
      <c r="W2063" s="20">
        <f t="shared" si="2969"/>
        <v>247</v>
      </c>
      <c r="X2063" s="18">
        <f t="shared" si="2969"/>
        <v>772</v>
      </c>
      <c r="Y2063" s="20">
        <f t="shared" si="2969"/>
        <v>197</v>
      </c>
      <c r="Z2063" s="20">
        <f t="shared" si="2969"/>
        <v>106</v>
      </c>
      <c r="AA2063" s="20">
        <f t="shared" si="2969"/>
        <v>233</v>
      </c>
      <c r="AB2063" s="18">
        <f t="shared" si="2969"/>
        <v>536</v>
      </c>
      <c r="AC2063" s="88">
        <f t="shared" si="2969"/>
        <v>2022</v>
      </c>
    </row>
    <row r="2066" spans="1:30" ht="19.5" thickBot="1" x14ac:dyDescent="0.25">
      <c r="A2066" s="108" t="s">
        <v>264</v>
      </c>
      <c r="B2066" s="47"/>
      <c r="C2066" s="47"/>
      <c r="D2066" s="47"/>
      <c r="E2066" s="47"/>
      <c r="F2066" s="48"/>
      <c r="G2066" s="48"/>
      <c r="H2066" s="48"/>
      <c r="I2066" s="48"/>
      <c r="J2066" s="48"/>
      <c r="K2066" s="48"/>
      <c r="L2066" s="1"/>
      <c r="M2066" s="1"/>
      <c r="N2066" s="137"/>
      <c r="P2066" s="43" t="s">
        <v>263</v>
      </c>
      <c r="Q2066" s="44"/>
      <c r="R2066" s="44"/>
      <c r="S2066" s="44"/>
      <c r="T2066" s="44"/>
      <c r="U2066" s="45"/>
      <c r="V2066" s="45"/>
      <c r="W2066" s="45"/>
      <c r="X2066" s="45"/>
      <c r="Y2066" s="46"/>
      <c r="Z2066" s="53"/>
      <c r="AA2066" s="1"/>
      <c r="AB2066" s="1"/>
    </row>
    <row r="2067" spans="1:30" ht="14.25" thickBot="1" x14ac:dyDescent="0.2">
      <c r="A2067" s="100" t="s">
        <v>0</v>
      </c>
      <c r="B2067" s="337" t="s">
        <v>11</v>
      </c>
      <c r="C2067" s="337"/>
      <c r="D2067" s="337"/>
      <c r="E2067" s="338"/>
      <c r="F2067" s="339" t="s">
        <v>9</v>
      </c>
      <c r="G2067" s="340"/>
      <c r="H2067" s="340"/>
      <c r="I2067" s="341"/>
      <c r="J2067" s="342" t="s">
        <v>12</v>
      </c>
      <c r="K2067" s="343"/>
      <c r="L2067" s="343"/>
      <c r="M2067" s="343"/>
      <c r="N2067" s="347" t="s">
        <v>13</v>
      </c>
      <c r="P2067" s="2" t="s">
        <v>0</v>
      </c>
      <c r="Q2067" s="336" t="s">
        <v>11</v>
      </c>
      <c r="R2067" s="337"/>
      <c r="S2067" s="337"/>
      <c r="T2067" s="338"/>
      <c r="U2067" s="339" t="s">
        <v>9</v>
      </c>
      <c r="V2067" s="340"/>
      <c r="W2067" s="340"/>
      <c r="X2067" s="341"/>
      <c r="Y2067" s="342" t="s">
        <v>12</v>
      </c>
      <c r="Z2067" s="343"/>
      <c r="AA2067" s="343"/>
      <c r="AB2067" s="344"/>
      <c r="AC2067" s="345" t="s">
        <v>13</v>
      </c>
    </row>
    <row r="2068" spans="1:30" ht="14.25" thickBot="1" x14ac:dyDescent="0.2">
      <c r="A2068" s="100" t="s">
        <v>1</v>
      </c>
      <c r="B2068" s="3" t="s">
        <v>7</v>
      </c>
      <c r="C2068" s="2" t="s">
        <v>10</v>
      </c>
      <c r="D2068" s="2" t="s">
        <v>8</v>
      </c>
      <c r="E2068" s="2" t="s">
        <v>2</v>
      </c>
      <c r="F2068" s="3" t="s">
        <v>7</v>
      </c>
      <c r="G2068" s="2" t="s">
        <v>10</v>
      </c>
      <c r="H2068" s="2" t="s">
        <v>8</v>
      </c>
      <c r="I2068" s="2" t="s">
        <v>2</v>
      </c>
      <c r="J2068" s="3" t="s">
        <v>7</v>
      </c>
      <c r="K2068" s="2" t="s">
        <v>10</v>
      </c>
      <c r="L2068" s="2" t="s">
        <v>8</v>
      </c>
      <c r="M2068" s="3" t="s">
        <v>2</v>
      </c>
      <c r="N2068" s="348"/>
      <c r="P2068" s="2" t="s">
        <v>1</v>
      </c>
      <c r="Q2068" s="3" t="s">
        <v>7</v>
      </c>
      <c r="R2068" s="2" t="s">
        <v>10</v>
      </c>
      <c r="S2068" s="2" t="s">
        <v>8</v>
      </c>
      <c r="T2068" s="2" t="s">
        <v>2</v>
      </c>
      <c r="U2068" s="3" t="s">
        <v>7</v>
      </c>
      <c r="V2068" s="2" t="s">
        <v>10</v>
      </c>
      <c r="W2068" s="2" t="s">
        <v>8</v>
      </c>
      <c r="X2068" s="2" t="s">
        <v>2</v>
      </c>
      <c r="Y2068" s="3" t="s">
        <v>7</v>
      </c>
      <c r="Z2068" s="2" t="s">
        <v>10</v>
      </c>
      <c r="AA2068" s="2" t="s">
        <v>8</v>
      </c>
      <c r="AB2068" s="2" t="s">
        <v>2</v>
      </c>
      <c r="AC2068" s="346"/>
    </row>
    <row r="2069" spans="1:30" x14ac:dyDescent="0.15">
      <c r="A2069" s="106" t="s">
        <v>6</v>
      </c>
      <c r="B2069" s="41">
        <f>B2063</f>
        <v>29</v>
      </c>
      <c r="C2069" s="41">
        <f t="shared" ref="C2069:E2069" si="2970">C2063</f>
        <v>26</v>
      </c>
      <c r="D2069" s="41">
        <f t="shared" si="2970"/>
        <v>20</v>
      </c>
      <c r="E2069" s="42">
        <f t="shared" si="2970"/>
        <v>75</v>
      </c>
      <c r="F2069" s="41">
        <f>F2063</f>
        <v>26</v>
      </c>
      <c r="G2069" s="41">
        <f t="shared" ref="G2069:I2069" si="2971">G2063</f>
        <v>28</v>
      </c>
      <c r="H2069" s="41">
        <f t="shared" si="2971"/>
        <v>18</v>
      </c>
      <c r="I2069" s="42">
        <f t="shared" si="2971"/>
        <v>72</v>
      </c>
      <c r="J2069" s="41">
        <f>J2063</f>
        <v>29</v>
      </c>
      <c r="K2069" s="41">
        <f t="shared" ref="K2069:M2069" si="2972">K2063</f>
        <v>27</v>
      </c>
      <c r="L2069" s="41">
        <f t="shared" si="2972"/>
        <v>22</v>
      </c>
      <c r="M2069" s="42">
        <f t="shared" si="2972"/>
        <v>78</v>
      </c>
      <c r="N2069" s="143">
        <f>E2069+I2069+M2069</f>
        <v>225</v>
      </c>
      <c r="P2069" s="36" t="s">
        <v>6</v>
      </c>
      <c r="Q2069" s="41">
        <f>Q2063</f>
        <v>175</v>
      </c>
      <c r="R2069" s="41">
        <f t="shared" ref="R2069:AC2069" si="2973">R2063</f>
        <v>253</v>
      </c>
      <c r="S2069" s="41">
        <f t="shared" si="2973"/>
        <v>286</v>
      </c>
      <c r="T2069" s="42">
        <f t="shared" si="2973"/>
        <v>714</v>
      </c>
      <c r="U2069" s="41">
        <f t="shared" si="2973"/>
        <v>248</v>
      </c>
      <c r="V2069" s="41">
        <f t="shared" si="2973"/>
        <v>277</v>
      </c>
      <c r="W2069" s="41">
        <f t="shared" si="2973"/>
        <v>247</v>
      </c>
      <c r="X2069" s="42">
        <f t="shared" si="2973"/>
        <v>772</v>
      </c>
      <c r="Y2069" s="41">
        <f t="shared" si="2973"/>
        <v>197</v>
      </c>
      <c r="Z2069" s="41">
        <f t="shared" si="2973"/>
        <v>106</v>
      </c>
      <c r="AA2069" s="41">
        <f t="shared" si="2973"/>
        <v>233</v>
      </c>
      <c r="AB2069" s="42">
        <f t="shared" si="2973"/>
        <v>536</v>
      </c>
      <c r="AC2069" s="90">
        <f t="shared" si="2973"/>
        <v>2022</v>
      </c>
    </row>
    <row r="2070" spans="1:30" x14ac:dyDescent="0.15">
      <c r="A2070" s="102" t="s">
        <v>3</v>
      </c>
      <c r="B2070" s="25"/>
      <c r="C2070" s="26"/>
      <c r="D2070" s="26"/>
      <c r="E2070" s="5">
        <f t="shared" ref="E2070:E2105" si="2974">SUM(B2070:D2070)</f>
        <v>0</v>
      </c>
      <c r="F2070" s="25"/>
      <c r="G2070" s="26"/>
      <c r="H2070" s="26"/>
      <c r="I2070" s="5">
        <f t="shared" ref="I2070:I2105" si="2975">SUM(F2070:H2070)</f>
        <v>0</v>
      </c>
      <c r="J2070" s="25"/>
      <c r="K2070" s="26"/>
      <c r="L2070" s="26"/>
      <c r="M2070" s="38">
        <f t="shared" ref="M2070:M2105" si="2976">SUM(J2070:L2070)</f>
        <v>0</v>
      </c>
      <c r="N2070" s="138">
        <f t="shared" ref="N2070:N2106" si="2977">E2070+I2070+M2070</f>
        <v>0</v>
      </c>
      <c r="P2070" s="6" t="s">
        <v>3</v>
      </c>
      <c r="Q2070" s="14"/>
      <c r="R2070" s="11"/>
      <c r="S2070" s="11"/>
      <c r="T2070" s="5">
        <f t="shared" ref="T2070:T2079" si="2978">SUM(Q2070:S2070)</f>
        <v>0</v>
      </c>
      <c r="U2070" s="14"/>
      <c r="V2070" s="11"/>
      <c r="W2070" s="11"/>
      <c r="X2070" s="5">
        <f t="shared" ref="X2070:X2079" si="2979">SUM(U2070:W2070)</f>
        <v>0</v>
      </c>
      <c r="Y2070" s="25"/>
      <c r="Z2070" s="26"/>
      <c r="AA2070" s="26"/>
      <c r="AB2070" s="5">
        <f t="shared" ref="AB2070:AB2079" si="2980">SUM(Y2070:AA2070)</f>
        <v>0</v>
      </c>
      <c r="AC2070" s="86">
        <f t="shared" ref="AC2070:AC2079" si="2981">T2070+X2070+AB2070</f>
        <v>0</v>
      </c>
    </row>
    <row r="2071" spans="1:30" x14ac:dyDescent="0.15">
      <c r="A2071" s="102" t="s">
        <v>3</v>
      </c>
      <c r="B2071" s="14"/>
      <c r="C2071" s="11"/>
      <c r="D2071" s="11"/>
      <c r="E2071" s="5">
        <f t="shared" si="2974"/>
        <v>0</v>
      </c>
      <c r="F2071" s="34"/>
      <c r="G2071" s="11"/>
      <c r="H2071" s="11"/>
      <c r="I2071" s="5">
        <f t="shared" si="2975"/>
        <v>0</v>
      </c>
      <c r="J2071" s="34"/>
      <c r="K2071" s="11"/>
      <c r="L2071" s="11"/>
      <c r="M2071" s="38">
        <f t="shared" si="2976"/>
        <v>0</v>
      </c>
      <c r="N2071" s="138">
        <f t="shared" si="2977"/>
        <v>0</v>
      </c>
      <c r="P2071" s="81" t="s">
        <v>3</v>
      </c>
      <c r="Q2071" s="62"/>
      <c r="R2071" s="4"/>
      <c r="S2071" s="4"/>
      <c r="T2071" s="5">
        <f t="shared" si="2978"/>
        <v>0</v>
      </c>
      <c r="U2071" s="62"/>
      <c r="V2071" s="4"/>
      <c r="W2071" s="4"/>
      <c r="X2071" s="5">
        <f t="shared" si="2979"/>
        <v>0</v>
      </c>
      <c r="Y2071" s="280"/>
      <c r="Z2071" s="281"/>
      <c r="AA2071" s="281"/>
      <c r="AB2071" s="5">
        <f t="shared" si="2980"/>
        <v>0</v>
      </c>
      <c r="AC2071" s="91">
        <f t="shared" si="2981"/>
        <v>0</v>
      </c>
    </row>
    <row r="2072" spans="1:30" x14ac:dyDescent="0.15">
      <c r="A2072" s="102" t="s">
        <v>3</v>
      </c>
      <c r="B2072" s="14"/>
      <c r="C2072" s="11"/>
      <c r="D2072" s="11"/>
      <c r="E2072" s="5">
        <f t="shared" si="2974"/>
        <v>0</v>
      </c>
      <c r="F2072" s="34"/>
      <c r="G2072" s="11"/>
      <c r="H2072" s="11"/>
      <c r="I2072" s="5">
        <f t="shared" si="2975"/>
        <v>0</v>
      </c>
      <c r="J2072" s="34"/>
      <c r="K2072" s="11"/>
      <c r="L2072" s="11"/>
      <c r="M2072" s="38">
        <f t="shared" si="2976"/>
        <v>0</v>
      </c>
      <c r="N2072" s="138">
        <f t="shared" si="2977"/>
        <v>0</v>
      </c>
      <c r="P2072" s="126" t="s">
        <v>378</v>
      </c>
      <c r="Q2072" s="323">
        <v>300</v>
      </c>
      <c r="R2072" s="37">
        <v>450</v>
      </c>
      <c r="S2072" s="37">
        <v>300</v>
      </c>
      <c r="T2072" s="147">
        <f t="shared" si="2978"/>
        <v>1050</v>
      </c>
      <c r="U2072" s="323">
        <v>300</v>
      </c>
      <c r="V2072" s="37">
        <v>450</v>
      </c>
      <c r="W2072" s="37">
        <v>300</v>
      </c>
      <c r="X2072" s="147">
        <f t="shared" si="2979"/>
        <v>1050</v>
      </c>
      <c r="Y2072" s="324">
        <v>330</v>
      </c>
      <c r="Z2072" s="325">
        <v>470</v>
      </c>
      <c r="AA2072" s="325">
        <v>250</v>
      </c>
      <c r="AB2072" s="147">
        <f t="shared" si="2980"/>
        <v>1050</v>
      </c>
      <c r="AC2072" s="326">
        <f t="shared" si="2981"/>
        <v>3150</v>
      </c>
      <c r="AD2072" s="328" t="s">
        <v>1796</v>
      </c>
    </row>
    <row r="2073" spans="1:30" x14ac:dyDescent="0.15">
      <c r="A2073" s="102" t="s">
        <v>3</v>
      </c>
      <c r="B2073" s="14"/>
      <c r="C2073" s="11"/>
      <c r="D2073" s="11"/>
      <c r="E2073" s="5">
        <f t="shared" si="2974"/>
        <v>0</v>
      </c>
      <c r="F2073" s="34"/>
      <c r="G2073" s="11"/>
      <c r="H2073" s="11"/>
      <c r="I2073" s="5">
        <f t="shared" si="2975"/>
        <v>0</v>
      </c>
      <c r="J2073" s="34"/>
      <c r="K2073" s="11"/>
      <c r="L2073" s="11"/>
      <c r="M2073" s="38">
        <f t="shared" si="2976"/>
        <v>0</v>
      </c>
      <c r="N2073" s="138">
        <f t="shared" si="2977"/>
        <v>0</v>
      </c>
      <c r="P2073" s="81" t="s">
        <v>3</v>
      </c>
      <c r="Q2073" s="62"/>
      <c r="R2073" s="4"/>
      <c r="S2073" s="4"/>
      <c r="T2073" s="5">
        <f t="shared" si="2978"/>
        <v>0</v>
      </c>
      <c r="U2073" s="62"/>
      <c r="V2073" s="4"/>
      <c r="W2073" s="4"/>
      <c r="X2073" s="5">
        <f t="shared" si="2979"/>
        <v>0</v>
      </c>
      <c r="Y2073" s="280"/>
      <c r="Z2073" s="281"/>
      <c r="AA2073" s="281"/>
      <c r="AB2073" s="5">
        <f t="shared" si="2980"/>
        <v>0</v>
      </c>
      <c r="AC2073" s="91">
        <f t="shared" si="2981"/>
        <v>0</v>
      </c>
    </row>
    <row r="2074" spans="1:30" x14ac:dyDescent="0.15">
      <c r="A2074" s="102" t="s">
        <v>3</v>
      </c>
      <c r="B2074" s="14"/>
      <c r="C2074" s="11"/>
      <c r="D2074" s="11"/>
      <c r="E2074" s="5">
        <f t="shared" si="2974"/>
        <v>0</v>
      </c>
      <c r="F2074" s="34"/>
      <c r="G2074" s="11"/>
      <c r="H2074" s="11"/>
      <c r="I2074" s="5">
        <f t="shared" si="2975"/>
        <v>0</v>
      </c>
      <c r="J2074" s="34"/>
      <c r="K2074" s="11"/>
      <c r="L2074" s="11"/>
      <c r="M2074" s="38">
        <f t="shared" si="2976"/>
        <v>0</v>
      </c>
      <c r="N2074" s="138">
        <f t="shared" si="2977"/>
        <v>0</v>
      </c>
      <c r="P2074" s="81" t="s">
        <v>3</v>
      </c>
      <c r="Q2074" s="62"/>
      <c r="R2074" s="4"/>
      <c r="S2074" s="4"/>
      <c r="T2074" s="5">
        <f t="shared" ref="T2074" si="2982">SUM(Q2074:S2074)</f>
        <v>0</v>
      </c>
      <c r="U2074" s="62"/>
      <c r="V2074" s="4"/>
      <c r="W2074" s="4"/>
      <c r="X2074" s="5">
        <f t="shared" ref="X2074" si="2983">SUM(U2074:W2074)</f>
        <v>0</v>
      </c>
      <c r="Y2074" s="280"/>
      <c r="Z2074" s="281"/>
      <c r="AA2074" s="281"/>
      <c r="AB2074" s="5">
        <f t="shared" ref="AB2074" si="2984">SUM(Y2074:AA2074)</f>
        <v>0</v>
      </c>
      <c r="AC2074" s="91">
        <f t="shared" ref="AC2074" si="2985">T2074+X2074+AB2074</f>
        <v>0</v>
      </c>
    </row>
    <row r="2075" spans="1:30" x14ac:dyDescent="0.15">
      <c r="A2075" s="102" t="s">
        <v>3</v>
      </c>
      <c r="B2075" s="25"/>
      <c r="C2075" s="26"/>
      <c r="D2075" s="26"/>
      <c r="E2075" s="8">
        <f t="shared" si="2974"/>
        <v>0</v>
      </c>
      <c r="F2075" s="25"/>
      <c r="G2075" s="26"/>
      <c r="H2075" s="26"/>
      <c r="I2075" s="8">
        <f t="shared" si="2975"/>
        <v>0</v>
      </c>
      <c r="J2075" s="25"/>
      <c r="K2075" s="26"/>
      <c r="L2075" s="26"/>
      <c r="M2075" s="39">
        <f t="shared" si="2976"/>
        <v>0</v>
      </c>
      <c r="N2075" s="138">
        <f t="shared" si="2977"/>
        <v>0</v>
      </c>
      <c r="P2075" s="81" t="s">
        <v>3</v>
      </c>
      <c r="Q2075" s="62"/>
      <c r="R2075" s="4"/>
      <c r="S2075" s="4"/>
      <c r="T2075" s="5">
        <f t="shared" si="2978"/>
        <v>0</v>
      </c>
      <c r="U2075" s="62"/>
      <c r="V2075" s="4"/>
      <c r="W2075" s="4"/>
      <c r="X2075" s="5">
        <f t="shared" si="2979"/>
        <v>0</v>
      </c>
      <c r="Y2075" s="280"/>
      <c r="Z2075" s="281"/>
      <c r="AA2075" s="281"/>
      <c r="AB2075" s="5">
        <f t="shared" si="2980"/>
        <v>0</v>
      </c>
      <c r="AC2075" s="91">
        <f t="shared" si="2981"/>
        <v>0</v>
      </c>
    </row>
    <row r="2076" spans="1:30" x14ac:dyDescent="0.15">
      <c r="A2076" s="102" t="s">
        <v>3</v>
      </c>
      <c r="B2076" s="27"/>
      <c r="C2076" s="26"/>
      <c r="D2076" s="26"/>
      <c r="E2076" s="5">
        <f t="shared" si="2974"/>
        <v>0</v>
      </c>
      <c r="F2076" s="25"/>
      <c r="G2076" s="26"/>
      <c r="H2076" s="26"/>
      <c r="I2076" s="5">
        <f t="shared" si="2975"/>
        <v>0</v>
      </c>
      <c r="J2076" s="25"/>
      <c r="K2076" s="26"/>
      <c r="L2076" s="26"/>
      <c r="M2076" s="38">
        <f t="shared" si="2976"/>
        <v>0</v>
      </c>
      <c r="N2076" s="138">
        <f t="shared" si="2977"/>
        <v>0</v>
      </c>
      <c r="P2076" s="81" t="s">
        <v>3</v>
      </c>
      <c r="Q2076" s="62"/>
      <c r="R2076" s="4"/>
      <c r="S2076" s="4"/>
      <c r="T2076" s="5">
        <f t="shared" si="2978"/>
        <v>0</v>
      </c>
      <c r="U2076" s="62"/>
      <c r="V2076" s="4"/>
      <c r="W2076" s="4"/>
      <c r="X2076" s="5">
        <f t="shared" si="2979"/>
        <v>0</v>
      </c>
      <c r="Y2076" s="280"/>
      <c r="Z2076" s="281"/>
      <c r="AA2076" s="281"/>
      <c r="AB2076" s="5">
        <f t="shared" si="2980"/>
        <v>0</v>
      </c>
      <c r="AC2076" s="91">
        <f t="shared" si="2981"/>
        <v>0</v>
      </c>
    </row>
    <row r="2077" spans="1:30" x14ac:dyDescent="0.15">
      <c r="A2077" s="102" t="s">
        <v>3</v>
      </c>
      <c r="B2077" s="27"/>
      <c r="C2077" s="26"/>
      <c r="D2077" s="26"/>
      <c r="E2077" s="5">
        <f t="shared" si="2974"/>
        <v>0</v>
      </c>
      <c r="F2077" s="25"/>
      <c r="G2077" s="26"/>
      <c r="H2077" s="26"/>
      <c r="I2077" s="5">
        <f t="shared" si="2975"/>
        <v>0</v>
      </c>
      <c r="J2077" s="25"/>
      <c r="K2077" s="26"/>
      <c r="L2077" s="26"/>
      <c r="M2077" s="38">
        <f t="shared" si="2976"/>
        <v>0</v>
      </c>
      <c r="N2077" s="138">
        <f t="shared" si="2977"/>
        <v>0</v>
      </c>
      <c r="P2077" s="6" t="s">
        <v>3</v>
      </c>
      <c r="Q2077" s="14"/>
      <c r="R2077" s="11"/>
      <c r="S2077" s="11"/>
      <c r="T2077" s="5">
        <f t="shared" si="2978"/>
        <v>0</v>
      </c>
      <c r="U2077" s="14"/>
      <c r="V2077" s="11"/>
      <c r="W2077" s="11"/>
      <c r="X2077" s="5">
        <f t="shared" si="2979"/>
        <v>0</v>
      </c>
      <c r="Y2077" s="25"/>
      <c r="Z2077" s="26"/>
      <c r="AA2077" s="26"/>
      <c r="AB2077" s="8">
        <f t="shared" si="2980"/>
        <v>0</v>
      </c>
      <c r="AC2077" s="86">
        <f t="shared" si="2981"/>
        <v>0</v>
      </c>
    </row>
    <row r="2078" spans="1:30" x14ac:dyDescent="0.15">
      <c r="A2078" s="102" t="s">
        <v>3</v>
      </c>
      <c r="B2078" s="27"/>
      <c r="C2078" s="26"/>
      <c r="D2078" s="26"/>
      <c r="E2078" s="5">
        <f t="shared" si="2974"/>
        <v>0</v>
      </c>
      <c r="F2078" s="25"/>
      <c r="G2078" s="26"/>
      <c r="H2078" s="26"/>
      <c r="I2078" s="5">
        <f t="shared" si="2975"/>
        <v>0</v>
      </c>
      <c r="J2078" s="25"/>
      <c r="K2078" s="26"/>
      <c r="L2078" s="26"/>
      <c r="M2078" s="38">
        <f t="shared" si="2976"/>
        <v>0</v>
      </c>
      <c r="N2078" s="138">
        <f t="shared" si="2977"/>
        <v>0</v>
      </c>
      <c r="P2078" s="6" t="s">
        <v>3</v>
      </c>
      <c r="Q2078" s="14"/>
      <c r="R2078" s="11"/>
      <c r="S2078" s="11"/>
      <c r="T2078" s="5">
        <f t="shared" si="2978"/>
        <v>0</v>
      </c>
      <c r="U2078" s="14"/>
      <c r="V2078" s="11"/>
      <c r="W2078" s="11"/>
      <c r="X2078" s="5">
        <f t="shared" si="2979"/>
        <v>0</v>
      </c>
      <c r="Y2078" s="25"/>
      <c r="Z2078" s="26"/>
      <c r="AA2078" s="26"/>
      <c r="AB2078" s="8">
        <f t="shared" si="2980"/>
        <v>0</v>
      </c>
      <c r="AC2078" s="86">
        <f t="shared" si="2981"/>
        <v>0</v>
      </c>
    </row>
    <row r="2079" spans="1:30" ht="14.25" thickBot="1" x14ac:dyDescent="0.2">
      <c r="A2079" s="102" t="s">
        <v>3</v>
      </c>
      <c r="B2079" s="28"/>
      <c r="C2079" s="29"/>
      <c r="D2079" s="32"/>
      <c r="E2079" s="15">
        <f t="shared" si="2974"/>
        <v>0</v>
      </c>
      <c r="F2079" s="35"/>
      <c r="G2079" s="29"/>
      <c r="H2079" s="32"/>
      <c r="I2079" s="15">
        <f t="shared" si="2975"/>
        <v>0</v>
      </c>
      <c r="J2079" s="35"/>
      <c r="K2079" s="29"/>
      <c r="L2079" s="32"/>
      <c r="M2079" s="40">
        <f t="shared" si="2976"/>
        <v>0</v>
      </c>
      <c r="N2079" s="139">
        <f t="shared" si="2977"/>
        <v>0</v>
      </c>
      <c r="P2079" s="6" t="s">
        <v>3</v>
      </c>
      <c r="Q2079" s="14"/>
      <c r="R2079" s="11"/>
      <c r="S2079" s="11"/>
      <c r="T2079" s="5">
        <f t="shared" si="2978"/>
        <v>0</v>
      </c>
      <c r="U2079" s="14"/>
      <c r="V2079" s="11"/>
      <c r="W2079" s="11"/>
      <c r="X2079" s="5">
        <f t="shared" si="2979"/>
        <v>0</v>
      </c>
      <c r="Y2079" s="25"/>
      <c r="Z2079" s="26"/>
      <c r="AA2079" s="26"/>
      <c r="AB2079" s="8">
        <f t="shared" si="2980"/>
        <v>0</v>
      </c>
      <c r="AC2079" s="86">
        <f t="shared" si="2981"/>
        <v>0</v>
      </c>
    </row>
    <row r="2080" spans="1:30" ht="14.25" thickBot="1" x14ac:dyDescent="0.2">
      <c r="A2080" s="103" t="s">
        <v>4</v>
      </c>
      <c r="B2080" s="17">
        <f>SUM(B2069:B2079)</f>
        <v>29</v>
      </c>
      <c r="C2080" s="17">
        <f>SUM(C2069:C2079)</f>
        <v>26</v>
      </c>
      <c r="D2080" s="17">
        <f>SUM(D2069:D2079)</f>
        <v>20</v>
      </c>
      <c r="E2080" s="18">
        <f t="shared" si="2974"/>
        <v>75</v>
      </c>
      <c r="F2080" s="17">
        <f>SUM(F2069:F2079)</f>
        <v>26</v>
      </c>
      <c r="G2080" s="17">
        <f>SUM(G2069:G2079)</f>
        <v>28</v>
      </c>
      <c r="H2080" s="17">
        <f>SUM(H2069:H2079)</f>
        <v>18</v>
      </c>
      <c r="I2080" s="18">
        <f t="shared" si="2975"/>
        <v>72</v>
      </c>
      <c r="J2080" s="17">
        <f>SUM(J2069:J2079)</f>
        <v>29</v>
      </c>
      <c r="K2080" s="17">
        <f>SUM(K2069:K2079)</f>
        <v>27</v>
      </c>
      <c r="L2080" s="17">
        <f>SUM(L2069:L2079)</f>
        <v>22</v>
      </c>
      <c r="M2080" s="20">
        <f t="shared" si="2976"/>
        <v>78</v>
      </c>
      <c r="N2080" s="140">
        <f t="shared" si="2977"/>
        <v>225</v>
      </c>
      <c r="P2080" s="16" t="s">
        <v>4</v>
      </c>
      <c r="Q2080" s="17">
        <f>SUM(Q2069:Q2079)</f>
        <v>475</v>
      </c>
      <c r="R2080" s="17">
        <f t="shared" ref="R2080:AC2080" si="2986">SUM(R2069:R2079)</f>
        <v>703</v>
      </c>
      <c r="S2080" s="17">
        <f t="shared" si="2986"/>
        <v>586</v>
      </c>
      <c r="T2080" s="18">
        <f t="shared" si="2986"/>
        <v>1764</v>
      </c>
      <c r="U2080" s="17">
        <f t="shared" si="2986"/>
        <v>548</v>
      </c>
      <c r="V2080" s="17">
        <f t="shared" si="2986"/>
        <v>727</v>
      </c>
      <c r="W2080" s="17">
        <f t="shared" si="2986"/>
        <v>547</v>
      </c>
      <c r="X2080" s="18">
        <f t="shared" si="2986"/>
        <v>1822</v>
      </c>
      <c r="Y2080" s="17">
        <f t="shared" si="2986"/>
        <v>527</v>
      </c>
      <c r="Z2080" s="17">
        <f t="shared" si="2986"/>
        <v>576</v>
      </c>
      <c r="AA2080" s="17">
        <f t="shared" si="2986"/>
        <v>483</v>
      </c>
      <c r="AB2080" s="18">
        <f t="shared" si="2986"/>
        <v>1586</v>
      </c>
      <c r="AC2080" s="88">
        <f t="shared" si="2986"/>
        <v>5172</v>
      </c>
    </row>
    <row r="2081" spans="1:29" x14ac:dyDescent="0.15">
      <c r="A2081" s="33"/>
      <c r="B2081" s="9"/>
      <c r="C2081" s="10"/>
      <c r="D2081" s="31"/>
      <c r="E2081" s="5">
        <f t="shared" si="2974"/>
        <v>0</v>
      </c>
      <c r="F2081" s="9"/>
      <c r="G2081" s="10"/>
      <c r="H2081" s="31"/>
      <c r="I2081" s="5">
        <f t="shared" si="2975"/>
        <v>0</v>
      </c>
      <c r="J2081" s="9"/>
      <c r="K2081" s="10"/>
      <c r="L2081" s="31"/>
      <c r="M2081" s="38">
        <f t="shared" si="2976"/>
        <v>0</v>
      </c>
      <c r="N2081" s="141">
        <f t="shared" si="2977"/>
        <v>0</v>
      </c>
      <c r="P2081" s="4"/>
      <c r="Q2081" s="9"/>
      <c r="R2081" s="10"/>
      <c r="S2081" s="31"/>
      <c r="T2081" s="5">
        <f t="shared" ref="T2081:T2094" si="2987">SUM(Q2081:S2081)</f>
        <v>0</v>
      </c>
      <c r="U2081" s="9"/>
      <c r="V2081" s="10"/>
      <c r="W2081" s="31"/>
      <c r="X2081" s="5">
        <f t="shared" ref="X2081:X2094" si="2988">SUM(U2081:W2081)</f>
        <v>0</v>
      </c>
      <c r="Y2081" s="9"/>
      <c r="Z2081" s="10"/>
      <c r="AA2081" s="31"/>
      <c r="AB2081" s="5">
        <f t="shared" ref="AB2081:AB2094" si="2989">SUM(Y2081:AA2081)</f>
        <v>0</v>
      </c>
      <c r="AC2081" s="148">
        <f t="shared" ref="AC2081:AC2094" si="2990">T2081+X2081+AB2081</f>
        <v>0</v>
      </c>
    </row>
    <row r="2082" spans="1:29" x14ac:dyDescent="0.15">
      <c r="A2082" s="33"/>
      <c r="B2082" s="9"/>
      <c r="C2082" s="10"/>
      <c r="D2082" s="10"/>
      <c r="E2082" s="5">
        <f t="shared" si="2974"/>
        <v>0</v>
      </c>
      <c r="F2082" s="9"/>
      <c r="G2082" s="10"/>
      <c r="H2082" s="10"/>
      <c r="I2082" s="5">
        <f t="shared" si="2975"/>
        <v>0</v>
      </c>
      <c r="J2082" s="9"/>
      <c r="K2082" s="10"/>
      <c r="L2082" s="10"/>
      <c r="M2082" s="38">
        <f t="shared" si="2976"/>
        <v>0</v>
      </c>
      <c r="N2082" s="138">
        <f t="shared" si="2977"/>
        <v>0</v>
      </c>
      <c r="P2082" s="4"/>
      <c r="Q2082" s="9"/>
      <c r="R2082" s="10"/>
      <c r="S2082" s="10"/>
      <c r="T2082" s="5">
        <f t="shared" si="2987"/>
        <v>0</v>
      </c>
      <c r="U2082" s="9"/>
      <c r="V2082" s="10"/>
      <c r="W2082" s="10"/>
      <c r="X2082" s="5">
        <f t="shared" si="2988"/>
        <v>0</v>
      </c>
      <c r="Y2082" s="9"/>
      <c r="Z2082" s="10"/>
      <c r="AA2082" s="10"/>
      <c r="AB2082" s="5">
        <f t="shared" si="2989"/>
        <v>0</v>
      </c>
      <c r="AC2082" s="93">
        <f t="shared" si="2990"/>
        <v>0</v>
      </c>
    </row>
    <row r="2083" spans="1:29" x14ac:dyDescent="0.15">
      <c r="A2083" s="33"/>
      <c r="B2083" s="9"/>
      <c r="C2083" s="10"/>
      <c r="D2083" s="10"/>
      <c r="E2083" s="5">
        <f t="shared" si="2974"/>
        <v>0</v>
      </c>
      <c r="F2083" s="9"/>
      <c r="G2083" s="10"/>
      <c r="H2083" s="10"/>
      <c r="I2083" s="5">
        <f t="shared" si="2975"/>
        <v>0</v>
      </c>
      <c r="J2083" s="9"/>
      <c r="K2083" s="10"/>
      <c r="L2083" s="10"/>
      <c r="M2083" s="38">
        <f t="shared" si="2976"/>
        <v>0</v>
      </c>
      <c r="N2083" s="138">
        <f t="shared" si="2977"/>
        <v>0</v>
      </c>
      <c r="P2083" s="11"/>
      <c r="Q2083" s="9"/>
      <c r="R2083" s="10"/>
      <c r="S2083" s="10"/>
      <c r="T2083" s="5">
        <f t="shared" si="2987"/>
        <v>0</v>
      </c>
      <c r="U2083" s="9"/>
      <c r="V2083" s="10"/>
      <c r="W2083" s="10"/>
      <c r="X2083" s="5">
        <f t="shared" si="2988"/>
        <v>0</v>
      </c>
      <c r="Y2083" s="9"/>
      <c r="Z2083" s="10"/>
      <c r="AA2083" s="10"/>
      <c r="AB2083" s="5">
        <f t="shared" si="2989"/>
        <v>0</v>
      </c>
      <c r="AC2083" s="93">
        <f t="shared" si="2990"/>
        <v>0</v>
      </c>
    </row>
    <row r="2084" spans="1:29" x14ac:dyDescent="0.15">
      <c r="A2084" s="33"/>
      <c r="B2084" s="9"/>
      <c r="C2084" s="10"/>
      <c r="D2084" s="10"/>
      <c r="E2084" s="5">
        <f t="shared" si="2974"/>
        <v>0</v>
      </c>
      <c r="F2084" s="9"/>
      <c r="G2084" s="10"/>
      <c r="H2084" s="10"/>
      <c r="I2084" s="5">
        <f t="shared" si="2975"/>
        <v>0</v>
      </c>
      <c r="J2084" s="9"/>
      <c r="K2084" s="10"/>
      <c r="L2084" s="10"/>
      <c r="M2084" s="38">
        <f t="shared" si="2976"/>
        <v>0</v>
      </c>
      <c r="N2084" s="138">
        <f t="shared" si="2977"/>
        <v>0</v>
      </c>
      <c r="P2084" s="11"/>
      <c r="Q2084" s="9"/>
      <c r="R2084" s="10"/>
      <c r="S2084" s="10"/>
      <c r="T2084" s="5">
        <f t="shared" si="2987"/>
        <v>0</v>
      </c>
      <c r="U2084" s="9"/>
      <c r="V2084" s="10"/>
      <c r="W2084" s="10"/>
      <c r="X2084" s="5">
        <f t="shared" si="2988"/>
        <v>0</v>
      </c>
      <c r="Y2084" s="9"/>
      <c r="Z2084" s="10"/>
      <c r="AA2084" s="10"/>
      <c r="AB2084" s="5">
        <f t="shared" si="2989"/>
        <v>0</v>
      </c>
      <c r="AC2084" s="93">
        <f t="shared" si="2990"/>
        <v>0</v>
      </c>
    </row>
    <row r="2085" spans="1:29" x14ac:dyDescent="0.15">
      <c r="A2085" s="33"/>
      <c r="B2085" s="9"/>
      <c r="C2085" s="10"/>
      <c r="D2085" s="10"/>
      <c r="E2085" s="5">
        <f t="shared" si="2974"/>
        <v>0</v>
      </c>
      <c r="F2085" s="9"/>
      <c r="G2085" s="10"/>
      <c r="H2085" s="10"/>
      <c r="I2085" s="5">
        <f t="shared" si="2975"/>
        <v>0</v>
      </c>
      <c r="J2085" s="9"/>
      <c r="K2085" s="10"/>
      <c r="L2085" s="10"/>
      <c r="M2085" s="38">
        <f t="shared" si="2976"/>
        <v>0</v>
      </c>
      <c r="N2085" s="138">
        <f t="shared" si="2977"/>
        <v>0</v>
      </c>
      <c r="P2085" s="11"/>
      <c r="Q2085" s="9"/>
      <c r="R2085" s="10"/>
      <c r="S2085" s="10"/>
      <c r="T2085" s="5">
        <f t="shared" si="2987"/>
        <v>0</v>
      </c>
      <c r="U2085" s="9"/>
      <c r="V2085" s="10"/>
      <c r="W2085" s="10"/>
      <c r="X2085" s="5">
        <f t="shared" si="2988"/>
        <v>0</v>
      </c>
      <c r="Y2085" s="9"/>
      <c r="Z2085" s="10"/>
      <c r="AA2085" s="10"/>
      <c r="AB2085" s="5">
        <f t="shared" si="2989"/>
        <v>0</v>
      </c>
      <c r="AC2085" s="93">
        <f t="shared" si="2990"/>
        <v>0</v>
      </c>
    </row>
    <row r="2086" spans="1:29" x14ac:dyDescent="0.15">
      <c r="A2086" s="33"/>
      <c r="B2086" s="9"/>
      <c r="C2086" s="10"/>
      <c r="D2086" s="10"/>
      <c r="E2086" s="8">
        <f t="shared" si="2974"/>
        <v>0</v>
      </c>
      <c r="F2086" s="9"/>
      <c r="G2086" s="10"/>
      <c r="H2086" s="10"/>
      <c r="I2086" s="8">
        <f t="shared" si="2975"/>
        <v>0</v>
      </c>
      <c r="J2086" s="9"/>
      <c r="K2086" s="10"/>
      <c r="L2086" s="10"/>
      <c r="M2086" s="39">
        <f t="shared" si="2976"/>
        <v>0</v>
      </c>
      <c r="N2086" s="138">
        <f t="shared" si="2977"/>
        <v>0</v>
      </c>
      <c r="P2086" s="4"/>
      <c r="Q2086" s="9"/>
      <c r="R2086" s="10"/>
      <c r="S2086" s="10"/>
      <c r="T2086" s="8">
        <f t="shared" si="2987"/>
        <v>0</v>
      </c>
      <c r="U2086" s="9"/>
      <c r="V2086" s="10"/>
      <c r="W2086" s="10"/>
      <c r="X2086" s="8">
        <f t="shared" si="2988"/>
        <v>0</v>
      </c>
      <c r="Y2086" s="9"/>
      <c r="Z2086" s="10"/>
      <c r="AA2086" s="10"/>
      <c r="AB2086" s="8">
        <f t="shared" si="2989"/>
        <v>0</v>
      </c>
      <c r="AC2086" s="93">
        <f t="shared" si="2990"/>
        <v>0</v>
      </c>
    </row>
    <row r="2087" spans="1:29" x14ac:dyDescent="0.15">
      <c r="A2087" s="33"/>
      <c r="B2087" s="9"/>
      <c r="C2087" s="10"/>
      <c r="D2087" s="10"/>
      <c r="E2087" s="8">
        <f t="shared" si="2974"/>
        <v>0</v>
      </c>
      <c r="F2087" s="9"/>
      <c r="G2087" s="10"/>
      <c r="H2087" s="10"/>
      <c r="I2087" s="8">
        <f t="shared" si="2975"/>
        <v>0</v>
      </c>
      <c r="J2087" s="9"/>
      <c r="K2087" s="10"/>
      <c r="L2087" s="10"/>
      <c r="M2087" s="39">
        <f t="shared" si="2976"/>
        <v>0</v>
      </c>
      <c r="N2087" s="138">
        <f t="shared" si="2977"/>
        <v>0</v>
      </c>
      <c r="P2087" s="11"/>
      <c r="Q2087" s="9"/>
      <c r="R2087" s="10"/>
      <c r="S2087" s="10"/>
      <c r="T2087" s="8">
        <f t="shared" si="2987"/>
        <v>0</v>
      </c>
      <c r="U2087" s="9"/>
      <c r="V2087" s="10"/>
      <c r="W2087" s="10"/>
      <c r="X2087" s="8">
        <f t="shared" si="2988"/>
        <v>0</v>
      </c>
      <c r="Y2087" s="9"/>
      <c r="Z2087" s="10"/>
      <c r="AA2087" s="10"/>
      <c r="AB2087" s="8">
        <f t="shared" si="2989"/>
        <v>0</v>
      </c>
      <c r="AC2087" s="93">
        <f t="shared" si="2990"/>
        <v>0</v>
      </c>
    </row>
    <row r="2088" spans="1:29" x14ac:dyDescent="0.15">
      <c r="A2088" s="33"/>
      <c r="B2088" s="9"/>
      <c r="C2088" s="10"/>
      <c r="D2088" s="10"/>
      <c r="E2088" s="8">
        <f t="shared" si="2974"/>
        <v>0</v>
      </c>
      <c r="F2088" s="9"/>
      <c r="G2088" s="10"/>
      <c r="H2088" s="10"/>
      <c r="I2088" s="8">
        <f t="shared" si="2975"/>
        <v>0</v>
      </c>
      <c r="J2088" s="9"/>
      <c r="K2088" s="10"/>
      <c r="L2088" s="10"/>
      <c r="M2088" s="39">
        <f t="shared" si="2976"/>
        <v>0</v>
      </c>
      <c r="N2088" s="138">
        <f t="shared" si="2977"/>
        <v>0</v>
      </c>
      <c r="P2088" s="4"/>
      <c r="Q2088" s="9"/>
      <c r="R2088" s="10"/>
      <c r="S2088" s="10"/>
      <c r="T2088" s="8">
        <f t="shared" si="2987"/>
        <v>0</v>
      </c>
      <c r="U2088" s="9"/>
      <c r="V2088" s="10"/>
      <c r="W2088" s="10"/>
      <c r="X2088" s="8">
        <f t="shared" si="2988"/>
        <v>0</v>
      </c>
      <c r="Y2088" s="9"/>
      <c r="Z2088" s="10"/>
      <c r="AA2088" s="10"/>
      <c r="AB2088" s="8">
        <f t="shared" si="2989"/>
        <v>0</v>
      </c>
      <c r="AC2088" s="93">
        <f t="shared" si="2990"/>
        <v>0</v>
      </c>
    </row>
    <row r="2089" spans="1:29" x14ac:dyDescent="0.15">
      <c r="A2089" s="33"/>
      <c r="B2089" s="9"/>
      <c r="C2089" s="10"/>
      <c r="D2089" s="10"/>
      <c r="E2089" s="8">
        <f t="shared" si="2974"/>
        <v>0</v>
      </c>
      <c r="F2089" s="9"/>
      <c r="G2089" s="10"/>
      <c r="H2089" s="10"/>
      <c r="I2089" s="8">
        <f t="shared" si="2975"/>
        <v>0</v>
      </c>
      <c r="J2089" s="9"/>
      <c r="K2089" s="10"/>
      <c r="L2089" s="10"/>
      <c r="M2089" s="39">
        <f t="shared" si="2976"/>
        <v>0</v>
      </c>
      <c r="N2089" s="138">
        <f t="shared" si="2977"/>
        <v>0</v>
      </c>
      <c r="P2089" s="4"/>
      <c r="Q2089" s="9"/>
      <c r="R2089" s="10"/>
      <c r="S2089" s="10"/>
      <c r="T2089" s="8">
        <f t="shared" si="2987"/>
        <v>0</v>
      </c>
      <c r="U2089" s="9"/>
      <c r="V2089" s="10"/>
      <c r="W2089" s="10"/>
      <c r="X2089" s="8">
        <f t="shared" si="2988"/>
        <v>0</v>
      </c>
      <c r="Y2089" s="9"/>
      <c r="Z2089" s="10"/>
      <c r="AA2089" s="10"/>
      <c r="AB2089" s="8">
        <f t="shared" si="2989"/>
        <v>0</v>
      </c>
      <c r="AC2089" s="93">
        <f t="shared" si="2990"/>
        <v>0</v>
      </c>
    </row>
    <row r="2090" spans="1:29" x14ac:dyDescent="0.15">
      <c r="A2090" s="33"/>
      <c r="B2090" s="9"/>
      <c r="C2090" s="10"/>
      <c r="D2090" s="10"/>
      <c r="E2090" s="8">
        <f t="shared" si="2974"/>
        <v>0</v>
      </c>
      <c r="F2090" s="9"/>
      <c r="G2090" s="10"/>
      <c r="H2090" s="10"/>
      <c r="I2090" s="8">
        <f t="shared" si="2975"/>
        <v>0</v>
      </c>
      <c r="J2090" s="9"/>
      <c r="K2090" s="10"/>
      <c r="L2090" s="10"/>
      <c r="M2090" s="39">
        <f t="shared" si="2976"/>
        <v>0</v>
      </c>
      <c r="N2090" s="138">
        <f t="shared" si="2977"/>
        <v>0</v>
      </c>
      <c r="P2090" s="4"/>
      <c r="Q2090" s="9"/>
      <c r="R2090" s="10"/>
      <c r="S2090" s="10"/>
      <c r="T2090" s="8">
        <f t="shared" si="2987"/>
        <v>0</v>
      </c>
      <c r="U2090" s="9"/>
      <c r="V2090" s="10"/>
      <c r="W2090" s="10"/>
      <c r="X2090" s="8">
        <f t="shared" si="2988"/>
        <v>0</v>
      </c>
      <c r="Y2090" s="9"/>
      <c r="Z2090" s="10"/>
      <c r="AA2090" s="10"/>
      <c r="AB2090" s="8">
        <f t="shared" si="2989"/>
        <v>0</v>
      </c>
      <c r="AC2090" s="93">
        <f t="shared" si="2990"/>
        <v>0</v>
      </c>
    </row>
    <row r="2091" spans="1:29" x14ac:dyDescent="0.15">
      <c r="A2091" s="33"/>
      <c r="B2091" s="9"/>
      <c r="C2091" s="10"/>
      <c r="D2091" s="10"/>
      <c r="E2091" s="8">
        <f t="shared" si="2974"/>
        <v>0</v>
      </c>
      <c r="F2091" s="9"/>
      <c r="G2091" s="10"/>
      <c r="H2091" s="10"/>
      <c r="I2091" s="8">
        <f t="shared" si="2975"/>
        <v>0</v>
      </c>
      <c r="J2091" s="9"/>
      <c r="K2091" s="10"/>
      <c r="L2091" s="10"/>
      <c r="M2091" s="39">
        <f t="shared" si="2976"/>
        <v>0</v>
      </c>
      <c r="N2091" s="138">
        <f t="shared" si="2977"/>
        <v>0</v>
      </c>
      <c r="P2091" s="4"/>
      <c r="Q2091" s="9"/>
      <c r="R2091" s="10"/>
      <c r="S2091" s="10"/>
      <c r="T2091" s="8">
        <f t="shared" si="2987"/>
        <v>0</v>
      </c>
      <c r="U2091" s="9"/>
      <c r="V2091" s="10"/>
      <c r="W2091" s="10"/>
      <c r="X2091" s="8">
        <f t="shared" si="2988"/>
        <v>0</v>
      </c>
      <c r="Y2091" s="9"/>
      <c r="Z2091" s="10"/>
      <c r="AA2091" s="10"/>
      <c r="AB2091" s="8">
        <f t="shared" si="2989"/>
        <v>0</v>
      </c>
      <c r="AC2091" s="93">
        <f t="shared" si="2990"/>
        <v>0</v>
      </c>
    </row>
    <row r="2092" spans="1:29" x14ac:dyDescent="0.15">
      <c r="A2092" s="33"/>
      <c r="B2092" s="9"/>
      <c r="C2092" s="10"/>
      <c r="D2092" s="10"/>
      <c r="E2092" s="8">
        <f t="shared" si="2974"/>
        <v>0</v>
      </c>
      <c r="F2092" s="9"/>
      <c r="G2092" s="10"/>
      <c r="H2092" s="10"/>
      <c r="I2092" s="8">
        <f t="shared" si="2975"/>
        <v>0</v>
      </c>
      <c r="J2092" s="9"/>
      <c r="K2092" s="10"/>
      <c r="L2092" s="10"/>
      <c r="M2092" s="39">
        <f t="shared" si="2976"/>
        <v>0</v>
      </c>
      <c r="N2092" s="138">
        <f t="shared" si="2977"/>
        <v>0</v>
      </c>
      <c r="P2092" s="4"/>
      <c r="Q2092" s="9"/>
      <c r="R2092" s="10"/>
      <c r="S2092" s="10"/>
      <c r="T2092" s="8">
        <f t="shared" si="2987"/>
        <v>0</v>
      </c>
      <c r="U2092" s="9"/>
      <c r="V2092" s="10"/>
      <c r="W2092" s="10"/>
      <c r="X2092" s="8">
        <f t="shared" si="2988"/>
        <v>0</v>
      </c>
      <c r="Y2092" s="9"/>
      <c r="Z2092" s="10"/>
      <c r="AA2092" s="10"/>
      <c r="AB2092" s="8">
        <f t="shared" si="2989"/>
        <v>0</v>
      </c>
      <c r="AC2092" s="93">
        <f t="shared" si="2990"/>
        <v>0</v>
      </c>
    </row>
    <row r="2093" spans="1:29" x14ac:dyDescent="0.15">
      <c r="A2093" s="33"/>
      <c r="B2093" s="9"/>
      <c r="C2093" s="10"/>
      <c r="D2093" s="10"/>
      <c r="E2093" s="8">
        <f t="shared" si="2974"/>
        <v>0</v>
      </c>
      <c r="F2093" s="9"/>
      <c r="G2093" s="10"/>
      <c r="H2093" s="10"/>
      <c r="I2093" s="8">
        <f t="shared" si="2975"/>
        <v>0</v>
      </c>
      <c r="J2093" s="9"/>
      <c r="K2093" s="10"/>
      <c r="L2093" s="10"/>
      <c r="M2093" s="39">
        <f t="shared" si="2976"/>
        <v>0</v>
      </c>
      <c r="N2093" s="138">
        <f t="shared" si="2977"/>
        <v>0</v>
      </c>
      <c r="P2093" s="4"/>
      <c r="Q2093" s="9"/>
      <c r="R2093" s="10"/>
      <c r="S2093" s="10"/>
      <c r="T2093" s="8">
        <f t="shared" si="2987"/>
        <v>0</v>
      </c>
      <c r="U2093" s="9"/>
      <c r="V2093" s="10"/>
      <c r="W2093" s="10"/>
      <c r="X2093" s="8">
        <f t="shared" si="2988"/>
        <v>0</v>
      </c>
      <c r="Y2093" s="9"/>
      <c r="Z2093" s="10"/>
      <c r="AA2093" s="10"/>
      <c r="AB2093" s="8">
        <f t="shared" si="2989"/>
        <v>0</v>
      </c>
      <c r="AC2093" s="93">
        <f t="shared" si="2990"/>
        <v>0</v>
      </c>
    </row>
    <row r="2094" spans="1:29" x14ac:dyDescent="0.15">
      <c r="A2094" s="33"/>
      <c r="B2094" s="9"/>
      <c r="C2094" s="10"/>
      <c r="D2094" s="10"/>
      <c r="E2094" s="8">
        <f t="shared" si="2974"/>
        <v>0</v>
      </c>
      <c r="F2094" s="9"/>
      <c r="G2094" s="10"/>
      <c r="H2094" s="10"/>
      <c r="I2094" s="8">
        <f t="shared" si="2975"/>
        <v>0</v>
      </c>
      <c r="J2094" s="9"/>
      <c r="K2094" s="10"/>
      <c r="L2094" s="10"/>
      <c r="M2094" s="39">
        <f t="shared" si="2976"/>
        <v>0</v>
      </c>
      <c r="N2094" s="138">
        <f t="shared" si="2977"/>
        <v>0</v>
      </c>
      <c r="P2094" s="4"/>
      <c r="Q2094" s="9"/>
      <c r="R2094" s="10"/>
      <c r="S2094" s="10"/>
      <c r="T2094" s="8">
        <f t="shared" si="2987"/>
        <v>0</v>
      </c>
      <c r="U2094" s="9"/>
      <c r="V2094" s="10"/>
      <c r="W2094" s="10"/>
      <c r="X2094" s="8">
        <f t="shared" si="2988"/>
        <v>0</v>
      </c>
      <c r="Y2094" s="9"/>
      <c r="Z2094" s="10"/>
      <c r="AA2094" s="10"/>
      <c r="AB2094" s="8">
        <f t="shared" si="2989"/>
        <v>0</v>
      </c>
      <c r="AC2094" s="93">
        <f t="shared" si="2990"/>
        <v>0</v>
      </c>
    </row>
    <row r="2095" spans="1:29" x14ac:dyDescent="0.15">
      <c r="A2095" s="33"/>
      <c r="B2095" s="9"/>
      <c r="C2095" s="10"/>
      <c r="D2095" s="10"/>
      <c r="E2095" s="8">
        <f t="shared" si="2974"/>
        <v>0</v>
      </c>
      <c r="F2095" s="9"/>
      <c r="G2095" s="10"/>
      <c r="H2095" s="10"/>
      <c r="I2095" s="8">
        <f t="shared" si="2975"/>
        <v>0</v>
      </c>
      <c r="J2095" s="9"/>
      <c r="K2095" s="10"/>
      <c r="L2095" s="10"/>
      <c r="M2095" s="39">
        <f t="shared" si="2976"/>
        <v>0</v>
      </c>
      <c r="N2095" s="138">
        <f t="shared" si="2977"/>
        <v>0</v>
      </c>
      <c r="P2095" s="4"/>
      <c r="Q2095" s="9"/>
      <c r="R2095" s="10"/>
      <c r="S2095" s="10"/>
      <c r="T2095" s="8">
        <f t="shared" ref="T2095:T2098" si="2991">SUM(Q2095:S2095)</f>
        <v>0</v>
      </c>
      <c r="U2095" s="9"/>
      <c r="V2095" s="10"/>
      <c r="W2095" s="10"/>
      <c r="X2095" s="8">
        <f t="shared" ref="X2095:X2098" si="2992">SUM(U2095:W2095)</f>
        <v>0</v>
      </c>
      <c r="Y2095" s="9"/>
      <c r="Z2095" s="10"/>
      <c r="AA2095" s="10"/>
      <c r="AB2095" s="8">
        <f t="shared" ref="AB2095:AB2098" si="2993">SUM(Y2095:AA2095)</f>
        <v>0</v>
      </c>
      <c r="AC2095" s="93">
        <f t="shared" ref="AC2095:AC2098" si="2994">T2095+X2095+AB2095</f>
        <v>0</v>
      </c>
    </row>
    <row r="2096" spans="1:29" x14ac:dyDescent="0.15">
      <c r="A2096" s="63"/>
      <c r="B2096" s="9"/>
      <c r="C2096" s="10"/>
      <c r="D2096" s="10"/>
      <c r="E2096" s="8">
        <f t="shared" si="2974"/>
        <v>0</v>
      </c>
      <c r="F2096" s="9"/>
      <c r="G2096" s="10"/>
      <c r="H2096" s="10"/>
      <c r="I2096" s="8">
        <f t="shared" si="2975"/>
        <v>0</v>
      </c>
      <c r="J2096" s="9"/>
      <c r="K2096" s="10"/>
      <c r="L2096" s="10"/>
      <c r="M2096" s="39">
        <f t="shared" si="2976"/>
        <v>0</v>
      </c>
      <c r="N2096" s="138">
        <f t="shared" si="2977"/>
        <v>0</v>
      </c>
      <c r="P2096" s="4"/>
      <c r="Q2096" s="9"/>
      <c r="R2096" s="10"/>
      <c r="S2096" s="10"/>
      <c r="T2096" s="8">
        <f t="shared" si="2991"/>
        <v>0</v>
      </c>
      <c r="U2096" s="9"/>
      <c r="V2096" s="10"/>
      <c r="W2096" s="10"/>
      <c r="X2096" s="8">
        <f t="shared" si="2992"/>
        <v>0</v>
      </c>
      <c r="Y2096" s="9"/>
      <c r="Z2096" s="10"/>
      <c r="AA2096" s="10"/>
      <c r="AB2096" s="8">
        <f t="shared" si="2993"/>
        <v>0</v>
      </c>
      <c r="AC2096" s="93">
        <f t="shared" si="2994"/>
        <v>0</v>
      </c>
    </row>
    <row r="2097" spans="1:30" x14ac:dyDescent="0.15">
      <c r="A2097" s="33"/>
      <c r="B2097" s="9"/>
      <c r="C2097" s="10"/>
      <c r="D2097" s="10"/>
      <c r="E2097" s="8">
        <f t="shared" si="2974"/>
        <v>0</v>
      </c>
      <c r="F2097" s="9"/>
      <c r="G2097" s="10"/>
      <c r="H2097" s="10"/>
      <c r="I2097" s="8">
        <f t="shared" si="2975"/>
        <v>0</v>
      </c>
      <c r="J2097" s="9"/>
      <c r="K2097" s="10"/>
      <c r="L2097" s="10"/>
      <c r="M2097" s="39">
        <f t="shared" si="2976"/>
        <v>0</v>
      </c>
      <c r="N2097" s="138">
        <f t="shared" si="2977"/>
        <v>0</v>
      </c>
      <c r="P2097" s="4"/>
      <c r="Q2097" s="9"/>
      <c r="R2097" s="10"/>
      <c r="S2097" s="10"/>
      <c r="T2097" s="8">
        <f t="shared" si="2991"/>
        <v>0</v>
      </c>
      <c r="U2097" s="9"/>
      <c r="V2097" s="10"/>
      <c r="W2097" s="10"/>
      <c r="X2097" s="8">
        <f t="shared" si="2992"/>
        <v>0</v>
      </c>
      <c r="Y2097" s="9"/>
      <c r="Z2097" s="10"/>
      <c r="AA2097" s="10"/>
      <c r="AB2097" s="8">
        <f t="shared" si="2993"/>
        <v>0</v>
      </c>
      <c r="AC2097" s="93">
        <f t="shared" si="2994"/>
        <v>0</v>
      </c>
    </row>
    <row r="2098" spans="1:30" x14ac:dyDescent="0.15">
      <c r="A2098" s="33"/>
      <c r="B2098" s="9"/>
      <c r="C2098" s="10"/>
      <c r="D2098" s="10"/>
      <c r="E2098" s="8">
        <f t="shared" si="2974"/>
        <v>0</v>
      </c>
      <c r="F2098" s="9"/>
      <c r="G2098" s="10"/>
      <c r="H2098" s="10"/>
      <c r="I2098" s="8">
        <f t="shared" si="2975"/>
        <v>0</v>
      </c>
      <c r="J2098" s="9"/>
      <c r="K2098" s="10"/>
      <c r="L2098" s="10"/>
      <c r="M2098" s="39">
        <f t="shared" si="2976"/>
        <v>0</v>
      </c>
      <c r="N2098" s="138">
        <f t="shared" si="2977"/>
        <v>0</v>
      </c>
      <c r="P2098" s="49" t="s">
        <v>1911</v>
      </c>
      <c r="Q2098" s="51">
        <v>15</v>
      </c>
      <c r="R2098" s="52">
        <v>20</v>
      </c>
      <c r="S2098" s="52">
        <v>20</v>
      </c>
      <c r="T2098" s="50">
        <f t="shared" si="2991"/>
        <v>55</v>
      </c>
      <c r="U2098" s="51">
        <v>15</v>
      </c>
      <c r="V2098" s="52">
        <v>20</v>
      </c>
      <c r="W2098" s="52">
        <v>20</v>
      </c>
      <c r="X2098" s="50">
        <f t="shared" si="2992"/>
        <v>55</v>
      </c>
      <c r="Y2098" s="51">
        <v>15</v>
      </c>
      <c r="Z2098" s="52">
        <v>20</v>
      </c>
      <c r="AA2098" s="52">
        <v>20</v>
      </c>
      <c r="AB2098" s="50">
        <f t="shared" si="2993"/>
        <v>55</v>
      </c>
      <c r="AC2098" s="149">
        <f t="shared" si="2994"/>
        <v>165</v>
      </c>
      <c r="AD2098" s="123" t="s">
        <v>1910</v>
      </c>
    </row>
    <row r="2099" spans="1:30" x14ac:dyDescent="0.15">
      <c r="A2099" s="33"/>
      <c r="B2099" s="9"/>
      <c r="C2099" s="10"/>
      <c r="D2099" s="10"/>
      <c r="E2099" s="8">
        <f t="shared" si="2974"/>
        <v>0</v>
      </c>
      <c r="F2099" s="9"/>
      <c r="G2099" s="10"/>
      <c r="H2099" s="10"/>
      <c r="I2099" s="8">
        <f t="shared" si="2975"/>
        <v>0</v>
      </c>
      <c r="J2099" s="9"/>
      <c r="K2099" s="10"/>
      <c r="L2099" s="10"/>
      <c r="M2099" s="39">
        <f t="shared" si="2976"/>
        <v>0</v>
      </c>
      <c r="N2099" s="138">
        <f t="shared" si="2977"/>
        <v>0</v>
      </c>
      <c r="P2099" s="126" t="s">
        <v>1777</v>
      </c>
      <c r="Q2099" s="68">
        <v>-70</v>
      </c>
      <c r="R2099" s="69">
        <v>-150</v>
      </c>
      <c r="S2099" s="69">
        <v>-110</v>
      </c>
      <c r="T2099" s="67">
        <f t="shared" ref="T2099:T2104" si="2995">SUM(Q2099:S2099)</f>
        <v>-330</v>
      </c>
      <c r="U2099" s="68">
        <v>-70</v>
      </c>
      <c r="V2099" s="69">
        <v>-150</v>
      </c>
      <c r="W2099" s="69">
        <v>-110</v>
      </c>
      <c r="X2099" s="67">
        <f t="shared" ref="X2099:X2104" si="2996">SUM(U2099:W2099)</f>
        <v>-330</v>
      </c>
      <c r="Y2099" s="68">
        <v>-70</v>
      </c>
      <c r="Z2099" s="69">
        <v>-150</v>
      </c>
      <c r="AA2099" s="69">
        <v>-110</v>
      </c>
      <c r="AB2099" s="67">
        <f t="shared" ref="AB2099:AB2104" si="2997">SUM(Y2099:AA2099)</f>
        <v>-330</v>
      </c>
      <c r="AC2099" s="135">
        <f t="shared" ref="AC2099:AC2104" si="2998">T2099+X2099+AB2099</f>
        <v>-990</v>
      </c>
      <c r="AD2099" s="123"/>
    </row>
    <row r="2100" spans="1:30" x14ac:dyDescent="0.15">
      <c r="A2100" s="33"/>
      <c r="B2100" s="9"/>
      <c r="C2100" s="10"/>
      <c r="D2100" s="10"/>
      <c r="E2100" s="8">
        <f t="shared" si="2974"/>
        <v>0</v>
      </c>
      <c r="F2100" s="9"/>
      <c r="G2100" s="10"/>
      <c r="H2100" s="10"/>
      <c r="I2100" s="8">
        <f t="shared" si="2975"/>
        <v>0</v>
      </c>
      <c r="J2100" s="9"/>
      <c r="K2100" s="10"/>
      <c r="L2100" s="10"/>
      <c r="M2100" s="39">
        <f t="shared" si="2976"/>
        <v>0</v>
      </c>
      <c r="N2100" s="138">
        <f t="shared" si="2977"/>
        <v>0</v>
      </c>
      <c r="P2100" s="37" t="s">
        <v>1776</v>
      </c>
      <c r="Q2100" s="51">
        <v>130</v>
      </c>
      <c r="R2100" s="52">
        <v>250</v>
      </c>
      <c r="S2100" s="52">
        <v>180</v>
      </c>
      <c r="T2100" s="50">
        <f t="shared" si="2995"/>
        <v>560</v>
      </c>
      <c r="U2100" s="51">
        <v>130</v>
      </c>
      <c r="V2100" s="52">
        <v>250</v>
      </c>
      <c r="W2100" s="52">
        <v>180</v>
      </c>
      <c r="X2100" s="50">
        <f t="shared" si="2996"/>
        <v>560</v>
      </c>
      <c r="Y2100" s="51">
        <v>130</v>
      </c>
      <c r="Z2100" s="52">
        <v>250</v>
      </c>
      <c r="AA2100" s="52">
        <v>180</v>
      </c>
      <c r="AB2100" s="50">
        <f t="shared" si="2997"/>
        <v>560</v>
      </c>
      <c r="AC2100" s="149">
        <f t="shared" si="2998"/>
        <v>1680</v>
      </c>
      <c r="AD2100" s="123" t="s">
        <v>1778</v>
      </c>
    </row>
    <row r="2101" spans="1:30" x14ac:dyDescent="0.15">
      <c r="A2101" s="33"/>
      <c r="B2101" s="9"/>
      <c r="C2101" s="10"/>
      <c r="D2101" s="10"/>
      <c r="E2101" s="8">
        <f t="shared" si="2974"/>
        <v>0</v>
      </c>
      <c r="F2101" s="9"/>
      <c r="G2101" s="10"/>
      <c r="H2101" s="10"/>
      <c r="I2101" s="8">
        <f t="shared" si="2975"/>
        <v>0</v>
      </c>
      <c r="J2101" s="9"/>
      <c r="K2101" s="10"/>
      <c r="L2101" s="10"/>
      <c r="M2101" s="39">
        <f t="shared" si="2976"/>
        <v>0</v>
      </c>
      <c r="N2101" s="138">
        <f t="shared" si="2977"/>
        <v>0</v>
      </c>
      <c r="P2101" s="126" t="s">
        <v>1730</v>
      </c>
      <c r="Q2101" s="68">
        <v>0</v>
      </c>
      <c r="R2101" s="69">
        <v>-10</v>
      </c>
      <c r="S2101" s="69">
        <v>0</v>
      </c>
      <c r="T2101" s="67">
        <f t="shared" si="2995"/>
        <v>-10</v>
      </c>
      <c r="U2101" s="68">
        <v>0</v>
      </c>
      <c r="V2101" s="69">
        <v>-10</v>
      </c>
      <c r="W2101" s="69">
        <v>0</v>
      </c>
      <c r="X2101" s="67">
        <f t="shared" si="2996"/>
        <v>-10</v>
      </c>
      <c r="Y2101" s="68">
        <v>0</v>
      </c>
      <c r="Z2101" s="69">
        <v>0</v>
      </c>
      <c r="AA2101" s="69">
        <v>0</v>
      </c>
      <c r="AB2101" s="67">
        <f t="shared" si="2997"/>
        <v>0</v>
      </c>
      <c r="AC2101" s="135">
        <f t="shared" si="2998"/>
        <v>-20</v>
      </c>
      <c r="AD2101" s="123"/>
    </row>
    <row r="2102" spans="1:30" x14ac:dyDescent="0.15">
      <c r="A2102" s="33"/>
      <c r="B2102" s="9"/>
      <c r="C2102" s="10"/>
      <c r="D2102" s="10"/>
      <c r="E2102" s="8">
        <f t="shared" si="2974"/>
        <v>0</v>
      </c>
      <c r="F2102" s="9"/>
      <c r="G2102" s="10"/>
      <c r="H2102" s="10"/>
      <c r="I2102" s="8">
        <f t="shared" si="2975"/>
        <v>0</v>
      </c>
      <c r="J2102" s="9"/>
      <c r="K2102" s="10"/>
      <c r="L2102" s="10"/>
      <c r="M2102" s="39">
        <f t="shared" si="2976"/>
        <v>0</v>
      </c>
      <c r="N2102" s="138">
        <f t="shared" si="2977"/>
        <v>0</v>
      </c>
      <c r="P2102" s="37" t="s">
        <v>1655</v>
      </c>
      <c r="Q2102" s="51">
        <v>60</v>
      </c>
      <c r="R2102" s="52">
        <v>80</v>
      </c>
      <c r="S2102" s="52">
        <v>50</v>
      </c>
      <c r="T2102" s="50">
        <f t="shared" si="2995"/>
        <v>190</v>
      </c>
      <c r="U2102" s="51">
        <v>30</v>
      </c>
      <c r="V2102" s="52">
        <v>60</v>
      </c>
      <c r="W2102" s="52">
        <v>30</v>
      </c>
      <c r="X2102" s="50">
        <f t="shared" si="2996"/>
        <v>120</v>
      </c>
      <c r="Y2102" s="51">
        <v>30</v>
      </c>
      <c r="Z2102" s="52">
        <v>50</v>
      </c>
      <c r="AA2102" s="52">
        <v>40</v>
      </c>
      <c r="AB2102" s="50">
        <f t="shared" si="2997"/>
        <v>120</v>
      </c>
      <c r="AC2102" s="149">
        <f t="shared" si="2998"/>
        <v>430</v>
      </c>
      <c r="AD2102" s="123" t="s">
        <v>1759</v>
      </c>
    </row>
    <row r="2103" spans="1:30" x14ac:dyDescent="0.15">
      <c r="A2103" s="33"/>
      <c r="B2103" s="9"/>
      <c r="C2103" s="10"/>
      <c r="D2103" s="10"/>
      <c r="E2103" s="8">
        <f t="shared" si="2974"/>
        <v>0</v>
      </c>
      <c r="F2103" s="9"/>
      <c r="G2103" s="10"/>
      <c r="H2103" s="10"/>
      <c r="I2103" s="8">
        <f t="shared" si="2975"/>
        <v>0</v>
      </c>
      <c r="J2103" s="9"/>
      <c r="K2103" s="10"/>
      <c r="L2103" s="10"/>
      <c r="M2103" s="39">
        <f t="shared" si="2976"/>
        <v>0</v>
      </c>
      <c r="N2103" s="138">
        <f t="shared" si="2977"/>
        <v>0</v>
      </c>
      <c r="P2103" s="36" t="s">
        <v>1877</v>
      </c>
      <c r="Q2103" s="68">
        <v>0</v>
      </c>
      <c r="R2103" s="69">
        <v>-30</v>
      </c>
      <c r="S2103" s="69">
        <v>-35</v>
      </c>
      <c r="T2103" s="67">
        <f t="shared" si="2995"/>
        <v>-65</v>
      </c>
      <c r="U2103" s="68">
        <v>0</v>
      </c>
      <c r="V2103" s="69">
        <v>-30</v>
      </c>
      <c r="W2103" s="69">
        <v>-35</v>
      </c>
      <c r="X2103" s="67">
        <f t="shared" si="2996"/>
        <v>-65</v>
      </c>
      <c r="Y2103" s="68">
        <v>0</v>
      </c>
      <c r="Z2103" s="69">
        <v>-30</v>
      </c>
      <c r="AA2103" s="69">
        <v>-35</v>
      </c>
      <c r="AB2103" s="67">
        <f t="shared" si="2997"/>
        <v>-65</v>
      </c>
      <c r="AC2103" s="135">
        <f t="shared" si="2998"/>
        <v>-195</v>
      </c>
      <c r="AD2103" s="123"/>
    </row>
    <row r="2104" spans="1:30" ht="14.25" thickBot="1" x14ac:dyDescent="0.2">
      <c r="A2104" s="63"/>
      <c r="B2104" s="9"/>
      <c r="C2104" s="10"/>
      <c r="D2104" s="22"/>
      <c r="E2104" s="8">
        <f t="shared" si="2974"/>
        <v>0</v>
      </c>
      <c r="F2104" s="9"/>
      <c r="G2104" s="10"/>
      <c r="H2104" s="22"/>
      <c r="I2104" s="8">
        <f t="shared" si="2975"/>
        <v>0</v>
      </c>
      <c r="J2104" s="9"/>
      <c r="K2104" s="10"/>
      <c r="L2104" s="22"/>
      <c r="M2104" s="39">
        <f t="shared" si="2976"/>
        <v>0</v>
      </c>
      <c r="N2104" s="139">
        <f t="shared" si="2977"/>
        <v>0</v>
      </c>
      <c r="P2104" s="49" t="s">
        <v>1878</v>
      </c>
      <c r="Q2104" s="51">
        <v>55</v>
      </c>
      <c r="R2104" s="52">
        <v>85</v>
      </c>
      <c r="S2104" s="52">
        <v>75</v>
      </c>
      <c r="T2104" s="50">
        <f t="shared" si="2995"/>
        <v>215</v>
      </c>
      <c r="U2104" s="51">
        <v>55</v>
      </c>
      <c r="V2104" s="52">
        <v>85</v>
      </c>
      <c r="W2104" s="52">
        <v>75</v>
      </c>
      <c r="X2104" s="50">
        <f t="shared" si="2996"/>
        <v>215</v>
      </c>
      <c r="Y2104" s="51">
        <v>55</v>
      </c>
      <c r="Z2104" s="52">
        <v>85</v>
      </c>
      <c r="AA2104" s="52">
        <v>75</v>
      </c>
      <c r="AB2104" s="50">
        <f t="shared" si="2997"/>
        <v>215</v>
      </c>
      <c r="AC2104" s="149">
        <f t="shared" si="2998"/>
        <v>645</v>
      </c>
      <c r="AD2104" s="123" t="s">
        <v>1879</v>
      </c>
    </row>
    <row r="2105" spans="1:30" ht="14.25" thickBot="1" x14ac:dyDescent="0.2">
      <c r="A2105" s="104" t="s">
        <v>5</v>
      </c>
      <c r="B2105" s="12">
        <f>SUM(B2081:B2104)</f>
        <v>0</v>
      </c>
      <c r="C2105" s="12">
        <f>SUM(C2081:C2104)</f>
        <v>0</v>
      </c>
      <c r="D2105" s="12">
        <f>SUM(D2081:D2104)</f>
        <v>0</v>
      </c>
      <c r="E2105" s="13">
        <f t="shared" si="2974"/>
        <v>0</v>
      </c>
      <c r="F2105" s="12">
        <f>SUM(F2081:F2104)</f>
        <v>0</v>
      </c>
      <c r="G2105" s="12">
        <f>SUM(G2081:G2104)</f>
        <v>0</v>
      </c>
      <c r="H2105" s="12">
        <f>SUM(H2081:H2104)</f>
        <v>0</v>
      </c>
      <c r="I2105" s="13">
        <f t="shared" si="2975"/>
        <v>0</v>
      </c>
      <c r="J2105" s="12">
        <f>SUM(J2081:J2104)</f>
        <v>0</v>
      </c>
      <c r="K2105" s="12">
        <f>SUM(K2081:K2104)</f>
        <v>0</v>
      </c>
      <c r="L2105" s="12">
        <f>SUM(L2081:L2104)</f>
        <v>0</v>
      </c>
      <c r="M2105" s="12">
        <f t="shared" si="2976"/>
        <v>0</v>
      </c>
      <c r="N2105" s="142">
        <f t="shared" si="2977"/>
        <v>0</v>
      </c>
      <c r="P2105" s="3" t="s">
        <v>5</v>
      </c>
      <c r="Q2105" s="12">
        <f>SUM(Q2081:Q2104)</f>
        <v>190</v>
      </c>
      <c r="R2105" s="12">
        <f t="shared" ref="R2105:AC2105" si="2999">SUM(R2081:R2104)</f>
        <v>245</v>
      </c>
      <c r="S2105" s="12">
        <f t="shared" si="2999"/>
        <v>180</v>
      </c>
      <c r="T2105" s="13">
        <f t="shared" si="2999"/>
        <v>615</v>
      </c>
      <c r="U2105" s="12">
        <f t="shared" si="2999"/>
        <v>160</v>
      </c>
      <c r="V2105" s="12">
        <f t="shared" si="2999"/>
        <v>225</v>
      </c>
      <c r="W2105" s="12">
        <f t="shared" si="2999"/>
        <v>160</v>
      </c>
      <c r="X2105" s="13">
        <f t="shared" si="2999"/>
        <v>545</v>
      </c>
      <c r="Y2105" s="12">
        <f t="shared" si="2999"/>
        <v>160</v>
      </c>
      <c r="Z2105" s="12">
        <f t="shared" si="2999"/>
        <v>225</v>
      </c>
      <c r="AA2105" s="12">
        <f t="shared" si="2999"/>
        <v>170</v>
      </c>
      <c r="AB2105" s="13">
        <f t="shared" si="2999"/>
        <v>555</v>
      </c>
      <c r="AC2105" s="155">
        <f t="shared" si="2999"/>
        <v>1715</v>
      </c>
    </row>
    <row r="2106" spans="1:30" ht="14.25" thickBot="1" x14ac:dyDescent="0.2">
      <c r="A2106" s="105" t="s">
        <v>6</v>
      </c>
      <c r="B2106" s="20">
        <f>B2080-B2105</f>
        <v>29</v>
      </c>
      <c r="C2106" s="20">
        <f t="shared" ref="C2106:E2106" si="3000">C2080-C2105</f>
        <v>26</v>
      </c>
      <c r="D2106" s="20">
        <f t="shared" si="3000"/>
        <v>20</v>
      </c>
      <c r="E2106" s="18">
        <f t="shared" si="3000"/>
        <v>75</v>
      </c>
      <c r="F2106" s="20">
        <f>F2080-F2105</f>
        <v>26</v>
      </c>
      <c r="G2106" s="20">
        <f t="shared" ref="G2106:I2106" si="3001">G2080-G2105</f>
        <v>28</v>
      </c>
      <c r="H2106" s="20">
        <f t="shared" si="3001"/>
        <v>18</v>
      </c>
      <c r="I2106" s="18">
        <f t="shared" si="3001"/>
        <v>72</v>
      </c>
      <c r="J2106" s="20">
        <f>J2080-J2105</f>
        <v>29</v>
      </c>
      <c r="K2106" s="20">
        <f t="shared" ref="K2106:M2106" si="3002">K2080-K2105</f>
        <v>27</v>
      </c>
      <c r="L2106" s="20">
        <f t="shared" si="3002"/>
        <v>22</v>
      </c>
      <c r="M2106" s="20">
        <f t="shared" si="3002"/>
        <v>78</v>
      </c>
      <c r="N2106" s="140">
        <f t="shared" si="2977"/>
        <v>225</v>
      </c>
      <c r="P2106" s="19" t="s">
        <v>6</v>
      </c>
      <c r="Q2106" s="20">
        <f>Q2080-Q2105</f>
        <v>285</v>
      </c>
      <c r="R2106" s="20">
        <f t="shared" ref="R2106:AC2106" si="3003">R2080-R2105</f>
        <v>458</v>
      </c>
      <c r="S2106" s="20">
        <f t="shared" si="3003"/>
        <v>406</v>
      </c>
      <c r="T2106" s="18">
        <f t="shared" si="3003"/>
        <v>1149</v>
      </c>
      <c r="U2106" s="20">
        <f t="shared" si="3003"/>
        <v>388</v>
      </c>
      <c r="V2106" s="20">
        <f t="shared" si="3003"/>
        <v>502</v>
      </c>
      <c r="W2106" s="20">
        <f t="shared" si="3003"/>
        <v>387</v>
      </c>
      <c r="X2106" s="18">
        <f t="shared" si="3003"/>
        <v>1277</v>
      </c>
      <c r="Y2106" s="20">
        <f t="shared" si="3003"/>
        <v>367</v>
      </c>
      <c r="Z2106" s="20">
        <f t="shared" si="3003"/>
        <v>351</v>
      </c>
      <c r="AA2106" s="20">
        <f t="shared" si="3003"/>
        <v>313</v>
      </c>
      <c r="AB2106" s="18">
        <f t="shared" si="3003"/>
        <v>1031</v>
      </c>
      <c r="AC2106" s="88">
        <f t="shared" si="3003"/>
        <v>3457</v>
      </c>
    </row>
    <row r="2109" spans="1:30" ht="19.5" thickBot="1" x14ac:dyDescent="0.25">
      <c r="A2109" s="108" t="s">
        <v>264</v>
      </c>
      <c r="B2109" s="47"/>
      <c r="C2109" s="47"/>
      <c r="D2109" s="47"/>
      <c r="E2109" s="47"/>
      <c r="F2109" s="48"/>
      <c r="G2109" s="48"/>
      <c r="H2109" s="48"/>
      <c r="I2109" s="48"/>
      <c r="J2109" s="48"/>
      <c r="K2109" s="48"/>
      <c r="L2109" s="1"/>
      <c r="M2109" s="1"/>
      <c r="N2109" s="137"/>
      <c r="P2109" s="43" t="s">
        <v>263</v>
      </c>
      <c r="Q2109" s="44"/>
      <c r="R2109" s="44"/>
      <c r="S2109" s="44"/>
      <c r="T2109" s="44"/>
      <c r="U2109" s="45"/>
      <c r="V2109" s="45"/>
      <c r="W2109" s="45"/>
      <c r="X2109" s="45"/>
      <c r="Y2109" s="46"/>
      <c r="Z2109" s="53"/>
      <c r="AA2109" s="1"/>
      <c r="AB2109" s="1"/>
    </row>
    <row r="2110" spans="1:30" ht="14.25" thickBot="1" x14ac:dyDescent="0.2">
      <c r="A2110" s="100" t="s">
        <v>0</v>
      </c>
      <c r="B2110" s="337" t="s">
        <v>11</v>
      </c>
      <c r="C2110" s="337"/>
      <c r="D2110" s="337"/>
      <c r="E2110" s="338"/>
      <c r="F2110" s="339" t="s">
        <v>9</v>
      </c>
      <c r="G2110" s="340"/>
      <c r="H2110" s="340"/>
      <c r="I2110" s="341"/>
      <c r="J2110" s="342" t="s">
        <v>12</v>
      </c>
      <c r="K2110" s="343"/>
      <c r="L2110" s="343"/>
      <c r="M2110" s="343"/>
      <c r="N2110" s="347" t="s">
        <v>13</v>
      </c>
      <c r="P2110" s="2" t="s">
        <v>0</v>
      </c>
      <c r="Q2110" s="336" t="s">
        <v>11</v>
      </c>
      <c r="R2110" s="337"/>
      <c r="S2110" s="337"/>
      <c r="T2110" s="338"/>
      <c r="U2110" s="339" t="s">
        <v>9</v>
      </c>
      <c r="V2110" s="340"/>
      <c r="W2110" s="340"/>
      <c r="X2110" s="341"/>
      <c r="Y2110" s="342" t="s">
        <v>12</v>
      </c>
      <c r="Z2110" s="343"/>
      <c r="AA2110" s="343"/>
      <c r="AB2110" s="344"/>
      <c r="AC2110" s="345" t="s">
        <v>13</v>
      </c>
    </row>
    <row r="2111" spans="1:30" ht="14.25" thickBot="1" x14ac:dyDescent="0.2">
      <c r="A2111" s="100" t="s">
        <v>1</v>
      </c>
      <c r="B2111" s="3" t="s">
        <v>7</v>
      </c>
      <c r="C2111" s="2" t="s">
        <v>10</v>
      </c>
      <c r="D2111" s="2" t="s">
        <v>8</v>
      </c>
      <c r="E2111" s="2" t="s">
        <v>2</v>
      </c>
      <c r="F2111" s="3" t="s">
        <v>7</v>
      </c>
      <c r="G2111" s="2" t="s">
        <v>10</v>
      </c>
      <c r="H2111" s="2" t="s">
        <v>8</v>
      </c>
      <c r="I2111" s="2" t="s">
        <v>2</v>
      </c>
      <c r="J2111" s="3" t="s">
        <v>7</v>
      </c>
      <c r="K2111" s="2" t="s">
        <v>10</v>
      </c>
      <c r="L2111" s="2" t="s">
        <v>8</v>
      </c>
      <c r="M2111" s="3" t="s">
        <v>2</v>
      </c>
      <c r="N2111" s="348"/>
      <c r="P2111" s="2" t="s">
        <v>1</v>
      </c>
      <c r="Q2111" s="3" t="s">
        <v>7</v>
      </c>
      <c r="R2111" s="2" t="s">
        <v>10</v>
      </c>
      <c r="S2111" s="2" t="s">
        <v>8</v>
      </c>
      <c r="T2111" s="2" t="s">
        <v>2</v>
      </c>
      <c r="U2111" s="3" t="s">
        <v>7</v>
      </c>
      <c r="V2111" s="2" t="s">
        <v>10</v>
      </c>
      <c r="W2111" s="2" t="s">
        <v>8</v>
      </c>
      <c r="X2111" s="2" t="s">
        <v>2</v>
      </c>
      <c r="Y2111" s="3" t="s">
        <v>7</v>
      </c>
      <c r="Z2111" s="2" t="s">
        <v>10</v>
      </c>
      <c r="AA2111" s="2" t="s">
        <v>8</v>
      </c>
      <c r="AB2111" s="2" t="s">
        <v>2</v>
      </c>
      <c r="AC2111" s="346"/>
    </row>
    <row r="2112" spans="1:30" x14ac:dyDescent="0.15">
      <c r="A2112" s="106" t="s">
        <v>6</v>
      </c>
      <c r="B2112" s="41">
        <f>B2106</f>
        <v>29</v>
      </c>
      <c r="C2112" s="41">
        <f t="shared" ref="C2112:E2112" si="3004">C2106</f>
        <v>26</v>
      </c>
      <c r="D2112" s="41">
        <f t="shared" si="3004"/>
        <v>20</v>
      </c>
      <c r="E2112" s="42">
        <f t="shared" si="3004"/>
        <v>75</v>
      </c>
      <c r="F2112" s="41">
        <f>F2106</f>
        <v>26</v>
      </c>
      <c r="G2112" s="41">
        <f t="shared" ref="G2112:I2112" si="3005">G2106</f>
        <v>28</v>
      </c>
      <c r="H2112" s="41">
        <f t="shared" si="3005"/>
        <v>18</v>
      </c>
      <c r="I2112" s="42">
        <f t="shared" si="3005"/>
        <v>72</v>
      </c>
      <c r="J2112" s="41">
        <f>J2106</f>
        <v>29</v>
      </c>
      <c r="K2112" s="41">
        <f t="shared" ref="K2112:M2112" si="3006">K2106</f>
        <v>27</v>
      </c>
      <c r="L2112" s="41">
        <f t="shared" si="3006"/>
        <v>22</v>
      </c>
      <c r="M2112" s="42">
        <f t="shared" si="3006"/>
        <v>78</v>
      </c>
      <c r="N2112" s="143">
        <f>E2112+I2112+M2112</f>
        <v>225</v>
      </c>
      <c r="P2112" s="36" t="s">
        <v>6</v>
      </c>
      <c r="Q2112" s="41">
        <f>Q2106</f>
        <v>285</v>
      </c>
      <c r="R2112" s="41">
        <f t="shared" ref="R2112:AC2112" si="3007">R2106</f>
        <v>458</v>
      </c>
      <c r="S2112" s="41">
        <f t="shared" si="3007"/>
        <v>406</v>
      </c>
      <c r="T2112" s="42">
        <f t="shared" si="3007"/>
        <v>1149</v>
      </c>
      <c r="U2112" s="41">
        <f t="shared" si="3007"/>
        <v>388</v>
      </c>
      <c r="V2112" s="41">
        <f t="shared" si="3007"/>
        <v>502</v>
      </c>
      <c r="W2112" s="41">
        <f t="shared" si="3007"/>
        <v>387</v>
      </c>
      <c r="X2112" s="42">
        <f t="shared" si="3007"/>
        <v>1277</v>
      </c>
      <c r="Y2112" s="41">
        <f t="shared" si="3007"/>
        <v>367</v>
      </c>
      <c r="Z2112" s="41">
        <f t="shared" si="3007"/>
        <v>351</v>
      </c>
      <c r="AA2112" s="41">
        <f t="shared" si="3007"/>
        <v>313</v>
      </c>
      <c r="AB2112" s="42">
        <f t="shared" si="3007"/>
        <v>1031</v>
      </c>
      <c r="AC2112" s="90">
        <f t="shared" si="3007"/>
        <v>3457</v>
      </c>
    </row>
    <row r="2113" spans="1:29" x14ac:dyDescent="0.15">
      <c r="A2113" s="102" t="s">
        <v>3</v>
      </c>
      <c r="B2113" s="25"/>
      <c r="C2113" s="26"/>
      <c r="D2113" s="26"/>
      <c r="E2113" s="5">
        <f t="shared" ref="E2113:E2148" si="3008">SUM(B2113:D2113)</f>
        <v>0</v>
      </c>
      <c r="F2113" s="25"/>
      <c r="G2113" s="26"/>
      <c r="H2113" s="26"/>
      <c r="I2113" s="5">
        <f t="shared" ref="I2113:I2148" si="3009">SUM(F2113:H2113)</f>
        <v>0</v>
      </c>
      <c r="J2113" s="25"/>
      <c r="K2113" s="26"/>
      <c r="L2113" s="26"/>
      <c r="M2113" s="38">
        <f t="shared" ref="M2113:M2148" si="3010">SUM(J2113:L2113)</f>
        <v>0</v>
      </c>
      <c r="N2113" s="138">
        <f t="shared" ref="N2113:N2149" si="3011">E2113+I2113+M2113</f>
        <v>0</v>
      </c>
      <c r="P2113" s="6" t="s">
        <v>3</v>
      </c>
      <c r="Q2113" s="14"/>
      <c r="R2113" s="11"/>
      <c r="S2113" s="11"/>
      <c r="T2113" s="5">
        <f t="shared" ref="T2113:T2122" si="3012">SUM(Q2113:S2113)</f>
        <v>0</v>
      </c>
      <c r="U2113" s="14"/>
      <c r="V2113" s="11"/>
      <c r="W2113" s="11"/>
      <c r="X2113" s="5">
        <f t="shared" ref="X2113:X2122" si="3013">SUM(U2113:W2113)</f>
        <v>0</v>
      </c>
      <c r="Y2113" s="25"/>
      <c r="Z2113" s="26"/>
      <c r="AA2113" s="26"/>
      <c r="AB2113" s="5">
        <f t="shared" ref="AB2113:AB2122" si="3014">SUM(Y2113:AA2113)</f>
        <v>0</v>
      </c>
      <c r="AC2113" s="86">
        <f t="shared" ref="AC2113:AC2122" si="3015">T2113+X2113+AB2113</f>
        <v>0</v>
      </c>
    </row>
    <row r="2114" spans="1:29" x14ac:dyDescent="0.15">
      <c r="A2114" s="102" t="s">
        <v>3</v>
      </c>
      <c r="B2114" s="14"/>
      <c r="C2114" s="11"/>
      <c r="D2114" s="11"/>
      <c r="E2114" s="5">
        <f t="shared" si="3008"/>
        <v>0</v>
      </c>
      <c r="F2114" s="34"/>
      <c r="G2114" s="11"/>
      <c r="H2114" s="11"/>
      <c r="I2114" s="5">
        <f t="shared" si="3009"/>
        <v>0</v>
      </c>
      <c r="J2114" s="34"/>
      <c r="K2114" s="11"/>
      <c r="L2114" s="11"/>
      <c r="M2114" s="38">
        <f t="shared" si="3010"/>
        <v>0</v>
      </c>
      <c r="N2114" s="138">
        <f t="shared" si="3011"/>
        <v>0</v>
      </c>
      <c r="P2114" s="81" t="s">
        <v>3</v>
      </c>
      <c r="Q2114" s="62"/>
      <c r="R2114" s="4"/>
      <c r="S2114" s="4"/>
      <c r="T2114" s="5">
        <f t="shared" si="3012"/>
        <v>0</v>
      </c>
      <c r="U2114" s="62"/>
      <c r="V2114" s="4"/>
      <c r="W2114" s="4"/>
      <c r="X2114" s="5">
        <f t="shared" si="3013"/>
        <v>0</v>
      </c>
      <c r="Y2114" s="280"/>
      <c r="Z2114" s="281"/>
      <c r="AA2114" s="281"/>
      <c r="AB2114" s="5">
        <f t="shared" si="3014"/>
        <v>0</v>
      </c>
      <c r="AC2114" s="91">
        <f t="shared" si="3015"/>
        <v>0</v>
      </c>
    </row>
    <row r="2115" spans="1:29" x14ac:dyDescent="0.15">
      <c r="A2115" s="102" t="s">
        <v>3</v>
      </c>
      <c r="B2115" s="14"/>
      <c r="C2115" s="11"/>
      <c r="D2115" s="11"/>
      <c r="E2115" s="5">
        <f t="shared" si="3008"/>
        <v>0</v>
      </c>
      <c r="F2115" s="34"/>
      <c r="G2115" s="11"/>
      <c r="H2115" s="11"/>
      <c r="I2115" s="5">
        <f t="shared" si="3009"/>
        <v>0</v>
      </c>
      <c r="J2115" s="34"/>
      <c r="K2115" s="11"/>
      <c r="L2115" s="11"/>
      <c r="M2115" s="38">
        <f t="shared" si="3010"/>
        <v>0</v>
      </c>
      <c r="N2115" s="138">
        <f t="shared" si="3011"/>
        <v>0</v>
      </c>
      <c r="P2115" s="81" t="s">
        <v>3</v>
      </c>
      <c r="Q2115" s="62"/>
      <c r="R2115" s="4"/>
      <c r="S2115" s="4"/>
      <c r="T2115" s="5">
        <f t="shared" ref="T2115" si="3016">SUM(Q2115:S2115)</f>
        <v>0</v>
      </c>
      <c r="U2115" s="62"/>
      <c r="V2115" s="4"/>
      <c r="W2115" s="4"/>
      <c r="X2115" s="5">
        <f t="shared" ref="X2115" si="3017">SUM(U2115:W2115)</f>
        <v>0</v>
      </c>
      <c r="Y2115" s="280"/>
      <c r="Z2115" s="281"/>
      <c r="AA2115" s="281"/>
      <c r="AB2115" s="5">
        <f t="shared" ref="AB2115" si="3018">SUM(Y2115:AA2115)</f>
        <v>0</v>
      </c>
      <c r="AC2115" s="91">
        <f t="shared" ref="AC2115" si="3019">T2115+X2115+AB2115</f>
        <v>0</v>
      </c>
    </row>
    <row r="2116" spans="1:29" x14ac:dyDescent="0.15">
      <c r="A2116" s="102" t="s">
        <v>3</v>
      </c>
      <c r="B2116" s="14"/>
      <c r="C2116" s="11"/>
      <c r="D2116" s="11"/>
      <c r="E2116" s="5">
        <f t="shared" si="3008"/>
        <v>0</v>
      </c>
      <c r="F2116" s="34"/>
      <c r="G2116" s="11"/>
      <c r="H2116" s="11"/>
      <c r="I2116" s="5">
        <f t="shared" si="3009"/>
        <v>0</v>
      </c>
      <c r="J2116" s="34"/>
      <c r="K2116" s="11"/>
      <c r="L2116" s="11"/>
      <c r="M2116" s="38">
        <f t="shared" si="3010"/>
        <v>0</v>
      </c>
      <c r="N2116" s="138">
        <f t="shared" si="3011"/>
        <v>0</v>
      </c>
      <c r="P2116" s="81" t="s">
        <v>3</v>
      </c>
      <c r="Q2116" s="62"/>
      <c r="R2116" s="4"/>
      <c r="S2116" s="4"/>
      <c r="T2116" s="5">
        <f t="shared" si="3012"/>
        <v>0</v>
      </c>
      <c r="U2116" s="62"/>
      <c r="V2116" s="4"/>
      <c r="W2116" s="4"/>
      <c r="X2116" s="5">
        <f t="shared" si="3013"/>
        <v>0</v>
      </c>
      <c r="Y2116" s="280"/>
      <c r="Z2116" s="281"/>
      <c r="AA2116" s="281"/>
      <c r="AB2116" s="5">
        <f t="shared" si="3014"/>
        <v>0</v>
      </c>
      <c r="AC2116" s="91">
        <f t="shared" si="3015"/>
        <v>0</v>
      </c>
    </row>
    <row r="2117" spans="1:29" x14ac:dyDescent="0.15">
      <c r="A2117" s="102" t="s">
        <v>3</v>
      </c>
      <c r="B2117" s="14"/>
      <c r="C2117" s="11"/>
      <c r="D2117" s="11"/>
      <c r="E2117" s="5">
        <f t="shared" si="3008"/>
        <v>0</v>
      </c>
      <c r="F2117" s="34"/>
      <c r="G2117" s="11"/>
      <c r="H2117" s="11"/>
      <c r="I2117" s="5">
        <f t="shared" si="3009"/>
        <v>0</v>
      </c>
      <c r="J2117" s="34"/>
      <c r="K2117" s="11"/>
      <c r="L2117" s="11"/>
      <c r="M2117" s="38">
        <f t="shared" si="3010"/>
        <v>0</v>
      </c>
      <c r="N2117" s="138">
        <f t="shared" si="3011"/>
        <v>0</v>
      </c>
      <c r="P2117" s="81" t="s">
        <v>3</v>
      </c>
      <c r="Q2117" s="62"/>
      <c r="R2117" s="4"/>
      <c r="S2117" s="4"/>
      <c r="T2117" s="5">
        <f t="shared" ref="T2117:T2118" si="3020">SUM(Q2117:S2117)</f>
        <v>0</v>
      </c>
      <c r="U2117" s="62"/>
      <c r="V2117" s="4"/>
      <c r="W2117" s="4"/>
      <c r="X2117" s="5">
        <f t="shared" ref="X2117:X2118" si="3021">SUM(U2117:W2117)</f>
        <v>0</v>
      </c>
      <c r="Y2117" s="280"/>
      <c r="Z2117" s="281"/>
      <c r="AA2117" s="281"/>
      <c r="AB2117" s="5">
        <f t="shared" ref="AB2117:AB2118" si="3022">SUM(Y2117:AA2117)</f>
        <v>0</v>
      </c>
      <c r="AC2117" s="91">
        <f t="shared" ref="AC2117:AC2118" si="3023">T2117+X2117+AB2117</f>
        <v>0</v>
      </c>
    </row>
    <row r="2118" spans="1:29" x14ac:dyDescent="0.15">
      <c r="A2118" s="102" t="s">
        <v>3</v>
      </c>
      <c r="B2118" s="25"/>
      <c r="C2118" s="26"/>
      <c r="D2118" s="26"/>
      <c r="E2118" s="8">
        <f t="shared" si="3008"/>
        <v>0</v>
      </c>
      <c r="F2118" s="25"/>
      <c r="G2118" s="26"/>
      <c r="H2118" s="26"/>
      <c r="I2118" s="8">
        <f t="shared" si="3009"/>
        <v>0</v>
      </c>
      <c r="J2118" s="25"/>
      <c r="K2118" s="26"/>
      <c r="L2118" s="26"/>
      <c r="M2118" s="39">
        <f t="shared" si="3010"/>
        <v>0</v>
      </c>
      <c r="N2118" s="138">
        <f t="shared" si="3011"/>
        <v>0</v>
      </c>
      <c r="P2118" s="81" t="s">
        <v>3</v>
      </c>
      <c r="Q2118" s="62"/>
      <c r="R2118" s="4"/>
      <c r="S2118" s="4"/>
      <c r="T2118" s="5">
        <f t="shared" si="3020"/>
        <v>0</v>
      </c>
      <c r="U2118" s="62"/>
      <c r="V2118" s="4"/>
      <c r="W2118" s="4"/>
      <c r="X2118" s="5">
        <f t="shared" si="3021"/>
        <v>0</v>
      </c>
      <c r="Y2118" s="280"/>
      <c r="Z2118" s="281"/>
      <c r="AA2118" s="281"/>
      <c r="AB2118" s="5">
        <f t="shared" si="3022"/>
        <v>0</v>
      </c>
      <c r="AC2118" s="91">
        <f t="shared" si="3023"/>
        <v>0</v>
      </c>
    </row>
    <row r="2119" spans="1:29" x14ac:dyDescent="0.15">
      <c r="A2119" s="102" t="s">
        <v>3</v>
      </c>
      <c r="B2119" s="27"/>
      <c r="C2119" s="26"/>
      <c r="D2119" s="26"/>
      <c r="E2119" s="5">
        <f t="shared" si="3008"/>
        <v>0</v>
      </c>
      <c r="F2119" s="25"/>
      <c r="G2119" s="26"/>
      <c r="H2119" s="26"/>
      <c r="I2119" s="5">
        <f t="shared" si="3009"/>
        <v>0</v>
      </c>
      <c r="J2119" s="25"/>
      <c r="K2119" s="26"/>
      <c r="L2119" s="26"/>
      <c r="M2119" s="38">
        <f t="shared" si="3010"/>
        <v>0</v>
      </c>
      <c r="N2119" s="138">
        <f t="shared" si="3011"/>
        <v>0</v>
      </c>
      <c r="P2119" s="81" t="s">
        <v>3</v>
      </c>
      <c r="Q2119" s="62"/>
      <c r="R2119" s="4"/>
      <c r="S2119" s="4"/>
      <c r="T2119" s="5">
        <f t="shared" si="3012"/>
        <v>0</v>
      </c>
      <c r="U2119" s="62"/>
      <c r="V2119" s="4"/>
      <c r="W2119" s="4"/>
      <c r="X2119" s="5">
        <f t="shared" si="3013"/>
        <v>0</v>
      </c>
      <c r="Y2119" s="280"/>
      <c r="Z2119" s="281"/>
      <c r="AA2119" s="281"/>
      <c r="AB2119" s="5">
        <f t="shared" si="3014"/>
        <v>0</v>
      </c>
      <c r="AC2119" s="91">
        <f t="shared" si="3015"/>
        <v>0</v>
      </c>
    </row>
    <row r="2120" spans="1:29" x14ac:dyDescent="0.15">
      <c r="A2120" s="102" t="s">
        <v>3</v>
      </c>
      <c r="B2120" s="27"/>
      <c r="C2120" s="26"/>
      <c r="D2120" s="26"/>
      <c r="E2120" s="5">
        <f t="shared" si="3008"/>
        <v>0</v>
      </c>
      <c r="F2120" s="25"/>
      <c r="G2120" s="26"/>
      <c r="H2120" s="26"/>
      <c r="I2120" s="5">
        <f t="shared" si="3009"/>
        <v>0</v>
      </c>
      <c r="J2120" s="25"/>
      <c r="K2120" s="26"/>
      <c r="L2120" s="26"/>
      <c r="M2120" s="38">
        <f t="shared" si="3010"/>
        <v>0</v>
      </c>
      <c r="N2120" s="138">
        <f t="shared" si="3011"/>
        <v>0</v>
      </c>
      <c r="P2120" s="6" t="s">
        <v>3</v>
      </c>
      <c r="Q2120" s="14"/>
      <c r="R2120" s="11"/>
      <c r="S2120" s="11"/>
      <c r="T2120" s="5">
        <f t="shared" si="3012"/>
        <v>0</v>
      </c>
      <c r="U2120" s="14"/>
      <c r="V2120" s="11"/>
      <c r="W2120" s="11"/>
      <c r="X2120" s="5">
        <f t="shared" si="3013"/>
        <v>0</v>
      </c>
      <c r="Y2120" s="25"/>
      <c r="Z2120" s="26"/>
      <c r="AA2120" s="26"/>
      <c r="AB2120" s="8">
        <f t="shared" si="3014"/>
        <v>0</v>
      </c>
      <c r="AC2120" s="86">
        <f t="shared" si="3015"/>
        <v>0</v>
      </c>
    </row>
    <row r="2121" spans="1:29" x14ac:dyDescent="0.15">
      <c r="A2121" s="102" t="s">
        <v>3</v>
      </c>
      <c r="B2121" s="27"/>
      <c r="C2121" s="26"/>
      <c r="D2121" s="26"/>
      <c r="E2121" s="5">
        <f t="shared" si="3008"/>
        <v>0</v>
      </c>
      <c r="F2121" s="25"/>
      <c r="G2121" s="26"/>
      <c r="H2121" s="26"/>
      <c r="I2121" s="5">
        <f t="shared" si="3009"/>
        <v>0</v>
      </c>
      <c r="J2121" s="25"/>
      <c r="K2121" s="26"/>
      <c r="L2121" s="26"/>
      <c r="M2121" s="38">
        <f t="shared" si="3010"/>
        <v>0</v>
      </c>
      <c r="N2121" s="138">
        <f t="shared" si="3011"/>
        <v>0</v>
      </c>
      <c r="P2121" s="6" t="s">
        <v>3</v>
      </c>
      <c r="Q2121" s="14"/>
      <c r="R2121" s="11"/>
      <c r="S2121" s="11"/>
      <c r="T2121" s="5">
        <f t="shared" si="3012"/>
        <v>0</v>
      </c>
      <c r="U2121" s="14"/>
      <c r="V2121" s="11"/>
      <c r="W2121" s="11"/>
      <c r="X2121" s="5">
        <f t="shared" si="3013"/>
        <v>0</v>
      </c>
      <c r="Y2121" s="25"/>
      <c r="Z2121" s="26"/>
      <c r="AA2121" s="26"/>
      <c r="AB2121" s="8">
        <f t="shared" si="3014"/>
        <v>0</v>
      </c>
      <c r="AC2121" s="86">
        <f t="shared" si="3015"/>
        <v>0</v>
      </c>
    </row>
    <row r="2122" spans="1:29" ht="14.25" thickBot="1" x14ac:dyDescent="0.2">
      <c r="A2122" s="102" t="s">
        <v>3</v>
      </c>
      <c r="B2122" s="28"/>
      <c r="C2122" s="29"/>
      <c r="D2122" s="32"/>
      <c r="E2122" s="15">
        <f t="shared" si="3008"/>
        <v>0</v>
      </c>
      <c r="F2122" s="35"/>
      <c r="G2122" s="29"/>
      <c r="H2122" s="32"/>
      <c r="I2122" s="15">
        <f t="shared" si="3009"/>
        <v>0</v>
      </c>
      <c r="J2122" s="35"/>
      <c r="K2122" s="29"/>
      <c r="L2122" s="32"/>
      <c r="M2122" s="40">
        <f t="shared" si="3010"/>
        <v>0</v>
      </c>
      <c r="N2122" s="139">
        <f t="shared" si="3011"/>
        <v>0</v>
      </c>
      <c r="P2122" s="6" t="s">
        <v>3</v>
      </c>
      <c r="Q2122" s="14"/>
      <c r="R2122" s="11"/>
      <c r="S2122" s="11"/>
      <c r="T2122" s="5">
        <f t="shared" si="3012"/>
        <v>0</v>
      </c>
      <c r="U2122" s="14"/>
      <c r="V2122" s="11"/>
      <c r="W2122" s="11"/>
      <c r="X2122" s="5">
        <f t="shared" si="3013"/>
        <v>0</v>
      </c>
      <c r="Y2122" s="25"/>
      <c r="Z2122" s="26"/>
      <c r="AA2122" s="26"/>
      <c r="AB2122" s="8">
        <f t="shared" si="3014"/>
        <v>0</v>
      </c>
      <c r="AC2122" s="86">
        <f t="shared" si="3015"/>
        <v>0</v>
      </c>
    </row>
    <row r="2123" spans="1:29" ht="14.25" thickBot="1" x14ac:dyDescent="0.2">
      <c r="A2123" s="103" t="s">
        <v>4</v>
      </c>
      <c r="B2123" s="17">
        <f>SUM(B2112:B2122)</f>
        <v>29</v>
      </c>
      <c r="C2123" s="17">
        <f>SUM(C2112:C2122)</f>
        <v>26</v>
      </c>
      <c r="D2123" s="17">
        <f>SUM(D2112:D2122)</f>
        <v>20</v>
      </c>
      <c r="E2123" s="18">
        <f t="shared" si="3008"/>
        <v>75</v>
      </c>
      <c r="F2123" s="17">
        <f>SUM(F2112:F2122)</f>
        <v>26</v>
      </c>
      <c r="G2123" s="17">
        <f>SUM(G2112:G2122)</f>
        <v>28</v>
      </c>
      <c r="H2123" s="17">
        <f>SUM(H2112:H2122)</f>
        <v>18</v>
      </c>
      <c r="I2123" s="18">
        <f t="shared" si="3009"/>
        <v>72</v>
      </c>
      <c r="J2123" s="17">
        <f>SUM(J2112:J2122)</f>
        <v>29</v>
      </c>
      <c r="K2123" s="17">
        <f>SUM(K2112:K2122)</f>
        <v>27</v>
      </c>
      <c r="L2123" s="17">
        <f>SUM(L2112:L2122)</f>
        <v>22</v>
      </c>
      <c r="M2123" s="20">
        <f t="shared" si="3010"/>
        <v>78</v>
      </c>
      <c r="N2123" s="140">
        <f t="shared" si="3011"/>
        <v>225</v>
      </c>
      <c r="P2123" s="16" t="s">
        <v>4</v>
      </c>
      <c r="Q2123" s="17">
        <f>SUM(Q2112:Q2122)</f>
        <v>285</v>
      </c>
      <c r="R2123" s="17">
        <f t="shared" ref="R2123:AC2123" si="3024">SUM(R2112:R2122)</f>
        <v>458</v>
      </c>
      <c r="S2123" s="17">
        <f t="shared" si="3024"/>
        <v>406</v>
      </c>
      <c r="T2123" s="18">
        <f t="shared" si="3024"/>
        <v>1149</v>
      </c>
      <c r="U2123" s="17">
        <f t="shared" si="3024"/>
        <v>388</v>
      </c>
      <c r="V2123" s="17">
        <f t="shared" si="3024"/>
        <v>502</v>
      </c>
      <c r="W2123" s="17">
        <f t="shared" si="3024"/>
        <v>387</v>
      </c>
      <c r="X2123" s="18">
        <f t="shared" si="3024"/>
        <v>1277</v>
      </c>
      <c r="Y2123" s="17">
        <f t="shared" si="3024"/>
        <v>367</v>
      </c>
      <c r="Z2123" s="17">
        <f t="shared" si="3024"/>
        <v>351</v>
      </c>
      <c r="AA2123" s="17">
        <f t="shared" si="3024"/>
        <v>313</v>
      </c>
      <c r="AB2123" s="18">
        <f t="shared" si="3024"/>
        <v>1031</v>
      </c>
      <c r="AC2123" s="88">
        <f t="shared" si="3024"/>
        <v>3457</v>
      </c>
    </row>
    <row r="2124" spans="1:29" x14ac:dyDescent="0.15">
      <c r="A2124" s="33"/>
      <c r="B2124" s="9"/>
      <c r="C2124" s="10"/>
      <c r="D2124" s="31"/>
      <c r="E2124" s="5">
        <f t="shared" si="3008"/>
        <v>0</v>
      </c>
      <c r="F2124" s="9"/>
      <c r="G2124" s="10"/>
      <c r="H2124" s="31"/>
      <c r="I2124" s="5">
        <f t="shared" si="3009"/>
        <v>0</v>
      </c>
      <c r="J2124" s="9"/>
      <c r="K2124" s="10"/>
      <c r="L2124" s="31"/>
      <c r="M2124" s="38">
        <f t="shared" si="3010"/>
        <v>0</v>
      </c>
      <c r="N2124" s="141">
        <f t="shared" si="3011"/>
        <v>0</v>
      </c>
      <c r="P2124" s="4"/>
      <c r="Q2124" s="9"/>
      <c r="R2124" s="10"/>
      <c r="S2124" s="31"/>
      <c r="T2124" s="5">
        <f t="shared" ref="T2124:T2133" si="3025">SUM(Q2124:S2124)</f>
        <v>0</v>
      </c>
      <c r="U2124" s="9"/>
      <c r="V2124" s="10"/>
      <c r="W2124" s="31"/>
      <c r="X2124" s="5">
        <f t="shared" ref="X2124:X2133" si="3026">SUM(U2124:W2124)</f>
        <v>0</v>
      </c>
      <c r="Y2124" s="9"/>
      <c r="Z2124" s="10"/>
      <c r="AA2124" s="31"/>
      <c r="AB2124" s="5">
        <f t="shared" ref="AB2124:AB2133" si="3027">SUM(Y2124:AA2124)</f>
        <v>0</v>
      </c>
      <c r="AC2124" s="148">
        <f t="shared" ref="AC2124:AC2133" si="3028">T2124+X2124+AB2124</f>
        <v>0</v>
      </c>
    </row>
    <row r="2125" spans="1:29" x14ac:dyDescent="0.15">
      <c r="A2125" s="33"/>
      <c r="B2125" s="9"/>
      <c r="C2125" s="10"/>
      <c r="D2125" s="10"/>
      <c r="E2125" s="5">
        <f t="shared" si="3008"/>
        <v>0</v>
      </c>
      <c r="F2125" s="9"/>
      <c r="G2125" s="10"/>
      <c r="H2125" s="10"/>
      <c r="I2125" s="5">
        <f t="shared" si="3009"/>
        <v>0</v>
      </c>
      <c r="J2125" s="9"/>
      <c r="K2125" s="10"/>
      <c r="L2125" s="10"/>
      <c r="M2125" s="38">
        <f t="shared" si="3010"/>
        <v>0</v>
      </c>
      <c r="N2125" s="138">
        <f t="shared" si="3011"/>
        <v>0</v>
      </c>
      <c r="P2125" s="4"/>
      <c r="Q2125" s="9"/>
      <c r="R2125" s="10"/>
      <c r="S2125" s="10"/>
      <c r="T2125" s="5">
        <f t="shared" si="3025"/>
        <v>0</v>
      </c>
      <c r="U2125" s="9"/>
      <c r="V2125" s="10"/>
      <c r="W2125" s="10"/>
      <c r="X2125" s="5">
        <f t="shared" si="3026"/>
        <v>0</v>
      </c>
      <c r="Y2125" s="9"/>
      <c r="Z2125" s="10"/>
      <c r="AA2125" s="10"/>
      <c r="AB2125" s="5">
        <f t="shared" si="3027"/>
        <v>0</v>
      </c>
      <c r="AC2125" s="93">
        <f t="shared" si="3028"/>
        <v>0</v>
      </c>
    </row>
    <row r="2126" spans="1:29" x14ac:dyDescent="0.15">
      <c r="A2126" s="33"/>
      <c r="B2126" s="9"/>
      <c r="C2126" s="10"/>
      <c r="D2126" s="10"/>
      <c r="E2126" s="5">
        <f t="shared" si="3008"/>
        <v>0</v>
      </c>
      <c r="F2126" s="9"/>
      <c r="G2126" s="10"/>
      <c r="H2126" s="10"/>
      <c r="I2126" s="5">
        <f t="shared" si="3009"/>
        <v>0</v>
      </c>
      <c r="J2126" s="9"/>
      <c r="K2126" s="10"/>
      <c r="L2126" s="10"/>
      <c r="M2126" s="38">
        <f t="shared" si="3010"/>
        <v>0</v>
      </c>
      <c r="N2126" s="138">
        <f t="shared" si="3011"/>
        <v>0</v>
      </c>
      <c r="P2126" s="11"/>
      <c r="Q2126" s="9"/>
      <c r="R2126" s="10"/>
      <c r="S2126" s="10"/>
      <c r="T2126" s="5">
        <f t="shared" si="3025"/>
        <v>0</v>
      </c>
      <c r="U2126" s="9"/>
      <c r="V2126" s="10"/>
      <c r="W2126" s="10"/>
      <c r="X2126" s="5">
        <f t="shared" si="3026"/>
        <v>0</v>
      </c>
      <c r="Y2126" s="9"/>
      <c r="Z2126" s="10"/>
      <c r="AA2126" s="10"/>
      <c r="AB2126" s="5">
        <f t="shared" si="3027"/>
        <v>0</v>
      </c>
      <c r="AC2126" s="93">
        <f t="shared" si="3028"/>
        <v>0</v>
      </c>
    </row>
    <row r="2127" spans="1:29" x14ac:dyDescent="0.15">
      <c r="A2127" s="33"/>
      <c r="B2127" s="9"/>
      <c r="C2127" s="10"/>
      <c r="D2127" s="10"/>
      <c r="E2127" s="5">
        <f t="shared" si="3008"/>
        <v>0</v>
      </c>
      <c r="F2127" s="9"/>
      <c r="G2127" s="10"/>
      <c r="H2127" s="10"/>
      <c r="I2127" s="5">
        <f t="shared" si="3009"/>
        <v>0</v>
      </c>
      <c r="J2127" s="9"/>
      <c r="K2127" s="10"/>
      <c r="L2127" s="10"/>
      <c r="M2127" s="38">
        <f t="shared" si="3010"/>
        <v>0</v>
      </c>
      <c r="N2127" s="138">
        <f t="shared" si="3011"/>
        <v>0</v>
      </c>
      <c r="P2127" s="11"/>
      <c r="Q2127" s="9"/>
      <c r="R2127" s="10"/>
      <c r="S2127" s="10"/>
      <c r="T2127" s="5">
        <f t="shared" si="3025"/>
        <v>0</v>
      </c>
      <c r="U2127" s="9"/>
      <c r="V2127" s="10"/>
      <c r="W2127" s="10"/>
      <c r="X2127" s="5">
        <f t="shared" si="3026"/>
        <v>0</v>
      </c>
      <c r="Y2127" s="9"/>
      <c r="Z2127" s="10"/>
      <c r="AA2127" s="10"/>
      <c r="AB2127" s="5">
        <f t="shared" si="3027"/>
        <v>0</v>
      </c>
      <c r="AC2127" s="93">
        <f t="shared" si="3028"/>
        <v>0</v>
      </c>
    </row>
    <row r="2128" spans="1:29" x14ac:dyDescent="0.15">
      <c r="A2128" s="33"/>
      <c r="B2128" s="9"/>
      <c r="C2128" s="10"/>
      <c r="D2128" s="10"/>
      <c r="E2128" s="5">
        <f t="shared" si="3008"/>
        <v>0</v>
      </c>
      <c r="F2128" s="9"/>
      <c r="G2128" s="10"/>
      <c r="H2128" s="10"/>
      <c r="I2128" s="5">
        <f t="shared" si="3009"/>
        <v>0</v>
      </c>
      <c r="J2128" s="9"/>
      <c r="K2128" s="10"/>
      <c r="L2128" s="10"/>
      <c r="M2128" s="38">
        <f t="shared" si="3010"/>
        <v>0</v>
      </c>
      <c r="N2128" s="138">
        <f t="shared" si="3011"/>
        <v>0</v>
      </c>
      <c r="P2128" s="11"/>
      <c r="Q2128" s="9"/>
      <c r="R2128" s="10"/>
      <c r="S2128" s="10"/>
      <c r="T2128" s="5">
        <f t="shared" si="3025"/>
        <v>0</v>
      </c>
      <c r="U2128" s="9"/>
      <c r="V2128" s="10"/>
      <c r="W2128" s="10"/>
      <c r="X2128" s="5">
        <f t="shared" si="3026"/>
        <v>0</v>
      </c>
      <c r="Y2128" s="9"/>
      <c r="Z2128" s="10"/>
      <c r="AA2128" s="10"/>
      <c r="AB2128" s="5">
        <f t="shared" si="3027"/>
        <v>0</v>
      </c>
      <c r="AC2128" s="93">
        <f t="shared" si="3028"/>
        <v>0</v>
      </c>
    </row>
    <row r="2129" spans="1:29" x14ac:dyDescent="0.15">
      <c r="A2129" s="33"/>
      <c r="B2129" s="9"/>
      <c r="C2129" s="10"/>
      <c r="D2129" s="10"/>
      <c r="E2129" s="8">
        <f t="shared" si="3008"/>
        <v>0</v>
      </c>
      <c r="F2129" s="9"/>
      <c r="G2129" s="10"/>
      <c r="H2129" s="10"/>
      <c r="I2129" s="8">
        <f t="shared" si="3009"/>
        <v>0</v>
      </c>
      <c r="J2129" s="9"/>
      <c r="K2129" s="10"/>
      <c r="L2129" s="10"/>
      <c r="M2129" s="39">
        <f t="shared" si="3010"/>
        <v>0</v>
      </c>
      <c r="N2129" s="138">
        <f t="shared" si="3011"/>
        <v>0</v>
      </c>
      <c r="P2129" s="4"/>
      <c r="Q2129" s="9"/>
      <c r="R2129" s="10"/>
      <c r="S2129" s="10"/>
      <c r="T2129" s="8">
        <f t="shared" si="3025"/>
        <v>0</v>
      </c>
      <c r="U2129" s="9"/>
      <c r="V2129" s="10"/>
      <c r="W2129" s="10"/>
      <c r="X2129" s="8">
        <f t="shared" si="3026"/>
        <v>0</v>
      </c>
      <c r="Y2129" s="9"/>
      <c r="Z2129" s="10"/>
      <c r="AA2129" s="10"/>
      <c r="AB2129" s="8">
        <f t="shared" si="3027"/>
        <v>0</v>
      </c>
      <c r="AC2129" s="93">
        <f t="shared" si="3028"/>
        <v>0</v>
      </c>
    </row>
    <row r="2130" spans="1:29" x14ac:dyDescent="0.15">
      <c r="A2130" s="33"/>
      <c r="B2130" s="9"/>
      <c r="C2130" s="10"/>
      <c r="D2130" s="10"/>
      <c r="E2130" s="8">
        <f t="shared" si="3008"/>
        <v>0</v>
      </c>
      <c r="F2130" s="9"/>
      <c r="G2130" s="10"/>
      <c r="H2130" s="10"/>
      <c r="I2130" s="8">
        <f t="shared" si="3009"/>
        <v>0</v>
      </c>
      <c r="J2130" s="9"/>
      <c r="K2130" s="10"/>
      <c r="L2130" s="10"/>
      <c r="M2130" s="39">
        <f t="shared" si="3010"/>
        <v>0</v>
      </c>
      <c r="N2130" s="138">
        <f t="shared" si="3011"/>
        <v>0</v>
      </c>
      <c r="P2130" s="11"/>
      <c r="Q2130" s="9"/>
      <c r="R2130" s="10"/>
      <c r="S2130" s="10"/>
      <c r="T2130" s="8">
        <f t="shared" si="3025"/>
        <v>0</v>
      </c>
      <c r="U2130" s="9"/>
      <c r="V2130" s="10"/>
      <c r="W2130" s="10"/>
      <c r="X2130" s="8">
        <f t="shared" si="3026"/>
        <v>0</v>
      </c>
      <c r="Y2130" s="9"/>
      <c r="Z2130" s="10"/>
      <c r="AA2130" s="10"/>
      <c r="AB2130" s="8">
        <f t="shared" si="3027"/>
        <v>0</v>
      </c>
      <c r="AC2130" s="93">
        <f t="shared" si="3028"/>
        <v>0</v>
      </c>
    </row>
    <row r="2131" spans="1:29" x14ac:dyDescent="0.15">
      <c r="A2131" s="33"/>
      <c r="B2131" s="9"/>
      <c r="C2131" s="10"/>
      <c r="D2131" s="10"/>
      <c r="E2131" s="8">
        <f t="shared" si="3008"/>
        <v>0</v>
      </c>
      <c r="F2131" s="9"/>
      <c r="G2131" s="10"/>
      <c r="H2131" s="10"/>
      <c r="I2131" s="8">
        <f t="shared" si="3009"/>
        <v>0</v>
      </c>
      <c r="J2131" s="9"/>
      <c r="K2131" s="10"/>
      <c r="L2131" s="10"/>
      <c r="M2131" s="39">
        <f t="shared" si="3010"/>
        <v>0</v>
      </c>
      <c r="N2131" s="138">
        <f t="shared" si="3011"/>
        <v>0</v>
      </c>
      <c r="P2131" s="4"/>
      <c r="Q2131" s="9"/>
      <c r="R2131" s="10"/>
      <c r="S2131" s="10"/>
      <c r="T2131" s="8">
        <f t="shared" si="3025"/>
        <v>0</v>
      </c>
      <c r="U2131" s="9"/>
      <c r="V2131" s="10"/>
      <c r="W2131" s="10"/>
      <c r="X2131" s="8">
        <f t="shared" si="3026"/>
        <v>0</v>
      </c>
      <c r="Y2131" s="9"/>
      <c r="Z2131" s="10"/>
      <c r="AA2131" s="10"/>
      <c r="AB2131" s="8">
        <f t="shared" si="3027"/>
        <v>0</v>
      </c>
      <c r="AC2131" s="93">
        <f t="shared" si="3028"/>
        <v>0</v>
      </c>
    </row>
    <row r="2132" spans="1:29" x14ac:dyDescent="0.15">
      <c r="A2132" s="33"/>
      <c r="B2132" s="9"/>
      <c r="C2132" s="10"/>
      <c r="D2132" s="10"/>
      <c r="E2132" s="8">
        <f t="shared" si="3008"/>
        <v>0</v>
      </c>
      <c r="F2132" s="9"/>
      <c r="G2132" s="10"/>
      <c r="H2132" s="10"/>
      <c r="I2132" s="8">
        <f t="shared" si="3009"/>
        <v>0</v>
      </c>
      <c r="J2132" s="9"/>
      <c r="K2132" s="10"/>
      <c r="L2132" s="10"/>
      <c r="M2132" s="39">
        <f t="shared" si="3010"/>
        <v>0</v>
      </c>
      <c r="N2132" s="138">
        <f t="shared" si="3011"/>
        <v>0</v>
      </c>
      <c r="P2132" s="4"/>
      <c r="Q2132" s="9"/>
      <c r="R2132" s="10"/>
      <c r="S2132" s="10"/>
      <c r="T2132" s="8">
        <f t="shared" si="3025"/>
        <v>0</v>
      </c>
      <c r="U2132" s="9"/>
      <c r="V2132" s="10"/>
      <c r="W2132" s="10"/>
      <c r="X2132" s="8">
        <f t="shared" si="3026"/>
        <v>0</v>
      </c>
      <c r="Y2132" s="9"/>
      <c r="Z2132" s="10"/>
      <c r="AA2132" s="10"/>
      <c r="AB2132" s="8">
        <f t="shared" si="3027"/>
        <v>0</v>
      </c>
      <c r="AC2132" s="93">
        <f t="shared" si="3028"/>
        <v>0</v>
      </c>
    </row>
    <row r="2133" spans="1:29" x14ac:dyDescent="0.15">
      <c r="A2133" s="33"/>
      <c r="B2133" s="9"/>
      <c r="C2133" s="10"/>
      <c r="D2133" s="10"/>
      <c r="E2133" s="8">
        <f t="shared" si="3008"/>
        <v>0</v>
      </c>
      <c r="F2133" s="9"/>
      <c r="G2133" s="10"/>
      <c r="H2133" s="10"/>
      <c r="I2133" s="8">
        <f t="shared" si="3009"/>
        <v>0</v>
      </c>
      <c r="J2133" s="9"/>
      <c r="K2133" s="10"/>
      <c r="L2133" s="10"/>
      <c r="M2133" s="39">
        <f t="shared" si="3010"/>
        <v>0</v>
      </c>
      <c r="N2133" s="138">
        <f t="shared" si="3011"/>
        <v>0</v>
      </c>
      <c r="P2133" s="4"/>
      <c r="Q2133" s="9"/>
      <c r="R2133" s="10"/>
      <c r="S2133" s="10"/>
      <c r="T2133" s="8">
        <f t="shared" si="3025"/>
        <v>0</v>
      </c>
      <c r="U2133" s="9"/>
      <c r="V2133" s="10"/>
      <c r="W2133" s="10"/>
      <c r="X2133" s="8">
        <f t="shared" si="3026"/>
        <v>0</v>
      </c>
      <c r="Y2133" s="9"/>
      <c r="Z2133" s="10"/>
      <c r="AA2133" s="10"/>
      <c r="AB2133" s="8">
        <f t="shared" si="3027"/>
        <v>0</v>
      </c>
      <c r="AC2133" s="93">
        <f t="shared" si="3028"/>
        <v>0</v>
      </c>
    </row>
    <row r="2134" spans="1:29" x14ac:dyDescent="0.15">
      <c r="A2134" s="33"/>
      <c r="B2134" s="9"/>
      <c r="C2134" s="10"/>
      <c r="D2134" s="10"/>
      <c r="E2134" s="8">
        <f t="shared" si="3008"/>
        <v>0</v>
      </c>
      <c r="F2134" s="9"/>
      <c r="G2134" s="10"/>
      <c r="H2134" s="10"/>
      <c r="I2134" s="8">
        <f t="shared" si="3009"/>
        <v>0</v>
      </c>
      <c r="J2134" s="9"/>
      <c r="K2134" s="10"/>
      <c r="L2134" s="10"/>
      <c r="M2134" s="39">
        <f t="shared" si="3010"/>
        <v>0</v>
      </c>
      <c r="N2134" s="138">
        <f t="shared" si="3011"/>
        <v>0</v>
      </c>
      <c r="P2134" s="4"/>
      <c r="Q2134" s="9"/>
      <c r="R2134" s="10"/>
      <c r="S2134" s="10"/>
      <c r="T2134" s="8">
        <f t="shared" ref="T2134:T2135" si="3029">SUM(Q2134:S2134)</f>
        <v>0</v>
      </c>
      <c r="U2134" s="9"/>
      <c r="V2134" s="10"/>
      <c r="W2134" s="10"/>
      <c r="X2134" s="8">
        <f t="shared" ref="X2134:X2135" si="3030">SUM(U2134:W2134)</f>
        <v>0</v>
      </c>
      <c r="Y2134" s="9"/>
      <c r="Z2134" s="10"/>
      <c r="AA2134" s="10"/>
      <c r="AB2134" s="8">
        <f t="shared" ref="AB2134:AB2135" si="3031">SUM(Y2134:AA2134)</f>
        <v>0</v>
      </c>
      <c r="AC2134" s="93">
        <f t="shared" ref="AC2134:AC2135" si="3032">T2134+X2134+AB2134</f>
        <v>0</v>
      </c>
    </row>
    <row r="2135" spans="1:29" x14ac:dyDescent="0.15">
      <c r="A2135" s="33"/>
      <c r="B2135" s="9"/>
      <c r="C2135" s="10"/>
      <c r="D2135" s="10"/>
      <c r="E2135" s="8">
        <f t="shared" si="3008"/>
        <v>0</v>
      </c>
      <c r="F2135" s="9"/>
      <c r="G2135" s="10"/>
      <c r="H2135" s="10"/>
      <c r="I2135" s="8">
        <f t="shared" si="3009"/>
        <v>0</v>
      </c>
      <c r="J2135" s="9"/>
      <c r="K2135" s="10"/>
      <c r="L2135" s="10"/>
      <c r="M2135" s="39">
        <f t="shared" si="3010"/>
        <v>0</v>
      </c>
      <c r="N2135" s="138">
        <f t="shared" si="3011"/>
        <v>0</v>
      </c>
      <c r="P2135" s="4"/>
      <c r="Q2135" s="9"/>
      <c r="R2135" s="10"/>
      <c r="S2135" s="10"/>
      <c r="T2135" s="8">
        <f t="shared" si="3029"/>
        <v>0</v>
      </c>
      <c r="U2135" s="9"/>
      <c r="V2135" s="10"/>
      <c r="W2135" s="10"/>
      <c r="X2135" s="8">
        <f t="shared" si="3030"/>
        <v>0</v>
      </c>
      <c r="Y2135" s="9"/>
      <c r="Z2135" s="10"/>
      <c r="AA2135" s="10"/>
      <c r="AB2135" s="8">
        <f t="shared" si="3031"/>
        <v>0</v>
      </c>
      <c r="AC2135" s="93">
        <f t="shared" si="3032"/>
        <v>0</v>
      </c>
    </row>
    <row r="2136" spans="1:29" x14ac:dyDescent="0.15">
      <c r="A2136" s="33"/>
      <c r="B2136" s="9"/>
      <c r="C2136" s="10"/>
      <c r="D2136" s="10"/>
      <c r="E2136" s="8">
        <f t="shared" si="3008"/>
        <v>0</v>
      </c>
      <c r="F2136" s="9"/>
      <c r="G2136" s="10"/>
      <c r="H2136" s="10"/>
      <c r="I2136" s="8">
        <f t="shared" si="3009"/>
        <v>0</v>
      </c>
      <c r="J2136" s="9"/>
      <c r="K2136" s="10"/>
      <c r="L2136" s="10"/>
      <c r="M2136" s="39">
        <f t="shared" si="3010"/>
        <v>0</v>
      </c>
      <c r="N2136" s="138">
        <f t="shared" si="3011"/>
        <v>0</v>
      </c>
      <c r="P2136" s="4"/>
      <c r="Q2136" s="9"/>
      <c r="R2136" s="10"/>
      <c r="S2136" s="10"/>
      <c r="T2136" s="8">
        <f t="shared" ref="T2136:T2139" si="3033">SUM(Q2136:S2136)</f>
        <v>0</v>
      </c>
      <c r="U2136" s="9"/>
      <c r="V2136" s="10"/>
      <c r="W2136" s="10"/>
      <c r="X2136" s="8">
        <f t="shared" ref="X2136:X2139" si="3034">SUM(U2136:W2136)</f>
        <v>0</v>
      </c>
      <c r="Y2136" s="9"/>
      <c r="Z2136" s="10"/>
      <c r="AA2136" s="10"/>
      <c r="AB2136" s="8">
        <f t="shared" ref="AB2136:AB2139" si="3035">SUM(Y2136:AA2136)</f>
        <v>0</v>
      </c>
      <c r="AC2136" s="93">
        <f t="shared" ref="AC2136:AC2139" si="3036">T2136+X2136+AB2136</f>
        <v>0</v>
      </c>
    </row>
    <row r="2137" spans="1:29" x14ac:dyDescent="0.15">
      <c r="A2137" s="33"/>
      <c r="B2137" s="9"/>
      <c r="C2137" s="10"/>
      <c r="D2137" s="10"/>
      <c r="E2137" s="8">
        <f t="shared" si="3008"/>
        <v>0</v>
      </c>
      <c r="F2137" s="9"/>
      <c r="G2137" s="10"/>
      <c r="H2137" s="10"/>
      <c r="I2137" s="8">
        <f t="shared" si="3009"/>
        <v>0</v>
      </c>
      <c r="J2137" s="9"/>
      <c r="K2137" s="10"/>
      <c r="L2137" s="10"/>
      <c r="M2137" s="39">
        <f t="shared" si="3010"/>
        <v>0</v>
      </c>
      <c r="N2137" s="138">
        <f t="shared" si="3011"/>
        <v>0</v>
      </c>
      <c r="P2137" s="4"/>
      <c r="Q2137" s="9"/>
      <c r="R2137" s="10"/>
      <c r="S2137" s="10"/>
      <c r="T2137" s="8">
        <f t="shared" si="3033"/>
        <v>0</v>
      </c>
      <c r="U2137" s="9"/>
      <c r="V2137" s="10"/>
      <c r="W2137" s="10"/>
      <c r="X2137" s="8">
        <f t="shared" si="3034"/>
        <v>0</v>
      </c>
      <c r="Y2137" s="9"/>
      <c r="Z2137" s="10"/>
      <c r="AA2137" s="10"/>
      <c r="AB2137" s="8">
        <f t="shared" si="3035"/>
        <v>0</v>
      </c>
      <c r="AC2137" s="93">
        <f t="shared" si="3036"/>
        <v>0</v>
      </c>
    </row>
    <row r="2138" spans="1:29" x14ac:dyDescent="0.15">
      <c r="A2138" s="33"/>
      <c r="B2138" s="9"/>
      <c r="C2138" s="10"/>
      <c r="D2138" s="10"/>
      <c r="E2138" s="8">
        <f t="shared" si="3008"/>
        <v>0</v>
      </c>
      <c r="F2138" s="9"/>
      <c r="G2138" s="10"/>
      <c r="H2138" s="10"/>
      <c r="I2138" s="8">
        <f t="shared" si="3009"/>
        <v>0</v>
      </c>
      <c r="J2138" s="9"/>
      <c r="K2138" s="10"/>
      <c r="L2138" s="10"/>
      <c r="M2138" s="39">
        <f t="shared" si="3010"/>
        <v>0</v>
      </c>
      <c r="N2138" s="138">
        <f t="shared" si="3011"/>
        <v>0</v>
      </c>
      <c r="P2138" s="4"/>
      <c r="Q2138" s="9"/>
      <c r="R2138" s="10"/>
      <c r="S2138" s="10"/>
      <c r="T2138" s="8">
        <f t="shared" si="3033"/>
        <v>0</v>
      </c>
      <c r="U2138" s="9"/>
      <c r="V2138" s="10"/>
      <c r="W2138" s="10"/>
      <c r="X2138" s="8">
        <f t="shared" si="3034"/>
        <v>0</v>
      </c>
      <c r="Y2138" s="9"/>
      <c r="Z2138" s="10"/>
      <c r="AA2138" s="10"/>
      <c r="AB2138" s="8">
        <f t="shared" si="3035"/>
        <v>0</v>
      </c>
      <c r="AC2138" s="93">
        <f t="shared" si="3036"/>
        <v>0</v>
      </c>
    </row>
    <row r="2139" spans="1:29" x14ac:dyDescent="0.15">
      <c r="A2139" s="63"/>
      <c r="B2139" s="9"/>
      <c r="C2139" s="10"/>
      <c r="D2139" s="10"/>
      <c r="E2139" s="8">
        <f t="shared" si="3008"/>
        <v>0</v>
      </c>
      <c r="F2139" s="9"/>
      <c r="G2139" s="10"/>
      <c r="H2139" s="10"/>
      <c r="I2139" s="8">
        <f t="shared" si="3009"/>
        <v>0</v>
      </c>
      <c r="J2139" s="9"/>
      <c r="K2139" s="10"/>
      <c r="L2139" s="10"/>
      <c r="M2139" s="39">
        <f t="shared" si="3010"/>
        <v>0</v>
      </c>
      <c r="N2139" s="138">
        <f t="shared" si="3011"/>
        <v>0</v>
      </c>
      <c r="P2139" s="4"/>
      <c r="Q2139" s="9"/>
      <c r="R2139" s="10"/>
      <c r="S2139" s="10"/>
      <c r="T2139" s="8">
        <f t="shared" si="3033"/>
        <v>0</v>
      </c>
      <c r="U2139" s="9"/>
      <c r="V2139" s="10"/>
      <c r="W2139" s="10"/>
      <c r="X2139" s="8">
        <f t="shared" si="3034"/>
        <v>0</v>
      </c>
      <c r="Y2139" s="9"/>
      <c r="Z2139" s="10"/>
      <c r="AA2139" s="10"/>
      <c r="AB2139" s="8">
        <f t="shared" si="3035"/>
        <v>0</v>
      </c>
      <c r="AC2139" s="93">
        <f t="shared" si="3036"/>
        <v>0</v>
      </c>
    </row>
    <row r="2140" spans="1:29" x14ac:dyDescent="0.15">
      <c r="A2140" s="33"/>
      <c r="B2140" s="9"/>
      <c r="C2140" s="10"/>
      <c r="D2140" s="10"/>
      <c r="E2140" s="8">
        <f t="shared" si="3008"/>
        <v>0</v>
      </c>
      <c r="F2140" s="9"/>
      <c r="G2140" s="10"/>
      <c r="H2140" s="10"/>
      <c r="I2140" s="8">
        <f t="shared" si="3009"/>
        <v>0</v>
      </c>
      <c r="J2140" s="9"/>
      <c r="K2140" s="10"/>
      <c r="L2140" s="10"/>
      <c r="M2140" s="39">
        <f t="shared" si="3010"/>
        <v>0</v>
      </c>
      <c r="N2140" s="138">
        <f t="shared" si="3011"/>
        <v>0</v>
      </c>
      <c r="P2140" s="4"/>
      <c r="Q2140" s="9"/>
      <c r="R2140" s="10"/>
      <c r="S2140" s="10"/>
      <c r="T2140" s="8">
        <f t="shared" ref="T2140:T2147" si="3037">SUM(Q2140:S2140)</f>
        <v>0</v>
      </c>
      <c r="U2140" s="9"/>
      <c r="V2140" s="10"/>
      <c r="W2140" s="10"/>
      <c r="X2140" s="8">
        <f t="shared" ref="X2140:X2147" si="3038">SUM(U2140:W2140)</f>
        <v>0</v>
      </c>
      <c r="Y2140" s="9"/>
      <c r="Z2140" s="10"/>
      <c r="AA2140" s="10"/>
      <c r="AB2140" s="8">
        <f t="shared" ref="AB2140:AB2147" si="3039">SUM(Y2140:AA2140)</f>
        <v>0</v>
      </c>
      <c r="AC2140" s="93">
        <f t="shared" ref="AC2140:AC2147" si="3040">T2140+X2140+AB2140</f>
        <v>0</v>
      </c>
    </row>
    <row r="2141" spans="1:29" x14ac:dyDescent="0.15">
      <c r="A2141" s="33"/>
      <c r="B2141" s="9"/>
      <c r="C2141" s="10"/>
      <c r="D2141" s="10"/>
      <c r="E2141" s="8">
        <f t="shared" si="3008"/>
        <v>0</v>
      </c>
      <c r="F2141" s="9"/>
      <c r="G2141" s="10"/>
      <c r="H2141" s="10"/>
      <c r="I2141" s="8">
        <f t="shared" si="3009"/>
        <v>0</v>
      </c>
      <c r="J2141" s="9"/>
      <c r="K2141" s="10"/>
      <c r="L2141" s="10"/>
      <c r="M2141" s="39">
        <f t="shared" si="3010"/>
        <v>0</v>
      </c>
      <c r="N2141" s="138">
        <f t="shared" si="3011"/>
        <v>0</v>
      </c>
      <c r="P2141" s="4"/>
      <c r="Q2141" s="9"/>
      <c r="R2141" s="10"/>
      <c r="S2141" s="10"/>
      <c r="T2141" s="8">
        <f t="shared" si="3037"/>
        <v>0</v>
      </c>
      <c r="U2141" s="9"/>
      <c r="V2141" s="10"/>
      <c r="W2141" s="10"/>
      <c r="X2141" s="8">
        <f t="shared" si="3038"/>
        <v>0</v>
      </c>
      <c r="Y2141" s="9"/>
      <c r="Z2141" s="10"/>
      <c r="AA2141" s="10"/>
      <c r="AB2141" s="8">
        <f t="shared" si="3039"/>
        <v>0</v>
      </c>
      <c r="AC2141" s="93">
        <f t="shared" si="3040"/>
        <v>0</v>
      </c>
    </row>
    <row r="2142" spans="1:29" x14ac:dyDescent="0.15">
      <c r="A2142" s="33"/>
      <c r="B2142" s="9"/>
      <c r="C2142" s="10"/>
      <c r="D2142" s="10"/>
      <c r="E2142" s="8">
        <f t="shared" si="3008"/>
        <v>0</v>
      </c>
      <c r="F2142" s="9"/>
      <c r="G2142" s="10"/>
      <c r="H2142" s="10"/>
      <c r="I2142" s="8">
        <f t="shared" si="3009"/>
        <v>0</v>
      </c>
      <c r="J2142" s="9"/>
      <c r="K2142" s="10"/>
      <c r="L2142" s="10"/>
      <c r="M2142" s="39">
        <f t="shared" si="3010"/>
        <v>0</v>
      </c>
      <c r="N2142" s="138">
        <f t="shared" si="3011"/>
        <v>0</v>
      </c>
      <c r="P2142" s="4"/>
      <c r="Q2142" s="9"/>
      <c r="R2142" s="10"/>
      <c r="S2142" s="10"/>
      <c r="T2142" s="8">
        <f t="shared" si="3037"/>
        <v>0</v>
      </c>
      <c r="U2142" s="9"/>
      <c r="V2142" s="10"/>
      <c r="W2142" s="10"/>
      <c r="X2142" s="8">
        <f t="shared" si="3038"/>
        <v>0</v>
      </c>
      <c r="Y2142" s="9"/>
      <c r="Z2142" s="10"/>
      <c r="AA2142" s="10"/>
      <c r="AB2142" s="8">
        <f t="shared" si="3039"/>
        <v>0</v>
      </c>
      <c r="AC2142" s="93">
        <f t="shared" si="3040"/>
        <v>0</v>
      </c>
    </row>
    <row r="2143" spans="1:29" x14ac:dyDescent="0.15">
      <c r="A2143" s="33"/>
      <c r="B2143" s="9"/>
      <c r="C2143" s="10"/>
      <c r="D2143" s="10"/>
      <c r="E2143" s="8">
        <f t="shared" si="3008"/>
        <v>0</v>
      </c>
      <c r="F2143" s="9"/>
      <c r="G2143" s="10"/>
      <c r="H2143" s="10"/>
      <c r="I2143" s="8">
        <f t="shared" si="3009"/>
        <v>0</v>
      </c>
      <c r="J2143" s="9"/>
      <c r="K2143" s="10"/>
      <c r="L2143" s="10"/>
      <c r="M2143" s="39">
        <f t="shared" si="3010"/>
        <v>0</v>
      </c>
      <c r="N2143" s="138">
        <f t="shared" si="3011"/>
        <v>0</v>
      </c>
      <c r="P2143" s="4"/>
      <c r="Q2143" s="9"/>
      <c r="R2143" s="10"/>
      <c r="S2143" s="10"/>
      <c r="T2143" s="8">
        <f t="shared" si="3037"/>
        <v>0</v>
      </c>
      <c r="U2143" s="9"/>
      <c r="V2143" s="10"/>
      <c r="W2143" s="10"/>
      <c r="X2143" s="8">
        <f t="shared" si="3038"/>
        <v>0</v>
      </c>
      <c r="Y2143" s="9"/>
      <c r="Z2143" s="10"/>
      <c r="AA2143" s="10"/>
      <c r="AB2143" s="8">
        <f t="shared" si="3039"/>
        <v>0</v>
      </c>
      <c r="AC2143" s="93">
        <f t="shared" si="3040"/>
        <v>0</v>
      </c>
    </row>
    <row r="2144" spans="1:29" x14ac:dyDescent="0.15">
      <c r="A2144" s="33"/>
      <c r="B2144" s="9"/>
      <c r="C2144" s="10"/>
      <c r="D2144" s="10"/>
      <c r="E2144" s="8">
        <f t="shared" si="3008"/>
        <v>0</v>
      </c>
      <c r="F2144" s="9"/>
      <c r="G2144" s="10"/>
      <c r="H2144" s="10"/>
      <c r="I2144" s="8">
        <f t="shared" si="3009"/>
        <v>0</v>
      </c>
      <c r="J2144" s="9"/>
      <c r="K2144" s="10"/>
      <c r="L2144" s="10"/>
      <c r="M2144" s="39">
        <f t="shared" si="3010"/>
        <v>0</v>
      </c>
      <c r="N2144" s="138">
        <f t="shared" si="3011"/>
        <v>0</v>
      </c>
      <c r="P2144" s="126" t="s">
        <v>1590</v>
      </c>
      <c r="Q2144" s="68">
        <v>0</v>
      </c>
      <c r="R2144" s="69">
        <v>0</v>
      </c>
      <c r="S2144" s="69">
        <v>0</v>
      </c>
      <c r="T2144" s="67">
        <f t="shared" si="3037"/>
        <v>0</v>
      </c>
      <c r="U2144" s="68">
        <v>0</v>
      </c>
      <c r="V2144" s="69">
        <v>0</v>
      </c>
      <c r="W2144" s="69">
        <v>0</v>
      </c>
      <c r="X2144" s="67">
        <f t="shared" si="3038"/>
        <v>0</v>
      </c>
      <c r="Y2144" s="68">
        <v>0</v>
      </c>
      <c r="Z2144" s="69">
        <v>0</v>
      </c>
      <c r="AA2144" s="69">
        <v>0</v>
      </c>
      <c r="AB2144" s="67">
        <f t="shared" si="3039"/>
        <v>0</v>
      </c>
      <c r="AC2144" s="135">
        <f t="shared" si="3040"/>
        <v>0</v>
      </c>
    </row>
    <row r="2145" spans="1:30" x14ac:dyDescent="0.15">
      <c r="A2145" s="33"/>
      <c r="B2145" s="9"/>
      <c r="C2145" s="10"/>
      <c r="D2145" s="10"/>
      <c r="E2145" s="8">
        <f t="shared" si="3008"/>
        <v>0</v>
      </c>
      <c r="F2145" s="9"/>
      <c r="G2145" s="10"/>
      <c r="H2145" s="10"/>
      <c r="I2145" s="8">
        <f t="shared" si="3009"/>
        <v>0</v>
      </c>
      <c r="J2145" s="9"/>
      <c r="K2145" s="10"/>
      <c r="L2145" s="10"/>
      <c r="M2145" s="39">
        <f t="shared" si="3010"/>
        <v>0</v>
      </c>
      <c r="N2145" s="138">
        <f t="shared" si="3011"/>
        <v>0</v>
      </c>
      <c r="P2145" s="37" t="s">
        <v>1589</v>
      </c>
      <c r="Q2145" s="51">
        <f>5-5</f>
        <v>0</v>
      </c>
      <c r="R2145" s="52">
        <f>5-5</f>
        <v>0</v>
      </c>
      <c r="S2145" s="52">
        <f>5-5</f>
        <v>0</v>
      </c>
      <c r="T2145" s="50">
        <f t="shared" si="3037"/>
        <v>0</v>
      </c>
      <c r="U2145" s="51">
        <f>5-5</f>
        <v>0</v>
      </c>
      <c r="V2145" s="52">
        <f>5-5</f>
        <v>0</v>
      </c>
      <c r="W2145" s="52">
        <f>5-5</f>
        <v>0</v>
      </c>
      <c r="X2145" s="50">
        <f t="shared" si="3038"/>
        <v>0</v>
      </c>
      <c r="Y2145" s="51">
        <f>5-5</f>
        <v>0</v>
      </c>
      <c r="Z2145" s="52">
        <f>5-5</f>
        <v>0</v>
      </c>
      <c r="AA2145" s="52">
        <f>5-5</f>
        <v>0</v>
      </c>
      <c r="AB2145" s="50">
        <f t="shared" si="3039"/>
        <v>0</v>
      </c>
      <c r="AC2145" s="149">
        <f t="shared" si="3040"/>
        <v>0</v>
      </c>
      <c r="AD2145" s="123" t="s">
        <v>1591</v>
      </c>
    </row>
    <row r="2146" spans="1:30" x14ac:dyDescent="0.15">
      <c r="A2146" s="33"/>
      <c r="B2146" s="9"/>
      <c r="C2146" s="10"/>
      <c r="D2146" s="10"/>
      <c r="E2146" s="8">
        <f t="shared" si="3008"/>
        <v>0</v>
      </c>
      <c r="F2146" s="9"/>
      <c r="G2146" s="10"/>
      <c r="H2146" s="10"/>
      <c r="I2146" s="8">
        <f t="shared" si="3009"/>
        <v>0</v>
      </c>
      <c r="J2146" s="9"/>
      <c r="K2146" s="10"/>
      <c r="L2146" s="10"/>
      <c r="M2146" s="39">
        <f t="shared" si="3010"/>
        <v>0</v>
      </c>
      <c r="N2146" s="138">
        <f t="shared" si="3011"/>
        <v>0</v>
      </c>
      <c r="P2146" s="126" t="s">
        <v>1544</v>
      </c>
      <c r="Q2146" s="68">
        <v>-10</v>
      </c>
      <c r="R2146" s="69">
        <v>-10</v>
      </c>
      <c r="S2146" s="69">
        <v>-10</v>
      </c>
      <c r="T2146" s="67">
        <f t="shared" si="3037"/>
        <v>-30</v>
      </c>
      <c r="U2146" s="68">
        <v>-10</v>
      </c>
      <c r="V2146" s="69">
        <v>-10</v>
      </c>
      <c r="W2146" s="69">
        <v>-10</v>
      </c>
      <c r="X2146" s="67">
        <f t="shared" si="3038"/>
        <v>-30</v>
      </c>
      <c r="Y2146" s="68">
        <v>-10</v>
      </c>
      <c r="Z2146" s="69">
        <v>-10</v>
      </c>
      <c r="AA2146" s="69">
        <v>-10</v>
      </c>
      <c r="AB2146" s="67">
        <f t="shared" si="3039"/>
        <v>-30</v>
      </c>
      <c r="AC2146" s="135">
        <f t="shared" si="3040"/>
        <v>-90</v>
      </c>
      <c r="AD2146" s="123"/>
    </row>
    <row r="2147" spans="1:30" ht="14.25" thickBot="1" x14ac:dyDescent="0.2">
      <c r="A2147" s="63"/>
      <c r="B2147" s="9"/>
      <c r="C2147" s="10"/>
      <c r="D2147" s="22"/>
      <c r="E2147" s="8">
        <f t="shared" si="3008"/>
        <v>0</v>
      </c>
      <c r="F2147" s="9"/>
      <c r="G2147" s="10"/>
      <c r="H2147" s="22"/>
      <c r="I2147" s="8">
        <f t="shared" si="3009"/>
        <v>0</v>
      </c>
      <c r="J2147" s="9"/>
      <c r="K2147" s="10"/>
      <c r="L2147" s="22"/>
      <c r="M2147" s="39">
        <f t="shared" si="3010"/>
        <v>0</v>
      </c>
      <c r="N2147" s="139">
        <f t="shared" si="3011"/>
        <v>0</v>
      </c>
      <c r="P2147" s="37" t="s">
        <v>1547</v>
      </c>
      <c r="Q2147" s="51">
        <v>109</v>
      </c>
      <c r="R2147" s="52">
        <v>148</v>
      </c>
      <c r="S2147" s="52">
        <v>82</v>
      </c>
      <c r="T2147" s="50">
        <f t="shared" si="3037"/>
        <v>339</v>
      </c>
      <c r="U2147" s="51">
        <v>109</v>
      </c>
      <c r="V2147" s="52">
        <v>148</v>
      </c>
      <c r="W2147" s="52">
        <v>82</v>
      </c>
      <c r="X2147" s="50">
        <f t="shared" si="3038"/>
        <v>339</v>
      </c>
      <c r="Y2147" s="51">
        <v>108</v>
      </c>
      <c r="Z2147" s="52">
        <v>148</v>
      </c>
      <c r="AA2147" s="52">
        <v>82</v>
      </c>
      <c r="AB2147" s="50">
        <f t="shared" si="3039"/>
        <v>338</v>
      </c>
      <c r="AC2147" s="149">
        <f t="shared" si="3040"/>
        <v>1016</v>
      </c>
      <c r="AD2147" s="123" t="s">
        <v>1588</v>
      </c>
    </row>
    <row r="2148" spans="1:30" ht="14.25" thickBot="1" x14ac:dyDescent="0.2">
      <c r="A2148" s="104" t="s">
        <v>5</v>
      </c>
      <c r="B2148" s="12">
        <f>SUM(B2124:B2147)</f>
        <v>0</v>
      </c>
      <c r="C2148" s="12">
        <f>SUM(C2124:C2147)</f>
        <v>0</v>
      </c>
      <c r="D2148" s="12">
        <f>SUM(D2124:D2147)</f>
        <v>0</v>
      </c>
      <c r="E2148" s="13">
        <f t="shared" si="3008"/>
        <v>0</v>
      </c>
      <c r="F2148" s="12">
        <f>SUM(F2124:F2147)</f>
        <v>0</v>
      </c>
      <c r="G2148" s="12">
        <f>SUM(G2124:G2147)</f>
        <v>0</v>
      </c>
      <c r="H2148" s="12">
        <f>SUM(H2124:H2147)</f>
        <v>0</v>
      </c>
      <c r="I2148" s="13">
        <f t="shared" si="3009"/>
        <v>0</v>
      </c>
      <c r="J2148" s="12">
        <f>SUM(J2124:J2147)</f>
        <v>0</v>
      </c>
      <c r="K2148" s="12">
        <f>SUM(K2124:K2147)</f>
        <v>0</v>
      </c>
      <c r="L2148" s="12">
        <f>SUM(L2124:L2147)</f>
        <v>0</v>
      </c>
      <c r="M2148" s="12">
        <f t="shared" si="3010"/>
        <v>0</v>
      </c>
      <c r="N2148" s="142">
        <f t="shared" si="3011"/>
        <v>0</v>
      </c>
      <c r="P2148" s="3" t="s">
        <v>5</v>
      </c>
      <c r="Q2148" s="12">
        <f>SUM(Q2124:Q2147)</f>
        <v>99</v>
      </c>
      <c r="R2148" s="12">
        <f t="shared" ref="R2148:AC2148" si="3041">SUM(R2124:R2147)</f>
        <v>138</v>
      </c>
      <c r="S2148" s="12">
        <f t="shared" si="3041"/>
        <v>72</v>
      </c>
      <c r="T2148" s="13">
        <f t="shared" si="3041"/>
        <v>309</v>
      </c>
      <c r="U2148" s="12">
        <f t="shared" si="3041"/>
        <v>99</v>
      </c>
      <c r="V2148" s="12">
        <f t="shared" si="3041"/>
        <v>138</v>
      </c>
      <c r="W2148" s="12">
        <f t="shared" si="3041"/>
        <v>72</v>
      </c>
      <c r="X2148" s="13">
        <f t="shared" si="3041"/>
        <v>309</v>
      </c>
      <c r="Y2148" s="12">
        <f t="shared" si="3041"/>
        <v>98</v>
      </c>
      <c r="Z2148" s="12">
        <f t="shared" si="3041"/>
        <v>138</v>
      </c>
      <c r="AA2148" s="12">
        <f t="shared" si="3041"/>
        <v>72</v>
      </c>
      <c r="AB2148" s="13">
        <f t="shared" si="3041"/>
        <v>308</v>
      </c>
      <c r="AC2148" s="155">
        <f t="shared" si="3041"/>
        <v>926</v>
      </c>
    </row>
    <row r="2149" spans="1:30" ht="14.25" thickBot="1" x14ac:dyDescent="0.2">
      <c r="A2149" s="105" t="s">
        <v>6</v>
      </c>
      <c r="B2149" s="20">
        <f>B2123-B2148</f>
        <v>29</v>
      </c>
      <c r="C2149" s="20">
        <f t="shared" ref="C2149:E2149" si="3042">C2123-C2148</f>
        <v>26</v>
      </c>
      <c r="D2149" s="20">
        <f t="shared" si="3042"/>
        <v>20</v>
      </c>
      <c r="E2149" s="18">
        <f t="shared" si="3042"/>
        <v>75</v>
      </c>
      <c r="F2149" s="20">
        <f>F2123-F2148</f>
        <v>26</v>
      </c>
      <c r="G2149" s="20">
        <f t="shared" ref="G2149:I2149" si="3043">G2123-G2148</f>
        <v>28</v>
      </c>
      <c r="H2149" s="20">
        <f t="shared" si="3043"/>
        <v>18</v>
      </c>
      <c r="I2149" s="18">
        <f t="shared" si="3043"/>
        <v>72</v>
      </c>
      <c r="J2149" s="20">
        <f>J2123-J2148</f>
        <v>29</v>
      </c>
      <c r="K2149" s="20">
        <f t="shared" ref="K2149:M2149" si="3044">K2123-K2148</f>
        <v>27</v>
      </c>
      <c r="L2149" s="20">
        <f t="shared" si="3044"/>
        <v>22</v>
      </c>
      <c r="M2149" s="20">
        <f t="shared" si="3044"/>
        <v>78</v>
      </c>
      <c r="N2149" s="140">
        <f t="shared" si="3011"/>
        <v>225</v>
      </c>
      <c r="P2149" s="19" t="s">
        <v>6</v>
      </c>
      <c r="Q2149" s="20">
        <f>Q2123-Q2148</f>
        <v>186</v>
      </c>
      <c r="R2149" s="20">
        <f t="shared" ref="R2149:AC2149" si="3045">R2123-R2148</f>
        <v>320</v>
      </c>
      <c r="S2149" s="20">
        <f t="shared" si="3045"/>
        <v>334</v>
      </c>
      <c r="T2149" s="18">
        <f t="shared" si="3045"/>
        <v>840</v>
      </c>
      <c r="U2149" s="20">
        <f t="shared" si="3045"/>
        <v>289</v>
      </c>
      <c r="V2149" s="20">
        <f t="shared" si="3045"/>
        <v>364</v>
      </c>
      <c r="W2149" s="20">
        <f t="shared" si="3045"/>
        <v>315</v>
      </c>
      <c r="X2149" s="18">
        <f t="shared" si="3045"/>
        <v>968</v>
      </c>
      <c r="Y2149" s="20">
        <f t="shared" si="3045"/>
        <v>269</v>
      </c>
      <c r="Z2149" s="20">
        <f t="shared" si="3045"/>
        <v>213</v>
      </c>
      <c r="AA2149" s="20">
        <f t="shared" si="3045"/>
        <v>241</v>
      </c>
      <c r="AB2149" s="18">
        <f t="shared" si="3045"/>
        <v>723</v>
      </c>
      <c r="AC2149" s="88">
        <f t="shared" si="3045"/>
        <v>2531</v>
      </c>
    </row>
    <row r="2150" spans="1:30" x14ac:dyDescent="0.15">
      <c r="P2150" s="156"/>
      <c r="Q2150" s="64"/>
      <c r="R2150" s="64"/>
      <c r="S2150" s="64"/>
      <c r="T2150" s="64"/>
      <c r="U2150" s="64"/>
      <c r="V2150" s="64"/>
      <c r="W2150" s="64"/>
      <c r="X2150" s="64"/>
      <c r="Y2150" s="64"/>
      <c r="Z2150" s="64"/>
      <c r="AA2150" s="64"/>
      <c r="AB2150" s="64"/>
    </row>
    <row r="2151" spans="1:30" x14ac:dyDescent="0.15">
      <c r="P2151" s="157"/>
      <c r="Q2151" s="65"/>
      <c r="R2151" s="65"/>
      <c r="S2151" s="65"/>
      <c r="T2151" s="65"/>
      <c r="U2151" s="65"/>
      <c r="V2151" s="65"/>
      <c r="W2151" s="65"/>
      <c r="X2151" s="65"/>
      <c r="Y2151" s="65"/>
      <c r="Z2151" s="65"/>
      <c r="AA2151" s="65"/>
      <c r="AB2151" s="65"/>
    </row>
    <row r="2152" spans="1:30" ht="19.5" thickBot="1" x14ac:dyDescent="0.25">
      <c r="A2152" s="108" t="s">
        <v>264</v>
      </c>
      <c r="B2152" s="47"/>
      <c r="C2152" s="47"/>
      <c r="D2152" s="47"/>
      <c r="E2152" s="47"/>
      <c r="F2152" s="48"/>
      <c r="G2152" s="48"/>
      <c r="H2152" s="48"/>
      <c r="I2152" s="48"/>
      <c r="J2152" s="48"/>
      <c r="K2152" s="48"/>
      <c r="L2152" s="1"/>
      <c r="M2152" s="1"/>
      <c r="N2152" s="137"/>
      <c r="P2152" s="43" t="s">
        <v>263</v>
      </c>
      <c r="Q2152" s="44"/>
      <c r="R2152" s="44"/>
      <c r="S2152" s="44"/>
      <c r="T2152" s="44"/>
      <c r="U2152" s="45"/>
      <c r="V2152" s="45"/>
      <c r="W2152" s="45"/>
      <c r="X2152" s="45"/>
      <c r="Y2152" s="46"/>
      <c r="Z2152" s="53"/>
      <c r="AA2152" s="1"/>
      <c r="AB2152" s="1"/>
    </row>
    <row r="2153" spans="1:30" ht="14.25" thickBot="1" x14ac:dyDescent="0.2">
      <c r="A2153" s="100" t="s">
        <v>0</v>
      </c>
      <c r="B2153" s="337" t="s">
        <v>11</v>
      </c>
      <c r="C2153" s="337"/>
      <c r="D2153" s="337"/>
      <c r="E2153" s="338"/>
      <c r="F2153" s="339" t="s">
        <v>9</v>
      </c>
      <c r="G2153" s="340"/>
      <c r="H2153" s="340"/>
      <c r="I2153" s="341"/>
      <c r="J2153" s="342" t="s">
        <v>12</v>
      </c>
      <c r="K2153" s="343"/>
      <c r="L2153" s="343"/>
      <c r="M2153" s="343"/>
      <c r="N2153" s="347" t="s">
        <v>13</v>
      </c>
      <c r="P2153" s="2" t="s">
        <v>0</v>
      </c>
      <c r="Q2153" s="336" t="s">
        <v>11</v>
      </c>
      <c r="R2153" s="337"/>
      <c r="S2153" s="337"/>
      <c r="T2153" s="338"/>
      <c r="U2153" s="339" t="s">
        <v>9</v>
      </c>
      <c r="V2153" s="340"/>
      <c r="W2153" s="340"/>
      <c r="X2153" s="341"/>
      <c r="Y2153" s="342" t="s">
        <v>12</v>
      </c>
      <c r="Z2153" s="343"/>
      <c r="AA2153" s="343"/>
      <c r="AB2153" s="344"/>
      <c r="AC2153" s="345" t="s">
        <v>13</v>
      </c>
    </row>
    <row r="2154" spans="1:30" ht="14.25" thickBot="1" x14ac:dyDescent="0.2">
      <c r="A2154" s="100" t="s">
        <v>1</v>
      </c>
      <c r="B2154" s="3" t="s">
        <v>7</v>
      </c>
      <c r="C2154" s="2" t="s">
        <v>10</v>
      </c>
      <c r="D2154" s="2" t="s">
        <v>8</v>
      </c>
      <c r="E2154" s="2" t="s">
        <v>2</v>
      </c>
      <c r="F2154" s="3" t="s">
        <v>7</v>
      </c>
      <c r="G2154" s="2" t="s">
        <v>10</v>
      </c>
      <c r="H2154" s="2" t="s">
        <v>8</v>
      </c>
      <c r="I2154" s="2" t="s">
        <v>2</v>
      </c>
      <c r="J2154" s="3" t="s">
        <v>7</v>
      </c>
      <c r="K2154" s="2" t="s">
        <v>10</v>
      </c>
      <c r="L2154" s="2" t="s">
        <v>8</v>
      </c>
      <c r="M2154" s="3" t="s">
        <v>2</v>
      </c>
      <c r="N2154" s="348"/>
      <c r="P2154" s="2" t="s">
        <v>1</v>
      </c>
      <c r="Q2154" s="3" t="s">
        <v>7</v>
      </c>
      <c r="R2154" s="2" t="s">
        <v>10</v>
      </c>
      <c r="S2154" s="2" t="s">
        <v>8</v>
      </c>
      <c r="T2154" s="2" t="s">
        <v>2</v>
      </c>
      <c r="U2154" s="3" t="s">
        <v>7</v>
      </c>
      <c r="V2154" s="2" t="s">
        <v>10</v>
      </c>
      <c r="W2154" s="2" t="s">
        <v>8</v>
      </c>
      <c r="X2154" s="2" t="s">
        <v>2</v>
      </c>
      <c r="Y2154" s="3" t="s">
        <v>7</v>
      </c>
      <c r="Z2154" s="2" t="s">
        <v>10</v>
      </c>
      <c r="AA2154" s="2" t="s">
        <v>8</v>
      </c>
      <c r="AB2154" s="2" t="s">
        <v>2</v>
      </c>
      <c r="AC2154" s="346"/>
    </row>
    <row r="2155" spans="1:30" x14ac:dyDescent="0.15">
      <c r="A2155" s="106" t="s">
        <v>6</v>
      </c>
      <c r="B2155" s="41">
        <f>B2149</f>
        <v>29</v>
      </c>
      <c r="C2155" s="41">
        <f t="shared" ref="C2155:E2155" si="3046">C2149</f>
        <v>26</v>
      </c>
      <c r="D2155" s="41">
        <f t="shared" si="3046"/>
        <v>20</v>
      </c>
      <c r="E2155" s="42">
        <f t="shared" si="3046"/>
        <v>75</v>
      </c>
      <c r="F2155" s="41">
        <f>F2149</f>
        <v>26</v>
      </c>
      <c r="G2155" s="41">
        <f t="shared" ref="G2155:I2155" si="3047">G2149</f>
        <v>28</v>
      </c>
      <c r="H2155" s="41">
        <f t="shared" si="3047"/>
        <v>18</v>
      </c>
      <c r="I2155" s="42">
        <f t="shared" si="3047"/>
        <v>72</v>
      </c>
      <c r="J2155" s="41">
        <f>J2149</f>
        <v>29</v>
      </c>
      <c r="K2155" s="41">
        <f t="shared" ref="K2155:M2155" si="3048">K2149</f>
        <v>27</v>
      </c>
      <c r="L2155" s="41">
        <f t="shared" si="3048"/>
        <v>22</v>
      </c>
      <c r="M2155" s="42">
        <f t="shared" si="3048"/>
        <v>78</v>
      </c>
      <c r="N2155" s="143">
        <f>E2155+I2155+M2155</f>
        <v>225</v>
      </c>
      <c r="P2155" s="36" t="s">
        <v>6</v>
      </c>
      <c r="Q2155" s="41">
        <f>Q2149</f>
        <v>186</v>
      </c>
      <c r="R2155" s="41">
        <f t="shared" ref="R2155:AC2155" si="3049">R2149</f>
        <v>320</v>
      </c>
      <c r="S2155" s="41">
        <f t="shared" si="3049"/>
        <v>334</v>
      </c>
      <c r="T2155" s="42">
        <f t="shared" si="3049"/>
        <v>840</v>
      </c>
      <c r="U2155" s="41">
        <f t="shared" si="3049"/>
        <v>289</v>
      </c>
      <c r="V2155" s="41">
        <f t="shared" si="3049"/>
        <v>364</v>
      </c>
      <c r="W2155" s="41">
        <f t="shared" si="3049"/>
        <v>315</v>
      </c>
      <c r="X2155" s="42">
        <f t="shared" si="3049"/>
        <v>968</v>
      </c>
      <c r="Y2155" s="41">
        <f t="shared" si="3049"/>
        <v>269</v>
      </c>
      <c r="Z2155" s="41">
        <f t="shared" si="3049"/>
        <v>213</v>
      </c>
      <c r="AA2155" s="41">
        <f t="shared" si="3049"/>
        <v>241</v>
      </c>
      <c r="AB2155" s="42">
        <f t="shared" si="3049"/>
        <v>723</v>
      </c>
      <c r="AC2155" s="90">
        <f t="shared" si="3049"/>
        <v>2531</v>
      </c>
    </row>
    <row r="2156" spans="1:30" x14ac:dyDescent="0.15">
      <c r="A2156" s="102" t="s">
        <v>3</v>
      </c>
      <c r="B2156" s="25"/>
      <c r="C2156" s="26"/>
      <c r="D2156" s="26"/>
      <c r="E2156" s="5">
        <f t="shared" ref="E2156:E2191" si="3050">SUM(B2156:D2156)</f>
        <v>0</v>
      </c>
      <c r="F2156" s="25"/>
      <c r="G2156" s="26"/>
      <c r="H2156" s="26"/>
      <c r="I2156" s="5">
        <f t="shared" ref="I2156:I2191" si="3051">SUM(F2156:H2156)</f>
        <v>0</v>
      </c>
      <c r="J2156" s="25"/>
      <c r="K2156" s="26"/>
      <c r="L2156" s="26"/>
      <c r="M2156" s="38">
        <f t="shared" ref="M2156:M2191" si="3052">SUM(J2156:L2156)</f>
        <v>0</v>
      </c>
      <c r="N2156" s="138">
        <f t="shared" ref="N2156:N2192" si="3053">E2156+I2156+M2156</f>
        <v>0</v>
      </c>
      <c r="P2156" s="6" t="s">
        <v>3</v>
      </c>
      <c r="Q2156" s="14"/>
      <c r="R2156" s="11"/>
      <c r="S2156" s="11"/>
      <c r="T2156" s="5">
        <f t="shared" ref="T2156:T2165" si="3054">SUM(Q2156:S2156)</f>
        <v>0</v>
      </c>
      <c r="U2156" s="14"/>
      <c r="V2156" s="11"/>
      <c r="W2156" s="11"/>
      <c r="X2156" s="5">
        <f t="shared" ref="X2156:X2165" si="3055">SUM(U2156:W2156)</f>
        <v>0</v>
      </c>
      <c r="Y2156" s="25"/>
      <c r="Z2156" s="26"/>
      <c r="AA2156" s="26"/>
      <c r="AB2156" s="5">
        <f t="shared" ref="AB2156:AB2165" si="3056">SUM(Y2156:AA2156)</f>
        <v>0</v>
      </c>
      <c r="AC2156" s="86">
        <f t="shared" ref="AC2156:AC2165" si="3057">T2156+X2156+AB2156</f>
        <v>0</v>
      </c>
    </row>
    <row r="2157" spans="1:30" x14ac:dyDescent="0.15">
      <c r="A2157" s="102" t="s">
        <v>3</v>
      </c>
      <c r="B2157" s="14"/>
      <c r="C2157" s="11"/>
      <c r="D2157" s="11"/>
      <c r="E2157" s="5">
        <f t="shared" si="3050"/>
        <v>0</v>
      </c>
      <c r="F2157" s="34"/>
      <c r="G2157" s="11"/>
      <c r="H2157" s="11"/>
      <c r="I2157" s="5">
        <f t="shared" si="3051"/>
        <v>0</v>
      </c>
      <c r="J2157" s="34"/>
      <c r="K2157" s="11"/>
      <c r="L2157" s="11"/>
      <c r="M2157" s="38">
        <f t="shared" si="3052"/>
        <v>0</v>
      </c>
      <c r="N2157" s="138">
        <f t="shared" si="3053"/>
        <v>0</v>
      </c>
      <c r="P2157" s="81" t="s">
        <v>3</v>
      </c>
      <c r="Q2157" s="62"/>
      <c r="R2157" s="4"/>
      <c r="S2157" s="4"/>
      <c r="T2157" s="5">
        <f t="shared" si="3054"/>
        <v>0</v>
      </c>
      <c r="U2157" s="62"/>
      <c r="V2157" s="4"/>
      <c r="W2157" s="4"/>
      <c r="X2157" s="5">
        <f t="shared" si="3055"/>
        <v>0</v>
      </c>
      <c r="Y2157" s="280"/>
      <c r="Z2157" s="281"/>
      <c r="AA2157" s="281"/>
      <c r="AB2157" s="5">
        <f t="shared" si="3056"/>
        <v>0</v>
      </c>
      <c r="AC2157" s="91">
        <f t="shared" si="3057"/>
        <v>0</v>
      </c>
    </row>
    <row r="2158" spans="1:30" x14ac:dyDescent="0.15">
      <c r="A2158" s="102" t="s">
        <v>3</v>
      </c>
      <c r="B2158" s="14"/>
      <c r="C2158" s="11"/>
      <c r="D2158" s="11"/>
      <c r="E2158" s="5">
        <f t="shared" si="3050"/>
        <v>0</v>
      </c>
      <c r="F2158" s="34"/>
      <c r="G2158" s="11"/>
      <c r="H2158" s="11"/>
      <c r="I2158" s="5">
        <f t="shared" si="3051"/>
        <v>0</v>
      </c>
      <c r="J2158" s="34"/>
      <c r="K2158" s="11"/>
      <c r="L2158" s="11"/>
      <c r="M2158" s="38">
        <f t="shared" si="3052"/>
        <v>0</v>
      </c>
      <c r="N2158" s="138">
        <f t="shared" si="3053"/>
        <v>0</v>
      </c>
      <c r="P2158" s="81" t="s">
        <v>3</v>
      </c>
      <c r="Q2158" s="62"/>
      <c r="R2158" s="4"/>
      <c r="S2158" s="4"/>
      <c r="T2158" s="5">
        <f t="shared" ref="T2158:T2159" si="3058">SUM(Q2158:S2158)</f>
        <v>0</v>
      </c>
      <c r="U2158" s="62"/>
      <c r="V2158" s="4"/>
      <c r="W2158" s="4"/>
      <c r="X2158" s="5">
        <f t="shared" ref="X2158:X2159" si="3059">SUM(U2158:W2158)</f>
        <v>0</v>
      </c>
      <c r="Y2158" s="280"/>
      <c r="Z2158" s="281"/>
      <c r="AA2158" s="281"/>
      <c r="AB2158" s="5">
        <f t="shared" ref="AB2158:AB2159" si="3060">SUM(Y2158:AA2158)</f>
        <v>0</v>
      </c>
      <c r="AC2158" s="91">
        <f t="shared" ref="AC2158:AC2159" si="3061">T2158+X2158+AB2158</f>
        <v>0</v>
      </c>
    </row>
    <row r="2159" spans="1:30" x14ac:dyDescent="0.15">
      <c r="A2159" s="102" t="s">
        <v>3</v>
      </c>
      <c r="B2159" s="14"/>
      <c r="C2159" s="11"/>
      <c r="D2159" s="11"/>
      <c r="E2159" s="5">
        <f t="shared" si="3050"/>
        <v>0</v>
      </c>
      <c r="F2159" s="34"/>
      <c r="G2159" s="11"/>
      <c r="H2159" s="11"/>
      <c r="I2159" s="5">
        <f t="shared" si="3051"/>
        <v>0</v>
      </c>
      <c r="J2159" s="34"/>
      <c r="K2159" s="11"/>
      <c r="L2159" s="11"/>
      <c r="M2159" s="38">
        <f t="shared" si="3052"/>
        <v>0</v>
      </c>
      <c r="N2159" s="138">
        <f t="shared" si="3053"/>
        <v>0</v>
      </c>
      <c r="P2159" s="81" t="s">
        <v>3</v>
      </c>
      <c r="Q2159" s="62"/>
      <c r="R2159" s="4"/>
      <c r="S2159" s="4"/>
      <c r="T2159" s="5">
        <f t="shared" si="3058"/>
        <v>0</v>
      </c>
      <c r="U2159" s="62"/>
      <c r="V2159" s="4"/>
      <c r="W2159" s="4"/>
      <c r="X2159" s="5">
        <f t="shared" si="3059"/>
        <v>0</v>
      </c>
      <c r="Y2159" s="280"/>
      <c r="Z2159" s="281"/>
      <c r="AA2159" s="281"/>
      <c r="AB2159" s="5">
        <f t="shared" si="3060"/>
        <v>0</v>
      </c>
      <c r="AC2159" s="91">
        <f t="shared" si="3061"/>
        <v>0</v>
      </c>
    </row>
    <row r="2160" spans="1:30" x14ac:dyDescent="0.15">
      <c r="A2160" s="102" t="s">
        <v>3</v>
      </c>
      <c r="B2160" s="14"/>
      <c r="C2160" s="11"/>
      <c r="D2160" s="11"/>
      <c r="E2160" s="5">
        <f t="shared" si="3050"/>
        <v>0</v>
      </c>
      <c r="F2160" s="34"/>
      <c r="G2160" s="11"/>
      <c r="H2160" s="11"/>
      <c r="I2160" s="5">
        <f t="shared" si="3051"/>
        <v>0</v>
      </c>
      <c r="J2160" s="34"/>
      <c r="K2160" s="11"/>
      <c r="L2160" s="11"/>
      <c r="M2160" s="38">
        <f t="shared" si="3052"/>
        <v>0</v>
      </c>
      <c r="N2160" s="138">
        <f t="shared" si="3053"/>
        <v>0</v>
      </c>
      <c r="P2160" s="81" t="s">
        <v>3</v>
      </c>
      <c r="Q2160" s="62"/>
      <c r="R2160" s="4"/>
      <c r="S2160" s="4"/>
      <c r="T2160" s="5">
        <f t="shared" si="3054"/>
        <v>0</v>
      </c>
      <c r="U2160" s="62"/>
      <c r="V2160" s="4"/>
      <c r="W2160" s="4"/>
      <c r="X2160" s="5">
        <f t="shared" si="3055"/>
        <v>0</v>
      </c>
      <c r="Y2160" s="280"/>
      <c r="Z2160" s="281"/>
      <c r="AA2160" s="281"/>
      <c r="AB2160" s="5">
        <f t="shared" si="3056"/>
        <v>0</v>
      </c>
      <c r="AC2160" s="91">
        <f t="shared" si="3057"/>
        <v>0</v>
      </c>
    </row>
    <row r="2161" spans="1:29" x14ac:dyDescent="0.15">
      <c r="A2161" s="102" t="s">
        <v>3</v>
      </c>
      <c r="B2161" s="25"/>
      <c r="C2161" s="26"/>
      <c r="D2161" s="26"/>
      <c r="E2161" s="8">
        <f t="shared" si="3050"/>
        <v>0</v>
      </c>
      <c r="F2161" s="25"/>
      <c r="G2161" s="26"/>
      <c r="H2161" s="26"/>
      <c r="I2161" s="8">
        <f t="shared" si="3051"/>
        <v>0</v>
      </c>
      <c r="J2161" s="25"/>
      <c r="K2161" s="26"/>
      <c r="L2161" s="26"/>
      <c r="M2161" s="39">
        <f t="shared" si="3052"/>
        <v>0</v>
      </c>
      <c r="N2161" s="138">
        <f t="shared" si="3053"/>
        <v>0</v>
      </c>
      <c r="P2161" s="81" t="s">
        <v>3</v>
      </c>
      <c r="Q2161" s="62"/>
      <c r="R2161" s="4"/>
      <c r="S2161" s="4"/>
      <c r="T2161" s="5">
        <f t="shared" si="3054"/>
        <v>0</v>
      </c>
      <c r="U2161" s="62"/>
      <c r="V2161" s="4"/>
      <c r="W2161" s="4"/>
      <c r="X2161" s="5">
        <f t="shared" si="3055"/>
        <v>0</v>
      </c>
      <c r="Y2161" s="280"/>
      <c r="Z2161" s="281"/>
      <c r="AA2161" s="281"/>
      <c r="AB2161" s="5">
        <f t="shared" si="3056"/>
        <v>0</v>
      </c>
      <c r="AC2161" s="91">
        <f t="shared" si="3057"/>
        <v>0</v>
      </c>
    </row>
    <row r="2162" spans="1:29" x14ac:dyDescent="0.15">
      <c r="A2162" s="102" t="s">
        <v>3</v>
      </c>
      <c r="B2162" s="27"/>
      <c r="C2162" s="26"/>
      <c r="D2162" s="26"/>
      <c r="E2162" s="5">
        <f t="shared" si="3050"/>
        <v>0</v>
      </c>
      <c r="F2162" s="25"/>
      <c r="G2162" s="26"/>
      <c r="H2162" s="26"/>
      <c r="I2162" s="5">
        <f t="shared" si="3051"/>
        <v>0</v>
      </c>
      <c r="J2162" s="25"/>
      <c r="K2162" s="26"/>
      <c r="L2162" s="26"/>
      <c r="M2162" s="38">
        <f t="shared" si="3052"/>
        <v>0</v>
      </c>
      <c r="N2162" s="138">
        <f t="shared" si="3053"/>
        <v>0</v>
      </c>
      <c r="P2162" s="81" t="s">
        <v>3</v>
      </c>
      <c r="Q2162" s="62"/>
      <c r="R2162" s="4"/>
      <c r="S2162" s="4"/>
      <c r="T2162" s="5">
        <f t="shared" si="3054"/>
        <v>0</v>
      </c>
      <c r="U2162" s="62"/>
      <c r="V2162" s="4"/>
      <c r="W2162" s="4"/>
      <c r="X2162" s="5">
        <f t="shared" si="3055"/>
        <v>0</v>
      </c>
      <c r="Y2162" s="280"/>
      <c r="Z2162" s="281"/>
      <c r="AA2162" s="281"/>
      <c r="AB2162" s="5">
        <f t="shared" si="3056"/>
        <v>0</v>
      </c>
      <c r="AC2162" s="91">
        <f t="shared" si="3057"/>
        <v>0</v>
      </c>
    </row>
    <row r="2163" spans="1:29" x14ac:dyDescent="0.15">
      <c r="A2163" s="102" t="s">
        <v>3</v>
      </c>
      <c r="B2163" s="27"/>
      <c r="C2163" s="26"/>
      <c r="D2163" s="26"/>
      <c r="E2163" s="5">
        <f t="shared" si="3050"/>
        <v>0</v>
      </c>
      <c r="F2163" s="25"/>
      <c r="G2163" s="26"/>
      <c r="H2163" s="26"/>
      <c r="I2163" s="5">
        <f t="shared" si="3051"/>
        <v>0</v>
      </c>
      <c r="J2163" s="25"/>
      <c r="K2163" s="26"/>
      <c r="L2163" s="26"/>
      <c r="M2163" s="38">
        <f t="shared" si="3052"/>
        <v>0</v>
      </c>
      <c r="N2163" s="138">
        <f t="shared" si="3053"/>
        <v>0</v>
      </c>
      <c r="P2163" s="6" t="s">
        <v>3</v>
      </c>
      <c r="Q2163" s="14"/>
      <c r="R2163" s="11"/>
      <c r="S2163" s="11"/>
      <c r="T2163" s="5">
        <f t="shared" si="3054"/>
        <v>0</v>
      </c>
      <c r="U2163" s="14"/>
      <c r="V2163" s="11"/>
      <c r="W2163" s="11"/>
      <c r="X2163" s="5">
        <f t="shared" si="3055"/>
        <v>0</v>
      </c>
      <c r="Y2163" s="25"/>
      <c r="Z2163" s="26"/>
      <c r="AA2163" s="26"/>
      <c r="AB2163" s="8">
        <f t="shared" si="3056"/>
        <v>0</v>
      </c>
      <c r="AC2163" s="86">
        <f t="shared" si="3057"/>
        <v>0</v>
      </c>
    </row>
    <row r="2164" spans="1:29" x14ac:dyDescent="0.15">
      <c r="A2164" s="102" t="s">
        <v>3</v>
      </c>
      <c r="B2164" s="27"/>
      <c r="C2164" s="26"/>
      <c r="D2164" s="26"/>
      <c r="E2164" s="5">
        <f t="shared" si="3050"/>
        <v>0</v>
      </c>
      <c r="F2164" s="25"/>
      <c r="G2164" s="26"/>
      <c r="H2164" s="26"/>
      <c r="I2164" s="5">
        <f t="shared" si="3051"/>
        <v>0</v>
      </c>
      <c r="J2164" s="25"/>
      <c r="K2164" s="26"/>
      <c r="L2164" s="26"/>
      <c r="M2164" s="38">
        <f t="shared" si="3052"/>
        <v>0</v>
      </c>
      <c r="N2164" s="138">
        <f t="shared" si="3053"/>
        <v>0</v>
      </c>
      <c r="P2164" s="6" t="s">
        <v>3</v>
      </c>
      <c r="Q2164" s="14"/>
      <c r="R2164" s="11"/>
      <c r="S2164" s="11"/>
      <c r="T2164" s="5">
        <f t="shared" si="3054"/>
        <v>0</v>
      </c>
      <c r="U2164" s="14"/>
      <c r="V2164" s="11"/>
      <c r="W2164" s="11"/>
      <c r="X2164" s="5">
        <f t="shared" si="3055"/>
        <v>0</v>
      </c>
      <c r="Y2164" s="25"/>
      <c r="Z2164" s="26"/>
      <c r="AA2164" s="26"/>
      <c r="AB2164" s="8">
        <f t="shared" si="3056"/>
        <v>0</v>
      </c>
      <c r="AC2164" s="86">
        <f t="shared" si="3057"/>
        <v>0</v>
      </c>
    </row>
    <row r="2165" spans="1:29" ht="14.25" thickBot="1" x14ac:dyDescent="0.2">
      <c r="A2165" s="102" t="s">
        <v>3</v>
      </c>
      <c r="B2165" s="28"/>
      <c r="C2165" s="29"/>
      <c r="D2165" s="32"/>
      <c r="E2165" s="15">
        <f t="shared" si="3050"/>
        <v>0</v>
      </c>
      <c r="F2165" s="35"/>
      <c r="G2165" s="29"/>
      <c r="H2165" s="32"/>
      <c r="I2165" s="15">
        <f t="shared" si="3051"/>
        <v>0</v>
      </c>
      <c r="J2165" s="35"/>
      <c r="K2165" s="29"/>
      <c r="L2165" s="32"/>
      <c r="M2165" s="40">
        <f t="shared" si="3052"/>
        <v>0</v>
      </c>
      <c r="N2165" s="139">
        <f t="shared" si="3053"/>
        <v>0</v>
      </c>
      <c r="P2165" s="6" t="s">
        <v>3</v>
      </c>
      <c r="Q2165" s="14"/>
      <c r="R2165" s="11"/>
      <c r="S2165" s="11"/>
      <c r="T2165" s="5">
        <f t="shared" si="3054"/>
        <v>0</v>
      </c>
      <c r="U2165" s="14"/>
      <c r="V2165" s="11"/>
      <c r="W2165" s="11"/>
      <c r="X2165" s="5">
        <f t="shared" si="3055"/>
        <v>0</v>
      </c>
      <c r="Y2165" s="25"/>
      <c r="Z2165" s="26"/>
      <c r="AA2165" s="26"/>
      <c r="AB2165" s="8">
        <f t="shared" si="3056"/>
        <v>0</v>
      </c>
      <c r="AC2165" s="86">
        <f t="shared" si="3057"/>
        <v>0</v>
      </c>
    </row>
    <row r="2166" spans="1:29" ht="14.25" thickBot="1" x14ac:dyDescent="0.2">
      <c r="A2166" s="103" t="s">
        <v>4</v>
      </c>
      <c r="B2166" s="17">
        <f>SUM(B2155:B2165)</f>
        <v>29</v>
      </c>
      <c r="C2166" s="17">
        <f>SUM(C2155:C2165)</f>
        <v>26</v>
      </c>
      <c r="D2166" s="17">
        <f>SUM(D2155:D2165)</f>
        <v>20</v>
      </c>
      <c r="E2166" s="18">
        <f t="shared" si="3050"/>
        <v>75</v>
      </c>
      <c r="F2166" s="17">
        <f>SUM(F2155:F2165)</f>
        <v>26</v>
      </c>
      <c r="G2166" s="17">
        <f>SUM(G2155:G2165)</f>
        <v>28</v>
      </c>
      <c r="H2166" s="17">
        <f>SUM(H2155:H2165)</f>
        <v>18</v>
      </c>
      <c r="I2166" s="18">
        <f t="shared" si="3051"/>
        <v>72</v>
      </c>
      <c r="J2166" s="17">
        <f>SUM(J2155:J2165)</f>
        <v>29</v>
      </c>
      <c r="K2166" s="17">
        <f>SUM(K2155:K2165)</f>
        <v>27</v>
      </c>
      <c r="L2166" s="17">
        <f>SUM(L2155:L2165)</f>
        <v>22</v>
      </c>
      <c r="M2166" s="20">
        <f t="shared" si="3052"/>
        <v>78</v>
      </c>
      <c r="N2166" s="140">
        <f t="shared" si="3053"/>
        <v>225</v>
      </c>
      <c r="P2166" s="16" t="s">
        <v>4</v>
      </c>
      <c r="Q2166" s="17">
        <f>SUM(Q2155:Q2165)</f>
        <v>186</v>
      </c>
      <c r="R2166" s="17">
        <f t="shared" ref="R2166:AC2166" si="3062">SUM(R2155:R2165)</f>
        <v>320</v>
      </c>
      <c r="S2166" s="17">
        <f t="shared" si="3062"/>
        <v>334</v>
      </c>
      <c r="T2166" s="18">
        <f t="shared" si="3062"/>
        <v>840</v>
      </c>
      <c r="U2166" s="17">
        <f t="shared" si="3062"/>
        <v>289</v>
      </c>
      <c r="V2166" s="17">
        <f t="shared" si="3062"/>
        <v>364</v>
      </c>
      <c r="W2166" s="17">
        <f t="shared" si="3062"/>
        <v>315</v>
      </c>
      <c r="X2166" s="18">
        <f t="shared" si="3062"/>
        <v>968</v>
      </c>
      <c r="Y2166" s="17">
        <f t="shared" si="3062"/>
        <v>269</v>
      </c>
      <c r="Z2166" s="17">
        <f t="shared" si="3062"/>
        <v>213</v>
      </c>
      <c r="AA2166" s="17">
        <f t="shared" si="3062"/>
        <v>241</v>
      </c>
      <c r="AB2166" s="18">
        <f t="shared" si="3062"/>
        <v>723</v>
      </c>
      <c r="AC2166" s="88">
        <f t="shared" si="3062"/>
        <v>2531</v>
      </c>
    </row>
    <row r="2167" spans="1:29" x14ac:dyDescent="0.15">
      <c r="A2167" s="33"/>
      <c r="B2167" s="9"/>
      <c r="C2167" s="10"/>
      <c r="D2167" s="31"/>
      <c r="E2167" s="5">
        <f t="shared" si="3050"/>
        <v>0</v>
      </c>
      <c r="F2167" s="9"/>
      <c r="G2167" s="10"/>
      <c r="H2167" s="31"/>
      <c r="I2167" s="5">
        <f t="shared" si="3051"/>
        <v>0</v>
      </c>
      <c r="J2167" s="9"/>
      <c r="K2167" s="10"/>
      <c r="L2167" s="31"/>
      <c r="M2167" s="38">
        <f t="shared" si="3052"/>
        <v>0</v>
      </c>
      <c r="N2167" s="141">
        <f t="shared" si="3053"/>
        <v>0</v>
      </c>
      <c r="P2167" s="4"/>
      <c r="Q2167" s="9"/>
      <c r="R2167" s="10"/>
      <c r="S2167" s="31"/>
      <c r="T2167" s="5">
        <f t="shared" ref="T2167:T2190" si="3063">SUM(Q2167:S2167)</f>
        <v>0</v>
      </c>
      <c r="U2167" s="9"/>
      <c r="V2167" s="10"/>
      <c r="W2167" s="31"/>
      <c r="X2167" s="5">
        <f t="shared" ref="X2167:X2190" si="3064">SUM(U2167:W2167)</f>
        <v>0</v>
      </c>
      <c r="Y2167" s="9"/>
      <c r="Z2167" s="10"/>
      <c r="AA2167" s="31"/>
      <c r="AB2167" s="5">
        <f t="shared" ref="AB2167:AB2190" si="3065">SUM(Y2167:AA2167)</f>
        <v>0</v>
      </c>
      <c r="AC2167" s="148">
        <f t="shared" ref="AC2167:AC2190" si="3066">T2167+X2167+AB2167</f>
        <v>0</v>
      </c>
    </row>
    <row r="2168" spans="1:29" x14ac:dyDescent="0.15">
      <c r="A2168" s="33"/>
      <c r="B2168" s="9"/>
      <c r="C2168" s="10"/>
      <c r="D2168" s="10"/>
      <c r="E2168" s="5">
        <f t="shared" si="3050"/>
        <v>0</v>
      </c>
      <c r="F2168" s="9"/>
      <c r="G2168" s="10"/>
      <c r="H2168" s="10"/>
      <c r="I2168" s="5">
        <f t="shared" si="3051"/>
        <v>0</v>
      </c>
      <c r="J2168" s="9"/>
      <c r="K2168" s="10"/>
      <c r="L2168" s="10"/>
      <c r="M2168" s="38">
        <f t="shared" si="3052"/>
        <v>0</v>
      </c>
      <c r="N2168" s="138">
        <f t="shared" si="3053"/>
        <v>0</v>
      </c>
      <c r="P2168" s="4"/>
      <c r="Q2168" s="9"/>
      <c r="R2168" s="10"/>
      <c r="S2168" s="10"/>
      <c r="T2168" s="5">
        <f t="shared" si="3063"/>
        <v>0</v>
      </c>
      <c r="U2168" s="9"/>
      <c r="V2168" s="10"/>
      <c r="W2168" s="10"/>
      <c r="X2168" s="5">
        <f t="shared" si="3064"/>
        <v>0</v>
      </c>
      <c r="Y2168" s="9"/>
      <c r="Z2168" s="10"/>
      <c r="AA2168" s="10"/>
      <c r="AB2168" s="5">
        <f t="shared" si="3065"/>
        <v>0</v>
      </c>
      <c r="AC2168" s="93">
        <f t="shared" si="3066"/>
        <v>0</v>
      </c>
    </row>
    <row r="2169" spans="1:29" x14ac:dyDescent="0.15">
      <c r="A2169" s="33"/>
      <c r="B2169" s="9"/>
      <c r="C2169" s="10"/>
      <c r="D2169" s="10"/>
      <c r="E2169" s="5">
        <f t="shared" si="3050"/>
        <v>0</v>
      </c>
      <c r="F2169" s="9"/>
      <c r="G2169" s="10"/>
      <c r="H2169" s="10"/>
      <c r="I2169" s="5">
        <f t="shared" si="3051"/>
        <v>0</v>
      </c>
      <c r="J2169" s="9"/>
      <c r="K2169" s="10"/>
      <c r="L2169" s="10"/>
      <c r="M2169" s="38">
        <f t="shared" si="3052"/>
        <v>0</v>
      </c>
      <c r="N2169" s="138">
        <f t="shared" si="3053"/>
        <v>0</v>
      </c>
      <c r="P2169" s="11"/>
      <c r="Q2169" s="9"/>
      <c r="R2169" s="10"/>
      <c r="S2169" s="10"/>
      <c r="T2169" s="5">
        <f t="shared" si="3063"/>
        <v>0</v>
      </c>
      <c r="U2169" s="9"/>
      <c r="V2169" s="10"/>
      <c r="W2169" s="10"/>
      <c r="X2169" s="5">
        <f t="shared" si="3064"/>
        <v>0</v>
      </c>
      <c r="Y2169" s="9"/>
      <c r="Z2169" s="10"/>
      <c r="AA2169" s="10"/>
      <c r="AB2169" s="5">
        <f t="shared" si="3065"/>
        <v>0</v>
      </c>
      <c r="AC2169" s="93">
        <f t="shared" si="3066"/>
        <v>0</v>
      </c>
    </row>
    <row r="2170" spans="1:29" x14ac:dyDescent="0.15">
      <c r="A2170" s="33"/>
      <c r="B2170" s="9"/>
      <c r="C2170" s="10"/>
      <c r="D2170" s="10"/>
      <c r="E2170" s="5">
        <f t="shared" si="3050"/>
        <v>0</v>
      </c>
      <c r="F2170" s="9"/>
      <c r="G2170" s="10"/>
      <c r="H2170" s="10"/>
      <c r="I2170" s="5">
        <f t="shared" si="3051"/>
        <v>0</v>
      </c>
      <c r="J2170" s="9"/>
      <c r="K2170" s="10"/>
      <c r="L2170" s="10"/>
      <c r="M2170" s="38">
        <f t="shared" si="3052"/>
        <v>0</v>
      </c>
      <c r="N2170" s="138">
        <f t="shared" si="3053"/>
        <v>0</v>
      </c>
      <c r="P2170" s="11"/>
      <c r="Q2170" s="9"/>
      <c r="R2170" s="10"/>
      <c r="S2170" s="10"/>
      <c r="T2170" s="5">
        <f t="shared" si="3063"/>
        <v>0</v>
      </c>
      <c r="U2170" s="9"/>
      <c r="V2170" s="10"/>
      <c r="W2170" s="10"/>
      <c r="X2170" s="5">
        <f t="shared" si="3064"/>
        <v>0</v>
      </c>
      <c r="Y2170" s="9"/>
      <c r="Z2170" s="10"/>
      <c r="AA2170" s="10"/>
      <c r="AB2170" s="5">
        <f t="shared" si="3065"/>
        <v>0</v>
      </c>
      <c r="AC2170" s="93">
        <f t="shared" si="3066"/>
        <v>0</v>
      </c>
    </row>
    <row r="2171" spans="1:29" x14ac:dyDescent="0.15">
      <c r="A2171" s="33"/>
      <c r="B2171" s="9"/>
      <c r="C2171" s="10"/>
      <c r="D2171" s="10"/>
      <c r="E2171" s="5">
        <f t="shared" si="3050"/>
        <v>0</v>
      </c>
      <c r="F2171" s="9"/>
      <c r="G2171" s="10"/>
      <c r="H2171" s="10"/>
      <c r="I2171" s="5">
        <f t="shared" si="3051"/>
        <v>0</v>
      </c>
      <c r="J2171" s="9"/>
      <c r="K2171" s="10"/>
      <c r="L2171" s="10"/>
      <c r="M2171" s="38">
        <f t="shared" si="3052"/>
        <v>0</v>
      </c>
      <c r="N2171" s="138">
        <f t="shared" si="3053"/>
        <v>0</v>
      </c>
      <c r="P2171" s="11"/>
      <c r="Q2171" s="9"/>
      <c r="R2171" s="10"/>
      <c r="S2171" s="10"/>
      <c r="T2171" s="5">
        <f t="shared" si="3063"/>
        <v>0</v>
      </c>
      <c r="U2171" s="9"/>
      <c r="V2171" s="10"/>
      <c r="W2171" s="10"/>
      <c r="X2171" s="5">
        <f t="shared" si="3064"/>
        <v>0</v>
      </c>
      <c r="Y2171" s="9"/>
      <c r="Z2171" s="10"/>
      <c r="AA2171" s="10"/>
      <c r="AB2171" s="5">
        <f t="shared" si="3065"/>
        <v>0</v>
      </c>
      <c r="AC2171" s="93">
        <f t="shared" si="3066"/>
        <v>0</v>
      </c>
    </row>
    <row r="2172" spans="1:29" x14ac:dyDescent="0.15">
      <c r="A2172" s="33"/>
      <c r="B2172" s="9"/>
      <c r="C2172" s="10"/>
      <c r="D2172" s="10"/>
      <c r="E2172" s="8">
        <f t="shared" si="3050"/>
        <v>0</v>
      </c>
      <c r="F2172" s="9"/>
      <c r="G2172" s="10"/>
      <c r="H2172" s="10"/>
      <c r="I2172" s="8">
        <f t="shared" si="3051"/>
        <v>0</v>
      </c>
      <c r="J2172" s="9"/>
      <c r="K2172" s="10"/>
      <c r="L2172" s="10"/>
      <c r="M2172" s="39">
        <f t="shared" si="3052"/>
        <v>0</v>
      </c>
      <c r="N2172" s="138">
        <f t="shared" si="3053"/>
        <v>0</v>
      </c>
      <c r="P2172" s="4"/>
      <c r="Q2172" s="9"/>
      <c r="R2172" s="10"/>
      <c r="S2172" s="10"/>
      <c r="T2172" s="8">
        <f t="shared" si="3063"/>
        <v>0</v>
      </c>
      <c r="U2172" s="9"/>
      <c r="V2172" s="10"/>
      <c r="W2172" s="10"/>
      <c r="X2172" s="8">
        <f t="shared" si="3064"/>
        <v>0</v>
      </c>
      <c r="Y2172" s="9"/>
      <c r="Z2172" s="10"/>
      <c r="AA2172" s="10"/>
      <c r="AB2172" s="8">
        <f t="shared" si="3065"/>
        <v>0</v>
      </c>
      <c r="AC2172" s="93">
        <f t="shared" si="3066"/>
        <v>0</v>
      </c>
    </row>
    <row r="2173" spans="1:29" x14ac:dyDescent="0.15">
      <c r="A2173" s="33"/>
      <c r="B2173" s="9"/>
      <c r="C2173" s="10"/>
      <c r="D2173" s="10"/>
      <c r="E2173" s="8">
        <f t="shared" si="3050"/>
        <v>0</v>
      </c>
      <c r="F2173" s="9"/>
      <c r="G2173" s="10"/>
      <c r="H2173" s="10"/>
      <c r="I2173" s="8">
        <f t="shared" si="3051"/>
        <v>0</v>
      </c>
      <c r="J2173" s="9"/>
      <c r="K2173" s="10"/>
      <c r="L2173" s="10"/>
      <c r="M2173" s="39">
        <f t="shared" si="3052"/>
        <v>0</v>
      </c>
      <c r="N2173" s="138">
        <f t="shared" si="3053"/>
        <v>0</v>
      </c>
      <c r="P2173" s="11"/>
      <c r="Q2173" s="9"/>
      <c r="R2173" s="10"/>
      <c r="S2173" s="10"/>
      <c r="T2173" s="8">
        <f t="shared" si="3063"/>
        <v>0</v>
      </c>
      <c r="U2173" s="9"/>
      <c r="V2173" s="10"/>
      <c r="W2173" s="10"/>
      <c r="X2173" s="8">
        <f t="shared" si="3064"/>
        <v>0</v>
      </c>
      <c r="Y2173" s="9"/>
      <c r="Z2173" s="10"/>
      <c r="AA2173" s="10"/>
      <c r="AB2173" s="8">
        <f t="shared" si="3065"/>
        <v>0</v>
      </c>
      <c r="AC2173" s="93">
        <f t="shared" si="3066"/>
        <v>0</v>
      </c>
    </row>
    <row r="2174" spans="1:29" x14ac:dyDescent="0.15">
      <c r="A2174" s="33"/>
      <c r="B2174" s="9"/>
      <c r="C2174" s="10"/>
      <c r="D2174" s="10"/>
      <c r="E2174" s="8">
        <f t="shared" si="3050"/>
        <v>0</v>
      </c>
      <c r="F2174" s="9"/>
      <c r="G2174" s="10"/>
      <c r="H2174" s="10"/>
      <c r="I2174" s="8">
        <f t="shared" si="3051"/>
        <v>0</v>
      </c>
      <c r="J2174" s="9"/>
      <c r="K2174" s="10"/>
      <c r="L2174" s="10"/>
      <c r="M2174" s="39">
        <f t="shared" si="3052"/>
        <v>0</v>
      </c>
      <c r="N2174" s="138">
        <f t="shared" si="3053"/>
        <v>0</v>
      </c>
      <c r="P2174" s="4"/>
      <c r="Q2174" s="9"/>
      <c r="R2174" s="10"/>
      <c r="S2174" s="10"/>
      <c r="T2174" s="8">
        <f t="shared" si="3063"/>
        <v>0</v>
      </c>
      <c r="U2174" s="9"/>
      <c r="V2174" s="10"/>
      <c r="W2174" s="10"/>
      <c r="X2174" s="8">
        <f t="shared" si="3064"/>
        <v>0</v>
      </c>
      <c r="Y2174" s="9"/>
      <c r="Z2174" s="10"/>
      <c r="AA2174" s="10"/>
      <c r="AB2174" s="8">
        <f t="shared" si="3065"/>
        <v>0</v>
      </c>
      <c r="AC2174" s="93">
        <f t="shared" si="3066"/>
        <v>0</v>
      </c>
    </row>
    <row r="2175" spans="1:29" x14ac:dyDescent="0.15">
      <c r="A2175" s="33"/>
      <c r="B2175" s="9"/>
      <c r="C2175" s="10"/>
      <c r="D2175" s="10"/>
      <c r="E2175" s="8">
        <f t="shared" si="3050"/>
        <v>0</v>
      </c>
      <c r="F2175" s="9"/>
      <c r="G2175" s="10"/>
      <c r="H2175" s="10"/>
      <c r="I2175" s="8">
        <f t="shared" si="3051"/>
        <v>0</v>
      </c>
      <c r="J2175" s="9"/>
      <c r="K2175" s="10"/>
      <c r="L2175" s="10"/>
      <c r="M2175" s="39">
        <f t="shared" si="3052"/>
        <v>0</v>
      </c>
      <c r="N2175" s="138">
        <f t="shared" si="3053"/>
        <v>0</v>
      </c>
      <c r="P2175" s="4"/>
      <c r="Q2175" s="9"/>
      <c r="R2175" s="10"/>
      <c r="S2175" s="10"/>
      <c r="T2175" s="8">
        <f t="shared" si="3063"/>
        <v>0</v>
      </c>
      <c r="U2175" s="9"/>
      <c r="V2175" s="10"/>
      <c r="W2175" s="10"/>
      <c r="X2175" s="8">
        <f t="shared" si="3064"/>
        <v>0</v>
      </c>
      <c r="Y2175" s="9"/>
      <c r="Z2175" s="10"/>
      <c r="AA2175" s="10"/>
      <c r="AB2175" s="8">
        <f t="shared" si="3065"/>
        <v>0</v>
      </c>
      <c r="AC2175" s="93">
        <f t="shared" si="3066"/>
        <v>0</v>
      </c>
    </row>
    <row r="2176" spans="1:29" x14ac:dyDescent="0.15">
      <c r="A2176" s="33"/>
      <c r="B2176" s="9"/>
      <c r="C2176" s="10"/>
      <c r="D2176" s="10"/>
      <c r="E2176" s="8">
        <f t="shared" si="3050"/>
        <v>0</v>
      </c>
      <c r="F2176" s="9"/>
      <c r="G2176" s="10"/>
      <c r="H2176" s="10"/>
      <c r="I2176" s="8">
        <f t="shared" si="3051"/>
        <v>0</v>
      </c>
      <c r="J2176" s="9"/>
      <c r="K2176" s="10"/>
      <c r="L2176" s="10"/>
      <c r="M2176" s="39">
        <f t="shared" si="3052"/>
        <v>0</v>
      </c>
      <c r="N2176" s="138">
        <f t="shared" si="3053"/>
        <v>0</v>
      </c>
      <c r="P2176" s="4"/>
      <c r="Q2176" s="9"/>
      <c r="R2176" s="10"/>
      <c r="S2176" s="10"/>
      <c r="T2176" s="8">
        <f t="shared" si="3063"/>
        <v>0</v>
      </c>
      <c r="U2176" s="9"/>
      <c r="V2176" s="10"/>
      <c r="W2176" s="10"/>
      <c r="X2176" s="8">
        <f t="shared" si="3064"/>
        <v>0</v>
      </c>
      <c r="Y2176" s="9"/>
      <c r="Z2176" s="10"/>
      <c r="AA2176" s="10"/>
      <c r="AB2176" s="8">
        <f t="shared" si="3065"/>
        <v>0</v>
      </c>
      <c r="AC2176" s="93">
        <f t="shared" si="3066"/>
        <v>0</v>
      </c>
    </row>
    <row r="2177" spans="1:30" x14ac:dyDescent="0.15">
      <c r="A2177" s="33"/>
      <c r="B2177" s="9"/>
      <c r="C2177" s="10"/>
      <c r="D2177" s="10"/>
      <c r="E2177" s="8">
        <f t="shared" si="3050"/>
        <v>0</v>
      </c>
      <c r="F2177" s="9"/>
      <c r="G2177" s="10"/>
      <c r="H2177" s="10"/>
      <c r="I2177" s="8">
        <f t="shared" si="3051"/>
        <v>0</v>
      </c>
      <c r="J2177" s="9"/>
      <c r="K2177" s="10"/>
      <c r="L2177" s="10"/>
      <c r="M2177" s="39">
        <f t="shared" si="3052"/>
        <v>0</v>
      </c>
      <c r="N2177" s="138">
        <f t="shared" si="3053"/>
        <v>0</v>
      </c>
      <c r="P2177" s="4"/>
      <c r="Q2177" s="9"/>
      <c r="R2177" s="10"/>
      <c r="S2177" s="10"/>
      <c r="T2177" s="8">
        <f t="shared" si="3063"/>
        <v>0</v>
      </c>
      <c r="U2177" s="9"/>
      <c r="V2177" s="10"/>
      <c r="W2177" s="10"/>
      <c r="X2177" s="8">
        <f t="shared" si="3064"/>
        <v>0</v>
      </c>
      <c r="Y2177" s="9"/>
      <c r="Z2177" s="10"/>
      <c r="AA2177" s="10"/>
      <c r="AB2177" s="8">
        <f t="shared" si="3065"/>
        <v>0</v>
      </c>
      <c r="AC2177" s="93">
        <f t="shared" si="3066"/>
        <v>0</v>
      </c>
    </row>
    <row r="2178" spans="1:30" x14ac:dyDescent="0.15">
      <c r="A2178" s="33"/>
      <c r="B2178" s="9"/>
      <c r="C2178" s="10"/>
      <c r="D2178" s="10"/>
      <c r="E2178" s="8">
        <f t="shared" si="3050"/>
        <v>0</v>
      </c>
      <c r="F2178" s="9"/>
      <c r="G2178" s="10"/>
      <c r="H2178" s="10"/>
      <c r="I2178" s="8">
        <f t="shared" si="3051"/>
        <v>0</v>
      </c>
      <c r="J2178" s="9"/>
      <c r="K2178" s="10"/>
      <c r="L2178" s="10"/>
      <c r="M2178" s="39">
        <f t="shared" si="3052"/>
        <v>0</v>
      </c>
      <c r="N2178" s="138">
        <f t="shared" si="3053"/>
        <v>0</v>
      </c>
      <c r="P2178" s="4"/>
      <c r="Q2178" s="9"/>
      <c r="R2178" s="10"/>
      <c r="S2178" s="10"/>
      <c r="T2178" s="8">
        <f t="shared" si="3063"/>
        <v>0</v>
      </c>
      <c r="U2178" s="9"/>
      <c r="V2178" s="10"/>
      <c r="W2178" s="10"/>
      <c r="X2178" s="8">
        <f t="shared" si="3064"/>
        <v>0</v>
      </c>
      <c r="Y2178" s="9"/>
      <c r="Z2178" s="10"/>
      <c r="AA2178" s="10"/>
      <c r="AB2178" s="8">
        <f t="shared" si="3065"/>
        <v>0</v>
      </c>
      <c r="AC2178" s="93">
        <f t="shared" si="3066"/>
        <v>0</v>
      </c>
    </row>
    <row r="2179" spans="1:30" x14ac:dyDescent="0.15">
      <c r="A2179" s="33"/>
      <c r="B2179" s="9"/>
      <c r="C2179" s="10"/>
      <c r="D2179" s="10"/>
      <c r="E2179" s="8">
        <f t="shared" si="3050"/>
        <v>0</v>
      </c>
      <c r="F2179" s="9"/>
      <c r="G2179" s="10"/>
      <c r="H2179" s="10"/>
      <c r="I2179" s="8">
        <f t="shared" si="3051"/>
        <v>0</v>
      </c>
      <c r="J2179" s="9"/>
      <c r="K2179" s="10"/>
      <c r="L2179" s="10"/>
      <c r="M2179" s="39">
        <f t="shared" si="3052"/>
        <v>0</v>
      </c>
      <c r="N2179" s="138">
        <f t="shared" si="3053"/>
        <v>0</v>
      </c>
      <c r="P2179" s="4"/>
      <c r="Q2179" s="9"/>
      <c r="R2179" s="10"/>
      <c r="S2179" s="10"/>
      <c r="T2179" s="8">
        <f t="shared" si="3063"/>
        <v>0</v>
      </c>
      <c r="U2179" s="9"/>
      <c r="V2179" s="10"/>
      <c r="W2179" s="10"/>
      <c r="X2179" s="8">
        <f t="shared" si="3064"/>
        <v>0</v>
      </c>
      <c r="Y2179" s="9"/>
      <c r="Z2179" s="10"/>
      <c r="AA2179" s="10"/>
      <c r="AB2179" s="8">
        <f t="shared" si="3065"/>
        <v>0</v>
      </c>
      <c r="AC2179" s="93">
        <f t="shared" si="3066"/>
        <v>0</v>
      </c>
    </row>
    <row r="2180" spans="1:30" x14ac:dyDescent="0.15">
      <c r="A2180" s="33"/>
      <c r="B2180" s="9"/>
      <c r="C2180" s="10"/>
      <c r="D2180" s="10"/>
      <c r="E2180" s="8">
        <f t="shared" si="3050"/>
        <v>0</v>
      </c>
      <c r="F2180" s="9"/>
      <c r="G2180" s="10"/>
      <c r="H2180" s="10"/>
      <c r="I2180" s="8">
        <f t="shared" si="3051"/>
        <v>0</v>
      </c>
      <c r="J2180" s="9"/>
      <c r="K2180" s="10"/>
      <c r="L2180" s="10"/>
      <c r="M2180" s="39">
        <f t="shared" si="3052"/>
        <v>0</v>
      </c>
      <c r="N2180" s="138">
        <f t="shared" si="3053"/>
        <v>0</v>
      </c>
      <c r="P2180" s="4"/>
      <c r="Q2180" s="9"/>
      <c r="R2180" s="10"/>
      <c r="S2180" s="10"/>
      <c r="T2180" s="8">
        <f t="shared" si="3063"/>
        <v>0</v>
      </c>
      <c r="U2180" s="9"/>
      <c r="V2180" s="10"/>
      <c r="W2180" s="10"/>
      <c r="X2180" s="8">
        <f t="shared" si="3064"/>
        <v>0</v>
      </c>
      <c r="Y2180" s="9"/>
      <c r="Z2180" s="10"/>
      <c r="AA2180" s="10"/>
      <c r="AB2180" s="8">
        <f t="shared" si="3065"/>
        <v>0</v>
      </c>
      <c r="AC2180" s="93">
        <f t="shared" si="3066"/>
        <v>0</v>
      </c>
    </row>
    <row r="2181" spans="1:30" x14ac:dyDescent="0.15">
      <c r="A2181" s="33"/>
      <c r="B2181" s="9"/>
      <c r="C2181" s="10"/>
      <c r="D2181" s="10"/>
      <c r="E2181" s="8">
        <f t="shared" si="3050"/>
        <v>0</v>
      </c>
      <c r="F2181" s="9"/>
      <c r="G2181" s="10"/>
      <c r="H2181" s="10"/>
      <c r="I2181" s="8">
        <f t="shared" si="3051"/>
        <v>0</v>
      </c>
      <c r="J2181" s="9"/>
      <c r="K2181" s="10"/>
      <c r="L2181" s="10"/>
      <c r="M2181" s="39">
        <f t="shared" si="3052"/>
        <v>0</v>
      </c>
      <c r="N2181" s="138">
        <f t="shared" si="3053"/>
        <v>0</v>
      </c>
      <c r="P2181" s="4"/>
      <c r="Q2181" s="9"/>
      <c r="R2181" s="10"/>
      <c r="S2181" s="10"/>
      <c r="T2181" s="8">
        <f t="shared" si="3063"/>
        <v>0</v>
      </c>
      <c r="U2181" s="9"/>
      <c r="V2181" s="10"/>
      <c r="W2181" s="10"/>
      <c r="X2181" s="8">
        <f t="shared" si="3064"/>
        <v>0</v>
      </c>
      <c r="Y2181" s="9"/>
      <c r="Z2181" s="10"/>
      <c r="AA2181" s="10"/>
      <c r="AB2181" s="8">
        <f t="shared" si="3065"/>
        <v>0</v>
      </c>
      <c r="AC2181" s="93">
        <f t="shared" si="3066"/>
        <v>0</v>
      </c>
    </row>
    <row r="2182" spans="1:30" x14ac:dyDescent="0.15">
      <c r="A2182" s="63"/>
      <c r="B2182" s="9"/>
      <c r="C2182" s="10"/>
      <c r="D2182" s="10"/>
      <c r="E2182" s="8">
        <f t="shared" si="3050"/>
        <v>0</v>
      </c>
      <c r="F2182" s="9"/>
      <c r="G2182" s="10"/>
      <c r="H2182" s="10"/>
      <c r="I2182" s="8">
        <f t="shared" si="3051"/>
        <v>0</v>
      </c>
      <c r="J2182" s="9"/>
      <c r="K2182" s="10"/>
      <c r="L2182" s="10"/>
      <c r="M2182" s="39">
        <f t="shared" si="3052"/>
        <v>0</v>
      </c>
      <c r="N2182" s="138">
        <f t="shared" si="3053"/>
        <v>0</v>
      </c>
      <c r="P2182" s="4"/>
      <c r="Q2182" s="9"/>
      <c r="R2182" s="10"/>
      <c r="S2182" s="10"/>
      <c r="T2182" s="8">
        <f t="shared" si="3063"/>
        <v>0</v>
      </c>
      <c r="U2182" s="9"/>
      <c r="V2182" s="10"/>
      <c r="W2182" s="10"/>
      <c r="X2182" s="8">
        <f t="shared" si="3064"/>
        <v>0</v>
      </c>
      <c r="Y2182" s="9"/>
      <c r="Z2182" s="10"/>
      <c r="AA2182" s="10"/>
      <c r="AB2182" s="8">
        <f t="shared" si="3065"/>
        <v>0</v>
      </c>
      <c r="AC2182" s="93">
        <f t="shared" si="3066"/>
        <v>0</v>
      </c>
    </row>
    <row r="2183" spans="1:30" x14ac:dyDescent="0.15">
      <c r="A2183" s="33"/>
      <c r="B2183" s="9"/>
      <c r="C2183" s="10"/>
      <c r="D2183" s="10"/>
      <c r="E2183" s="8">
        <f t="shared" si="3050"/>
        <v>0</v>
      </c>
      <c r="F2183" s="9"/>
      <c r="G2183" s="10"/>
      <c r="H2183" s="10"/>
      <c r="I2183" s="8">
        <f t="shared" si="3051"/>
        <v>0</v>
      </c>
      <c r="J2183" s="9"/>
      <c r="K2183" s="10"/>
      <c r="L2183" s="10"/>
      <c r="M2183" s="39">
        <f t="shared" si="3052"/>
        <v>0</v>
      </c>
      <c r="N2183" s="138">
        <f t="shared" si="3053"/>
        <v>0</v>
      </c>
      <c r="P2183" s="126" t="s">
        <v>1801</v>
      </c>
      <c r="Q2183" s="68">
        <v>-30</v>
      </c>
      <c r="R2183" s="69">
        <v>-40</v>
      </c>
      <c r="S2183" s="69">
        <v>-20</v>
      </c>
      <c r="T2183" s="67">
        <f t="shared" si="3063"/>
        <v>-90</v>
      </c>
      <c r="U2183" s="68">
        <v>-5</v>
      </c>
      <c r="V2183" s="69">
        <v>-5</v>
      </c>
      <c r="W2183" s="69">
        <v>-5</v>
      </c>
      <c r="X2183" s="67">
        <f t="shared" si="3064"/>
        <v>-15</v>
      </c>
      <c r="Y2183" s="68">
        <v>-20</v>
      </c>
      <c r="Z2183" s="69">
        <v>0</v>
      </c>
      <c r="AA2183" s="69">
        <v>-10</v>
      </c>
      <c r="AB2183" s="67">
        <f t="shared" si="3065"/>
        <v>-30</v>
      </c>
      <c r="AC2183" s="135">
        <f t="shared" si="3066"/>
        <v>-135</v>
      </c>
      <c r="AD2183" s="123"/>
    </row>
    <row r="2184" spans="1:30" x14ac:dyDescent="0.15">
      <c r="A2184" s="33"/>
      <c r="B2184" s="9"/>
      <c r="C2184" s="10"/>
      <c r="D2184" s="10"/>
      <c r="E2184" s="8">
        <f t="shared" si="3050"/>
        <v>0</v>
      </c>
      <c r="F2184" s="9"/>
      <c r="G2184" s="10"/>
      <c r="H2184" s="10"/>
      <c r="I2184" s="8">
        <f t="shared" si="3051"/>
        <v>0</v>
      </c>
      <c r="J2184" s="9"/>
      <c r="K2184" s="10"/>
      <c r="L2184" s="10"/>
      <c r="M2184" s="39">
        <f t="shared" si="3052"/>
        <v>0</v>
      </c>
      <c r="N2184" s="138">
        <f t="shared" si="3053"/>
        <v>0</v>
      </c>
      <c r="P2184" s="37" t="s">
        <v>1802</v>
      </c>
      <c r="Q2184" s="51">
        <v>115</v>
      </c>
      <c r="R2184" s="52">
        <v>130</v>
      </c>
      <c r="S2184" s="52">
        <v>70</v>
      </c>
      <c r="T2184" s="50">
        <f t="shared" si="3063"/>
        <v>315</v>
      </c>
      <c r="U2184" s="51">
        <v>60</v>
      </c>
      <c r="V2184" s="52">
        <v>75</v>
      </c>
      <c r="W2184" s="52">
        <v>45</v>
      </c>
      <c r="X2184" s="50">
        <f t="shared" si="3064"/>
        <v>180</v>
      </c>
      <c r="Y2184" s="51">
        <v>80</v>
      </c>
      <c r="Z2184" s="52">
        <v>100</v>
      </c>
      <c r="AA2184" s="52">
        <v>80</v>
      </c>
      <c r="AB2184" s="50">
        <f t="shared" si="3065"/>
        <v>260</v>
      </c>
      <c r="AC2184" s="149">
        <f t="shared" si="3066"/>
        <v>755</v>
      </c>
      <c r="AD2184" s="123" t="s">
        <v>1900</v>
      </c>
    </row>
    <row r="2185" spans="1:30" x14ac:dyDescent="0.15">
      <c r="A2185" s="33"/>
      <c r="B2185" s="9"/>
      <c r="C2185" s="10"/>
      <c r="D2185" s="10"/>
      <c r="E2185" s="8">
        <f t="shared" si="3050"/>
        <v>0</v>
      </c>
      <c r="F2185" s="9"/>
      <c r="G2185" s="10"/>
      <c r="H2185" s="10"/>
      <c r="I2185" s="8">
        <f t="shared" si="3051"/>
        <v>0</v>
      </c>
      <c r="J2185" s="9"/>
      <c r="K2185" s="10"/>
      <c r="L2185" s="10"/>
      <c r="M2185" s="39">
        <f t="shared" si="3052"/>
        <v>0</v>
      </c>
      <c r="N2185" s="138">
        <f t="shared" si="3053"/>
        <v>0</v>
      </c>
      <c r="P2185" s="126" t="s">
        <v>1835</v>
      </c>
      <c r="Q2185" s="68">
        <v>-5</v>
      </c>
      <c r="R2185" s="69">
        <v>-5</v>
      </c>
      <c r="S2185" s="69">
        <v>-5</v>
      </c>
      <c r="T2185" s="67">
        <f t="shared" si="3063"/>
        <v>-15</v>
      </c>
      <c r="U2185" s="68">
        <v>-5</v>
      </c>
      <c r="V2185" s="69">
        <v>-5</v>
      </c>
      <c r="W2185" s="69">
        <v>-5</v>
      </c>
      <c r="X2185" s="67">
        <f t="shared" si="3064"/>
        <v>-15</v>
      </c>
      <c r="Y2185" s="68">
        <v>-5</v>
      </c>
      <c r="Z2185" s="69">
        <v>-5</v>
      </c>
      <c r="AA2185" s="69">
        <v>-5</v>
      </c>
      <c r="AB2185" s="67">
        <f t="shared" si="3065"/>
        <v>-15</v>
      </c>
      <c r="AC2185" s="135">
        <f t="shared" si="3066"/>
        <v>-45</v>
      </c>
      <c r="AD2185" s="128"/>
    </row>
    <row r="2186" spans="1:30" x14ac:dyDescent="0.15">
      <c r="A2186" s="33"/>
      <c r="B2186" s="9"/>
      <c r="C2186" s="10"/>
      <c r="D2186" s="10"/>
      <c r="E2186" s="8">
        <f t="shared" si="3050"/>
        <v>0</v>
      </c>
      <c r="F2186" s="9"/>
      <c r="G2186" s="10"/>
      <c r="H2186" s="10"/>
      <c r="I2186" s="8">
        <f t="shared" si="3051"/>
        <v>0</v>
      </c>
      <c r="J2186" s="9"/>
      <c r="K2186" s="10"/>
      <c r="L2186" s="10"/>
      <c r="M2186" s="39">
        <f t="shared" si="3052"/>
        <v>0</v>
      </c>
      <c r="N2186" s="138">
        <f t="shared" si="3053"/>
        <v>0</v>
      </c>
      <c r="P2186" s="37" t="s">
        <v>1841</v>
      </c>
      <c r="Q2186" s="51">
        <v>15</v>
      </c>
      <c r="R2186" s="52">
        <v>25</v>
      </c>
      <c r="S2186" s="52">
        <v>25</v>
      </c>
      <c r="T2186" s="50">
        <f t="shared" si="3063"/>
        <v>65</v>
      </c>
      <c r="U2186" s="51">
        <v>15</v>
      </c>
      <c r="V2186" s="52">
        <v>25</v>
      </c>
      <c r="W2186" s="52">
        <v>25</v>
      </c>
      <c r="X2186" s="50">
        <f t="shared" si="3064"/>
        <v>65</v>
      </c>
      <c r="Y2186" s="51">
        <v>15</v>
      </c>
      <c r="Z2186" s="52">
        <v>25</v>
      </c>
      <c r="AA2186" s="52">
        <v>25</v>
      </c>
      <c r="AB2186" s="50">
        <f t="shared" si="3065"/>
        <v>65</v>
      </c>
      <c r="AC2186" s="149">
        <f t="shared" si="3066"/>
        <v>195</v>
      </c>
      <c r="AD2186" s="123" t="s">
        <v>1834</v>
      </c>
    </row>
    <row r="2187" spans="1:30" x14ac:dyDescent="0.15">
      <c r="A2187" s="33"/>
      <c r="B2187" s="9"/>
      <c r="C2187" s="10"/>
      <c r="D2187" s="10"/>
      <c r="E2187" s="8">
        <f t="shared" si="3050"/>
        <v>0</v>
      </c>
      <c r="F2187" s="9"/>
      <c r="G2187" s="10"/>
      <c r="H2187" s="10"/>
      <c r="I2187" s="8">
        <f t="shared" si="3051"/>
        <v>0</v>
      </c>
      <c r="J2187" s="9"/>
      <c r="K2187" s="10"/>
      <c r="L2187" s="10"/>
      <c r="M2187" s="39">
        <f t="shared" si="3052"/>
        <v>0</v>
      </c>
      <c r="N2187" s="138">
        <f t="shared" si="3053"/>
        <v>0</v>
      </c>
      <c r="P2187" s="126" t="s">
        <v>1816</v>
      </c>
      <c r="Q2187" s="68">
        <v>-70</v>
      </c>
      <c r="R2187" s="69">
        <v>-150</v>
      </c>
      <c r="S2187" s="69">
        <v>-110</v>
      </c>
      <c r="T2187" s="67">
        <f t="shared" si="3063"/>
        <v>-330</v>
      </c>
      <c r="U2187" s="68">
        <v>-70</v>
      </c>
      <c r="V2187" s="69">
        <v>-150</v>
      </c>
      <c r="W2187" s="69">
        <v>-110</v>
      </c>
      <c r="X2187" s="67">
        <f t="shared" si="3064"/>
        <v>-330</v>
      </c>
      <c r="Y2187" s="68">
        <v>-70</v>
      </c>
      <c r="Z2187" s="69">
        <v>-150</v>
      </c>
      <c r="AA2187" s="69">
        <v>-110</v>
      </c>
      <c r="AB2187" s="67">
        <f t="shared" si="3065"/>
        <v>-330</v>
      </c>
      <c r="AC2187" s="135">
        <f t="shared" si="3066"/>
        <v>-990</v>
      </c>
      <c r="AD2187" s="123"/>
    </row>
    <row r="2188" spans="1:30" x14ac:dyDescent="0.15">
      <c r="A2188" s="33"/>
      <c r="B2188" s="9"/>
      <c r="C2188" s="10"/>
      <c r="D2188" s="10"/>
      <c r="E2188" s="8">
        <f t="shared" si="3050"/>
        <v>0</v>
      </c>
      <c r="F2188" s="9"/>
      <c r="G2188" s="10"/>
      <c r="H2188" s="10"/>
      <c r="I2188" s="8">
        <f t="shared" si="3051"/>
        <v>0</v>
      </c>
      <c r="J2188" s="9"/>
      <c r="K2188" s="10"/>
      <c r="L2188" s="10"/>
      <c r="M2188" s="39">
        <f t="shared" si="3052"/>
        <v>0</v>
      </c>
      <c r="N2188" s="138">
        <f t="shared" si="3053"/>
        <v>0</v>
      </c>
      <c r="P2188" s="37" t="s">
        <v>1817</v>
      </c>
      <c r="Q2188" s="51">
        <v>130</v>
      </c>
      <c r="R2188" s="52">
        <v>250</v>
      </c>
      <c r="S2188" s="52">
        <v>180</v>
      </c>
      <c r="T2188" s="50">
        <f t="shared" si="3063"/>
        <v>560</v>
      </c>
      <c r="U2188" s="51">
        <v>130</v>
      </c>
      <c r="V2188" s="52">
        <v>250</v>
      </c>
      <c r="W2188" s="52">
        <v>180</v>
      </c>
      <c r="X2188" s="50">
        <f t="shared" si="3064"/>
        <v>560</v>
      </c>
      <c r="Y2188" s="51">
        <v>130</v>
      </c>
      <c r="Z2188" s="52">
        <v>250</v>
      </c>
      <c r="AA2188" s="52">
        <v>180</v>
      </c>
      <c r="AB2188" s="50">
        <f t="shared" si="3065"/>
        <v>560</v>
      </c>
      <c r="AC2188" s="149">
        <f t="shared" si="3066"/>
        <v>1680</v>
      </c>
      <c r="AD2188" s="123" t="s">
        <v>1818</v>
      </c>
    </row>
    <row r="2189" spans="1:30" x14ac:dyDescent="0.15">
      <c r="A2189" s="33"/>
      <c r="B2189" s="9"/>
      <c r="C2189" s="10"/>
      <c r="D2189" s="10"/>
      <c r="E2189" s="8">
        <f t="shared" si="3050"/>
        <v>0</v>
      </c>
      <c r="F2189" s="9"/>
      <c r="G2189" s="10"/>
      <c r="H2189" s="10"/>
      <c r="I2189" s="8">
        <f t="shared" si="3051"/>
        <v>0</v>
      </c>
      <c r="J2189" s="9"/>
      <c r="K2189" s="10"/>
      <c r="L2189" s="10"/>
      <c r="M2189" s="39">
        <f t="shared" si="3052"/>
        <v>0</v>
      </c>
      <c r="N2189" s="138">
        <f t="shared" si="3053"/>
        <v>0</v>
      </c>
      <c r="P2189" s="126" t="s">
        <v>1794</v>
      </c>
      <c r="Q2189" s="68">
        <v>-25</v>
      </c>
      <c r="R2189" s="69">
        <v>-5</v>
      </c>
      <c r="S2189" s="69">
        <v>-5</v>
      </c>
      <c r="T2189" s="67">
        <f t="shared" si="3063"/>
        <v>-35</v>
      </c>
      <c r="U2189" s="68">
        <v>-25</v>
      </c>
      <c r="V2189" s="69">
        <v>-5</v>
      </c>
      <c r="W2189" s="69">
        <v>-5</v>
      </c>
      <c r="X2189" s="67">
        <f t="shared" si="3064"/>
        <v>-35</v>
      </c>
      <c r="Y2189" s="68">
        <v>-25</v>
      </c>
      <c r="Z2189" s="69">
        <v>-5</v>
      </c>
      <c r="AA2189" s="69">
        <v>-5</v>
      </c>
      <c r="AB2189" s="67">
        <f t="shared" si="3065"/>
        <v>-35</v>
      </c>
      <c r="AC2189" s="135">
        <f t="shared" si="3066"/>
        <v>-105</v>
      </c>
      <c r="AD2189" s="123"/>
    </row>
    <row r="2190" spans="1:30" ht="14.25" thickBot="1" x14ac:dyDescent="0.2">
      <c r="A2190" s="63"/>
      <c r="B2190" s="9"/>
      <c r="C2190" s="10"/>
      <c r="D2190" s="22"/>
      <c r="E2190" s="8">
        <f t="shared" si="3050"/>
        <v>0</v>
      </c>
      <c r="F2190" s="9"/>
      <c r="G2190" s="10"/>
      <c r="H2190" s="22"/>
      <c r="I2190" s="8">
        <f t="shared" si="3051"/>
        <v>0</v>
      </c>
      <c r="J2190" s="9"/>
      <c r="K2190" s="10"/>
      <c r="L2190" s="22"/>
      <c r="M2190" s="39">
        <f t="shared" si="3052"/>
        <v>0</v>
      </c>
      <c r="N2190" s="139">
        <f t="shared" si="3053"/>
        <v>0</v>
      </c>
      <c r="P2190" s="37" t="s">
        <v>1795</v>
      </c>
      <c r="Q2190" s="51">
        <v>65</v>
      </c>
      <c r="R2190" s="52">
        <v>50</v>
      </c>
      <c r="S2190" s="52">
        <v>45</v>
      </c>
      <c r="T2190" s="50">
        <f t="shared" si="3063"/>
        <v>160</v>
      </c>
      <c r="U2190" s="51">
        <v>65</v>
      </c>
      <c r="V2190" s="52">
        <v>50</v>
      </c>
      <c r="W2190" s="52">
        <v>45</v>
      </c>
      <c r="X2190" s="50">
        <f t="shared" si="3064"/>
        <v>160</v>
      </c>
      <c r="Y2190" s="51">
        <v>65</v>
      </c>
      <c r="Z2190" s="52">
        <v>50</v>
      </c>
      <c r="AA2190" s="52">
        <v>45</v>
      </c>
      <c r="AB2190" s="50">
        <f t="shared" si="3065"/>
        <v>160</v>
      </c>
      <c r="AC2190" s="149">
        <f t="shared" si="3066"/>
        <v>480</v>
      </c>
      <c r="AD2190" s="123" t="s">
        <v>1811</v>
      </c>
    </row>
    <row r="2191" spans="1:30" ht="14.25" thickBot="1" x14ac:dyDescent="0.2">
      <c r="A2191" s="104" t="s">
        <v>5</v>
      </c>
      <c r="B2191" s="12">
        <f>SUM(B2167:B2190)</f>
        <v>0</v>
      </c>
      <c r="C2191" s="12">
        <f>SUM(C2167:C2190)</f>
        <v>0</v>
      </c>
      <c r="D2191" s="12">
        <f>SUM(D2167:D2190)</f>
        <v>0</v>
      </c>
      <c r="E2191" s="13">
        <f t="shared" si="3050"/>
        <v>0</v>
      </c>
      <c r="F2191" s="12">
        <f>SUM(F2167:F2190)</f>
        <v>0</v>
      </c>
      <c r="G2191" s="12">
        <f>SUM(G2167:G2190)</f>
        <v>0</v>
      </c>
      <c r="H2191" s="12">
        <f>SUM(H2167:H2190)</f>
        <v>0</v>
      </c>
      <c r="I2191" s="13">
        <f t="shared" si="3051"/>
        <v>0</v>
      </c>
      <c r="J2191" s="12">
        <f>SUM(J2167:J2190)</f>
        <v>0</v>
      </c>
      <c r="K2191" s="12">
        <f>SUM(K2167:K2190)</f>
        <v>0</v>
      </c>
      <c r="L2191" s="12">
        <f>SUM(L2167:L2190)</f>
        <v>0</v>
      </c>
      <c r="M2191" s="12">
        <f t="shared" si="3052"/>
        <v>0</v>
      </c>
      <c r="N2191" s="142">
        <f t="shared" si="3053"/>
        <v>0</v>
      </c>
      <c r="P2191" s="3" t="s">
        <v>5</v>
      </c>
      <c r="Q2191" s="12">
        <f>SUM(Q2167:Q2190)</f>
        <v>195</v>
      </c>
      <c r="R2191" s="12">
        <f t="shared" ref="R2191:AC2191" si="3067">SUM(R2167:R2190)</f>
        <v>255</v>
      </c>
      <c r="S2191" s="12">
        <f t="shared" si="3067"/>
        <v>180</v>
      </c>
      <c r="T2191" s="13">
        <f t="shared" si="3067"/>
        <v>630</v>
      </c>
      <c r="U2191" s="12">
        <f t="shared" si="3067"/>
        <v>165</v>
      </c>
      <c r="V2191" s="12">
        <f t="shared" si="3067"/>
        <v>235</v>
      </c>
      <c r="W2191" s="12">
        <f t="shared" si="3067"/>
        <v>170</v>
      </c>
      <c r="X2191" s="13">
        <f t="shared" si="3067"/>
        <v>570</v>
      </c>
      <c r="Y2191" s="12">
        <f t="shared" si="3067"/>
        <v>170</v>
      </c>
      <c r="Z2191" s="12">
        <f t="shared" si="3067"/>
        <v>265</v>
      </c>
      <c r="AA2191" s="12">
        <f t="shared" si="3067"/>
        <v>200</v>
      </c>
      <c r="AB2191" s="13">
        <f t="shared" si="3067"/>
        <v>635</v>
      </c>
      <c r="AC2191" s="155">
        <f t="shared" si="3067"/>
        <v>1835</v>
      </c>
    </row>
    <row r="2192" spans="1:30" ht="14.25" thickBot="1" x14ac:dyDescent="0.2">
      <c r="A2192" s="105" t="s">
        <v>6</v>
      </c>
      <c r="B2192" s="20">
        <f>B2166-B2191</f>
        <v>29</v>
      </c>
      <c r="C2192" s="20">
        <f t="shared" ref="C2192:E2192" si="3068">C2166-C2191</f>
        <v>26</v>
      </c>
      <c r="D2192" s="20">
        <f t="shared" si="3068"/>
        <v>20</v>
      </c>
      <c r="E2192" s="18">
        <f t="shared" si="3068"/>
        <v>75</v>
      </c>
      <c r="F2192" s="20">
        <f>F2166-F2191</f>
        <v>26</v>
      </c>
      <c r="G2192" s="20">
        <f t="shared" ref="G2192:I2192" si="3069">G2166-G2191</f>
        <v>28</v>
      </c>
      <c r="H2192" s="20">
        <f t="shared" si="3069"/>
        <v>18</v>
      </c>
      <c r="I2192" s="18">
        <f t="shared" si="3069"/>
        <v>72</v>
      </c>
      <c r="J2192" s="20">
        <f>J2166-J2191</f>
        <v>29</v>
      </c>
      <c r="K2192" s="20">
        <f t="shared" ref="K2192:M2192" si="3070">K2166-K2191</f>
        <v>27</v>
      </c>
      <c r="L2192" s="20">
        <f t="shared" si="3070"/>
        <v>22</v>
      </c>
      <c r="M2192" s="20">
        <f t="shared" si="3070"/>
        <v>78</v>
      </c>
      <c r="N2192" s="140">
        <f t="shared" si="3053"/>
        <v>225</v>
      </c>
      <c r="P2192" s="19" t="s">
        <v>6</v>
      </c>
      <c r="Q2192" s="20">
        <f>Q2166-Q2191</f>
        <v>-9</v>
      </c>
      <c r="R2192" s="20">
        <f t="shared" ref="R2192:AC2192" si="3071">R2166-R2191</f>
        <v>65</v>
      </c>
      <c r="S2192" s="20">
        <f t="shared" si="3071"/>
        <v>154</v>
      </c>
      <c r="T2192" s="18">
        <f t="shared" si="3071"/>
        <v>210</v>
      </c>
      <c r="U2192" s="20">
        <f t="shared" si="3071"/>
        <v>124</v>
      </c>
      <c r="V2192" s="20">
        <f t="shared" si="3071"/>
        <v>129</v>
      </c>
      <c r="W2192" s="20">
        <f t="shared" si="3071"/>
        <v>145</v>
      </c>
      <c r="X2192" s="18">
        <f t="shared" si="3071"/>
        <v>398</v>
      </c>
      <c r="Y2192" s="20">
        <f t="shared" si="3071"/>
        <v>99</v>
      </c>
      <c r="Z2192" s="20">
        <f t="shared" si="3071"/>
        <v>-52</v>
      </c>
      <c r="AA2192" s="20">
        <f t="shared" si="3071"/>
        <v>41</v>
      </c>
      <c r="AB2192" s="18">
        <f t="shared" si="3071"/>
        <v>88</v>
      </c>
      <c r="AC2192" s="88">
        <f t="shared" si="3071"/>
        <v>696</v>
      </c>
    </row>
    <row r="2195" spans="1:30" ht="19.5" thickBot="1" x14ac:dyDescent="0.25">
      <c r="A2195" s="108" t="s">
        <v>264</v>
      </c>
      <c r="B2195" s="47"/>
      <c r="C2195" s="47"/>
      <c r="D2195" s="47"/>
      <c r="E2195" s="47"/>
      <c r="F2195" s="48"/>
      <c r="G2195" s="48"/>
      <c r="H2195" s="48"/>
      <c r="I2195" s="48"/>
      <c r="J2195" s="48"/>
      <c r="K2195" s="48"/>
      <c r="L2195" s="1"/>
      <c r="M2195" s="1"/>
      <c r="N2195" s="137"/>
      <c r="P2195" s="43" t="s">
        <v>263</v>
      </c>
      <c r="Q2195" s="44"/>
      <c r="R2195" s="44"/>
      <c r="S2195" s="44"/>
      <c r="T2195" s="44"/>
      <c r="U2195" s="45"/>
      <c r="V2195" s="45"/>
      <c r="W2195" s="45"/>
      <c r="X2195" s="45"/>
      <c r="Y2195" s="46"/>
      <c r="Z2195" s="53"/>
      <c r="AA2195" s="1"/>
      <c r="AB2195" s="1"/>
    </row>
    <row r="2196" spans="1:30" ht="14.25" thickBot="1" x14ac:dyDescent="0.2">
      <c r="A2196" s="100" t="s">
        <v>0</v>
      </c>
      <c r="B2196" s="337" t="s">
        <v>11</v>
      </c>
      <c r="C2196" s="337"/>
      <c r="D2196" s="337"/>
      <c r="E2196" s="338"/>
      <c r="F2196" s="339" t="s">
        <v>9</v>
      </c>
      <c r="G2196" s="340"/>
      <c r="H2196" s="340"/>
      <c r="I2196" s="341"/>
      <c r="J2196" s="342" t="s">
        <v>12</v>
      </c>
      <c r="K2196" s="343"/>
      <c r="L2196" s="343"/>
      <c r="M2196" s="343"/>
      <c r="N2196" s="347" t="s">
        <v>13</v>
      </c>
      <c r="P2196" s="2" t="s">
        <v>0</v>
      </c>
      <c r="Q2196" s="336" t="s">
        <v>11</v>
      </c>
      <c r="R2196" s="337"/>
      <c r="S2196" s="337"/>
      <c r="T2196" s="338"/>
      <c r="U2196" s="339" t="s">
        <v>9</v>
      </c>
      <c r="V2196" s="340"/>
      <c r="W2196" s="340"/>
      <c r="X2196" s="341"/>
      <c r="Y2196" s="342" t="s">
        <v>12</v>
      </c>
      <c r="Z2196" s="343"/>
      <c r="AA2196" s="343"/>
      <c r="AB2196" s="344"/>
      <c r="AC2196" s="345" t="s">
        <v>13</v>
      </c>
    </row>
    <row r="2197" spans="1:30" ht="14.25" thickBot="1" x14ac:dyDescent="0.2">
      <c r="A2197" s="100" t="s">
        <v>1</v>
      </c>
      <c r="B2197" s="3" t="s">
        <v>7</v>
      </c>
      <c r="C2197" s="2" t="s">
        <v>10</v>
      </c>
      <c r="D2197" s="2" t="s">
        <v>8</v>
      </c>
      <c r="E2197" s="2" t="s">
        <v>2</v>
      </c>
      <c r="F2197" s="3" t="s">
        <v>7</v>
      </c>
      <c r="G2197" s="2" t="s">
        <v>10</v>
      </c>
      <c r="H2197" s="2" t="s">
        <v>8</v>
      </c>
      <c r="I2197" s="2" t="s">
        <v>2</v>
      </c>
      <c r="J2197" s="3" t="s">
        <v>7</v>
      </c>
      <c r="K2197" s="2" t="s">
        <v>10</v>
      </c>
      <c r="L2197" s="2" t="s">
        <v>8</v>
      </c>
      <c r="M2197" s="3" t="s">
        <v>2</v>
      </c>
      <c r="N2197" s="348"/>
      <c r="P2197" s="2" t="s">
        <v>1</v>
      </c>
      <c r="Q2197" s="3" t="s">
        <v>7</v>
      </c>
      <c r="R2197" s="2" t="s">
        <v>10</v>
      </c>
      <c r="S2197" s="2" t="s">
        <v>8</v>
      </c>
      <c r="T2197" s="2" t="s">
        <v>2</v>
      </c>
      <c r="U2197" s="3" t="s">
        <v>7</v>
      </c>
      <c r="V2197" s="2" t="s">
        <v>10</v>
      </c>
      <c r="W2197" s="2" t="s">
        <v>8</v>
      </c>
      <c r="X2197" s="2" t="s">
        <v>2</v>
      </c>
      <c r="Y2197" s="3" t="s">
        <v>7</v>
      </c>
      <c r="Z2197" s="2" t="s">
        <v>10</v>
      </c>
      <c r="AA2197" s="2" t="s">
        <v>8</v>
      </c>
      <c r="AB2197" s="2" t="s">
        <v>2</v>
      </c>
      <c r="AC2197" s="346"/>
    </row>
    <row r="2198" spans="1:30" x14ac:dyDescent="0.15">
      <c r="A2198" s="106" t="s">
        <v>6</v>
      </c>
      <c r="B2198" s="41">
        <f>B2192</f>
        <v>29</v>
      </c>
      <c r="C2198" s="41">
        <f t="shared" ref="C2198:E2198" si="3072">C2192</f>
        <v>26</v>
      </c>
      <c r="D2198" s="41">
        <f t="shared" si="3072"/>
        <v>20</v>
      </c>
      <c r="E2198" s="42">
        <f t="shared" si="3072"/>
        <v>75</v>
      </c>
      <c r="F2198" s="41">
        <f>F2192</f>
        <v>26</v>
      </c>
      <c r="G2198" s="41">
        <f t="shared" ref="G2198:I2198" si="3073">G2192</f>
        <v>28</v>
      </c>
      <c r="H2198" s="41">
        <f t="shared" si="3073"/>
        <v>18</v>
      </c>
      <c r="I2198" s="42">
        <f t="shared" si="3073"/>
        <v>72</v>
      </c>
      <c r="J2198" s="41">
        <f>J2192</f>
        <v>29</v>
      </c>
      <c r="K2198" s="41">
        <f t="shared" ref="K2198:M2198" si="3074">K2192</f>
        <v>27</v>
      </c>
      <c r="L2198" s="41">
        <f t="shared" si="3074"/>
        <v>22</v>
      </c>
      <c r="M2198" s="42">
        <f t="shared" si="3074"/>
        <v>78</v>
      </c>
      <c r="N2198" s="143">
        <f>E2198+I2198+M2198</f>
        <v>225</v>
      </c>
      <c r="P2198" s="36" t="s">
        <v>6</v>
      </c>
      <c r="Q2198" s="41">
        <f>Q2192</f>
        <v>-9</v>
      </c>
      <c r="R2198" s="41">
        <f t="shared" ref="R2198:AC2198" si="3075">R2192</f>
        <v>65</v>
      </c>
      <c r="S2198" s="41">
        <f t="shared" si="3075"/>
        <v>154</v>
      </c>
      <c r="T2198" s="42">
        <f t="shared" si="3075"/>
        <v>210</v>
      </c>
      <c r="U2198" s="41">
        <f t="shared" si="3075"/>
        <v>124</v>
      </c>
      <c r="V2198" s="41">
        <f t="shared" si="3075"/>
        <v>129</v>
      </c>
      <c r="W2198" s="41">
        <f t="shared" si="3075"/>
        <v>145</v>
      </c>
      <c r="X2198" s="42">
        <f t="shared" si="3075"/>
        <v>398</v>
      </c>
      <c r="Y2198" s="41">
        <f t="shared" si="3075"/>
        <v>99</v>
      </c>
      <c r="Z2198" s="41">
        <f t="shared" si="3075"/>
        <v>-52</v>
      </c>
      <c r="AA2198" s="41">
        <f t="shared" si="3075"/>
        <v>41</v>
      </c>
      <c r="AB2198" s="42">
        <f t="shared" si="3075"/>
        <v>88</v>
      </c>
      <c r="AC2198" s="90">
        <f t="shared" si="3075"/>
        <v>696</v>
      </c>
    </row>
    <row r="2199" spans="1:30" x14ac:dyDescent="0.15">
      <c r="A2199" s="102" t="s">
        <v>3</v>
      </c>
      <c r="B2199" s="25"/>
      <c r="C2199" s="26"/>
      <c r="D2199" s="26"/>
      <c r="E2199" s="5">
        <f t="shared" ref="E2199:E2234" si="3076">SUM(B2199:D2199)</f>
        <v>0</v>
      </c>
      <c r="F2199" s="25"/>
      <c r="G2199" s="26"/>
      <c r="H2199" s="26"/>
      <c r="I2199" s="5">
        <f t="shared" ref="I2199:I2234" si="3077">SUM(F2199:H2199)</f>
        <v>0</v>
      </c>
      <c r="J2199" s="25"/>
      <c r="K2199" s="26"/>
      <c r="L2199" s="26"/>
      <c r="M2199" s="38">
        <f t="shared" ref="M2199:M2234" si="3078">SUM(J2199:L2199)</f>
        <v>0</v>
      </c>
      <c r="N2199" s="138">
        <f t="shared" ref="N2199:N2235" si="3079">E2199+I2199+M2199</f>
        <v>0</v>
      </c>
      <c r="P2199" s="6" t="s">
        <v>3</v>
      </c>
      <c r="Q2199" s="14"/>
      <c r="R2199" s="11"/>
      <c r="S2199" s="11"/>
      <c r="T2199" s="5">
        <f t="shared" ref="T2199:T2208" si="3080">SUM(Q2199:S2199)</f>
        <v>0</v>
      </c>
      <c r="U2199" s="14"/>
      <c r="V2199" s="11"/>
      <c r="W2199" s="11"/>
      <c r="X2199" s="5">
        <f t="shared" ref="X2199:X2208" si="3081">SUM(U2199:W2199)</f>
        <v>0</v>
      </c>
      <c r="Y2199" s="25"/>
      <c r="Z2199" s="26"/>
      <c r="AA2199" s="26"/>
      <c r="AB2199" s="5">
        <f t="shared" ref="AB2199:AB2208" si="3082">SUM(Y2199:AA2199)</f>
        <v>0</v>
      </c>
      <c r="AC2199" s="86">
        <f t="shared" ref="AC2199:AC2208" si="3083">T2199+X2199+AB2199</f>
        <v>0</v>
      </c>
    </row>
    <row r="2200" spans="1:30" x14ac:dyDescent="0.15">
      <c r="A2200" s="102" t="s">
        <v>3</v>
      </c>
      <c r="B2200" s="14"/>
      <c r="C2200" s="11"/>
      <c r="D2200" s="11"/>
      <c r="E2200" s="5">
        <f t="shared" si="3076"/>
        <v>0</v>
      </c>
      <c r="F2200" s="34"/>
      <c r="G2200" s="11"/>
      <c r="H2200" s="11"/>
      <c r="I2200" s="5">
        <f t="shared" si="3077"/>
        <v>0</v>
      </c>
      <c r="J2200" s="34"/>
      <c r="K2200" s="11"/>
      <c r="L2200" s="11"/>
      <c r="M2200" s="38">
        <f t="shared" si="3078"/>
        <v>0</v>
      </c>
      <c r="N2200" s="138">
        <f t="shared" si="3079"/>
        <v>0</v>
      </c>
      <c r="P2200" s="81" t="s">
        <v>3</v>
      </c>
      <c r="Q2200" s="62"/>
      <c r="R2200" s="4"/>
      <c r="S2200" s="4"/>
      <c r="T2200" s="5">
        <f t="shared" si="3080"/>
        <v>0</v>
      </c>
      <c r="U2200" s="62"/>
      <c r="V2200" s="4"/>
      <c r="W2200" s="4"/>
      <c r="X2200" s="5">
        <f t="shared" si="3081"/>
        <v>0</v>
      </c>
      <c r="Y2200" s="280"/>
      <c r="Z2200" s="281"/>
      <c r="AA2200" s="281"/>
      <c r="AB2200" s="5">
        <f t="shared" si="3082"/>
        <v>0</v>
      </c>
      <c r="AC2200" s="91">
        <f t="shared" si="3083"/>
        <v>0</v>
      </c>
    </row>
    <row r="2201" spans="1:30" x14ac:dyDescent="0.15">
      <c r="A2201" s="102" t="s">
        <v>3</v>
      </c>
      <c r="B2201" s="14"/>
      <c r="C2201" s="11"/>
      <c r="D2201" s="11"/>
      <c r="E2201" s="5">
        <f t="shared" si="3076"/>
        <v>0</v>
      </c>
      <c r="F2201" s="34"/>
      <c r="G2201" s="11"/>
      <c r="H2201" s="11"/>
      <c r="I2201" s="5">
        <f t="shared" si="3077"/>
        <v>0</v>
      </c>
      <c r="J2201" s="34"/>
      <c r="K2201" s="11"/>
      <c r="L2201" s="11"/>
      <c r="M2201" s="38">
        <f t="shared" si="3078"/>
        <v>0</v>
      </c>
      <c r="N2201" s="138">
        <f t="shared" si="3079"/>
        <v>0</v>
      </c>
      <c r="P2201" s="126" t="s">
        <v>377</v>
      </c>
      <c r="Q2201" s="323">
        <v>400</v>
      </c>
      <c r="R2201" s="37">
        <v>600</v>
      </c>
      <c r="S2201" s="37">
        <v>400</v>
      </c>
      <c r="T2201" s="147">
        <f t="shared" si="3080"/>
        <v>1400</v>
      </c>
      <c r="U2201" s="323">
        <v>400</v>
      </c>
      <c r="V2201" s="37">
        <v>600</v>
      </c>
      <c r="W2201" s="37">
        <v>400</v>
      </c>
      <c r="X2201" s="147">
        <f t="shared" si="3081"/>
        <v>1400</v>
      </c>
      <c r="Y2201" s="324">
        <v>400</v>
      </c>
      <c r="Z2201" s="325">
        <v>600</v>
      </c>
      <c r="AA2201" s="325">
        <v>400</v>
      </c>
      <c r="AB2201" s="147">
        <f t="shared" si="3082"/>
        <v>1400</v>
      </c>
      <c r="AC2201" s="326">
        <f t="shared" si="3083"/>
        <v>4200</v>
      </c>
      <c r="AD2201" s="113">
        <v>46266</v>
      </c>
    </row>
    <row r="2202" spans="1:30" x14ac:dyDescent="0.15">
      <c r="A2202" s="102" t="s">
        <v>3</v>
      </c>
      <c r="B2202" s="14"/>
      <c r="C2202" s="11"/>
      <c r="D2202" s="11"/>
      <c r="E2202" s="5">
        <f t="shared" si="3076"/>
        <v>0</v>
      </c>
      <c r="F2202" s="34"/>
      <c r="G2202" s="11"/>
      <c r="H2202" s="11"/>
      <c r="I2202" s="5">
        <f t="shared" si="3077"/>
        <v>0</v>
      </c>
      <c r="J2202" s="34"/>
      <c r="K2202" s="11"/>
      <c r="L2202" s="11"/>
      <c r="M2202" s="38">
        <f t="shared" si="3078"/>
        <v>0</v>
      </c>
      <c r="N2202" s="138">
        <f t="shared" si="3079"/>
        <v>0</v>
      </c>
      <c r="P2202" s="81" t="s">
        <v>3</v>
      </c>
      <c r="Q2202" s="62"/>
      <c r="R2202" s="4"/>
      <c r="S2202" s="4"/>
      <c r="T2202" s="5">
        <f t="shared" si="3080"/>
        <v>0</v>
      </c>
      <c r="U2202" s="62"/>
      <c r="V2202" s="4"/>
      <c r="W2202" s="4"/>
      <c r="X2202" s="5">
        <f t="shared" si="3081"/>
        <v>0</v>
      </c>
      <c r="Y2202" s="280"/>
      <c r="Z2202" s="281"/>
      <c r="AA2202" s="281"/>
      <c r="AB2202" s="5">
        <f t="shared" si="3082"/>
        <v>0</v>
      </c>
      <c r="AC2202" s="91">
        <f t="shared" si="3083"/>
        <v>0</v>
      </c>
    </row>
    <row r="2203" spans="1:30" x14ac:dyDescent="0.15">
      <c r="A2203" s="102" t="s">
        <v>3</v>
      </c>
      <c r="B2203" s="14"/>
      <c r="C2203" s="11"/>
      <c r="D2203" s="11"/>
      <c r="E2203" s="5">
        <f t="shared" si="3076"/>
        <v>0</v>
      </c>
      <c r="F2203" s="34"/>
      <c r="G2203" s="11"/>
      <c r="H2203" s="11"/>
      <c r="I2203" s="5">
        <f t="shared" si="3077"/>
        <v>0</v>
      </c>
      <c r="J2203" s="34"/>
      <c r="K2203" s="11"/>
      <c r="L2203" s="11"/>
      <c r="M2203" s="38">
        <f t="shared" si="3078"/>
        <v>0</v>
      </c>
      <c r="N2203" s="138">
        <f t="shared" si="3079"/>
        <v>0</v>
      </c>
      <c r="P2203" s="81" t="s">
        <v>3</v>
      </c>
      <c r="Q2203" s="62"/>
      <c r="R2203" s="4"/>
      <c r="S2203" s="4"/>
      <c r="T2203" s="5">
        <f t="shared" si="3080"/>
        <v>0</v>
      </c>
      <c r="U2203" s="62"/>
      <c r="V2203" s="4"/>
      <c r="W2203" s="4"/>
      <c r="X2203" s="5">
        <f t="shared" si="3081"/>
        <v>0</v>
      </c>
      <c r="Y2203" s="280"/>
      <c r="Z2203" s="281"/>
      <c r="AA2203" s="281"/>
      <c r="AB2203" s="5">
        <f t="shared" si="3082"/>
        <v>0</v>
      </c>
      <c r="AC2203" s="91">
        <f t="shared" si="3083"/>
        <v>0</v>
      </c>
    </row>
    <row r="2204" spans="1:30" x14ac:dyDescent="0.15">
      <c r="A2204" s="102" t="s">
        <v>3</v>
      </c>
      <c r="B2204" s="25"/>
      <c r="C2204" s="26"/>
      <c r="D2204" s="26"/>
      <c r="E2204" s="8">
        <f t="shared" si="3076"/>
        <v>0</v>
      </c>
      <c r="F2204" s="25"/>
      <c r="G2204" s="26"/>
      <c r="H2204" s="26"/>
      <c r="I2204" s="8">
        <f t="shared" si="3077"/>
        <v>0</v>
      </c>
      <c r="J2204" s="25"/>
      <c r="K2204" s="26"/>
      <c r="L2204" s="26"/>
      <c r="M2204" s="39">
        <f t="shared" si="3078"/>
        <v>0</v>
      </c>
      <c r="N2204" s="138">
        <f t="shared" si="3079"/>
        <v>0</v>
      </c>
      <c r="P2204" s="81" t="s">
        <v>3</v>
      </c>
      <c r="Q2204" s="62"/>
      <c r="R2204" s="4"/>
      <c r="S2204" s="4"/>
      <c r="T2204" s="5">
        <f t="shared" si="3080"/>
        <v>0</v>
      </c>
      <c r="U2204" s="62"/>
      <c r="V2204" s="4"/>
      <c r="W2204" s="4"/>
      <c r="X2204" s="5">
        <f t="shared" si="3081"/>
        <v>0</v>
      </c>
      <c r="Y2204" s="280"/>
      <c r="Z2204" s="281"/>
      <c r="AA2204" s="281"/>
      <c r="AB2204" s="5">
        <f t="shared" si="3082"/>
        <v>0</v>
      </c>
      <c r="AC2204" s="91">
        <f t="shared" si="3083"/>
        <v>0</v>
      </c>
    </row>
    <row r="2205" spans="1:30" x14ac:dyDescent="0.15">
      <c r="A2205" s="102" t="s">
        <v>3</v>
      </c>
      <c r="B2205" s="27"/>
      <c r="C2205" s="26"/>
      <c r="D2205" s="26"/>
      <c r="E2205" s="5">
        <f t="shared" si="3076"/>
        <v>0</v>
      </c>
      <c r="F2205" s="25"/>
      <c r="G2205" s="26"/>
      <c r="H2205" s="26"/>
      <c r="I2205" s="5">
        <f t="shared" si="3077"/>
        <v>0</v>
      </c>
      <c r="J2205" s="25"/>
      <c r="K2205" s="26"/>
      <c r="L2205" s="26"/>
      <c r="M2205" s="38">
        <f t="shared" si="3078"/>
        <v>0</v>
      </c>
      <c r="N2205" s="138">
        <f t="shared" si="3079"/>
        <v>0</v>
      </c>
      <c r="P2205" s="81" t="s">
        <v>3</v>
      </c>
      <c r="Q2205" s="62"/>
      <c r="R2205" s="4"/>
      <c r="S2205" s="4"/>
      <c r="T2205" s="5">
        <f t="shared" si="3080"/>
        <v>0</v>
      </c>
      <c r="U2205" s="62"/>
      <c r="V2205" s="4"/>
      <c r="W2205" s="4"/>
      <c r="X2205" s="5">
        <f t="shared" si="3081"/>
        <v>0</v>
      </c>
      <c r="Y2205" s="280"/>
      <c r="Z2205" s="281"/>
      <c r="AA2205" s="281"/>
      <c r="AB2205" s="5">
        <f t="shared" si="3082"/>
        <v>0</v>
      </c>
      <c r="AC2205" s="91">
        <f t="shared" si="3083"/>
        <v>0</v>
      </c>
    </row>
    <row r="2206" spans="1:30" x14ac:dyDescent="0.15">
      <c r="A2206" s="102" t="s">
        <v>3</v>
      </c>
      <c r="B2206" s="27"/>
      <c r="C2206" s="26"/>
      <c r="D2206" s="26"/>
      <c r="E2206" s="5">
        <f t="shared" si="3076"/>
        <v>0</v>
      </c>
      <c r="F2206" s="25"/>
      <c r="G2206" s="26"/>
      <c r="H2206" s="26"/>
      <c r="I2206" s="5">
        <f t="shared" si="3077"/>
        <v>0</v>
      </c>
      <c r="J2206" s="25"/>
      <c r="K2206" s="26"/>
      <c r="L2206" s="26"/>
      <c r="M2206" s="38">
        <f t="shared" si="3078"/>
        <v>0</v>
      </c>
      <c r="N2206" s="138">
        <f t="shared" si="3079"/>
        <v>0</v>
      </c>
      <c r="P2206" s="6" t="s">
        <v>3</v>
      </c>
      <c r="Q2206" s="14"/>
      <c r="R2206" s="11"/>
      <c r="S2206" s="11"/>
      <c r="T2206" s="5">
        <f t="shared" si="3080"/>
        <v>0</v>
      </c>
      <c r="U2206" s="14"/>
      <c r="V2206" s="11"/>
      <c r="W2206" s="11"/>
      <c r="X2206" s="5">
        <f t="shared" si="3081"/>
        <v>0</v>
      </c>
      <c r="Y2206" s="25"/>
      <c r="Z2206" s="26"/>
      <c r="AA2206" s="26"/>
      <c r="AB2206" s="8">
        <f t="shared" si="3082"/>
        <v>0</v>
      </c>
      <c r="AC2206" s="86">
        <f t="shared" si="3083"/>
        <v>0</v>
      </c>
    </row>
    <row r="2207" spans="1:30" x14ac:dyDescent="0.15">
      <c r="A2207" s="102" t="s">
        <v>3</v>
      </c>
      <c r="B2207" s="27"/>
      <c r="C2207" s="26"/>
      <c r="D2207" s="26"/>
      <c r="E2207" s="5">
        <f t="shared" si="3076"/>
        <v>0</v>
      </c>
      <c r="F2207" s="25"/>
      <c r="G2207" s="26"/>
      <c r="H2207" s="26"/>
      <c r="I2207" s="5">
        <f t="shared" si="3077"/>
        <v>0</v>
      </c>
      <c r="J2207" s="25"/>
      <c r="K2207" s="26"/>
      <c r="L2207" s="26"/>
      <c r="M2207" s="38">
        <f t="shared" si="3078"/>
        <v>0</v>
      </c>
      <c r="N2207" s="138">
        <f t="shared" si="3079"/>
        <v>0</v>
      </c>
      <c r="P2207" s="6" t="s">
        <v>3</v>
      </c>
      <c r="Q2207" s="14"/>
      <c r="R2207" s="11"/>
      <c r="S2207" s="11"/>
      <c r="T2207" s="5">
        <f t="shared" si="3080"/>
        <v>0</v>
      </c>
      <c r="U2207" s="14"/>
      <c r="V2207" s="11"/>
      <c r="W2207" s="11"/>
      <c r="X2207" s="5">
        <f t="shared" si="3081"/>
        <v>0</v>
      </c>
      <c r="Y2207" s="25"/>
      <c r="Z2207" s="26"/>
      <c r="AA2207" s="26"/>
      <c r="AB2207" s="8">
        <f t="shared" si="3082"/>
        <v>0</v>
      </c>
      <c r="AC2207" s="86">
        <f t="shared" si="3083"/>
        <v>0</v>
      </c>
    </row>
    <row r="2208" spans="1:30" ht="14.25" thickBot="1" x14ac:dyDescent="0.2">
      <c r="A2208" s="102" t="s">
        <v>3</v>
      </c>
      <c r="B2208" s="28"/>
      <c r="C2208" s="29"/>
      <c r="D2208" s="32"/>
      <c r="E2208" s="15">
        <f t="shared" si="3076"/>
        <v>0</v>
      </c>
      <c r="F2208" s="35"/>
      <c r="G2208" s="29"/>
      <c r="H2208" s="32"/>
      <c r="I2208" s="15">
        <f t="shared" si="3077"/>
        <v>0</v>
      </c>
      <c r="J2208" s="35"/>
      <c r="K2208" s="29"/>
      <c r="L2208" s="32"/>
      <c r="M2208" s="40">
        <f t="shared" si="3078"/>
        <v>0</v>
      </c>
      <c r="N2208" s="139">
        <f t="shared" si="3079"/>
        <v>0</v>
      </c>
      <c r="P2208" s="6" t="s">
        <v>3</v>
      </c>
      <c r="Q2208" s="14"/>
      <c r="R2208" s="11"/>
      <c r="S2208" s="11"/>
      <c r="T2208" s="5">
        <f t="shared" si="3080"/>
        <v>0</v>
      </c>
      <c r="U2208" s="14"/>
      <c r="V2208" s="11"/>
      <c r="W2208" s="11"/>
      <c r="X2208" s="5">
        <f t="shared" si="3081"/>
        <v>0</v>
      </c>
      <c r="Y2208" s="25"/>
      <c r="Z2208" s="26"/>
      <c r="AA2208" s="26"/>
      <c r="AB2208" s="8">
        <f t="shared" si="3082"/>
        <v>0</v>
      </c>
      <c r="AC2208" s="86">
        <f t="shared" si="3083"/>
        <v>0</v>
      </c>
    </row>
    <row r="2209" spans="1:29" ht="14.25" thickBot="1" x14ac:dyDescent="0.2">
      <c r="A2209" s="103" t="s">
        <v>4</v>
      </c>
      <c r="B2209" s="17">
        <f>SUM(B2198:B2208)</f>
        <v>29</v>
      </c>
      <c r="C2209" s="17">
        <f>SUM(C2198:C2208)</f>
        <v>26</v>
      </c>
      <c r="D2209" s="17">
        <f>SUM(D2198:D2208)</f>
        <v>20</v>
      </c>
      <c r="E2209" s="18">
        <f t="shared" si="3076"/>
        <v>75</v>
      </c>
      <c r="F2209" s="17">
        <f>SUM(F2198:F2208)</f>
        <v>26</v>
      </c>
      <c r="G2209" s="17">
        <f>SUM(G2198:G2208)</f>
        <v>28</v>
      </c>
      <c r="H2209" s="17">
        <f>SUM(H2198:H2208)</f>
        <v>18</v>
      </c>
      <c r="I2209" s="18">
        <f t="shared" si="3077"/>
        <v>72</v>
      </c>
      <c r="J2209" s="17">
        <f>SUM(J2198:J2208)</f>
        <v>29</v>
      </c>
      <c r="K2209" s="17">
        <f>SUM(K2198:K2208)</f>
        <v>27</v>
      </c>
      <c r="L2209" s="17">
        <f>SUM(L2198:L2208)</f>
        <v>22</v>
      </c>
      <c r="M2209" s="20">
        <f t="shared" si="3078"/>
        <v>78</v>
      </c>
      <c r="N2209" s="140">
        <f t="shared" si="3079"/>
        <v>225</v>
      </c>
      <c r="P2209" s="16" t="s">
        <v>4</v>
      </c>
      <c r="Q2209" s="17">
        <f>SUM(Q2198:Q2208)</f>
        <v>391</v>
      </c>
      <c r="R2209" s="17">
        <f t="shared" ref="R2209:AC2209" si="3084">SUM(R2198:R2208)</f>
        <v>665</v>
      </c>
      <c r="S2209" s="17">
        <f t="shared" si="3084"/>
        <v>554</v>
      </c>
      <c r="T2209" s="18">
        <f t="shared" si="3084"/>
        <v>1610</v>
      </c>
      <c r="U2209" s="17">
        <f t="shared" si="3084"/>
        <v>524</v>
      </c>
      <c r="V2209" s="17">
        <f t="shared" si="3084"/>
        <v>729</v>
      </c>
      <c r="W2209" s="17">
        <f t="shared" si="3084"/>
        <v>545</v>
      </c>
      <c r="X2209" s="18">
        <f t="shared" si="3084"/>
        <v>1798</v>
      </c>
      <c r="Y2209" s="17">
        <f t="shared" si="3084"/>
        <v>499</v>
      </c>
      <c r="Z2209" s="17">
        <f t="shared" si="3084"/>
        <v>548</v>
      </c>
      <c r="AA2209" s="17">
        <f t="shared" si="3084"/>
        <v>441</v>
      </c>
      <c r="AB2209" s="18">
        <f t="shared" si="3084"/>
        <v>1488</v>
      </c>
      <c r="AC2209" s="88">
        <f t="shared" si="3084"/>
        <v>4896</v>
      </c>
    </row>
    <row r="2210" spans="1:29" x14ac:dyDescent="0.15">
      <c r="A2210" s="33"/>
      <c r="B2210" s="9"/>
      <c r="C2210" s="10"/>
      <c r="D2210" s="31"/>
      <c r="E2210" s="5">
        <f t="shared" si="3076"/>
        <v>0</v>
      </c>
      <c r="F2210" s="9"/>
      <c r="G2210" s="10"/>
      <c r="H2210" s="31"/>
      <c r="I2210" s="5">
        <f t="shared" si="3077"/>
        <v>0</v>
      </c>
      <c r="J2210" s="9"/>
      <c r="K2210" s="10"/>
      <c r="L2210" s="31"/>
      <c r="M2210" s="38">
        <f t="shared" si="3078"/>
        <v>0</v>
      </c>
      <c r="N2210" s="141">
        <f t="shared" si="3079"/>
        <v>0</v>
      </c>
      <c r="P2210" s="4"/>
      <c r="Q2210" s="9"/>
      <c r="R2210" s="10"/>
      <c r="S2210" s="31"/>
      <c r="T2210" s="5">
        <f t="shared" ref="T2210:T2233" si="3085">SUM(Q2210:S2210)</f>
        <v>0</v>
      </c>
      <c r="U2210" s="9"/>
      <c r="V2210" s="10"/>
      <c r="W2210" s="31"/>
      <c r="X2210" s="5">
        <f t="shared" ref="X2210:X2233" si="3086">SUM(U2210:W2210)</f>
        <v>0</v>
      </c>
      <c r="Y2210" s="9"/>
      <c r="Z2210" s="10"/>
      <c r="AA2210" s="31"/>
      <c r="AB2210" s="5">
        <f t="shared" ref="AB2210:AB2233" si="3087">SUM(Y2210:AA2210)</f>
        <v>0</v>
      </c>
      <c r="AC2210" s="148">
        <f t="shared" ref="AC2210:AC2233" si="3088">T2210+X2210+AB2210</f>
        <v>0</v>
      </c>
    </row>
    <row r="2211" spans="1:29" x14ac:dyDescent="0.15">
      <c r="A2211" s="33"/>
      <c r="B2211" s="9"/>
      <c r="C2211" s="10"/>
      <c r="D2211" s="10"/>
      <c r="E2211" s="5">
        <f t="shared" si="3076"/>
        <v>0</v>
      </c>
      <c r="F2211" s="9"/>
      <c r="G2211" s="10"/>
      <c r="H2211" s="10"/>
      <c r="I2211" s="5">
        <f t="shared" si="3077"/>
        <v>0</v>
      </c>
      <c r="J2211" s="9"/>
      <c r="K2211" s="10"/>
      <c r="L2211" s="10"/>
      <c r="M2211" s="38">
        <f t="shared" si="3078"/>
        <v>0</v>
      </c>
      <c r="N2211" s="138">
        <f t="shared" si="3079"/>
        <v>0</v>
      </c>
      <c r="P2211" s="4"/>
      <c r="Q2211" s="9"/>
      <c r="R2211" s="10"/>
      <c r="S2211" s="10"/>
      <c r="T2211" s="5">
        <f t="shared" si="3085"/>
        <v>0</v>
      </c>
      <c r="U2211" s="9"/>
      <c r="V2211" s="10"/>
      <c r="W2211" s="10"/>
      <c r="X2211" s="5">
        <f t="shared" si="3086"/>
        <v>0</v>
      </c>
      <c r="Y2211" s="9"/>
      <c r="Z2211" s="10"/>
      <c r="AA2211" s="10"/>
      <c r="AB2211" s="5">
        <f t="shared" si="3087"/>
        <v>0</v>
      </c>
      <c r="AC2211" s="93">
        <f t="shared" si="3088"/>
        <v>0</v>
      </c>
    </row>
    <row r="2212" spans="1:29" x14ac:dyDescent="0.15">
      <c r="A2212" s="33"/>
      <c r="B2212" s="9"/>
      <c r="C2212" s="10"/>
      <c r="D2212" s="10"/>
      <c r="E2212" s="5">
        <f t="shared" si="3076"/>
        <v>0</v>
      </c>
      <c r="F2212" s="9"/>
      <c r="G2212" s="10"/>
      <c r="H2212" s="10"/>
      <c r="I2212" s="5">
        <f t="shared" si="3077"/>
        <v>0</v>
      </c>
      <c r="J2212" s="9"/>
      <c r="K2212" s="10"/>
      <c r="L2212" s="10"/>
      <c r="M2212" s="38">
        <f t="shared" si="3078"/>
        <v>0</v>
      </c>
      <c r="N2212" s="138">
        <f t="shared" si="3079"/>
        <v>0</v>
      </c>
      <c r="P2212" s="11"/>
      <c r="Q2212" s="9"/>
      <c r="R2212" s="10"/>
      <c r="S2212" s="10"/>
      <c r="T2212" s="5">
        <f t="shared" si="3085"/>
        <v>0</v>
      </c>
      <c r="U2212" s="9"/>
      <c r="V2212" s="10"/>
      <c r="W2212" s="10"/>
      <c r="X2212" s="5">
        <f t="shared" si="3086"/>
        <v>0</v>
      </c>
      <c r="Y2212" s="9"/>
      <c r="Z2212" s="10"/>
      <c r="AA2212" s="10"/>
      <c r="AB2212" s="5">
        <f t="shared" si="3087"/>
        <v>0</v>
      </c>
      <c r="AC2212" s="93">
        <f t="shared" si="3088"/>
        <v>0</v>
      </c>
    </row>
    <row r="2213" spans="1:29" x14ac:dyDescent="0.15">
      <c r="A2213" s="33"/>
      <c r="B2213" s="9"/>
      <c r="C2213" s="10"/>
      <c r="D2213" s="10"/>
      <c r="E2213" s="5">
        <f t="shared" si="3076"/>
        <v>0</v>
      </c>
      <c r="F2213" s="9"/>
      <c r="G2213" s="10"/>
      <c r="H2213" s="10"/>
      <c r="I2213" s="5">
        <f t="shared" si="3077"/>
        <v>0</v>
      </c>
      <c r="J2213" s="9"/>
      <c r="K2213" s="10"/>
      <c r="L2213" s="10"/>
      <c r="M2213" s="38">
        <f t="shared" si="3078"/>
        <v>0</v>
      </c>
      <c r="N2213" s="138">
        <f t="shared" si="3079"/>
        <v>0</v>
      </c>
      <c r="P2213" s="11"/>
      <c r="Q2213" s="9"/>
      <c r="R2213" s="10"/>
      <c r="S2213" s="10"/>
      <c r="T2213" s="5">
        <f t="shared" si="3085"/>
        <v>0</v>
      </c>
      <c r="U2213" s="9"/>
      <c r="V2213" s="10"/>
      <c r="W2213" s="10"/>
      <c r="X2213" s="5">
        <f t="shared" si="3086"/>
        <v>0</v>
      </c>
      <c r="Y2213" s="9"/>
      <c r="Z2213" s="10"/>
      <c r="AA2213" s="10"/>
      <c r="AB2213" s="5">
        <f t="shared" si="3087"/>
        <v>0</v>
      </c>
      <c r="AC2213" s="93">
        <f t="shared" si="3088"/>
        <v>0</v>
      </c>
    </row>
    <row r="2214" spans="1:29" x14ac:dyDescent="0.15">
      <c r="A2214" s="33"/>
      <c r="B2214" s="9"/>
      <c r="C2214" s="10"/>
      <c r="D2214" s="10"/>
      <c r="E2214" s="5">
        <f t="shared" si="3076"/>
        <v>0</v>
      </c>
      <c r="F2214" s="9"/>
      <c r="G2214" s="10"/>
      <c r="H2214" s="10"/>
      <c r="I2214" s="5">
        <f t="shared" si="3077"/>
        <v>0</v>
      </c>
      <c r="J2214" s="9"/>
      <c r="K2214" s="10"/>
      <c r="L2214" s="10"/>
      <c r="M2214" s="38">
        <f t="shared" si="3078"/>
        <v>0</v>
      </c>
      <c r="N2214" s="138">
        <f t="shared" si="3079"/>
        <v>0</v>
      </c>
      <c r="P2214" s="11"/>
      <c r="Q2214" s="9"/>
      <c r="R2214" s="10"/>
      <c r="S2214" s="10"/>
      <c r="T2214" s="5">
        <f t="shared" si="3085"/>
        <v>0</v>
      </c>
      <c r="U2214" s="9"/>
      <c r="V2214" s="10"/>
      <c r="W2214" s="10"/>
      <c r="X2214" s="5">
        <f t="shared" si="3086"/>
        <v>0</v>
      </c>
      <c r="Y2214" s="9"/>
      <c r="Z2214" s="10"/>
      <c r="AA2214" s="10"/>
      <c r="AB2214" s="5">
        <f t="shared" si="3087"/>
        <v>0</v>
      </c>
      <c r="AC2214" s="93">
        <f t="shared" si="3088"/>
        <v>0</v>
      </c>
    </row>
    <row r="2215" spans="1:29" x14ac:dyDescent="0.15">
      <c r="A2215" s="33"/>
      <c r="B2215" s="9"/>
      <c r="C2215" s="10"/>
      <c r="D2215" s="10"/>
      <c r="E2215" s="8">
        <f t="shared" si="3076"/>
        <v>0</v>
      </c>
      <c r="F2215" s="9"/>
      <c r="G2215" s="10"/>
      <c r="H2215" s="10"/>
      <c r="I2215" s="8">
        <f t="shared" si="3077"/>
        <v>0</v>
      </c>
      <c r="J2215" s="9"/>
      <c r="K2215" s="10"/>
      <c r="L2215" s="10"/>
      <c r="M2215" s="39">
        <f t="shared" si="3078"/>
        <v>0</v>
      </c>
      <c r="N2215" s="138">
        <f t="shared" si="3079"/>
        <v>0</v>
      </c>
      <c r="P2215" s="4"/>
      <c r="Q2215" s="9"/>
      <c r="R2215" s="10"/>
      <c r="S2215" s="10"/>
      <c r="T2215" s="8">
        <f t="shared" si="3085"/>
        <v>0</v>
      </c>
      <c r="U2215" s="9"/>
      <c r="V2215" s="10"/>
      <c r="W2215" s="10"/>
      <c r="X2215" s="8">
        <f t="shared" si="3086"/>
        <v>0</v>
      </c>
      <c r="Y2215" s="9"/>
      <c r="Z2215" s="10"/>
      <c r="AA2215" s="10"/>
      <c r="AB2215" s="8">
        <f t="shared" si="3087"/>
        <v>0</v>
      </c>
      <c r="AC2215" s="93">
        <f t="shared" si="3088"/>
        <v>0</v>
      </c>
    </row>
    <row r="2216" spans="1:29" x14ac:dyDescent="0.15">
      <c r="A2216" s="33"/>
      <c r="B2216" s="9"/>
      <c r="C2216" s="10"/>
      <c r="D2216" s="10"/>
      <c r="E2216" s="8">
        <f t="shared" si="3076"/>
        <v>0</v>
      </c>
      <c r="F2216" s="9"/>
      <c r="G2216" s="10"/>
      <c r="H2216" s="10"/>
      <c r="I2216" s="8">
        <f t="shared" si="3077"/>
        <v>0</v>
      </c>
      <c r="J2216" s="9"/>
      <c r="K2216" s="10"/>
      <c r="L2216" s="10"/>
      <c r="M2216" s="39">
        <f t="shared" si="3078"/>
        <v>0</v>
      </c>
      <c r="N2216" s="138">
        <f t="shared" si="3079"/>
        <v>0</v>
      </c>
      <c r="P2216" s="11"/>
      <c r="Q2216" s="9"/>
      <c r="R2216" s="10"/>
      <c r="S2216" s="10"/>
      <c r="T2216" s="8">
        <f t="shared" si="3085"/>
        <v>0</v>
      </c>
      <c r="U2216" s="9"/>
      <c r="V2216" s="10"/>
      <c r="W2216" s="10"/>
      <c r="X2216" s="8">
        <f t="shared" si="3086"/>
        <v>0</v>
      </c>
      <c r="Y2216" s="9"/>
      <c r="Z2216" s="10"/>
      <c r="AA2216" s="10"/>
      <c r="AB2216" s="8">
        <f t="shared" si="3087"/>
        <v>0</v>
      </c>
      <c r="AC2216" s="93">
        <f t="shared" si="3088"/>
        <v>0</v>
      </c>
    </row>
    <row r="2217" spans="1:29" x14ac:dyDescent="0.15">
      <c r="A2217" s="33"/>
      <c r="B2217" s="9"/>
      <c r="C2217" s="10"/>
      <c r="D2217" s="10"/>
      <c r="E2217" s="8">
        <f t="shared" si="3076"/>
        <v>0</v>
      </c>
      <c r="F2217" s="9"/>
      <c r="G2217" s="10"/>
      <c r="H2217" s="10"/>
      <c r="I2217" s="8">
        <f t="shared" si="3077"/>
        <v>0</v>
      </c>
      <c r="J2217" s="9"/>
      <c r="K2217" s="10"/>
      <c r="L2217" s="10"/>
      <c r="M2217" s="39">
        <f t="shared" si="3078"/>
        <v>0</v>
      </c>
      <c r="N2217" s="138">
        <f t="shared" si="3079"/>
        <v>0</v>
      </c>
      <c r="P2217" s="4"/>
      <c r="Q2217" s="9"/>
      <c r="R2217" s="10"/>
      <c r="S2217" s="10"/>
      <c r="T2217" s="8">
        <f t="shared" si="3085"/>
        <v>0</v>
      </c>
      <c r="U2217" s="9"/>
      <c r="V2217" s="10"/>
      <c r="W2217" s="10"/>
      <c r="X2217" s="8">
        <f t="shared" si="3086"/>
        <v>0</v>
      </c>
      <c r="Y2217" s="9"/>
      <c r="Z2217" s="10"/>
      <c r="AA2217" s="10"/>
      <c r="AB2217" s="8">
        <f t="shared" si="3087"/>
        <v>0</v>
      </c>
      <c r="AC2217" s="93">
        <f t="shared" si="3088"/>
        <v>0</v>
      </c>
    </row>
    <row r="2218" spans="1:29" x14ac:dyDescent="0.15">
      <c r="A2218" s="33"/>
      <c r="B2218" s="9"/>
      <c r="C2218" s="10"/>
      <c r="D2218" s="10"/>
      <c r="E2218" s="8">
        <f t="shared" si="3076"/>
        <v>0</v>
      </c>
      <c r="F2218" s="9"/>
      <c r="G2218" s="10"/>
      <c r="H2218" s="10"/>
      <c r="I2218" s="8">
        <f t="shared" si="3077"/>
        <v>0</v>
      </c>
      <c r="J2218" s="9"/>
      <c r="K2218" s="10"/>
      <c r="L2218" s="10"/>
      <c r="M2218" s="39">
        <f t="shared" si="3078"/>
        <v>0</v>
      </c>
      <c r="N2218" s="138">
        <f t="shared" si="3079"/>
        <v>0</v>
      </c>
      <c r="P2218" s="4"/>
      <c r="Q2218" s="9"/>
      <c r="R2218" s="10"/>
      <c r="S2218" s="10"/>
      <c r="T2218" s="8">
        <f t="shared" si="3085"/>
        <v>0</v>
      </c>
      <c r="U2218" s="9"/>
      <c r="V2218" s="10"/>
      <c r="W2218" s="10"/>
      <c r="X2218" s="8">
        <f t="shared" si="3086"/>
        <v>0</v>
      </c>
      <c r="Y2218" s="9"/>
      <c r="Z2218" s="10"/>
      <c r="AA2218" s="10"/>
      <c r="AB2218" s="8">
        <f t="shared" si="3087"/>
        <v>0</v>
      </c>
      <c r="AC2218" s="93">
        <f t="shared" si="3088"/>
        <v>0</v>
      </c>
    </row>
    <row r="2219" spans="1:29" x14ac:dyDescent="0.15">
      <c r="A2219" s="33"/>
      <c r="B2219" s="9"/>
      <c r="C2219" s="10"/>
      <c r="D2219" s="10"/>
      <c r="E2219" s="8">
        <f t="shared" si="3076"/>
        <v>0</v>
      </c>
      <c r="F2219" s="9"/>
      <c r="G2219" s="10"/>
      <c r="H2219" s="10"/>
      <c r="I2219" s="8">
        <f t="shared" si="3077"/>
        <v>0</v>
      </c>
      <c r="J2219" s="9"/>
      <c r="K2219" s="10"/>
      <c r="L2219" s="10"/>
      <c r="M2219" s="39">
        <f t="shared" si="3078"/>
        <v>0</v>
      </c>
      <c r="N2219" s="138">
        <f t="shared" si="3079"/>
        <v>0</v>
      </c>
      <c r="P2219" s="4"/>
      <c r="Q2219" s="9"/>
      <c r="R2219" s="10"/>
      <c r="S2219" s="10"/>
      <c r="T2219" s="8">
        <f t="shared" si="3085"/>
        <v>0</v>
      </c>
      <c r="U2219" s="9"/>
      <c r="V2219" s="10"/>
      <c r="W2219" s="10"/>
      <c r="X2219" s="8">
        <f t="shared" si="3086"/>
        <v>0</v>
      </c>
      <c r="Y2219" s="9"/>
      <c r="Z2219" s="10"/>
      <c r="AA2219" s="10"/>
      <c r="AB2219" s="8">
        <f t="shared" si="3087"/>
        <v>0</v>
      </c>
      <c r="AC2219" s="93">
        <f t="shared" si="3088"/>
        <v>0</v>
      </c>
    </row>
    <row r="2220" spans="1:29" x14ac:dyDescent="0.15">
      <c r="A2220" s="33"/>
      <c r="B2220" s="9"/>
      <c r="C2220" s="10"/>
      <c r="D2220" s="10"/>
      <c r="E2220" s="8">
        <f t="shared" si="3076"/>
        <v>0</v>
      </c>
      <c r="F2220" s="9"/>
      <c r="G2220" s="10"/>
      <c r="H2220" s="10"/>
      <c r="I2220" s="8">
        <f t="shared" si="3077"/>
        <v>0</v>
      </c>
      <c r="J2220" s="9"/>
      <c r="K2220" s="10"/>
      <c r="L2220" s="10"/>
      <c r="M2220" s="39">
        <f t="shared" si="3078"/>
        <v>0</v>
      </c>
      <c r="N2220" s="138">
        <f t="shared" si="3079"/>
        <v>0</v>
      </c>
      <c r="P2220" s="4"/>
      <c r="Q2220" s="9"/>
      <c r="R2220" s="10"/>
      <c r="S2220" s="10"/>
      <c r="T2220" s="8">
        <f t="shared" si="3085"/>
        <v>0</v>
      </c>
      <c r="U2220" s="9"/>
      <c r="V2220" s="10"/>
      <c r="W2220" s="10"/>
      <c r="X2220" s="8">
        <f t="shared" si="3086"/>
        <v>0</v>
      </c>
      <c r="Y2220" s="9"/>
      <c r="Z2220" s="10"/>
      <c r="AA2220" s="10"/>
      <c r="AB2220" s="8">
        <f t="shared" si="3087"/>
        <v>0</v>
      </c>
      <c r="AC2220" s="93">
        <f t="shared" si="3088"/>
        <v>0</v>
      </c>
    </row>
    <row r="2221" spans="1:29" x14ac:dyDescent="0.15">
      <c r="A2221" s="33"/>
      <c r="B2221" s="9"/>
      <c r="C2221" s="10"/>
      <c r="D2221" s="10"/>
      <c r="E2221" s="8">
        <f t="shared" si="3076"/>
        <v>0</v>
      </c>
      <c r="F2221" s="9"/>
      <c r="G2221" s="10"/>
      <c r="H2221" s="10"/>
      <c r="I2221" s="8">
        <f t="shared" si="3077"/>
        <v>0</v>
      </c>
      <c r="J2221" s="9"/>
      <c r="K2221" s="10"/>
      <c r="L2221" s="10"/>
      <c r="M2221" s="39">
        <f t="shared" si="3078"/>
        <v>0</v>
      </c>
      <c r="N2221" s="138">
        <f t="shared" si="3079"/>
        <v>0</v>
      </c>
      <c r="P2221" s="4"/>
      <c r="Q2221" s="9"/>
      <c r="R2221" s="10"/>
      <c r="S2221" s="10"/>
      <c r="T2221" s="8">
        <f t="shared" si="3085"/>
        <v>0</v>
      </c>
      <c r="U2221" s="9"/>
      <c r="V2221" s="10"/>
      <c r="W2221" s="10"/>
      <c r="X2221" s="8">
        <f t="shared" si="3086"/>
        <v>0</v>
      </c>
      <c r="Y2221" s="9"/>
      <c r="Z2221" s="10"/>
      <c r="AA2221" s="10"/>
      <c r="AB2221" s="8">
        <f t="shared" si="3087"/>
        <v>0</v>
      </c>
      <c r="AC2221" s="93">
        <f t="shared" si="3088"/>
        <v>0</v>
      </c>
    </row>
    <row r="2222" spans="1:29" x14ac:dyDescent="0.15">
      <c r="A2222" s="33"/>
      <c r="B2222" s="9"/>
      <c r="C2222" s="10"/>
      <c r="D2222" s="10"/>
      <c r="E2222" s="8">
        <f t="shared" si="3076"/>
        <v>0</v>
      </c>
      <c r="F2222" s="9"/>
      <c r="G2222" s="10"/>
      <c r="H2222" s="10"/>
      <c r="I2222" s="8">
        <f t="shared" si="3077"/>
        <v>0</v>
      </c>
      <c r="J2222" s="9"/>
      <c r="K2222" s="10"/>
      <c r="L2222" s="10"/>
      <c r="M2222" s="39">
        <f t="shared" si="3078"/>
        <v>0</v>
      </c>
      <c r="N2222" s="138">
        <f t="shared" si="3079"/>
        <v>0</v>
      </c>
      <c r="P2222" s="4"/>
      <c r="Q2222" s="9"/>
      <c r="R2222" s="10"/>
      <c r="S2222" s="10"/>
      <c r="T2222" s="8">
        <f t="shared" si="3085"/>
        <v>0</v>
      </c>
      <c r="U2222" s="9"/>
      <c r="V2222" s="10"/>
      <c r="W2222" s="10"/>
      <c r="X2222" s="8">
        <f t="shared" si="3086"/>
        <v>0</v>
      </c>
      <c r="Y2222" s="9"/>
      <c r="Z2222" s="10"/>
      <c r="AA2222" s="10"/>
      <c r="AB2222" s="8">
        <f t="shared" si="3087"/>
        <v>0</v>
      </c>
      <c r="AC2222" s="93">
        <f t="shared" si="3088"/>
        <v>0</v>
      </c>
    </row>
    <row r="2223" spans="1:29" x14ac:dyDescent="0.15">
      <c r="A2223" s="33"/>
      <c r="B2223" s="9"/>
      <c r="C2223" s="10"/>
      <c r="D2223" s="10"/>
      <c r="E2223" s="8">
        <f t="shared" si="3076"/>
        <v>0</v>
      </c>
      <c r="F2223" s="9"/>
      <c r="G2223" s="10"/>
      <c r="H2223" s="10"/>
      <c r="I2223" s="8">
        <f t="shared" si="3077"/>
        <v>0</v>
      </c>
      <c r="J2223" s="9"/>
      <c r="K2223" s="10"/>
      <c r="L2223" s="10"/>
      <c r="M2223" s="39">
        <f t="shared" si="3078"/>
        <v>0</v>
      </c>
      <c r="N2223" s="138">
        <f t="shared" si="3079"/>
        <v>0</v>
      </c>
      <c r="P2223" s="4"/>
      <c r="Q2223" s="9"/>
      <c r="R2223" s="10"/>
      <c r="S2223" s="10"/>
      <c r="T2223" s="8">
        <f t="shared" si="3085"/>
        <v>0</v>
      </c>
      <c r="U2223" s="9"/>
      <c r="V2223" s="10"/>
      <c r="W2223" s="10"/>
      <c r="X2223" s="8">
        <f t="shared" si="3086"/>
        <v>0</v>
      </c>
      <c r="Y2223" s="9"/>
      <c r="Z2223" s="10"/>
      <c r="AA2223" s="10"/>
      <c r="AB2223" s="8">
        <f t="shared" si="3087"/>
        <v>0</v>
      </c>
      <c r="AC2223" s="93">
        <f t="shared" si="3088"/>
        <v>0</v>
      </c>
    </row>
    <row r="2224" spans="1:29" x14ac:dyDescent="0.15">
      <c r="A2224" s="33"/>
      <c r="B2224" s="9"/>
      <c r="C2224" s="10"/>
      <c r="D2224" s="10"/>
      <c r="E2224" s="8">
        <f t="shared" si="3076"/>
        <v>0</v>
      </c>
      <c r="F2224" s="9"/>
      <c r="G2224" s="10"/>
      <c r="H2224" s="10"/>
      <c r="I2224" s="8">
        <f t="shared" si="3077"/>
        <v>0</v>
      </c>
      <c r="J2224" s="9"/>
      <c r="K2224" s="10"/>
      <c r="L2224" s="10"/>
      <c r="M2224" s="39">
        <f t="shared" si="3078"/>
        <v>0</v>
      </c>
      <c r="N2224" s="138">
        <f t="shared" si="3079"/>
        <v>0</v>
      </c>
      <c r="P2224" s="4"/>
      <c r="Q2224" s="9"/>
      <c r="R2224" s="10"/>
      <c r="S2224" s="10"/>
      <c r="T2224" s="8">
        <f t="shared" si="3085"/>
        <v>0</v>
      </c>
      <c r="U2224" s="9"/>
      <c r="V2224" s="10"/>
      <c r="W2224" s="10"/>
      <c r="X2224" s="8">
        <f t="shared" si="3086"/>
        <v>0</v>
      </c>
      <c r="Y2224" s="9"/>
      <c r="Z2224" s="10"/>
      <c r="AA2224" s="10"/>
      <c r="AB2224" s="8">
        <f t="shared" si="3087"/>
        <v>0</v>
      </c>
      <c r="AC2224" s="93">
        <f t="shared" si="3088"/>
        <v>0</v>
      </c>
    </row>
    <row r="2225" spans="1:30" x14ac:dyDescent="0.15">
      <c r="A2225" s="63"/>
      <c r="B2225" s="9"/>
      <c r="C2225" s="10"/>
      <c r="D2225" s="10"/>
      <c r="E2225" s="8">
        <f t="shared" si="3076"/>
        <v>0</v>
      </c>
      <c r="F2225" s="9"/>
      <c r="G2225" s="10"/>
      <c r="H2225" s="10"/>
      <c r="I2225" s="8">
        <f t="shared" si="3077"/>
        <v>0</v>
      </c>
      <c r="J2225" s="9"/>
      <c r="K2225" s="10"/>
      <c r="L2225" s="10"/>
      <c r="M2225" s="39">
        <f t="shared" si="3078"/>
        <v>0</v>
      </c>
      <c r="N2225" s="138">
        <f t="shared" si="3079"/>
        <v>0</v>
      </c>
      <c r="P2225" s="4"/>
      <c r="Q2225" s="9"/>
      <c r="R2225" s="10"/>
      <c r="S2225" s="10"/>
      <c r="T2225" s="8">
        <f t="shared" si="3085"/>
        <v>0</v>
      </c>
      <c r="U2225" s="9"/>
      <c r="V2225" s="10"/>
      <c r="W2225" s="10"/>
      <c r="X2225" s="8">
        <f t="shared" si="3086"/>
        <v>0</v>
      </c>
      <c r="Y2225" s="9"/>
      <c r="Z2225" s="10"/>
      <c r="AA2225" s="10"/>
      <c r="AB2225" s="8">
        <f t="shared" si="3087"/>
        <v>0</v>
      </c>
      <c r="AC2225" s="93">
        <f t="shared" si="3088"/>
        <v>0</v>
      </c>
    </row>
    <row r="2226" spans="1:30" x14ac:dyDescent="0.15">
      <c r="A2226" s="33"/>
      <c r="B2226" s="9"/>
      <c r="C2226" s="10"/>
      <c r="D2226" s="10"/>
      <c r="E2226" s="8">
        <f t="shared" si="3076"/>
        <v>0</v>
      </c>
      <c r="F2226" s="9"/>
      <c r="G2226" s="10"/>
      <c r="H2226" s="10"/>
      <c r="I2226" s="8">
        <f t="shared" si="3077"/>
        <v>0</v>
      </c>
      <c r="J2226" s="9"/>
      <c r="K2226" s="10"/>
      <c r="L2226" s="10"/>
      <c r="M2226" s="39">
        <f t="shared" si="3078"/>
        <v>0</v>
      </c>
      <c r="N2226" s="138">
        <f t="shared" si="3079"/>
        <v>0</v>
      </c>
      <c r="P2226" s="81" t="s">
        <v>1903</v>
      </c>
      <c r="Q2226" s="71">
        <v>-10</v>
      </c>
      <c r="R2226" s="72">
        <v>-5</v>
      </c>
      <c r="S2226" s="72">
        <v>0</v>
      </c>
      <c r="T2226" s="73">
        <f t="shared" si="3085"/>
        <v>-15</v>
      </c>
      <c r="U2226" s="71">
        <v>0</v>
      </c>
      <c r="V2226" s="72">
        <v>0</v>
      </c>
      <c r="W2226" s="72">
        <v>0</v>
      </c>
      <c r="X2226" s="73">
        <f t="shared" si="3086"/>
        <v>0</v>
      </c>
      <c r="Y2226" s="71">
        <v>0</v>
      </c>
      <c r="Z2226" s="72">
        <v>0</v>
      </c>
      <c r="AA2226" s="72">
        <v>0</v>
      </c>
      <c r="AB2226" s="73">
        <f t="shared" si="3087"/>
        <v>0</v>
      </c>
      <c r="AC2226" s="92">
        <f t="shared" si="3088"/>
        <v>-15</v>
      </c>
    </row>
    <row r="2227" spans="1:30" x14ac:dyDescent="0.15">
      <c r="A2227" s="33"/>
      <c r="B2227" s="9"/>
      <c r="C2227" s="10"/>
      <c r="D2227" s="10"/>
      <c r="E2227" s="8">
        <f t="shared" si="3076"/>
        <v>0</v>
      </c>
      <c r="F2227" s="9"/>
      <c r="G2227" s="10"/>
      <c r="H2227" s="10"/>
      <c r="I2227" s="8">
        <f t="shared" si="3077"/>
        <v>0</v>
      </c>
      <c r="J2227" s="9"/>
      <c r="K2227" s="10"/>
      <c r="L2227" s="10"/>
      <c r="M2227" s="39">
        <f t="shared" si="3078"/>
        <v>0</v>
      </c>
      <c r="N2227" s="138">
        <f t="shared" si="3079"/>
        <v>0</v>
      </c>
      <c r="P2227" s="4" t="s">
        <v>1904</v>
      </c>
      <c r="Q2227" s="9">
        <v>70</v>
      </c>
      <c r="R2227" s="10">
        <v>80</v>
      </c>
      <c r="S2227" s="10">
        <v>35</v>
      </c>
      <c r="T2227" s="8">
        <f t="shared" si="3085"/>
        <v>185</v>
      </c>
      <c r="U2227" s="9">
        <v>45</v>
      </c>
      <c r="V2227" s="10">
        <v>60</v>
      </c>
      <c r="W2227" s="10">
        <v>35</v>
      </c>
      <c r="X2227" s="8">
        <f t="shared" si="3086"/>
        <v>140</v>
      </c>
      <c r="Y2227" s="9">
        <v>50</v>
      </c>
      <c r="Z2227" s="10">
        <v>105</v>
      </c>
      <c r="AA2227" s="10">
        <v>60</v>
      </c>
      <c r="AB2227" s="8">
        <f t="shared" si="3087"/>
        <v>215</v>
      </c>
      <c r="AC2227" s="93">
        <f t="shared" si="3088"/>
        <v>540</v>
      </c>
      <c r="AD2227" s="118" t="s">
        <v>1552</v>
      </c>
    </row>
    <row r="2228" spans="1:30" x14ac:dyDescent="0.15">
      <c r="A2228" s="33"/>
      <c r="B2228" s="9"/>
      <c r="C2228" s="10"/>
      <c r="D2228" s="10"/>
      <c r="E2228" s="8">
        <f t="shared" si="3076"/>
        <v>0</v>
      </c>
      <c r="F2228" s="9"/>
      <c r="G2228" s="10"/>
      <c r="H2228" s="10"/>
      <c r="I2228" s="8">
        <f t="shared" si="3077"/>
        <v>0</v>
      </c>
      <c r="J2228" s="9"/>
      <c r="K2228" s="10"/>
      <c r="L2228" s="10"/>
      <c r="M2228" s="39">
        <f t="shared" si="3078"/>
        <v>0</v>
      </c>
      <c r="N2228" s="138">
        <f t="shared" si="3079"/>
        <v>0</v>
      </c>
      <c r="P2228" s="126" t="s">
        <v>1870</v>
      </c>
      <c r="Q2228" s="68">
        <v>0</v>
      </c>
      <c r="R2228" s="69">
        <v>0</v>
      </c>
      <c r="S2228" s="69">
        <v>0</v>
      </c>
      <c r="T2228" s="67">
        <f t="shared" si="3085"/>
        <v>0</v>
      </c>
      <c r="U2228" s="68">
        <v>0</v>
      </c>
      <c r="V2228" s="69">
        <v>0</v>
      </c>
      <c r="W2228" s="69">
        <v>0</v>
      </c>
      <c r="X2228" s="67">
        <f t="shared" si="3086"/>
        <v>0</v>
      </c>
      <c r="Y2228" s="68">
        <v>0</v>
      </c>
      <c r="Z2228" s="69">
        <v>0</v>
      </c>
      <c r="AA2228" s="69">
        <v>0</v>
      </c>
      <c r="AB2228" s="67">
        <f t="shared" si="3087"/>
        <v>0</v>
      </c>
      <c r="AC2228" s="135">
        <f t="shared" si="3088"/>
        <v>0</v>
      </c>
    </row>
    <row r="2229" spans="1:30" x14ac:dyDescent="0.15">
      <c r="A2229" s="33"/>
      <c r="B2229" s="9"/>
      <c r="C2229" s="10"/>
      <c r="D2229" s="10"/>
      <c r="E2229" s="8">
        <f t="shared" si="3076"/>
        <v>0</v>
      </c>
      <c r="F2229" s="9"/>
      <c r="G2229" s="10"/>
      <c r="H2229" s="10"/>
      <c r="I2229" s="8">
        <f t="shared" si="3077"/>
        <v>0</v>
      </c>
      <c r="J2229" s="9"/>
      <c r="K2229" s="10"/>
      <c r="L2229" s="10"/>
      <c r="M2229" s="39">
        <f t="shared" si="3078"/>
        <v>0</v>
      </c>
      <c r="N2229" s="138">
        <f t="shared" si="3079"/>
        <v>0</v>
      </c>
      <c r="P2229" s="37" t="s">
        <v>1869</v>
      </c>
      <c r="Q2229" s="51">
        <v>10</v>
      </c>
      <c r="R2229" s="52">
        <v>10</v>
      </c>
      <c r="S2229" s="52">
        <v>10</v>
      </c>
      <c r="T2229" s="50">
        <f t="shared" si="3085"/>
        <v>30</v>
      </c>
      <c r="U2229" s="51">
        <v>10</v>
      </c>
      <c r="V2229" s="52">
        <v>10</v>
      </c>
      <c r="W2229" s="52">
        <v>10</v>
      </c>
      <c r="X2229" s="50">
        <f t="shared" si="3086"/>
        <v>30</v>
      </c>
      <c r="Y2229" s="51">
        <v>10</v>
      </c>
      <c r="Z2229" s="52">
        <v>10</v>
      </c>
      <c r="AA2229" s="52">
        <v>10</v>
      </c>
      <c r="AB2229" s="50">
        <f t="shared" si="3087"/>
        <v>30</v>
      </c>
      <c r="AC2229" s="149">
        <f t="shared" si="3088"/>
        <v>90</v>
      </c>
      <c r="AD2229" s="123" t="s">
        <v>1871</v>
      </c>
    </row>
    <row r="2230" spans="1:30" x14ac:dyDescent="0.15">
      <c r="A2230" s="33"/>
      <c r="B2230" s="9"/>
      <c r="C2230" s="10"/>
      <c r="D2230" s="10"/>
      <c r="E2230" s="8">
        <f t="shared" si="3076"/>
        <v>0</v>
      </c>
      <c r="F2230" s="9"/>
      <c r="G2230" s="10"/>
      <c r="H2230" s="10"/>
      <c r="I2230" s="8">
        <f t="shared" si="3077"/>
        <v>0</v>
      </c>
      <c r="J2230" s="9"/>
      <c r="K2230" s="10"/>
      <c r="L2230" s="10"/>
      <c r="M2230" s="39">
        <f t="shared" si="3078"/>
        <v>0</v>
      </c>
      <c r="N2230" s="138">
        <f t="shared" si="3079"/>
        <v>0</v>
      </c>
      <c r="P2230" s="126" t="s">
        <v>1792</v>
      </c>
      <c r="Q2230" s="68">
        <v>-20</v>
      </c>
      <c r="R2230" s="69">
        <v>-40</v>
      </c>
      <c r="S2230" s="69">
        <v>-20</v>
      </c>
      <c r="T2230" s="67">
        <f t="shared" si="3085"/>
        <v>-80</v>
      </c>
      <c r="U2230" s="68">
        <v>-20</v>
      </c>
      <c r="V2230" s="69">
        <v>-40</v>
      </c>
      <c r="W2230" s="69">
        <v>-20</v>
      </c>
      <c r="X2230" s="67">
        <f t="shared" si="3086"/>
        <v>-80</v>
      </c>
      <c r="Y2230" s="68">
        <v>-20</v>
      </c>
      <c r="Z2230" s="69">
        <v>-40</v>
      </c>
      <c r="AA2230" s="69">
        <v>-20</v>
      </c>
      <c r="AB2230" s="67">
        <f t="shared" si="3087"/>
        <v>-80</v>
      </c>
      <c r="AC2230" s="135">
        <f t="shared" si="3088"/>
        <v>-240</v>
      </c>
      <c r="AD2230" s="123"/>
    </row>
    <row r="2231" spans="1:30" x14ac:dyDescent="0.15">
      <c r="A2231" s="33"/>
      <c r="B2231" s="9"/>
      <c r="C2231" s="10"/>
      <c r="D2231" s="10"/>
      <c r="E2231" s="8">
        <f t="shared" si="3076"/>
        <v>0</v>
      </c>
      <c r="F2231" s="9"/>
      <c r="G2231" s="10"/>
      <c r="H2231" s="10"/>
      <c r="I2231" s="8">
        <f t="shared" si="3077"/>
        <v>0</v>
      </c>
      <c r="J2231" s="9"/>
      <c r="K2231" s="10"/>
      <c r="L2231" s="10"/>
      <c r="M2231" s="39">
        <f t="shared" si="3078"/>
        <v>0</v>
      </c>
      <c r="N2231" s="138">
        <f t="shared" si="3079"/>
        <v>0</v>
      </c>
      <c r="P2231" s="37" t="s">
        <v>1793</v>
      </c>
      <c r="Q2231" s="51">
        <v>60</v>
      </c>
      <c r="R2231" s="52">
        <v>110</v>
      </c>
      <c r="S2231" s="52">
        <v>80</v>
      </c>
      <c r="T2231" s="50">
        <f t="shared" si="3085"/>
        <v>250</v>
      </c>
      <c r="U2231" s="51">
        <v>60</v>
      </c>
      <c r="V2231" s="52">
        <v>110</v>
      </c>
      <c r="W2231" s="52">
        <v>80</v>
      </c>
      <c r="X2231" s="50">
        <f t="shared" si="3086"/>
        <v>250</v>
      </c>
      <c r="Y2231" s="51">
        <v>60</v>
      </c>
      <c r="Z2231" s="52">
        <v>110</v>
      </c>
      <c r="AA2231" s="52">
        <v>80</v>
      </c>
      <c r="AB2231" s="50">
        <f t="shared" si="3087"/>
        <v>250</v>
      </c>
      <c r="AC2231" s="149">
        <f t="shared" si="3088"/>
        <v>750</v>
      </c>
      <c r="AD2231" s="123" t="s">
        <v>1833</v>
      </c>
    </row>
    <row r="2232" spans="1:30" x14ac:dyDescent="0.15">
      <c r="A2232" s="33"/>
      <c r="B2232" s="9"/>
      <c r="C2232" s="10"/>
      <c r="D2232" s="10"/>
      <c r="E2232" s="8">
        <f t="shared" si="3076"/>
        <v>0</v>
      </c>
      <c r="F2232" s="9"/>
      <c r="G2232" s="10"/>
      <c r="H2232" s="10"/>
      <c r="I2232" s="8">
        <f t="shared" si="3077"/>
        <v>0</v>
      </c>
      <c r="J2232" s="9"/>
      <c r="K2232" s="10"/>
      <c r="L2232" s="10"/>
      <c r="M2232" s="39">
        <f t="shared" si="3078"/>
        <v>0</v>
      </c>
      <c r="N2232" s="138">
        <f t="shared" si="3079"/>
        <v>0</v>
      </c>
      <c r="P2232" s="126" t="s">
        <v>1847</v>
      </c>
      <c r="Q2232" s="68">
        <v>0</v>
      </c>
      <c r="R2232" s="69">
        <v>0</v>
      </c>
      <c r="S2232" s="69">
        <v>0</v>
      </c>
      <c r="T2232" s="305">
        <f t="shared" si="3085"/>
        <v>0</v>
      </c>
      <c r="U2232" s="68">
        <v>0</v>
      </c>
      <c r="V2232" s="69">
        <v>0</v>
      </c>
      <c r="W2232" s="69">
        <v>0</v>
      </c>
      <c r="X2232" s="305">
        <f t="shared" si="3086"/>
        <v>0</v>
      </c>
      <c r="Y2232" s="68">
        <v>0</v>
      </c>
      <c r="Z2232" s="69">
        <v>0</v>
      </c>
      <c r="AA2232" s="69">
        <v>0</v>
      </c>
      <c r="AB2232" s="305">
        <f t="shared" si="3087"/>
        <v>0</v>
      </c>
      <c r="AC2232" s="135">
        <f t="shared" si="3088"/>
        <v>0</v>
      </c>
    </row>
    <row r="2233" spans="1:30" ht="14.25" thickBot="1" x14ac:dyDescent="0.2">
      <c r="A2233" s="63"/>
      <c r="B2233" s="9"/>
      <c r="C2233" s="10"/>
      <c r="D2233" s="22"/>
      <c r="E2233" s="8">
        <f t="shared" si="3076"/>
        <v>0</v>
      </c>
      <c r="F2233" s="9"/>
      <c r="G2233" s="10"/>
      <c r="H2233" s="22"/>
      <c r="I2233" s="8">
        <f t="shared" si="3077"/>
        <v>0</v>
      </c>
      <c r="J2233" s="9"/>
      <c r="K2233" s="10"/>
      <c r="L2233" s="22"/>
      <c r="M2233" s="39">
        <f t="shared" si="3078"/>
        <v>0</v>
      </c>
      <c r="N2233" s="139">
        <f t="shared" si="3079"/>
        <v>0</v>
      </c>
      <c r="P2233" s="37" t="s">
        <v>1848</v>
      </c>
      <c r="Q2233" s="51">
        <v>20</v>
      </c>
      <c r="R2233" s="52">
        <v>27</v>
      </c>
      <c r="S2233" s="52">
        <v>20</v>
      </c>
      <c r="T2233" s="147">
        <f t="shared" si="3085"/>
        <v>67</v>
      </c>
      <c r="U2233" s="51">
        <v>20</v>
      </c>
      <c r="V2233" s="52">
        <v>27</v>
      </c>
      <c r="W2233" s="52">
        <v>20</v>
      </c>
      <c r="X2233" s="147">
        <f t="shared" si="3086"/>
        <v>67</v>
      </c>
      <c r="Y2233" s="51">
        <v>20</v>
      </c>
      <c r="Z2233" s="52">
        <v>27</v>
      </c>
      <c r="AA2233" s="52">
        <v>20</v>
      </c>
      <c r="AB2233" s="147">
        <f t="shared" si="3087"/>
        <v>67</v>
      </c>
      <c r="AC2233" s="149">
        <f t="shared" si="3088"/>
        <v>201</v>
      </c>
      <c r="AD2233" s="123" t="s">
        <v>1849</v>
      </c>
    </row>
    <row r="2234" spans="1:30" ht="14.25" thickBot="1" x14ac:dyDescent="0.2">
      <c r="A2234" s="104" t="s">
        <v>5</v>
      </c>
      <c r="B2234" s="12">
        <f>SUM(B2210:B2233)</f>
        <v>0</v>
      </c>
      <c r="C2234" s="12">
        <f>SUM(C2210:C2233)</f>
        <v>0</v>
      </c>
      <c r="D2234" s="12">
        <f>SUM(D2210:D2233)</f>
        <v>0</v>
      </c>
      <c r="E2234" s="13">
        <f t="shared" si="3076"/>
        <v>0</v>
      </c>
      <c r="F2234" s="12">
        <f>SUM(F2210:F2233)</f>
        <v>0</v>
      </c>
      <c r="G2234" s="12">
        <f>SUM(G2210:G2233)</f>
        <v>0</v>
      </c>
      <c r="H2234" s="12">
        <f>SUM(H2210:H2233)</f>
        <v>0</v>
      </c>
      <c r="I2234" s="13">
        <f t="shared" si="3077"/>
        <v>0</v>
      </c>
      <c r="J2234" s="12">
        <f>SUM(J2210:J2233)</f>
        <v>0</v>
      </c>
      <c r="K2234" s="12">
        <f>SUM(K2210:K2233)</f>
        <v>0</v>
      </c>
      <c r="L2234" s="12">
        <f>SUM(L2210:L2233)</f>
        <v>0</v>
      </c>
      <c r="M2234" s="12">
        <f t="shared" si="3078"/>
        <v>0</v>
      </c>
      <c r="N2234" s="142">
        <f t="shared" si="3079"/>
        <v>0</v>
      </c>
      <c r="P2234" s="3" t="s">
        <v>5</v>
      </c>
      <c r="Q2234" s="12">
        <f>SUM(Q2210:Q2233)</f>
        <v>130</v>
      </c>
      <c r="R2234" s="12">
        <f t="shared" ref="R2234:AC2234" si="3089">SUM(R2210:R2233)</f>
        <v>182</v>
      </c>
      <c r="S2234" s="12">
        <f t="shared" si="3089"/>
        <v>125</v>
      </c>
      <c r="T2234" s="13">
        <f t="shared" si="3089"/>
        <v>437</v>
      </c>
      <c r="U2234" s="12">
        <f t="shared" si="3089"/>
        <v>115</v>
      </c>
      <c r="V2234" s="12">
        <f t="shared" si="3089"/>
        <v>167</v>
      </c>
      <c r="W2234" s="12">
        <f t="shared" si="3089"/>
        <v>125</v>
      </c>
      <c r="X2234" s="13">
        <f t="shared" si="3089"/>
        <v>407</v>
      </c>
      <c r="Y2234" s="12">
        <f t="shared" si="3089"/>
        <v>120</v>
      </c>
      <c r="Z2234" s="12">
        <f t="shared" si="3089"/>
        <v>212</v>
      </c>
      <c r="AA2234" s="12">
        <f t="shared" si="3089"/>
        <v>150</v>
      </c>
      <c r="AB2234" s="13">
        <f t="shared" si="3089"/>
        <v>482</v>
      </c>
      <c r="AC2234" s="155">
        <f t="shared" si="3089"/>
        <v>1326</v>
      </c>
    </row>
    <row r="2235" spans="1:30" ht="14.25" thickBot="1" x14ac:dyDescent="0.2">
      <c r="A2235" s="105" t="s">
        <v>6</v>
      </c>
      <c r="B2235" s="20">
        <f>B2209-B2234</f>
        <v>29</v>
      </c>
      <c r="C2235" s="20">
        <f t="shared" ref="C2235:E2235" si="3090">C2209-C2234</f>
        <v>26</v>
      </c>
      <c r="D2235" s="20">
        <f t="shared" si="3090"/>
        <v>20</v>
      </c>
      <c r="E2235" s="18">
        <f t="shared" si="3090"/>
        <v>75</v>
      </c>
      <c r="F2235" s="20">
        <f>F2209-F2234</f>
        <v>26</v>
      </c>
      <c r="G2235" s="20">
        <f t="shared" ref="G2235:I2235" si="3091">G2209-G2234</f>
        <v>28</v>
      </c>
      <c r="H2235" s="20">
        <f t="shared" si="3091"/>
        <v>18</v>
      </c>
      <c r="I2235" s="18">
        <f t="shared" si="3091"/>
        <v>72</v>
      </c>
      <c r="J2235" s="20">
        <f>J2209-J2234</f>
        <v>29</v>
      </c>
      <c r="K2235" s="20">
        <f t="shared" ref="K2235:M2235" si="3092">K2209-K2234</f>
        <v>27</v>
      </c>
      <c r="L2235" s="20">
        <f t="shared" si="3092"/>
        <v>22</v>
      </c>
      <c r="M2235" s="20">
        <f t="shared" si="3092"/>
        <v>78</v>
      </c>
      <c r="N2235" s="140">
        <f t="shared" si="3079"/>
        <v>225</v>
      </c>
      <c r="P2235" s="19" t="s">
        <v>6</v>
      </c>
      <c r="Q2235" s="20">
        <f>Q2209-Q2234</f>
        <v>261</v>
      </c>
      <c r="R2235" s="20">
        <f t="shared" ref="R2235:AC2235" si="3093">R2209-R2234</f>
        <v>483</v>
      </c>
      <c r="S2235" s="20">
        <f t="shared" si="3093"/>
        <v>429</v>
      </c>
      <c r="T2235" s="18">
        <f t="shared" si="3093"/>
        <v>1173</v>
      </c>
      <c r="U2235" s="20">
        <f t="shared" si="3093"/>
        <v>409</v>
      </c>
      <c r="V2235" s="20">
        <f t="shared" si="3093"/>
        <v>562</v>
      </c>
      <c r="W2235" s="20">
        <f t="shared" si="3093"/>
        <v>420</v>
      </c>
      <c r="X2235" s="18">
        <f t="shared" si="3093"/>
        <v>1391</v>
      </c>
      <c r="Y2235" s="20">
        <f t="shared" si="3093"/>
        <v>379</v>
      </c>
      <c r="Z2235" s="20">
        <f t="shared" si="3093"/>
        <v>336</v>
      </c>
      <c r="AA2235" s="20">
        <f t="shared" si="3093"/>
        <v>291</v>
      </c>
      <c r="AB2235" s="18">
        <f t="shared" si="3093"/>
        <v>1006</v>
      </c>
      <c r="AC2235" s="88">
        <f t="shared" si="3093"/>
        <v>3570</v>
      </c>
    </row>
    <row r="2238" spans="1:30" ht="19.5" thickBot="1" x14ac:dyDescent="0.25">
      <c r="A2238" s="108" t="s">
        <v>264</v>
      </c>
      <c r="B2238" s="47"/>
      <c r="C2238" s="47"/>
      <c r="D2238" s="47"/>
      <c r="E2238" s="47"/>
      <c r="F2238" s="48"/>
      <c r="G2238" s="48"/>
      <c r="H2238" s="48"/>
      <c r="I2238" s="48"/>
      <c r="J2238" s="48"/>
      <c r="K2238" s="48"/>
      <c r="L2238" s="1"/>
      <c r="M2238" s="1"/>
      <c r="N2238" s="137"/>
      <c r="P2238" s="43" t="s">
        <v>263</v>
      </c>
      <c r="Q2238" s="44"/>
      <c r="R2238" s="44"/>
      <c r="S2238" s="44"/>
      <c r="T2238" s="44"/>
      <c r="U2238" s="45"/>
      <c r="V2238" s="45"/>
      <c r="W2238" s="45"/>
      <c r="X2238" s="45"/>
      <c r="Y2238" s="46"/>
      <c r="Z2238" s="53"/>
      <c r="AA2238" s="1"/>
      <c r="AB2238" s="1"/>
    </row>
    <row r="2239" spans="1:30" ht="14.25" thickBot="1" x14ac:dyDescent="0.2">
      <c r="A2239" s="100" t="s">
        <v>0</v>
      </c>
      <c r="B2239" s="337" t="s">
        <v>11</v>
      </c>
      <c r="C2239" s="337"/>
      <c r="D2239" s="337"/>
      <c r="E2239" s="338"/>
      <c r="F2239" s="339" t="s">
        <v>9</v>
      </c>
      <c r="G2239" s="340"/>
      <c r="H2239" s="340"/>
      <c r="I2239" s="341"/>
      <c r="J2239" s="342" t="s">
        <v>12</v>
      </c>
      <c r="K2239" s="343"/>
      <c r="L2239" s="343"/>
      <c r="M2239" s="343"/>
      <c r="N2239" s="347" t="s">
        <v>13</v>
      </c>
      <c r="P2239" s="2" t="s">
        <v>0</v>
      </c>
      <c r="Q2239" s="336" t="s">
        <v>11</v>
      </c>
      <c r="R2239" s="337"/>
      <c r="S2239" s="337"/>
      <c r="T2239" s="338"/>
      <c r="U2239" s="339" t="s">
        <v>9</v>
      </c>
      <c r="V2239" s="340"/>
      <c r="W2239" s="340"/>
      <c r="X2239" s="341"/>
      <c r="Y2239" s="342" t="s">
        <v>12</v>
      </c>
      <c r="Z2239" s="343"/>
      <c r="AA2239" s="343"/>
      <c r="AB2239" s="344"/>
      <c r="AC2239" s="345" t="s">
        <v>13</v>
      </c>
    </row>
    <row r="2240" spans="1:30" ht="14.25" thickBot="1" x14ac:dyDescent="0.2">
      <c r="A2240" s="100" t="s">
        <v>1</v>
      </c>
      <c r="B2240" s="3" t="s">
        <v>7</v>
      </c>
      <c r="C2240" s="2" t="s">
        <v>10</v>
      </c>
      <c r="D2240" s="2" t="s">
        <v>8</v>
      </c>
      <c r="E2240" s="2" t="s">
        <v>2</v>
      </c>
      <c r="F2240" s="3" t="s">
        <v>7</v>
      </c>
      <c r="G2240" s="2" t="s">
        <v>10</v>
      </c>
      <c r="H2240" s="2" t="s">
        <v>8</v>
      </c>
      <c r="I2240" s="2" t="s">
        <v>2</v>
      </c>
      <c r="J2240" s="3" t="s">
        <v>7</v>
      </c>
      <c r="K2240" s="2" t="s">
        <v>10</v>
      </c>
      <c r="L2240" s="2" t="s">
        <v>8</v>
      </c>
      <c r="M2240" s="3" t="s">
        <v>2</v>
      </c>
      <c r="N2240" s="348"/>
      <c r="P2240" s="2" t="s">
        <v>1</v>
      </c>
      <c r="Q2240" s="3" t="s">
        <v>7</v>
      </c>
      <c r="R2240" s="2" t="s">
        <v>10</v>
      </c>
      <c r="S2240" s="2" t="s">
        <v>8</v>
      </c>
      <c r="T2240" s="2" t="s">
        <v>2</v>
      </c>
      <c r="U2240" s="3" t="s">
        <v>7</v>
      </c>
      <c r="V2240" s="2" t="s">
        <v>10</v>
      </c>
      <c r="W2240" s="2" t="s">
        <v>8</v>
      </c>
      <c r="X2240" s="2" t="s">
        <v>2</v>
      </c>
      <c r="Y2240" s="3" t="s">
        <v>7</v>
      </c>
      <c r="Z2240" s="2" t="s">
        <v>10</v>
      </c>
      <c r="AA2240" s="2" t="s">
        <v>8</v>
      </c>
      <c r="AB2240" s="2" t="s">
        <v>2</v>
      </c>
      <c r="AC2240" s="346"/>
    </row>
    <row r="2241" spans="1:30" x14ac:dyDescent="0.15">
      <c r="A2241" s="106" t="s">
        <v>6</v>
      </c>
      <c r="B2241" s="41">
        <f>B2235</f>
        <v>29</v>
      </c>
      <c r="C2241" s="41">
        <f t="shared" ref="C2241:E2241" si="3094">C2235</f>
        <v>26</v>
      </c>
      <c r="D2241" s="41">
        <f t="shared" si="3094"/>
        <v>20</v>
      </c>
      <c r="E2241" s="42">
        <f t="shared" si="3094"/>
        <v>75</v>
      </c>
      <c r="F2241" s="41">
        <f>F2235</f>
        <v>26</v>
      </c>
      <c r="G2241" s="41">
        <f t="shared" ref="G2241:I2241" si="3095">G2235</f>
        <v>28</v>
      </c>
      <c r="H2241" s="41">
        <f t="shared" si="3095"/>
        <v>18</v>
      </c>
      <c r="I2241" s="42">
        <f t="shared" si="3095"/>
        <v>72</v>
      </c>
      <c r="J2241" s="41">
        <f>J2235</f>
        <v>29</v>
      </c>
      <c r="K2241" s="41">
        <f t="shared" ref="K2241:M2241" si="3096">K2235</f>
        <v>27</v>
      </c>
      <c r="L2241" s="41">
        <f t="shared" si="3096"/>
        <v>22</v>
      </c>
      <c r="M2241" s="42">
        <f t="shared" si="3096"/>
        <v>78</v>
      </c>
      <c r="N2241" s="143">
        <f>E2241+I2241+M2241</f>
        <v>225</v>
      </c>
      <c r="P2241" s="36" t="s">
        <v>6</v>
      </c>
      <c r="Q2241" s="41">
        <f>Q2235</f>
        <v>261</v>
      </c>
      <c r="R2241" s="41">
        <f t="shared" ref="R2241:AC2241" si="3097">R2235</f>
        <v>483</v>
      </c>
      <c r="S2241" s="41">
        <f t="shared" si="3097"/>
        <v>429</v>
      </c>
      <c r="T2241" s="42">
        <f t="shared" si="3097"/>
        <v>1173</v>
      </c>
      <c r="U2241" s="41">
        <f t="shared" si="3097"/>
        <v>409</v>
      </c>
      <c r="V2241" s="41">
        <f t="shared" si="3097"/>
        <v>562</v>
      </c>
      <c r="W2241" s="41">
        <f t="shared" si="3097"/>
        <v>420</v>
      </c>
      <c r="X2241" s="42">
        <f t="shared" si="3097"/>
        <v>1391</v>
      </c>
      <c r="Y2241" s="41">
        <f t="shared" si="3097"/>
        <v>379</v>
      </c>
      <c r="Z2241" s="41">
        <f t="shared" si="3097"/>
        <v>336</v>
      </c>
      <c r="AA2241" s="41">
        <f t="shared" si="3097"/>
        <v>291</v>
      </c>
      <c r="AB2241" s="42">
        <f t="shared" si="3097"/>
        <v>1006</v>
      </c>
      <c r="AC2241" s="90">
        <f t="shared" si="3097"/>
        <v>3570</v>
      </c>
    </row>
    <row r="2242" spans="1:30" x14ac:dyDescent="0.15">
      <c r="A2242" s="102" t="s">
        <v>3</v>
      </c>
      <c r="B2242" s="25"/>
      <c r="C2242" s="26"/>
      <c r="D2242" s="26"/>
      <c r="E2242" s="5">
        <f t="shared" ref="E2242:E2277" si="3098">SUM(B2242:D2242)</f>
        <v>0</v>
      </c>
      <c r="F2242" s="25"/>
      <c r="G2242" s="26"/>
      <c r="H2242" s="26"/>
      <c r="I2242" s="5">
        <f t="shared" ref="I2242:I2277" si="3099">SUM(F2242:H2242)</f>
        <v>0</v>
      </c>
      <c r="J2242" s="25"/>
      <c r="K2242" s="26"/>
      <c r="L2242" s="26"/>
      <c r="M2242" s="38">
        <f t="shared" ref="M2242:M2277" si="3100">SUM(J2242:L2242)</f>
        <v>0</v>
      </c>
      <c r="N2242" s="138">
        <f t="shared" ref="N2242:N2278" si="3101">E2242+I2242+M2242</f>
        <v>0</v>
      </c>
      <c r="P2242" s="6" t="s">
        <v>3</v>
      </c>
      <c r="Q2242" s="14"/>
      <c r="R2242" s="11"/>
      <c r="S2242" s="11"/>
      <c r="T2242" s="5">
        <f t="shared" ref="T2242:T2251" si="3102">SUM(Q2242:S2242)</f>
        <v>0</v>
      </c>
      <c r="U2242" s="14"/>
      <c r="V2242" s="11"/>
      <c r="W2242" s="11"/>
      <c r="X2242" s="5">
        <f t="shared" ref="X2242:X2251" si="3103">SUM(U2242:W2242)</f>
        <v>0</v>
      </c>
      <c r="Y2242" s="25"/>
      <c r="Z2242" s="26"/>
      <c r="AA2242" s="26"/>
      <c r="AB2242" s="5">
        <f t="shared" ref="AB2242:AB2251" si="3104">SUM(Y2242:AA2242)</f>
        <v>0</v>
      </c>
      <c r="AC2242" s="86">
        <f t="shared" ref="AC2242:AC2251" si="3105">T2242+X2242+AB2242</f>
        <v>0</v>
      </c>
    </row>
    <row r="2243" spans="1:30" x14ac:dyDescent="0.15">
      <c r="A2243" s="102" t="s">
        <v>3</v>
      </c>
      <c r="B2243" s="14"/>
      <c r="C2243" s="11"/>
      <c r="D2243" s="11"/>
      <c r="E2243" s="5">
        <f t="shared" si="3098"/>
        <v>0</v>
      </c>
      <c r="F2243" s="34"/>
      <c r="G2243" s="11"/>
      <c r="H2243" s="11"/>
      <c r="I2243" s="5">
        <f t="shared" si="3099"/>
        <v>0</v>
      </c>
      <c r="J2243" s="34"/>
      <c r="K2243" s="11"/>
      <c r="L2243" s="11"/>
      <c r="M2243" s="38">
        <f t="shared" si="3100"/>
        <v>0</v>
      </c>
      <c r="N2243" s="138">
        <f t="shared" si="3101"/>
        <v>0</v>
      </c>
      <c r="P2243" s="81" t="s">
        <v>3</v>
      </c>
      <c r="Q2243" s="62"/>
      <c r="R2243" s="4"/>
      <c r="S2243" s="4"/>
      <c r="T2243" s="5">
        <f t="shared" si="3102"/>
        <v>0</v>
      </c>
      <c r="U2243" s="62"/>
      <c r="V2243" s="4"/>
      <c r="W2243" s="4"/>
      <c r="X2243" s="5">
        <f t="shared" si="3103"/>
        <v>0</v>
      </c>
      <c r="Y2243" s="280"/>
      <c r="Z2243" s="281"/>
      <c r="AA2243" s="281"/>
      <c r="AB2243" s="5">
        <f t="shared" si="3104"/>
        <v>0</v>
      </c>
      <c r="AC2243" s="91">
        <f t="shared" si="3105"/>
        <v>0</v>
      </c>
    </row>
    <row r="2244" spans="1:30" x14ac:dyDescent="0.15">
      <c r="A2244" s="102" t="s">
        <v>3</v>
      </c>
      <c r="B2244" s="14"/>
      <c r="C2244" s="11"/>
      <c r="D2244" s="11"/>
      <c r="E2244" s="5">
        <f t="shared" si="3098"/>
        <v>0</v>
      </c>
      <c r="F2244" s="34"/>
      <c r="G2244" s="11"/>
      <c r="H2244" s="11"/>
      <c r="I2244" s="5">
        <f t="shared" si="3099"/>
        <v>0</v>
      </c>
      <c r="J2244" s="34"/>
      <c r="K2244" s="11"/>
      <c r="L2244" s="11"/>
      <c r="M2244" s="38">
        <f t="shared" si="3100"/>
        <v>0</v>
      </c>
      <c r="N2244" s="138">
        <f t="shared" si="3101"/>
        <v>0</v>
      </c>
      <c r="P2244" s="126" t="s">
        <v>378</v>
      </c>
      <c r="Q2244" s="323">
        <v>450</v>
      </c>
      <c r="R2244" s="37">
        <v>700</v>
      </c>
      <c r="S2244" s="37">
        <v>450</v>
      </c>
      <c r="T2244" s="147">
        <f t="shared" si="3102"/>
        <v>1600</v>
      </c>
      <c r="U2244" s="323">
        <v>400</v>
      </c>
      <c r="V2244" s="37">
        <v>700</v>
      </c>
      <c r="W2244" s="37">
        <v>500</v>
      </c>
      <c r="X2244" s="147">
        <f t="shared" si="3103"/>
        <v>1600</v>
      </c>
      <c r="Y2244" s="324">
        <v>400</v>
      </c>
      <c r="Z2244" s="325">
        <v>750</v>
      </c>
      <c r="AA2244" s="325">
        <v>450</v>
      </c>
      <c r="AB2244" s="147">
        <f t="shared" si="3104"/>
        <v>1600</v>
      </c>
      <c r="AC2244" s="326">
        <f t="shared" si="3105"/>
        <v>4800</v>
      </c>
      <c r="AD2244" s="328">
        <v>46327</v>
      </c>
    </row>
    <row r="2245" spans="1:30" x14ac:dyDescent="0.15">
      <c r="A2245" s="102" t="s">
        <v>3</v>
      </c>
      <c r="B2245" s="14"/>
      <c r="C2245" s="11"/>
      <c r="D2245" s="11"/>
      <c r="E2245" s="5">
        <f t="shared" si="3098"/>
        <v>0</v>
      </c>
      <c r="F2245" s="34"/>
      <c r="G2245" s="11"/>
      <c r="H2245" s="11"/>
      <c r="I2245" s="5">
        <f t="shared" si="3099"/>
        <v>0</v>
      </c>
      <c r="J2245" s="34"/>
      <c r="K2245" s="11"/>
      <c r="L2245" s="11"/>
      <c r="M2245" s="38">
        <f t="shared" si="3100"/>
        <v>0</v>
      </c>
      <c r="N2245" s="138">
        <f t="shared" si="3101"/>
        <v>0</v>
      </c>
      <c r="P2245" s="81" t="s">
        <v>3</v>
      </c>
      <c r="Q2245" s="62"/>
      <c r="R2245" s="4"/>
      <c r="S2245" s="4"/>
      <c r="T2245" s="5">
        <f t="shared" si="3102"/>
        <v>0</v>
      </c>
      <c r="U2245" s="62"/>
      <c r="V2245" s="4"/>
      <c r="W2245" s="4"/>
      <c r="X2245" s="5">
        <f t="shared" si="3103"/>
        <v>0</v>
      </c>
      <c r="Y2245" s="280"/>
      <c r="Z2245" s="281"/>
      <c r="AA2245" s="281"/>
      <c r="AB2245" s="5">
        <f t="shared" si="3104"/>
        <v>0</v>
      </c>
      <c r="AC2245" s="91">
        <f t="shared" si="3105"/>
        <v>0</v>
      </c>
    </row>
    <row r="2246" spans="1:30" x14ac:dyDescent="0.15">
      <c r="A2246" s="102" t="s">
        <v>3</v>
      </c>
      <c r="B2246" s="14"/>
      <c r="C2246" s="11"/>
      <c r="D2246" s="11"/>
      <c r="E2246" s="5">
        <f t="shared" si="3098"/>
        <v>0</v>
      </c>
      <c r="F2246" s="34"/>
      <c r="G2246" s="11"/>
      <c r="H2246" s="11"/>
      <c r="I2246" s="5">
        <f t="shared" si="3099"/>
        <v>0</v>
      </c>
      <c r="J2246" s="34"/>
      <c r="K2246" s="11"/>
      <c r="L2246" s="11"/>
      <c r="M2246" s="38">
        <f t="shared" si="3100"/>
        <v>0</v>
      </c>
      <c r="N2246" s="138">
        <f t="shared" si="3101"/>
        <v>0</v>
      </c>
      <c r="P2246" s="81" t="s">
        <v>3</v>
      </c>
      <c r="Q2246" s="62"/>
      <c r="R2246" s="4"/>
      <c r="S2246" s="4"/>
      <c r="T2246" s="5">
        <f t="shared" si="3102"/>
        <v>0</v>
      </c>
      <c r="U2246" s="62"/>
      <c r="V2246" s="4"/>
      <c r="W2246" s="4"/>
      <c r="X2246" s="5">
        <f t="shared" si="3103"/>
        <v>0</v>
      </c>
      <c r="Y2246" s="280"/>
      <c r="Z2246" s="281"/>
      <c r="AA2246" s="281"/>
      <c r="AB2246" s="5">
        <f t="shared" si="3104"/>
        <v>0</v>
      </c>
      <c r="AC2246" s="91">
        <f t="shared" si="3105"/>
        <v>0</v>
      </c>
    </row>
    <row r="2247" spans="1:30" x14ac:dyDescent="0.15">
      <c r="A2247" s="102" t="s">
        <v>3</v>
      </c>
      <c r="B2247" s="25"/>
      <c r="C2247" s="26"/>
      <c r="D2247" s="26"/>
      <c r="E2247" s="8">
        <f t="shared" si="3098"/>
        <v>0</v>
      </c>
      <c r="F2247" s="25"/>
      <c r="G2247" s="26"/>
      <c r="H2247" s="26"/>
      <c r="I2247" s="8">
        <f t="shared" si="3099"/>
        <v>0</v>
      </c>
      <c r="J2247" s="25"/>
      <c r="K2247" s="26"/>
      <c r="L2247" s="26"/>
      <c r="M2247" s="39">
        <f t="shared" si="3100"/>
        <v>0</v>
      </c>
      <c r="N2247" s="138">
        <f t="shared" si="3101"/>
        <v>0</v>
      </c>
      <c r="P2247" s="81" t="s">
        <v>3</v>
      </c>
      <c r="Q2247" s="62"/>
      <c r="R2247" s="4"/>
      <c r="S2247" s="4"/>
      <c r="T2247" s="5">
        <f t="shared" si="3102"/>
        <v>0</v>
      </c>
      <c r="U2247" s="62"/>
      <c r="V2247" s="4"/>
      <c r="W2247" s="4"/>
      <c r="X2247" s="5">
        <f t="shared" si="3103"/>
        <v>0</v>
      </c>
      <c r="Y2247" s="280"/>
      <c r="Z2247" s="281"/>
      <c r="AA2247" s="281"/>
      <c r="AB2247" s="5">
        <f t="shared" si="3104"/>
        <v>0</v>
      </c>
      <c r="AC2247" s="91">
        <f t="shared" si="3105"/>
        <v>0</v>
      </c>
    </row>
    <row r="2248" spans="1:30" x14ac:dyDescent="0.15">
      <c r="A2248" s="102" t="s">
        <v>3</v>
      </c>
      <c r="B2248" s="27"/>
      <c r="C2248" s="26"/>
      <c r="D2248" s="26"/>
      <c r="E2248" s="5">
        <f t="shared" si="3098"/>
        <v>0</v>
      </c>
      <c r="F2248" s="25"/>
      <c r="G2248" s="26"/>
      <c r="H2248" s="26"/>
      <c r="I2248" s="5">
        <f t="shared" si="3099"/>
        <v>0</v>
      </c>
      <c r="J2248" s="25"/>
      <c r="K2248" s="26"/>
      <c r="L2248" s="26"/>
      <c r="M2248" s="38">
        <f t="shared" si="3100"/>
        <v>0</v>
      </c>
      <c r="N2248" s="138">
        <f t="shared" si="3101"/>
        <v>0</v>
      </c>
      <c r="P2248" s="81" t="s">
        <v>3</v>
      </c>
      <c r="Q2248" s="62"/>
      <c r="R2248" s="4"/>
      <c r="S2248" s="4"/>
      <c r="T2248" s="5">
        <f t="shared" si="3102"/>
        <v>0</v>
      </c>
      <c r="U2248" s="62"/>
      <c r="V2248" s="4"/>
      <c r="W2248" s="4"/>
      <c r="X2248" s="5">
        <f t="shared" si="3103"/>
        <v>0</v>
      </c>
      <c r="Y2248" s="280"/>
      <c r="Z2248" s="281"/>
      <c r="AA2248" s="281"/>
      <c r="AB2248" s="5">
        <f t="shared" si="3104"/>
        <v>0</v>
      </c>
      <c r="AC2248" s="91">
        <f t="shared" si="3105"/>
        <v>0</v>
      </c>
    </row>
    <row r="2249" spans="1:30" x14ac:dyDescent="0.15">
      <c r="A2249" s="102" t="s">
        <v>3</v>
      </c>
      <c r="B2249" s="27"/>
      <c r="C2249" s="26"/>
      <c r="D2249" s="26"/>
      <c r="E2249" s="5">
        <f t="shared" si="3098"/>
        <v>0</v>
      </c>
      <c r="F2249" s="25"/>
      <c r="G2249" s="26"/>
      <c r="H2249" s="26"/>
      <c r="I2249" s="5">
        <f t="shared" si="3099"/>
        <v>0</v>
      </c>
      <c r="J2249" s="25"/>
      <c r="K2249" s="26"/>
      <c r="L2249" s="26"/>
      <c r="M2249" s="38">
        <f t="shared" si="3100"/>
        <v>0</v>
      </c>
      <c r="N2249" s="138">
        <f t="shared" si="3101"/>
        <v>0</v>
      </c>
      <c r="P2249" s="6" t="s">
        <v>3</v>
      </c>
      <c r="Q2249" s="14"/>
      <c r="R2249" s="11"/>
      <c r="S2249" s="11"/>
      <c r="T2249" s="5">
        <f t="shared" si="3102"/>
        <v>0</v>
      </c>
      <c r="U2249" s="14"/>
      <c r="V2249" s="11"/>
      <c r="W2249" s="11"/>
      <c r="X2249" s="5">
        <f t="shared" si="3103"/>
        <v>0</v>
      </c>
      <c r="Y2249" s="25"/>
      <c r="Z2249" s="26"/>
      <c r="AA2249" s="26"/>
      <c r="AB2249" s="8">
        <f t="shared" si="3104"/>
        <v>0</v>
      </c>
      <c r="AC2249" s="86">
        <f t="shared" si="3105"/>
        <v>0</v>
      </c>
    </row>
    <row r="2250" spans="1:30" x14ac:dyDescent="0.15">
      <c r="A2250" s="102" t="s">
        <v>3</v>
      </c>
      <c r="B2250" s="27"/>
      <c r="C2250" s="26"/>
      <c r="D2250" s="26"/>
      <c r="E2250" s="5">
        <f t="shared" si="3098"/>
        <v>0</v>
      </c>
      <c r="F2250" s="25"/>
      <c r="G2250" s="26"/>
      <c r="H2250" s="26"/>
      <c r="I2250" s="5">
        <f t="shared" si="3099"/>
        <v>0</v>
      </c>
      <c r="J2250" s="25"/>
      <c r="K2250" s="26"/>
      <c r="L2250" s="26"/>
      <c r="M2250" s="38">
        <f t="shared" si="3100"/>
        <v>0</v>
      </c>
      <c r="N2250" s="138">
        <f t="shared" si="3101"/>
        <v>0</v>
      </c>
      <c r="P2250" s="6" t="s">
        <v>3</v>
      </c>
      <c r="Q2250" s="14"/>
      <c r="R2250" s="11"/>
      <c r="S2250" s="11"/>
      <c r="T2250" s="5">
        <f t="shared" si="3102"/>
        <v>0</v>
      </c>
      <c r="U2250" s="14"/>
      <c r="V2250" s="11"/>
      <c r="W2250" s="11"/>
      <c r="X2250" s="5">
        <f t="shared" si="3103"/>
        <v>0</v>
      </c>
      <c r="Y2250" s="25"/>
      <c r="Z2250" s="26"/>
      <c r="AA2250" s="26"/>
      <c r="AB2250" s="8">
        <f t="shared" si="3104"/>
        <v>0</v>
      </c>
      <c r="AC2250" s="86">
        <f t="shared" si="3105"/>
        <v>0</v>
      </c>
    </row>
    <row r="2251" spans="1:30" ht="14.25" thickBot="1" x14ac:dyDescent="0.2">
      <c r="A2251" s="102" t="s">
        <v>3</v>
      </c>
      <c r="B2251" s="28"/>
      <c r="C2251" s="29"/>
      <c r="D2251" s="32"/>
      <c r="E2251" s="15">
        <f t="shared" si="3098"/>
        <v>0</v>
      </c>
      <c r="F2251" s="35"/>
      <c r="G2251" s="29"/>
      <c r="H2251" s="32"/>
      <c r="I2251" s="15">
        <f t="shared" si="3099"/>
        <v>0</v>
      </c>
      <c r="J2251" s="35"/>
      <c r="K2251" s="29"/>
      <c r="L2251" s="32"/>
      <c r="M2251" s="40">
        <f t="shared" si="3100"/>
        <v>0</v>
      </c>
      <c r="N2251" s="139">
        <f t="shared" si="3101"/>
        <v>0</v>
      </c>
      <c r="P2251" s="6" t="s">
        <v>3</v>
      </c>
      <c r="Q2251" s="14"/>
      <c r="R2251" s="11"/>
      <c r="S2251" s="11"/>
      <c r="T2251" s="5">
        <f t="shared" si="3102"/>
        <v>0</v>
      </c>
      <c r="U2251" s="14"/>
      <c r="V2251" s="11"/>
      <c r="W2251" s="11"/>
      <c r="X2251" s="5">
        <f t="shared" si="3103"/>
        <v>0</v>
      </c>
      <c r="Y2251" s="25"/>
      <c r="Z2251" s="26"/>
      <c r="AA2251" s="26"/>
      <c r="AB2251" s="8">
        <f t="shared" si="3104"/>
        <v>0</v>
      </c>
      <c r="AC2251" s="86">
        <f t="shared" si="3105"/>
        <v>0</v>
      </c>
    </row>
    <row r="2252" spans="1:30" ht="14.25" thickBot="1" x14ac:dyDescent="0.2">
      <c r="A2252" s="103" t="s">
        <v>4</v>
      </c>
      <c r="B2252" s="17">
        <f>SUM(B2241:B2251)</f>
        <v>29</v>
      </c>
      <c r="C2252" s="17">
        <f>SUM(C2241:C2251)</f>
        <v>26</v>
      </c>
      <c r="D2252" s="17">
        <f>SUM(D2241:D2251)</f>
        <v>20</v>
      </c>
      <c r="E2252" s="18">
        <f t="shared" si="3098"/>
        <v>75</v>
      </c>
      <c r="F2252" s="17">
        <f>SUM(F2241:F2251)</f>
        <v>26</v>
      </c>
      <c r="G2252" s="17">
        <f>SUM(G2241:G2251)</f>
        <v>28</v>
      </c>
      <c r="H2252" s="17">
        <f>SUM(H2241:H2251)</f>
        <v>18</v>
      </c>
      <c r="I2252" s="18">
        <f t="shared" si="3099"/>
        <v>72</v>
      </c>
      <c r="J2252" s="17">
        <f>SUM(J2241:J2251)</f>
        <v>29</v>
      </c>
      <c r="K2252" s="17">
        <f>SUM(K2241:K2251)</f>
        <v>27</v>
      </c>
      <c r="L2252" s="17">
        <f>SUM(L2241:L2251)</f>
        <v>22</v>
      </c>
      <c r="M2252" s="20">
        <f t="shared" si="3100"/>
        <v>78</v>
      </c>
      <c r="N2252" s="140">
        <f t="shared" si="3101"/>
        <v>225</v>
      </c>
      <c r="P2252" s="16" t="s">
        <v>4</v>
      </c>
      <c r="Q2252" s="17">
        <f>SUM(Q2241:Q2251)</f>
        <v>711</v>
      </c>
      <c r="R2252" s="17">
        <f t="shared" ref="R2252:AC2252" si="3106">SUM(R2241:R2251)</f>
        <v>1183</v>
      </c>
      <c r="S2252" s="17">
        <f t="shared" si="3106"/>
        <v>879</v>
      </c>
      <c r="T2252" s="18">
        <f t="shared" si="3106"/>
        <v>2773</v>
      </c>
      <c r="U2252" s="17">
        <f t="shared" si="3106"/>
        <v>809</v>
      </c>
      <c r="V2252" s="17">
        <f t="shared" si="3106"/>
        <v>1262</v>
      </c>
      <c r="W2252" s="17">
        <f t="shared" si="3106"/>
        <v>920</v>
      </c>
      <c r="X2252" s="18">
        <f t="shared" si="3106"/>
        <v>2991</v>
      </c>
      <c r="Y2252" s="17">
        <f t="shared" si="3106"/>
        <v>779</v>
      </c>
      <c r="Z2252" s="17">
        <f t="shared" si="3106"/>
        <v>1086</v>
      </c>
      <c r="AA2252" s="17">
        <f t="shared" si="3106"/>
        <v>741</v>
      </c>
      <c r="AB2252" s="18">
        <f t="shared" si="3106"/>
        <v>2606</v>
      </c>
      <c r="AC2252" s="88">
        <f t="shared" si="3106"/>
        <v>8370</v>
      </c>
    </row>
    <row r="2253" spans="1:30" x14ac:dyDescent="0.15">
      <c r="A2253" s="33"/>
      <c r="B2253" s="9"/>
      <c r="C2253" s="10"/>
      <c r="D2253" s="31"/>
      <c r="E2253" s="5">
        <f t="shared" si="3098"/>
        <v>0</v>
      </c>
      <c r="F2253" s="9"/>
      <c r="G2253" s="10"/>
      <c r="H2253" s="31"/>
      <c r="I2253" s="5">
        <f t="shared" si="3099"/>
        <v>0</v>
      </c>
      <c r="J2253" s="9"/>
      <c r="K2253" s="10"/>
      <c r="L2253" s="31"/>
      <c r="M2253" s="38">
        <f t="shared" si="3100"/>
        <v>0</v>
      </c>
      <c r="N2253" s="141">
        <f t="shared" si="3101"/>
        <v>0</v>
      </c>
      <c r="P2253" s="4"/>
      <c r="Q2253" s="9"/>
      <c r="R2253" s="10"/>
      <c r="S2253" s="31"/>
      <c r="T2253" s="5">
        <f t="shared" ref="T2253:T2276" si="3107">SUM(Q2253:S2253)</f>
        <v>0</v>
      </c>
      <c r="U2253" s="9"/>
      <c r="V2253" s="10"/>
      <c r="W2253" s="31"/>
      <c r="X2253" s="5">
        <f t="shared" ref="X2253:X2276" si="3108">SUM(U2253:W2253)</f>
        <v>0</v>
      </c>
      <c r="Y2253" s="9"/>
      <c r="Z2253" s="10"/>
      <c r="AA2253" s="31"/>
      <c r="AB2253" s="5">
        <f t="shared" ref="AB2253:AB2276" si="3109">SUM(Y2253:AA2253)</f>
        <v>0</v>
      </c>
      <c r="AC2253" s="148">
        <f t="shared" ref="AC2253:AC2276" si="3110">T2253+X2253+AB2253</f>
        <v>0</v>
      </c>
    </row>
    <row r="2254" spans="1:30" x14ac:dyDescent="0.15">
      <c r="A2254" s="33"/>
      <c r="B2254" s="9"/>
      <c r="C2254" s="10"/>
      <c r="D2254" s="10"/>
      <c r="E2254" s="5">
        <f t="shared" si="3098"/>
        <v>0</v>
      </c>
      <c r="F2254" s="9"/>
      <c r="G2254" s="10"/>
      <c r="H2254" s="10"/>
      <c r="I2254" s="5">
        <f t="shared" si="3099"/>
        <v>0</v>
      </c>
      <c r="J2254" s="9"/>
      <c r="K2254" s="10"/>
      <c r="L2254" s="10"/>
      <c r="M2254" s="38">
        <f t="shared" si="3100"/>
        <v>0</v>
      </c>
      <c r="N2254" s="138">
        <f t="shared" si="3101"/>
        <v>0</v>
      </c>
      <c r="P2254" s="4"/>
      <c r="Q2254" s="9"/>
      <c r="R2254" s="10"/>
      <c r="S2254" s="10"/>
      <c r="T2254" s="5">
        <f t="shared" si="3107"/>
        <v>0</v>
      </c>
      <c r="U2254" s="9"/>
      <c r="V2254" s="10"/>
      <c r="W2254" s="10"/>
      <c r="X2254" s="5">
        <f t="shared" si="3108"/>
        <v>0</v>
      </c>
      <c r="Y2254" s="9"/>
      <c r="Z2254" s="10"/>
      <c r="AA2254" s="10"/>
      <c r="AB2254" s="5">
        <f t="shared" si="3109"/>
        <v>0</v>
      </c>
      <c r="AC2254" s="93">
        <f t="shared" si="3110"/>
        <v>0</v>
      </c>
    </row>
    <row r="2255" spans="1:30" x14ac:dyDescent="0.15">
      <c r="A2255" s="33"/>
      <c r="B2255" s="9"/>
      <c r="C2255" s="10"/>
      <c r="D2255" s="10"/>
      <c r="E2255" s="5">
        <f t="shared" si="3098"/>
        <v>0</v>
      </c>
      <c r="F2255" s="9"/>
      <c r="G2255" s="10"/>
      <c r="H2255" s="10"/>
      <c r="I2255" s="5">
        <f t="shared" si="3099"/>
        <v>0</v>
      </c>
      <c r="J2255" s="9"/>
      <c r="K2255" s="10"/>
      <c r="L2255" s="10"/>
      <c r="M2255" s="38">
        <f t="shared" si="3100"/>
        <v>0</v>
      </c>
      <c r="N2255" s="138">
        <f t="shared" si="3101"/>
        <v>0</v>
      </c>
      <c r="P2255" s="11"/>
      <c r="Q2255" s="9"/>
      <c r="R2255" s="10"/>
      <c r="S2255" s="10"/>
      <c r="T2255" s="5">
        <f t="shared" si="3107"/>
        <v>0</v>
      </c>
      <c r="U2255" s="9"/>
      <c r="V2255" s="10"/>
      <c r="W2255" s="10"/>
      <c r="X2255" s="5">
        <f t="shared" si="3108"/>
        <v>0</v>
      </c>
      <c r="Y2255" s="9"/>
      <c r="Z2255" s="10"/>
      <c r="AA2255" s="10"/>
      <c r="AB2255" s="5">
        <f t="shared" si="3109"/>
        <v>0</v>
      </c>
      <c r="AC2255" s="93">
        <f t="shared" si="3110"/>
        <v>0</v>
      </c>
    </row>
    <row r="2256" spans="1:30" x14ac:dyDescent="0.15">
      <c r="A2256" s="33"/>
      <c r="B2256" s="9"/>
      <c r="C2256" s="10"/>
      <c r="D2256" s="10"/>
      <c r="E2256" s="5">
        <f t="shared" si="3098"/>
        <v>0</v>
      </c>
      <c r="F2256" s="9"/>
      <c r="G2256" s="10"/>
      <c r="H2256" s="10"/>
      <c r="I2256" s="5">
        <f t="shared" si="3099"/>
        <v>0</v>
      </c>
      <c r="J2256" s="9"/>
      <c r="K2256" s="10"/>
      <c r="L2256" s="10"/>
      <c r="M2256" s="38">
        <f t="shared" si="3100"/>
        <v>0</v>
      </c>
      <c r="N2256" s="138">
        <f t="shared" si="3101"/>
        <v>0</v>
      </c>
      <c r="P2256" s="11"/>
      <c r="Q2256" s="9"/>
      <c r="R2256" s="10"/>
      <c r="S2256" s="10"/>
      <c r="T2256" s="5">
        <f t="shared" si="3107"/>
        <v>0</v>
      </c>
      <c r="U2256" s="9"/>
      <c r="V2256" s="10"/>
      <c r="W2256" s="10"/>
      <c r="X2256" s="5">
        <f t="shared" si="3108"/>
        <v>0</v>
      </c>
      <c r="Y2256" s="9"/>
      <c r="Z2256" s="10"/>
      <c r="AA2256" s="10"/>
      <c r="AB2256" s="5">
        <f t="shared" si="3109"/>
        <v>0</v>
      </c>
      <c r="AC2256" s="93">
        <f t="shared" si="3110"/>
        <v>0</v>
      </c>
    </row>
    <row r="2257" spans="1:29" x14ac:dyDescent="0.15">
      <c r="A2257" s="33"/>
      <c r="B2257" s="9"/>
      <c r="C2257" s="10"/>
      <c r="D2257" s="10"/>
      <c r="E2257" s="5">
        <f t="shared" si="3098"/>
        <v>0</v>
      </c>
      <c r="F2257" s="9"/>
      <c r="G2257" s="10"/>
      <c r="H2257" s="10"/>
      <c r="I2257" s="5">
        <f t="shared" si="3099"/>
        <v>0</v>
      </c>
      <c r="J2257" s="9"/>
      <c r="K2257" s="10"/>
      <c r="L2257" s="10"/>
      <c r="M2257" s="38">
        <f t="shared" si="3100"/>
        <v>0</v>
      </c>
      <c r="N2257" s="138">
        <f t="shared" si="3101"/>
        <v>0</v>
      </c>
      <c r="P2257" s="11"/>
      <c r="Q2257" s="9"/>
      <c r="R2257" s="10"/>
      <c r="S2257" s="10"/>
      <c r="T2257" s="5">
        <f t="shared" si="3107"/>
        <v>0</v>
      </c>
      <c r="U2257" s="9"/>
      <c r="V2257" s="10"/>
      <c r="W2257" s="10"/>
      <c r="X2257" s="5">
        <f t="shared" si="3108"/>
        <v>0</v>
      </c>
      <c r="Y2257" s="9"/>
      <c r="Z2257" s="10"/>
      <c r="AA2257" s="10"/>
      <c r="AB2257" s="5">
        <f t="shared" si="3109"/>
        <v>0</v>
      </c>
      <c r="AC2257" s="93">
        <f t="shared" si="3110"/>
        <v>0</v>
      </c>
    </row>
    <row r="2258" spans="1:29" x14ac:dyDescent="0.15">
      <c r="A2258" s="33"/>
      <c r="B2258" s="9"/>
      <c r="C2258" s="10"/>
      <c r="D2258" s="10"/>
      <c r="E2258" s="8">
        <f t="shared" si="3098"/>
        <v>0</v>
      </c>
      <c r="F2258" s="9"/>
      <c r="G2258" s="10"/>
      <c r="H2258" s="10"/>
      <c r="I2258" s="8">
        <f t="shared" si="3099"/>
        <v>0</v>
      </c>
      <c r="J2258" s="9"/>
      <c r="K2258" s="10"/>
      <c r="L2258" s="10"/>
      <c r="M2258" s="39">
        <f t="shared" si="3100"/>
        <v>0</v>
      </c>
      <c r="N2258" s="138">
        <f t="shared" si="3101"/>
        <v>0</v>
      </c>
      <c r="P2258" s="4"/>
      <c r="Q2258" s="9"/>
      <c r="R2258" s="10"/>
      <c r="S2258" s="10"/>
      <c r="T2258" s="8">
        <f t="shared" si="3107"/>
        <v>0</v>
      </c>
      <c r="U2258" s="9"/>
      <c r="V2258" s="10"/>
      <c r="W2258" s="10"/>
      <c r="X2258" s="8">
        <f t="shared" si="3108"/>
        <v>0</v>
      </c>
      <c r="Y2258" s="9"/>
      <c r="Z2258" s="10"/>
      <c r="AA2258" s="10"/>
      <c r="AB2258" s="8">
        <f t="shared" si="3109"/>
        <v>0</v>
      </c>
      <c r="AC2258" s="93">
        <f t="shared" si="3110"/>
        <v>0</v>
      </c>
    </row>
    <row r="2259" spans="1:29" x14ac:dyDescent="0.15">
      <c r="A2259" s="33"/>
      <c r="B2259" s="9"/>
      <c r="C2259" s="10"/>
      <c r="D2259" s="10"/>
      <c r="E2259" s="8">
        <f t="shared" si="3098"/>
        <v>0</v>
      </c>
      <c r="F2259" s="9"/>
      <c r="G2259" s="10"/>
      <c r="H2259" s="10"/>
      <c r="I2259" s="8">
        <f t="shared" si="3099"/>
        <v>0</v>
      </c>
      <c r="J2259" s="9"/>
      <c r="K2259" s="10"/>
      <c r="L2259" s="10"/>
      <c r="M2259" s="39">
        <f t="shared" si="3100"/>
        <v>0</v>
      </c>
      <c r="N2259" s="138">
        <f t="shared" si="3101"/>
        <v>0</v>
      </c>
      <c r="P2259" s="11"/>
      <c r="Q2259" s="9"/>
      <c r="R2259" s="10"/>
      <c r="S2259" s="10"/>
      <c r="T2259" s="8">
        <f t="shared" si="3107"/>
        <v>0</v>
      </c>
      <c r="U2259" s="9"/>
      <c r="V2259" s="10"/>
      <c r="W2259" s="10"/>
      <c r="X2259" s="8">
        <f t="shared" si="3108"/>
        <v>0</v>
      </c>
      <c r="Y2259" s="9"/>
      <c r="Z2259" s="10"/>
      <c r="AA2259" s="10"/>
      <c r="AB2259" s="8">
        <f t="shared" si="3109"/>
        <v>0</v>
      </c>
      <c r="AC2259" s="93">
        <f t="shared" si="3110"/>
        <v>0</v>
      </c>
    </row>
    <row r="2260" spans="1:29" x14ac:dyDescent="0.15">
      <c r="A2260" s="33"/>
      <c r="B2260" s="9"/>
      <c r="C2260" s="10"/>
      <c r="D2260" s="10"/>
      <c r="E2260" s="8">
        <f t="shared" si="3098"/>
        <v>0</v>
      </c>
      <c r="F2260" s="9"/>
      <c r="G2260" s="10"/>
      <c r="H2260" s="10"/>
      <c r="I2260" s="8">
        <f t="shared" si="3099"/>
        <v>0</v>
      </c>
      <c r="J2260" s="9"/>
      <c r="K2260" s="10"/>
      <c r="L2260" s="10"/>
      <c r="M2260" s="39">
        <f t="shared" si="3100"/>
        <v>0</v>
      </c>
      <c r="N2260" s="138">
        <f t="shared" si="3101"/>
        <v>0</v>
      </c>
      <c r="P2260" s="4"/>
      <c r="Q2260" s="9"/>
      <c r="R2260" s="10"/>
      <c r="S2260" s="10"/>
      <c r="T2260" s="8">
        <f t="shared" si="3107"/>
        <v>0</v>
      </c>
      <c r="U2260" s="9"/>
      <c r="V2260" s="10"/>
      <c r="W2260" s="10"/>
      <c r="X2260" s="8">
        <f t="shared" si="3108"/>
        <v>0</v>
      </c>
      <c r="Y2260" s="9"/>
      <c r="Z2260" s="10"/>
      <c r="AA2260" s="10"/>
      <c r="AB2260" s="8">
        <f t="shared" si="3109"/>
        <v>0</v>
      </c>
      <c r="AC2260" s="93">
        <f t="shared" si="3110"/>
        <v>0</v>
      </c>
    </row>
    <row r="2261" spans="1:29" x14ac:dyDescent="0.15">
      <c r="A2261" s="33"/>
      <c r="B2261" s="9"/>
      <c r="C2261" s="10"/>
      <c r="D2261" s="10"/>
      <c r="E2261" s="8">
        <f t="shared" si="3098"/>
        <v>0</v>
      </c>
      <c r="F2261" s="9"/>
      <c r="G2261" s="10"/>
      <c r="H2261" s="10"/>
      <c r="I2261" s="8">
        <f t="shared" si="3099"/>
        <v>0</v>
      </c>
      <c r="J2261" s="9"/>
      <c r="K2261" s="10"/>
      <c r="L2261" s="10"/>
      <c r="M2261" s="39">
        <f t="shared" si="3100"/>
        <v>0</v>
      </c>
      <c r="N2261" s="138">
        <f t="shared" si="3101"/>
        <v>0</v>
      </c>
      <c r="P2261" s="4"/>
      <c r="Q2261" s="9"/>
      <c r="R2261" s="10"/>
      <c r="S2261" s="10"/>
      <c r="T2261" s="8">
        <f t="shared" si="3107"/>
        <v>0</v>
      </c>
      <c r="U2261" s="9"/>
      <c r="V2261" s="10"/>
      <c r="W2261" s="10"/>
      <c r="X2261" s="8">
        <f t="shared" si="3108"/>
        <v>0</v>
      </c>
      <c r="Y2261" s="9"/>
      <c r="Z2261" s="10"/>
      <c r="AA2261" s="10"/>
      <c r="AB2261" s="8">
        <f t="shared" si="3109"/>
        <v>0</v>
      </c>
      <c r="AC2261" s="93">
        <f t="shared" si="3110"/>
        <v>0</v>
      </c>
    </row>
    <row r="2262" spans="1:29" x14ac:dyDescent="0.15">
      <c r="A2262" s="33"/>
      <c r="B2262" s="9"/>
      <c r="C2262" s="10"/>
      <c r="D2262" s="10"/>
      <c r="E2262" s="8">
        <f t="shared" si="3098"/>
        <v>0</v>
      </c>
      <c r="F2262" s="9"/>
      <c r="G2262" s="10"/>
      <c r="H2262" s="10"/>
      <c r="I2262" s="8">
        <f t="shared" si="3099"/>
        <v>0</v>
      </c>
      <c r="J2262" s="9"/>
      <c r="K2262" s="10"/>
      <c r="L2262" s="10"/>
      <c r="M2262" s="39">
        <f t="shared" si="3100"/>
        <v>0</v>
      </c>
      <c r="N2262" s="138">
        <f t="shared" si="3101"/>
        <v>0</v>
      </c>
      <c r="P2262" s="4"/>
      <c r="Q2262" s="9"/>
      <c r="R2262" s="10"/>
      <c r="S2262" s="10"/>
      <c r="T2262" s="8">
        <f t="shared" si="3107"/>
        <v>0</v>
      </c>
      <c r="U2262" s="9"/>
      <c r="V2262" s="10"/>
      <c r="W2262" s="10"/>
      <c r="X2262" s="8">
        <f t="shared" si="3108"/>
        <v>0</v>
      </c>
      <c r="Y2262" s="9"/>
      <c r="Z2262" s="10"/>
      <c r="AA2262" s="10"/>
      <c r="AB2262" s="8">
        <f t="shared" si="3109"/>
        <v>0</v>
      </c>
      <c r="AC2262" s="93">
        <f t="shared" si="3110"/>
        <v>0</v>
      </c>
    </row>
    <row r="2263" spans="1:29" x14ac:dyDescent="0.15">
      <c r="A2263" s="33"/>
      <c r="B2263" s="9"/>
      <c r="C2263" s="10"/>
      <c r="D2263" s="10"/>
      <c r="E2263" s="8">
        <f t="shared" si="3098"/>
        <v>0</v>
      </c>
      <c r="F2263" s="9"/>
      <c r="G2263" s="10"/>
      <c r="H2263" s="10"/>
      <c r="I2263" s="8">
        <f t="shared" si="3099"/>
        <v>0</v>
      </c>
      <c r="J2263" s="9"/>
      <c r="K2263" s="10"/>
      <c r="L2263" s="10"/>
      <c r="M2263" s="39">
        <f t="shared" si="3100"/>
        <v>0</v>
      </c>
      <c r="N2263" s="138">
        <f t="shared" si="3101"/>
        <v>0</v>
      </c>
      <c r="P2263" s="4"/>
      <c r="Q2263" s="9"/>
      <c r="R2263" s="10"/>
      <c r="S2263" s="10"/>
      <c r="T2263" s="8">
        <f t="shared" si="3107"/>
        <v>0</v>
      </c>
      <c r="U2263" s="9"/>
      <c r="V2263" s="10"/>
      <c r="W2263" s="10"/>
      <c r="X2263" s="8">
        <f t="shared" si="3108"/>
        <v>0</v>
      </c>
      <c r="Y2263" s="9"/>
      <c r="Z2263" s="10"/>
      <c r="AA2263" s="10"/>
      <c r="AB2263" s="8">
        <f t="shared" si="3109"/>
        <v>0</v>
      </c>
      <c r="AC2263" s="93">
        <f t="shared" si="3110"/>
        <v>0</v>
      </c>
    </row>
    <row r="2264" spans="1:29" x14ac:dyDescent="0.15">
      <c r="A2264" s="33"/>
      <c r="B2264" s="9"/>
      <c r="C2264" s="10"/>
      <c r="D2264" s="10"/>
      <c r="E2264" s="8">
        <f t="shared" si="3098"/>
        <v>0</v>
      </c>
      <c r="F2264" s="9"/>
      <c r="G2264" s="10"/>
      <c r="H2264" s="10"/>
      <c r="I2264" s="8">
        <f t="shared" si="3099"/>
        <v>0</v>
      </c>
      <c r="J2264" s="9"/>
      <c r="K2264" s="10"/>
      <c r="L2264" s="10"/>
      <c r="M2264" s="39">
        <f t="shared" si="3100"/>
        <v>0</v>
      </c>
      <c r="N2264" s="138">
        <f t="shared" si="3101"/>
        <v>0</v>
      </c>
      <c r="P2264" s="4"/>
      <c r="Q2264" s="9"/>
      <c r="R2264" s="10"/>
      <c r="S2264" s="10"/>
      <c r="T2264" s="8">
        <f t="shared" si="3107"/>
        <v>0</v>
      </c>
      <c r="U2264" s="9"/>
      <c r="V2264" s="10"/>
      <c r="W2264" s="10"/>
      <c r="X2264" s="8">
        <f t="shared" si="3108"/>
        <v>0</v>
      </c>
      <c r="Y2264" s="9"/>
      <c r="Z2264" s="10"/>
      <c r="AA2264" s="10"/>
      <c r="AB2264" s="8">
        <f t="shared" si="3109"/>
        <v>0</v>
      </c>
      <c r="AC2264" s="93">
        <f t="shared" si="3110"/>
        <v>0</v>
      </c>
    </row>
    <row r="2265" spans="1:29" x14ac:dyDescent="0.15">
      <c r="A2265" s="33"/>
      <c r="B2265" s="9"/>
      <c r="C2265" s="10"/>
      <c r="D2265" s="10"/>
      <c r="E2265" s="8">
        <f t="shared" si="3098"/>
        <v>0</v>
      </c>
      <c r="F2265" s="9"/>
      <c r="G2265" s="10"/>
      <c r="H2265" s="10"/>
      <c r="I2265" s="8">
        <f t="shared" si="3099"/>
        <v>0</v>
      </c>
      <c r="J2265" s="9"/>
      <c r="K2265" s="10"/>
      <c r="L2265" s="10"/>
      <c r="M2265" s="39">
        <f t="shared" si="3100"/>
        <v>0</v>
      </c>
      <c r="N2265" s="138">
        <f t="shared" si="3101"/>
        <v>0</v>
      </c>
      <c r="P2265" s="4"/>
      <c r="Q2265" s="9"/>
      <c r="R2265" s="10"/>
      <c r="S2265" s="10"/>
      <c r="T2265" s="8">
        <f t="shared" si="3107"/>
        <v>0</v>
      </c>
      <c r="U2265" s="9"/>
      <c r="V2265" s="10"/>
      <c r="W2265" s="10"/>
      <c r="X2265" s="8">
        <f t="shared" si="3108"/>
        <v>0</v>
      </c>
      <c r="Y2265" s="9"/>
      <c r="Z2265" s="10"/>
      <c r="AA2265" s="10"/>
      <c r="AB2265" s="8">
        <f t="shared" si="3109"/>
        <v>0</v>
      </c>
      <c r="AC2265" s="93">
        <f t="shared" si="3110"/>
        <v>0</v>
      </c>
    </row>
    <row r="2266" spans="1:29" x14ac:dyDescent="0.15">
      <c r="A2266" s="33"/>
      <c r="B2266" s="9"/>
      <c r="C2266" s="10"/>
      <c r="D2266" s="10"/>
      <c r="E2266" s="8">
        <f t="shared" si="3098"/>
        <v>0</v>
      </c>
      <c r="F2266" s="9"/>
      <c r="G2266" s="10"/>
      <c r="H2266" s="10"/>
      <c r="I2266" s="8">
        <f t="shared" si="3099"/>
        <v>0</v>
      </c>
      <c r="J2266" s="9"/>
      <c r="K2266" s="10"/>
      <c r="L2266" s="10"/>
      <c r="M2266" s="39">
        <f t="shared" si="3100"/>
        <v>0</v>
      </c>
      <c r="N2266" s="138">
        <f t="shared" si="3101"/>
        <v>0</v>
      </c>
      <c r="P2266" s="4"/>
      <c r="Q2266" s="9"/>
      <c r="R2266" s="10"/>
      <c r="S2266" s="10"/>
      <c r="T2266" s="8">
        <f t="shared" si="3107"/>
        <v>0</v>
      </c>
      <c r="U2266" s="9"/>
      <c r="V2266" s="10"/>
      <c r="W2266" s="10"/>
      <c r="X2266" s="8">
        <f t="shared" si="3108"/>
        <v>0</v>
      </c>
      <c r="Y2266" s="9"/>
      <c r="Z2266" s="10"/>
      <c r="AA2266" s="10"/>
      <c r="AB2266" s="8">
        <f t="shared" si="3109"/>
        <v>0</v>
      </c>
      <c r="AC2266" s="93">
        <f t="shared" si="3110"/>
        <v>0</v>
      </c>
    </row>
    <row r="2267" spans="1:29" x14ac:dyDescent="0.15">
      <c r="A2267" s="33"/>
      <c r="B2267" s="9"/>
      <c r="C2267" s="10"/>
      <c r="D2267" s="10"/>
      <c r="E2267" s="8">
        <f t="shared" si="3098"/>
        <v>0</v>
      </c>
      <c r="F2267" s="9"/>
      <c r="G2267" s="10"/>
      <c r="H2267" s="10"/>
      <c r="I2267" s="8">
        <f t="shared" si="3099"/>
        <v>0</v>
      </c>
      <c r="J2267" s="9"/>
      <c r="K2267" s="10"/>
      <c r="L2267" s="10"/>
      <c r="M2267" s="39">
        <f t="shared" si="3100"/>
        <v>0</v>
      </c>
      <c r="N2267" s="138">
        <f t="shared" si="3101"/>
        <v>0</v>
      </c>
      <c r="P2267" s="4"/>
      <c r="Q2267" s="9"/>
      <c r="R2267" s="10"/>
      <c r="S2267" s="10"/>
      <c r="T2267" s="8">
        <f t="shared" si="3107"/>
        <v>0</v>
      </c>
      <c r="U2267" s="9"/>
      <c r="V2267" s="10"/>
      <c r="W2267" s="10"/>
      <c r="X2267" s="8">
        <f t="shared" si="3108"/>
        <v>0</v>
      </c>
      <c r="Y2267" s="9"/>
      <c r="Z2267" s="10"/>
      <c r="AA2267" s="10"/>
      <c r="AB2267" s="8">
        <f t="shared" si="3109"/>
        <v>0</v>
      </c>
      <c r="AC2267" s="93">
        <f t="shared" si="3110"/>
        <v>0</v>
      </c>
    </row>
    <row r="2268" spans="1:29" x14ac:dyDescent="0.15">
      <c r="A2268" s="63"/>
      <c r="B2268" s="9"/>
      <c r="C2268" s="10"/>
      <c r="D2268" s="10"/>
      <c r="E2268" s="8">
        <f t="shared" si="3098"/>
        <v>0</v>
      </c>
      <c r="F2268" s="9"/>
      <c r="G2268" s="10"/>
      <c r="H2268" s="10"/>
      <c r="I2268" s="8">
        <f t="shared" si="3099"/>
        <v>0</v>
      </c>
      <c r="J2268" s="9"/>
      <c r="K2268" s="10"/>
      <c r="L2268" s="10"/>
      <c r="M2268" s="39">
        <f t="shared" si="3100"/>
        <v>0</v>
      </c>
      <c r="N2268" s="138">
        <f t="shared" si="3101"/>
        <v>0</v>
      </c>
      <c r="P2268" s="4"/>
      <c r="Q2268" s="9"/>
      <c r="R2268" s="10"/>
      <c r="S2268" s="10"/>
      <c r="T2268" s="8">
        <f t="shared" si="3107"/>
        <v>0</v>
      </c>
      <c r="U2268" s="9"/>
      <c r="V2268" s="10"/>
      <c r="W2268" s="10"/>
      <c r="X2268" s="8">
        <f t="shared" si="3108"/>
        <v>0</v>
      </c>
      <c r="Y2268" s="9"/>
      <c r="Z2268" s="10"/>
      <c r="AA2268" s="10"/>
      <c r="AB2268" s="8">
        <f t="shared" si="3109"/>
        <v>0</v>
      </c>
      <c r="AC2268" s="93">
        <f t="shared" si="3110"/>
        <v>0</v>
      </c>
    </row>
    <row r="2269" spans="1:29" x14ac:dyDescent="0.15">
      <c r="A2269" s="33"/>
      <c r="B2269" s="9"/>
      <c r="C2269" s="10"/>
      <c r="D2269" s="10"/>
      <c r="E2269" s="8">
        <f t="shared" si="3098"/>
        <v>0</v>
      </c>
      <c r="F2269" s="9"/>
      <c r="G2269" s="10"/>
      <c r="H2269" s="10"/>
      <c r="I2269" s="8">
        <f t="shared" si="3099"/>
        <v>0</v>
      </c>
      <c r="J2269" s="9"/>
      <c r="K2269" s="10"/>
      <c r="L2269" s="10"/>
      <c r="M2269" s="39">
        <f t="shared" si="3100"/>
        <v>0</v>
      </c>
      <c r="N2269" s="138">
        <f t="shared" si="3101"/>
        <v>0</v>
      </c>
      <c r="P2269" s="4"/>
      <c r="Q2269" s="9"/>
      <c r="R2269" s="10"/>
      <c r="S2269" s="10"/>
      <c r="T2269" s="8">
        <f t="shared" si="3107"/>
        <v>0</v>
      </c>
      <c r="U2269" s="9"/>
      <c r="V2269" s="10"/>
      <c r="W2269" s="10"/>
      <c r="X2269" s="8">
        <f t="shared" si="3108"/>
        <v>0</v>
      </c>
      <c r="Y2269" s="9"/>
      <c r="Z2269" s="10"/>
      <c r="AA2269" s="10"/>
      <c r="AB2269" s="8">
        <f t="shared" si="3109"/>
        <v>0</v>
      </c>
      <c r="AC2269" s="93">
        <f t="shared" si="3110"/>
        <v>0</v>
      </c>
    </row>
    <row r="2270" spans="1:29" x14ac:dyDescent="0.15">
      <c r="A2270" s="33"/>
      <c r="B2270" s="9"/>
      <c r="C2270" s="10"/>
      <c r="D2270" s="10"/>
      <c r="E2270" s="8">
        <f t="shared" si="3098"/>
        <v>0</v>
      </c>
      <c r="F2270" s="9"/>
      <c r="G2270" s="10"/>
      <c r="H2270" s="10"/>
      <c r="I2270" s="8">
        <f t="shared" si="3099"/>
        <v>0</v>
      </c>
      <c r="J2270" s="9"/>
      <c r="K2270" s="10"/>
      <c r="L2270" s="10"/>
      <c r="M2270" s="39">
        <f t="shared" si="3100"/>
        <v>0</v>
      </c>
      <c r="N2270" s="138">
        <f t="shared" si="3101"/>
        <v>0</v>
      </c>
      <c r="P2270" s="4"/>
      <c r="Q2270" s="9"/>
      <c r="R2270" s="10"/>
      <c r="S2270" s="10"/>
      <c r="T2270" s="8">
        <f t="shared" si="3107"/>
        <v>0</v>
      </c>
      <c r="U2270" s="9"/>
      <c r="V2270" s="10"/>
      <c r="W2270" s="10"/>
      <c r="X2270" s="8">
        <f t="shared" si="3108"/>
        <v>0</v>
      </c>
      <c r="Y2270" s="9"/>
      <c r="Z2270" s="10"/>
      <c r="AA2270" s="10"/>
      <c r="AB2270" s="8">
        <f t="shared" si="3109"/>
        <v>0</v>
      </c>
      <c r="AC2270" s="93">
        <f t="shared" si="3110"/>
        <v>0</v>
      </c>
    </row>
    <row r="2271" spans="1:29" x14ac:dyDescent="0.15">
      <c r="A2271" s="33"/>
      <c r="B2271" s="9"/>
      <c r="C2271" s="10"/>
      <c r="D2271" s="10"/>
      <c r="E2271" s="8">
        <f t="shared" si="3098"/>
        <v>0</v>
      </c>
      <c r="F2271" s="9"/>
      <c r="G2271" s="10"/>
      <c r="H2271" s="10"/>
      <c r="I2271" s="8">
        <f t="shared" si="3099"/>
        <v>0</v>
      </c>
      <c r="J2271" s="9"/>
      <c r="K2271" s="10"/>
      <c r="L2271" s="10"/>
      <c r="M2271" s="39">
        <f t="shared" si="3100"/>
        <v>0</v>
      </c>
      <c r="N2271" s="138">
        <f t="shared" si="3101"/>
        <v>0</v>
      </c>
      <c r="P2271" s="4"/>
      <c r="Q2271" s="9"/>
      <c r="R2271" s="10"/>
      <c r="S2271" s="10"/>
      <c r="T2271" s="8">
        <f t="shared" si="3107"/>
        <v>0</v>
      </c>
      <c r="U2271" s="9"/>
      <c r="V2271" s="10"/>
      <c r="W2271" s="10"/>
      <c r="X2271" s="8">
        <f t="shared" si="3108"/>
        <v>0</v>
      </c>
      <c r="Y2271" s="9"/>
      <c r="Z2271" s="10"/>
      <c r="AA2271" s="10"/>
      <c r="AB2271" s="8">
        <f t="shared" si="3109"/>
        <v>0</v>
      </c>
      <c r="AC2271" s="93">
        <f t="shared" si="3110"/>
        <v>0</v>
      </c>
    </row>
    <row r="2272" spans="1:29" x14ac:dyDescent="0.15">
      <c r="A2272" s="33"/>
      <c r="B2272" s="9"/>
      <c r="C2272" s="10"/>
      <c r="D2272" s="10"/>
      <c r="E2272" s="8">
        <f t="shared" si="3098"/>
        <v>0</v>
      </c>
      <c r="F2272" s="9"/>
      <c r="G2272" s="10"/>
      <c r="H2272" s="10"/>
      <c r="I2272" s="8">
        <f t="shared" si="3099"/>
        <v>0</v>
      </c>
      <c r="J2272" s="9"/>
      <c r="K2272" s="10"/>
      <c r="L2272" s="10"/>
      <c r="M2272" s="39">
        <f t="shared" si="3100"/>
        <v>0</v>
      </c>
      <c r="N2272" s="138">
        <f t="shared" si="3101"/>
        <v>0</v>
      </c>
      <c r="P2272" s="4"/>
      <c r="Q2272" s="9"/>
      <c r="R2272" s="10"/>
      <c r="S2272" s="10"/>
      <c r="T2272" s="8">
        <f t="shared" si="3107"/>
        <v>0</v>
      </c>
      <c r="U2272" s="9"/>
      <c r="V2272" s="10"/>
      <c r="W2272" s="10"/>
      <c r="X2272" s="8">
        <f t="shared" si="3108"/>
        <v>0</v>
      </c>
      <c r="Y2272" s="9"/>
      <c r="Z2272" s="10"/>
      <c r="AA2272" s="10"/>
      <c r="AB2272" s="8">
        <f t="shared" si="3109"/>
        <v>0</v>
      </c>
      <c r="AC2272" s="93">
        <f t="shared" si="3110"/>
        <v>0</v>
      </c>
    </row>
    <row r="2273" spans="1:29" x14ac:dyDescent="0.15">
      <c r="A2273" s="33"/>
      <c r="B2273" s="9"/>
      <c r="C2273" s="10"/>
      <c r="D2273" s="10"/>
      <c r="E2273" s="8">
        <f t="shared" si="3098"/>
        <v>0</v>
      </c>
      <c r="F2273" s="9"/>
      <c r="G2273" s="10"/>
      <c r="H2273" s="10"/>
      <c r="I2273" s="8">
        <f t="shared" si="3099"/>
        <v>0</v>
      </c>
      <c r="J2273" s="9"/>
      <c r="K2273" s="10"/>
      <c r="L2273" s="10"/>
      <c r="M2273" s="39">
        <f t="shared" si="3100"/>
        <v>0</v>
      </c>
      <c r="N2273" s="138">
        <f t="shared" si="3101"/>
        <v>0</v>
      </c>
      <c r="P2273" s="4"/>
      <c r="Q2273" s="9"/>
      <c r="R2273" s="10"/>
      <c r="S2273" s="10"/>
      <c r="T2273" s="8">
        <f t="shared" si="3107"/>
        <v>0</v>
      </c>
      <c r="U2273" s="9"/>
      <c r="V2273" s="10"/>
      <c r="W2273" s="10"/>
      <c r="X2273" s="8">
        <f t="shared" si="3108"/>
        <v>0</v>
      </c>
      <c r="Y2273" s="9"/>
      <c r="Z2273" s="10"/>
      <c r="AA2273" s="10"/>
      <c r="AB2273" s="8">
        <f t="shared" si="3109"/>
        <v>0</v>
      </c>
      <c r="AC2273" s="93">
        <f t="shared" si="3110"/>
        <v>0</v>
      </c>
    </row>
    <row r="2274" spans="1:29" x14ac:dyDescent="0.15">
      <c r="A2274" s="33"/>
      <c r="B2274" s="9"/>
      <c r="C2274" s="10"/>
      <c r="D2274" s="10"/>
      <c r="E2274" s="8">
        <f t="shared" si="3098"/>
        <v>0</v>
      </c>
      <c r="F2274" s="9"/>
      <c r="G2274" s="10"/>
      <c r="H2274" s="10"/>
      <c r="I2274" s="8">
        <f t="shared" si="3099"/>
        <v>0</v>
      </c>
      <c r="J2274" s="9"/>
      <c r="K2274" s="10"/>
      <c r="L2274" s="10"/>
      <c r="M2274" s="39">
        <f t="shared" si="3100"/>
        <v>0</v>
      </c>
      <c r="N2274" s="138">
        <f t="shared" si="3101"/>
        <v>0</v>
      </c>
      <c r="P2274" s="4"/>
      <c r="Q2274" s="9"/>
      <c r="R2274" s="10"/>
      <c r="S2274" s="10"/>
      <c r="T2274" s="8">
        <f t="shared" si="3107"/>
        <v>0</v>
      </c>
      <c r="U2274" s="9"/>
      <c r="V2274" s="10"/>
      <c r="W2274" s="10"/>
      <c r="X2274" s="8">
        <f t="shared" si="3108"/>
        <v>0</v>
      </c>
      <c r="Y2274" s="9"/>
      <c r="Z2274" s="10"/>
      <c r="AA2274" s="10"/>
      <c r="AB2274" s="8">
        <f t="shared" si="3109"/>
        <v>0</v>
      </c>
      <c r="AC2274" s="93">
        <f t="shared" si="3110"/>
        <v>0</v>
      </c>
    </row>
    <row r="2275" spans="1:29" x14ac:dyDescent="0.15">
      <c r="A2275" s="33"/>
      <c r="B2275" s="9"/>
      <c r="C2275" s="10"/>
      <c r="D2275" s="10"/>
      <c r="E2275" s="8">
        <f t="shared" si="3098"/>
        <v>0</v>
      </c>
      <c r="F2275" s="9"/>
      <c r="G2275" s="10"/>
      <c r="H2275" s="10"/>
      <c r="I2275" s="8">
        <f t="shared" si="3099"/>
        <v>0</v>
      </c>
      <c r="J2275" s="9"/>
      <c r="K2275" s="10"/>
      <c r="L2275" s="10"/>
      <c r="M2275" s="39">
        <f t="shared" si="3100"/>
        <v>0</v>
      </c>
      <c r="N2275" s="138">
        <f t="shared" si="3101"/>
        <v>0</v>
      </c>
      <c r="P2275" s="4"/>
      <c r="Q2275" s="9"/>
      <c r="R2275" s="10"/>
      <c r="S2275" s="10"/>
      <c r="T2275" s="8">
        <f t="shared" si="3107"/>
        <v>0</v>
      </c>
      <c r="U2275" s="9"/>
      <c r="V2275" s="10"/>
      <c r="W2275" s="10"/>
      <c r="X2275" s="8">
        <f t="shared" si="3108"/>
        <v>0</v>
      </c>
      <c r="Y2275" s="9"/>
      <c r="Z2275" s="10"/>
      <c r="AA2275" s="10"/>
      <c r="AB2275" s="8">
        <f t="shared" si="3109"/>
        <v>0</v>
      </c>
      <c r="AC2275" s="93">
        <f t="shared" si="3110"/>
        <v>0</v>
      </c>
    </row>
    <row r="2276" spans="1:29" ht="14.25" thickBot="1" x14ac:dyDescent="0.2">
      <c r="A2276" s="63"/>
      <c r="B2276" s="9"/>
      <c r="C2276" s="10"/>
      <c r="D2276" s="22"/>
      <c r="E2276" s="8">
        <f t="shared" si="3098"/>
        <v>0</v>
      </c>
      <c r="F2276" s="9"/>
      <c r="G2276" s="10"/>
      <c r="H2276" s="22"/>
      <c r="I2276" s="8">
        <f t="shared" si="3099"/>
        <v>0</v>
      </c>
      <c r="J2276" s="9"/>
      <c r="K2276" s="10"/>
      <c r="L2276" s="22"/>
      <c r="M2276" s="39">
        <f t="shared" si="3100"/>
        <v>0</v>
      </c>
      <c r="N2276" s="139">
        <f t="shared" si="3101"/>
        <v>0</v>
      </c>
      <c r="P2276" s="4"/>
      <c r="Q2276" s="9"/>
      <c r="R2276" s="10"/>
      <c r="S2276" s="10"/>
      <c r="T2276" s="8">
        <f t="shared" si="3107"/>
        <v>0</v>
      </c>
      <c r="U2276" s="9"/>
      <c r="V2276" s="10"/>
      <c r="W2276" s="10"/>
      <c r="X2276" s="8">
        <f t="shared" si="3108"/>
        <v>0</v>
      </c>
      <c r="Y2276" s="9"/>
      <c r="Z2276" s="10"/>
      <c r="AA2276" s="10"/>
      <c r="AB2276" s="8">
        <f t="shared" si="3109"/>
        <v>0</v>
      </c>
      <c r="AC2276" s="93">
        <f t="shared" si="3110"/>
        <v>0</v>
      </c>
    </row>
    <row r="2277" spans="1:29" ht="14.25" thickBot="1" x14ac:dyDescent="0.2">
      <c r="A2277" s="104" t="s">
        <v>5</v>
      </c>
      <c r="B2277" s="12">
        <f>SUM(B2253:B2276)</f>
        <v>0</v>
      </c>
      <c r="C2277" s="12">
        <f>SUM(C2253:C2276)</f>
        <v>0</v>
      </c>
      <c r="D2277" s="12">
        <f>SUM(D2253:D2276)</f>
        <v>0</v>
      </c>
      <c r="E2277" s="13">
        <f t="shared" si="3098"/>
        <v>0</v>
      </c>
      <c r="F2277" s="12">
        <f>SUM(F2253:F2276)</f>
        <v>0</v>
      </c>
      <c r="G2277" s="12">
        <f>SUM(G2253:G2276)</f>
        <v>0</v>
      </c>
      <c r="H2277" s="12">
        <f>SUM(H2253:H2276)</f>
        <v>0</v>
      </c>
      <c r="I2277" s="13">
        <f t="shared" si="3099"/>
        <v>0</v>
      </c>
      <c r="J2277" s="12">
        <f>SUM(J2253:J2276)</f>
        <v>0</v>
      </c>
      <c r="K2277" s="12">
        <f>SUM(K2253:K2276)</f>
        <v>0</v>
      </c>
      <c r="L2277" s="12">
        <f>SUM(L2253:L2276)</f>
        <v>0</v>
      </c>
      <c r="M2277" s="12">
        <f t="shared" si="3100"/>
        <v>0</v>
      </c>
      <c r="N2277" s="142">
        <f t="shared" si="3101"/>
        <v>0</v>
      </c>
      <c r="P2277" s="3" t="s">
        <v>5</v>
      </c>
      <c r="Q2277" s="12">
        <f>SUM(Q2253:Q2276)</f>
        <v>0</v>
      </c>
      <c r="R2277" s="12">
        <f t="shared" ref="R2277:AC2277" si="3111">SUM(R2253:R2276)</f>
        <v>0</v>
      </c>
      <c r="S2277" s="12">
        <f t="shared" si="3111"/>
        <v>0</v>
      </c>
      <c r="T2277" s="13">
        <f t="shared" si="3111"/>
        <v>0</v>
      </c>
      <c r="U2277" s="12">
        <f t="shared" si="3111"/>
        <v>0</v>
      </c>
      <c r="V2277" s="12">
        <f t="shared" si="3111"/>
        <v>0</v>
      </c>
      <c r="W2277" s="12">
        <f t="shared" si="3111"/>
        <v>0</v>
      </c>
      <c r="X2277" s="13">
        <f t="shared" si="3111"/>
        <v>0</v>
      </c>
      <c r="Y2277" s="12">
        <f t="shared" si="3111"/>
        <v>0</v>
      </c>
      <c r="Z2277" s="12">
        <f t="shared" si="3111"/>
        <v>0</v>
      </c>
      <c r="AA2277" s="12">
        <f t="shared" si="3111"/>
        <v>0</v>
      </c>
      <c r="AB2277" s="13">
        <f t="shared" si="3111"/>
        <v>0</v>
      </c>
      <c r="AC2277" s="155">
        <f t="shared" si="3111"/>
        <v>0</v>
      </c>
    </row>
    <row r="2278" spans="1:29" ht="14.25" thickBot="1" x14ac:dyDescent="0.2">
      <c r="A2278" s="105" t="s">
        <v>6</v>
      </c>
      <c r="B2278" s="20">
        <f>B2252-B2277</f>
        <v>29</v>
      </c>
      <c r="C2278" s="20">
        <f t="shared" ref="C2278:E2278" si="3112">C2252-C2277</f>
        <v>26</v>
      </c>
      <c r="D2278" s="20">
        <f t="shared" si="3112"/>
        <v>20</v>
      </c>
      <c r="E2278" s="18">
        <f t="shared" si="3112"/>
        <v>75</v>
      </c>
      <c r="F2278" s="20">
        <f>F2252-F2277</f>
        <v>26</v>
      </c>
      <c r="G2278" s="20">
        <f t="shared" ref="G2278:I2278" si="3113">G2252-G2277</f>
        <v>28</v>
      </c>
      <c r="H2278" s="20">
        <f t="shared" si="3113"/>
        <v>18</v>
      </c>
      <c r="I2278" s="18">
        <f t="shared" si="3113"/>
        <v>72</v>
      </c>
      <c r="J2278" s="20">
        <f>J2252-J2277</f>
        <v>29</v>
      </c>
      <c r="K2278" s="20">
        <f t="shared" ref="K2278:M2278" si="3114">K2252-K2277</f>
        <v>27</v>
      </c>
      <c r="L2278" s="20">
        <f t="shared" si="3114"/>
        <v>22</v>
      </c>
      <c r="M2278" s="20">
        <f t="shared" si="3114"/>
        <v>78</v>
      </c>
      <c r="N2278" s="140">
        <f t="shared" si="3101"/>
        <v>225</v>
      </c>
      <c r="P2278" s="19" t="s">
        <v>6</v>
      </c>
      <c r="Q2278" s="20">
        <f>Q2252-Q2277</f>
        <v>711</v>
      </c>
      <c r="R2278" s="20">
        <f t="shared" ref="R2278:AC2278" si="3115">R2252-R2277</f>
        <v>1183</v>
      </c>
      <c r="S2278" s="20">
        <f t="shared" si="3115"/>
        <v>879</v>
      </c>
      <c r="T2278" s="18">
        <f t="shared" si="3115"/>
        <v>2773</v>
      </c>
      <c r="U2278" s="20">
        <f t="shared" si="3115"/>
        <v>809</v>
      </c>
      <c r="V2278" s="20">
        <f t="shared" si="3115"/>
        <v>1262</v>
      </c>
      <c r="W2278" s="20">
        <f t="shared" si="3115"/>
        <v>920</v>
      </c>
      <c r="X2278" s="18">
        <f t="shared" si="3115"/>
        <v>2991</v>
      </c>
      <c r="Y2278" s="20">
        <f t="shared" si="3115"/>
        <v>779</v>
      </c>
      <c r="Z2278" s="20">
        <f t="shared" si="3115"/>
        <v>1086</v>
      </c>
      <c r="AA2278" s="20">
        <f t="shared" si="3115"/>
        <v>741</v>
      </c>
      <c r="AB2278" s="18">
        <f t="shared" si="3115"/>
        <v>2606</v>
      </c>
      <c r="AC2278" s="88">
        <f t="shared" si="3115"/>
        <v>8370</v>
      </c>
    </row>
  </sheetData>
  <mergeCells count="406">
    <mergeCell ref="B2067:E2067"/>
    <mergeCell ref="F2067:I2067"/>
    <mergeCell ref="J2067:M2067"/>
    <mergeCell ref="N2067:N2068"/>
    <mergeCell ref="B2110:E2110"/>
    <mergeCell ref="F2110:I2110"/>
    <mergeCell ref="J2110:M2110"/>
    <mergeCell ref="N2110:N2111"/>
    <mergeCell ref="AC2024:AC2025"/>
    <mergeCell ref="Q2067:T2067"/>
    <mergeCell ref="U2067:X2067"/>
    <mergeCell ref="Y2067:AB2067"/>
    <mergeCell ref="AC2067:AC2068"/>
    <mergeCell ref="Q2110:T2110"/>
    <mergeCell ref="U2110:X2110"/>
    <mergeCell ref="Y2110:AB2110"/>
    <mergeCell ref="AC2110:AC2111"/>
    <mergeCell ref="Q1680:T1680"/>
    <mergeCell ref="U1680:X1680"/>
    <mergeCell ref="Y1680:AB1680"/>
    <mergeCell ref="B1680:E1680"/>
    <mergeCell ref="F1680:I1680"/>
    <mergeCell ref="J1680:M1680"/>
    <mergeCell ref="N1680:N1681"/>
    <mergeCell ref="N1852:N1853"/>
    <mergeCell ref="Q1723:T1723"/>
    <mergeCell ref="U1723:X1723"/>
    <mergeCell ref="Y1723:AB1723"/>
    <mergeCell ref="Q1766:T1766"/>
    <mergeCell ref="U1766:X1766"/>
    <mergeCell ref="Y1766:AB1766"/>
    <mergeCell ref="B1723:E1723"/>
    <mergeCell ref="F1723:I1723"/>
    <mergeCell ref="J1723:M1723"/>
    <mergeCell ref="N1723:N1724"/>
    <mergeCell ref="B1766:E1766"/>
    <mergeCell ref="F1766:I1766"/>
    <mergeCell ref="J1766:M1766"/>
    <mergeCell ref="N1766:N1767"/>
    <mergeCell ref="B1637:E1637"/>
    <mergeCell ref="F1637:I1637"/>
    <mergeCell ref="J1637:M1637"/>
    <mergeCell ref="N1637:N1638"/>
    <mergeCell ref="Q1637:T1637"/>
    <mergeCell ref="U1637:X1637"/>
    <mergeCell ref="Y1637:AB1637"/>
    <mergeCell ref="B1594:E1594"/>
    <mergeCell ref="F1594:I1594"/>
    <mergeCell ref="J1594:M1594"/>
    <mergeCell ref="N1594:N1595"/>
    <mergeCell ref="Y1594:AB1594"/>
    <mergeCell ref="U1594:X1594"/>
    <mergeCell ref="Q1594:T1594"/>
    <mergeCell ref="U1508:X1508"/>
    <mergeCell ref="Y1508:AB1508"/>
    <mergeCell ref="B1508:E1508"/>
    <mergeCell ref="F1508:I1508"/>
    <mergeCell ref="J1508:M1508"/>
    <mergeCell ref="N1508:N1509"/>
    <mergeCell ref="B1551:E1551"/>
    <mergeCell ref="F1551:I1551"/>
    <mergeCell ref="J1551:M1551"/>
    <mergeCell ref="N1551:N1552"/>
    <mergeCell ref="Q1551:T1551"/>
    <mergeCell ref="U1551:X1551"/>
    <mergeCell ref="Y1551:AB1551"/>
    <mergeCell ref="Q1508:T1508"/>
    <mergeCell ref="J1465:M1465"/>
    <mergeCell ref="N1465:N1466"/>
    <mergeCell ref="U1336:X1336"/>
    <mergeCell ref="Y1336:AB1336"/>
    <mergeCell ref="Y1422:AB1422"/>
    <mergeCell ref="B1422:E1422"/>
    <mergeCell ref="F1422:I1422"/>
    <mergeCell ref="J1422:M1422"/>
    <mergeCell ref="N1422:N1423"/>
    <mergeCell ref="Q1379:T1379"/>
    <mergeCell ref="U1379:X1379"/>
    <mergeCell ref="Y1379:AB1379"/>
    <mergeCell ref="B1379:E1379"/>
    <mergeCell ref="F1379:I1379"/>
    <mergeCell ref="J1379:M1379"/>
    <mergeCell ref="N1379:N1380"/>
    <mergeCell ref="U1422:X1422"/>
    <mergeCell ref="Q1465:T1465"/>
    <mergeCell ref="U1465:X1465"/>
    <mergeCell ref="Y1465:AB1465"/>
    <mergeCell ref="B1465:E1465"/>
    <mergeCell ref="F1465:I1465"/>
    <mergeCell ref="Q1422:T1422"/>
    <mergeCell ref="N1293:N1294"/>
    <mergeCell ref="B1336:E1336"/>
    <mergeCell ref="F1336:I1336"/>
    <mergeCell ref="B1207:E1207"/>
    <mergeCell ref="F1207:I1207"/>
    <mergeCell ref="J1207:M1207"/>
    <mergeCell ref="Y1293:AB1293"/>
    <mergeCell ref="Q1336:T1336"/>
    <mergeCell ref="B1293:E1293"/>
    <mergeCell ref="F1293:I1293"/>
    <mergeCell ref="J1293:M1293"/>
    <mergeCell ref="J1336:M1336"/>
    <mergeCell ref="N1336:N1337"/>
    <mergeCell ref="Y1207:AB1207"/>
    <mergeCell ref="U1293:X1293"/>
    <mergeCell ref="N1207:N1208"/>
    <mergeCell ref="Q1293:T1293"/>
    <mergeCell ref="B1250:E1250"/>
    <mergeCell ref="F1250:I1250"/>
    <mergeCell ref="J1250:M1250"/>
    <mergeCell ref="N1250:N1251"/>
    <mergeCell ref="U1121:X1121"/>
    <mergeCell ref="Y1121:AB1121"/>
    <mergeCell ref="Q1164:T1164"/>
    <mergeCell ref="U1164:X1164"/>
    <mergeCell ref="Y1164:AB1164"/>
    <mergeCell ref="U1207:X1207"/>
    <mergeCell ref="U1250:X1250"/>
    <mergeCell ref="Y1250:AB1250"/>
    <mergeCell ref="Q1207:T1207"/>
    <mergeCell ref="Q1250:T1250"/>
    <mergeCell ref="AC777:AC778"/>
    <mergeCell ref="B777:E777"/>
    <mergeCell ref="F777:I777"/>
    <mergeCell ref="J777:M777"/>
    <mergeCell ref="Y820:AB820"/>
    <mergeCell ref="U820:X820"/>
    <mergeCell ref="Q820:T820"/>
    <mergeCell ref="B949:E949"/>
    <mergeCell ref="F949:I949"/>
    <mergeCell ref="J949:M949"/>
    <mergeCell ref="N949:N950"/>
    <mergeCell ref="AC949:AC950"/>
    <mergeCell ref="AC906:AC907"/>
    <mergeCell ref="AC863:AC864"/>
    <mergeCell ref="N863:N864"/>
    <mergeCell ref="J906:M906"/>
    <mergeCell ref="B863:E863"/>
    <mergeCell ref="F863:I863"/>
    <mergeCell ref="J863:M863"/>
    <mergeCell ref="AC820:AC821"/>
    <mergeCell ref="Y949:AB949"/>
    <mergeCell ref="U949:X949"/>
    <mergeCell ref="Q949:T949"/>
    <mergeCell ref="Y906:AB906"/>
    <mergeCell ref="AC648:AC649"/>
    <mergeCell ref="B648:E648"/>
    <mergeCell ref="F648:I648"/>
    <mergeCell ref="J648:M648"/>
    <mergeCell ref="N648:N649"/>
    <mergeCell ref="Q691:T691"/>
    <mergeCell ref="U691:X691"/>
    <mergeCell ref="Y691:AB691"/>
    <mergeCell ref="AC691:AC692"/>
    <mergeCell ref="B691:E691"/>
    <mergeCell ref="F691:I691"/>
    <mergeCell ref="J691:M691"/>
    <mergeCell ref="N691:N692"/>
    <mergeCell ref="AC562:AC563"/>
    <mergeCell ref="B562:E562"/>
    <mergeCell ref="F562:I562"/>
    <mergeCell ref="J562:M562"/>
    <mergeCell ref="N562:N563"/>
    <mergeCell ref="Q605:T605"/>
    <mergeCell ref="U605:X605"/>
    <mergeCell ref="Y605:AB605"/>
    <mergeCell ref="AC605:AC606"/>
    <mergeCell ref="B605:E605"/>
    <mergeCell ref="F605:I605"/>
    <mergeCell ref="J605:M605"/>
    <mergeCell ref="N605:N606"/>
    <mergeCell ref="U304:X304"/>
    <mergeCell ref="Y304:AB304"/>
    <mergeCell ref="AC304:AC305"/>
    <mergeCell ref="B304:E304"/>
    <mergeCell ref="F304:I304"/>
    <mergeCell ref="J304:M304"/>
    <mergeCell ref="N304:N305"/>
    <mergeCell ref="Q304:T304"/>
    <mergeCell ref="U175:X175"/>
    <mergeCell ref="Y175:AB175"/>
    <mergeCell ref="AC175:AC176"/>
    <mergeCell ref="B175:E175"/>
    <mergeCell ref="F175:I175"/>
    <mergeCell ref="J175:M175"/>
    <mergeCell ref="N175:N176"/>
    <mergeCell ref="Q175:T175"/>
    <mergeCell ref="U261:X261"/>
    <mergeCell ref="Y261:AB261"/>
    <mergeCell ref="AC261:AC262"/>
    <mergeCell ref="B261:E261"/>
    <mergeCell ref="F261:I261"/>
    <mergeCell ref="J261:M261"/>
    <mergeCell ref="N261:N262"/>
    <mergeCell ref="Q261:T261"/>
    <mergeCell ref="U89:X89"/>
    <mergeCell ref="Y89:AB89"/>
    <mergeCell ref="AC89:AC90"/>
    <mergeCell ref="B89:E89"/>
    <mergeCell ref="F89:I89"/>
    <mergeCell ref="J89:M89"/>
    <mergeCell ref="N89:N90"/>
    <mergeCell ref="Q89:T89"/>
    <mergeCell ref="Y3:AB3"/>
    <mergeCell ref="N3:N4"/>
    <mergeCell ref="AC3:AC4"/>
    <mergeCell ref="B46:E46"/>
    <mergeCell ref="F46:I46"/>
    <mergeCell ref="J46:M46"/>
    <mergeCell ref="N46:N47"/>
    <mergeCell ref="Q46:T46"/>
    <mergeCell ref="U46:X46"/>
    <mergeCell ref="Y46:AB46"/>
    <mergeCell ref="AC46:AC47"/>
    <mergeCell ref="U3:X3"/>
    <mergeCell ref="B3:E3"/>
    <mergeCell ref="Q3:T3"/>
    <mergeCell ref="F3:I3"/>
    <mergeCell ref="J3:M3"/>
    <mergeCell ref="U132:X132"/>
    <mergeCell ref="Y132:AB132"/>
    <mergeCell ref="AC132:AC133"/>
    <mergeCell ref="B132:E132"/>
    <mergeCell ref="F132:I132"/>
    <mergeCell ref="J132:M132"/>
    <mergeCell ref="N132:N133"/>
    <mergeCell ref="Q132:T132"/>
    <mergeCell ref="U218:X218"/>
    <mergeCell ref="Y218:AB218"/>
    <mergeCell ref="AC218:AC219"/>
    <mergeCell ref="B218:E218"/>
    <mergeCell ref="F218:I218"/>
    <mergeCell ref="J218:M218"/>
    <mergeCell ref="N218:N219"/>
    <mergeCell ref="Q218:T218"/>
    <mergeCell ref="AC347:AC348"/>
    <mergeCell ref="B347:E347"/>
    <mergeCell ref="F347:I347"/>
    <mergeCell ref="J347:M347"/>
    <mergeCell ref="N347:N348"/>
    <mergeCell ref="Q390:T390"/>
    <mergeCell ref="U390:X390"/>
    <mergeCell ref="Y390:AB390"/>
    <mergeCell ref="AC390:AC391"/>
    <mergeCell ref="B390:E390"/>
    <mergeCell ref="F390:I390"/>
    <mergeCell ref="J390:M390"/>
    <mergeCell ref="N390:N391"/>
    <mergeCell ref="Q347:T347"/>
    <mergeCell ref="U347:X347"/>
    <mergeCell ref="Y347:AB347"/>
    <mergeCell ref="AC433:AC434"/>
    <mergeCell ref="AC519:AC520"/>
    <mergeCell ref="Y777:AB777"/>
    <mergeCell ref="N820:N821"/>
    <mergeCell ref="B433:E433"/>
    <mergeCell ref="F433:I433"/>
    <mergeCell ref="J433:M433"/>
    <mergeCell ref="N433:N434"/>
    <mergeCell ref="Q476:T476"/>
    <mergeCell ref="U476:X476"/>
    <mergeCell ref="Y476:AB476"/>
    <mergeCell ref="AC476:AC477"/>
    <mergeCell ref="B476:E476"/>
    <mergeCell ref="F476:I476"/>
    <mergeCell ref="J476:M476"/>
    <mergeCell ref="N476:N477"/>
    <mergeCell ref="Q433:T433"/>
    <mergeCell ref="U433:X433"/>
    <mergeCell ref="Y433:AB433"/>
    <mergeCell ref="B519:E519"/>
    <mergeCell ref="F519:I519"/>
    <mergeCell ref="AC734:AC735"/>
    <mergeCell ref="B734:E734"/>
    <mergeCell ref="Q562:T562"/>
    <mergeCell ref="B820:E820"/>
    <mergeCell ref="F820:I820"/>
    <mergeCell ref="J820:M820"/>
    <mergeCell ref="N906:N907"/>
    <mergeCell ref="B992:E992"/>
    <mergeCell ref="F992:I992"/>
    <mergeCell ref="J992:M992"/>
    <mergeCell ref="N992:N993"/>
    <mergeCell ref="Y519:AB519"/>
    <mergeCell ref="Q734:T734"/>
    <mergeCell ref="U734:X734"/>
    <mergeCell ref="Y734:AB734"/>
    <mergeCell ref="U562:X562"/>
    <mergeCell ref="Y562:AB562"/>
    <mergeCell ref="Q648:T648"/>
    <mergeCell ref="U648:X648"/>
    <mergeCell ref="Y648:AB648"/>
    <mergeCell ref="J519:M519"/>
    <mergeCell ref="N519:N520"/>
    <mergeCell ref="Q519:T519"/>
    <mergeCell ref="F734:I734"/>
    <mergeCell ref="J734:M734"/>
    <mergeCell ref="N734:N735"/>
    <mergeCell ref="N777:N778"/>
    <mergeCell ref="Q777:T777"/>
    <mergeCell ref="U777:X777"/>
    <mergeCell ref="U519:X519"/>
    <mergeCell ref="Y863:AB863"/>
    <mergeCell ref="U863:X863"/>
    <mergeCell ref="Q863:T863"/>
    <mergeCell ref="Y992:AB992"/>
    <mergeCell ref="Q1078:T1078"/>
    <mergeCell ref="U1078:X1078"/>
    <mergeCell ref="Y1078:AB1078"/>
    <mergeCell ref="U1035:X1035"/>
    <mergeCell ref="Y1035:AB1035"/>
    <mergeCell ref="Q992:T992"/>
    <mergeCell ref="U992:X992"/>
    <mergeCell ref="U906:X906"/>
    <mergeCell ref="B906:E906"/>
    <mergeCell ref="F906:I906"/>
    <mergeCell ref="Q906:T906"/>
    <mergeCell ref="B1121:E1121"/>
    <mergeCell ref="F1121:I1121"/>
    <mergeCell ref="J1121:M1121"/>
    <mergeCell ref="N1121:N1122"/>
    <mergeCell ref="B1164:E1164"/>
    <mergeCell ref="F1164:I1164"/>
    <mergeCell ref="J1164:M1164"/>
    <mergeCell ref="N1164:N1165"/>
    <mergeCell ref="B1078:E1078"/>
    <mergeCell ref="F1078:I1078"/>
    <mergeCell ref="J1078:M1078"/>
    <mergeCell ref="N1078:N1079"/>
    <mergeCell ref="B1035:E1035"/>
    <mergeCell ref="F1035:I1035"/>
    <mergeCell ref="J1035:M1035"/>
    <mergeCell ref="N1035:N1036"/>
    <mergeCell ref="Q1035:T1035"/>
    <mergeCell ref="Q1121:T1121"/>
    <mergeCell ref="AC1809:AC1810"/>
    <mergeCell ref="AC1766:AC1767"/>
    <mergeCell ref="B1895:E1895"/>
    <mergeCell ref="F1895:I1895"/>
    <mergeCell ref="J1895:M1895"/>
    <mergeCell ref="N1895:N1896"/>
    <mergeCell ref="Q1809:T1809"/>
    <mergeCell ref="U1809:X1809"/>
    <mergeCell ref="Y1809:AB1809"/>
    <mergeCell ref="B1809:E1809"/>
    <mergeCell ref="F1809:I1809"/>
    <mergeCell ref="J1809:M1809"/>
    <mergeCell ref="N1809:N1810"/>
    <mergeCell ref="Q1852:T1852"/>
    <mergeCell ref="U1852:X1852"/>
    <mergeCell ref="Y1852:AB1852"/>
    <mergeCell ref="B1852:E1852"/>
    <mergeCell ref="F1852:I1852"/>
    <mergeCell ref="J1852:M1852"/>
    <mergeCell ref="AC1895:AC1896"/>
    <mergeCell ref="Y1895:AB1895"/>
    <mergeCell ref="U1895:X1895"/>
    <mergeCell ref="Q1895:T1895"/>
    <mergeCell ref="B2153:E2153"/>
    <mergeCell ref="F2153:I2153"/>
    <mergeCell ref="J2153:M2153"/>
    <mergeCell ref="N2153:N2154"/>
    <mergeCell ref="Q2153:T2153"/>
    <mergeCell ref="U2153:X2153"/>
    <mergeCell ref="Y2153:AB2153"/>
    <mergeCell ref="AC2153:AC2154"/>
    <mergeCell ref="AC1852:AC1853"/>
    <mergeCell ref="B2024:E2024"/>
    <mergeCell ref="F2024:I2024"/>
    <mergeCell ref="J2024:M2024"/>
    <mergeCell ref="N2024:N2025"/>
    <mergeCell ref="Q1981:T1981"/>
    <mergeCell ref="U1981:X1981"/>
    <mergeCell ref="Y1981:AB1981"/>
    <mergeCell ref="AC1981:AC1982"/>
    <mergeCell ref="B1981:E1981"/>
    <mergeCell ref="F1981:I1981"/>
    <mergeCell ref="J1981:M1981"/>
    <mergeCell ref="N1981:N1982"/>
    <mergeCell ref="Q2024:T2024"/>
    <mergeCell ref="U2024:X2024"/>
    <mergeCell ref="Y2024:AB2024"/>
    <mergeCell ref="Q2239:T2239"/>
    <mergeCell ref="U2239:X2239"/>
    <mergeCell ref="Y2239:AB2239"/>
    <mergeCell ref="AC2239:AC2240"/>
    <mergeCell ref="B2239:E2239"/>
    <mergeCell ref="F2239:I2239"/>
    <mergeCell ref="J2239:M2239"/>
    <mergeCell ref="N2239:N2240"/>
    <mergeCell ref="Q1938:T1938"/>
    <mergeCell ref="U1938:X1938"/>
    <mergeCell ref="Y1938:AB1938"/>
    <mergeCell ref="AC1938:AC1939"/>
    <mergeCell ref="B1938:E1938"/>
    <mergeCell ref="F1938:I1938"/>
    <mergeCell ref="J1938:M1938"/>
    <mergeCell ref="N1938:N1939"/>
    <mergeCell ref="Q2196:T2196"/>
    <mergeCell ref="U2196:X2196"/>
    <mergeCell ref="Y2196:AB2196"/>
    <mergeCell ref="AC2196:AC2197"/>
    <mergeCell ref="B2196:E2196"/>
    <mergeCell ref="F2196:I2196"/>
    <mergeCell ref="J2196:M2196"/>
    <mergeCell ref="N2196:N2197"/>
  </mergeCells>
  <phoneticPr fontId="8"/>
  <pageMargins left="0.7" right="0.7" top="0.75" bottom="0.75" header="0.3" footer="0.3"/>
  <pageSetup paperSize="9" orientation="portrait" r:id="rId1"/>
  <ignoredErrors>
    <ignoredError sqref="R213:Z214 T209 X209 T210 X210 T212:X212 T211 X2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71A7-0764-4A05-B0D1-C3D69B9044D0}">
  <sheetPr>
    <tabColor theme="6" tint="0.59999389629810485"/>
  </sheetPr>
  <dimension ref="A1:AH1204"/>
  <sheetViews>
    <sheetView topLeftCell="K352" zoomScaleNormal="100" workbookViewId="0">
      <selection activeCell="AD373" sqref="AD373"/>
    </sheetView>
  </sheetViews>
  <sheetFormatPr defaultRowHeight="13.5" x14ac:dyDescent="0.15"/>
  <cols>
    <col min="1" max="1" width="39.875" style="230" customWidth="1"/>
    <col min="2" max="4" width="7.75" style="172" customWidth="1"/>
    <col min="5" max="5" width="9" style="172" customWidth="1"/>
    <col min="6" max="8" width="7.75" style="172" customWidth="1"/>
    <col min="9" max="9" width="9" style="172" customWidth="1"/>
    <col min="10" max="12" width="7.75" style="172" customWidth="1"/>
    <col min="13" max="13" width="9" style="172" customWidth="1"/>
    <col min="14" max="14" width="10.25" style="173" customWidth="1"/>
    <col min="15" max="15" width="10.25" style="172" customWidth="1"/>
    <col min="16" max="16" width="60.375" style="172" customWidth="1"/>
    <col min="17" max="19" width="7.75" style="172" customWidth="1"/>
    <col min="20" max="20" width="9" style="172" customWidth="1"/>
    <col min="21" max="23" width="7.75" style="172" customWidth="1"/>
    <col min="24" max="24" width="9" style="172"/>
    <col min="25" max="27" width="7.75" style="172" customWidth="1"/>
    <col min="28" max="28" width="9" style="172" customWidth="1"/>
    <col min="29" max="29" width="9" style="175"/>
    <col min="30" max="30" width="9.5" style="176" customWidth="1"/>
    <col min="31" max="16384" width="9" style="172"/>
  </cols>
  <sheetData>
    <row r="1" spans="1:32" ht="21.75" customHeight="1" x14ac:dyDescent="0.15">
      <c r="A1" s="171"/>
      <c r="P1" s="174"/>
    </row>
    <row r="2" spans="1:32" ht="19.5" thickBot="1" x14ac:dyDescent="0.25">
      <c r="A2" s="177" t="s">
        <v>1183</v>
      </c>
      <c r="B2" s="178"/>
      <c r="C2" s="178"/>
      <c r="D2" s="178"/>
      <c r="E2" s="178"/>
      <c r="F2" s="179"/>
      <c r="G2" s="179"/>
      <c r="H2" s="179"/>
      <c r="I2" s="179"/>
      <c r="J2" s="179"/>
      <c r="K2" s="179"/>
      <c r="L2" s="179"/>
      <c r="M2" s="179"/>
      <c r="N2" s="180"/>
      <c r="O2" s="179"/>
      <c r="P2" s="177" t="s">
        <v>1184</v>
      </c>
      <c r="Q2" s="178"/>
      <c r="R2" s="178"/>
      <c r="S2" s="178"/>
      <c r="T2" s="178"/>
      <c r="Y2" s="179"/>
      <c r="Z2" s="181"/>
      <c r="AA2" s="179"/>
      <c r="AB2" s="179"/>
    </row>
    <row r="3" spans="1:32" ht="14.25" thickBot="1" x14ac:dyDescent="0.2">
      <c r="A3" s="182" t="s">
        <v>0</v>
      </c>
      <c r="B3" s="350" t="s">
        <v>11</v>
      </c>
      <c r="C3" s="350"/>
      <c r="D3" s="350"/>
      <c r="E3" s="351"/>
      <c r="F3" s="349" t="s">
        <v>9</v>
      </c>
      <c r="G3" s="350"/>
      <c r="H3" s="350"/>
      <c r="I3" s="351"/>
      <c r="J3" s="349" t="s">
        <v>12</v>
      </c>
      <c r="K3" s="350"/>
      <c r="L3" s="350"/>
      <c r="M3" s="350"/>
      <c r="N3" s="352" t="s">
        <v>13</v>
      </c>
      <c r="O3" s="179"/>
      <c r="P3" s="183" t="s">
        <v>0</v>
      </c>
      <c r="Q3" s="350" t="s">
        <v>11</v>
      </c>
      <c r="R3" s="350"/>
      <c r="S3" s="350"/>
      <c r="T3" s="351"/>
      <c r="U3" s="349" t="s">
        <v>9</v>
      </c>
      <c r="V3" s="350"/>
      <c r="W3" s="350"/>
      <c r="X3" s="351"/>
      <c r="Y3" s="349" t="s">
        <v>12</v>
      </c>
      <c r="Z3" s="350"/>
      <c r="AA3" s="350"/>
      <c r="AB3" s="350"/>
      <c r="AC3" s="354" t="s">
        <v>13</v>
      </c>
    </row>
    <row r="4" spans="1:32" ht="14.25" thickBot="1" x14ac:dyDescent="0.2">
      <c r="A4" s="182" t="s">
        <v>1</v>
      </c>
      <c r="B4" s="184" t="s">
        <v>922</v>
      </c>
      <c r="C4" s="183" t="s">
        <v>923</v>
      </c>
      <c r="D4" s="183" t="s">
        <v>924</v>
      </c>
      <c r="E4" s="242" t="s">
        <v>2</v>
      </c>
      <c r="F4" s="184" t="s">
        <v>922</v>
      </c>
      <c r="G4" s="183" t="s">
        <v>923</v>
      </c>
      <c r="H4" s="183" t="s">
        <v>924</v>
      </c>
      <c r="I4" s="242" t="s">
        <v>2</v>
      </c>
      <c r="J4" s="184" t="s">
        <v>922</v>
      </c>
      <c r="K4" s="183" t="s">
        <v>923</v>
      </c>
      <c r="L4" s="183" t="s">
        <v>924</v>
      </c>
      <c r="M4" s="252" t="s">
        <v>2</v>
      </c>
      <c r="N4" s="353"/>
      <c r="O4" s="179"/>
      <c r="P4" s="183" t="s">
        <v>1</v>
      </c>
      <c r="Q4" s="184" t="s">
        <v>922</v>
      </c>
      <c r="R4" s="183" t="s">
        <v>923</v>
      </c>
      <c r="S4" s="183" t="s">
        <v>924</v>
      </c>
      <c r="T4" s="242" t="s">
        <v>2</v>
      </c>
      <c r="U4" s="184" t="s">
        <v>922</v>
      </c>
      <c r="V4" s="183" t="s">
        <v>923</v>
      </c>
      <c r="W4" s="183" t="s">
        <v>924</v>
      </c>
      <c r="X4" s="242" t="s">
        <v>2</v>
      </c>
      <c r="Y4" s="184" t="s">
        <v>922</v>
      </c>
      <c r="Z4" s="183" t="s">
        <v>923</v>
      </c>
      <c r="AA4" s="183" t="s">
        <v>924</v>
      </c>
      <c r="AB4" s="252" t="s">
        <v>2</v>
      </c>
      <c r="AC4" s="355"/>
    </row>
    <row r="5" spans="1:32" x14ac:dyDescent="0.15">
      <c r="A5" s="185" t="s">
        <v>1054</v>
      </c>
      <c r="B5" s="186">
        <v>1</v>
      </c>
      <c r="C5" s="187">
        <v>1</v>
      </c>
      <c r="D5" s="187">
        <v>1</v>
      </c>
      <c r="E5" s="244">
        <f t="shared" ref="E5:E10" si="0">SUM(B5:D5)</f>
        <v>3</v>
      </c>
      <c r="F5" s="186">
        <v>1</v>
      </c>
      <c r="G5" s="187">
        <v>1</v>
      </c>
      <c r="H5" s="187">
        <v>1</v>
      </c>
      <c r="I5" s="244">
        <f t="shared" ref="I5:I10" si="1">SUM(F5:H5)</f>
        <v>3</v>
      </c>
      <c r="J5" s="186">
        <v>1</v>
      </c>
      <c r="K5" s="187">
        <v>1</v>
      </c>
      <c r="L5" s="187">
        <v>1</v>
      </c>
      <c r="M5" s="263">
        <f t="shared" ref="M5:M10" si="2">SUM(J5:L5)</f>
        <v>3</v>
      </c>
      <c r="N5" s="268">
        <f t="shared" ref="N5:N10" si="3">E5+I5+M5</f>
        <v>9</v>
      </c>
      <c r="O5" s="190">
        <v>45888</v>
      </c>
      <c r="P5" s="191" t="s">
        <v>995</v>
      </c>
      <c r="Q5" s="192">
        <v>320</v>
      </c>
      <c r="R5" s="193">
        <v>160</v>
      </c>
      <c r="S5" s="193">
        <v>160</v>
      </c>
      <c r="T5" s="243">
        <f t="shared" ref="T5:T41" si="4">SUM(Q5:S5)</f>
        <v>640</v>
      </c>
      <c r="U5" s="192">
        <v>320</v>
      </c>
      <c r="V5" s="193">
        <v>160</v>
      </c>
      <c r="W5" s="193">
        <v>160</v>
      </c>
      <c r="X5" s="243">
        <f t="shared" ref="X5:X41" si="5">SUM(U5:W5)</f>
        <v>640</v>
      </c>
      <c r="Y5" s="192">
        <v>320</v>
      </c>
      <c r="Z5" s="193">
        <v>160</v>
      </c>
      <c r="AA5" s="193">
        <v>160</v>
      </c>
      <c r="AB5" s="243">
        <f t="shared" ref="AB5:AB41" si="6">SUM(Y5:AA5)</f>
        <v>640</v>
      </c>
      <c r="AC5" s="253">
        <f>T5+X5+AB5</f>
        <v>1920</v>
      </c>
      <c r="AD5" s="194" t="s">
        <v>1152</v>
      </c>
      <c r="AE5" s="195"/>
      <c r="AF5" s="195"/>
    </row>
    <row r="6" spans="1:32" s="195" customFormat="1" x14ac:dyDescent="0.15">
      <c r="A6" s="185" t="s">
        <v>3</v>
      </c>
      <c r="B6" s="186">
        <v>10</v>
      </c>
      <c r="C6" s="187">
        <v>10</v>
      </c>
      <c r="D6" s="187">
        <v>10</v>
      </c>
      <c r="E6" s="244">
        <f t="shared" si="0"/>
        <v>30</v>
      </c>
      <c r="F6" s="186">
        <v>10</v>
      </c>
      <c r="G6" s="187">
        <v>10</v>
      </c>
      <c r="H6" s="187">
        <v>10</v>
      </c>
      <c r="I6" s="244">
        <f t="shared" si="1"/>
        <v>30</v>
      </c>
      <c r="J6" s="186">
        <v>10</v>
      </c>
      <c r="K6" s="187">
        <v>10</v>
      </c>
      <c r="L6" s="187">
        <v>10</v>
      </c>
      <c r="M6" s="263">
        <f t="shared" si="2"/>
        <v>30</v>
      </c>
      <c r="N6" s="269">
        <f t="shared" si="3"/>
        <v>90</v>
      </c>
      <c r="O6" s="190">
        <v>45920</v>
      </c>
      <c r="P6" s="191" t="s">
        <v>3</v>
      </c>
      <c r="Q6" s="186"/>
      <c r="R6" s="187">
        <v>-20</v>
      </c>
      <c r="S6" s="187">
        <v>-20</v>
      </c>
      <c r="T6" s="244">
        <f t="shared" ref="T6" si="7">SUM(Q6:S6)</f>
        <v>-40</v>
      </c>
      <c r="U6" s="186"/>
      <c r="V6" s="187">
        <v>-20</v>
      </c>
      <c r="W6" s="187">
        <v>-20</v>
      </c>
      <c r="X6" s="244">
        <f t="shared" ref="X6" si="8">SUM(U6:W6)</f>
        <v>-40</v>
      </c>
      <c r="Y6" s="196"/>
      <c r="Z6" s="197">
        <v>-20</v>
      </c>
      <c r="AA6" s="197">
        <v>-20</v>
      </c>
      <c r="AB6" s="243">
        <f t="shared" ref="AB6" si="9">SUM(Y6:AA6)</f>
        <v>-40</v>
      </c>
      <c r="AC6" s="254">
        <f t="shared" ref="AC6" si="10">T6+X6+AB6</f>
        <v>-120</v>
      </c>
      <c r="AD6" s="198" t="s">
        <v>1087</v>
      </c>
    </row>
    <row r="7" spans="1:32" s="195" customFormat="1" x14ac:dyDescent="0.15">
      <c r="A7" s="185" t="s">
        <v>3</v>
      </c>
      <c r="B7" s="186">
        <v>5</v>
      </c>
      <c r="C7" s="187">
        <v>5</v>
      </c>
      <c r="D7" s="187">
        <v>3</v>
      </c>
      <c r="E7" s="244">
        <f t="shared" si="0"/>
        <v>13</v>
      </c>
      <c r="F7" s="186">
        <v>5</v>
      </c>
      <c r="G7" s="187">
        <v>5</v>
      </c>
      <c r="H7" s="187">
        <v>3</v>
      </c>
      <c r="I7" s="244">
        <f t="shared" si="1"/>
        <v>13</v>
      </c>
      <c r="J7" s="186">
        <v>5</v>
      </c>
      <c r="K7" s="187">
        <v>5</v>
      </c>
      <c r="L7" s="187">
        <v>3</v>
      </c>
      <c r="M7" s="263">
        <f t="shared" si="2"/>
        <v>13</v>
      </c>
      <c r="N7" s="268">
        <f t="shared" si="3"/>
        <v>39</v>
      </c>
      <c r="O7" s="190">
        <v>45968</v>
      </c>
      <c r="P7" s="191" t="s">
        <v>3</v>
      </c>
      <c r="Q7" s="186">
        <v>-1</v>
      </c>
      <c r="R7" s="187">
        <v>-1</v>
      </c>
      <c r="S7" s="187">
        <v>-1</v>
      </c>
      <c r="T7" s="244">
        <f t="shared" si="4"/>
        <v>-3</v>
      </c>
      <c r="U7" s="186">
        <v>-1</v>
      </c>
      <c r="V7" s="187">
        <v>-1</v>
      </c>
      <c r="W7" s="187">
        <v>-1</v>
      </c>
      <c r="X7" s="244">
        <f t="shared" si="5"/>
        <v>-3</v>
      </c>
      <c r="Y7" s="196">
        <v>-1</v>
      </c>
      <c r="Z7" s="197">
        <v>-1</v>
      </c>
      <c r="AA7" s="197">
        <v>-1</v>
      </c>
      <c r="AB7" s="243">
        <f t="shared" si="6"/>
        <v>-3</v>
      </c>
      <c r="AC7" s="254">
        <f t="shared" ref="AC7:AC42" si="11">T7+X7+AB7</f>
        <v>-9</v>
      </c>
      <c r="AD7" s="198" t="s">
        <v>1088</v>
      </c>
    </row>
    <row r="8" spans="1:32" s="195" customFormat="1" x14ac:dyDescent="0.15">
      <c r="A8" s="185" t="s">
        <v>3</v>
      </c>
      <c r="B8" s="186">
        <v>3</v>
      </c>
      <c r="C8" s="187"/>
      <c r="D8" s="187"/>
      <c r="E8" s="244">
        <f t="shared" si="0"/>
        <v>3</v>
      </c>
      <c r="F8" s="186">
        <v>3</v>
      </c>
      <c r="G8" s="187"/>
      <c r="H8" s="187"/>
      <c r="I8" s="244">
        <f t="shared" si="1"/>
        <v>3</v>
      </c>
      <c r="J8" s="186">
        <v>3</v>
      </c>
      <c r="K8" s="187"/>
      <c r="L8" s="187"/>
      <c r="M8" s="263">
        <f t="shared" si="2"/>
        <v>3</v>
      </c>
      <c r="N8" s="268">
        <f t="shared" si="3"/>
        <v>9</v>
      </c>
      <c r="O8" s="190">
        <v>45982</v>
      </c>
      <c r="P8" s="191" t="s">
        <v>3</v>
      </c>
      <c r="Q8" s="199"/>
      <c r="R8" s="197"/>
      <c r="S8" s="197"/>
      <c r="T8" s="243">
        <f t="shared" si="4"/>
        <v>0</v>
      </c>
      <c r="U8" s="199"/>
      <c r="V8" s="197"/>
      <c r="W8" s="197"/>
      <c r="X8" s="243">
        <f t="shared" si="5"/>
        <v>0</v>
      </c>
      <c r="Y8" s="196"/>
      <c r="Z8" s="197"/>
      <c r="AA8" s="197"/>
      <c r="AB8" s="243">
        <f t="shared" si="6"/>
        <v>0</v>
      </c>
      <c r="AC8" s="254">
        <f t="shared" si="11"/>
        <v>0</v>
      </c>
      <c r="AD8" s="198"/>
    </row>
    <row r="9" spans="1:32" s="195" customFormat="1" x14ac:dyDescent="0.15">
      <c r="A9" s="185" t="s">
        <v>281</v>
      </c>
      <c r="B9" s="186"/>
      <c r="C9" s="187">
        <v>1</v>
      </c>
      <c r="D9" s="187"/>
      <c r="E9" s="244">
        <f t="shared" si="0"/>
        <v>1</v>
      </c>
      <c r="F9" s="186"/>
      <c r="G9" s="187">
        <v>1</v>
      </c>
      <c r="H9" s="187"/>
      <c r="I9" s="244">
        <f t="shared" si="1"/>
        <v>1</v>
      </c>
      <c r="J9" s="186"/>
      <c r="K9" s="187">
        <v>1</v>
      </c>
      <c r="L9" s="187"/>
      <c r="M9" s="263">
        <f t="shared" si="2"/>
        <v>1</v>
      </c>
      <c r="N9" s="268">
        <f t="shared" si="3"/>
        <v>3</v>
      </c>
      <c r="O9" s="190">
        <v>45988</v>
      </c>
      <c r="P9" s="191" t="s">
        <v>3</v>
      </c>
      <c r="Q9" s="199"/>
      <c r="R9" s="197"/>
      <c r="S9" s="197"/>
      <c r="T9" s="243">
        <f t="shared" si="4"/>
        <v>0</v>
      </c>
      <c r="U9" s="199"/>
      <c r="V9" s="197"/>
      <c r="W9" s="197"/>
      <c r="X9" s="243">
        <f t="shared" si="5"/>
        <v>0</v>
      </c>
      <c r="Y9" s="196"/>
      <c r="Z9" s="197"/>
      <c r="AA9" s="197"/>
      <c r="AB9" s="243">
        <f t="shared" si="6"/>
        <v>0</v>
      </c>
      <c r="AC9" s="254">
        <f t="shared" si="11"/>
        <v>0</v>
      </c>
      <c r="AD9" s="198"/>
    </row>
    <row r="10" spans="1:32" s="195" customFormat="1" x14ac:dyDescent="0.15">
      <c r="A10" s="185" t="s">
        <v>3</v>
      </c>
      <c r="B10" s="186"/>
      <c r="C10" s="187"/>
      <c r="D10" s="187"/>
      <c r="E10" s="244">
        <f t="shared" si="0"/>
        <v>0</v>
      </c>
      <c r="F10" s="186"/>
      <c r="G10" s="187"/>
      <c r="H10" s="187"/>
      <c r="I10" s="244">
        <f t="shared" si="1"/>
        <v>0</v>
      </c>
      <c r="J10" s="186"/>
      <c r="K10" s="187"/>
      <c r="L10" s="187"/>
      <c r="M10" s="263">
        <f t="shared" si="2"/>
        <v>0</v>
      </c>
      <c r="N10" s="268">
        <f t="shared" si="3"/>
        <v>0</v>
      </c>
      <c r="O10" s="190"/>
      <c r="P10" s="191" t="s">
        <v>3</v>
      </c>
      <c r="Q10" s="199"/>
      <c r="R10" s="197"/>
      <c r="S10" s="197"/>
      <c r="T10" s="243">
        <f t="shared" si="4"/>
        <v>0</v>
      </c>
      <c r="U10" s="199"/>
      <c r="V10" s="197"/>
      <c r="W10" s="197"/>
      <c r="X10" s="243">
        <f t="shared" si="5"/>
        <v>0</v>
      </c>
      <c r="Y10" s="196"/>
      <c r="Z10" s="197"/>
      <c r="AA10" s="197"/>
      <c r="AB10" s="243">
        <f t="shared" si="6"/>
        <v>0</v>
      </c>
      <c r="AC10" s="253">
        <f t="shared" si="11"/>
        <v>0</v>
      </c>
      <c r="AD10" s="198"/>
    </row>
    <row r="11" spans="1:32" s="195" customFormat="1" x14ac:dyDescent="0.15">
      <c r="A11" s="185" t="s">
        <v>3</v>
      </c>
      <c r="B11" s="186"/>
      <c r="C11" s="187"/>
      <c r="D11" s="187"/>
      <c r="E11" s="244">
        <f t="shared" ref="E11:E41" si="12">SUM(B11:D11)</f>
        <v>0</v>
      </c>
      <c r="F11" s="186"/>
      <c r="G11" s="187"/>
      <c r="H11" s="187"/>
      <c r="I11" s="244">
        <f t="shared" ref="I11:I41" si="13">SUM(F11:H11)</f>
        <v>0</v>
      </c>
      <c r="J11" s="186"/>
      <c r="K11" s="187"/>
      <c r="L11" s="187"/>
      <c r="M11" s="263">
        <f t="shared" ref="M11:M41" si="14">SUM(J11:L11)</f>
        <v>0</v>
      </c>
      <c r="N11" s="268">
        <f t="shared" ref="N11:N42" si="15">E11+I11+M11</f>
        <v>0</v>
      </c>
      <c r="O11" s="190"/>
      <c r="P11" s="191" t="s">
        <v>3</v>
      </c>
      <c r="Q11" s="199"/>
      <c r="R11" s="197"/>
      <c r="S11" s="197"/>
      <c r="T11" s="243">
        <f t="shared" si="4"/>
        <v>0</v>
      </c>
      <c r="U11" s="199"/>
      <c r="V11" s="197"/>
      <c r="W11" s="197"/>
      <c r="X11" s="243">
        <f t="shared" si="5"/>
        <v>0</v>
      </c>
      <c r="Y11" s="186"/>
      <c r="Z11" s="187"/>
      <c r="AA11" s="187"/>
      <c r="AB11" s="244">
        <f t="shared" si="6"/>
        <v>0</v>
      </c>
      <c r="AC11" s="253">
        <f t="shared" si="11"/>
        <v>0</v>
      </c>
      <c r="AD11" s="198"/>
    </row>
    <row r="12" spans="1:32" s="195" customFormat="1" x14ac:dyDescent="0.15">
      <c r="A12" s="185" t="s">
        <v>3</v>
      </c>
      <c r="B12" s="200"/>
      <c r="C12" s="187"/>
      <c r="D12" s="187"/>
      <c r="E12" s="243">
        <f t="shared" si="12"/>
        <v>0</v>
      </c>
      <c r="F12" s="186"/>
      <c r="G12" s="187"/>
      <c r="H12" s="187"/>
      <c r="I12" s="243">
        <f t="shared" si="13"/>
        <v>0</v>
      </c>
      <c r="J12" s="186"/>
      <c r="K12" s="187"/>
      <c r="L12" s="187"/>
      <c r="M12" s="264">
        <f t="shared" si="14"/>
        <v>0</v>
      </c>
      <c r="N12" s="268">
        <f t="shared" si="15"/>
        <v>0</v>
      </c>
      <c r="O12" s="201"/>
      <c r="P12" s="191" t="s">
        <v>3</v>
      </c>
      <c r="Q12" s="200"/>
      <c r="R12" s="187"/>
      <c r="S12" s="187"/>
      <c r="T12" s="243">
        <f t="shared" si="4"/>
        <v>0</v>
      </c>
      <c r="U12" s="200"/>
      <c r="V12" s="187"/>
      <c r="W12" s="187"/>
      <c r="X12" s="243">
        <f t="shared" si="5"/>
        <v>0</v>
      </c>
      <c r="Y12" s="186"/>
      <c r="Z12" s="187"/>
      <c r="AA12" s="187"/>
      <c r="AB12" s="243">
        <f t="shared" si="6"/>
        <v>0</v>
      </c>
      <c r="AC12" s="253">
        <f t="shared" si="11"/>
        <v>0</v>
      </c>
      <c r="AD12" s="198"/>
    </row>
    <row r="13" spans="1:32" s="195" customFormat="1" x14ac:dyDescent="0.15">
      <c r="A13" s="185" t="s">
        <v>3</v>
      </c>
      <c r="B13" s="200"/>
      <c r="C13" s="187"/>
      <c r="D13" s="187"/>
      <c r="E13" s="243">
        <f t="shared" si="12"/>
        <v>0</v>
      </c>
      <c r="F13" s="186"/>
      <c r="G13" s="187"/>
      <c r="H13" s="187"/>
      <c r="I13" s="243">
        <f t="shared" si="13"/>
        <v>0</v>
      </c>
      <c r="J13" s="186"/>
      <c r="K13" s="187"/>
      <c r="L13" s="187"/>
      <c r="M13" s="264">
        <f t="shared" si="14"/>
        <v>0</v>
      </c>
      <c r="N13" s="268">
        <f t="shared" si="15"/>
        <v>0</v>
      </c>
      <c r="O13" s="201"/>
      <c r="P13" s="191" t="s">
        <v>3</v>
      </c>
      <c r="Q13" s="199"/>
      <c r="R13" s="197"/>
      <c r="S13" s="197"/>
      <c r="T13" s="243">
        <f t="shared" si="4"/>
        <v>0</v>
      </c>
      <c r="U13" s="199"/>
      <c r="V13" s="197"/>
      <c r="W13" s="197"/>
      <c r="X13" s="243">
        <f t="shared" si="5"/>
        <v>0</v>
      </c>
      <c r="Y13" s="186"/>
      <c r="Z13" s="187"/>
      <c r="AA13" s="187"/>
      <c r="AB13" s="243">
        <f t="shared" si="6"/>
        <v>0</v>
      </c>
      <c r="AC13" s="253">
        <f t="shared" si="11"/>
        <v>0</v>
      </c>
      <c r="AD13" s="198"/>
    </row>
    <row r="14" spans="1:32" s="195" customFormat="1" x14ac:dyDescent="0.15">
      <c r="A14" s="185" t="s">
        <v>3</v>
      </c>
      <c r="B14" s="200"/>
      <c r="C14" s="187"/>
      <c r="D14" s="187"/>
      <c r="E14" s="243">
        <f t="shared" si="12"/>
        <v>0</v>
      </c>
      <c r="F14" s="186"/>
      <c r="G14" s="187"/>
      <c r="H14" s="187"/>
      <c r="I14" s="243">
        <f t="shared" si="13"/>
        <v>0</v>
      </c>
      <c r="J14" s="186"/>
      <c r="K14" s="187"/>
      <c r="L14" s="187"/>
      <c r="M14" s="264">
        <f t="shared" si="14"/>
        <v>0</v>
      </c>
      <c r="N14" s="268">
        <f t="shared" si="15"/>
        <v>0</v>
      </c>
      <c r="O14" s="201"/>
      <c r="P14" s="191" t="s">
        <v>3</v>
      </c>
      <c r="Q14" s="200"/>
      <c r="R14" s="187"/>
      <c r="S14" s="187"/>
      <c r="T14" s="243">
        <f t="shared" si="4"/>
        <v>0</v>
      </c>
      <c r="U14" s="200"/>
      <c r="V14" s="187"/>
      <c r="W14" s="187"/>
      <c r="X14" s="243">
        <f t="shared" si="5"/>
        <v>0</v>
      </c>
      <c r="Y14" s="186"/>
      <c r="Z14" s="187"/>
      <c r="AA14" s="187"/>
      <c r="AB14" s="243">
        <f t="shared" si="6"/>
        <v>0</v>
      </c>
      <c r="AC14" s="253">
        <f t="shared" si="11"/>
        <v>0</v>
      </c>
      <c r="AD14" s="198"/>
    </row>
    <row r="15" spans="1:32" s="195" customFormat="1" ht="14.25" thickBot="1" x14ac:dyDescent="0.2">
      <c r="A15" s="185" t="s">
        <v>3</v>
      </c>
      <c r="B15" s="202"/>
      <c r="C15" s="203"/>
      <c r="D15" s="204"/>
      <c r="E15" s="245">
        <f t="shared" si="12"/>
        <v>0</v>
      </c>
      <c r="F15" s="205"/>
      <c r="G15" s="203"/>
      <c r="H15" s="204"/>
      <c r="I15" s="245">
        <f t="shared" si="13"/>
        <v>0</v>
      </c>
      <c r="J15" s="205"/>
      <c r="K15" s="203"/>
      <c r="L15" s="204"/>
      <c r="M15" s="265">
        <f t="shared" si="14"/>
        <v>0</v>
      </c>
      <c r="N15" s="270">
        <f t="shared" si="15"/>
        <v>0</v>
      </c>
      <c r="O15" s="201"/>
      <c r="P15" s="206" t="s">
        <v>3</v>
      </c>
      <c r="Q15" s="202"/>
      <c r="R15" s="203"/>
      <c r="S15" s="203"/>
      <c r="T15" s="245">
        <f t="shared" si="4"/>
        <v>0</v>
      </c>
      <c r="U15" s="202"/>
      <c r="V15" s="203"/>
      <c r="W15" s="203"/>
      <c r="X15" s="245">
        <f t="shared" si="5"/>
        <v>0</v>
      </c>
      <c r="Y15" s="205"/>
      <c r="Z15" s="203"/>
      <c r="AA15" s="204"/>
      <c r="AB15" s="245">
        <f t="shared" si="6"/>
        <v>0</v>
      </c>
      <c r="AC15" s="255">
        <f t="shared" si="11"/>
        <v>0</v>
      </c>
      <c r="AD15" s="198"/>
    </row>
    <row r="16" spans="1:32" ht="14.25" thickBot="1" x14ac:dyDescent="0.2">
      <c r="A16" s="207" t="s">
        <v>4</v>
      </c>
      <c r="B16" s="208">
        <f>SUM(B5:B15)</f>
        <v>19</v>
      </c>
      <c r="C16" s="208">
        <f>SUM(C5:C15)</f>
        <v>17</v>
      </c>
      <c r="D16" s="208">
        <f>SUM(D5:D15)</f>
        <v>14</v>
      </c>
      <c r="E16" s="246">
        <f t="shared" si="12"/>
        <v>50</v>
      </c>
      <c r="F16" s="208">
        <f>SUM(F5:F15)</f>
        <v>19</v>
      </c>
      <c r="G16" s="208">
        <f>SUM(G5:G15)</f>
        <v>17</v>
      </c>
      <c r="H16" s="208">
        <f>SUM(H5:H15)</f>
        <v>14</v>
      </c>
      <c r="I16" s="246">
        <f t="shared" si="13"/>
        <v>50</v>
      </c>
      <c r="J16" s="208">
        <f>SUM(J5:J15)</f>
        <v>19</v>
      </c>
      <c r="K16" s="208">
        <f>SUM(K5:K15)</f>
        <v>17</v>
      </c>
      <c r="L16" s="208">
        <f>SUM(L5:L15)</f>
        <v>14</v>
      </c>
      <c r="M16" s="266">
        <f t="shared" si="14"/>
        <v>50</v>
      </c>
      <c r="N16" s="271">
        <f t="shared" si="15"/>
        <v>150</v>
      </c>
      <c r="O16" s="179"/>
      <c r="P16" s="210" t="s">
        <v>4</v>
      </c>
      <c r="Q16" s="208">
        <f>SUM(Q5:Q15)</f>
        <v>319</v>
      </c>
      <c r="R16" s="208">
        <f>SUM(R5:R15)</f>
        <v>139</v>
      </c>
      <c r="S16" s="208">
        <f>SUM(S5:S15)</f>
        <v>139</v>
      </c>
      <c r="T16" s="246">
        <f t="shared" si="4"/>
        <v>597</v>
      </c>
      <c r="U16" s="208">
        <f>SUM(U5:U15)</f>
        <v>319</v>
      </c>
      <c r="V16" s="208">
        <f>SUM(V5:V15)</f>
        <v>139</v>
      </c>
      <c r="W16" s="208">
        <f>SUM(W5:W15)</f>
        <v>139</v>
      </c>
      <c r="X16" s="246">
        <f t="shared" si="5"/>
        <v>597</v>
      </c>
      <c r="Y16" s="208">
        <f>SUM(Y5:Y15)</f>
        <v>319</v>
      </c>
      <c r="Z16" s="208">
        <f>SUM(Z5:Z15)</f>
        <v>139</v>
      </c>
      <c r="AA16" s="208">
        <f>SUM(AA5:AA15)</f>
        <v>139</v>
      </c>
      <c r="AB16" s="246">
        <f t="shared" si="6"/>
        <v>597</v>
      </c>
      <c r="AC16" s="256">
        <f t="shared" si="11"/>
        <v>1791</v>
      </c>
    </row>
    <row r="17" spans="1:31" x14ac:dyDescent="0.15">
      <c r="A17" s="197" t="s">
        <v>1055</v>
      </c>
      <c r="B17" s="189">
        <v>1</v>
      </c>
      <c r="C17" s="188">
        <v>1</v>
      </c>
      <c r="D17" s="188">
        <v>1</v>
      </c>
      <c r="E17" s="244">
        <f t="shared" ref="E17:E40" si="16">SUM(B17:D17)</f>
        <v>3</v>
      </c>
      <c r="F17" s="189">
        <v>1</v>
      </c>
      <c r="G17" s="188">
        <v>1</v>
      </c>
      <c r="H17" s="188">
        <v>1</v>
      </c>
      <c r="I17" s="244">
        <f t="shared" si="13"/>
        <v>3</v>
      </c>
      <c r="J17" s="189">
        <v>1</v>
      </c>
      <c r="K17" s="188">
        <v>1</v>
      </c>
      <c r="L17" s="188">
        <v>1</v>
      </c>
      <c r="M17" s="244">
        <f t="shared" si="14"/>
        <v>3</v>
      </c>
      <c r="N17" s="253">
        <f t="shared" si="15"/>
        <v>9</v>
      </c>
      <c r="O17" s="194">
        <v>45889</v>
      </c>
      <c r="P17" s="197" t="s">
        <v>1131</v>
      </c>
      <c r="Q17" s="189">
        <v>10</v>
      </c>
      <c r="R17" s="188">
        <v>10</v>
      </c>
      <c r="S17" s="188">
        <v>10</v>
      </c>
      <c r="T17" s="244">
        <f t="shared" si="4"/>
        <v>30</v>
      </c>
      <c r="U17" s="189">
        <v>10</v>
      </c>
      <c r="V17" s="188">
        <v>10</v>
      </c>
      <c r="W17" s="188">
        <v>10</v>
      </c>
      <c r="X17" s="244">
        <f t="shared" si="5"/>
        <v>30</v>
      </c>
      <c r="Y17" s="189">
        <v>10</v>
      </c>
      <c r="Z17" s="188">
        <v>10</v>
      </c>
      <c r="AA17" s="188">
        <v>10</v>
      </c>
      <c r="AB17" s="244">
        <f t="shared" si="6"/>
        <v>30</v>
      </c>
      <c r="AC17" s="253">
        <f t="shared" si="11"/>
        <v>90</v>
      </c>
      <c r="AD17" s="194">
        <v>45920</v>
      </c>
    </row>
    <row r="18" spans="1:31" x14ac:dyDescent="0.15">
      <c r="A18" s="197" t="s">
        <v>1118</v>
      </c>
      <c r="B18" s="189">
        <v>2</v>
      </c>
      <c r="C18" s="188">
        <v>2</v>
      </c>
      <c r="D18" s="188">
        <v>2</v>
      </c>
      <c r="E18" s="244">
        <f t="shared" si="16"/>
        <v>6</v>
      </c>
      <c r="F18" s="189">
        <v>2</v>
      </c>
      <c r="G18" s="188">
        <v>2</v>
      </c>
      <c r="H18" s="188">
        <v>2</v>
      </c>
      <c r="I18" s="244">
        <f t="shared" si="13"/>
        <v>6</v>
      </c>
      <c r="J18" s="189">
        <v>2</v>
      </c>
      <c r="K18" s="188">
        <v>2</v>
      </c>
      <c r="L18" s="188">
        <v>2</v>
      </c>
      <c r="M18" s="244">
        <f t="shared" si="14"/>
        <v>6</v>
      </c>
      <c r="N18" s="253">
        <f t="shared" si="15"/>
        <v>18</v>
      </c>
      <c r="O18" s="194">
        <v>45922</v>
      </c>
      <c r="P18" s="197" t="s">
        <v>1181</v>
      </c>
      <c r="Q18" s="189">
        <v>5</v>
      </c>
      <c r="R18" s="188">
        <v>5</v>
      </c>
      <c r="S18" s="188">
        <v>5</v>
      </c>
      <c r="T18" s="244">
        <f t="shared" ref="T18:T19" si="17">SUM(Q18:S18)</f>
        <v>15</v>
      </c>
      <c r="U18" s="189">
        <v>5</v>
      </c>
      <c r="V18" s="188">
        <v>5</v>
      </c>
      <c r="W18" s="188">
        <v>5</v>
      </c>
      <c r="X18" s="244">
        <f t="shared" ref="X18:X19" si="18">SUM(U18:W18)</f>
        <v>15</v>
      </c>
      <c r="Y18" s="189">
        <v>5</v>
      </c>
      <c r="Z18" s="188">
        <v>5</v>
      </c>
      <c r="AA18" s="188">
        <v>5</v>
      </c>
      <c r="AB18" s="244">
        <f t="shared" ref="AB18:AB19" si="19">SUM(Y18:AA18)</f>
        <v>15</v>
      </c>
      <c r="AC18" s="253">
        <f t="shared" ref="AC18:AC19" si="20">T18+X18+AB18</f>
        <v>45</v>
      </c>
      <c r="AD18" s="194">
        <v>45950</v>
      </c>
    </row>
    <row r="19" spans="1:31" x14ac:dyDescent="0.15">
      <c r="A19" s="193" t="s">
        <v>1154</v>
      </c>
      <c r="B19" s="189">
        <v>4</v>
      </c>
      <c r="C19" s="188">
        <v>4</v>
      </c>
      <c r="D19" s="188">
        <v>3</v>
      </c>
      <c r="E19" s="244">
        <f t="shared" si="16"/>
        <v>11</v>
      </c>
      <c r="F19" s="189">
        <v>4</v>
      </c>
      <c r="G19" s="188">
        <v>4</v>
      </c>
      <c r="H19" s="188">
        <v>3</v>
      </c>
      <c r="I19" s="244">
        <f t="shared" si="13"/>
        <v>11</v>
      </c>
      <c r="J19" s="189">
        <v>4</v>
      </c>
      <c r="K19" s="188">
        <v>4</v>
      </c>
      <c r="L19" s="188">
        <v>3</v>
      </c>
      <c r="M19" s="244">
        <f t="shared" si="14"/>
        <v>11</v>
      </c>
      <c r="N19" s="253">
        <f t="shared" si="15"/>
        <v>33</v>
      </c>
      <c r="O19" s="194">
        <v>45936</v>
      </c>
      <c r="P19" s="233" t="s">
        <v>1207</v>
      </c>
      <c r="Q19" s="234">
        <v>5</v>
      </c>
      <c r="R19" s="235">
        <v>5</v>
      </c>
      <c r="S19" s="235">
        <v>5</v>
      </c>
      <c r="T19" s="247">
        <f t="shared" si="17"/>
        <v>15</v>
      </c>
      <c r="U19" s="234">
        <v>5</v>
      </c>
      <c r="V19" s="235">
        <v>5</v>
      </c>
      <c r="W19" s="235">
        <v>5</v>
      </c>
      <c r="X19" s="247">
        <f t="shared" si="18"/>
        <v>15</v>
      </c>
      <c r="Y19" s="234">
        <v>5</v>
      </c>
      <c r="Z19" s="235">
        <v>5</v>
      </c>
      <c r="AA19" s="235">
        <v>5</v>
      </c>
      <c r="AB19" s="247">
        <f t="shared" si="19"/>
        <v>15</v>
      </c>
      <c r="AC19" s="257">
        <f t="shared" si="20"/>
        <v>45</v>
      </c>
      <c r="AD19" s="236">
        <v>45954</v>
      </c>
    </row>
    <row r="20" spans="1:31" x14ac:dyDescent="0.15">
      <c r="A20" s="197" t="s">
        <v>1195</v>
      </c>
      <c r="B20" s="189"/>
      <c r="C20" s="188">
        <v>1</v>
      </c>
      <c r="D20" s="188"/>
      <c r="E20" s="244">
        <f t="shared" si="16"/>
        <v>1</v>
      </c>
      <c r="F20" s="189">
        <v>1</v>
      </c>
      <c r="G20" s="188"/>
      <c r="H20" s="188"/>
      <c r="I20" s="244">
        <f t="shared" si="13"/>
        <v>1</v>
      </c>
      <c r="J20" s="189"/>
      <c r="K20" s="188"/>
      <c r="L20" s="188">
        <v>1</v>
      </c>
      <c r="M20" s="244">
        <f t="shared" si="14"/>
        <v>1</v>
      </c>
      <c r="N20" s="253">
        <f t="shared" si="15"/>
        <v>3</v>
      </c>
      <c r="O20" s="194">
        <v>45952</v>
      </c>
      <c r="P20" s="197" t="s">
        <v>1218</v>
      </c>
      <c r="Q20" s="189">
        <v>5</v>
      </c>
      <c r="R20" s="188">
        <v>5</v>
      </c>
      <c r="S20" s="188">
        <v>5</v>
      </c>
      <c r="T20" s="244">
        <f t="shared" si="4"/>
        <v>15</v>
      </c>
      <c r="U20" s="189">
        <v>5</v>
      </c>
      <c r="V20" s="188">
        <v>5</v>
      </c>
      <c r="W20" s="188">
        <v>5</v>
      </c>
      <c r="X20" s="244">
        <f t="shared" si="5"/>
        <v>15</v>
      </c>
      <c r="Y20" s="189">
        <v>5</v>
      </c>
      <c r="Z20" s="188">
        <v>5</v>
      </c>
      <c r="AA20" s="188">
        <v>5</v>
      </c>
      <c r="AB20" s="244">
        <f t="shared" si="6"/>
        <v>15</v>
      </c>
      <c r="AC20" s="253">
        <f t="shared" si="11"/>
        <v>45</v>
      </c>
      <c r="AD20" s="194">
        <v>45957</v>
      </c>
    </row>
    <row r="21" spans="1:31" x14ac:dyDescent="0.15">
      <c r="A21" s="197" t="s">
        <v>1219</v>
      </c>
      <c r="B21" s="189"/>
      <c r="C21" s="188">
        <v>1</v>
      </c>
      <c r="D21" s="188"/>
      <c r="E21" s="244">
        <f t="shared" si="16"/>
        <v>1</v>
      </c>
      <c r="F21" s="189"/>
      <c r="G21" s="188">
        <v>1</v>
      </c>
      <c r="H21" s="188"/>
      <c r="I21" s="244">
        <f t="shared" si="13"/>
        <v>1</v>
      </c>
      <c r="J21" s="189"/>
      <c r="K21" s="188">
        <v>1</v>
      </c>
      <c r="L21" s="188"/>
      <c r="M21" s="244">
        <f t="shared" si="14"/>
        <v>1</v>
      </c>
      <c r="N21" s="253">
        <f t="shared" si="15"/>
        <v>3</v>
      </c>
      <c r="O21" s="194">
        <v>45959</v>
      </c>
      <c r="P21" s="193" t="s">
        <v>1220</v>
      </c>
      <c r="Q21" s="189">
        <v>3</v>
      </c>
      <c r="R21" s="188"/>
      <c r="S21" s="188"/>
      <c r="T21" s="244">
        <f t="shared" si="4"/>
        <v>3</v>
      </c>
      <c r="U21" s="189">
        <v>3</v>
      </c>
      <c r="V21" s="188"/>
      <c r="W21" s="188"/>
      <c r="X21" s="244">
        <f t="shared" si="5"/>
        <v>3</v>
      </c>
      <c r="Y21" s="189">
        <v>3</v>
      </c>
      <c r="Z21" s="188"/>
      <c r="AA21" s="188"/>
      <c r="AB21" s="244">
        <f t="shared" si="6"/>
        <v>3</v>
      </c>
      <c r="AC21" s="253">
        <f t="shared" si="11"/>
        <v>9</v>
      </c>
      <c r="AD21" s="194">
        <v>45959</v>
      </c>
    </row>
    <row r="22" spans="1:31" x14ac:dyDescent="0.15">
      <c r="A22" s="197" t="s">
        <v>39</v>
      </c>
      <c r="B22" s="189">
        <v>1</v>
      </c>
      <c r="C22" s="188"/>
      <c r="D22" s="188"/>
      <c r="E22" s="244">
        <f t="shared" si="16"/>
        <v>1</v>
      </c>
      <c r="F22" s="189">
        <v>1</v>
      </c>
      <c r="G22" s="188"/>
      <c r="H22" s="188"/>
      <c r="I22" s="244">
        <f t="shared" si="13"/>
        <v>1</v>
      </c>
      <c r="J22" s="189">
        <v>1</v>
      </c>
      <c r="K22" s="188"/>
      <c r="L22" s="188"/>
      <c r="M22" s="244">
        <f t="shared" si="14"/>
        <v>1</v>
      </c>
      <c r="N22" s="253">
        <f t="shared" si="15"/>
        <v>3</v>
      </c>
      <c r="O22" s="194">
        <v>45961</v>
      </c>
      <c r="P22" s="197" t="s">
        <v>1232</v>
      </c>
      <c r="Q22" s="189">
        <v>10</v>
      </c>
      <c r="R22" s="188">
        <v>10</v>
      </c>
      <c r="S22" s="188"/>
      <c r="T22" s="244">
        <f t="shared" si="4"/>
        <v>20</v>
      </c>
      <c r="U22" s="189">
        <v>10</v>
      </c>
      <c r="V22" s="188">
        <v>10</v>
      </c>
      <c r="W22" s="188"/>
      <c r="X22" s="244">
        <f t="shared" si="5"/>
        <v>20</v>
      </c>
      <c r="Y22" s="189">
        <v>10</v>
      </c>
      <c r="Z22" s="188">
        <v>10</v>
      </c>
      <c r="AA22" s="188"/>
      <c r="AB22" s="244">
        <f t="shared" si="6"/>
        <v>20</v>
      </c>
      <c r="AC22" s="253">
        <f t="shared" si="11"/>
        <v>60</v>
      </c>
      <c r="AD22" s="194">
        <v>45961</v>
      </c>
      <c r="AE22" s="195"/>
    </row>
    <row r="23" spans="1:31" x14ac:dyDescent="0.15">
      <c r="A23" s="197" t="s">
        <v>42</v>
      </c>
      <c r="B23" s="189">
        <v>1</v>
      </c>
      <c r="C23" s="188"/>
      <c r="D23" s="188"/>
      <c r="E23" s="244">
        <f t="shared" si="16"/>
        <v>1</v>
      </c>
      <c r="F23" s="189">
        <v>1</v>
      </c>
      <c r="G23" s="188"/>
      <c r="H23" s="188"/>
      <c r="I23" s="244">
        <f t="shared" si="13"/>
        <v>1</v>
      </c>
      <c r="J23" s="189">
        <v>1</v>
      </c>
      <c r="K23" s="188"/>
      <c r="L23" s="188"/>
      <c r="M23" s="244">
        <f t="shared" si="14"/>
        <v>1</v>
      </c>
      <c r="N23" s="253">
        <f t="shared" si="15"/>
        <v>3</v>
      </c>
      <c r="O23" s="194">
        <v>45973</v>
      </c>
      <c r="P23" s="197" t="s">
        <v>41</v>
      </c>
      <c r="Q23" s="189"/>
      <c r="R23" s="188">
        <v>3</v>
      </c>
      <c r="S23" s="188"/>
      <c r="T23" s="244">
        <f t="shared" ref="T23:T31" si="21">SUM(Q23:S23)</f>
        <v>3</v>
      </c>
      <c r="U23" s="189"/>
      <c r="V23" s="188">
        <v>3</v>
      </c>
      <c r="W23" s="188"/>
      <c r="X23" s="244">
        <f t="shared" ref="X23:X31" si="22">SUM(U23:W23)</f>
        <v>3</v>
      </c>
      <c r="Y23" s="189"/>
      <c r="Z23" s="188">
        <v>3</v>
      </c>
      <c r="AA23" s="188"/>
      <c r="AB23" s="244">
        <f t="shared" ref="AB23:AB31" si="23">SUM(Y23:AA23)</f>
        <v>3</v>
      </c>
      <c r="AC23" s="253">
        <f t="shared" ref="AC23:AC31" si="24">T23+X23+AB23</f>
        <v>9</v>
      </c>
      <c r="AD23" s="194">
        <v>45967</v>
      </c>
    </row>
    <row r="24" spans="1:31" x14ac:dyDescent="0.15">
      <c r="A24" s="197" t="s">
        <v>44</v>
      </c>
      <c r="B24" s="189">
        <v>1</v>
      </c>
      <c r="C24" s="188"/>
      <c r="D24" s="188"/>
      <c r="E24" s="244">
        <f t="shared" si="16"/>
        <v>1</v>
      </c>
      <c r="F24" s="189">
        <v>1</v>
      </c>
      <c r="G24" s="188"/>
      <c r="H24" s="188"/>
      <c r="I24" s="244">
        <f t="shared" si="13"/>
        <v>1</v>
      </c>
      <c r="J24" s="189">
        <v>1</v>
      </c>
      <c r="K24" s="188"/>
      <c r="L24" s="188"/>
      <c r="M24" s="244">
        <f t="shared" si="14"/>
        <v>1</v>
      </c>
      <c r="N24" s="253">
        <f t="shared" si="15"/>
        <v>3</v>
      </c>
      <c r="O24" s="194">
        <v>45974</v>
      </c>
      <c r="P24" s="193" t="s">
        <v>1243</v>
      </c>
      <c r="Q24" s="189">
        <v>7</v>
      </c>
      <c r="R24" s="188">
        <v>4</v>
      </c>
      <c r="S24" s="188"/>
      <c r="T24" s="244">
        <f t="shared" si="21"/>
        <v>11</v>
      </c>
      <c r="U24" s="189">
        <v>7</v>
      </c>
      <c r="V24" s="188">
        <v>4</v>
      </c>
      <c r="W24" s="188"/>
      <c r="X24" s="244">
        <f t="shared" si="22"/>
        <v>11</v>
      </c>
      <c r="Y24" s="189">
        <v>7</v>
      </c>
      <c r="Z24" s="188">
        <v>4</v>
      </c>
      <c r="AA24" s="188"/>
      <c r="AB24" s="244">
        <f t="shared" si="23"/>
        <v>11</v>
      </c>
      <c r="AC24" s="253">
        <f t="shared" si="24"/>
        <v>33</v>
      </c>
      <c r="AD24" s="194">
        <v>45971</v>
      </c>
    </row>
    <row r="25" spans="1:31" x14ac:dyDescent="0.15">
      <c r="A25" s="197" t="s">
        <v>48</v>
      </c>
      <c r="B25" s="189">
        <v>2</v>
      </c>
      <c r="C25" s="188"/>
      <c r="D25" s="188"/>
      <c r="E25" s="244">
        <f t="shared" si="16"/>
        <v>2</v>
      </c>
      <c r="F25" s="189">
        <v>2</v>
      </c>
      <c r="G25" s="188"/>
      <c r="H25" s="188"/>
      <c r="I25" s="244">
        <f t="shared" si="13"/>
        <v>2</v>
      </c>
      <c r="J25" s="189">
        <v>2</v>
      </c>
      <c r="K25" s="188"/>
      <c r="L25" s="188"/>
      <c r="M25" s="244">
        <f t="shared" si="14"/>
        <v>2</v>
      </c>
      <c r="N25" s="253">
        <f t="shared" si="15"/>
        <v>6</v>
      </c>
      <c r="O25" s="194">
        <v>45980</v>
      </c>
      <c r="P25" s="197" t="s">
        <v>27</v>
      </c>
      <c r="Q25" s="189">
        <v>5</v>
      </c>
      <c r="R25" s="188">
        <v>5</v>
      </c>
      <c r="S25" s="188">
        <v>3</v>
      </c>
      <c r="T25" s="244">
        <f t="shared" si="21"/>
        <v>13</v>
      </c>
      <c r="U25" s="189">
        <v>5</v>
      </c>
      <c r="V25" s="188">
        <v>5</v>
      </c>
      <c r="W25" s="188">
        <v>3</v>
      </c>
      <c r="X25" s="244">
        <f t="shared" si="22"/>
        <v>13</v>
      </c>
      <c r="Y25" s="189">
        <v>5</v>
      </c>
      <c r="Z25" s="188">
        <v>5</v>
      </c>
      <c r="AA25" s="188">
        <v>3</v>
      </c>
      <c r="AB25" s="244">
        <f t="shared" si="23"/>
        <v>13</v>
      </c>
      <c r="AC25" s="253">
        <f t="shared" si="24"/>
        <v>39</v>
      </c>
      <c r="AD25" s="194">
        <v>45968</v>
      </c>
    </row>
    <row r="26" spans="1:31" x14ac:dyDescent="0.15">
      <c r="A26" s="197" t="s">
        <v>50</v>
      </c>
      <c r="B26" s="189"/>
      <c r="C26" s="188">
        <v>1</v>
      </c>
      <c r="D26" s="188">
        <v>1</v>
      </c>
      <c r="E26" s="244">
        <f t="shared" si="16"/>
        <v>2</v>
      </c>
      <c r="F26" s="189"/>
      <c r="G26" s="188">
        <v>1</v>
      </c>
      <c r="H26" s="188">
        <v>1</v>
      </c>
      <c r="I26" s="244">
        <f t="shared" si="13"/>
        <v>2</v>
      </c>
      <c r="J26" s="189"/>
      <c r="K26" s="188">
        <v>1</v>
      </c>
      <c r="L26" s="188">
        <v>1</v>
      </c>
      <c r="M26" s="244">
        <f t="shared" si="14"/>
        <v>2</v>
      </c>
      <c r="N26" s="253">
        <f t="shared" si="15"/>
        <v>6</v>
      </c>
      <c r="O26" s="194">
        <v>45982</v>
      </c>
      <c r="P26" s="197" t="s">
        <v>27</v>
      </c>
      <c r="Q26" s="189">
        <v>3</v>
      </c>
      <c r="R26" s="188"/>
      <c r="S26" s="188"/>
      <c r="T26" s="244">
        <f t="shared" si="21"/>
        <v>3</v>
      </c>
      <c r="U26" s="189">
        <v>3</v>
      </c>
      <c r="V26" s="188"/>
      <c r="W26" s="188"/>
      <c r="X26" s="244">
        <f t="shared" si="22"/>
        <v>3</v>
      </c>
      <c r="Y26" s="189">
        <v>3</v>
      </c>
      <c r="Z26" s="188"/>
      <c r="AA26" s="188"/>
      <c r="AB26" s="244">
        <f t="shared" si="23"/>
        <v>3</v>
      </c>
      <c r="AC26" s="253">
        <f t="shared" si="24"/>
        <v>9</v>
      </c>
      <c r="AD26" s="194">
        <v>45982</v>
      </c>
    </row>
    <row r="27" spans="1:31" x14ac:dyDescent="0.15">
      <c r="A27" s="197" t="s">
        <v>1290</v>
      </c>
      <c r="B27" s="189">
        <v>3</v>
      </c>
      <c r="C27" s="188">
        <v>1</v>
      </c>
      <c r="D27" s="188"/>
      <c r="E27" s="244">
        <f t="shared" si="16"/>
        <v>4</v>
      </c>
      <c r="F27" s="189">
        <v>3</v>
      </c>
      <c r="G27" s="188">
        <v>1</v>
      </c>
      <c r="H27" s="188"/>
      <c r="I27" s="244">
        <f t="shared" si="13"/>
        <v>4</v>
      </c>
      <c r="J27" s="189">
        <v>3</v>
      </c>
      <c r="K27" s="188">
        <v>1</v>
      </c>
      <c r="L27" s="188"/>
      <c r="M27" s="244">
        <f t="shared" si="14"/>
        <v>4</v>
      </c>
      <c r="N27" s="253">
        <f t="shared" si="15"/>
        <v>12</v>
      </c>
      <c r="O27" s="194">
        <v>45988</v>
      </c>
      <c r="P27" s="197"/>
      <c r="Q27" s="189"/>
      <c r="R27" s="188"/>
      <c r="S27" s="188"/>
      <c r="T27" s="244">
        <f t="shared" ref="T27" si="25">SUM(Q27:S27)</f>
        <v>0</v>
      </c>
      <c r="U27" s="189"/>
      <c r="V27" s="188"/>
      <c r="W27" s="188"/>
      <c r="X27" s="244">
        <f t="shared" ref="X27" si="26">SUM(U27:W27)</f>
        <v>0</v>
      </c>
      <c r="Y27" s="189"/>
      <c r="Z27" s="188"/>
      <c r="AA27" s="188"/>
      <c r="AB27" s="244">
        <f t="shared" ref="AB27" si="27">SUM(Y27:AA27)</f>
        <v>0</v>
      </c>
      <c r="AC27" s="253">
        <f t="shared" ref="AC27" si="28">T27+X27+AB27</f>
        <v>0</v>
      </c>
      <c r="AD27" s="198"/>
    </row>
    <row r="28" spans="1:31" x14ac:dyDescent="0.15">
      <c r="A28" s="197" t="s">
        <v>1322</v>
      </c>
      <c r="B28" s="189">
        <v>1</v>
      </c>
      <c r="C28" s="188"/>
      <c r="D28" s="188"/>
      <c r="E28" s="244">
        <f t="shared" si="16"/>
        <v>1</v>
      </c>
      <c r="F28" s="189"/>
      <c r="G28" s="188"/>
      <c r="H28" s="188">
        <v>1</v>
      </c>
      <c r="I28" s="244">
        <f t="shared" si="13"/>
        <v>1</v>
      </c>
      <c r="J28" s="189"/>
      <c r="K28" s="188">
        <v>1</v>
      </c>
      <c r="L28" s="188"/>
      <c r="M28" s="244">
        <f t="shared" si="14"/>
        <v>1</v>
      </c>
      <c r="N28" s="253">
        <f t="shared" si="15"/>
        <v>3</v>
      </c>
      <c r="O28" s="194">
        <v>45995</v>
      </c>
      <c r="P28" s="197"/>
      <c r="Q28" s="189"/>
      <c r="R28" s="188"/>
      <c r="S28" s="188"/>
      <c r="T28" s="244">
        <f t="shared" si="21"/>
        <v>0</v>
      </c>
      <c r="U28" s="189"/>
      <c r="V28" s="188"/>
      <c r="W28" s="188"/>
      <c r="X28" s="244">
        <f t="shared" si="22"/>
        <v>0</v>
      </c>
      <c r="Y28" s="189"/>
      <c r="Z28" s="188"/>
      <c r="AA28" s="188"/>
      <c r="AB28" s="244">
        <f t="shared" si="23"/>
        <v>0</v>
      </c>
      <c r="AC28" s="253">
        <f t="shared" si="24"/>
        <v>0</v>
      </c>
      <c r="AD28" s="198"/>
    </row>
    <row r="29" spans="1:31" x14ac:dyDescent="0.15">
      <c r="A29" s="197"/>
      <c r="B29" s="189"/>
      <c r="C29" s="188"/>
      <c r="D29" s="188"/>
      <c r="E29" s="244">
        <f t="shared" si="16"/>
        <v>0</v>
      </c>
      <c r="F29" s="189"/>
      <c r="G29" s="188"/>
      <c r="H29" s="188"/>
      <c r="I29" s="244">
        <f t="shared" si="13"/>
        <v>0</v>
      </c>
      <c r="J29" s="189"/>
      <c r="K29" s="188"/>
      <c r="L29" s="188"/>
      <c r="M29" s="244">
        <f t="shared" si="14"/>
        <v>0</v>
      </c>
      <c r="N29" s="253">
        <f t="shared" si="15"/>
        <v>0</v>
      </c>
      <c r="O29" s="198"/>
      <c r="P29" s="197"/>
      <c r="Q29" s="189"/>
      <c r="R29" s="188"/>
      <c r="S29" s="188"/>
      <c r="T29" s="244">
        <f t="shared" si="21"/>
        <v>0</v>
      </c>
      <c r="U29" s="189"/>
      <c r="V29" s="188"/>
      <c r="W29" s="188"/>
      <c r="X29" s="244">
        <f t="shared" si="22"/>
        <v>0</v>
      </c>
      <c r="Y29" s="189"/>
      <c r="Z29" s="188"/>
      <c r="AA29" s="188"/>
      <c r="AB29" s="244">
        <f t="shared" si="23"/>
        <v>0</v>
      </c>
      <c r="AC29" s="253">
        <f t="shared" si="24"/>
        <v>0</v>
      </c>
      <c r="AD29" s="198"/>
    </row>
    <row r="30" spans="1:31" x14ac:dyDescent="0.15">
      <c r="A30" s="197"/>
      <c r="B30" s="189"/>
      <c r="C30" s="188"/>
      <c r="D30" s="188"/>
      <c r="E30" s="244">
        <f t="shared" si="16"/>
        <v>0</v>
      </c>
      <c r="F30" s="189"/>
      <c r="G30" s="188"/>
      <c r="H30" s="188"/>
      <c r="I30" s="244">
        <f t="shared" si="13"/>
        <v>0</v>
      </c>
      <c r="J30" s="189"/>
      <c r="K30" s="188"/>
      <c r="L30" s="188"/>
      <c r="M30" s="244">
        <f t="shared" si="14"/>
        <v>0</v>
      </c>
      <c r="N30" s="253">
        <f t="shared" si="15"/>
        <v>0</v>
      </c>
      <c r="O30" s="198"/>
      <c r="P30" s="197"/>
      <c r="Q30" s="189"/>
      <c r="R30" s="188"/>
      <c r="S30" s="188"/>
      <c r="T30" s="244">
        <f t="shared" si="21"/>
        <v>0</v>
      </c>
      <c r="U30" s="189"/>
      <c r="V30" s="188"/>
      <c r="W30" s="188"/>
      <c r="X30" s="244">
        <f t="shared" si="22"/>
        <v>0</v>
      </c>
      <c r="Y30" s="189"/>
      <c r="Z30" s="188"/>
      <c r="AA30" s="188"/>
      <c r="AB30" s="244">
        <f t="shared" si="23"/>
        <v>0</v>
      </c>
      <c r="AC30" s="253">
        <f t="shared" si="24"/>
        <v>0</v>
      </c>
      <c r="AD30" s="198"/>
    </row>
    <row r="31" spans="1:31" x14ac:dyDescent="0.15">
      <c r="A31" s="197"/>
      <c r="B31" s="189"/>
      <c r="C31" s="188"/>
      <c r="D31" s="188"/>
      <c r="E31" s="244">
        <f t="shared" si="16"/>
        <v>0</v>
      </c>
      <c r="F31" s="189"/>
      <c r="G31" s="188"/>
      <c r="H31" s="188"/>
      <c r="I31" s="244">
        <f t="shared" si="13"/>
        <v>0</v>
      </c>
      <c r="J31" s="189"/>
      <c r="K31" s="188"/>
      <c r="L31" s="188"/>
      <c r="M31" s="244">
        <f t="shared" si="14"/>
        <v>0</v>
      </c>
      <c r="N31" s="253">
        <f t="shared" si="15"/>
        <v>0</v>
      </c>
      <c r="O31" s="198"/>
      <c r="P31" s="197"/>
      <c r="Q31" s="189"/>
      <c r="R31" s="188"/>
      <c r="S31" s="188"/>
      <c r="T31" s="244">
        <f t="shared" si="21"/>
        <v>0</v>
      </c>
      <c r="U31" s="189"/>
      <c r="V31" s="188"/>
      <c r="W31" s="188"/>
      <c r="X31" s="244">
        <f t="shared" si="22"/>
        <v>0</v>
      </c>
      <c r="Y31" s="189"/>
      <c r="Z31" s="188"/>
      <c r="AA31" s="188"/>
      <c r="AB31" s="244">
        <f t="shared" si="23"/>
        <v>0</v>
      </c>
      <c r="AC31" s="253">
        <f t="shared" si="24"/>
        <v>0</v>
      </c>
      <c r="AD31" s="198"/>
    </row>
    <row r="32" spans="1:31" x14ac:dyDescent="0.15">
      <c r="A32" s="197"/>
      <c r="B32" s="189"/>
      <c r="C32" s="188"/>
      <c r="D32" s="188"/>
      <c r="E32" s="244">
        <f t="shared" si="16"/>
        <v>0</v>
      </c>
      <c r="F32" s="189"/>
      <c r="G32" s="188"/>
      <c r="H32" s="188"/>
      <c r="I32" s="244">
        <f t="shared" si="13"/>
        <v>0</v>
      </c>
      <c r="J32" s="189"/>
      <c r="K32" s="188"/>
      <c r="L32" s="188"/>
      <c r="M32" s="244">
        <f t="shared" si="14"/>
        <v>0</v>
      </c>
      <c r="N32" s="253">
        <f t="shared" si="15"/>
        <v>0</v>
      </c>
      <c r="O32" s="198"/>
      <c r="P32" s="197"/>
      <c r="Q32" s="189"/>
      <c r="R32" s="188"/>
      <c r="S32" s="188"/>
      <c r="T32" s="244">
        <f t="shared" ref="T32:T34" si="29">SUM(Q32:S32)</f>
        <v>0</v>
      </c>
      <c r="U32" s="189"/>
      <c r="V32" s="188"/>
      <c r="W32" s="188"/>
      <c r="X32" s="244">
        <f t="shared" ref="X32:X34" si="30">SUM(U32:W32)</f>
        <v>0</v>
      </c>
      <c r="Y32" s="189"/>
      <c r="Z32" s="188"/>
      <c r="AA32" s="188"/>
      <c r="AB32" s="244">
        <f t="shared" ref="AB32:AB34" si="31">SUM(Y32:AA32)</f>
        <v>0</v>
      </c>
      <c r="AC32" s="253">
        <f t="shared" ref="AC32:AC34" si="32">T32+X32+AB32</f>
        <v>0</v>
      </c>
      <c r="AD32" s="198"/>
    </row>
    <row r="33" spans="1:31" x14ac:dyDescent="0.15">
      <c r="A33" s="197"/>
      <c r="B33" s="189"/>
      <c r="C33" s="188"/>
      <c r="D33" s="188"/>
      <c r="E33" s="244">
        <f t="shared" si="16"/>
        <v>0</v>
      </c>
      <c r="F33" s="189"/>
      <c r="G33" s="188"/>
      <c r="H33" s="188"/>
      <c r="I33" s="244">
        <f t="shared" si="13"/>
        <v>0</v>
      </c>
      <c r="J33" s="189"/>
      <c r="K33" s="188"/>
      <c r="L33" s="188"/>
      <c r="M33" s="244">
        <f t="shared" si="14"/>
        <v>0</v>
      </c>
      <c r="N33" s="253">
        <f t="shared" si="15"/>
        <v>0</v>
      </c>
      <c r="O33" s="198"/>
      <c r="P33" s="197"/>
      <c r="Q33" s="189"/>
      <c r="R33" s="188"/>
      <c r="S33" s="188"/>
      <c r="T33" s="244">
        <f t="shared" si="29"/>
        <v>0</v>
      </c>
      <c r="U33" s="189"/>
      <c r="V33" s="188"/>
      <c r="W33" s="188"/>
      <c r="X33" s="244">
        <f t="shared" si="30"/>
        <v>0</v>
      </c>
      <c r="Y33" s="189"/>
      <c r="Z33" s="188"/>
      <c r="AA33" s="188"/>
      <c r="AB33" s="244">
        <f t="shared" si="31"/>
        <v>0</v>
      </c>
      <c r="AC33" s="253">
        <f t="shared" si="32"/>
        <v>0</v>
      </c>
      <c r="AD33" s="198"/>
    </row>
    <row r="34" spans="1:31" x14ac:dyDescent="0.15">
      <c r="A34" s="197"/>
      <c r="B34" s="189"/>
      <c r="C34" s="188"/>
      <c r="D34" s="188"/>
      <c r="E34" s="244">
        <f t="shared" si="16"/>
        <v>0</v>
      </c>
      <c r="F34" s="189"/>
      <c r="G34" s="188"/>
      <c r="H34" s="188"/>
      <c r="I34" s="244">
        <f t="shared" si="13"/>
        <v>0</v>
      </c>
      <c r="J34" s="189"/>
      <c r="K34" s="188"/>
      <c r="L34" s="188"/>
      <c r="M34" s="244">
        <f t="shared" si="14"/>
        <v>0</v>
      </c>
      <c r="N34" s="253">
        <f t="shared" si="15"/>
        <v>0</v>
      </c>
      <c r="O34" s="198"/>
      <c r="P34" s="197" t="s">
        <v>1112</v>
      </c>
      <c r="Q34" s="189"/>
      <c r="R34" s="188"/>
      <c r="S34" s="188"/>
      <c r="T34" s="244">
        <f t="shared" si="29"/>
        <v>0</v>
      </c>
      <c r="U34" s="189"/>
      <c r="V34" s="188"/>
      <c r="W34" s="188"/>
      <c r="X34" s="244">
        <f t="shared" si="30"/>
        <v>0</v>
      </c>
      <c r="Y34" s="189"/>
      <c r="Z34" s="188"/>
      <c r="AA34" s="188"/>
      <c r="AB34" s="244">
        <f t="shared" si="31"/>
        <v>0</v>
      </c>
      <c r="AC34" s="253">
        <f t="shared" si="32"/>
        <v>0</v>
      </c>
      <c r="AD34" s="198" t="s">
        <v>1111</v>
      </c>
    </row>
    <row r="35" spans="1:31" x14ac:dyDescent="0.15">
      <c r="A35" s="197"/>
      <c r="B35" s="189"/>
      <c r="C35" s="188"/>
      <c r="D35" s="188"/>
      <c r="E35" s="244">
        <f t="shared" si="16"/>
        <v>0</v>
      </c>
      <c r="F35" s="189"/>
      <c r="G35" s="188"/>
      <c r="H35" s="188"/>
      <c r="I35" s="244">
        <f t="shared" si="13"/>
        <v>0</v>
      </c>
      <c r="J35" s="189"/>
      <c r="K35" s="188"/>
      <c r="L35" s="188"/>
      <c r="M35" s="244">
        <f t="shared" si="14"/>
        <v>0</v>
      </c>
      <c r="N35" s="253">
        <f t="shared" si="15"/>
        <v>0</v>
      </c>
      <c r="O35" s="198"/>
      <c r="P35" s="191" t="s">
        <v>1072</v>
      </c>
      <c r="Q35" s="239"/>
      <c r="R35" s="240"/>
      <c r="S35" s="240"/>
      <c r="T35" s="249">
        <f t="shared" ref="T35:T37" si="33">SUM(Q35:S35)</f>
        <v>0</v>
      </c>
      <c r="U35" s="239"/>
      <c r="V35" s="240"/>
      <c r="W35" s="240"/>
      <c r="X35" s="249">
        <f t="shared" ref="X35:X37" si="34">SUM(U35:W35)</f>
        <v>0</v>
      </c>
      <c r="Y35" s="239"/>
      <c r="Z35" s="240"/>
      <c r="AA35" s="240"/>
      <c r="AB35" s="249">
        <f t="shared" ref="AB35:AB37" si="35">SUM(Y35:AA35)</f>
        <v>0</v>
      </c>
      <c r="AC35" s="259">
        <f t="shared" ref="AC35:AC37" si="36">T35+X35+AB35</f>
        <v>0</v>
      </c>
      <c r="AD35" s="241"/>
    </row>
    <row r="36" spans="1:31" x14ac:dyDescent="0.15">
      <c r="A36" s="197"/>
      <c r="B36" s="189"/>
      <c r="C36" s="188"/>
      <c r="D36" s="188"/>
      <c r="E36" s="244">
        <f t="shared" si="16"/>
        <v>0</v>
      </c>
      <c r="F36" s="189"/>
      <c r="G36" s="188"/>
      <c r="H36" s="188"/>
      <c r="I36" s="244">
        <f t="shared" si="13"/>
        <v>0</v>
      </c>
      <c r="J36" s="189"/>
      <c r="K36" s="188"/>
      <c r="L36" s="188"/>
      <c r="M36" s="244">
        <f t="shared" si="14"/>
        <v>0</v>
      </c>
      <c r="N36" s="253">
        <f t="shared" si="15"/>
        <v>0</v>
      </c>
      <c r="O36" s="198"/>
      <c r="P36" s="197" t="s">
        <v>1073</v>
      </c>
      <c r="Q36" s="189"/>
      <c r="R36" s="188"/>
      <c r="S36" s="188"/>
      <c r="T36" s="244">
        <f t="shared" si="33"/>
        <v>0</v>
      </c>
      <c r="U36" s="189"/>
      <c r="V36" s="188"/>
      <c r="W36" s="188"/>
      <c r="X36" s="244">
        <f t="shared" si="34"/>
        <v>0</v>
      </c>
      <c r="Y36" s="189"/>
      <c r="Z36" s="188"/>
      <c r="AA36" s="188"/>
      <c r="AB36" s="244">
        <f t="shared" si="35"/>
        <v>0</v>
      </c>
      <c r="AC36" s="253">
        <f t="shared" si="36"/>
        <v>0</v>
      </c>
      <c r="AD36" s="198" t="s">
        <v>1069</v>
      </c>
    </row>
    <row r="37" spans="1:31" x14ac:dyDescent="0.15">
      <c r="A37" s="197"/>
      <c r="B37" s="189"/>
      <c r="C37" s="188"/>
      <c r="D37" s="188"/>
      <c r="E37" s="244">
        <f t="shared" si="16"/>
        <v>0</v>
      </c>
      <c r="F37" s="189"/>
      <c r="G37" s="188"/>
      <c r="H37" s="188"/>
      <c r="I37" s="244">
        <f t="shared" si="13"/>
        <v>0</v>
      </c>
      <c r="J37" s="189"/>
      <c r="K37" s="188"/>
      <c r="L37" s="188"/>
      <c r="M37" s="244">
        <f t="shared" si="14"/>
        <v>0</v>
      </c>
      <c r="N37" s="253">
        <f t="shared" si="15"/>
        <v>0</v>
      </c>
      <c r="O37" s="198"/>
      <c r="P37" s="274" t="s">
        <v>1097</v>
      </c>
      <c r="Q37" s="239"/>
      <c r="R37" s="240"/>
      <c r="S37" s="240"/>
      <c r="T37" s="249">
        <f t="shared" si="33"/>
        <v>0</v>
      </c>
      <c r="U37" s="239"/>
      <c r="V37" s="240"/>
      <c r="W37" s="240"/>
      <c r="X37" s="249">
        <f t="shared" si="34"/>
        <v>0</v>
      </c>
      <c r="Y37" s="239"/>
      <c r="Z37" s="240"/>
      <c r="AA37" s="240"/>
      <c r="AB37" s="249">
        <f t="shared" si="35"/>
        <v>0</v>
      </c>
      <c r="AC37" s="259">
        <f t="shared" si="36"/>
        <v>0</v>
      </c>
      <c r="AD37" s="198"/>
    </row>
    <row r="38" spans="1:31" x14ac:dyDescent="0.15">
      <c r="A38" s="197"/>
      <c r="B38" s="189"/>
      <c r="C38" s="188"/>
      <c r="D38" s="188"/>
      <c r="E38" s="244">
        <f t="shared" si="16"/>
        <v>0</v>
      </c>
      <c r="F38" s="189"/>
      <c r="G38" s="188"/>
      <c r="H38" s="188"/>
      <c r="I38" s="244">
        <f t="shared" si="13"/>
        <v>0</v>
      </c>
      <c r="J38" s="189"/>
      <c r="K38" s="188"/>
      <c r="L38" s="188"/>
      <c r="M38" s="244">
        <f t="shared" si="14"/>
        <v>0</v>
      </c>
      <c r="N38" s="253">
        <f t="shared" si="15"/>
        <v>0</v>
      </c>
      <c r="O38" s="198"/>
      <c r="P38" s="193" t="s">
        <v>1040</v>
      </c>
      <c r="Q38" s="189"/>
      <c r="R38" s="188"/>
      <c r="S38" s="188"/>
      <c r="T38" s="244">
        <f t="shared" ref="T38" si="37">SUM(Q38:S38)</f>
        <v>0</v>
      </c>
      <c r="U38" s="189"/>
      <c r="V38" s="188"/>
      <c r="W38" s="188"/>
      <c r="X38" s="244">
        <f t="shared" ref="X38" si="38">SUM(U38:W38)</f>
        <v>0</v>
      </c>
      <c r="Y38" s="189"/>
      <c r="Z38" s="188"/>
      <c r="AA38" s="188"/>
      <c r="AB38" s="244">
        <f t="shared" ref="AB38" si="39">SUM(Y38:AA38)</f>
        <v>0</v>
      </c>
      <c r="AC38" s="253">
        <f t="shared" ref="AC38" si="40">T38+X38+AB38</f>
        <v>0</v>
      </c>
      <c r="AD38" s="198" t="s">
        <v>1041</v>
      </c>
      <c r="AE38" s="195"/>
    </row>
    <row r="39" spans="1:31" x14ac:dyDescent="0.15">
      <c r="A39" s="197"/>
      <c r="B39" s="189"/>
      <c r="C39" s="188"/>
      <c r="D39" s="188"/>
      <c r="E39" s="244">
        <f t="shared" si="16"/>
        <v>0</v>
      </c>
      <c r="F39" s="189"/>
      <c r="G39" s="188"/>
      <c r="H39" s="188"/>
      <c r="I39" s="244">
        <f t="shared" si="13"/>
        <v>0</v>
      </c>
      <c r="J39" s="189"/>
      <c r="K39" s="188"/>
      <c r="L39" s="188"/>
      <c r="M39" s="244">
        <f t="shared" si="14"/>
        <v>0</v>
      </c>
      <c r="N39" s="253">
        <f t="shared" si="15"/>
        <v>0</v>
      </c>
      <c r="O39" s="198"/>
      <c r="P39" s="274" t="s">
        <v>1014</v>
      </c>
      <c r="Q39" s="239"/>
      <c r="R39" s="240"/>
      <c r="S39" s="240"/>
      <c r="T39" s="249">
        <f t="shared" si="4"/>
        <v>0</v>
      </c>
      <c r="U39" s="239"/>
      <c r="V39" s="240"/>
      <c r="W39" s="240"/>
      <c r="X39" s="249">
        <f t="shared" si="5"/>
        <v>0</v>
      </c>
      <c r="Y39" s="239"/>
      <c r="Z39" s="240"/>
      <c r="AA39" s="240"/>
      <c r="AB39" s="249">
        <f t="shared" si="6"/>
        <v>0</v>
      </c>
      <c r="AC39" s="259">
        <f t="shared" si="11"/>
        <v>0</v>
      </c>
      <c r="AD39" s="198"/>
      <c r="AE39" s="195"/>
    </row>
    <row r="40" spans="1:31" ht="14.25" thickBot="1" x14ac:dyDescent="0.2">
      <c r="A40" s="197"/>
      <c r="B40" s="189"/>
      <c r="C40" s="188"/>
      <c r="D40" s="188"/>
      <c r="E40" s="244">
        <f t="shared" si="16"/>
        <v>0</v>
      </c>
      <c r="F40" s="189"/>
      <c r="G40" s="188"/>
      <c r="H40" s="188"/>
      <c r="I40" s="244">
        <f t="shared" si="13"/>
        <v>0</v>
      </c>
      <c r="J40" s="189"/>
      <c r="K40" s="188"/>
      <c r="L40" s="188"/>
      <c r="M40" s="244">
        <f t="shared" si="14"/>
        <v>0</v>
      </c>
      <c r="N40" s="253">
        <f t="shared" si="15"/>
        <v>0</v>
      </c>
      <c r="O40" s="198"/>
      <c r="P40" s="193" t="s">
        <v>1011</v>
      </c>
      <c r="Q40" s="189"/>
      <c r="R40" s="188"/>
      <c r="S40" s="188"/>
      <c r="T40" s="244">
        <f t="shared" si="4"/>
        <v>0</v>
      </c>
      <c r="U40" s="189"/>
      <c r="V40" s="188"/>
      <c r="W40" s="188"/>
      <c r="X40" s="244">
        <f t="shared" si="5"/>
        <v>0</v>
      </c>
      <c r="Y40" s="189"/>
      <c r="Z40" s="188"/>
      <c r="AA40" s="188"/>
      <c r="AB40" s="244">
        <f t="shared" si="6"/>
        <v>0</v>
      </c>
      <c r="AC40" s="253">
        <f t="shared" si="11"/>
        <v>0</v>
      </c>
      <c r="AD40" s="198" t="s">
        <v>1012</v>
      </c>
      <c r="AE40" s="195"/>
    </row>
    <row r="41" spans="1:31" ht="14.25" thickBot="1" x14ac:dyDescent="0.2">
      <c r="A41" s="221" t="s">
        <v>5</v>
      </c>
      <c r="B41" s="222">
        <f>SUM(B17:B40)</f>
        <v>16</v>
      </c>
      <c r="C41" s="222">
        <f>SUM(C17:C40)</f>
        <v>11</v>
      </c>
      <c r="D41" s="222">
        <f>SUM(D17:D40)</f>
        <v>7</v>
      </c>
      <c r="E41" s="251">
        <f t="shared" si="12"/>
        <v>34</v>
      </c>
      <c r="F41" s="222">
        <f>SUM(F17:F40)</f>
        <v>16</v>
      </c>
      <c r="G41" s="222">
        <f>SUM(G17:G40)</f>
        <v>10</v>
      </c>
      <c r="H41" s="222">
        <f>SUM(H17:H40)</f>
        <v>8</v>
      </c>
      <c r="I41" s="251">
        <f t="shared" si="13"/>
        <v>34</v>
      </c>
      <c r="J41" s="222">
        <f>SUM(J17:J40)</f>
        <v>15</v>
      </c>
      <c r="K41" s="222">
        <f>SUM(K17:K40)</f>
        <v>11</v>
      </c>
      <c r="L41" s="222">
        <f>SUM(L17:L40)</f>
        <v>8</v>
      </c>
      <c r="M41" s="267">
        <f t="shared" si="14"/>
        <v>34</v>
      </c>
      <c r="N41" s="272">
        <f t="shared" si="15"/>
        <v>102</v>
      </c>
      <c r="O41" s="179"/>
      <c r="P41" s="184" t="s">
        <v>5</v>
      </c>
      <c r="Q41" s="222">
        <f>SUM(Q17:Q40)</f>
        <v>53</v>
      </c>
      <c r="R41" s="222">
        <f>SUM(R17:R40)</f>
        <v>47</v>
      </c>
      <c r="S41" s="222">
        <f>SUM(S17:S40)</f>
        <v>28</v>
      </c>
      <c r="T41" s="251">
        <f t="shared" si="4"/>
        <v>128</v>
      </c>
      <c r="U41" s="222">
        <f>SUM(U17:U40)</f>
        <v>53</v>
      </c>
      <c r="V41" s="222">
        <f>SUM(V17:V40)</f>
        <v>47</v>
      </c>
      <c r="W41" s="222">
        <f>SUM(W17:W40)</f>
        <v>28</v>
      </c>
      <c r="X41" s="251">
        <f t="shared" si="5"/>
        <v>128</v>
      </c>
      <c r="Y41" s="222">
        <f>SUM(Y17:Y40)</f>
        <v>53</v>
      </c>
      <c r="Z41" s="222">
        <f>SUM(Z17:Z40)</f>
        <v>47</v>
      </c>
      <c r="AA41" s="222">
        <f>SUM(AA17:AA40)</f>
        <v>28</v>
      </c>
      <c r="AB41" s="251">
        <f t="shared" si="6"/>
        <v>128</v>
      </c>
      <c r="AC41" s="256">
        <f t="shared" si="11"/>
        <v>384</v>
      </c>
    </row>
    <row r="42" spans="1:31" ht="14.25" thickBot="1" x14ac:dyDescent="0.2">
      <c r="A42" s="223" t="s">
        <v>6</v>
      </c>
      <c r="B42" s="209">
        <f>B16-B41</f>
        <v>3</v>
      </c>
      <c r="C42" s="209">
        <f t="shared" ref="C42:E42" si="41">C16-C41</f>
        <v>6</v>
      </c>
      <c r="D42" s="209">
        <f t="shared" si="41"/>
        <v>7</v>
      </c>
      <c r="E42" s="246">
        <f t="shared" si="41"/>
        <v>16</v>
      </c>
      <c r="F42" s="209">
        <f>F16-F41</f>
        <v>3</v>
      </c>
      <c r="G42" s="209">
        <f t="shared" ref="G42:I42" si="42">G16-G41</f>
        <v>7</v>
      </c>
      <c r="H42" s="209">
        <f t="shared" si="42"/>
        <v>6</v>
      </c>
      <c r="I42" s="246">
        <f t="shared" si="42"/>
        <v>16</v>
      </c>
      <c r="J42" s="209">
        <f>J16-J41</f>
        <v>4</v>
      </c>
      <c r="K42" s="209">
        <f t="shared" ref="K42:M42" si="43">K16-K41</f>
        <v>6</v>
      </c>
      <c r="L42" s="209">
        <f t="shared" si="43"/>
        <v>6</v>
      </c>
      <c r="M42" s="266">
        <f t="shared" si="43"/>
        <v>16</v>
      </c>
      <c r="N42" s="271">
        <f t="shared" si="15"/>
        <v>48</v>
      </c>
      <c r="O42" s="179"/>
      <c r="P42" s="224" t="s">
        <v>6</v>
      </c>
      <c r="Q42" s="209">
        <f>Q16-Q41</f>
        <v>266</v>
      </c>
      <c r="R42" s="209">
        <f t="shared" ref="R42:T42" si="44">R16-R41</f>
        <v>92</v>
      </c>
      <c r="S42" s="209">
        <f t="shared" si="44"/>
        <v>111</v>
      </c>
      <c r="T42" s="246">
        <f t="shared" si="44"/>
        <v>469</v>
      </c>
      <c r="U42" s="209">
        <f>U16-U41</f>
        <v>266</v>
      </c>
      <c r="V42" s="209">
        <f t="shared" ref="V42:X42" si="45">V16-V41</f>
        <v>92</v>
      </c>
      <c r="W42" s="209">
        <f t="shared" si="45"/>
        <v>111</v>
      </c>
      <c r="X42" s="246">
        <f t="shared" si="45"/>
        <v>469</v>
      </c>
      <c r="Y42" s="209">
        <f>Y16-Y41</f>
        <v>266</v>
      </c>
      <c r="Z42" s="209">
        <f t="shared" ref="Z42:AB42" si="46">Z16-Z41</f>
        <v>92</v>
      </c>
      <c r="AA42" s="209">
        <f t="shared" si="46"/>
        <v>111</v>
      </c>
      <c r="AB42" s="246">
        <f t="shared" si="46"/>
        <v>469</v>
      </c>
      <c r="AC42" s="256">
        <f t="shared" si="11"/>
        <v>1407</v>
      </c>
    </row>
    <row r="44" spans="1:31" ht="21" x14ac:dyDescent="0.15">
      <c r="A44" s="171"/>
      <c r="P44" s="174"/>
    </row>
    <row r="45" spans="1:31" ht="19.5" thickBot="1" x14ac:dyDescent="0.25">
      <c r="A45" s="177" t="s">
        <v>1183</v>
      </c>
      <c r="B45" s="178"/>
      <c r="C45" s="178"/>
      <c r="D45" s="178"/>
      <c r="E45" s="178"/>
      <c r="F45" s="179"/>
      <c r="G45" s="179"/>
      <c r="H45" s="179"/>
      <c r="I45" s="179"/>
      <c r="J45" s="179"/>
      <c r="K45" s="179"/>
      <c r="L45" s="179"/>
      <c r="M45" s="179"/>
      <c r="N45" s="180"/>
      <c r="O45" s="179"/>
      <c r="P45" s="177" t="s">
        <v>1184</v>
      </c>
      <c r="Q45" s="178"/>
      <c r="R45" s="178"/>
      <c r="S45" s="178"/>
      <c r="T45" s="178"/>
      <c r="Y45" s="179"/>
      <c r="Z45" s="181"/>
      <c r="AA45" s="179"/>
      <c r="AB45" s="179"/>
    </row>
    <row r="46" spans="1:31" ht="14.25" thickBot="1" x14ac:dyDescent="0.2">
      <c r="A46" s="182" t="s">
        <v>0</v>
      </c>
      <c r="B46" s="350" t="s">
        <v>11</v>
      </c>
      <c r="C46" s="350"/>
      <c r="D46" s="350"/>
      <c r="E46" s="351"/>
      <c r="F46" s="349" t="s">
        <v>9</v>
      </c>
      <c r="G46" s="350"/>
      <c r="H46" s="350"/>
      <c r="I46" s="351"/>
      <c r="J46" s="349" t="s">
        <v>12</v>
      </c>
      <c r="K46" s="350"/>
      <c r="L46" s="350"/>
      <c r="M46" s="350"/>
      <c r="N46" s="352" t="s">
        <v>13</v>
      </c>
      <c r="O46" s="179"/>
      <c r="P46" s="183" t="s">
        <v>0</v>
      </c>
      <c r="Q46" s="350" t="s">
        <v>11</v>
      </c>
      <c r="R46" s="350"/>
      <c r="S46" s="350"/>
      <c r="T46" s="351"/>
      <c r="U46" s="349" t="s">
        <v>9</v>
      </c>
      <c r="V46" s="350"/>
      <c r="W46" s="350"/>
      <c r="X46" s="351"/>
      <c r="Y46" s="349" t="s">
        <v>12</v>
      </c>
      <c r="Z46" s="350"/>
      <c r="AA46" s="350"/>
      <c r="AB46" s="350"/>
      <c r="AC46" s="354" t="s">
        <v>13</v>
      </c>
    </row>
    <row r="47" spans="1:31" ht="14.25" thickBot="1" x14ac:dyDescent="0.2">
      <c r="A47" s="182" t="s">
        <v>1</v>
      </c>
      <c r="B47" s="184" t="s">
        <v>922</v>
      </c>
      <c r="C47" s="183" t="s">
        <v>923</v>
      </c>
      <c r="D47" s="183" t="s">
        <v>924</v>
      </c>
      <c r="E47" s="242" t="s">
        <v>2</v>
      </c>
      <c r="F47" s="184" t="s">
        <v>922</v>
      </c>
      <c r="G47" s="183" t="s">
        <v>923</v>
      </c>
      <c r="H47" s="183" t="s">
        <v>924</v>
      </c>
      <c r="I47" s="242" t="s">
        <v>2</v>
      </c>
      <c r="J47" s="184" t="s">
        <v>922</v>
      </c>
      <c r="K47" s="183" t="s">
        <v>923</v>
      </c>
      <c r="L47" s="183" t="s">
        <v>924</v>
      </c>
      <c r="M47" s="252" t="s">
        <v>2</v>
      </c>
      <c r="N47" s="353"/>
      <c r="O47" s="179"/>
      <c r="P47" s="183" t="s">
        <v>1</v>
      </c>
      <c r="Q47" s="184" t="s">
        <v>922</v>
      </c>
      <c r="R47" s="183" t="s">
        <v>923</v>
      </c>
      <c r="S47" s="183" t="s">
        <v>924</v>
      </c>
      <c r="T47" s="242" t="s">
        <v>2</v>
      </c>
      <c r="U47" s="184" t="s">
        <v>922</v>
      </c>
      <c r="V47" s="183" t="s">
        <v>923</v>
      </c>
      <c r="W47" s="183" t="s">
        <v>924</v>
      </c>
      <c r="X47" s="242" t="s">
        <v>2</v>
      </c>
      <c r="Y47" s="184" t="s">
        <v>922</v>
      </c>
      <c r="Z47" s="183" t="s">
        <v>923</v>
      </c>
      <c r="AA47" s="183" t="s">
        <v>924</v>
      </c>
      <c r="AB47" s="252" t="s">
        <v>2</v>
      </c>
      <c r="AC47" s="355"/>
    </row>
    <row r="48" spans="1:31" x14ac:dyDescent="0.15">
      <c r="A48" s="225" t="s">
        <v>6</v>
      </c>
      <c r="B48" s="226">
        <f>B42</f>
        <v>3</v>
      </c>
      <c r="C48" s="226">
        <f t="shared" ref="C48:M48" si="47">C42</f>
        <v>6</v>
      </c>
      <c r="D48" s="226">
        <f t="shared" si="47"/>
        <v>7</v>
      </c>
      <c r="E48" s="260">
        <f t="shared" si="47"/>
        <v>16</v>
      </c>
      <c r="F48" s="226">
        <f>F42</f>
        <v>3</v>
      </c>
      <c r="G48" s="226">
        <f t="shared" si="47"/>
        <v>7</v>
      </c>
      <c r="H48" s="226">
        <f t="shared" si="47"/>
        <v>6</v>
      </c>
      <c r="I48" s="260">
        <f t="shared" si="47"/>
        <v>16</v>
      </c>
      <c r="J48" s="226">
        <f>J42</f>
        <v>4</v>
      </c>
      <c r="K48" s="226">
        <f t="shared" si="47"/>
        <v>6</v>
      </c>
      <c r="L48" s="226">
        <f t="shared" si="47"/>
        <v>6</v>
      </c>
      <c r="M48" s="260">
        <f t="shared" si="47"/>
        <v>16</v>
      </c>
      <c r="N48" s="273">
        <f>E48+I48+M48</f>
        <v>48</v>
      </c>
      <c r="O48" s="190"/>
      <c r="P48" s="215" t="s">
        <v>6</v>
      </c>
      <c r="Q48" s="226">
        <f>Q42</f>
        <v>266</v>
      </c>
      <c r="R48" s="226">
        <f t="shared" ref="R48:T48" si="48">R42</f>
        <v>92</v>
      </c>
      <c r="S48" s="226">
        <f t="shared" si="48"/>
        <v>111</v>
      </c>
      <c r="T48" s="260">
        <f t="shared" si="48"/>
        <v>469</v>
      </c>
      <c r="U48" s="226">
        <f>U42</f>
        <v>266</v>
      </c>
      <c r="V48" s="226">
        <f t="shared" ref="V48:X48" si="49">V42</f>
        <v>92</v>
      </c>
      <c r="W48" s="226">
        <f t="shared" si="49"/>
        <v>111</v>
      </c>
      <c r="X48" s="260">
        <f t="shared" si="49"/>
        <v>469</v>
      </c>
      <c r="Y48" s="226">
        <f>Y42</f>
        <v>266</v>
      </c>
      <c r="Z48" s="226">
        <f t="shared" ref="Z48:AB48" si="50">Z42</f>
        <v>92</v>
      </c>
      <c r="AA48" s="226">
        <f t="shared" si="50"/>
        <v>111</v>
      </c>
      <c r="AB48" s="260">
        <f t="shared" si="50"/>
        <v>469</v>
      </c>
      <c r="AC48" s="258">
        <f>T48+X48+AB48</f>
        <v>1407</v>
      </c>
    </row>
    <row r="49" spans="1:33" x14ac:dyDescent="0.15">
      <c r="A49" s="191" t="s">
        <v>1339</v>
      </c>
      <c r="B49" s="199">
        <v>1</v>
      </c>
      <c r="C49" s="197">
        <v>1</v>
      </c>
      <c r="D49" s="197">
        <v>1</v>
      </c>
      <c r="E49" s="243">
        <f t="shared" ref="E49:E58" si="51">SUM(B49:D49)</f>
        <v>3</v>
      </c>
      <c r="F49" s="199">
        <v>1</v>
      </c>
      <c r="G49" s="197">
        <v>1</v>
      </c>
      <c r="H49" s="197">
        <v>1</v>
      </c>
      <c r="I49" s="243">
        <f t="shared" ref="I49:I58" si="52">SUM(F49:H49)</f>
        <v>3</v>
      </c>
      <c r="J49" s="186">
        <v>1</v>
      </c>
      <c r="K49" s="187">
        <v>1</v>
      </c>
      <c r="L49" s="187">
        <v>1</v>
      </c>
      <c r="M49" s="243">
        <f t="shared" ref="M49:M58" si="53">SUM(J49:L49)</f>
        <v>3</v>
      </c>
      <c r="N49" s="253">
        <f t="shared" ref="N49:N58" si="54">E49+I49+M49</f>
        <v>9</v>
      </c>
      <c r="O49" s="194">
        <v>45995</v>
      </c>
      <c r="P49" s="191" t="s">
        <v>3</v>
      </c>
      <c r="Q49" s="199"/>
      <c r="R49" s="197"/>
      <c r="S49" s="197"/>
      <c r="T49" s="243">
        <f t="shared" ref="T49:T84" si="55">SUM(Q49:S49)</f>
        <v>0</v>
      </c>
      <c r="U49" s="199"/>
      <c r="V49" s="197"/>
      <c r="W49" s="197"/>
      <c r="X49" s="243">
        <f t="shared" ref="X49:X84" si="56">SUM(U49:W49)</f>
        <v>0</v>
      </c>
      <c r="Y49" s="186"/>
      <c r="Z49" s="187"/>
      <c r="AA49" s="187"/>
      <c r="AB49" s="243">
        <f t="shared" ref="AB49:AB84" si="57">SUM(Y49:AA49)</f>
        <v>0</v>
      </c>
      <c r="AC49" s="253">
        <f t="shared" ref="AC49:AC85" si="58">T49+X49+AB49</f>
        <v>0</v>
      </c>
      <c r="AD49" s="198"/>
    </row>
    <row r="50" spans="1:33" x14ac:dyDescent="0.15">
      <c r="A50" s="191" t="s">
        <v>57</v>
      </c>
      <c r="B50" s="186"/>
      <c r="C50" s="187"/>
      <c r="D50" s="187">
        <v>1</v>
      </c>
      <c r="E50" s="244">
        <f t="shared" si="51"/>
        <v>1</v>
      </c>
      <c r="F50" s="186"/>
      <c r="G50" s="187"/>
      <c r="H50" s="187">
        <v>1</v>
      </c>
      <c r="I50" s="244">
        <f t="shared" si="52"/>
        <v>1</v>
      </c>
      <c r="J50" s="196"/>
      <c r="K50" s="197"/>
      <c r="L50" s="197">
        <v>1</v>
      </c>
      <c r="M50" s="243">
        <f t="shared" si="53"/>
        <v>1</v>
      </c>
      <c r="N50" s="253">
        <f t="shared" si="54"/>
        <v>3</v>
      </c>
      <c r="O50" s="194">
        <v>46000</v>
      </c>
      <c r="P50" s="191" t="s">
        <v>3</v>
      </c>
      <c r="Q50" s="186"/>
      <c r="R50" s="187"/>
      <c r="S50" s="187"/>
      <c r="T50" s="244">
        <f t="shared" si="55"/>
        <v>0</v>
      </c>
      <c r="U50" s="186"/>
      <c r="V50" s="187"/>
      <c r="W50" s="187"/>
      <c r="X50" s="244">
        <f t="shared" si="56"/>
        <v>0</v>
      </c>
      <c r="Y50" s="196"/>
      <c r="Z50" s="197"/>
      <c r="AA50" s="197"/>
      <c r="AB50" s="243">
        <f t="shared" si="57"/>
        <v>0</v>
      </c>
      <c r="AC50" s="253">
        <f t="shared" si="58"/>
        <v>0</v>
      </c>
      <c r="AD50" s="198"/>
    </row>
    <row r="51" spans="1:33" x14ac:dyDescent="0.15">
      <c r="A51" s="191" t="s">
        <v>3</v>
      </c>
      <c r="B51" s="199"/>
      <c r="C51" s="197"/>
      <c r="D51" s="197"/>
      <c r="E51" s="243">
        <f t="shared" si="51"/>
        <v>0</v>
      </c>
      <c r="F51" s="199"/>
      <c r="G51" s="197"/>
      <c r="H51" s="197"/>
      <c r="I51" s="243">
        <f t="shared" si="52"/>
        <v>0</v>
      </c>
      <c r="J51" s="196"/>
      <c r="K51" s="197"/>
      <c r="L51" s="197"/>
      <c r="M51" s="243">
        <f t="shared" si="53"/>
        <v>0</v>
      </c>
      <c r="N51" s="253">
        <f t="shared" si="54"/>
        <v>0</v>
      </c>
      <c r="O51" s="198"/>
      <c r="P51" s="191" t="s">
        <v>229</v>
      </c>
      <c r="Q51" s="199">
        <v>130</v>
      </c>
      <c r="R51" s="197">
        <v>140</v>
      </c>
      <c r="S51" s="197">
        <v>90</v>
      </c>
      <c r="T51" s="243">
        <f t="shared" si="55"/>
        <v>360</v>
      </c>
      <c r="U51" s="199">
        <v>130</v>
      </c>
      <c r="V51" s="197">
        <v>140</v>
      </c>
      <c r="W51" s="197">
        <v>90</v>
      </c>
      <c r="X51" s="243">
        <f t="shared" si="56"/>
        <v>360</v>
      </c>
      <c r="Y51" s="186">
        <v>130</v>
      </c>
      <c r="Z51" s="187">
        <v>140</v>
      </c>
      <c r="AA51" s="187">
        <v>90</v>
      </c>
      <c r="AB51" s="243">
        <f t="shared" si="57"/>
        <v>360</v>
      </c>
      <c r="AC51" s="253">
        <f t="shared" si="58"/>
        <v>1080</v>
      </c>
      <c r="AD51" s="194" t="s">
        <v>1291</v>
      </c>
      <c r="AE51" s="195"/>
    </row>
    <row r="52" spans="1:33" x14ac:dyDescent="0.15">
      <c r="A52" s="191" t="s">
        <v>3</v>
      </c>
      <c r="B52" s="199"/>
      <c r="C52" s="197"/>
      <c r="D52" s="197"/>
      <c r="E52" s="243">
        <f t="shared" si="51"/>
        <v>0</v>
      </c>
      <c r="F52" s="199"/>
      <c r="G52" s="197"/>
      <c r="H52" s="197"/>
      <c r="I52" s="243">
        <f t="shared" si="52"/>
        <v>0</v>
      </c>
      <c r="J52" s="196"/>
      <c r="K52" s="197"/>
      <c r="L52" s="197"/>
      <c r="M52" s="243">
        <f t="shared" si="53"/>
        <v>0</v>
      </c>
      <c r="N52" s="253">
        <f t="shared" si="54"/>
        <v>0</v>
      </c>
      <c r="O52" s="198"/>
      <c r="P52" s="191" t="s">
        <v>3</v>
      </c>
      <c r="Q52" s="199"/>
      <c r="R52" s="197"/>
      <c r="S52" s="197"/>
      <c r="T52" s="243">
        <f t="shared" si="55"/>
        <v>0</v>
      </c>
      <c r="U52" s="199"/>
      <c r="V52" s="197"/>
      <c r="W52" s="197"/>
      <c r="X52" s="243">
        <f t="shared" si="56"/>
        <v>0</v>
      </c>
      <c r="Y52" s="196"/>
      <c r="Z52" s="197"/>
      <c r="AA52" s="197"/>
      <c r="AB52" s="243">
        <f t="shared" si="57"/>
        <v>0</v>
      </c>
      <c r="AC52" s="253">
        <f t="shared" si="58"/>
        <v>0</v>
      </c>
      <c r="AD52" s="198" t="s">
        <v>1286</v>
      </c>
      <c r="AE52" s="195"/>
    </row>
    <row r="53" spans="1:33" x14ac:dyDescent="0.15">
      <c r="A53" s="191" t="s">
        <v>3</v>
      </c>
      <c r="B53" s="199"/>
      <c r="C53" s="197"/>
      <c r="D53" s="197"/>
      <c r="E53" s="243">
        <f t="shared" si="51"/>
        <v>0</v>
      </c>
      <c r="F53" s="199"/>
      <c r="G53" s="197"/>
      <c r="H53" s="197"/>
      <c r="I53" s="243">
        <f t="shared" si="52"/>
        <v>0</v>
      </c>
      <c r="J53" s="196"/>
      <c r="K53" s="197"/>
      <c r="L53" s="197"/>
      <c r="M53" s="243">
        <f t="shared" si="53"/>
        <v>0</v>
      </c>
      <c r="N53" s="253">
        <f t="shared" si="54"/>
        <v>0</v>
      </c>
      <c r="O53" s="198"/>
      <c r="P53" s="191" t="s">
        <v>3</v>
      </c>
      <c r="Q53" s="199"/>
      <c r="R53" s="197"/>
      <c r="S53" s="197"/>
      <c r="T53" s="243">
        <f t="shared" si="55"/>
        <v>0</v>
      </c>
      <c r="U53" s="199"/>
      <c r="V53" s="197"/>
      <c r="W53" s="197"/>
      <c r="X53" s="243">
        <f t="shared" si="56"/>
        <v>0</v>
      </c>
      <c r="Y53" s="196"/>
      <c r="Z53" s="197"/>
      <c r="AA53" s="197"/>
      <c r="AB53" s="243">
        <f t="shared" si="57"/>
        <v>0</v>
      </c>
      <c r="AC53" s="253">
        <f t="shared" si="58"/>
        <v>0</v>
      </c>
      <c r="AD53" s="198"/>
      <c r="AE53" s="195"/>
    </row>
    <row r="54" spans="1:33" x14ac:dyDescent="0.15">
      <c r="A54" s="191" t="s">
        <v>3</v>
      </c>
      <c r="B54" s="199"/>
      <c r="C54" s="197"/>
      <c r="D54" s="197"/>
      <c r="E54" s="243">
        <f t="shared" si="51"/>
        <v>0</v>
      </c>
      <c r="F54" s="199"/>
      <c r="G54" s="197"/>
      <c r="H54" s="197"/>
      <c r="I54" s="243">
        <f t="shared" si="52"/>
        <v>0</v>
      </c>
      <c r="J54" s="186"/>
      <c r="K54" s="187"/>
      <c r="L54" s="187"/>
      <c r="M54" s="244">
        <f t="shared" si="53"/>
        <v>0</v>
      </c>
      <c r="N54" s="253">
        <f t="shared" si="54"/>
        <v>0</v>
      </c>
      <c r="O54" s="198"/>
      <c r="P54" s="191" t="s">
        <v>701</v>
      </c>
      <c r="Q54" s="199">
        <v>15</v>
      </c>
      <c r="R54" s="197">
        <v>31</v>
      </c>
      <c r="S54" s="197">
        <v>30</v>
      </c>
      <c r="T54" s="243">
        <f t="shared" si="55"/>
        <v>76</v>
      </c>
      <c r="U54" s="199">
        <v>18</v>
      </c>
      <c r="V54" s="197">
        <v>33</v>
      </c>
      <c r="W54" s="197">
        <v>33</v>
      </c>
      <c r="X54" s="243">
        <f t="shared" si="56"/>
        <v>84</v>
      </c>
      <c r="Y54" s="186">
        <v>18</v>
      </c>
      <c r="Z54" s="187">
        <v>33</v>
      </c>
      <c r="AA54" s="187">
        <v>30</v>
      </c>
      <c r="AB54" s="244">
        <f t="shared" si="57"/>
        <v>81</v>
      </c>
      <c r="AC54" s="253">
        <f t="shared" si="58"/>
        <v>241</v>
      </c>
      <c r="AD54" s="194" t="s">
        <v>1291</v>
      </c>
      <c r="AE54" s="195"/>
    </row>
    <row r="55" spans="1:33" x14ac:dyDescent="0.15">
      <c r="A55" s="191" t="s">
        <v>3</v>
      </c>
      <c r="B55" s="200"/>
      <c r="C55" s="187"/>
      <c r="D55" s="187"/>
      <c r="E55" s="243">
        <f t="shared" si="51"/>
        <v>0</v>
      </c>
      <c r="F55" s="200"/>
      <c r="G55" s="187"/>
      <c r="H55" s="187"/>
      <c r="I55" s="243">
        <f t="shared" si="52"/>
        <v>0</v>
      </c>
      <c r="J55" s="186"/>
      <c r="K55" s="187"/>
      <c r="L55" s="187"/>
      <c r="M55" s="243">
        <f t="shared" si="53"/>
        <v>0</v>
      </c>
      <c r="N55" s="253">
        <f t="shared" si="54"/>
        <v>0</v>
      </c>
      <c r="O55" s="198"/>
      <c r="P55" s="191" t="s">
        <v>3</v>
      </c>
      <c r="Q55" s="200"/>
      <c r="R55" s="187"/>
      <c r="S55" s="187"/>
      <c r="T55" s="243">
        <f t="shared" si="55"/>
        <v>0</v>
      </c>
      <c r="U55" s="200"/>
      <c r="V55" s="187"/>
      <c r="W55" s="187"/>
      <c r="X55" s="243">
        <f t="shared" si="56"/>
        <v>0</v>
      </c>
      <c r="Y55" s="186"/>
      <c r="Z55" s="187"/>
      <c r="AA55" s="187"/>
      <c r="AB55" s="243">
        <f t="shared" si="57"/>
        <v>0</v>
      </c>
      <c r="AC55" s="253">
        <f t="shared" si="58"/>
        <v>0</v>
      </c>
      <c r="AD55" s="198" t="s">
        <v>1286</v>
      </c>
      <c r="AE55" s="195"/>
    </row>
    <row r="56" spans="1:33" x14ac:dyDescent="0.15">
      <c r="A56" s="191" t="s">
        <v>3</v>
      </c>
      <c r="B56" s="199"/>
      <c r="C56" s="197"/>
      <c r="D56" s="197"/>
      <c r="E56" s="243">
        <f t="shared" si="51"/>
        <v>0</v>
      </c>
      <c r="F56" s="199"/>
      <c r="G56" s="197"/>
      <c r="H56" s="197"/>
      <c r="I56" s="243">
        <f t="shared" si="52"/>
        <v>0</v>
      </c>
      <c r="J56" s="186"/>
      <c r="K56" s="187"/>
      <c r="L56" s="187"/>
      <c r="M56" s="243">
        <f t="shared" si="53"/>
        <v>0</v>
      </c>
      <c r="N56" s="253">
        <f t="shared" si="54"/>
        <v>0</v>
      </c>
      <c r="O56" s="198"/>
      <c r="P56" s="191" t="s">
        <v>3</v>
      </c>
      <c r="Q56" s="199"/>
      <c r="R56" s="197"/>
      <c r="S56" s="197"/>
      <c r="T56" s="243">
        <f t="shared" si="55"/>
        <v>0</v>
      </c>
      <c r="U56" s="199"/>
      <c r="V56" s="197"/>
      <c r="W56" s="197"/>
      <c r="X56" s="243">
        <f t="shared" si="56"/>
        <v>0</v>
      </c>
      <c r="Y56" s="186"/>
      <c r="Z56" s="187"/>
      <c r="AA56" s="187"/>
      <c r="AB56" s="243">
        <f t="shared" si="57"/>
        <v>0</v>
      </c>
      <c r="AC56" s="253">
        <f t="shared" si="58"/>
        <v>0</v>
      </c>
      <c r="AD56" s="198"/>
    </row>
    <row r="57" spans="1:33" x14ac:dyDescent="0.15">
      <c r="A57" s="191" t="s">
        <v>3</v>
      </c>
      <c r="B57" s="200"/>
      <c r="C57" s="187"/>
      <c r="D57" s="187"/>
      <c r="E57" s="243">
        <f t="shared" si="51"/>
        <v>0</v>
      </c>
      <c r="F57" s="200"/>
      <c r="G57" s="187"/>
      <c r="H57" s="187"/>
      <c r="I57" s="243">
        <f t="shared" si="52"/>
        <v>0</v>
      </c>
      <c r="J57" s="186"/>
      <c r="K57" s="187"/>
      <c r="L57" s="187"/>
      <c r="M57" s="243">
        <f t="shared" si="53"/>
        <v>0</v>
      </c>
      <c r="N57" s="253">
        <f t="shared" si="54"/>
        <v>0</v>
      </c>
      <c r="O57" s="198"/>
      <c r="P57" s="191" t="s">
        <v>3</v>
      </c>
      <c r="Q57" s="200"/>
      <c r="R57" s="187"/>
      <c r="S57" s="187"/>
      <c r="T57" s="243">
        <f t="shared" si="55"/>
        <v>0</v>
      </c>
      <c r="U57" s="200"/>
      <c r="V57" s="187"/>
      <c r="W57" s="187"/>
      <c r="X57" s="243">
        <f t="shared" si="56"/>
        <v>0</v>
      </c>
      <c r="Y57" s="186"/>
      <c r="Z57" s="187"/>
      <c r="AA57" s="187"/>
      <c r="AB57" s="243">
        <f t="shared" si="57"/>
        <v>0</v>
      </c>
      <c r="AC57" s="253">
        <f t="shared" si="58"/>
        <v>0</v>
      </c>
      <c r="AD57" s="198"/>
    </row>
    <row r="58" spans="1:33" ht="14.25" thickBot="1" x14ac:dyDescent="0.2">
      <c r="A58" s="206" t="s">
        <v>3</v>
      </c>
      <c r="B58" s="202"/>
      <c r="C58" s="203"/>
      <c r="D58" s="203"/>
      <c r="E58" s="245">
        <f t="shared" si="51"/>
        <v>0</v>
      </c>
      <c r="F58" s="202"/>
      <c r="G58" s="203"/>
      <c r="H58" s="203"/>
      <c r="I58" s="245">
        <f t="shared" si="52"/>
        <v>0</v>
      </c>
      <c r="J58" s="205"/>
      <c r="K58" s="203"/>
      <c r="L58" s="204"/>
      <c r="M58" s="245">
        <f t="shared" si="53"/>
        <v>0</v>
      </c>
      <c r="N58" s="255">
        <f t="shared" si="54"/>
        <v>0</v>
      </c>
      <c r="O58" s="198"/>
      <c r="P58" s="206" t="s">
        <v>3</v>
      </c>
      <c r="Q58" s="202"/>
      <c r="R58" s="203"/>
      <c r="S58" s="203"/>
      <c r="T58" s="245">
        <f t="shared" si="55"/>
        <v>0</v>
      </c>
      <c r="U58" s="202"/>
      <c r="V58" s="203"/>
      <c r="W58" s="203"/>
      <c r="X58" s="245">
        <f t="shared" si="56"/>
        <v>0</v>
      </c>
      <c r="Y58" s="205"/>
      <c r="Z58" s="203"/>
      <c r="AA58" s="204"/>
      <c r="AB58" s="245">
        <f t="shared" si="57"/>
        <v>0</v>
      </c>
      <c r="AC58" s="255">
        <f t="shared" si="58"/>
        <v>0</v>
      </c>
      <c r="AD58" s="198"/>
    </row>
    <row r="59" spans="1:33" ht="14.25" thickBot="1" x14ac:dyDescent="0.2">
      <c r="A59" s="207" t="s">
        <v>4</v>
      </c>
      <c r="B59" s="208">
        <f>SUM(B48:B58)</f>
        <v>4</v>
      </c>
      <c r="C59" s="208">
        <f>SUM(C48:C58)</f>
        <v>7</v>
      </c>
      <c r="D59" s="208">
        <f>SUM(D48:D58)</f>
        <v>9</v>
      </c>
      <c r="E59" s="246">
        <f t="shared" ref="E59:E84" si="59">SUM(B59:D59)</f>
        <v>20</v>
      </c>
      <c r="F59" s="208">
        <f>SUM(F48:F58)</f>
        <v>4</v>
      </c>
      <c r="G59" s="208">
        <f>SUM(G48:G58)</f>
        <v>8</v>
      </c>
      <c r="H59" s="208">
        <f>SUM(H48:H58)</f>
        <v>8</v>
      </c>
      <c r="I59" s="246">
        <f t="shared" ref="I59:I84" si="60">SUM(F59:H59)</f>
        <v>20</v>
      </c>
      <c r="J59" s="208">
        <f>SUM(J48:J58)</f>
        <v>5</v>
      </c>
      <c r="K59" s="208">
        <f>SUM(K48:K58)</f>
        <v>7</v>
      </c>
      <c r="L59" s="208">
        <f>SUM(L48:L58)</f>
        <v>8</v>
      </c>
      <c r="M59" s="266">
        <f t="shared" ref="M59:M84" si="61">SUM(J59:L59)</f>
        <v>20</v>
      </c>
      <c r="N59" s="271">
        <f t="shared" ref="N59:N85" si="62">E59+I59+M59</f>
        <v>60</v>
      </c>
      <c r="O59" s="179"/>
      <c r="P59" s="210" t="s">
        <v>4</v>
      </c>
      <c r="Q59" s="208">
        <f>SUM(Q48:Q58)</f>
        <v>411</v>
      </c>
      <c r="R59" s="208">
        <f>SUM(R48:R58)</f>
        <v>263</v>
      </c>
      <c r="S59" s="208">
        <f>SUM(S48:S58)</f>
        <v>231</v>
      </c>
      <c r="T59" s="246">
        <f t="shared" si="55"/>
        <v>905</v>
      </c>
      <c r="U59" s="208">
        <f>SUM(U48:U58)</f>
        <v>414</v>
      </c>
      <c r="V59" s="208">
        <f>SUM(V48:V58)</f>
        <v>265</v>
      </c>
      <c r="W59" s="208">
        <f>SUM(W48:W58)</f>
        <v>234</v>
      </c>
      <c r="X59" s="246">
        <f t="shared" si="56"/>
        <v>913</v>
      </c>
      <c r="Y59" s="208">
        <f>SUM(Y48:Y58)</f>
        <v>414</v>
      </c>
      <c r="Z59" s="208">
        <f>SUM(Z48:Z58)</f>
        <v>265</v>
      </c>
      <c r="AA59" s="208">
        <f>SUM(AA48:AA58)</f>
        <v>231</v>
      </c>
      <c r="AB59" s="246">
        <f t="shared" si="57"/>
        <v>910</v>
      </c>
      <c r="AC59" s="256">
        <f t="shared" si="58"/>
        <v>2728</v>
      </c>
    </row>
    <row r="60" spans="1:33" x14ac:dyDescent="0.15">
      <c r="A60" s="197"/>
      <c r="B60" s="189"/>
      <c r="C60" s="188"/>
      <c r="D60" s="188"/>
      <c r="E60" s="244">
        <f t="shared" ref="E60:E83" si="63">SUM(B60:D60)</f>
        <v>0</v>
      </c>
      <c r="F60" s="189"/>
      <c r="G60" s="188"/>
      <c r="H60" s="188"/>
      <c r="I60" s="244">
        <f t="shared" si="60"/>
        <v>0</v>
      </c>
      <c r="J60" s="189"/>
      <c r="K60" s="188"/>
      <c r="L60" s="188"/>
      <c r="M60" s="244">
        <f t="shared" si="61"/>
        <v>0</v>
      </c>
      <c r="N60" s="253">
        <f t="shared" si="62"/>
        <v>0</v>
      </c>
      <c r="O60" s="198"/>
      <c r="P60" s="197" t="s">
        <v>1316</v>
      </c>
      <c r="Q60" s="189">
        <v>3</v>
      </c>
      <c r="R60" s="188">
        <v>2</v>
      </c>
      <c r="S60" s="188">
        <v>2</v>
      </c>
      <c r="T60" s="244">
        <f t="shared" si="55"/>
        <v>7</v>
      </c>
      <c r="U60" s="189">
        <v>3</v>
      </c>
      <c r="V60" s="188">
        <v>2</v>
      </c>
      <c r="W60" s="188">
        <v>2</v>
      </c>
      <c r="X60" s="244">
        <f t="shared" si="56"/>
        <v>7</v>
      </c>
      <c r="Y60" s="189">
        <v>3</v>
      </c>
      <c r="Z60" s="188">
        <v>2</v>
      </c>
      <c r="AA60" s="188">
        <v>2</v>
      </c>
      <c r="AB60" s="244">
        <f t="shared" si="57"/>
        <v>7</v>
      </c>
      <c r="AC60" s="253">
        <f t="shared" si="58"/>
        <v>21</v>
      </c>
      <c r="AD60" s="194">
        <v>45996</v>
      </c>
      <c r="AE60" s="195"/>
    </row>
    <row r="61" spans="1:33" x14ac:dyDescent="0.15">
      <c r="A61" s="197"/>
      <c r="B61" s="189"/>
      <c r="C61" s="188"/>
      <c r="D61" s="188"/>
      <c r="E61" s="244">
        <f t="shared" si="63"/>
        <v>0</v>
      </c>
      <c r="F61" s="189"/>
      <c r="G61" s="188"/>
      <c r="H61" s="188"/>
      <c r="I61" s="244">
        <f t="shared" si="60"/>
        <v>0</v>
      </c>
      <c r="J61" s="189"/>
      <c r="K61" s="188"/>
      <c r="L61" s="188"/>
      <c r="M61" s="244">
        <f t="shared" si="61"/>
        <v>0</v>
      </c>
      <c r="N61" s="253">
        <f t="shared" si="62"/>
        <v>0</v>
      </c>
      <c r="O61" s="198"/>
      <c r="P61" s="193" t="s">
        <v>27</v>
      </c>
      <c r="Q61" s="189">
        <v>1</v>
      </c>
      <c r="R61" s="188">
        <v>1</v>
      </c>
      <c r="S61" s="188">
        <v>1</v>
      </c>
      <c r="T61" s="244">
        <f t="shared" ref="T61:T83" si="64">SUM(Q61:S61)</f>
        <v>3</v>
      </c>
      <c r="U61" s="189">
        <v>1</v>
      </c>
      <c r="V61" s="188">
        <v>1</v>
      </c>
      <c r="W61" s="188">
        <v>1</v>
      </c>
      <c r="X61" s="244">
        <f t="shared" si="56"/>
        <v>3</v>
      </c>
      <c r="Y61" s="189">
        <v>1</v>
      </c>
      <c r="Z61" s="188">
        <v>1</v>
      </c>
      <c r="AA61" s="188">
        <v>1</v>
      </c>
      <c r="AB61" s="244">
        <f t="shared" si="57"/>
        <v>3</v>
      </c>
      <c r="AC61" s="253">
        <f t="shared" si="58"/>
        <v>9</v>
      </c>
      <c r="AD61" s="194">
        <v>45995</v>
      </c>
      <c r="AE61" s="195"/>
    </row>
    <row r="62" spans="1:33" x14ac:dyDescent="0.15">
      <c r="A62" s="197"/>
      <c r="B62" s="189"/>
      <c r="C62" s="188"/>
      <c r="D62" s="188"/>
      <c r="E62" s="244">
        <f t="shared" si="63"/>
        <v>0</v>
      </c>
      <c r="F62" s="189"/>
      <c r="G62" s="188"/>
      <c r="H62" s="188"/>
      <c r="I62" s="244">
        <f t="shared" si="60"/>
        <v>0</v>
      </c>
      <c r="J62" s="189"/>
      <c r="K62" s="188"/>
      <c r="L62" s="188"/>
      <c r="M62" s="244">
        <f t="shared" si="61"/>
        <v>0</v>
      </c>
      <c r="N62" s="253">
        <f t="shared" si="62"/>
        <v>0</v>
      </c>
      <c r="O62" s="198"/>
      <c r="P62" s="193" t="s">
        <v>1336</v>
      </c>
      <c r="Q62" s="189">
        <v>13</v>
      </c>
      <c r="R62" s="188">
        <v>7</v>
      </c>
      <c r="S62" s="188"/>
      <c r="T62" s="244">
        <f t="shared" ref="T62" si="65">SUM(Q62:S62)</f>
        <v>20</v>
      </c>
      <c r="U62" s="189">
        <v>13</v>
      </c>
      <c r="V62" s="188">
        <v>7</v>
      </c>
      <c r="W62" s="188"/>
      <c r="X62" s="244">
        <f t="shared" ref="X62" si="66">SUM(U62:W62)</f>
        <v>20</v>
      </c>
      <c r="Y62" s="189">
        <v>13</v>
      </c>
      <c r="Z62" s="188">
        <v>7</v>
      </c>
      <c r="AA62" s="188"/>
      <c r="AB62" s="244">
        <f t="shared" ref="AB62" si="67">SUM(Y62:AA62)</f>
        <v>20</v>
      </c>
      <c r="AC62" s="253">
        <f t="shared" ref="AC62" si="68">T62+X62+AB62</f>
        <v>60</v>
      </c>
      <c r="AD62" s="194">
        <v>45999</v>
      </c>
      <c r="AE62" s="195"/>
    </row>
    <row r="63" spans="1:33" x14ac:dyDescent="0.15">
      <c r="A63" s="197"/>
      <c r="B63" s="189"/>
      <c r="C63" s="188"/>
      <c r="D63" s="188"/>
      <c r="E63" s="244">
        <f t="shared" si="63"/>
        <v>0</v>
      </c>
      <c r="F63" s="189"/>
      <c r="G63" s="188"/>
      <c r="H63" s="188"/>
      <c r="I63" s="244">
        <f t="shared" si="60"/>
        <v>0</v>
      </c>
      <c r="J63" s="189"/>
      <c r="K63" s="188"/>
      <c r="L63" s="188"/>
      <c r="M63" s="244">
        <f t="shared" si="61"/>
        <v>0</v>
      </c>
      <c r="N63" s="253">
        <f t="shared" si="62"/>
        <v>0</v>
      </c>
      <c r="O63" s="198"/>
      <c r="P63" s="197" t="s">
        <v>1342</v>
      </c>
      <c r="Q63" s="189">
        <v>3</v>
      </c>
      <c r="R63" s="188"/>
      <c r="S63" s="188">
        <v>2</v>
      </c>
      <c r="T63" s="244">
        <f t="shared" si="64"/>
        <v>5</v>
      </c>
      <c r="U63" s="189">
        <v>3</v>
      </c>
      <c r="V63" s="188"/>
      <c r="W63" s="188">
        <v>2</v>
      </c>
      <c r="X63" s="244">
        <f t="shared" si="56"/>
        <v>5</v>
      </c>
      <c r="Y63" s="189">
        <v>3</v>
      </c>
      <c r="Z63" s="188"/>
      <c r="AA63" s="188">
        <v>2</v>
      </c>
      <c r="AB63" s="244">
        <f t="shared" si="57"/>
        <v>5</v>
      </c>
      <c r="AC63" s="253">
        <f t="shared" si="58"/>
        <v>15</v>
      </c>
      <c r="AD63" s="194">
        <v>46003</v>
      </c>
      <c r="AE63" s="195"/>
      <c r="AF63" s="195"/>
      <c r="AG63" s="195"/>
    </row>
    <row r="64" spans="1:33" x14ac:dyDescent="0.15">
      <c r="A64" s="197"/>
      <c r="B64" s="189"/>
      <c r="C64" s="188"/>
      <c r="D64" s="188"/>
      <c r="E64" s="244">
        <f t="shared" si="63"/>
        <v>0</v>
      </c>
      <c r="F64" s="189"/>
      <c r="G64" s="188"/>
      <c r="H64" s="188"/>
      <c r="I64" s="244">
        <f t="shared" si="60"/>
        <v>0</v>
      </c>
      <c r="J64" s="189"/>
      <c r="K64" s="188"/>
      <c r="L64" s="188"/>
      <c r="M64" s="244">
        <f t="shared" si="61"/>
        <v>0</v>
      </c>
      <c r="N64" s="253">
        <f t="shared" si="62"/>
        <v>0</v>
      </c>
      <c r="O64" s="198"/>
      <c r="P64" s="197" t="s">
        <v>1360</v>
      </c>
      <c r="Q64" s="189">
        <v>5</v>
      </c>
      <c r="R64" s="188"/>
      <c r="S64" s="188">
        <v>15</v>
      </c>
      <c r="T64" s="244">
        <f t="shared" si="64"/>
        <v>20</v>
      </c>
      <c r="U64" s="189">
        <v>5</v>
      </c>
      <c r="V64" s="188"/>
      <c r="W64" s="188">
        <v>15</v>
      </c>
      <c r="X64" s="244">
        <f t="shared" si="56"/>
        <v>20</v>
      </c>
      <c r="Y64" s="189">
        <v>5</v>
      </c>
      <c r="Z64" s="188"/>
      <c r="AA64" s="188">
        <v>15</v>
      </c>
      <c r="AB64" s="244">
        <f t="shared" si="57"/>
        <v>20</v>
      </c>
      <c r="AC64" s="253">
        <f t="shared" si="58"/>
        <v>60</v>
      </c>
      <c r="AD64" s="194">
        <v>46006</v>
      </c>
      <c r="AE64" s="195"/>
      <c r="AF64" s="195"/>
      <c r="AG64" s="195"/>
    </row>
    <row r="65" spans="1:32" x14ac:dyDescent="0.15">
      <c r="A65" s="197"/>
      <c r="B65" s="189"/>
      <c r="C65" s="188"/>
      <c r="D65" s="188"/>
      <c r="E65" s="244">
        <f t="shared" si="63"/>
        <v>0</v>
      </c>
      <c r="F65" s="189"/>
      <c r="G65" s="188"/>
      <c r="H65" s="188"/>
      <c r="I65" s="244">
        <f t="shared" si="60"/>
        <v>0</v>
      </c>
      <c r="J65" s="189"/>
      <c r="K65" s="188"/>
      <c r="L65" s="188"/>
      <c r="M65" s="244">
        <f t="shared" si="61"/>
        <v>0</v>
      </c>
      <c r="N65" s="253">
        <f t="shared" si="62"/>
        <v>0</v>
      </c>
      <c r="O65" s="198"/>
      <c r="P65" s="197" t="s">
        <v>1354</v>
      </c>
      <c r="Q65" s="189">
        <v>3</v>
      </c>
      <c r="R65" s="188">
        <v>2</v>
      </c>
      <c r="S65" s="188"/>
      <c r="T65" s="244">
        <f t="shared" si="64"/>
        <v>5</v>
      </c>
      <c r="U65" s="189">
        <v>3</v>
      </c>
      <c r="V65" s="188">
        <v>2</v>
      </c>
      <c r="W65" s="188"/>
      <c r="X65" s="244">
        <f t="shared" si="56"/>
        <v>5</v>
      </c>
      <c r="Y65" s="189">
        <v>3</v>
      </c>
      <c r="Z65" s="188">
        <v>2</v>
      </c>
      <c r="AA65" s="188"/>
      <c r="AB65" s="244">
        <f t="shared" si="57"/>
        <v>5</v>
      </c>
      <c r="AC65" s="253">
        <f t="shared" si="58"/>
        <v>15</v>
      </c>
      <c r="AD65" s="194">
        <v>46008</v>
      </c>
      <c r="AE65" s="195"/>
      <c r="AF65" s="195"/>
    </row>
    <row r="66" spans="1:32" x14ac:dyDescent="0.15">
      <c r="A66" s="197"/>
      <c r="B66" s="189"/>
      <c r="C66" s="188"/>
      <c r="D66" s="188"/>
      <c r="E66" s="244">
        <f t="shared" si="63"/>
        <v>0</v>
      </c>
      <c r="F66" s="189"/>
      <c r="G66" s="188"/>
      <c r="H66" s="188"/>
      <c r="I66" s="244">
        <f t="shared" si="60"/>
        <v>0</v>
      </c>
      <c r="J66" s="189"/>
      <c r="K66" s="188"/>
      <c r="L66" s="188"/>
      <c r="M66" s="244">
        <f t="shared" si="61"/>
        <v>0</v>
      </c>
      <c r="N66" s="253">
        <f t="shared" si="62"/>
        <v>0</v>
      </c>
      <c r="O66" s="198"/>
      <c r="P66" s="197" t="s">
        <v>1375</v>
      </c>
      <c r="Q66" s="189">
        <v>10</v>
      </c>
      <c r="R66" s="188"/>
      <c r="S66" s="188"/>
      <c r="T66" s="244">
        <f t="shared" si="64"/>
        <v>10</v>
      </c>
      <c r="U66" s="189">
        <v>10</v>
      </c>
      <c r="V66" s="188"/>
      <c r="W66" s="188"/>
      <c r="X66" s="244">
        <f t="shared" si="56"/>
        <v>10</v>
      </c>
      <c r="Y66" s="189">
        <v>10</v>
      </c>
      <c r="Z66" s="188"/>
      <c r="AA66" s="188"/>
      <c r="AB66" s="244">
        <f t="shared" si="57"/>
        <v>10</v>
      </c>
      <c r="AC66" s="253">
        <f t="shared" si="58"/>
        <v>30</v>
      </c>
      <c r="AD66" s="194">
        <v>46010</v>
      </c>
      <c r="AE66" s="195"/>
      <c r="AF66" s="195"/>
    </row>
    <row r="67" spans="1:32" x14ac:dyDescent="0.15">
      <c r="A67" s="197"/>
      <c r="B67" s="189"/>
      <c r="C67" s="188"/>
      <c r="D67" s="188"/>
      <c r="E67" s="244">
        <f t="shared" si="63"/>
        <v>0</v>
      </c>
      <c r="F67" s="189"/>
      <c r="G67" s="188"/>
      <c r="H67" s="188"/>
      <c r="I67" s="244">
        <f t="shared" si="60"/>
        <v>0</v>
      </c>
      <c r="J67" s="189"/>
      <c r="K67" s="188"/>
      <c r="L67" s="188"/>
      <c r="M67" s="244">
        <f t="shared" si="61"/>
        <v>0</v>
      </c>
      <c r="N67" s="253">
        <f t="shared" si="62"/>
        <v>0</v>
      </c>
      <c r="O67" s="198"/>
      <c r="P67" s="197" t="s">
        <v>1370</v>
      </c>
      <c r="Q67" s="189">
        <v>5</v>
      </c>
      <c r="R67" s="188">
        <v>5</v>
      </c>
      <c r="S67" s="188">
        <v>5</v>
      </c>
      <c r="T67" s="244">
        <f t="shared" si="64"/>
        <v>15</v>
      </c>
      <c r="U67" s="189">
        <v>5</v>
      </c>
      <c r="V67" s="188">
        <v>5</v>
      </c>
      <c r="W67" s="188">
        <v>5</v>
      </c>
      <c r="X67" s="244">
        <f t="shared" si="56"/>
        <v>15</v>
      </c>
      <c r="Y67" s="189">
        <v>5</v>
      </c>
      <c r="Z67" s="188">
        <v>5</v>
      </c>
      <c r="AA67" s="188">
        <v>5</v>
      </c>
      <c r="AB67" s="244">
        <f t="shared" si="57"/>
        <v>15</v>
      </c>
      <c r="AC67" s="253">
        <f t="shared" si="58"/>
        <v>45</v>
      </c>
      <c r="AD67" s="194">
        <v>46010</v>
      </c>
    </row>
    <row r="68" spans="1:32" x14ac:dyDescent="0.15">
      <c r="A68" s="197"/>
      <c r="B68" s="189"/>
      <c r="C68" s="188"/>
      <c r="D68" s="188"/>
      <c r="E68" s="244">
        <f t="shared" si="63"/>
        <v>0</v>
      </c>
      <c r="F68" s="189"/>
      <c r="G68" s="188"/>
      <c r="H68" s="188"/>
      <c r="I68" s="244">
        <f t="shared" si="60"/>
        <v>0</v>
      </c>
      <c r="J68" s="189"/>
      <c r="K68" s="188"/>
      <c r="L68" s="188"/>
      <c r="M68" s="244">
        <f t="shared" si="61"/>
        <v>0</v>
      </c>
      <c r="N68" s="253">
        <f t="shared" si="62"/>
        <v>0</v>
      </c>
      <c r="O68" s="198"/>
      <c r="P68" s="197"/>
      <c r="Q68" s="189"/>
      <c r="R68" s="188"/>
      <c r="S68" s="188"/>
      <c r="T68" s="244">
        <f t="shared" si="64"/>
        <v>0</v>
      </c>
      <c r="U68" s="189"/>
      <c r="V68" s="188"/>
      <c r="W68" s="188"/>
      <c r="X68" s="244">
        <f t="shared" si="56"/>
        <v>0</v>
      </c>
      <c r="Y68" s="189"/>
      <c r="Z68" s="188"/>
      <c r="AA68" s="188"/>
      <c r="AB68" s="244">
        <f t="shared" si="57"/>
        <v>0</v>
      </c>
      <c r="AC68" s="253">
        <f t="shared" si="58"/>
        <v>0</v>
      </c>
      <c r="AD68" s="198"/>
      <c r="AE68" s="195"/>
    </row>
    <row r="69" spans="1:32" x14ac:dyDescent="0.15">
      <c r="A69" s="197"/>
      <c r="B69" s="189"/>
      <c r="C69" s="188"/>
      <c r="D69" s="188"/>
      <c r="E69" s="244">
        <f t="shared" si="63"/>
        <v>0</v>
      </c>
      <c r="F69" s="189"/>
      <c r="G69" s="188"/>
      <c r="H69" s="188"/>
      <c r="I69" s="244">
        <f t="shared" si="60"/>
        <v>0</v>
      </c>
      <c r="J69" s="189"/>
      <c r="K69" s="188"/>
      <c r="L69" s="188"/>
      <c r="M69" s="244">
        <f t="shared" si="61"/>
        <v>0</v>
      </c>
      <c r="N69" s="253">
        <f t="shared" si="62"/>
        <v>0</v>
      </c>
      <c r="O69" s="198"/>
      <c r="P69" s="197"/>
      <c r="Q69" s="189"/>
      <c r="R69" s="188"/>
      <c r="S69" s="188"/>
      <c r="T69" s="244">
        <f t="shared" si="64"/>
        <v>0</v>
      </c>
      <c r="U69" s="189"/>
      <c r="V69" s="188"/>
      <c r="W69" s="188"/>
      <c r="X69" s="244">
        <f t="shared" si="56"/>
        <v>0</v>
      </c>
      <c r="Y69" s="189"/>
      <c r="Z69" s="188"/>
      <c r="AA69" s="188"/>
      <c r="AB69" s="244">
        <f t="shared" si="57"/>
        <v>0</v>
      </c>
      <c r="AC69" s="253">
        <f t="shared" si="58"/>
        <v>0</v>
      </c>
      <c r="AD69" s="198"/>
    </row>
    <row r="70" spans="1:32" x14ac:dyDescent="0.15">
      <c r="A70" s="197"/>
      <c r="B70" s="189"/>
      <c r="C70" s="188"/>
      <c r="D70" s="188"/>
      <c r="E70" s="244">
        <f t="shared" si="63"/>
        <v>0</v>
      </c>
      <c r="F70" s="189"/>
      <c r="G70" s="188"/>
      <c r="H70" s="188"/>
      <c r="I70" s="244">
        <f t="shared" si="60"/>
        <v>0</v>
      </c>
      <c r="J70" s="189"/>
      <c r="K70" s="188"/>
      <c r="L70" s="188"/>
      <c r="M70" s="244">
        <f t="shared" si="61"/>
        <v>0</v>
      </c>
      <c r="N70" s="253">
        <f t="shared" si="62"/>
        <v>0</v>
      </c>
      <c r="O70" s="198"/>
      <c r="P70" s="197"/>
      <c r="Q70" s="189"/>
      <c r="R70" s="188"/>
      <c r="S70" s="188"/>
      <c r="T70" s="244">
        <f t="shared" si="64"/>
        <v>0</v>
      </c>
      <c r="U70" s="189"/>
      <c r="V70" s="188"/>
      <c r="W70" s="188"/>
      <c r="X70" s="244">
        <f t="shared" si="56"/>
        <v>0</v>
      </c>
      <c r="Y70" s="189"/>
      <c r="Z70" s="188"/>
      <c r="AA70" s="188"/>
      <c r="AB70" s="244">
        <f t="shared" si="57"/>
        <v>0</v>
      </c>
      <c r="AC70" s="253">
        <f t="shared" si="58"/>
        <v>0</v>
      </c>
      <c r="AD70" s="198"/>
    </row>
    <row r="71" spans="1:32" x14ac:dyDescent="0.15">
      <c r="A71" s="197"/>
      <c r="B71" s="189"/>
      <c r="C71" s="188"/>
      <c r="D71" s="188"/>
      <c r="E71" s="244">
        <f t="shared" si="63"/>
        <v>0</v>
      </c>
      <c r="F71" s="189"/>
      <c r="G71" s="188"/>
      <c r="H71" s="188"/>
      <c r="I71" s="244">
        <f t="shared" si="60"/>
        <v>0</v>
      </c>
      <c r="J71" s="189"/>
      <c r="K71" s="188"/>
      <c r="L71" s="188"/>
      <c r="M71" s="244">
        <f t="shared" si="61"/>
        <v>0</v>
      </c>
      <c r="N71" s="253">
        <f t="shared" si="62"/>
        <v>0</v>
      </c>
      <c r="O71" s="198"/>
      <c r="P71" s="197"/>
      <c r="Q71" s="189"/>
      <c r="R71" s="188"/>
      <c r="S71" s="188"/>
      <c r="T71" s="244">
        <f t="shared" si="64"/>
        <v>0</v>
      </c>
      <c r="U71" s="189"/>
      <c r="V71" s="188"/>
      <c r="W71" s="188"/>
      <c r="X71" s="244">
        <f t="shared" si="56"/>
        <v>0</v>
      </c>
      <c r="Y71" s="189"/>
      <c r="Z71" s="188"/>
      <c r="AA71" s="188"/>
      <c r="AB71" s="244">
        <f t="shared" si="57"/>
        <v>0</v>
      </c>
      <c r="AC71" s="253">
        <f t="shared" si="58"/>
        <v>0</v>
      </c>
      <c r="AD71" s="198"/>
    </row>
    <row r="72" spans="1:32" x14ac:dyDescent="0.15">
      <c r="A72" s="197"/>
      <c r="B72" s="189"/>
      <c r="C72" s="188"/>
      <c r="D72" s="188"/>
      <c r="E72" s="244">
        <f t="shared" si="63"/>
        <v>0</v>
      </c>
      <c r="F72" s="189"/>
      <c r="G72" s="188"/>
      <c r="H72" s="188"/>
      <c r="I72" s="244">
        <f t="shared" si="60"/>
        <v>0</v>
      </c>
      <c r="J72" s="189"/>
      <c r="K72" s="188"/>
      <c r="L72" s="188"/>
      <c r="M72" s="244">
        <f t="shared" si="61"/>
        <v>0</v>
      </c>
      <c r="N72" s="253">
        <f t="shared" si="62"/>
        <v>0</v>
      </c>
      <c r="O72" s="198"/>
      <c r="P72" s="197"/>
      <c r="Q72" s="189"/>
      <c r="R72" s="188"/>
      <c r="S72" s="188"/>
      <c r="T72" s="244">
        <f t="shared" si="64"/>
        <v>0</v>
      </c>
      <c r="U72" s="189"/>
      <c r="V72" s="188"/>
      <c r="W72" s="188"/>
      <c r="X72" s="244">
        <f t="shared" si="56"/>
        <v>0</v>
      </c>
      <c r="Y72" s="189"/>
      <c r="Z72" s="188"/>
      <c r="AA72" s="188"/>
      <c r="AB72" s="244">
        <f t="shared" si="57"/>
        <v>0</v>
      </c>
      <c r="AC72" s="253">
        <f t="shared" si="58"/>
        <v>0</v>
      </c>
      <c r="AD72" s="198"/>
    </row>
    <row r="73" spans="1:32" x14ac:dyDescent="0.15">
      <c r="A73" s="197"/>
      <c r="B73" s="189"/>
      <c r="C73" s="188"/>
      <c r="D73" s="188"/>
      <c r="E73" s="244">
        <f t="shared" si="63"/>
        <v>0</v>
      </c>
      <c r="F73" s="189"/>
      <c r="G73" s="188"/>
      <c r="H73" s="188"/>
      <c r="I73" s="244">
        <f t="shared" si="60"/>
        <v>0</v>
      </c>
      <c r="J73" s="189"/>
      <c r="K73" s="188"/>
      <c r="L73" s="188"/>
      <c r="M73" s="244">
        <f t="shared" si="61"/>
        <v>0</v>
      </c>
      <c r="N73" s="253">
        <f t="shared" si="62"/>
        <v>0</v>
      </c>
      <c r="O73" s="198"/>
      <c r="P73" s="197"/>
      <c r="Q73" s="189"/>
      <c r="R73" s="188"/>
      <c r="S73" s="188"/>
      <c r="T73" s="244">
        <f t="shared" ref="T73" si="69">SUM(Q73:S73)</f>
        <v>0</v>
      </c>
      <c r="U73" s="189"/>
      <c r="V73" s="188"/>
      <c r="W73" s="188"/>
      <c r="X73" s="244">
        <f t="shared" ref="X73" si="70">SUM(U73:W73)</f>
        <v>0</v>
      </c>
      <c r="Y73" s="189"/>
      <c r="Z73" s="188"/>
      <c r="AA73" s="188"/>
      <c r="AB73" s="244">
        <f t="shared" ref="AB73" si="71">SUM(Y73:AA73)</f>
        <v>0</v>
      </c>
      <c r="AC73" s="253">
        <f t="shared" ref="AC73" si="72">T73+X73+AB73</f>
        <v>0</v>
      </c>
      <c r="AD73" s="198"/>
    </row>
    <row r="74" spans="1:32" x14ac:dyDescent="0.15">
      <c r="A74" s="197"/>
      <c r="B74" s="189"/>
      <c r="C74" s="188"/>
      <c r="D74" s="188"/>
      <c r="E74" s="244">
        <f t="shared" si="63"/>
        <v>0</v>
      </c>
      <c r="F74" s="189"/>
      <c r="G74" s="188"/>
      <c r="H74" s="188"/>
      <c r="I74" s="244">
        <f t="shared" si="60"/>
        <v>0</v>
      </c>
      <c r="J74" s="189"/>
      <c r="K74" s="188"/>
      <c r="L74" s="188"/>
      <c r="M74" s="244">
        <f t="shared" si="61"/>
        <v>0</v>
      </c>
      <c r="N74" s="253">
        <f t="shared" si="62"/>
        <v>0</v>
      </c>
      <c r="O74" s="198"/>
      <c r="P74" s="197"/>
      <c r="Q74" s="189"/>
      <c r="R74" s="188"/>
      <c r="S74" s="188"/>
      <c r="T74" s="244">
        <f t="shared" ref="T74:T75" si="73">SUM(Q74:S74)</f>
        <v>0</v>
      </c>
      <c r="U74" s="189"/>
      <c r="V74" s="188"/>
      <c r="W74" s="188"/>
      <c r="X74" s="244">
        <f t="shared" ref="X74:X75" si="74">SUM(U74:W74)</f>
        <v>0</v>
      </c>
      <c r="Y74" s="189"/>
      <c r="Z74" s="188"/>
      <c r="AA74" s="188"/>
      <c r="AB74" s="244">
        <f t="shared" ref="AB74:AB75" si="75">SUM(Y74:AA74)</f>
        <v>0</v>
      </c>
      <c r="AC74" s="253">
        <f t="shared" ref="AC74:AC75" si="76">T74+X74+AB74</f>
        <v>0</v>
      </c>
      <c r="AD74" s="198"/>
    </row>
    <row r="75" spans="1:32" x14ac:dyDescent="0.15">
      <c r="A75" s="197"/>
      <c r="B75" s="189"/>
      <c r="C75" s="188"/>
      <c r="D75" s="188"/>
      <c r="E75" s="244">
        <f t="shared" si="63"/>
        <v>0</v>
      </c>
      <c r="F75" s="189"/>
      <c r="G75" s="188"/>
      <c r="H75" s="188"/>
      <c r="I75" s="244">
        <f t="shared" si="60"/>
        <v>0</v>
      </c>
      <c r="J75" s="189"/>
      <c r="K75" s="188"/>
      <c r="L75" s="188"/>
      <c r="M75" s="244">
        <f t="shared" si="61"/>
        <v>0</v>
      </c>
      <c r="N75" s="253">
        <f t="shared" si="62"/>
        <v>0</v>
      </c>
      <c r="O75" s="198"/>
      <c r="P75" s="197" t="s">
        <v>1165</v>
      </c>
      <c r="Q75" s="189"/>
      <c r="R75" s="188"/>
      <c r="S75" s="188"/>
      <c r="T75" s="244">
        <f t="shared" si="73"/>
        <v>0</v>
      </c>
      <c r="U75" s="189"/>
      <c r="V75" s="188"/>
      <c r="W75" s="188"/>
      <c r="X75" s="244">
        <f t="shared" si="74"/>
        <v>0</v>
      </c>
      <c r="Y75" s="189"/>
      <c r="Z75" s="188"/>
      <c r="AA75" s="188"/>
      <c r="AB75" s="244">
        <f t="shared" si="75"/>
        <v>0</v>
      </c>
      <c r="AC75" s="253">
        <f t="shared" si="76"/>
        <v>0</v>
      </c>
      <c r="AD75" s="198" t="s">
        <v>1164</v>
      </c>
    </row>
    <row r="76" spans="1:32" x14ac:dyDescent="0.15">
      <c r="A76" s="197"/>
      <c r="B76" s="189"/>
      <c r="C76" s="188"/>
      <c r="D76" s="188"/>
      <c r="E76" s="244">
        <f t="shared" si="63"/>
        <v>0</v>
      </c>
      <c r="F76" s="189"/>
      <c r="G76" s="188"/>
      <c r="H76" s="188"/>
      <c r="I76" s="244">
        <f t="shared" si="60"/>
        <v>0</v>
      </c>
      <c r="J76" s="189"/>
      <c r="K76" s="188"/>
      <c r="L76" s="188"/>
      <c r="M76" s="244">
        <f t="shared" si="61"/>
        <v>0</v>
      </c>
      <c r="N76" s="253">
        <f t="shared" si="62"/>
        <v>0</v>
      </c>
      <c r="O76" s="198"/>
      <c r="P76" s="191" t="s">
        <v>1149</v>
      </c>
      <c r="Q76" s="239"/>
      <c r="R76" s="240"/>
      <c r="S76" s="240"/>
      <c r="T76" s="249">
        <f t="shared" ref="T76" si="77">SUM(Q76:S76)</f>
        <v>0</v>
      </c>
      <c r="U76" s="239"/>
      <c r="V76" s="240"/>
      <c r="W76" s="240"/>
      <c r="X76" s="249">
        <f t="shared" ref="X76" si="78">SUM(U76:W76)</f>
        <v>0</v>
      </c>
      <c r="Y76" s="239"/>
      <c r="Z76" s="240"/>
      <c r="AA76" s="240"/>
      <c r="AB76" s="249">
        <f t="shared" ref="AB76" si="79">SUM(Y76:AA76)</f>
        <v>0</v>
      </c>
      <c r="AC76" s="278">
        <f t="shared" si="58"/>
        <v>0</v>
      </c>
      <c r="AD76" s="241"/>
      <c r="AE76" s="195"/>
    </row>
    <row r="77" spans="1:32" x14ac:dyDescent="0.15">
      <c r="A77" s="197"/>
      <c r="B77" s="189"/>
      <c r="C77" s="188"/>
      <c r="D77" s="188"/>
      <c r="E77" s="244">
        <f t="shared" si="63"/>
        <v>0</v>
      </c>
      <c r="F77" s="189"/>
      <c r="G77" s="188"/>
      <c r="H77" s="188"/>
      <c r="I77" s="244">
        <f t="shared" si="60"/>
        <v>0</v>
      </c>
      <c r="J77" s="189"/>
      <c r="K77" s="188"/>
      <c r="L77" s="188"/>
      <c r="M77" s="244">
        <f t="shared" si="61"/>
        <v>0</v>
      </c>
      <c r="N77" s="253">
        <f t="shared" si="62"/>
        <v>0</v>
      </c>
      <c r="O77" s="198"/>
      <c r="P77" s="197" t="s">
        <v>405</v>
      </c>
      <c r="Q77" s="189"/>
      <c r="R77" s="188"/>
      <c r="S77" s="188"/>
      <c r="T77" s="244">
        <f t="shared" si="64"/>
        <v>0</v>
      </c>
      <c r="U77" s="189"/>
      <c r="V77" s="188"/>
      <c r="W77" s="188"/>
      <c r="X77" s="244">
        <f t="shared" si="56"/>
        <v>0</v>
      </c>
      <c r="Y77" s="189"/>
      <c r="Z77" s="188"/>
      <c r="AA77" s="188"/>
      <c r="AB77" s="244">
        <f t="shared" si="57"/>
        <v>0</v>
      </c>
      <c r="AC77" s="253">
        <f t="shared" si="58"/>
        <v>0</v>
      </c>
      <c r="AD77" s="198" t="s">
        <v>16</v>
      </c>
      <c r="AE77" s="195"/>
    </row>
    <row r="78" spans="1:32" x14ac:dyDescent="0.15">
      <c r="A78" s="197"/>
      <c r="B78" s="189"/>
      <c r="C78" s="188"/>
      <c r="D78" s="188"/>
      <c r="E78" s="244">
        <f t="shared" si="63"/>
        <v>0</v>
      </c>
      <c r="F78" s="189"/>
      <c r="G78" s="188"/>
      <c r="H78" s="188"/>
      <c r="I78" s="244">
        <f t="shared" si="60"/>
        <v>0</v>
      </c>
      <c r="J78" s="189"/>
      <c r="K78" s="188"/>
      <c r="L78" s="188"/>
      <c r="M78" s="244">
        <f t="shared" si="61"/>
        <v>0</v>
      </c>
      <c r="N78" s="253">
        <f t="shared" si="62"/>
        <v>0</v>
      </c>
      <c r="O78" s="198"/>
      <c r="P78" s="274" t="s">
        <v>1099</v>
      </c>
      <c r="Q78" s="239"/>
      <c r="R78" s="240"/>
      <c r="S78" s="240"/>
      <c r="T78" s="249">
        <f t="shared" si="64"/>
        <v>0</v>
      </c>
      <c r="U78" s="239"/>
      <c r="V78" s="240"/>
      <c r="W78" s="240"/>
      <c r="X78" s="249">
        <f t="shared" si="56"/>
        <v>0</v>
      </c>
      <c r="Y78" s="239"/>
      <c r="Z78" s="240"/>
      <c r="AA78" s="240"/>
      <c r="AB78" s="249">
        <f t="shared" si="57"/>
        <v>0</v>
      </c>
      <c r="AC78" s="278">
        <f t="shared" si="58"/>
        <v>0</v>
      </c>
      <c r="AD78" s="198"/>
      <c r="AE78" s="195"/>
    </row>
    <row r="79" spans="1:32" x14ac:dyDescent="0.15">
      <c r="A79" s="197"/>
      <c r="B79" s="189"/>
      <c r="C79" s="188"/>
      <c r="D79" s="188"/>
      <c r="E79" s="244">
        <f t="shared" si="63"/>
        <v>0</v>
      </c>
      <c r="F79" s="189"/>
      <c r="G79" s="188"/>
      <c r="H79" s="188"/>
      <c r="I79" s="244">
        <f t="shared" si="60"/>
        <v>0</v>
      </c>
      <c r="J79" s="189"/>
      <c r="K79" s="188"/>
      <c r="L79" s="188"/>
      <c r="M79" s="244">
        <f t="shared" si="61"/>
        <v>0</v>
      </c>
      <c r="N79" s="253">
        <f t="shared" si="62"/>
        <v>0</v>
      </c>
      <c r="O79" s="198"/>
      <c r="P79" s="193" t="s">
        <v>1098</v>
      </c>
      <c r="Q79" s="189"/>
      <c r="R79" s="188"/>
      <c r="S79" s="188"/>
      <c r="T79" s="244">
        <f t="shared" si="64"/>
        <v>0</v>
      </c>
      <c r="U79" s="189"/>
      <c r="V79" s="188"/>
      <c r="W79" s="188"/>
      <c r="X79" s="244">
        <f t="shared" si="56"/>
        <v>0</v>
      </c>
      <c r="Y79" s="189"/>
      <c r="Z79" s="188"/>
      <c r="AA79" s="188"/>
      <c r="AB79" s="244">
        <f t="shared" si="57"/>
        <v>0</v>
      </c>
      <c r="AC79" s="253">
        <f t="shared" si="58"/>
        <v>0</v>
      </c>
      <c r="AD79" s="198" t="s">
        <v>1094</v>
      </c>
      <c r="AE79" s="195"/>
    </row>
    <row r="80" spans="1:32" x14ac:dyDescent="0.15">
      <c r="A80" s="197"/>
      <c r="B80" s="189"/>
      <c r="C80" s="188"/>
      <c r="D80" s="188"/>
      <c r="E80" s="244">
        <f t="shared" si="63"/>
        <v>0</v>
      </c>
      <c r="F80" s="189"/>
      <c r="G80" s="188"/>
      <c r="H80" s="188"/>
      <c r="I80" s="244">
        <f t="shared" si="60"/>
        <v>0</v>
      </c>
      <c r="J80" s="189"/>
      <c r="K80" s="188"/>
      <c r="L80" s="188"/>
      <c r="M80" s="244">
        <f t="shared" si="61"/>
        <v>0</v>
      </c>
      <c r="N80" s="253">
        <f t="shared" si="62"/>
        <v>0</v>
      </c>
      <c r="O80" s="198"/>
      <c r="P80" s="191" t="s">
        <v>938</v>
      </c>
      <c r="Q80" s="239"/>
      <c r="R80" s="240"/>
      <c r="S80" s="240"/>
      <c r="T80" s="249">
        <f t="shared" si="64"/>
        <v>0</v>
      </c>
      <c r="U80" s="239"/>
      <c r="V80" s="240"/>
      <c r="W80" s="240"/>
      <c r="X80" s="249">
        <f t="shared" si="56"/>
        <v>0</v>
      </c>
      <c r="Y80" s="239"/>
      <c r="Z80" s="240"/>
      <c r="AA80" s="240"/>
      <c r="AB80" s="249">
        <f t="shared" si="57"/>
        <v>0</v>
      </c>
      <c r="AC80" s="278">
        <f t="shared" si="58"/>
        <v>0</v>
      </c>
      <c r="AD80" s="241"/>
    </row>
    <row r="81" spans="1:30" x14ac:dyDescent="0.15">
      <c r="A81" s="197"/>
      <c r="B81" s="189"/>
      <c r="C81" s="188"/>
      <c r="D81" s="188"/>
      <c r="E81" s="244">
        <f t="shared" si="63"/>
        <v>0</v>
      </c>
      <c r="F81" s="189"/>
      <c r="G81" s="188"/>
      <c r="H81" s="188"/>
      <c r="I81" s="244">
        <f t="shared" si="60"/>
        <v>0</v>
      </c>
      <c r="J81" s="189"/>
      <c r="K81" s="188"/>
      <c r="L81" s="188"/>
      <c r="M81" s="244">
        <f t="shared" si="61"/>
        <v>0</v>
      </c>
      <c r="N81" s="253">
        <f t="shared" si="62"/>
        <v>0</v>
      </c>
      <c r="O81" s="198"/>
      <c r="P81" s="197" t="s">
        <v>1148</v>
      </c>
      <c r="Q81" s="189"/>
      <c r="R81" s="188"/>
      <c r="S81" s="188"/>
      <c r="T81" s="244">
        <f t="shared" si="64"/>
        <v>0</v>
      </c>
      <c r="U81" s="189"/>
      <c r="V81" s="188"/>
      <c r="W81" s="188"/>
      <c r="X81" s="244">
        <f t="shared" si="56"/>
        <v>0</v>
      </c>
      <c r="Y81" s="189"/>
      <c r="Z81" s="188"/>
      <c r="AA81" s="188"/>
      <c r="AB81" s="244">
        <f t="shared" si="57"/>
        <v>0</v>
      </c>
      <c r="AC81" s="253">
        <f t="shared" si="58"/>
        <v>0</v>
      </c>
      <c r="AD81" s="198" t="s">
        <v>951</v>
      </c>
    </row>
    <row r="82" spans="1:30" x14ac:dyDescent="0.15">
      <c r="A82" s="197"/>
      <c r="B82" s="189"/>
      <c r="C82" s="188"/>
      <c r="D82" s="188"/>
      <c r="E82" s="244">
        <f t="shared" si="63"/>
        <v>0</v>
      </c>
      <c r="F82" s="189"/>
      <c r="G82" s="188"/>
      <c r="H82" s="188"/>
      <c r="I82" s="244">
        <f t="shared" si="60"/>
        <v>0</v>
      </c>
      <c r="J82" s="189"/>
      <c r="K82" s="188"/>
      <c r="L82" s="188"/>
      <c r="M82" s="244">
        <f t="shared" si="61"/>
        <v>0</v>
      </c>
      <c r="N82" s="253">
        <f t="shared" si="62"/>
        <v>0</v>
      </c>
      <c r="O82" s="198"/>
      <c r="P82" s="191" t="s">
        <v>940</v>
      </c>
      <c r="Q82" s="239"/>
      <c r="R82" s="240"/>
      <c r="S82" s="240"/>
      <c r="T82" s="249">
        <f t="shared" si="64"/>
        <v>0</v>
      </c>
      <c r="U82" s="239"/>
      <c r="V82" s="240"/>
      <c r="W82" s="240"/>
      <c r="X82" s="249">
        <f t="shared" si="56"/>
        <v>0</v>
      </c>
      <c r="Y82" s="239"/>
      <c r="Z82" s="240"/>
      <c r="AA82" s="240"/>
      <c r="AB82" s="249">
        <f t="shared" si="57"/>
        <v>0</v>
      </c>
      <c r="AC82" s="278">
        <f t="shared" si="58"/>
        <v>0</v>
      </c>
      <c r="AD82" s="241"/>
    </row>
    <row r="83" spans="1:30" ht="14.25" thickBot="1" x14ac:dyDescent="0.2">
      <c r="A83" s="197"/>
      <c r="B83" s="189"/>
      <c r="C83" s="188"/>
      <c r="D83" s="188"/>
      <c r="E83" s="244">
        <f t="shared" si="63"/>
        <v>0</v>
      </c>
      <c r="F83" s="189"/>
      <c r="G83" s="188"/>
      <c r="H83" s="188"/>
      <c r="I83" s="244">
        <f t="shared" si="60"/>
        <v>0</v>
      </c>
      <c r="J83" s="189"/>
      <c r="K83" s="188"/>
      <c r="L83" s="188"/>
      <c r="M83" s="244">
        <f t="shared" si="61"/>
        <v>0</v>
      </c>
      <c r="N83" s="253">
        <f t="shared" si="62"/>
        <v>0</v>
      </c>
      <c r="O83" s="198"/>
      <c r="P83" s="197" t="s">
        <v>1143</v>
      </c>
      <c r="Q83" s="189"/>
      <c r="R83" s="188"/>
      <c r="S83" s="188"/>
      <c r="T83" s="244">
        <f t="shared" si="64"/>
        <v>0</v>
      </c>
      <c r="U83" s="189"/>
      <c r="V83" s="188"/>
      <c r="W83" s="188"/>
      <c r="X83" s="244">
        <f t="shared" si="56"/>
        <v>0</v>
      </c>
      <c r="Y83" s="189"/>
      <c r="Z83" s="188"/>
      <c r="AA83" s="188"/>
      <c r="AB83" s="244">
        <f t="shared" si="57"/>
        <v>0</v>
      </c>
      <c r="AC83" s="253">
        <f t="shared" si="58"/>
        <v>0</v>
      </c>
      <c r="AD83" s="198" t="s">
        <v>952</v>
      </c>
    </row>
    <row r="84" spans="1:30" ht="14.25" thickBot="1" x14ac:dyDescent="0.2">
      <c r="A84" s="221" t="s">
        <v>5</v>
      </c>
      <c r="B84" s="222">
        <f>SUM(B60:B83)</f>
        <v>0</v>
      </c>
      <c r="C84" s="222">
        <f>SUM(C60:C83)</f>
        <v>0</v>
      </c>
      <c r="D84" s="222">
        <f>SUM(D60:D83)</f>
        <v>0</v>
      </c>
      <c r="E84" s="251">
        <f t="shared" si="59"/>
        <v>0</v>
      </c>
      <c r="F84" s="222">
        <f>SUM(F60:F83)</f>
        <v>0</v>
      </c>
      <c r="G84" s="222">
        <f>SUM(G60:G83)</f>
        <v>0</v>
      </c>
      <c r="H84" s="222">
        <f>SUM(H60:H83)</f>
        <v>0</v>
      </c>
      <c r="I84" s="251">
        <f t="shared" si="60"/>
        <v>0</v>
      </c>
      <c r="J84" s="222">
        <f>SUM(J60:J83)</f>
        <v>0</v>
      </c>
      <c r="K84" s="222">
        <f>SUM(K60:K83)</f>
        <v>0</v>
      </c>
      <c r="L84" s="222">
        <f>SUM(L60:L83)</f>
        <v>0</v>
      </c>
      <c r="M84" s="267">
        <f t="shared" si="61"/>
        <v>0</v>
      </c>
      <c r="N84" s="272">
        <f t="shared" si="62"/>
        <v>0</v>
      </c>
      <c r="O84" s="229"/>
      <c r="P84" s="184" t="s">
        <v>5</v>
      </c>
      <c r="Q84" s="222">
        <f>SUM(Q60:Q83)</f>
        <v>43</v>
      </c>
      <c r="R84" s="222">
        <f>SUM(R60:R83)</f>
        <v>17</v>
      </c>
      <c r="S84" s="222">
        <f>SUM(S60:S83)</f>
        <v>25</v>
      </c>
      <c r="T84" s="251">
        <f t="shared" si="55"/>
        <v>85</v>
      </c>
      <c r="U84" s="222">
        <f>SUM(U60:U83)</f>
        <v>43</v>
      </c>
      <c r="V84" s="222">
        <f>SUM(V60:V83)</f>
        <v>17</v>
      </c>
      <c r="W84" s="222">
        <f>SUM(W60:W83)</f>
        <v>25</v>
      </c>
      <c r="X84" s="251">
        <f t="shared" si="56"/>
        <v>85</v>
      </c>
      <c r="Y84" s="222">
        <f>SUM(Y60:Y83)</f>
        <v>43</v>
      </c>
      <c r="Z84" s="222">
        <f>SUM(Z60:Z83)</f>
        <v>17</v>
      </c>
      <c r="AA84" s="222">
        <f>SUM(AA60:AA83)</f>
        <v>25</v>
      </c>
      <c r="AB84" s="251">
        <f t="shared" si="57"/>
        <v>85</v>
      </c>
      <c r="AC84" s="256">
        <f t="shared" si="58"/>
        <v>255</v>
      </c>
    </row>
    <row r="85" spans="1:30" ht="14.25" thickBot="1" x14ac:dyDescent="0.2">
      <c r="A85" s="223" t="s">
        <v>6</v>
      </c>
      <c r="B85" s="209">
        <f>B59-B84</f>
        <v>4</v>
      </c>
      <c r="C85" s="209">
        <f t="shared" ref="C85:E85" si="80">C59-C84</f>
        <v>7</v>
      </c>
      <c r="D85" s="209">
        <f t="shared" si="80"/>
        <v>9</v>
      </c>
      <c r="E85" s="246">
        <f t="shared" si="80"/>
        <v>20</v>
      </c>
      <c r="F85" s="209">
        <f>F59-F84</f>
        <v>4</v>
      </c>
      <c r="G85" s="209">
        <f t="shared" ref="G85:I85" si="81">G59-G84</f>
        <v>8</v>
      </c>
      <c r="H85" s="209">
        <f t="shared" si="81"/>
        <v>8</v>
      </c>
      <c r="I85" s="208">
        <f t="shared" si="81"/>
        <v>20</v>
      </c>
      <c r="J85" s="209">
        <f>J59-J84</f>
        <v>5</v>
      </c>
      <c r="K85" s="209">
        <f t="shared" ref="K85:M85" si="82">K59-K84</f>
        <v>7</v>
      </c>
      <c r="L85" s="209">
        <f t="shared" si="82"/>
        <v>8</v>
      </c>
      <c r="M85" s="266">
        <f t="shared" si="82"/>
        <v>20</v>
      </c>
      <c r="N85" s="271">
        <f t="shared" si="62"/>
        <v>60</v>
      </c>
      <c r="O85" s="179"/>
      <c r="P85" s="224" t="s">
        <v>6</v>
      </c>
      <c r="Q85" s="209">
        <f>Q59-Q84</f>
        <v>368</v>
      </c>
      <c r="R85" s="209">
        <f t="shared" ref="R85:T85" si="83">R59-R84</f>
        <v>246</v>
      </c>
      <c r="S85" s="209">
        <f t="shared" si="83"/>
        <v>206</v>
      </c>
      <c r="T85" s="246">
        <f t="shared" si="83"/>
        <v>820</v>
      </c>
      <c r="U85" s="209">
        <f>U59-U84</f>
        <v>371</v>
      </c>
      <c r="V85" s="209">
        <f t="shared" ref="V85:X85" si="84">V59-V84</f>
        <v>248</v>
      </c>
      <c r="W85" s="209">
        <f t="shared" si="84"/>
        <v>209</v>
      </c>
      <c r="X85" s="246">
        <f t="shared" si="84"/>
        <v>828</v>
      </c>
      <c r="Y85" s="209">
        <f>Y59-Y84</f>
        <v>371</v>
      </c>
      <c r="Z85" s="209">
        <f t="shared" ref="Z85:AB85" si="85">Z59-Z84</f>
        <v>248</v>
      </c>
      <c r="AA85" s="209">
        <f t="shared" si="85"/>
        <v>206</v>
      </c>
      <c r="AB85" s="246">
        <f t="shared" si="85"/>
        <v>825</v>
      </c>
      <c r="AC85" s="256">
        <f t="shared" si="58"/>
        <v>2473</v>
      </c>
    </row>
    <row r="87" spans="1:30" ht="21" customHeight="1" x14ac:dyDescent="0.15">
      <c r="Q87" s="231"/>
      <c r="R87" s="231"/>
      <c r="S87" s="231"/>
      <c r="T87" s="231"/>
    </row>
    <row r="88" spans="1:30" ht="19.5" thickBot="1" x14ac:dyDescent="0.25">
      <c r="A88" s="177" t="s">
        <v>1183</v>
      </c>
      <c r="B88" s="178"/>
      <c r="C88" s="178"/>
      <c r="D88" s="178"/>
      <c r="E88" s="178"/>
      <c r="F88" s="179"/>
      <c r="G88" s="179"/>
      <c r="H88" s="179"/>
      <c r="I88" s="179"/>
      <c r="J88" s="179"/>
      <c r="K88" s="179"/>
      <c r="L88" s="179"/>
      <c r="M88" s="179"/>
      <c r="N88" s="180"/>
      <c r="O88" s="179"/>
      <c r="P88" s="177" t="s">
        <v>1184</v>
      </c>
      <c r="Q88" s="178"/>
      <c r="R88" s="178"/>
      <c r="S88" s="178"/>
      <c r="T88" s="178"/>
      <c r="Y88" s="179"/>
      <c r="Z88" s="181"/>
      <c r="AA88" s="179"/>
      <c r="AB88" s="179"/>
    </row>
    <row r="89" spans="1:30" ht="14.25" thickBot="1" x14ac:dyDescent="0.2">
      <c r="A89" s="182" t="s">
        <v>0</v>
      </c>
      <c r="B89" s="350" t="s">
        <v>11</v>
      </c>
      <c r="C89" s="350"/>
      <c r="D89" s="350"/>
      <c r="E89" s="351"/>
      <c r="F89" s="349" t="s">
        <v>9</v>
      </c>
      <c r="G89" s="350"/>
      <c r="H89" s="350"/>
      <c r="I89" s="351"/>
      <c r="J89" s="349" t="s">
        <v>12</v>
      </c>
      <c r="K89" s="350"/>
      <c r="L89" s="350"/>
      <c r="M89" s="350"/>
      <c r="N89" s="352" t="s">
        <v>13</v>
      </c>
      <c r="O89" s="179"/>
      <c r="P89" s="183" t="s">
        <v>0</v>
      </c>
      <c r="Q89" s="350" t="s">
        <v>11</v>
      </c>
      <c r="R89" s="350"/>
      <c r="S89" s="350"/>
      <c r="T89" s="351"/>
      <c r="U89" s="349" t="s">
        <v>9</v>
      </c>
      <c r="V89" s="350"/>
      <c r="W89" s="350"/>
      <c r="X89" s="351"/>
      <c r="Y89" s="349" t="s">
        <v>12</v>
      </c>
      <c r="Z89" s="350"/>
      <c r="AA89" s="350"/>
      <c r="AB89" s="350"/>
      <c r="AC89" s="354" t="s">
        <v>13</v>
      </c>
    </row>
    <row r="90" spans="1:30" ht="14.25" thickBot="1" x14ac:dyDescent="0.2">
      <c r="A90" s="182" t="s">
        <v>1</v>
      </c>
      <c r="B90" s="184" t="s">
        <v>922</v>
      </c>
      <c r="C90" s="183" t="s">
        <v>923</v>
      </c>
      <c r="D90" s="183" t="s">
        <v>924</v>
      </c>
      <c r="E90" s="242" t="s">
        <v>2</v>
      </c>
      <c r="F90" s="184" t="s">
        <v>922</v>
      </c>
      <c r="G90" s="183" t="s">
        <v>923</v>
      </c>
      <c r="H90" s="183" t="s">
        <v>924</v>
      </c>
      <c r="I90" s="242" t="s">
        <v>2</v>
      </c>
      <c r="J90" s="184" t="s">
        <v>922</v>
      </c>
      <c r="K90" s="183" t="s">
        <v>923</v>
      </c>
      <c r="L90" s="183" t="s">
        <v>924</v>
      </c>
      <c r="M90" s="252" t="s">
        <v>2</v>
      </c>
      <c r="N90" s="353"/>
      <c r="O90" s="179"/>
      <c r="P90" s="183" t="s">
        <v>1</v>
      </c>
      <c r="Q90" s="184" t="s">
        <v>922</v>
      </c>
      <c r="R90" s="183" t="s">
        <v>923</v>
      </c>
      <c r="S90" s="183" t="s">
        <v>924</v>
      </c>
      <c r="T90" s="242" t="s">
        <v>2</v>
      </c>
      <c r="U90" s="184" t="s">
        <v>922</v>
      </c>
      <c r="V90" s="183" t="s">
        <v>923</v>
      </c>
      <c r="W90" s="183" t="s">
        <v>924</v>
      </c>
      <c r="X90" s="242" t="s">
        <v>2</v>
      </c>
      <c r="Y90" s="184" t="s">
        <v>922</v>
      </c>
      <c r="Z90" s="183" t="s">
        <v>923</v>
      </c>
      <c r="AA90" s="183" t="s">
        <v>924</v>
      </c>
      <c r="AB90" s="252" t="s">
        <v>2</v>
      </c>
      <c r="AC90" s="355"/>
    </row>
    <row r="91" spans="1:30" x14ac:dyDescent="0.15">
      <c r="A91" s="225" t="s">
        <v>6</v>
      </c>
      <c r="B91" s="226">
        <f>B85</f>
        <v>4</v>
      </c>
      <c r="C91" s="226">
        <f t="shared" ref="C91:E91" si="86">C85</f>
        <v>7</v>
      </c>
      <c r="D91" s="226">
        <f t="shared" si="86"/>
        <v>9</v>
      </c>
      <c r="E91" s="260">
        <f t="shared" si="86"/>
        <v>20</v>
      </c>
      <c r="F91" s="226">
        <f>F85</f>
        <v>4</v>
      </c>
      <c r="G91" s="226">
        <f t="shared" ref="G91:I91" si="87">G85</f>
        <v>8</v>
      </c>
      <c r="H91" s="226">
        <f t="shared" si="87"/>
        <v>8</v>
      </c>
      <c r="I91" s="260">
        <f t="shared" si="87"/>
        <v>20</v>
      </c>
      <c r="J91" s="226">
        <f>J85</f>
        <v>5</v>
      </c>
      <c r="K91" s="226">
        <f t="shared" ref="K91:M91" si="88">K85</f>
        <v>7</v>
      </c>
      <c r="L91" s="226">
        <f t="shared" si="88"/>
        <v>8</v>
      </c>
      <c r="M91" s="260">
        <f t="shared" si="88"/>
        <v>20</v>
      </c>
      <c r="N91" s="273">
        <f>E91+I91+M91</f>
        <v>60</v>
      </c>
      <c r="O91" s="190"/>
      <c r="P91" s="215" t="s">
        <v>6</v>
      </c>
      <c r="Q91" s="226">
        <f>Q85</f>
        <v>368</v>
      </c>
      <c r="R91" s="226">
        <f t="shared" ref="R91:T91" si="89">R85</f>
        <v>246</v>
      </c>
      <c r="S91" s="226">
        <f t="shared" si="89"/>
        <v>206</v>
      </c>
      <c r="T91" s="260">
        <f t="shared" si="89"/>
        <v>820</v>
      </c>
      <c r="U91" s="226">
        <f>U85</f>
        <v>371</v>
      </c>
      <c r="V91" s="226">
        <f t="shared" ref="V91:X91" si="90">V85</f>
        <v>248</v>
      </c>
      <c r="W91" s="226">
        <f t="shared" si="90"/>
        <v>209</v>
      </c>
      <c r="X91" s="260">
        <f t="shared" si="90"/>
        <v>828</v>
      </c>
      <c r="Y91" s="226">
        <f>Y85</f>
        <v>371</v>
      </c>
      <c r="Z91" s="226">
        <f t="shared" ref="Z91:AB91" si="91">Z85</f>
        <v>248</v>
      </c>
      <c r="AA91" s="226">
        <f t="shared" si="91"/>
        <v>206</v>
      </c>
      <c r="AB91" s="260">
        <f t="shared" si="91"/>
        <v>825</v>
      </c>
      <c r="AC91" s="258">
        <f>T91+X91+AB91</f>
        <v>2473</v>
      </c>
    </row>
    <row r="92" spans="1:30" x14ac:dyDescent="0.15">
      <c r="A92" s="191" t="s">
        <v>281</v>
      </c>
      <c r="B92" s="199">
        <v>1</v>
      </c>
      <c r="C92" s="197"/>
      <c r="D92" s="197"/>
      <c r="E92" s="243">
        <f t="shared" ref="E92:E101" si="92">SUM(B92:D92)</f>
        <v>1</v>
      </c>
      <c r="F92" s="199">
        <v>1</v>
      </c>
      <c r="G92" s="197"/>
      <c r="H92" s="197"/>
      <c r="I92" s="243">
        <f t="shared" ref="I92:I101" si="93">SUM(F92:H92)</f>
        <v>1</v>
      </c>
      <c r="J92" s="186">
        <v>1</v>
      </c>
      <c r="K92" s="187"/>
      <c r="L92" s="187"/>
      <c r="M92" s="243">
        <f t="shared" ref="M92:M101" si="94">SUM(J92:L92)</f>
        <v>1</v>
      </c>
      <c r="N92" s="253">
        <f t="shared" ref="N92:N101" si="95">E92+I92+M92</f>
        <v>3</v>
      </c>
      <c r="O92" s="194">
        <v>46030</v>
      </c>
      <c r="P92" s="191" t="s">
        <v>3</v>
      </c>
      <c r="Q92" s="199"/>
      <c r="R92" s="197"/>
      <c r="S92" s="197"/>
      <c r="T92" s="243">
        <f t="shared" ref="T92:T127" si="96">SUM(Q92:S92)</f>
        <v>0</v>
      </c>
      <c r="U92" s="199"/>
      <c r="V92" s="197"/>
      <c r="W92" s="197"/>
      <c r="X92" s="243">
        <f t="shared" ref="X92:X127" si="97">SUM(U92:W92)</f>
        <v>0</v>
      </c>
      <c r="Y92" s="186"/>
      <c r="Z92" s="187"/>
      <c r="AA92" s="187"/>
      <c r="AB92" s="243">
        <f t="shared" ref="AB92:AB127" si="98">SUM(Y92:AA92)</f>
        <v>0</v>
      </c>
      <c r="AC92" s="253">
        <f t="shared" ref="AC92:AC128" si="99">T92+X92+AB92</f>
        <v>0</v>
      </c>
      <c r="AD92" s="198"/>
    </row>
    <row r="93" spans="1:30" x14ac:dyDescent="0.15">
      <c r="A93" s="191" t="s">
        <v>3</v>
      </c>
      <c r="B93" s="186">
        <v>3</v>
      </c>
      <c r="C93" s="187"/>
      <c r="D93" s="187"/>
      <c r="E93" s="244">
        <f t="shared" si="92"/>
        <v>3</v>
      </c>
      <c r="F93" s="186">
        <v>3</v>
      </c>
      <c r="G93" s="187"/>
      <c r="H93" s="187"/>
      <c r="I93" s="244">
        <f t="shared" si="93"/>
        <v>3</v>
      </c>
      <c r="J93" s="196">
        <v>3</v>
      </c>
      <c r="K93" s="197"/>
      <c r="L93" s="197"/>
      <c r="M93" s="243">
        <f t="shared" si="94"/>
        <v>3</v>
      </c>
      <c r="N93" s="253">
        <f t="shared" si="95"/>
        <v>9</v>
      </c>
      <c r="O93" s="194">
        <v>46038</v>
      </c>
      <c r="P93" s="191" t="s">
        <v>3</v>
      </c>
      <c r="Q93" s="186"/>
      <c r="R93" s="187"/>
      <c r="S93" s="187"/>
      <c r="T93" s="244">
        <f t="shared" si="96"/>
        <v>0</v>
      </c>
      <c r="U93" s="186"/>
      <c r="V93" s="187"/>
      <c r="W93" s="187"/>
      <c r="X93" s="244">
        <f t="shared" si="97"/>
        <v>0</v>
      </c>
      <c r="Y93" s="196"/>
      <c r="Z93" s="197"/>
      <c r="AA93" s="197"/>
      <c r="AB93" s="243">
        <f t="shared" si="98"/>
        <v>0</v>
      </c>
      <c r="AC93" s="253">
        <f t="shared" si="99"/>
        <v>0</v>
      </c>
      <c r="AD93" s="198"/>
    </row>
    <row r="94" spans="1:30" x14ac:dyDescent="0.15">
      <c r="A94" s="191" t="s">
        <v>3</v>
      </c>
      <c r="B94" s="199"/>
      <c r="C94" s="197"/>
      <c r="D94" s="197"/>
      <c r="E94" s="243">
        <f t="shared" si="92"/>
        <v>0</v>
      </c>
      <c r="F94" s="199"/>
      <c r="G94" s="197"/>
      <c r="H94" s="197"/>
      <c r="I94" s="243">
        <f t="shared" si="93"/>
        <v>0</v>
      </c>
      <c r="J94" s="196"/>
      <c r="K94" s="197"/>
      <c r="L94" s="197"/>
      <c r="M94" s="243">
        <f t="shared" si="94"/>
        <v>0</v>
      </c>
      <c r="N94" s="253">
        <f t="shared" si="95"/>
        <v>0</v>
      </c>
      <c r="O94" s="198"/>
      <c r="P94" s="191" t="s">
        <v>3</v>
      </c>
      <c r="Q94" s="199"/>
      <c r="R94" s="197"/>
      <c r="S94" s="197"/>
      <c r="T94" s="243">
        <f t="shared" si="96"/>
        <v>0</v>
      </c>
      <c r="U94" s="199"/>
      <c r="V94" s="197"/>
      <c r="W94" s="197"/>
      <c r="X94" s="243">
        <f t="shared" si="97"/>
        <v>0</v>
      </c>
      <c r="Y94" s="196"/>
      <c r="Z94" s="197"/>
      <c r="AA94" s="197"/>
      <c r="AB94" s="243">
        <f t="shared" si="98"/>
        <v>0</v>
      </c>
      <c r="AC94" s="253">
        <f t="shared" si="99"/>
        <v>0</v>
      </c>
      <c r="AD94" s="198"/>
    </row>
    <row r="95" spans="1:30" x14ac:dyDescent="0.15">
      <c r="A95" s="191" t="s">
        <v>3</v>
      </c>
      <c r="B95" s="199"/>
      <c r="C95" s="197"/>
      <c r="D95" s="197"/>
      <c r="E95" s="243">
        <f t="shared" si="92"/>
        <v>0</v>
      </c>
      <c r="F95" s="199"/>
      <c r="G95" s="197"/>
      <c r="H95" s="197"/>
      <c r="I95" s="243">
        <f t="shared" si="93"/>
        <v>0</v>
      </c>
      <c r="J95" s="196"/>
      <c r="K95" s="197"/>
      <c r="L95" s="197"/>
      <c r="M95" s="243">
        <f t="shared" si="94"/>
        <v>0</v>
      </c>
      <c r="N95" s="253">
        <f t="shared" si="95"/>
        <v>0</v>
      </c>
      <c r="O95" s="198"/>
      <c r="P95" s="191" t="s">
        <v>3</v>
      </c>
      <c r="Q95" s="199"/>
      <c r="R95" s="197"/>
      <c r="S95" s="197"/>
      <c r="T95" s="243">
        <f t="shared" si="96"/>
        <v>0</v>
      </c>
      <c r="U95" s="199"/>
      <c r="V95" s="197"/>
      <c r="W95" s="197"/>
      <c r="X95" s="243">
        <f t="shared" si="97"/>
        <v>0</v>
      </c>
      <c r="Y95" s="196"/>
      <c r="Z95" s="197"/>
      <c r="AA95" s="197"/>
      <c r="AB95" s="243">
        <f t="shared" si="98"/>
        <v>0</v>
      </c>
      <c r="AC95" s="253">
        <f t="shared" si="99"/>
        <v>0</v>
      </c>
      <c r="AD95" s="198"/>
    </row>
    <row r="96" spans="1:30" x14ac:dyDescent="0.15">
      <c r="A96" s="191" t="s">
        <v>3</v>
      </c>
      <c r="B96" s="199"/>
      <c r="C96" s="197"/>
      <c r="D96" s="197"/>
      <c r="E96" s="243">
        <f t="shared" si="92"/>
        <v>0</v>
      </c>
      <c r="F96" s="199"/>
      <c r="G96" s="197"/>
      <c r="H96" s="197"/>
      <c r="I96" s="243">
        <f t="shared" si="93"/>
        <v>0</v>
      </c>
      <c r="J96" s="196"/>
      <c r="K96" s="197"/>
      <c r="L96" s="197"/>
      <c r="M96" s="243">
        <f t="shared" si="94"/>
        <v>0</v>
      </c>
      <c r="N96" s="253">
        <f t="shared" si="95"/>
        <v>0</v>
      </c>
      <c r="O96" s="198"/>
      <c r="P96" s="191" t="s">
        <v>3</v>
      </c>
      <c r="Q96" s="199"/>
      <c r="R96" s="197"/>
      <c r="S96" s="197"/>
      <c r="T96" s="243">
        <f t="shared" si="96"/>
        <v>0</v>
      </c>
      <c r="U96" s="199"/>
      <c r="V96" s="197"/>
      <c r="W96" s="197"/>
      <c r="X96" s="243">
        <f t="shared" si="97"/>
        <v>0</v>
      </c>
      <c r="Y96" s="196"/>
      <c r="Z96" s="197"/>
      <c r="AA96" s="197"/>
      <c r="AB96" s="243">
        <f t="shared" si="98"/>
        <v>0</v>
      </c>
      <c r="AC96" s="253">
        <f t="shared" si="99"/>
        <v>0</v>
      </c>
      <c r="AD96" s="198"/>
    </row>
    <row r="97" spans="1:31" x14ac:dyDescent="0.15">
      <c r="A97" s="191" t="s">
        <v>3</v>
      </c>
      <c r="B97" s="199"/>
      <c r="C97" s="197"/>
      <c r="D97" s="197"/>
      <c r="E97" s="243">
        <f t="shared" si="92"/>
        <v>0</v>
      </c>
      <c r="F97" s="199"/>
      <c r="G97" s="197"/>
      <c r="H97" s="197"/>
      <c r="I97" s="243">
        <f t="shared" si="93"/>
        <v>0</v>
      </c>
      <c r="J97" s="186"/>
      <c r="K97" s="187"/>
      <c r="L97" s="187"/>
      <c r="M97" s="244">
        <f t="shared" si="94"/>
        <v>0</v>
      </c>
      <c r="N97" s="253">
        <f t="shared" si="95"/>
        <v>0</v>
      </c>
      <c r="O97" s="198"/>
      <c r="P97" s="191" t="s">
        <v>3</v>
      </c>
      <c r="Q97" s="199"/>
      <c r="R97" s="197"/>
      <c r="S97" s="197"/>
      <c r="T97" s="243">
        <f t="shared" si="96"/>
        <v>0</v>
      </c>
      <c r="U97" s="199"/>
      <c r="V97" s="197"/>
      <c r="W97" s="197"/>
      <c r="X97" s="243">
        <f t="shared" si="97"/>
        <v>0</v>
      </c>
      <c r="Y97" s="186"/>
      <c r="Z97" s="187"/>
      <c r="AA97" s="187"/>
      <c r="AB97" s="244">
        <f t="shared" si="98"/>
        <v>0</v>
      </c>
      <c r="AC97" s="253">
        <f t="shared" si="99"/>
        <v>0</v>
      </c>
      <c r="AD97" s="198"/>
    </row>
    <row r="98" spans="1:31" x14ac:dyDescent="0.15">
      <c r="A98" s="191" t="s">
        <v>3</v>
      </c>
      <c r="B98" s="200"/>
      <c r="C98" s="187"/>
      <c r="D98" s="187"/>
      <c r="E98" s="243">
        <f t="shared" si="92"/>
        <v>0</v>
      </c>
      <c r="F98" s="200"/>
      <c r="G98" s="187"/>
      <c r="H98" s="187"/>
      <c r="I98" s="243">
        <f t="shared" si="93"/>
        <v>0</v>
      </c>
      <c r="J98" s="186"/>
      <c r="K98" s="187"/>
      <c r="L98" s="187"/>
      <c r="M98" s="243">
        <f t="shared" si="94"/>
        <v>0</v>
      </c>
      <c r="N98" s="253">
        <f t="shared" si="95"/>
        <v>0</v>
      </c>
      <c r="O98" s="198"/>
      <c r="P98" s="191" t="s">
        <v>3</v>
      </c>
      <c r="Q98" s="200"/>
      <c r="R98" s="187"/>
      <c r="S98" s="187"/>
      <c r="T98" s="243">
        <f t="shared" si="96"/>
        <v>0</v>
      </c>
      <c r="U98" s="200"/>
      <c r="V98" s="187"/>
      <c r="W98" s="187"/>
      <c r="X98" s="243">
        <f t="shared" si="97"/>
        <v>0</v>
      </c>
      <c r="Y98" s="186"/>
      <c r="Z98" s="187"/>
      <c r="AA98" s="187"/>
      <c r="AB98" s="243">
        <f t="shared" si="98"/>
        <v>0</v>
      </c>
      <c r="AC98" s="253">
        <f t="shared" si="99"/>
        <v>0</v>
      </c>
      <c r="AD98" s="198"/>
    </row>
    <row r="99" spans="1:31" x14ac:dyDescent="0.15">
      <c r="A99" s="191" t="s">
        <v>3</v>
      </c>
      <c r="B99" s="199"/>
      <c r="C99" s="197"/>
      <c r="D99" s="197"/>
      <c r="E99" s="243">
        <f t="shared" si="92"/>
        <v>0</v>
      </c>
      <c r="F99" s="199"/>
      <c r="G99" s="197"/>
      <c r="H99" s="197"/>
      <c r="I99" s="243">
        <f t="shared" si="93"/>
        <v>0</v>
      </c>
      <c r="J99" s="186"/>
      <c r="K99" s="187"/>
      <c r="L99" s="187"/>
      <c r="M99" s="243">
        <f t="shared" si="94"/>
        <v>0</v>
      </c>
      <c r="N99" s="253">
        <f t="shared" si="95"/>
        <v>0</v>
      </c>
      <c r="O99" s="198"/>
      <c r="P99" s="191" t="s">
        <v>3</v>
      </c>
      <c r="Q99" s="199"/>
      <c r="R99" s="197"/>
      <c r="S99" s="197"/>
      <c r="T99" s="243">
        <f t="shared" si="96"/>
        <v>0</v>
      </c>
      <c r="U99" s="199"/>
      <c r="V99" s="197"/>
      <c r="W99" s="197"/>
      <c r="X99" s="243">
        <f t="shared" si="97"/>
        <v>0</v>
      </c>
      <c r="Y99" s="186"/>
      <c r="Z99" s="187"/>
      <c r="AA99" s="187"/>
      <c r="AB99" s="243">
        <f t="shared" si="98"/>
        <v>0</v>
      </c>
      <c r="AC99" s="253">
        <f t="shared" si="99"/>
        <v>0</v>
      </c>
      <c r="AD99" s="198"/>
    </row>
    <row r="100" spans="1:31" x14ac:dyDescent="0.15">
      <c r="A100" s="191" t="s">
        <v>3</v>
      </c>
      <c r="B100" s="200"/>
      <c r="C100" s="187"/>
      <c r="D100" s="187"/>
      <c r="E100" s="243">
        <f t="shared" si="92"/>
        <v>0</v>
      </c>
      <c r="F100" s="200"/>
      <c r="G100" s="187"/>
      <c r="H100" s="187"/>
      <c r="I100" s="243">
        <f t="shared" si="93"/>
        <v>0</v>
      </c>
      <c r="J100" s="186"/>
      <c r="K100" s="187"/>
      <c r="L100" s="187"/>
      <c r="M100" s="243">
        <f t="shared" si="94"/>
        <v>0</v>
      </c>
      <c r="N100" s="253">
        <f t="shared" si="95"/>
        <v>0</v>
      </c>
      <c r="O100" s="198"/>
      <c r="P100" s="191" t="s">
        <v>3</v>
      </c>
      <c r="Q100" s="200"/>
      <c r="R100" s="187"/>
      <c r="S100" s="187"/>
      <c r="T100" s="243">
        <f t="shared" si="96"/>
        <v>0</v>
      </c>
      <c r="U100" s="200"/>
      <c r="V100" s="187"/>
      <c r="W100" s="187"/>
      <c r="X100" s="243">
        <f t="shared" si="97"/>
        <v>0</v>
      </c>
      <c r="Y100" s="186"/>
      <c r="Z100" s="187"/>
      <c r="AA100" s="187"/>
      <c r="AB100" s="243">
        <f t="shared" si="98"/>
        <v>0</v>
      </c>
      <c r="AC100" s="253">
        <f t="shared" si="99"/>
        <v>0</v>
      </c>
      <c r="AD100" s="198"/>
    </row>
    <row r="101" spans="1:31" ht="14.25" thickBot="1" x14ac:dyDescent="0.2">
      <c r="A101" s="206" t="s">
        <v>3</v>
      </c>
      <c r="B101" s="202"/>
      <c r="C101" s="203"/>
      <c r="D101" s="203"/>
      <c r="E101" s="245">
        <f t="shared" si="92"/>
        <v>0</v>
      </c>
      <c r="F101" s="202"/>
      <c r="G101" s="203"/>
      <c r="H101" s="203"/>
      <c r="I101" s="245">
        <f t="shared" si="93"/>
        <v>0</v>
      </c>
      <c r="J101" s="205"/>
      <c r="K101" s="203"/>
      <c r="L101" s="204"/>
      <c r="M101" s="245">
        <f t="shared" si="94"/>
        <v>0</v>
      </c>
      <c r="N101" s="255">
        <f t="shared" si="95"/>
        <v>0</v>
      </c>
      <c r="O101" s="198"/>
      <c r="P101" s="206" t="s">
        <v>3</v>
      </c>
      <c r="Q101" s="202"/>
      <c r="R101" s="203"/>
      <c r="S101" s="203"/>
      <c r="T101" s="245">
        <f t="shared" si="96"/>
        <v>0</v>
      </c>
      <c r="U101" s="202"/>
      <c r="V101" s="203"/>
      <c r="W101" s="203"/>
      <c r="X101" s="245">
        <f t="shared" si="97"/>
        <v>0</v>
      </c>
      <c r="Y101" s="205"/>
      <c r="Z101" s="203"/>
      <c r="AA101" s="204"/>
      <c r="AB101" s="245">
        <f t="shared" si="98"/>
        <v>0</v>
      </c>
      <c r="AC101" s="255">
        <f t="shared" si="99"/>
        <v>0</v>
      </c>
      <c r="AD101" s="198"/>
    </row>
    <row r="102" spans="1:31" ht="14.25" thickBot="1" x14ac:dyDescent="0.2">
      <c r="A102" s="207" t="s">
        <v>4</v>
      </c>
      <c r="B102" s="208">
        <f>SUM(B91:B101)</f>
        <v>8</v>
      </c>
      <c r="C102" s="208">
        <f>SUM(C91:C101)</f>
        <v>7</v>
      </c>
      <c r="D102" s="208">
        <f>SUM(D91:D101)</f>
        <v>9</v>
      </c>
      <c r="E102" s="246">
        <f t="shared" ref="E102:E127" si="100">SUM(B102:D102)</f>
        <v>24</v>
      </c>
      <c r="F102" s="208">
        <f>SUM(F91:F101)</f>
        <v>8</v>
      </c>
      <c r="G102" s="208">
        <f>SUM(G91:G101)</f>
        <v>8</v>
      </c>
      <c r="H102" s="208">
        <f>SUM(H91:H101)</f>
        <v>8</v>
      </c>
      <c r="I102" s="246">
        <f t="shared" ref="I102:I127" si="101">SUM(F102:H102)</f>
        <v>24</v>
      </c>
      <c r="J102" s="208">
        <f>SUM(J91:J101)</f>
        <v>9</v>
      </c>
      <c r="K102" s="208">
        <f>SUM(K91:K101)</f>
        <v>7</v>
      </c>
      <c r="L102" s="208">
        <f>SUM(L91:L101)</f>
        <v>8</v>
      </c>
      <c r="M102" s="266">
        <f t="shared" ref="M102:M127" si="102">SUM(J102:L102)</f>
        <v>24</v>
      </c>
      <c r="N102" s="271">
        <f t="shared" ref="N102:N128" si="103">E102+I102+M102</f>
        <v>72</v>
      </c>
      <c r="O102" s="179"/>
      <c r="P102" s="210" t="s">
        <v>4</v>
      </c>
      <c r="Q102" s="208">
        <f>SUM(Q91:Q101)</f>
        <v>368</v>
      </c>
      <c r="R102" s="208">
        <f>SUM(R91:R101)</f>
        <v>246</v>
      </c>
      <c r="S102" s="208">
        <f>SUM(S91:S101)</f>
        <v>206</v>
      </c>
      <c r="T102" s="246">
        <f t="shared" si="96"/>
        <v>820</v>
      </c>
      <c r="U102" s="208">
        <f>SUM(U91:U101)</f>
        <v>371</v>
      </c>
      <c r="V102" s="208">
        <f>SUM(V91:V101)</f>
        <v>248</v>
      </c>
      <c r="W102" s="208">
        <f>SUM(W91:W101)</f>
        <v>209</v>
      </c>
      <c r="X102" s="246">
        <f t="shared" si="97"/>
        <v>828</v>
      </c>
      <c r="Y102" s="208">
        <f>SUM(Y91:Y101)</f>
        <v>371</v>
      </c>
      <c r="Z102" s="208">
        <f>SUM(Z91:Z101)</f>
        <v>248</v>
      </c>
      <c r="AA102" s="208">
        <f>SUM(AA91:AA101)</f>
        <v>206</v>
      </c>
      <c r="AB102" s="246">
        <f t="shared" si="98"/>
        <v>825</v>
      </c>
      <c r="AC102" s="256">
        <f t="shared" si="99"/>
        <v>2473</v>
      </c>
    </row>
    <row r="103" spans="1:31" x14ac:dyDescent="0.15">
      <c r="A103" s="197" t="s">
        <v>51</v>
      </c>
      <c r="B103" s="189"/>
      <c r="C103" s="188"/>
      <c r="D103" s="188">
        <v>1</v>
      </c>
      <c r="E103" s="244">
        <f t="shared" ref="E103:E126" si="104">SUM(B103:D103)</f>
        <v>1</v>
      </c>
      <c r="F103" s="189"/>
      <c r="G103" s="188"/>
      <c r="H103" s="188">
        <v>1</v>
      </c>
      <c r="I103" s="244">
        <f t="shared" si="101"/>
        <v>1</v>
      </c>
      <c r="J103" s="189"/>
      <c r="K103" s="188"/>
      <c r="L103" s="188">
        <v>1</v>
      </c>
      <c r="M103" s="244">
        <f t="shared" si="102"/>
        <v>1</v>
      </c>
      <c r="N103" s="253">
        <f t="shared" si="103"/>
        <v>3</v>
      </c>
      <c r="O103" s="194">
        <v>46017</v>
      </c>
      <c r="P103" s="193" t="s">
        <v>1382</v>
      </c>
      <c r="Q103" s="189">
        <v>5</v>
      </c>
      <c r="R103" s="188"/>
      <c r="S103" s="188"/>
      <c r="T103" s="244">
        <f t="shared" ref="T103:T115" si="105">SUM(Q103:S103)</f>
        <v>5</v>
      </c>
      <c r="U103" s="189">
        <v>5</v>
      </c>
      <c r="V103" s="188"/>
      <c r="W103" s="188"/>
      <c r="X103" s="244">
        <f t="shared" si="97"/>
        <v>5</v>
      </c>
      <c r="Y103" s="189">
        <v>5</v>
      </c>
      <c r="Z103" s="188"/>
      <c r="AA103" s="188"/>
      <c r="AB103" s="244">
        <f t="shared" si="98"/>
        <v>5</v>
      </c>
      <c r="AC103" s="253">
        <f t="shared" si="99"/>
        <v>15</v>
      </c>
      <c r="AD103" s="194">
        <v>46015</v>
      </c>
      <c r="AE103" s="195"/>
    </row>
    <row r="104" spans="1:31" x14ac:dyDescent="0.15">
      <c r="A104" s="197"/>
      <c r="B104" s="189"/>
      <c r="C104" s="188"/>
      <c r="D104" s="188"/>
      <c r="E104" s="244">
        <f t="shared" ref="E104:E106" si="106">SUM(B104:D104)</f>
        <v>0</v>
      </c>
      <c r="F104" s="189"/>
      <c r="G104" s="188"/>
      <c r="H104" s="188"/>
      <c r="I104" s="244">
        <f t="shared" ref="I104:I106" si="107">SUM(F104:H104)</f>
        <v>0</v>
      </c>
      <c r="J104" s="189"/>
      <c r="K104" s="188"/>
      <c r="L104" s="188"/>
      <c r="M104" s="244">
        <f t="shared" ref="M104:M106" si="108">SUM(J104:L104)</f>
        <v>0</v>
      </c>
      <c r="N104" s="253">
        <f t="shared" ref="N104:N106" si="109">E104+I104+M104</f>
        <v>0</v>
      </c>
      <c r="O104" s="198"/>
      <c r="P104" s="193" t="s">
        <v>1392</v>
      </c>
      <c r="Q104" s="189">
        <v>8</v>
      </c>
      <c r="R104" s="188"/>
      <c r="S104" s="188">
        <v>5</v>
      </c>
      <c r="T104" s="244">
        <f t="shared" si="105"/>
        <v>13</v>
      </c>
      <c r="U104" s="189">
        <v>8</v>
      </c>
      <c r="V104" s="188"/>
      <c r="W104" s="188">
        <v>5</v>
      </c>
      <c r="X104" s="244">
        <f t="shared" si="97"/>
        <v>13</v>
      </c>
      <c r="Y104" s="189">
        <v>8</v>
      </c>
      <c r="Z104" s="188"/>
      <c r="AA104" s="188">
        <v>5</v>
      </c>
      <c r="AB104" s="244">
        <f t="shared" si="98"/>
        <v>13</v>
      </c>
      <c r="AC104" s="253">
        <f t="shared" si="99"/>
        <v>39</v>
      </c>
      <c r="AD104" s="194">
        <v>46015</v>
      </c>
    </row>
    <row r="105" spans="1:31" x14ac:dyDescent="0.15">
      <c r="A105" s="197"/>
      <c r="B105" s="189"/>
      <c r="C105" s="188"/>
      <c r="D105" s="188"/>
      <c r="E105" s="244">
        <f t="shared" si="106"/>
        <v>0</v>
      </c>
      <c r="F105" s="189"/>
      <c r="G105" s="188"/>
      <c r="H105" s="188"/>
      <c r="I105" s="244">
        <f t="shared" si="107"/>
        <v>0</v>
      </c>
      <c r="J105" s="189"/>
      <c r="K105" s="188"/>
      <c r="L105" s="188"/>
      <c r="M105" s="244">
        <f t="shared" si="108"/>
        <v>0</v>
      </c>
      <c r="N105" s="253">
        <f t="shared" si="109"/>
        <v>0</v>
      </c>
      <c r="O105" s="198"/>
      <c r="P105" s="197"/>
      <c r="Q105" s="189"/>
      <c r="R105" s="188"/>
      <c r="S105" s="188"/>
      <c r="T105" s="244">
        <f t="shared" ref="T105:T110" si="110">SUM(Q105:S105)</f>
        <v>0</v>
      </c>
      <c r="U105" s="189"/>
      <c r="V105" s="188"/>
      <c r="W105" s="188"/>
      <c r="X105" s="244">
        <f t="shared" ref="X105:X110" si="111">SUM(U105:W105)</f>
        <v>0</v>
      </c>
      <c r="Y105" s="189"/>
      <c r="Z105" s="188"/>
      <c r="AA105" s="188"/>
      <c r="AB105" s="244">
        <f t="shared" ref="AB105:AB110" si="112">SUM(Y105:AA105)</f>
        <v>0</v>
      </c>
      <c r="AC105" s="253">
        <f t="shared" ref="AC105:AC110" si="113">T105+X105+AB105</f>
        <v>0</v>
      </c>
      <c r="AD105" s="198"/>
    </row>
    <row r="106" spans="1:31" x14ac:dyDescent="0.15">
      <c r="A106" s="197"/>
      <c r="B106" s="189"/>
      <c r="C106" s="188"/>
      <c r="D106" s="188"/>
      <c r="E106" s="244">
        <f t="shared" si="106"/>
        <v>0</v>
      </c>
      <c r="F106" s="189"/>
      <c r="G106" s="188"/>
      <c r="H106" s="188"/>
      <c r="I106" s="244">
        <f t="shared" si="107"/>
        <v>0</v>
      </c>
      <c r="J106" s="189"/>
      <c r="K106" s="188"/>
      <c r="L106" s="188"/>
      <c r="M106" s="244">
        <f t="shared" si="108"/>
        <v>0</v>
      </c>
      <c r="N106" s="253">
        <f t="shared" si="109"/>
        <v>0</v>
      </c>
      <c r="O106" s="198"/>
      <c r="P106" s="197"/>
      <c r="Q106" s="189"/>
      <c r="R106" s="188"/>
      <c r="S106" s="188"/>
      <c r="T106" s="244">
        <f t="shared" si="110"/>
        <v>0</v>
      </c>
      <c r="U106" s="189"/>
      <c r="V106" s="188"/>
      <c r="W106" s="188"/>
      <c r="X106" s="244">
        <f t="shared" si="111"/>
        <v>0</v>
      </c>
      <c r="Y106" s="189"/>
      <c r="Z106" s="188"/>
      <c r="AA106" s="188"/>
      <c r="AB106" s="244">
        <f t="shared" si="112"/>
        <v>0</v>
      </c>
      <c r="AC106" s="253">
        <f t="shared" si="113"/>
        <v>0</v>
      </c>
      <c r="AD106" s="198"/>
    </row>
    <row r="107" spans="1:31" x14ac:dyDescent="0.15">
      <c r="A107" s="197"/>
      <c r="B107" s="189"/>
      <c r="C107" s="188"/>
      <c r="D107" s="188"/>
      <c r="E107" s="244">
        <f t="shared" si="104"/>
        <v>0</v>
      </c>
      <c r="F107" s="189"/>
      <c r="G107" s="188"/>
      <c r="H107" s="188"/>
      <c r="I107" s="244">
        <f t="shared" si="101"/>
        <v>0</v>
      </c>
      <c r="J107" s="189"/>
      <c r="K107" s="188"/>
      <c r="L107" s="188"/>
      <c r="M107" s="244">
        <f t="shared" si="102"/>
        <v>0</v>
      </c>
      <c r="N107" s="253">
        <f t="shared" si="103"/>
        <v>0</v>
      </c>
      <c r="O107" s="198"/>
      <c r="P107" s="197"/>
      <c r="Q107" s="189"/>
      <c r="R107" s="188"/>
      <c r="S107" s="188"/>
      <c r="T107" s="244">
        <f t="shared" si="110"/>
        <v>0</v>
      </c>
      <c r="U107" s="189"/>
      <c r="V107" s="188"/>
      <c r="W107" s="188"/>
      <c r="X107" s="244">
        <f t="shared" si="111"/>
        <v>0</v>
      </c>
      <c r="Y107" s="189"/>
      <c r="Z107" s="188"/>
      <c r="AA107" s="188"/>
      <c r="AB107" s="244">
        <f t="shared" si="112"/>
        <v>0</v>
      </c>
      <c r="AC107" s="253">
        <f t="shared" si="113"/>
        <v>0</v>
      </c>
      <c r="AD107" s="198"/>
      <c r="AE107" s="195"/>
    </row>
    <row r="108" spans="1:31" x14ac:dyDescent="0.15">
      <c r="A108" s="197"/>
      <c r="B108" s="189"/>
      <c r="C108" s="188"/>
      <c r="D108" s="188"/>
      <c r="E108" s="244">
        <f t="shared" si="104"/>
        <v>0</v>
      </c>
      <c r="F108" s="189"/>
      <c r="G108" s="188"/>
      <c r="H108" s="188"/>
      <c r="I108" s="244">
        <f t="shared" si="101"/>
        <v>0</v>
      </c>
      <c r="J108" s="189"/>
      <c r="K108" s="188"/>
      <c r="L108" s="188"/>
      <c r="M108" s="244">
        <f t="shared" si="102"/>
        <v>0</v>
      </c>
      <c r="N108" s="253">
        <f t="shared" si="103"/>
        <v>0</v>
      </c>
      <c r="O108" s="198"/>
      <c r="P108" s="197"/>
      <c r="Q108" s="189"/>
      <c r="R108" s="188"/>
      <c r="S108" s="188"/>
      <c r="T108" s="244">
        <f t="shared" si="110"/>
        <v>0</v>
      </c>
      <c r="U108" s="189"/>
      <c r="V108" s="188"/>
      <c r="W108" s="188"/>
      <c r="X108" s="244">
        <f t="shared" si="111"/>
        <v>0</v>
      </c>
      <c r="Y108" s="189"/>
      <c r="Z108" s="188"/>
      <c r="AA108" s="188"/>
      <c r="AB108" s="244">
        <f t="shared" si="112"/>
        <v>0</v>
      </c>
      <c r="AC108" s="253">
        <f t="shared" si="113"/>
        <v>0</v>
      </c>
      <c r="AD108" s="198"/>
      <c r="AE108" s="195"/>
    </row>
    <row r="109" spans="1:31" x14ac:dyDescent="0.15">
      <c r="A109" s="197"/>
      <c r="B109" s="189"/>
      <c r="C109" s="188"/>
      <c r="D109" s="188"/>
      <c r="E109" s="244">
        <f t="shared" si="104"/>
        <v>0</v>
      </c>
      <c r="F109" s="189"/>
      <c r="G109" s="188"/>
      <c r="H109" s="188"/>
      <c r="I109" s="244">
        <f t="shared" si="101"/>
        <v>0</v>
      </c>
      <c r="J109" s="189"/>
      <c r="K109" s="188"/>
      <c r="L109" s="188"/>
      <c r="M109" s="244">
        <f t="shared" si="102"/>
        <v>0</v>
      </c>
      <c r="N109" s="253">
        <f t="shared" si="103"/>
        <v>0</v>
      </c>
      <c r="O109" s="198"/>
      <c r="P109" s="197"/>
      <c r="Q109" s="189"/>
      <c r="R109" s="188"/>
      <c r="S109" s="188"/>
      <c r="T109" s="244">
        <f t="shared" si="110"/>
        <v>0</v>
      </c>
      <c r="U109" s="189"/>
      <c r="V109" s="188"/>
      <c r="W109" s="188"/>
      <c r="X109" s="244">
        <f t="shared" si="111"/>
        <v>0</v>
      </c>
      <c r="Y109" s="189"/>
      <c r="Z109" s="188"/>
      <c r="AA109" s="188"/>
      <c r="AB109" s="244">
        <f t="shared" si="112"/>
        <v>0</v>
      </c>
      <c r="AC109" s="253">
        <f t="shared" si="113"/>
        <v>0</v>
      </c>
      <c r="AD109" s="198"/>
    </row>
    <row r="110" spans="1:31" x14ac:dyDescent="0.15">
      <c r="A110" s="197"/>
      <c r="B110" s="189"/>
      <c r="C110" s="188"/>
      <c r="D110" s="188"/>
      <c r="E110" s="244">
        <f t="shared" si="104"/>
        <v>0</v>
      </c>
      <c r="F110" s="189"/>
      <c r="G110" s="188"/>
      <c r="H110" s="188"/>
      <c r="I110" s="244">
        <f t="shared" si="101"/>
        <v>0</v>
      </c>
      <c r="J110" s="189"/>
      <c r="K110" s="188"/>
      <c r="L110" s="188"/>
      <c r="M110" s="244">
        <f t="shared" si="102"/>
        <v>0</v>
      </c>
      <c r="N110" s="253">
        <f t="shared" si="103"/>
        <v>0</v>
      </c>
      <c r="O110" s="198"/>
      <c r="P110" s="197"/>
      <c r="Q110" s="189"/>
      <c r="R110" s="188"/>
      <c r="S110" s="188"/>
      <c r="T110" s="244">
        <f t="shared" si="110"/>
        <v>0</v>
      </c>
      <c r="U110" s="189"/>
      <c r="V110" s="188"/>
      <c r="W110" s="188"/>
      <c r="X110" s="244">
        <f t="shared" si="111"/>
        <v>0</v>
      </c>
      <c r="Y110" s="189"/>
      <c r="Z110" s="188"/>
      <c r="AA110" s="188"/>
      <c r="AB110" s="244">
        <f t="shared" si="112"/>
        <v>0</v>
      </c>
      <c r="AC110" s="253">
        <f t="shared" si="113"/>
        <v>0</v>
      </c>
      <c r="AD110" s="198"/>
    </row>
    <row r="111" spans="1:31" x14ac:dyDescent="0.15">
      <c r="A111" s="197"/>
      <c r="B111" s="189"/>
      <c r="C111" s="188"/>
      <c r="D111" s="188"/>
      <c r="E111" s="244">
        <f t="shared" si="104"/>
        <v>0</v>
      </c>
      <c r="F111" s="189"/>
      <c r="G111" s="188"/>
      <c r="H111" s="188"/>
      <c r="I111" s="244">
        <f t="shared" si="101"/>
        <v>0</v>
      </c>
      <c r="J111" s="189"/>
      <c r="K111" s="188"/>
      <c r="L111" s="188"/>
      <c r="M111" s="244">
        <f t="shared" si="102"/>
        <v>0</v>
      </c>
      <c r="N111" s="253">
        <f t="shared" si="103"/>
        <v>0</v>
      </c>
      <c r="O111" s="198"/>
      <c r="P111" s="197"/>
      <c r="Q111" s="189"/>
      <c r="R111" s="188"/>
      <c r="S111" s="188"/>
      <c r="T111" s="244">
        <f t="shared" si="105"/>
        <v>0</v>
      </c>
      <c r="U111" s="189"/>
      <c r="V111" s="188"/>
      <c r="W111" s="188"/>
      <c r="X111" s="244">
        <f t="shared" si="97"/>
        <v>0</v>
      </c>
      <c r="Y111" s="189"/>
      <c r="Z111" s="188"/>
      <c r="AA111" s="188"/>
      <c r="AB111" s="244">
        <f t="shared" si="98"/>
        <v>0</v>
      </c>
      <c r="AC111" s="253">
        <f t="shared" si="99"/>
        <v>0</v>
      </c>
      <c r="AD111" s="198"/>
    </row>
    <row r="112" spans="1:31" x14ac:dyDescent="0.15">
      <c r="A112" s="197"/>
      <c r="B112" s="189"/>
      <c r="C112" s="188"/>
      <c r="D112" s="188"/>
      <c r="E112" s="244">
        <f t="shared" si="104"/>
        <v>0</v>
      </c>
      <c r="F112" s="189"/>
      <c r="G112" s="188"/>
      <c r="H112" s="188"/>
      <c r="I112" s="244">
        <f t="shared" si="101"/>
        <v>0</v>
      </c>
      <c r="J112" s="189"/>
      <c r="K112" s="188"/>
      <c r="L112" s="188"/>
      <c r="M112" s="244">
        <f t="shared" si="102"/>
        <v>0</v>
      </c>
      <c r="N112" s="253">
        <f t="shared" si="103"/>
        <v>0</v>
      </c>
      <c r="O112" s="198"/>
      <c r="P112" s="197"/>
      <c r="Q112" s="189"/>
      <c r="R112" s="188"/>
      <c r="S112" s="188"/>
      <c r="T112" s="244">
        <f t="shared" si="105"/>
        <v>0</v>
      </c>
      <c r="U112" s="189"/>
      <c r="V112" s="188"/>
      <c r="W112" s="188"/>
      <c r="X112" s="244">
        <f t="shared" si="97"/>
        <v>0</v>
      </c>
      <c r="Y112" s="189"/>
      <c r="Z112" s="188"/>
      <c r="AA112" s="188"/>
      <c r="AB112" s="244">
        <f t="shared" si="98"/>
        <v>0</v>
      </c>
      <c r="AC112" s="253">
        <f t="shared" si="99"/>
        <v>0</v>
      </c>
      <c r="AD112" s="198"/>
      <c r="AE112" s="195"/>
    </row>
    <row r="113" spans="1:33" x14ac:dyDescent="0.15">
      <c r="A113" s="197"/>
      <c r="B113" s="189"/>
      <c r="C113" s="188"/>
      <c r="D113" s="188"/>
      <c r="E113" s="244">
        <f t="shared" si="104"/>
        <v>0</v>
      </c>
      <c r="F113" s="189"/>
      <c r="G113" s="188"/>
      <c r="H113" s="188"/>
      <c r="I113" s="244">
        <f t="shared" si="101"/>
        <v>0</v>
      </c>
      <c r="J113" s="189"/>
      <c r="K113" s="188"/>
      <c r="L113" s="188"/>
      <c r="M113" s="244">
        <f t="shared" si="102"/>
        <v>0</v>
      </c>
      <c r="N113" s="253">
        <f t="shared" si="103"/>
        <v>0</v>
      </c>
      <c r="O113" s="198"/>
      <c r="P113" s="197"/>
      <c r="Q113" s="189"/>
      <c r="R113" s="188"/>
      <c r="S113" s="188"/>
      <c r="T113" s="244">
        <f t="shared" si="105"/>
        <v>0</v>
      </c>
      <c r="U113" s="189"/>
      <c r="V113" s="188"/>
      <c r="W113" s="188"/>
      <c r="X113" s="244">
        <f t="shared" si="97"/>
        <v>0</v>
      </c>
      <c r="Y113" s="189"/>
      <c r="Z113" s="188"/>
      <c r="AA113" s="188"/>
      <c r="AB113" s="244">
        <f t="shared" si="98"/>
        <v>0</v>
      </c>
      <c r="AC113" s="253">
        <f t="shared" si="99"/>
        <v>0</v>
      </c>
      <c r="AD113" s="198"/>
    </row>
    <row r="114" spans="1:33" x14ac:dyDescent="0.15">
      <c r="A114" s="197"/>
      <c r="B114" s="189"/>
      <c r="C114" s="188"/>
      <c r="D114" s="188"/>
      <c r="E114" s="244">
        <f t="shared" si="104"/>
        <v>0</v>
      </c>
      <c r="F114" s="189"/>
      <c r="G114" s="188"/>
      <c r="H114" s="188"/>
      <c r="I114" s="244">
        <f t="shared" si="101"/>
        <v>0</v>
      </c>
      <c r="J114" s="189"/>
      <c r="K114" s="188"/>
      <c r="L114" s="188"/>
      <c r="M114" s="244">
        <f t="shared" si="102"/>
        <v>0</v>
      </c>
      <c r="N114" s="253">
        <f t="shared" si="103"/>
        <v>0</v>
      </c>
      <c r="O114" s="198"/>
      <c r="P114" s="197"/>
      <c r="Q114" s="189"/>
      <c r="R114" s="188"/>
      <c r="S114" s="188"/>
      <c r="T114" s="244">
        <f t="shared" si="105"/>
        <v>0</v>
      </c>
      <c r="U114" s="189"/>
      <c r="V114" s="188"/>
      <c r="W114" s="188"/>
      <c r="X114" s="244">
        <f t="shared" si="97"/>
        <v>0</v>
      </c>
      <c r="Y114" s="189"/>
      <c r="Z114" s="188"/>
      <c r="AA114" s="188"/>
      <c r="AB114" s="244">
        <f t="shared" si="98"/>
        <v>0</v>
      </c>
      <c r="AC114" s="253">
        <f t="shared" si="99"/>
        <v>0</v>
      </c>
      <c r="AD114" s="198"/>
    </row>
    <row r="115" spans="1:33" x14ac:dyDescent="0.15">
      <c r="A115" s="197"/>
      <c r="B115" s="189"/>
      <c r="C115" s="188"/>
      <c r="D115" s="188"/>
      <c r="E115" s="244">
        <f t="shared" si="104"/>
        <v>0</v>
      </c>
      <c r="F115" s="189"/>
      <c r="G115" s="188"/>
      <c r="H115" s="188"/>
      <c r="I115" s="244">
        <f t="shared" si="101"/>
        <v>0</v>
      </c>
      <c r="J115" s="189"/>
      <c r="K115" s="188"/>
      <c r="L115" s="188"/>
      <c r="M115" s="244">
        <f t="shared" si="102"/>
        <v>0</v>
      </c>
      <c r="N115" s="253">
        <f t="shared" si="103"/>
        <v>0</v>
      </c>
      <c r="O115" s="198"/>
      <c r="P115" s="197"/>
      <c r="Q115" s="189"/>
      <c r="R115" s="188"/>
      <c r="S115" s="188"/>
      <c r="T115" s="244">
        <f t="shared" si="105"/>
        <v>0</v>
      </c>
      <c r="U115" s="189"/>
      <c r="V115" s="188"/>
      <c r="W115" s="188"/>
      <c r="X115" s="244">
        <f t="shared" si="97"/>
        <v>0</v>
      </c>
      <c r="Y115" s="189"/>
      <c r="Z115" s="188"/>
      <c r="AA115" s="188"/>
      <c r="AB115" s="244">
        <f t="shared" si="98"/>
        <v>0</v>
      </c>
      <c r="AC115" s="253">
        <f t="shared" si="99"/>
        <v>0</v>
      </c>
      <c r="AD115" s="198"/>
      <c r="AE115" s="195"/>
      <c r="AF115" s="195"/>
    </row>
    <row r="116" spans="1:33" x14ac:dyDescent="0.15">
      <c r="A116" s="197"/>
      <c r="B116" s="189"/>
      <c r="C116" s="188"/>
      <c r="D116" s="188"/>
      <c r="E116" s="244">
        <f t="shared" si="104"/>
        <v>0</v>
      </c>
      <c r="F116" s="189"/>
      <c r="G116" s="188"/>
      <c r="H116" s="188"/>
      <c r="I116" s="244">
        <f t="shared" si="101"/>
        <v>0</v>
      </c>
      <c r="J116" s="189"/>
      <c r="K116" s="188"/>
      <c r="L116" s="188"/>
      <c r="M116" s="244">
        <f t="shared" si="102"/>
        <v>0</v>
      </c>
      <c r="N116" s="253">
        <f t="shared" si="103"/>
        <v>0</v>
      </c>
      <c r="O116" s="198"/>
      <c r="P116" s="197"/>
      <c r="Q116" s="189"/>
      <c r="R116" s="188"/>
      <c r="S116" s="188"/>
      <c r="T116" s="244">
        <f t="shared" ref="T116:T120" si="114">SUM(Q116:S116)</f>
        <v>0</v>
      </c>
      <c r="U116" s="189"/>
      <c r="V116" s="188"/>
      <c r="W116" s="188"/>
      <c r="X116" s="244">
        <f t="shared" ref="X116:X120" si="115">SUM(U116:W116)</f>
        <v>0</v>
      </c>
      <c r="Y116" s="189"/>
      <c r="Z116" s="188"/>
      <c r="AA116" s="188"/>
      <c r="AB116" s="244">
        <f t="shared" ref="AB116:AB120" si="116">SUM(Y116:AA116)</f>
        <v>0</v>
      </c>
      <c r="AC116" s="253">
        <f t="shared" ref="AC116:AC120" si="117">T116+X116+AB116</f>
        <v>0</v>
      </c>
      <c r="AD116" s="198"/>
      <c r="AE116" s="195"/>
      <c r="AF116" s="195"/>
    </row>
    <row r="117" spans="1:33" x14ac:dyDescent="0.15">
      <c r="A117" s="197"/>
      <c r="B117" s="189"/>
      <c r="C117" s="188"/>
      <c r="D117" s="188"/>
      <c r="E117" s="244">
        <f t="shared" si="104"/>
        <v>0</v>
      </c>
      <c r="F117" s="189"/>
      <c r="G117" s="188"/>
      <c r="H117" s="188"/>
      <c r="I117" s="244">
        <f t="shared" si="101"/>
        <v>0</v>
      </c>
      <c r="J117" s="189"/>
      <c r="K117" s="188"/>
      <c r="L117" s="188"/>
      <c r="M117" s="244">
        <f t="shared" si="102"/>
        <v>0</v>
      </c>
      <c r="N117" s="253">
        <f t="shared" si="103"/>
        <v>0</v>
      </c>
      <c r="O117" s="198"/>
      <c r="P117" s="197"/>
      <c r="Q117" s="189"/>
      <c r="R117" s="188"/>
      <c r="S117" s="188"/>
      <c r="T117" s="244">
        <f t="shared" si="114"/>
        <v>0</v>
      </c>
      <c r="U117" s="189"/>
      <c r="V117" s="188"/>
      <c r="W117" s="188"/>
      <c r="X117" s="244">
        <f t="shared" si="115"/>
        <v>0</v>
      </c>
      <c r="Y117" s="189"/>
      <c r="Z117" s="188"/>
      <c r="AA117" s="188"/>
      <c r="AB117" s="244">
        <f t="shared" si="116"/>
        <v>0</v>
      </c>
      <c r="AC117" s="253">
        <f t="shared" si="117"/>
        <v>0</v>
      </c>
      <c r="AD117" s="198"/>
      <c r="AE117" s="195"/>
      <c r="AF117" s="195"/>
      <c r="AG117" s="195"/>
    </row>
    <row r="118" spans="1:33" x14ac:dyDescent="0.15">
      <c r="A118" s="197"/>
      <c r="B118" s="189"/>
      <c r="C118" s="188"/>
      <c r="D118" s="188"/>
      <c r="E118" s="244">
        <f t="shared" si="104"/>
        <v>0</v>
      </c>
      <c r="F118" s="189"/>
      <c r="G118" s="188"/>
      <c r="H118" s="188"/>
      <c r="I118" s="244">
        <f t="shared" si="101"/>
        <v>0</v>
      </c>
      <c r="J118" s="189"/>
      <c r="K118" s="188"/>
      <c r="L118" s="188"/>
      <c r="M118" s="244">
        <f t="shared" si="102"/>
        <v>0</v>
      </c>
      <c r="N118" s="253">
        <f t="shared" si="103"/>
        <v>0</v>
      </c>
      <c r="O118" s="198"/>
      <c r="P118" s="197"/>
      <c r="Q118" s="189"/>
      <c r="R118" s="188"/>
      <c r="S118" s="188"/>
      <c r="T118" s="244">
        <f t="shared" si="114"/>
        <v>0</v>
      </c>
      <c r="U118" s="189"/>
      <c r="V118" s="188"/>
      <c r="W118" s="188"/>
      <c r="X118" s="244">
        <f t="shared" si="115"/>
        <v>0</v>
      </c>
      <c r="Y118" s="189"/>
      <c r="Z118" s="188"/>
      <c r="AA118" s="188"/>
      <c r="AB118" s="244">
        <f t="shared" si="116"/>
        <v>0</v>
      </c>
      <c r="AC118" s="253">
        <f t="shared" si="117"/>
        <v>0</v>
      </c>
      <c r="AD118" s="198"/>
      <c r="AE118" s="232"/>
    </row>
    <row r="119" spans="1:33" x14ac:dyDescent="0.15">
      <c r="A119" s="197"/>
      <c r="B119" s="189"/>
      <c r="C119" s="188"/>
      <c r="D119" s="188"/>
      <c r="E119" s="244">
        <f t="shared" si="104"/>
        <v>0</v>
      </c>
      <c r="F119" s="189"/>
      <c r="G119" s="188"/>
      <c r="H119" s="188"/>
      <c r="I119" s="244">
        <f t="shared" si="101"/>
        <v>0</v>
      </c>
      <c r="J119" s="189"/>
      <c r="K119" s="188"/>
      <c r="L119" s="188"/>
      <c r="M119" s="244">
        <f t="shared" si="102"/>
        <v>0</v>
      </c>
      <c r="N119" s="253">
        <f t="shared" si="103"/>
        <v>0</v>
      </c>
      <c r="O119" s="198"/>
      <c r="P119" s="197" t="s">
        <v>1271</v>
      </c>
      <c r="Q119" s="189"/>
      <c r="R119" s="188"/>
      <c r="S119" s="188"/>
      <c r="T119" s="244">
        <f t="shared" ref="T119" si="118">SUM(Q119:S119)</f>
        <v>0</v>
      </c>
      <c r="U119" s="189"/>
      <c r="V119" s="188"/>
      <c r="W119" s="188"/>
      <c r="X119" s="244">
        <f t="shared" ref="X119" si="119">SUM(U119:W119)</f>
        <v>0</v>
      </c>
      <c r="Y119" s="189"/>
      <c r="Z119" s="188"/>
      <c r="AA119" s="188"/>
      <c r="AB119" s="244">
        <f t="shared" ref="AB119" si="120">SUM(Y119:AA119)</f>
        <v>0</v>
      </c>
      <c r="AC119" s="253">
        <f t="shared" ref="AC119" si="121">T119+X119+AB119</f>
        <v>0</v>
      </c>
      <c r="AD119" s="198" t="s">
        <v>1270</v>
      </c>
    </row>
    <row r="120" spans="1:33" x14ac:dyDescent="0.15">
      <c r="A120" s="197"/>
      <c r="B120" s="189"/>
      <c r="C120" s="188"/>
      <c r="D120" s="188"/>
      <c r="E120" s="244">
        <f t="shared" si="104"/>
        <v>0</v>
      </c>
      <c r="F120" s="189"/>
      <c r="G120" s="188"/>
      <c r="H120" s="188"/>
      <c r="I120" s="244">
        <f t="shared" si="101"/>
        <v>0</v>
      </c>
      <c r="J120" s="189"/>
      <c r="K120" s="188"/>
      <c r="L120" s="188"/>
      <c r="M120" s="244">
        <f t="shared" si="102"/>
        <v>0</v>
      </c>
      <c r="N120" s="253">
        <f t="shared" si="103"/>
        <v>0</v>
      </c>
      <c r="O120" s="198"/>
      <c r="P120" s="197" t="s">
        <v>1306</v>
      </c>
      <c r="Q120" s="189"/>
      <c r="R120" s="188"/>
      <c r="S120" s="188"/>
      <c r="T120" s="244">
        <f t="shared" si="114"/>
        <v>0</v>
      </c>
      <c r="U120" s="189"/>
      <c r="V120" s="188"/>
      <c r="W120" s="188"/>
      <c r="X120" s="244">
        <f t="shared" si="115"/>
        <v>0</v>
      </c>
      <c r="Y120" s="189"/>
      <c r="Z120" s="188"/>
      <c r="AA120" s="188"/>
      <c r="AB120" s="244">
        <f t="shared" si="116"/>
        <v>0</v>
      </c>
      <c r="AC120" s="253">
        <f t="shared" si="117"/>
        <v>0</v>
      </c>
      <c r="AD120" s="198" t="s">
        <v>550</v>
      </c>
    </row>
    <row r="121" spans="1:33" x14ac:dyDescent="0.15">
      <c r="A121" s="197"/>
      <c r="B121" s="189"/>
      <c r="C121" s="188"/>
      <c r="D121" s="188"/>
      <c r="E121" s="244">
        <f t="shared" si="104"/>
        <v>0</v>
      </c>
      <c r="F121" s="189"/>
      <c r="G121" s="188"/>
      <c r="H121" s="188"/>
      <c r="I121" s="244">
        <f t="shared" si="101"/>
        <v>0</v>
      </c>
      <c r="J121" s="189"/>
      <c r="K121" s="188"/>
      <c r="L121" s="188"/>
      <c r="M121" s="244">
        <f t="shared" si="102"/>
        <v>0</v>
      </c>
      <c r="N121" s="253">
        <f t="shared" si="103"/>
        <v>0</v>
      </c>
      <c r="O121" s="198"/>
      <c r="P121" s="274" t="s">
        <v>1216</v>
      </c>
      <c r="Q121" s="239"/>
      <c r="R121" s="240"/>
      <c r="S121" s="240"/>
      <c r="T121" s="249">
        <f t="shared" ref="T121:T124" si="122">SUM(Q121:S121)</f>
        <v>0</v>
      </c>
      <c r="U121" s="239"/>
      <c r="V121" s="240"/>
      <c r="W121" s="240"/>
      <c r="X121" s="249">
        <f t="shared" ref="X121:X124" si="123">SUM(U121:W121)</f>
        <v>0</v>
      </c>
      <c r="Y121" s="239"/>
      <c r="Z121" s="240"/>
      <c r="AA121" s="240"/>
      <c r="AB121" s="249">
        <f t="shared" ref="AB121:AB124" si="124">SUM(Y121:AA121)</f>
        <v>0</v>
      </c>
      <c r="AC121" s="278">
        <f t="shared" ref="AC121:AC124" si="125">T121+X121+AB121</f>
        <v>0</v>
      </c>
      <c r="AD121" s="198"/>
      <c r="AE121" s="195"/>
    </row>
    <row r="122" spans="1:33" x14ac:dyDescent="0.15">
      <c r="A122" s="197"/>
      <c r="B122" s="189"/>
      <c r="C122" s="188"/>
      <c r="D122" s="188"/>
      <c r="E122" s="244">
        <f t="shared" si="104"/>
        <v>0</v>
      </c>
      <c r="F122" s="189"/>
      <c r="G122" s="188"/>
      <c r="H122" s="188"/>
      <c r="I122" s="244">
        <f t="shared" si="101"/>
        <v>0</v>
      </c>
      <c r="J122" s="189"/>
      <c r="K122" s="188"/>
      <c r="L122" s="188"/>
      <c r="M122" s="244">
        <f t="shared" si="102"/>
        <v>0</v>
      </c>
      <c r="N122" s="253">
        <f t="shared" si="103"/>
        <v>0</v>
      </c>
      <c r="O122" s="198"/>
      <c r="P122" s="193" t="s">
        <v>1217</v>
      </c>
      <c r="Q122" s="189"/>
      <c r="R122" s="188"/>
      <c r="S122" s="188"/>
      <c r="T122" s="244">
        <f t="shared" si="122"/>
        <v>0</v>
      </c>
      <c r="U122" s="189"/>
      <c r="V122" s="188"/>
      <c r="W122" s="188"/>
      <c r="X122" s="244">
        <f t="shared" si="123"/>
        <v>0</v>
      </c>
      <c r="Y122" s="189"/>
      <c r="Z122" s="188"/>
      <c r="AA122" s="188"/>
      <c r="AB122" s="244">
        <f t="shared" si="124"/>
        <v>0</v>
      </c>
      <c r="AC122" s="253">
        <f t="shared" si="125"/>
        <v>0</v>
      </c>
      <c r="AD122" s="198" t="s">
        <v>1215</v>
      </c>
      <c r="AE122" s="195"/>
    </row>
    <row r="123" spans="1:33" x14ac:dyDescent="0.15">
      <c r="A123" s="197"/>
      <c r="B123" s="189"/>
      <c r="C123" s="188"/>
      <c r="D123" s="188"/>
      <c r="E123" s="244">
        <f t="shared" si="104"/>
        <v>0</v>
      </c>
      <c r="F123" s="189"/>
      <c r="G123" s="188"/>
      <c r="H123" s="188"/>
      <c r="I123" s="244">
        <f t="shared" si="101"/>
        <v>0</v>
      </c>
      <c r="J123" s="189"/>
      <c r="K123" s="188"/>
      <c r="L123" s="188"/>
      <c r="M123" s="244">
        <f t="shared" si="102"/>
        <v>0</v>
      </c>
      <c r="N123" s="253">
        <f t="shared" si="103"/>
        <v>0</v>
      </c>
      <c r="O123" s="198"/>
      <c r="P123" s="274" t="s">
        <v>1204</v>
      </c>
      <c r="Q123" s="239"/>
      <c r="R123" s="240"/>
      <c r="S123" s="240"/>
      <c r="T123" s="249">
        <f t="shared" si="122"/>
        <v>0</v>
      </c>
      <c r="U123" s="239"/>
      <c r="V123" s="240"/>
      <c r="W123" s="240"/>
      <c r="X123" s="249">
        <f t="shared" si="123"/>
        <v>0</v>
      </c>
      <c r="Y123" s="239"/>
      <c r="Z123" s="240"/>
      <c r="AA123" s="240"/>
      <c r="AB123" s="249">
        <f t="shared" si="124"/>
        <v>0</v>
      </c>
      <c r="AC123" s="278">
        <f t="shared" si="125"/>
        <v>0</v>
      </c>
      <c r="AD123" s="198"/>
    </row>
    <row r="124" spans="1:33" x14ac:dyDescent="0.15">
      <c r="A124" s="197"/>
      <c r="B124" s="189"/>
      <c r="C124" s="188"/>
      <c r="D124" s="188"/>
      <c r="E124" s="244">
        <f t="shared" si="104"/>
        <v>0</v>
      </c>
      <c r="F124" s="189"/>
      <c r="G124" s="188"/>
      <c r="H124" s="188"/>
      <c r="I124" s="244">
        <f t="shared" si="101"/>
        <v>0</v>
      </c>
      <c r="J124" s="189"/>
      <c r="K124" s="188"/>
      <c r="L124" s="188"/>
      <c r="M124" s="244">
        <f t="shared" si="102"/>
        <v>0</v>
      </c>
      <c r="N124" s="253">
        <f t="shared" si="103"/>
        <v>0</v>
      </c>
      <c r="O124" s="198"/>
      <c r="P124" s="193" t="s">
        <v>1212</v>
      </c>
      <c r="Q124" s="189"/>
      <c r="R124" s="188"/>
      <c r="S124" s="188"/>
      <c r="T124" s="244">
        <f t="shared" si="122"/>
        <v>0</v>
      </c>
      <c r="U124" s="189"/>
      <c r="V124" s="188"/>
      <c r="W124" s="188"/>
      <c r="X124" s="244">
        <f t="shared" si="123"/>
        <v>0</v>
      </c>
      <c r="Y124" s="189"/>
      <c r="Z124" s="188"/>
      <c r="AA124" s="188"/>
      <c r="AB124" s="244">
        <f t="shared" si="124"/>
        <v>0</v>
      </c>
      <c r="AC124" s="287">
        <f t="shared" si="125"/>
        <v>0</v>
      </c>
      <c r="AD124" s="198" t="s">
        <v>1198</v>
      </c>
      <c r="AE124" s="195"/>
    </row>
    <row r="125" spans="1:33" x14ac:dyDescent="0.15">
      <c r="A125" s="197"/>
      <c r="B125" s="189"/>
      <c r="C125" s="188"/>
      <c r="D125" s="188"/>
      <c r="E125" s="244">
        <f t="shared" si="104"/>
        <v>0</v>
      </c>
      <c r="F125" s="189"/>
      <c r="G125" s="188"/>
      <c r="H125" s="188"/>
      <c r="I125" s="244">
        <f t="shared" si="101"/>
        <v>0</v>
      </c>
      <c r="J125" s="189"/>
      <c r="K125" s="188"/>
      <c r="L125" s="188"/>
      <c r="M125" s="244">
        <f t="shared" si="102"/>
        <v>0</v>
      </c>
      <c r="N125" s="253">
        <f t="shared" si="103"/>
        <v>0</v>
      </c>
      <c r="O125" s="198"/>
      <c r="P125" s="274" t="s">
        <v>1315</v>
      </c>
      <c r="Q125" s="239"/>
      <c r="R125" s="240"/>
      <c r="S125" s="240"/>
      <c r="T125" s="249">
        <f t="shared" ref="T125:T126" si="126">SUM(Q125:S125)</f>
        <v>0</v>
      </c>
      <c r="U125" s="239"/>
      <c r="V125" s="240"/>
      <c r="W125" s="240"/>
      <c r="X125" s="249">
        <f t="shared" ref="X125:X126" si="127">SUM(U125:W125)</f>
        <v>0</v>
      </c>
      <c r="Y125" s="239"/>
      <c r="Z125" s="240"/>
      <c r="AA125" s="240"/>
      <c r="AB125" s="249">
        <f t="shared" ref="AB125:AB126" si="128">SUM(Y125:AA125)</f>
        <v>0</v>
      </c>
      <c r="AC125" s="278">
        <f t="shared" ref="AC125:AC126" si="129">T125+X125+AB125</f>
        <v>0</v>
      </c>
      <c r="AD125" s="241"/>
      <c r="AE125" s="195"/>
    </row>
    <row r="126" spans="1:33" ht="14.25" thickBot="1" x14ac:dyDescent="0.2">
      <c r="A126" s="197"/>
      <c r="B126" s="189"/>
      <c r="C126" s="188"/>
      <c r="D126" s="188"/>
      <c r="E126" s="244">
        <f t="shared" si="104"/>
        <v>0</v>
      </c>
      <c r="F126" s="189"/>
      <c r="G126" s="188"/>
      <c r="H126" s="188"/>
      <c r="I126" s="244">
        <f t="shared" si="101"/>
        <v>0</v>
      </c>
      <c r="J126" s="189"/>
      <c r="K126" s="188"/>
      <c r="L126" s="188"/>
      <c r="M126" s="244">
        <f t="shared" si="102"/>
        <v>0</v>
      </c>
      <c r="N126" s="253">
        <f t="shared" si="103"/>
        <v>0</v>
      </c>
      <c r="O126" s="198"/>
      <c r="P126" s="193" t="s">
        <v>1314</v>
      </c>
      <c r="Q126" s="189"/>
      <c r="R126" s="188"/>
      <c r="S126" s="188"/>
      <c r="T126" s="244">
        <f t="shared" si="126"/>
        <v>0</v>
      </c>
      <c r="U126" s="189"/>
      <c r="V126" s="188"/>
      <c r="W126" s="188"/>
      <c r="X126" s="244">
        <f t="shared" si="127"/>
        <v>0</v>
      </c>
      <c r="Y126" s="189"/>
      <c r="Z126" s="188"/>
      <c r="AA126" s="188"/>
      <c r="AB126" s="244">
        <f t="shared" si="128"/>
        <v>0</v>
      </c>
      <c r="AC126" s="287">
        <f t="shared" si="129"/>
        <v>0</v>
      </c>
      <c r="AD126" s="198" t="s">
        <v>1265</v>
      </c>
      <c r="AE126" s="195"/>
    </row>
    <row r="127" spans="1:33" ht="14.25" thickBot="1" x14ac:dyDescent="0.2">
      <c r="A127" s="221" t="s">
        <v>5</v>
      </c>
      <c r="B127" s="222">
        <f>SUM(B103:B126)</f>
        <v>0</v>
      </c>
      <c r="C127" s="222">
        <f>SUM(C103:C126)</f>
        <v>0</v>
      </c>
      <c r="D127" s="222">
        <f>SUM(D103:D126)</f>
        <v>1</v>
      </c>
      <c r="E127" s="251">
        <f t="shared" si="100"/>
        <v>1</v>
      </c>
      <c r="F127" s="222">
        <f>SUM(F103:F126)</f>
        <v>0</v>
      </c>
      <c r="G127" s="222">
        <f>SUM(G103:G126)</f>
        <v>0</v>
      </c>
      <c r="H127" s="222">
        <f>SUM(H103:H126)</f>
        <v>1</v>
      </c>
      <c r="I127" s="251">
        <f t="shared" si="101"/>
        <v>1</v>
      </c>
      <c r="J127" s="222">
        <f>SUM(J103:J126)</f>
        <v>0</v>
      </c>
      <c r="K127" s="222">
        <f>SUM(K103:K126)</f>
        <v>0</v>
      </c>
      <c r="L127" s="222">
        <f>SUM(L103:L126)</f>
        <v>1</v>
      </c>
      <c r="M127" s="267">
        <f t="shared" si="102"/>
        <v>1</v>
      </c>
      <c r="N127" s="272">
        <f t="shared" si="103"/>
        <v>3</v>
      </c>
      <c r="O127" s="179"/>
      <c r="P127" s="184" t="s">
        <v>5</v>
      </c>
      <c r="Q127" s="222">
        <f>SUM(Q103:Q126)</f>
        <v>13</v>
      </c>
      <c r="R127" s="222">
        <f>SUM(R103:R126)</f>
        <v>0</v>
      </c>
      <c r="S127" s="222">
        <f>SUM(S103:S126)</f>
        <v>5</v>
      </c>
      <c r="T127" s="251">
        <f t="shared" si="96"/>
        <v>18</v>
      </c>
      <c r="U127" s="222">
        <f>SUM(U103:U126)</f>
        <v>13</v>
      </c>
      <c r="V127" s="222">
        <f>SUM(V103:V126)</f>
        <v>0</v>
      </c>
      <c r="W127" s="222">
        <f>SUM(W103:W126)</f>
        <v>5</v>
      </c>
      <c r="X127" s="251">
        <f t="shared" si="97"/>
        <v>18</v>
      </c>
      <c r="Y127" s="222">
        <f>SUM(Y103:Y126)</f>
        <v>13</v>
      </c>
      <c r="Z127" s="222">
        <f>SUM(Z103:Z126)</f>
        <v>0</v>
      </c>
      <c r="AA127" s="222">
        <f>SUM(AA103:AA126)</f>
        <v>5</v>
      </c>
      <c r="AB127" s="251">
        <f t="shared" si="98"/>
        <v>18</v>
      </c>
      <c r="AC127" s="256">
        <f t="shared" si="99"/>
        <v>54</v>
      </c>
    </row>
    <row r="128" spans="1:33" ht="14.25" thickBot="1" x14ac:dyDescent="0.2">
      <c r="A128" s="223" t="s">
        <v>6</v>
      </c>
      <c r="B128" s="209">
        <f>B102-B127</f>
        <v>8</v>
      </c>
      <c r="C128" s="209">
        <f t="shared" ref="C128:E128" si="130">C102-C127</f>
        <v>7</v>
      </c>
      <c r="D128" s="209">
        <f t="shared" si="130"/>
        <v>8</v>
      </c>
      <c r="E128" s="208">
        <f t="shared" si="130"/>
        <v>23</v>
      </c>
      <c r="F128" s="209">
        <f>F102-F127</f>
        <v>8</v>
      </c>
      <c r="G128" s="209">
        <f t="shared" ref="G128:I128" si="131">G102-G127</f>
        <v>8</v>
      </c>
      <c r="H128" s="209">
        <f t="shared" si="131"/>
        <v>7</v>
      </c>
      <c r="I128" s="246">
        <f t="shared" si="131"/>
        <v>23</v>
      </c>
      <c r="J128" s="209">
        <f>J102-J127</f>
        <v>9</v>
      </c>
      <c r="K128" s="209">
        <f t="shared" ref="K128:M128" si="132">K102-K127</f>
        <v>7</v>
      </c>
      <c r="L128" s="209">
        <f t="shared" si="132"/>
        <v>7</v>
      </c>
      <c r="M128" s="266">
        <f t="shared" si="132"/>
        <v>23</v>
      </c>
      <c r="N128" s="271">
        <f t="shared" si="103"/>
        <v>69</v>
      </c>
      <c r="O128" s="179"/>
      <c r="P128" s="224" t="s">
        <v>6</v>
      </c>
      <c r="Q128" s="209">
        <f>Q102-Q127</f>
        <v>355</v>
      </c>
      <c r="R128" s="209">
        <f t="shared" ref="R128:T128" si="133">R102-R127</f>
        <v>246</v>
      </c>
      <c r="S128" s="209">
        <f t="shared" si="133"/>
        <v>201</v>
      </c>
      <c r="T128" s="246">
        <f t="shared" si="133"/>
        <v>802</v>
      </c>
      <c r="U128" s="209">
        <f>U102-U127</f>
        <v>358</v>
      </c>
      <c r="V128" s="209">
        <f t="shared" ref="V128:X128" si="134">V102-V127</f>
        <v>248</v>
      </c>
      <c r="W128" s="209">
        <f t="shared" si="134"/>
        <v>204</v>
      </c>
      <c r="X128" s="246">
        <f t="shared" si="134"/>
        <v>810</v>
      </c>
      <c r="Y128" s="209">
        <f>Y102-Y127</f>
        <v>358</v>
      </c>
      <c r="Z128" s="209">
        <f t="shared" ref="Z128:AB128" si="135">Z102-Z127</f>
        <v>248</v>
      </c>
      <c r="AA128" s="209">
        <f t="shared" si="135"/>
        <v>201</v>
      </c>
      <c r="AB128" s="246">
        <f t="shared" si="135"/>
        <v>807</v>
      </c>
      <c r="AC128" s="256">
        <f t="shared" si="99"/>
        <v>2419</v>
      </c>
    </row>
    <row r="129" spans="1:30" x14ac:dyDescent="0.15">
      <c r="A129" s="172"/>
      <c r="N129" s="172"/>
      <c r="AC129" s="172"/>
    </row>
    <row r="130" spans="1:30" x14ac:dyDescent="0.15">
      <c r="A130" s="172"/>
      <c r="N130" s="172"/>
      <c r="AC130" s="172"/>
    </row>
    <row r="131" spans="1:30" ht="19.5" thickBot="1" x14ac:dyDescent="0.25">
      <c r="A131" s="177" t="s">
        <v>1183</v>
      </c>
      <c r="B131" s="178"/>
      <c r="C131" s="178"/>
      <c r="D131" s="178"/>
      <c r="E131" s="178"/>
      <c r="F131" s="179"/>
      <c r="G131" s="179"/>
      <c r="H131" s="179"/>
      <c r="I131" s="179"/>
      <c r="J131" s="179"/>
      <c r="K131" s="179"/>
      <c r="L131" s="179"/>
      <c r="M131" s="179"/>
      <c r="N131" s="180"/>
      <c r="P131" s="177" t="s">
        <v>1184</v>
      </c>
      <c r="Q131" s="178"/>
      <c r="R131" s="178"/>
      <c r="S131" s="178"/>
      <c r="T131" s="178"/>
      <c r="Y131" s="179"/>
      <c r="Z131" s="181"/>
      <c r="AA131" s="179"/>
      <c r="AB131" s="179"/>
    </row>
    <row r="132" spans="1:30" ht="14.25" thickBot="1" x14ac:dyDescent="0.2">
      <c r="A132" s="182" t="s">
        <v>0</v>
      </c>
      <c r="B132" s="350" t="s">
        <v>11</v>
      </c>
      <c r="C132" s="350"/>
      <c r="D132" s="350"/>
      <c r="E132" s="351"/>
      <c r="F132" s="349" t="s">
        <v>9</v>
      </c>
      <c r="G132" s="350"/>
      <c r="H132" s="350"/>
      <c r="I132" s="351"/>
      <c r="J132" s="349" t="s">
        <v>12</v>
      </c>
      <c r="K132" s="350"/>
      <c r="L132" s="350"/>
      <c r="M132" s="350"/>
      <c r="N132" s="352" t="s">
        <v>13</v>
      </c>
      <c r="P132" s="183" t="s">
        <v>0</v>
      </c>
      <c r="Q132" s="350" t="s">
        <v>11</v>
      </c>
      <c r="R132" s="350"/>
      <c r="S132" s="350"/>
      <c r="T132" s="351"/>
      <c r="U132" s="349" t="s">
        <v>9</v>
      </c>
      <c r="V132" s="350"/>
      <c r="W132" s="350"/>
      <c r="X132" s="351"/>
      <c r="Y132" s="349" t="s">
        <v>12</v>
      </c>
      <c r="Z132" s="350"/>
      <c r="AA132" s="350"/>
      <c r="AB132" s="350"/>
      <c r="AC132" s="354" t="s">
        <v>13</v>
      </c>
    </row>
    <row r="133" spans="1:30" ht="14.25" thickBot="1" x14ac:dyDescent="0.2">
      <c r="A133" s="182" t="s">
        <v>1</v>
      </c>
      <c r="B133" s="184" t="s">
        <v>922</v>
      </c>
      <c r="C133" s="183" t="s">
        <v>923</v>
      </c>
      <c r="D133" s="183" t="s">
        <v>924</v>
      </c>
      <c r="E133" s="242" t="s">
        <v>2</v>
      </c>
      <c r="F133" s="184" t="s">
        <v>922</v>
      </c>
      <c r="G133" s="183" t="s">
        <v>923</v>
      </c>
      <c r="H133" s="183" t="s">
        <v>924</v>
      </c>
      <c r="I133" s="242" t="s">
        <v>2</v>
      </c>
      <c r="J133" s="184" t="s">
        <v>922</v>
      </c>
      <c r="K133" s="183" t="s">
        <v>923</v>
      </c>
      <c r="L133" s="183" t="s">
        <v>924</v>
      </c>
      <c r="M133" s="252" t="s">
        <v>2</v>
      </c>
      <c r="N133" s="353"/>
      <c r="P133" s="183" t="s">
        <v>1</v>
      </c>
      <c r="Q133" s="184" t="s">
        <v>922</v>
      </c>
      <c r="R133" s="183" t="s">
        <v>923</v>
      </c>
      <c r="S133" s="183" t="s">
        <v>924</v>
      </c>
      <c r="T133" s="242" t="s">
        <v>2</v>
      </c>
      <c r="U133" s="184" t="s">
        <v>922</v>
      </c>
      <c r="V133" s="183" t="s">
        <v>923</v>
      </c>
      <c r="W133" s="183" t="s">
        <v>924</v>
      </c>
      <c r="X133" s="242" t="s">
        <v>2</v>
      </c>
      <c r="Y133" s="184" t="s">
        <v>922</v>
      </c>
      <c r="Z133" s="183" t="s">
        <v>923</v>
      </c>
      <c r="AA133" s="183" t="s">
        <v>924</v>
      </c>
      <c r="AB133" s="252" t="s">
        <v>2</v>
      </c>
      <c r="AC133" s="355"/>
    </row>
    <row r="134" spans="1:30" x14ac:dyDescent="0.15">
      <c r="A134" s="225" t="s">
        <v>6</v>
      </c>
      <c r="B134" s="226">
        <f>B128</f>
        <v>8</v>
      </c>
      <c r="C134" s="226">
        <f t="shared" ref="C134:E134" si="136">C128</f>
        <v>7</v>
      </c>
      <c r="D134" s="226">
        <f t="shared" si="136"/>
        <v>8</v>
      </c>
      <c r="E134" s="260">
        <f t="shared" si="136"/>
        <v>23</v>
      </c>
      <c r="F134" s="226">
        <f>F128</f>
        <v>8</v>
      </c>
      <c r="G134" s="226">
        <f t="shared" ref="G134:I134" si="137">G128</f>
        <v>8</v>
      </c>
      <c r="H134" s="226">
        <f t="shared" si="137"/>
        <v>7</v>
      </c>
      <c r="I134" s="260">
        <f t="shared" si="137"/>
        <v>23</v>
      </c>
      <c r="J134" s="226">
        <f>J128</f>
        <v>9</v>
      </c>
      <c r="K134" s="226">
        <f t="shared" ref="K134:M134" si="138">K128</f>
        <v>7</v>
      </c>
      <c r="L134" s="226">
        <f t="shared" si="138"/>
        <v>7</v>
      </c>
      <c r="M134" s="260">
        <f t="shared" si="138"/>
        <v>23</v>
      </c>
      <c r="N134" s="273">
        <f>E134+I134+M134</f>
        <v>69</v>
      </c>
      <c r="P134" s="215" t="s">
        <v>6</v>
      </c>
      <c r="Q134" s="226">
        <f>Q128</f>
        <v>355</v>
      </c>
      <c r="R134" s="226">
        <f t="shared" ref="R134:T134" si="139">R128</f>
        <v>246</v>
      </c>
      <c r="S134" s="226">
        <f t="shared" si="139"/>
        <v>201</v>
      </c>
      <c r="T134" s="260">
        <f t="shared" si="139"/>
        <v>802</v>
      </c>
      <c r="U134" s="226">
        <f>U128</f>
        <v>358</v>
      </c>
      <c r="V134" s="226">
        <f t="shared" ref="V134:X134" si="140">V128</f>
        <v>248</v>
      </c>
      <c r="W134" s="226">
        <f t="shared" si="140"/>
        <v>204</v>
      </c>
      <c r="X134" s="260">
        <f t="shared" si="140"/>
        <v>810</v>
      </c>
      <c r="Y134" s="226">
        <f>Y128</f>
        <v>358</v>
      </c>
      <c r="Z134" s="226">
        <f t="shared" ref="Z134:AB134" si="141">Z128</f>
        <v>248</v>
      </c>
      <c r="AA134" s="226">
        <f t="shared" si="141"/>
        <v>201</v>
      </c>
      <c r="AB134" s="260">
        <f t="shared" si="141"/>
        <v>807</v>
      </c>
      <c r="AC134" s="258">
        <f>T134+X134+AB134</f>
        <v>2419</v>
      </c>
    </row>
    <row r="135" spans="1:30" x14ac:dyDescent="0.15">
      <c r="A135" s="191" t="s">
        <v>3</v>
      </c>
      <c r="B135" s="199"/>
      <c r="C135" s="197"/>
      <c r="D135" s="197">
        <v>5</v>
      </c>
      <c r="E135" s="243">
        <f t="shared" ref="E135:E144" si="142">SUM(B135:D135)</f>
        <v>5</v>
      </c>
      <c r="F135" s="199"/>
      <c r="G135" s="197"/>
      <c r="H135" s="197">
        <v>5</v>
      </c>
      <c r="I135" s="243">
        <f t="shared" ref="I135:I170" si="143">SUM(F135:H135)</f>
        <v>5</v>
      </c>
      <c r="J135" s="186"/>
      <c r="K135" s="187"/>
      <c r="L135" s="187">
        <v>5</v>
      </c>
      <c r="M135" s="243">
        <f t="shared" ref="M135:M170" si="144">SUM(J135:L135)</f>
        <v>5</v>
      </c>
      <c r="N135" s="253">
        <f t="shared" ref="N135:N171" si="145">E135+I135+M135</f>
        <v>15</v>
      </c>
      <c r="O135" s="232">
        <v>46053</v>
      </c>
      <c r="P135" s="191" t="s">
        <v>3</v>
      </c>
      <c r="Q135" s="199"/>
      <c r="R135" s="197"/>
      <c r="S135" s="197"/>
      <c r="T135" s="243">
        <f t="shared" ref="T135:T170" si="146">SUM(Q135:S135)</f>
        <v>0</v>
      </c>
      <c r="U135" s="199"/>
      <c r="V135" s="197"/>
      <c r="W135" s="197"/>
      <c r="X135" s="243">
        <f t="shared" ref="X135:X170" si="147">SUM(U135:W135)</f>
        <v>0</v>
      </c>
      <c r="Y135" s="186"/>
      <c r="Z135" s="187"/>
      <c r="AA135" s="187"/>
      <c r="AB135" s="243">
        <f t="shared" ref="AB135:AB170" si="148">SUM(Y135:AA135)</f>
        <v>0</v>
      </c>
      <c r="AC135" s="253">
        <f t="shared" ref="AC135:AC171" si="149">T135+X135+AB135</f>
        <v>0</v>
      </c>
      <c r="AD135" s="198"/>
    </row>
    <row r="136" spans="1:30" x14ac:dyDescent="0.15">
      <c r="A136" s="191" t="s">
        <v>3</v>
      </c>
      <c r="B136" s="186"/>
      <c r="C136" s="187"/>
      <c r="D136" s="187"/>
      <c r="E136" s="244">
        <f t="shared" si="142"/>
        <v>0</v>
      </c>
      <c r="F136" s="186"/>
      <c r="G136" s="187"/>
      <c r="H136" s="187"/>
      <c r="I136" s="244">
        <f t="shared" si="143"/>
        <v>0</v>
      </c>
      <c r="J136" s="196"/>
      <c r="K136" s="197"/>
      <c r="L136" s="197"/>
      <c r="M136" s="243">
        <f t="shared" si="144"/>
        <v>0</v>
      </c>
      <c r="N136" s="253">
        <f t="shared" si="145"/>
        <v>0</v>
      </c>
      <c r="P136" s="191" t="s">
        <v>3</v>
      </c>
      <c r="Q136" s="186"/>
      <c r="R136" s="187"/>
      <c r="S136" s="187"/>
      <c r="T136" s="244">
        <f t="shared" si="146"/>
        <v>0</v>
      </c>
      <c r="U136" s="186"/>
      <c r="V136" s="187"/>
      <c r="W136" s="187"/>
      <c r="X136" s="244">
        <f t="shared" si="147"/>
        <v>0</v>
      </c>
      <c r="Y136" s="196"/>
      <c r="Z136" s="197"/>
      <c r="AA136" s="197"/>
      <c r="AB136" s="243">
        <f t="shared" si="148"/>
        <v>0</v>
      </c>
      <c r="AC136" s="253">
        <f t="shared" si="149"/>
        <v>0</v>
      </c>
      <c r="AD136" s="198"/>
    </row>
    <row r="137" spans="1:30" x14ac:dyDescent="0.15">
      <c r="A137" s="191" t="s">
        <v>3</v>
      </c>
      <c r="B137" s="199"/>
      <c r="C137" s="197"/>
      <c r="D137" s="197"/>
      <c r="E137" s="243">
        <f t="shared" si="142"/>
        <v>0</v>
      </c>
      <c r="F137" s="199"/>
      <c r="G137" s="197"/>
      <c r="H137" s="197"/>
      <c r="I137" s="243">
        <f t="shared" si="143"/>
        <v>0</v>
      </c>
      <c r="J137" s="196"/>
      <c r="K137" s="197"/>
      <c r="L137" s="197"/>
      <c r="M137" s="243">
        <f t="shared" si="144"/>
        <v>0</v>
      </c>
      <c r="N137" s="253">
        <f t="shared" si="145"/>
        <v>0</v>
      </c>
      <c r="P137" s="191" t="s">
        <v>3</v>
      </c>
      <c r="Q137" s="199"/>
      <c r="R137" s="197"/>
      <c r="S137" s="197"/>
      <c r="T137" s="243">
        <f t="shared" si="146"/>
        <v>0</v>
      </c>
      <c r="U137" s="199"/>
      <c r="V137" s="197"/>
      <c r="W137" s="197"/>
      <c r="X137" s="243">
        <f t="shared" si="147"/>
        <v>0</v>
      </c>
      <c r="Y137" s="196"/>
      <c r="Z137" s="197"/>
      <c r="AA137" s="197"/>
      <c r="AB137" s="243">
        <f t="shared" si="148"/>
        <v>0</v>
      </c>
      <c r="AC137" s="253">
        <f t="shared" si="149"/>
        <v>0</v>
      </c>
      <c r="AD137" s="198"/>
    </row>
    <row r="138" spans="1:30" x14ac:dyDescent="0.15">
      <c r="A138" s="191" t="s">
        <v>3</v>
      </c>
      <c r="B138" s="199"/>
      <c r="C138" s="197"/>
      <c r="D138" s="197"/>
      <c r="E138" s="243">
        <f t="shared" si="142"/>
        <v>0</v>
      </c>
      <c r="F138" s="199"/>
      <c r="G138" s="197"/>
      <c r="H138" s="197"/>
      <c r="I138" s="243">
        <f t="shared" si="143"/>
        <v>0</v>
      </c>
      <c r="J138" s="196"/>
      <c r="K138" s="197"/>
      <c r="L138" s="197"/>
      <c r="M138" s="243">
        <f t="shared" si="144"/>
        <v>0</v>
      </c>
      <c r="N138" s="253">
        <f t="shared" si="145"/>
        <v>0</v>
      </c>
      <c r="P138" s="191" t="s">
        <v>3</v>
      </c>
      <c r="Q138" s="199"/>
      <c r="R138" s="197"/>
      <c r="S138" s="197"/>
      <c r="T138" s="243">
        <f t="shared" si="146"/>
        <v>0</v>
      </c>
      <c r="U138" s="199"/>
      <c r="V138" s="197"/>
      <c r="W138" s="197"/>
      <c r="X138" s="243">
        <f t="shared" si="147"/>
        <v>0</v>
      </c>
      <c r="Y138" s="196"/>
      <c r="Z138" s="197"/>
      <c r="AA138" s="197"/>
      <c r="AB138" s="243">
        <f t="shared" si="148"/>
        <v>0</v>
      </c>
      <c r="AC138" s="253">
        <f t="shared" si="149"/>
        <v>0</v>
      </c>
      <c r="AD138" s="198"/>
    </row>
    <row r="139" spans="1:30" x14ac:dyDescent="0.15">
      <c r="A139" s="191" t="s">
        <v>3</v>
      </c>
      <c r="B139" s="199"/>
      <c r="C139" s="197"/>
      <c r="D139" s="197"/>
      <c r="E139" s="243">
        <f t="shared" si="142"/>
        <v>0</v>
      </c>
      <c r="F139" s="199"/>
      <c r="G139" s="197"/>
      <c r="H139" s="197"/>
      <c r="I139" s="243">
        <f t="shared" si="143"/>
        <v>0</v>
      </c>
      <c r="J139" s="196"/>
      <c r="K139" s="197"/>
      <c r="L139" s="197"/>
      <c r="M139" s="243">
        <f t="shared" si="144"/>
        <v>0</v>
      </c>
      <c r="N139" s="253">
        <f t="shared" si="145"/>
        <v>0</v>
      </c>
      <c r="P139" s="191" t="s">
        <v>3</v>
      </c>
      <c r="Q139" s="199"/>
      <c r="R139" s="197"/>
      <c r="S139" s="197"/>
      <c r="T139" s="243">
        <f t="shared" si="146"/>
        <v>0</v>
      </c>
      <c r="U139" s="199"/>
      <c r="V139" s="197"/>
      <c r="W139" s="197"/>
      <c r="X139" s="243">
        <f t="shared" si="147"/>
        <v>0</v>
      </c>
      <c r="Y139" s="196"/>
      <c r="Z139" s="197"/>
      <c r="AA139" s="197"/>
      <c r="AB139" s="243">
        <f t="shared" si="148"/>
        <v>0</v>
      </c>
      <c r="AC139" s="253">
        <f t="shared" si="149"/>
        <v>0</v>
      </c>
      <c r="AD139" s="198"/>
    </row>
    <row r="140" spans="1:30" x14ac:dyDescent="0.15">
      <c r="A140" s="191" t="s">
        <v>3</v>
      </c>
      <c r="B140" s="199"/>
      <c r="C140" s="197"/>
      <c r="D140" s="197"/>
      <c r="E140" s="243">
        <f t="shared" si="142"/>
        <v>0</v>
      </c>
      <c r="F140" s="199"/>
      <c r="G140" s="197"/>
      <c r="H140" s="197"/>
      <c r="I140" s="243">
        <f t="shared" si="143"/>
        <v>0</v>
      </c>
      <c r="J140" s="186"/>
      <c r="K140" s="187"/>
      <c r="L140" s="187"/>
      <c r="M140" s="244">
        <f t="shared" si="144"/>
        <v>0</v>
      </c>
      <c r="N140" s="253">
        <f t="shared" si="145"/>
        <v>0</v>
      </c>
      <c r="P140" s="191" t="s">
        <v>3</v>
      </c>
      <c r="Q140" s="199"/>
      <c r="R140" s="197"/>
      <c r="S140" s="197"/>
      <c r="T140" s="243">
        <f t="shared" si="146"/>
        <v>0</v>
      </c>
      <c r="U140" s="199"/>
      <c r="V140" s="197"/>
      <c r="W140" s="197"/>
      <c r="X140" s="243">
        <f t="shared" si="147"/>
        <v>0</v>
      </c>
      <c r="Y140" s="186"/>
      <c r="Z140" s="187"/>
      <c r="AA140" s="187"/>
      <c r="AB140" s="244">
        <f t="shared" si="148"/>
        <v>0</v>
      </c>
      <c r="AC140" s="253">
        <f t="shared" si="149"/>
        <v>0</v>
      </c>
      <c r="AD140" s="198"/>
    </row>
    <row r="141" spans="1:30" x14ac:dyDescent="0.15">
      <c r="A141" s="191" t="s">
        <v>3</v>
      </c>
      <c r="B141" s="200"/>
      <c r="C141" s="187"/>
      <c r="D141" s="187"/>
      <c r="E141" s="243">
        <f t="shared" si="142"/>
        <v>0</v>
      </c>
      <c r="F141" s="200"/>
      <c r="G141" s="187"/>
      <c r="H141" s="187"/>
      <c r="I141" s="243">
        <f t="shared" si="143"/>
        <v>0</v>
      </c>
      <c r="J141" s="186"/>
      <c r="K141" s="187"/>
      <c r="L141" s="187"/>
      <c r="M141" s="243">
        <f t="shared" si="144"/>
        <v>0</v>
      </c>
      <c r="N141" s="253">
        <f t="shared" si="145"/>
        <v>0</v>
      </c>
      <c r="P141" s="191" t="s">
        <v>3</v>
      </c>
      <c r="Q141" s="200"/>
      <c r="R141" s="187"/>
      <c r="S141" s="187"/>
      <c r="T141" s="243">
        <f t="shared" si="146"/>
        <v>0</v>
      </c>
      <c r="U141" s="200"/>
      <c r="V141" s="187"/>
      <c r="W141" s="187"/>
      <c r="X141" s="243">
        <f t="shared" si="147"/>
        <v>0</v>
      </c>
      <c r="Y141" s="186"/>
      <c r="Z141" s="187"/>
      <c r="AA141" s="187"/>
      <c r="AB141" s="243">
        <f t="shared" si="148"/>
        <v>0</v>
      </c>
      <c r="AC141" s="253">
        <f t="shared" si="149"/>
        <v>0</v>
      </c>
      <c r="AD141" s="198"/>
    </row>
    <row r="142" spans="1:30" x14ac:dyDescent="0.15">
      <c r="A142" s="191" t="s">
        <v>3</v>
      </c>
      <c r="B142" s="199"/>
      <c r="C142" s="197"/>
      <c r="D142" s="197"/>
      <c r="E142" s="243">
        <f t="shared" si="142"/>
        <v>0</v>
      </c>
      <c r="F142" s="199"/>
      <c r="G142" s="197"/>
      <c r="H142" s="197"/>
      <c r="I142" s="243">
        <f t="shared" si="143"/>
        <v>0</v>
      </c>
      <c r="J142" s="186"/>
      <c r="K142" s="187"/>
      <c r="L142" s="187"/>
      <c r="M142" s="243">
        <f t="shared" si="144"/>
        <v>0</v>
      </c>
      <c r="N142" s="253">
        <f t="shared" si="145"/>
        <v>0</v>
      </c>
      <c r="P142" s="191" t="s">
        <v>3</v>
      </c>
      <c r="Q142" s="199"/>
      <c r="R142" s="197"/>
      <c r="S142" s="197"/>
      <c r="T142" s="243">
        <f t="shared" si="146"/>
        <v>0</v>
      </c>
      <c r="U142" s="199"/>
      <c r="V142" s="197"/>
      <c r="W142" s="197"/>
      <c r="X142" s="243">
        <f t="shared" si="147"/>
        <v>0</v>
      </c>
      <c r="Y142" s="186"/>
      <c r="Z142" s="187"/>
      <c r="AA142" s="187"/>
      <c r="AB142" s="243">
        <f t="shared" si="148"/>
        <v>0</v>
      </c>
      <c r="AC142" s="253">
        <f t="shared" si="149"/>
        <v>0</v>
      </c>
      <c r="AD142" s="198"/>
    </row>
    <row r="143" spans="1:30" x14ac:dyDescent="0.15">
      <c r="A143" s="191" t="s">
        <v>3</v>
      </c>
      <c r="B143" s="200"/>
      <c r="C143" s="187"/>
      <c r="D143" s="187"/>
      <c r="E143" s="243">
        <f t="shared" si="142"/>
        <v>0</v>
      </c>
      <c r="F143" s="200"/>
      <c r="G143" s="187"/>
      <c r="H143" s="187"/>
      <c r="I143" s="243">
        <f t="shared" si="143"/>
        <v>0</v>
      </c>
      <c r="J143" s="186"/>
      <c r="K143" s="187"/>
      <c r="L143" s="187"/>
      <c r="M143" s="243">
        <f t="shared" si="144"/>
        <v>0</v>
      </c>
      <c r="N143" s="253">
        <f t="shared" si="145"/>
        <v>0</v>
      </c>
      <c r="P143" s="191" t="s">
        <v>3</v>
      </c>
      <c r="Q143" s="200"/>
      <c r="R143" s="187"/>
      <c r="S143" s="187"/>
      <c r="T143" s="243">
        <f t="shared" si="146"/>
        <v>0</v>
      </c>
      <c r="U143" s="200"/>
      <c r="V143" s="187"/>
      <c r="W143" s="187"/>
      <c r="X143" s="243">
        <f t="shared" si="147"/>
        <v>0</v>
      </c>
      <c r="Y143" s="186"/>
      <c r="Z143" s="187"/>
      <c r="AA143" s="187"/>
      <c r="AB143" s="243">
        <f t="shared" si="148"/>
        <v>0</v>
      </c>
      <c r="AC143" s="253">
        <f t="shared" si="149"/>
        <v>0</v>
      </c>
      <c r="AD143" s="198"/>
    </row>
    <row r="144" spans="1:30" ht="14.25" thickBot="1" x14ac:dyDescent="0.2">
      <c r="A144" s="206" t="s">
        <v>3</v>
      </c>
      <c r="B144" s="202"/>
      <c r="C144" s="203"/>
      <c r="D144" s="203"/>
      <c r="E144" s="245">
        <f t="shared" si="142"/>
        <v>0</v>
      </c>
      <c r="F144" s="202"/>
      <c r="G144" s="203"/>
      <c r="H144" s="203"/>
      <c r="I144" s="245">
        <f t="shared" si="143"/>
        <v>0</v>
      </c>
      <c r="J144" s="205"/>
      <c r="K144" s="203"/>
      <c r="L144" s="204"/>
      <c r="M144" s="245">
        <f t="shared" si="144"/>
        <v>0</v>
      </c>
      <c r="N144" s="255">
        <f t="shared" si="145"/>
        <v>0</v>
      </c>
      <c r="P144" s="206" t="s">
        <v>3</v>
      </c>
      <c r="Q144" s="202"/>
      <c r="R144" s="203"/>
      <c r="S144" s="203"/>
      <c r="T144" s="245">
        <f t="shared" si="146"/>
        <v>0</v>
      </c>
      <c r="U144" s="202"/>
      <c r="V144" s="203"/>
      <c r="W144" s="203"/>
      <c r="X144" s="245">
        <f t="shared" si="147"/>
        <v>0</v>
      </c>
      <c r="Y144" s="205"/>
      <c r="Z144" s="203"/>
      <c r="AA144" s="204"/>
      <c r="AB144" s="245">
        <f t="shared" si="148"/>
        <v>0</v>
      </c>
      <c r="AC144" s="255">
        <f t="shared" si="149"/>
        <v>0</v>
      </c>
      <c r="AD144" s="198"/>
    </row>
    <row r="145" spans="1:30" ht="14.25" thickBot="1" x14ac:dyDescent="0.2">
      <c r="A145" s="207" t="s">
        <v>4</v>
      </c>
      <c r="B145" s="208">
        <f>SUM(B134:B144)</f>
        <v>8</v>
      </c>
      <c r="C145" s="208">
        <f>SUM(C134:C144)</f>
        <v>7</v>
      </c>
      <c r="D145" s="208">
        <f>SUM(D134:D144)</f>
        <v>13</v>
      </c>
      <c r="E145" s="246">
        <f t="shared" ref="E145:E170" si="150">SUM(B145:D145)</f>
        <v>28</v>
      </c>
      <c r="F145" s="208">
        <f>SUM(F134:F144)</f>
        <v>8</v>
      </c>
      <c r="G145" s="208">
        <f>SUM(G134:G144)</f>
        <v>8</v>
      </c>
      <c r="H145" s="208">
        <f>SUM(H134:H144)</f>
        <v>12</v>
      </c>
      <c r="I145" s="246">
        <f t="shared" si="143"/>
        <v>28</v>
      </c>
      <c r="J145" s="208">
        <f>SUM(J134:J144)</f>
        <v>9</v>
      </c>
      <c r="K145" s="208">
        <f>SUM(K134:K144)</f>
        <v>7</v>
      </c>
      <c r="L145" s="208">
        <f>SUM(L134:L144)</f>
        <v>12</v>
      </c>
      <c r="M145" s="266">
        <f t="shared" si="144"/>
        <v>28</v>
      </c>
      <c r="N145" s="271">
        <f t="shared" si="145"/>
        <v>84</v>
      </c>
      <c r="P145" s="210" t="s">
        <v>4</v>
      </c>
      <c r="Q145" s="208">
        <f>SUM(Q134:Q144)</f>
        <v>355</v>
      </c>
      <c r="R145" s="208">
        <f>SUM(R134:R144)</f>
        <v>246</v>
      </c>
      <c r="S145" s="208">
        <f>SUM(S134:S144)</f>
        <v>201</v>
      </c>
      <c r="T145" s="246">
        <f t="shared" si="146"/>
        <v>802</v>
      </c>
      <c r="U145" s="208">
        <f>SUM(U134:U144)</f>
        <v>358</v>
      </c>
      <c r="V145" s="208">
        <f>SUM(V134:V144)</f>
        <v>248</v>
      </c>
      <c r="W145" s="208">
        <f>SUM(W134:W144)</f>
        <v>204</v>
      </c>
      <c r="X145" s="246">
        <f t="shared" si="147"/>
        <v>810</v>
      </c>
      <c r="Y145" s="208">
        <f>SUM(Y134:Y144)</f>
        <v>358</v>
      </c>
      <c r="Z145" s="208">
        <f>SUM(Z134:Z144)</f>
        <v>248</v>
      </c>
      <c r="AA145" s="208">
        <f>SUM(AA134:AA144)</f>
        <v>201</v>
      </c>
      <c r="AB145" s="246">
        <f t="shared" si="148"/>
        <v>807</v>
      </c>
      <c r="AC145" s="256">
        <f t="shared" si="149"/>
        <v>2419</v>
      </c>
    </row>
    <row r="146" spans="1:30" x14ac:dyDescent="0.15">
      <c r="A146" s="197" t="s">
        <v>1419</v>
      </c>
      <c r="B146" s="189"/>
      <c r="C146" s="188">
        <v>3</v>
      </c>
      <c r="D146" s="188"/>
      <c r="E146" s="244">
        <f t="shared" si="150"/>
        <v>3</v>
      </c>
      <c r="F146" s="189"/>
      <c r="G146" s="188">
        <v>3</v>
      </c>
      <c r="H146" s="188"/>
      <c r="I146" s="244">
        <f t="shared" si="143"/>
        <v>3</v>
      </c>
      <c r="J146" s="189"/>
      <c r="K146" s="188">
        <v>3</v>
      </c>
      <c r="L146" s="188"/>
      <c r="M146" s="244">
        <f t="shared" si="144"/>
        <v>3</v>
      </c>
      <c r="N146" s="253">
        <f t="shared" si="145"/>
        <v>9</v>
      </c>
      <c r="O146" s="194">
        <v>46030</v>
      </c>
      <c r="P146" s="197" t="s">
        <v>53</v>
      </c>
      <c r="Q146" s="189">
        <v>1</v>
      </c>
      <c r="R146" s="188">
        <v>2</v>
      </c>
      <c r="S146" s="188"/>
      <c r="T146" s="244">
        <f t="shared" si="146"/>
        <v>3</v>
      </c>
      <c r="U146" s="189">
        <v>1</v>
      </c>
      <c r="V146" s="188">
        <v>2</v>
      </c>
      <c r="W146" s="188"/>
      <c r="X146" s="244">
        <f t="shared" si="147"/>
        <v>3</v>
      </c>
      <c r="Y146" s="189">
        <v>1</v>
      </c>
      <c r="Z146" s="188">
        <v>2</v>
      </c>
      <c r="AA146" s="188"/>
      <c r="AB146" s="244">
        <f t="shared" si="148"/>
        <v>3</v>
      </c>
      <c r="AC146" s="253">
        <f t="shared" si="149"/>
        <v>9</v>
      </c>
      <c r="AD146" s="194">
        <v>46029</v>
      </c>
    </row>
    <row r="147" spans="1:30" x14ac:dyDescent="0.15">
      <c r="A147" s="197" t="s">
        <v>55</v>
      </c>
      <c r="B147" s="189">
        <v>2</v>
      </c>
      <c r="C147" s="188"/>
      <c r="D147" s="188"/>
      <c r="E147" s="244">
        <f t="shared" si="150"/>
        <v>2</v>
      </c>
      <c r="F147" s="189">
        <v>2</v>
      </c>
      <c r="G147" s="188"/>
      <c r="H147" s="188"/>
      <c r="I147" s="244">
        <f t="shared" si="143"/>
        <v>2</v>
      </c>
      <c r="J147" s="189">
        <v>2</v>
      </c>
      <c r="K147" s="188"/>
      <c r="L147" s="188"/>
      <c r="M147" s="244">
        <f t="shared" si="144"/>
        <v>2</v>
      </c>
      <c r="N147" s="253">
        <f t="shared" si="145"/>
        <v>6</v>
      </c>
      <c r="O147" s="194">
        <v>46038</v>
      </c>
      <c r="P147" s="197" t="s">
        <v>54</v>
      </c>
      <c r="Q147" s="189">
        <v>6</v>
      </c>
      <c r="R147" s="188"/>
      <c r="S147" s="188"/>
      <c r="T147" s="244">
        <f t="shared" si="146"/>
        <v>6</v>
      </c>
      <c r="U147" s="189">
        <v>6</v>
      </c>
      <c r="V147" s="188"/>
      <c r="W147" s="188"/>
      <c r="X147" s="244">
        <f t="shared" si="147"/>
        <v>6</v>
      </c>
      <c r="Y147" s="189">
        <v>6</v>
      </c>
      <c r="Z147" s="188"/>
      <c r="AA147" s="188"/>
      <c r="AB147" s="244">
        <f t="shared" si="148"/>
        <v>6</v>
      </c>
      <c r="AC147" s="253">
        <f t="shared" si="149"/>
        <v>18</v>
      </c>
      <c r="AD147" s="194">
        <v>46037</v>
      </c>
    </row>
    <row r="148" spans="1:30" x14ac:dyDescent="0.15">
      <c r="A148" s="197" t="s">
        <v>61</v>
      </c>
      <c r="B148" s="189">
        <v>1</v>
      </c>
      <c r="C148" s="188"/>
      <c r="D148" s="188"/>
      <c r="E148" s="244">
        <f t="shared" si="150"/>
        <v>1</v>
      </c>
      <c r="F148" s="189">
        <v>1</v>
      </c>
      <c r="G148" s="188"/>
      <c r="H148" s="188"/>
      <c r="I148" s="244">
        <f t="shared" si="143"/>
        <v>1</v>
      </c>
      <c r="J148" s="189">
        <v>1</v>
      </c>
      <c r="K148" s="188"/>
      <c r="L148" s="188"/>
      <c r="M148" s="244">
        <f t="shared" si="144"/>
        <v>1</v>
      </c>
      <c r="N148" s="253">
        <f t="shared" si="145"/>
        <v>3</v>
      </c>
      <c r="O148" s="194">
        <v>46051</v>
      </c>
      <c r="P148" s="197" t="s">
        <v>60</v>
      </c>
      <c r="Q148" s="189">
        <v>2</v>
      </c>
      <c r="R148" s="188">
        <v>2</v>
      </c>
      <c r="S148" s="188">
        <v>2</v>
      </c>
      <c r="T148" s="244">
        <f t="shared" si="146"/>
        <v>6</v>
      </c>
      <c r="U148" s="189">
        <v>2</v>
      </c>
      <c r="V148" s="188">
        <v>2</v>
      </c>
      <c r="W148" s="188">
        <v>2</v>
      </c>
      <c r="X148" s="244">
        <f t="shared" si="147"/>
        <v>6</v>
      </c>
      <c r="Y148" s="189">
        <v>2</v>
      </c>
      <c r="Z148" s="188">
        <v>2</v>
      </c>
      <c r="AA148" s="188">
        <v>2</v>
      </c>
      <c r="AB148" s="244">
        <f t="shared" si="148"/>
        <v>6</v>
      </c>
      <c r="AC148" s="253">
        <f t="shared" si="149"/>
        <v>18</v>
      </c>
      <c r="AD148" s="194">
        <v>46038</v>
      </c>
    </row>
    <row r="149" spans="1:30" x14ac:dyDescent="0.15">
      <c r="A149" s="197" t="s">
        <v>66</v>
      </c>
      <c r="B149" s="189">
        <v>1</v>
      </c>
      <c r="C149" s="188"/>
      <c r="D149" s="188">
        <v>3</v>
      </c>
      <c r="E149" s="244">
        <f t="shared" si="150"/>
        <v>4</v>
      </c>
      <c r="F149" s="189">
        <v>1</v>
      </c>
      <c r="G149" s="188"/>
      <c r="H149" s="188">
        <v>3</v>
      </c>
      <c r="I149" s="244">
        <f t="shared" si="143"/>
        <v>4</v>
      </c>
      <c r="J149" s="189">
        <v>1</v>
      </c>
      <c r="K149" s="188"/>
      <c r="L149" s="188">
        <v>3</v>
      </c>
      <c r="M149" s="244">
        <f t="shared" si="144"/>
        <v>4</v>
      </c>
      <c r="N149" s="253">
        <f t="shared" si="145"/>
        <v>12</v>
      </c>
      <c r="O149" s="194">
        <v>46052</v>
      </c>
      <c r="P149" s="197" t="s">
        <v>1319</v>
      </c>
      <c r="Q149" s="189">
        <v>3</v>
      </c>
      <c r="R149" s="188"/>
      <c r="S149" s="188"/>
      <c r="T149" s="244">
        <f t="shared" si="146"/>
        <v>3</v>
      </c>
      <c r="U149" s="189">
        <v>3</v>
      </c>
      <c r="V149" s="188"/>
      <c r="W149" s="188"/>
      <c r="X149" s="244">
        <f t="shared" si="147"/>
        <v>3</v>
      </c>
      <c r="Y149" s="189">
        <v>3</v>
      </c>
      <c r="Z149" s="188"/>
      <c r="AA149" s="188"/>
      <c r="AB149" s="244">
        <f t="shared" si="148"/>
        <v>3</v>
      </c>
      <c r="AC149" s="253">
        <f t="shared" si="149"/>
        <v>9</v>
      </c>
      <c r="AD149" s="194">
        <v>46038</v>
      </c>
    </row>
    <row r="150" spans="1:30" x14ac:dyDescent="0.15">
      <c r="A150" s="197" t="s">
        <v>70</v>
      </c>
      <c r="B150" s="189"/>
      <c r="C150" s="188"/>
      <c r="D150" s="188">
        <v>3</v>
      </c>
      <c r="E150" s="244">
        <f t="shared" si="150"/>
        <v>3</v>
      </c>
      <c r="F150" s="189"/>
      <c r="G150" s="188"/>
      <c r="H150" s="188">
        <v>3</v>
      </c>
      <c r="I150" s="244">
        <f t="shared" si="143"/>
        <v>3</v>
      </c>
      <c r="J150" s="189"/>
      <c r="K150" s="188"/>
      <c r="L150" s="188">
        <v>3</v>
      </c>
      <c r="M150" s="244">
        <f t="shared" si="144"/>
        <v>3</v>
      </c>
      <c r="N150" s="253">
        <f t="shared" si="145"/>
        <v>9</v>
      </c>
      <c r="O150" s="194">
        <v>46055</v>
      </c>
      <c r="P150" s="197" t="s">
        <v>1381</v>
      </c>
      <c r="Q150" s="189">
        <v>5</v>
      </c>
      <c r="R150" s="188"/>
      <c r="S150" s="188"/>
      <c r="T150" s="244">
        <f t="shared" si="146"/>
        <v>5</v>
      </c>
      <c r="U150" s="189">
        <v>5</v>
      </c>
      <c r="V150" s="188"/>
      <c r="W150" s="188"/>
      <c r="X150" s="244">
        <f t="shared" si="147"/>
        <v>5</v>
      </c>
      <c r="Y150" s="189">
        <v>5</v>
      </c>
      <c r="Z150" s="188"/>
      <c r="AA150" s="188"/>
      <c r="AB150" s="244">
        <f t="shared" si="148"/>
        <v>5</v>
      </c>
      <c r="AC150" s="253">
        <f t="shared" si="149"/>
        <v>15</v>
      </c>
      <c r="AD150" s="194">
        <v>46045</v>
      </c>
    </row>
    <row r="151" spans="1:30" x14ac:dyDescent="0.15">
      <c r="A151" s="197"/>
      <c r="B151" s="189"/>
      <c r="C151" s="188"/>
      <c r="D151" s="188"/>
      <c r="E151" s="244">
        <f t="shared" si="150"/>
        <v>0</v>
      </c>
      <c r="F151" s="189"/>
      <c r="G151" s="188"/>
      <c r="H151" s="188"/>
      <c r="I151" s="244">
        <f t="shared" si="143"/>
        <v>0</v>
      </c>
      <c r="J151" s="189"/>
      <c r="K151" s="188"/>
      <c r="L151" s="188"/>
      <c r="M151" s="244">
        <f t="shared" si="144"/>
        <v>0</v>
      </c>
      <c r="N151" s="253">
        <f t="shared" si="145"/>
        <v>0</v>
      </c>
      <c r="O151" s="176"/>
      <c r="P151" s="197" t="s">
        <v>1383</v>
      </c>
      <c r="Q151" s="189">
        <v>5</v>
      </c>
      <c r="R151" s="188"/>
      <c r="S151" s="188"/>
      <c r="T151" s="244">
        <f t="shared" si="146"/>
        <v>5</v>
      </c>
      <c r="U151" s="189">
        <v>5</v>
      </c>
      <c r="V151" s="188"/>
      <c r="W151" s="188"/>
      <c r="X151" s="244">
        <f t="shared" si="147"/>
        <v>5</v>
      </c>
      <c r="Y151" s="189">
        <v>5</v>
      </c>
      <c r="Z151" s="188"/>
      <c r="AA151" s="188"/>
      <c r="AB151" s="244">
        <f t="shared" si="148"/>
        <v>5</v>
      </c>
      <c r="AC151" s="253">
        <f t="shared" si="149"/>
        <v>15</v>
      </c>
      <c r="AD151" s="194">
        <v>46052</v>
      </c>
    </row>
    <row r="152" spans="1:30" x14ac:dyDescent="0.15">
      <c r="A152" s="197"/>
      <c r="B152" s="189"/>
      <c r="C152" s="188"/>
      <c r="D152" s="188"/>
      <c r="E152" s="244">
        <f t="shared" si="150"/>
        <v>0</v>
      </c>
      <c r="F152" s="189"/>
      <c r="G152" s="188"/>
      <c r="H152" s="188"/>
      <c r="I152" s="244">
        <f t="shared" si="143"/>
        <v>0</v>
      </c>
      <c r="J152" s="189"/>
      <c r="K152" s="188"/>
      <c r="L152" s="188"/>
      <c r="M152" s="244">
        <f t="shared" si="144"/>
        <v>0</v>
      </c>
      <c r="N152" s="253">
        <f t="shared" si="145"/>
        <v>0</v>
      </c>
      <c r="O152" s="176"/>
      <c r="P152" s="197" t="s">
        <v>1487</v>
      </c>
      <c r="Q152" s="189"/>
      <c r="R152" s="188"/>
      <c r="S152" s="188">
        <v>5</v>
      </c>
      <c r="T152" s="244">
        <f t="shared" si="146"/>
        <v>5</v>
      </c>
      <c r="U152" s="189"/>
      <c r="V152" s="188"/>
      <c r="W152" s="188">
        <v>5</v>
      </c>
      <c r="X152" s="244">
        <f t="shared" si="147"/>
        <v>5</v>
      </c>
      <c r="Y152" s="189"/>
      <c r="Z152" s="188"/>
      <c r="AA152" s="188">
        <v>5</v>
      </c>
      <c r="AB152" s="244">
        <f t="shared" si="148"/>
        <v>5</v>
      </c>
      <c r="AC152" s="253">
        <f t="shared" si="149"/>
        <v>15</v>
      </c>
      <c r="AD152" s="194">
        <v>46053</v>
      </c>
    </row>
    <row r="153" spans="1:30" x14ac:dyDescent="0.15">
      <c r="A153" s="197"/>
      <c r="B153" s="189"/>
      <c r="C153" s="188"/>
      <c r="D153" s="188"/>
      <c r="E153" s="244">
        <f t="shared" si="150"/>
        <v>0</v>
      </c>
      <c r="F153" s="189"/>
      <c r="G153" s="188"/>
      <c r="H153" s="188"/>
      <c r="I153" s="244">
        <f t="shared" si="143"/>
        <v>0</v>
      </c>
      <c r="J153" s="189"/>
      <c r="K153" s="188"/>
      <c r="L153" s="188"/>
      <c r="M153" s="244">
        <f t="shared" si="144"/>
        <v>0</v>
      </c>
      <c r="N153" s="253">
        <f t="shared" si="145"/>
        <v>0</v>
      </c>
      <c r="O153" s="176"/>
      <c r="P153" s="197"/>
      <c r="Q153" s="189"/>
      <c r="R153" s="188"/>
      <c r="S153" s="188"/>
      <c r="T153" s="244">
        <f t="shared" ref="T153:T154" si="151">SUM(Q153:S153)</f>
        <v>0</v>
      </c>
      <c r="U153" s="189"/>
      <c r="V153" s="188"/>
      <c r="W153" s="188"/>
      <c r="X153" s="244">
        <f t="shared" ref="X153:X154" si="152">SUM(U153:W153)</f>
        <v>0</v>
      </c>
      <c r="Y153" s="189"/>
      <c r="Z153" s="188"/>
      <c r="AA153" s="188"/>
      <c r="AB153" s="244">
        <f t="shared" ref="AB153:AB154" si="153">SUM(Y153:AA153)</f>
        <v>0</v>
      </c>
      <c r="AC153" s="253">
        <f t="shared" ref="AC153:AC154" si="154">T153+X153+AB153</f>
        <v>0</v>
      </c>
      <c r="AD153" s="198"/>
    </row>
    <row r="154" spans="1:30" x14ac:dyDescent="0.15">
      <c r="A154" s="197"/>
      <c r="B154" s="189"/>
      <c r="C154" s="188"/>
      <c r="D154" s="188"/>
      <c r="E154" s="244">
        <f t="shared" si="150"/>
        <v>0</v>
      </c>
      <c r="F154" s="189"/>
      <c r="G154" s="188"/>
      <c r="H154" s="188"/>
      <c r="I154" s="244">
        <f t="shared" si="143"/>
        <v>0</v>
      </c>
      <c r="J154" s="189"/>
      <c r="K154" s="188"/>
      <c r="L154" s="188"/>
      <c r="M154" s="244">
        <f t="shared" si="144"/>
        <v>0</v>
      </c>
      <c r="N154" s="253">
        <f t="shared" si="145"/>
        <v>0</v>
      </c>
      <c r="O154" s="176"/>
      <c r="P154" s="197"/>
      <c r="Q154" s="189"/>
      <c r="R154" s="188"/>
      <c r="S154" s="188"/>
      <c r="T154" s="244">
        <f t="shared" si="151"/>
        <v>0</v>
      </c>
      <c r="U154" s="189"/>
      <c r="V154" s="188"/>
      <c r="W154" s="188"/>
      <c r="X154" s="244">
        <f t="shared" si="152"/>
        <v>0</v>
      </c>
      <c r="Y154" s="189"/>
      <c r="Z154" s="188"/>
      <c r="AA154" s="188"/>
      <c r="AB154" s="244">
        <f t="shared" si="153"/>
        <v>0</v>
      </c>
      <c r="AC154" s="253">
        <f t="shared" si="154"/>
        <v>0</v>
      </c>
      <c r="AD154" s="198"/>
    </row>
    <row r="155" spans="1:30" x14ac:dyDescent="0.15">
      <c r="A155" s="197"/>
      <c r="B155" s="189"/>
      <c r="C155" s="188"/>
      <c r="D155" s="188"/>
      <c r="E155" s="244">
        <f t="shared" si="150"/>
        <v>0</v>
      </c>
      <c r="F155" s="189"/>
      <c r="G155" s="188"/>
      <c r="H155" s="188"/>
      <c r="I155" s="244">
        <f t="shared" si="143"/>
        <v>0</v>
      </c>
      <c r="J155" s="189"/>
      <c r="K155" s="188"/>
      <c r="L155" s="188"/>
      <c r="M155" s="244">
        <f t="shared" si="144"/>
        <v>0</v>
      </c>
      <c r="N155" s="253">
        <f t="shared" si="145"/>
        <v>0</v>
      </c>
      <c r="O155" s="176"/>
      <c r="P155" s="197"/>
      <c r="Q155" s="189"/>
      <c r="R155" s="188"/>
      <c r="S155" s="188"/>
      <c r="T155" s="244">
        <f t="shared" si="146"/>
        <v>0</v>
      </c>
      <c r="U155" s="189"/>
      <c r="V155" s="188"/>
      <c r="W155" s="188"/>
      <c r="X155" s="244">
        <f t="shared" si="147"/>
        <v>0</v>
      </c>
      <c r="Y155" s="189"/>
      <c r="Z155" s="188"/>
      <c r="AA155" s="188"/>
      <c r="AB155" s="244">
        <f t="shared" si="148"/>
        <v>0</v>
      </c>
      <c r="AC155" s="253">
        <f t="shared" si="149"/>
        <v>0</v>
      </c>
      <c r="AD155" s="198"/>
    </row>
    <row r="156" spans="1:30" x14ac:dyDescent="0.15">
      <c r="A156" s="197"/>
      <c r="B156" s="189"/>
      <c r="C156" s="188"/>
      <c r="D156" s="188"/>
      <c r="E156" s="244">
        <f t="shared" si="150"/>
        <v>0</v>
      </c>
      <c r="F156" s="189"/>
      <c r="G156" s="188"/>
      <c r="H156" s="188"/>
      <c r="I156" s="244">
        <f t="shared" si="143"/>
        <v>0</v>
      </c>
      <c r="J156" s="189"/>
      <c r="K156" s="188"/>
      <c r="L156" s="188"/>
      <c r="M156" s="244">
        <f t="shared" si="144"/>
        <v>0</v>
      </c>
      <c r="N156" s="253">
        <f t="shared" si="145"/>
        <v>0</v>
      </c>
      <c r="O156" s="176"/>
      <c r="P156" s="197"/>
      <c r="Q156" s="189"/>
      <c r="R156" s="188"/>
      <c r="S156" s="188"/>
      <c r="T156" s="244">
        <f t="shared" si="146"/>
        <v>0</v>
      </c>
      <c r="U156" s="189"/>
      <c r="V156" s="188"/>
      <c r="W156" s="188"/>
      <c r="X156" s="244">
        <f t="shared" si="147"/>
        <v>0</v>
      </c>
      <c r="Y156" s="189"/>
      <c r="Z156" s="188"/>
      <c r="AA156" s="188"/>
      <c r="AB156" s="244">
        <f t="shared" si="148"/>
        <v>0</v>
      </c>
      <c r="AC156" s="253">
        <f t="shared" si="149"/>
        <v>0</v>
      </c>
      <c r="AD156" s="198"/>
    </row>
    <row r="157" spans="1:30" x14ac:dyDescent="0.15">
      <c r="A157" s="197"/>
      <c r="B157" s="189"/>
      <c r="C157" s="188"/>
      <c r="D157" s="188"/>
      <c r="E157" s="244">
        <f t="shared" si="150"/>
        <v>0</v>
      </c>
      <c r="F157" s="189"/>
      <c r="G157" s="188"/>
      <c r="H157" s="188"/>
      <c r="I157" s="244">
        <f t="shared" si="143"/>
        <v>0</v>
      </c>
      <c r="J157" s="189"/>
      <c r="K157" s="188"/>
      <c r="L157" s="188"/>
      <c r="M157" s="244">
        <f t="shared" si="144"/>
        <v>0</v>
      </c>
      <c r="N157" s="253">
        <f t="shared" si="145"/>
        <v>0</v>
      </c>
      <c r="O157" s="176"/>
      <c r="P157" s="197"/>
      <c r="Q157" s="189"/>
      <c r="R157" s="188"/>
      <c r="S157" s="188"/>
      <c r="T157" s="244">
        <f t="shared" si="146"/>
        <v>0</v>
      </c>
      <c r="U157" s="189"/>
      <c r="V157" s="188"/>
      <c r="W157" s="188"/>
      <c r="X157" s="244">
        <f t="shared" si="147"/>
        <v>0</v>
      </c>
      <c r="Y157" s="189"/>
      <c r="Z157" s="188"/>
      <c r="AA157" s="188"/>
      <c r="AB157" s="244">
        <f t="shared" si="148"/>
        <v>0</v>
      </c>
      <c r="AC157" s="253">
        <f t="shared" si="149"/>
        <v>0</v>
      </c>
      <c r="AD157" s="198"/>
    </row>
    <row r="158" spans="1:30" x14ac:dyDescent="0.15">
      <c r="A158" s="197"/>
      <c r="B158" s="189"/>
      <c r="C158" s="188"/>
      <c r="D158" s="188"/>
      <c r="E158" s="244">
        <f t="shared" si="150"/>
        <v>0</v>
      </c>
      <c r="F158" s="189"/>
      <c r="G158" s="188"/>
      <c r="H158" s="188"/>
      <c r="I158" s="244">
        <f t="shared" si="143"/>
        <v>0</v>
      </c>
      <c r="J158" s="189"/>
      <c r="K158" s="188"/>
      <c r="L158" s="188"/>
      <c r="M158" s="244">
        <f t="shared" si="144"/>
        <v>0</v>
      </c>
      <c r="N158" s="253">
        <f t="shared" si="145"/>
        <v>0</v>
      </c>
      <c r="O158" s="176"/>
      <c r="P158" s="197"/>
      <c r="Q158" s="189"/>
      <c r="R158" s="188"/>
      <c r="S158" s="188"/>
      <c r="T158" s="244">
        <f t="shared" si="146"/>
        <v>0</v>
      </c>
      <c r="U158" s="189"/>
      <c r="V158" s="188"/>
      <c r="W158" s="188"/>
      <c r="X158" s="244">
        <f t="shared" si="147"/>
        <v>0</v>
      </c>
      <c r="Y158" s="189"/>
      <c r="Z158" s="188"/>
      <c r="AA158" s="188"/>
      <c r="AB158" s="244">
        <f t="shared" si="148"/>
        <v>0</v>
      </c>
      <c r="AC158" s="253">
        <f t="shared" si="149"/>
        <v>0</v>
      </c>
      <c r="AD158" s="198"/>
    </row>
    <row r="159" spans="1:30" x14ac:dyDescent="0.15">
      <c r="A159" s="197"/>
      <c r="B159" s="189"/>
      <c r="C159" s="188"/>
      <c r="D159" s="188"/>
      <c r="E159" s="244">
        <f t="shared" si="150"/>
        <v>0</v>
      </c>
      <c r="F159" s="189"/>
      <c r="G159" s="188"/>
      <c r="H159" s="188"/>
      <c r="I159" s="244">
        <f t="shared" si="143"/>
        <v>0</v>
      </c>
      <c r="J159" s="189"/>
      <c r="K159" s="188"/>
      <c r="L159" s="188"/>
      <c r="M159" s="244">
        <f t="shared" si="144"/>
        <v>0</v>
      </c>
      <c r="N159" s="253">
        <f t="shared" si="145"/>
        <v>0</v>
      </c>
      <c r="O159" s="176"/>
      <c r="P159" s="197"/>
      <c r="Q159" s="189"/>
      <c r="R159" s="188"/>
      <c r="S159" s="188"/>
      <c r="T159" s="244">
        <f t="shared" si="146"/>
        <v>0</v>
      </c>
      <c r="U159" s="189"/>
      <c r="V159" s="188"/>
      <c r="W159" s="188"/>
      <c r="X159" s="244">
        <f t="shared" si="147"/>
        <v>0</v>
      </c>
      <c r="Y159" s="189"/>
      <c r="Z159" s="188"/>
      <c r="AA159" s="188"/>
      <c r="AB159" s="244">
        <f t="shared" si="148"/>
        <v>0</v>
      </c>
      <c r="AC159" s="253">
        <f t="shared" si="149"/>
        <v>0</v>
      </c>
      <c r="AD159" s="198"/>
    </row>
    <row r="160" spans="1:30" x14ac:dyDescent="0.15">
      <c r="A160" s="197"/>
      <c r="B160" s="189"/>
      <c r="C160" s="188"/>
      <c r="D160" s="188"/>
      <c r="E160" s="244">
        <f t="shared" si="150"/>
        <v>0</v>
      </c>
      <c r="F160" s="189"/>
      <c r="G160" s="188"/>
      <c r="H160" s="188"/>
      <c r="I160" s="244">
        <f t="shared" si="143"/>
        <v>0</v>
      </c>
      <c r="J160" s="189"/>
      <c r="K160" s="188"/>
      <c r="L160" s="188"/>
      <c r="M160" s="244">
        <f t="shared" si="144"/>
        <v>0</v>
      </c>
      <c r="N160" s="253">
        <f t="shared" si="145"/>
        <v>0</v>
      </c>
      <c r="O160" s="176"/>
      <c r="P160" s="197"/>
      <c r="Q160" s="189"/>
      <c r="R160" s="188"/>
      <c r="S160" s="188"/>
      <c r="T160" s="244">
        <f t="shared" si="146"/>
        <v>0</v>
      </c>
      <c r="U160" s="189"/>
      <c r="V160" s="188"/>
      <c r="W160" s="188"/>
      <c r="X160" s="244">
        <f t="shared" si="147"/>
        <v>0</v>
      </c>
      <c r="Y160" s="189"/>
      <c r="Z160" s="188"/>
      <c r="AA160" s="188"/>
      <c r="AB160" s="244">
        <f t="shared" si="148"/>
        <v>0</v>
      </c>
      <c r="AC160" s="253">
        <f t="shared" si="149"/>
        <v>0</v>
      </c>
      <c r="AD160" s="198"/>
    </row>
    <row r="161" spans="1:33" x14ac:dyDescent="0.15">
      <c r="A161" s="197"/>
      <c r="B161" s="189"/>
      <c r="C161" s="188"/>
      <c r="D161" s="188"/>
      <c r="E161" s="244">
        <f t="shared" si="150"/>
        <v>0</v>
      </c>
      <c r="F161" s="189"/>
      <c r="G161" s="188"/>
      <c r="H161" s="188"/>
      <c r="I161" s="244">
        <f t="shared" si="143"/>
        <v>0</v>
      </c>
      <c r="J161" s="189"/>
      <c r="K161" s="188"/>
      <c r="L161" s="188"/>
      <c r="M161" s="244">
        <f t="shared" si="144"/>
        <v>0</v>
      </c>
      <c r="N161" s="253">
        <f t="shared" si="145"/>
        <v>0</v>
      </c>
      <c r="O161" s="176"/>
      <c r="P161" s="197"/>
      <c r="Q161" s="189"/>
      <c r="R161" s="188"/>
      <c r="S161" s="188"/>
      <c r="T161" s="244">
        <f t="shared" si="146"/>
        <v>0</v>
      </c>
      <c r="U161" s="189"/>
      <c r="V161" s="188"/>
      <c r="W161" s="188"/>
      <c r="X161" s="244">
        <f t="shared" si="147"/>
        <v>0</v>
      </c>
      <c r="Y161" s="189"/>
      <c r="Z161" s="188"/>
      <c r="AA161" s="188"/>
      <c r="AB161" s="244">
        <f t="shared" si="148"/>
        <v>0</v>
      </c>
      <c r="AC161" s="253">
        <f t="shared" si="149"/>
        <v>0</v>
      </c>
      <c r="AD161" s="198"/>
    </row>
    <row r="162" spans="1:33" x14ac:dyDescent="0.15">
      <c r="A162" s="197"/>
      <c r="B162" s="189"/>
      <c r="C162" s="188"/>
      <c r="D162" s="188"/>
      <c r="E162" s="244">
        <f t="shared" si="150"/>
        <v>0</v>
      </c>
      <c r="F162" s="189"/>
      <c r="G162" s="188"/>
      <c r="H162" s="188"/>
      <c r="I162" s="244">
        <f t="shared" si="143"/>
        <v>0</v>
      </c>
      <c r="J162" s="189"/>
      <c r="K162" s="188"/>
      <c r="L162" s="188"/>
      <c r="M162" s="244">
        <f t="shared" si="144"/>
        <v>0</v>
      </c>
      <c r="N162" s="253">
        <f t="shared" si="145"/>
        <v>0</v>
      </c>
      <c r="O162" s="176"/>
      <c r="P162" s="197" t="s">
        <v>1368</v>
      </c>
      <c r="Q162" s="189"/>
      <c r="R162" s="188"/>
      <c r="S162" s="188"/>
      <c r="T162" s="244">
        <f t="shared" si="146"/>
        <v>0</v>
      </c>
      <c r="U162" s="189"/>
      <c r="V162" s="188"/>
      <c r="W162" s="188"/>
      <c r="X162" s="244">
        <f t="shared" si="147"/>
        <v>0</v>
      </c>
      <c r="Y162" s="189"/>
      <c r="Z162" s="188"/>
      <c r="AA162" s="188"/>
      <c r="AB162" s="244">
        <f t="shared" si="148"/>
        <v>0</v>
      </c>
      <c r="AC162" s="253">
        <f t="shared" si="149"/>
        <v>0</v>
      </c>
      <c r="AD162" s="198" t="s">
        <v>555</v>
      </c>
    </row>
    <row r="163" spans="1:33" x14ac:dyDescent="0.15">
      <c r="A163" s="197"/>
      <c r="B163" s="189"/>
      <c r="C163" s="188"/>
      <c r="D163" s="188"/>
      <c r="E163" s="244">
        <f t="shared" si="150"/>
        <v>0</v>
      </c>
      <c r="F163" s="189"/>
      <c r="G163" s="188"/>
      <c r="H163" s="188"/>
      <c r="I163" s="244">
        <f t="shared" si="143"/>
        <v>0</v>
      </c>
      <c r="J163" s="189"/>
      <c r="K163" s="188"/>
      <c r="L163" s="188"/>
      <c r="M163" s="244">
        <f t="shared" si="144"/>
        <v>0</v>
      </c>
      <c r="N163" s="253">
        <f t="shared" si="145"/>
        <v>0</v>
      </c>
      <c r="O163" s="176"/>
      <c r="P163" s="191" t="s">
        <v>1326</v>
      </c>
      <c r="Q163" s="239"/>
      <c r="R163" s="240"/>
      <c r="S163" s="240"/>
      <c r="T163" s="249">
        <f t="shared" si="146"/>
        <v>0</v>
      </c>
      <c r="U163" s="239"/>
      <c r="V163" s="240"/>
      <c r="W163" s="240"/>
      <c r="X163" s="249">
        <f t="shared" si="147"/>
        <v>0</v>
      </c>
      <c r="Y163" s="239"/>
      <c r="Z163" s="240"/>
      <c r="AA163" s="240"/>
      <c r="AB163" s="249">
        <f t="shared" si="148"/>
        <v>0</v>
      </c>
      <c r="AC163" s="278">
        <f t="shared" si="149"/>
        <v>0</v>
      </c>
      <c r="AD163" s="241"/>
      <c r="AG163" s="195"/>
    </row>
    <row r="164" spans="1:33" x14ac:dyDescent="0.15">
      <c r="A164" s="197"/>
      <c r="B164" s="189"/>
      <c r="C164" s="188"/>
      <c r="D164" s="188"/>
      <c r="E164" s="244">
        <f t="shared" si="150"/>
        <v>0</v>
      </c>
      <c r="F164" s="189"/>
      <c r="G164" s="188"/>
      <c r="H164" s="188"/>
      <c r="I164" s="244">
        <f t="shared" si="143"/>
        <v>0</v>
      </c>
      <c r="J164" s="189"/>
      <c r="K164" s="188"/>
      <c r="L164" s="188"/>
      <c r="M164" s="244">
        <f t="shared" si="144"/>
        <v>0</v>
      </c>
      <c r="N164" s="253">
        <f t="shared" si="145"/>
        <v>0</v>
      </c>
      <c r="O164" s="176"/>
      <c r="P164" s="197" t="s">
        <v>1325</v>
      </c>
      <c r="Q164" s="189"/>
      <c r="R164" s="188"/>
      <c r="S164" s="188"/>
      <c r="T164" s="244">
        <f t="shared" si="146"/>
        <v>0</v>
      </c>
      <c r="U164" s="189"/>
      <c r="V164" s="188"/>
      <c r="W164" s="188"/>
      <c r="X164" s="244">
        <f t="shared" si="147"/>
        <v>0</v>
      </c>
      <c r="Y164" s="189"/>
      <c r="Z164" s="188"/>
      <c r="AA164" s="188"/>
      <c r="AB164" s="244">
        <f t="shared" si="148"/>
        <v>0</v>
      </c>
      <c r="AC164" s="253">
        <f t="shared" si="149"/>
        <v>0</v>
      </c>
      <c r="AD164" s="198" t="s">
        <v>1321</v>
      </c>
      <c r="AG164" s="195"/>
    </row>
    <row r="165" spans="1:33" x14ac:dyDescent="0.15">
      <c r="A165" s="197"/>
      <c r="B165" s="189"/>
      <c r="C165" s="188"/>
      <c r="D165" s="188"/>
      <c r="E165" s="244">
        <f t="shared" si="150"/>
        <v>0</v>
      </c>
      <c r="F165" s="189"/>
      <c r="G165" s="188"/>
      <c r="H165" s="188"/>
      <c r="I165" s="244">
        <f t="shared" si="143"/>
        <v>0</v>
      </c>
      <c r="J165" s="189"/>
      <c r="K165" s="188"/>
      <c r="L165" s="188"/>
      <c r="M165" s="244">
        <f t="shared" si="144"/>
        <v>0</v>
      </c>
      <c r="N165" s="253">
        <f t="shared" si="145"/>
        <v>0</v>
      </c>
      <c r="O165" s="176"/>
      <c r="P165" s="197" t="s">
        <v>1228</v>
      </c>
      <c r="Q165" s="189"/>
      <c r="R165" s="188"/>
      <c r="S165" s="188"/>
      <c r="T165" s="244">
        <f t="shared" si="146"/>
        <v>0</v>
      </c>
      <c r="U165" s="189"/>
      <c r="V165" s="188"/>
      <c r="W165" s="188"/>
      <c r="X165" s="244">
        <f t="shared" si="147"/>
        <v>0</v>
      </c>
      <c r="Y165" s="189"/>
      <c r="Z165" s="188"/>
      <c r="AA165" s="188"/>
      <c r="AB165" s="244">
        <f t="shared" si="148"/>
        <v>0</v>
      </c>
      <c r="AC165" s="253">
        <f t="shared" si="149"/>
        <v>0</v>
      </c>
      <c r="AD165" s="198" t="s">
        <v>555</v>
      </c>
    </row>
    <row r="166" spans="1:33" x14ac:dyDescent="0.15">
      <c r="A166" s="197"/>
      <c r="B166" s="189"/>
      <c r="C166" s="188"/>
      <c r="D166" s="188"/>
      <c r="E166" s="244">
        <f t="shared" si="150"/>
        <v>0</v>
      </c>
      <c r="F166" s="189"/>
      <c r="G166" s="188"/>
      <c r="H166" s="188"/>
      <c r="I166" s="244">
        <f t="shared" si="143"/>
        <v>0</v>
      </c>
      <c r="J166" s="189"/>
      <c r="K166" s="188"/>
      <c r="L166" s="188"/>
      <c r="M166" s="244">
        <f t="shared" si="144"/>
        <v>0</v>
      </c>
      <c r="N166" s="253">
        <f t="shared" si="145"/>
        <v>0</v>
      </c>
      <c r="O166" s="176"/>
      <c r="P166" s="274" t="s">
        <v>1201</v>
      </c>
      <c r="Q166" s="239"/>
      <c r="R166" s="240"/>
      <c r="S166" s="240"/>
      <c r="T166" s="249">
        <f t="shared" si="146"/>
        <v>0</v>
      </c>
      <c r="U166" s="239"/>
      <c r="V166" s="240"/>
      <c r="W166" s="240"/>
      <c r="X166" s="249">
        <f t="shared" si="147"/>
        <v>0</v>
      </c>
      <c r="Y166" s="239"/>
      <c r="Z166" s="240"/>
      <c r="AA166" s="240"/>
      <c r="AB166" s="249">
        <f t="shared" ref="AB166" si="155">SUM(Y166:AA166)</f>
        <v>0</v>
      </c>
      <c r="AC166" s="259">
        <f t="shared" ref="AC166" si="156">T166+X166+AB166</f>
        <v>0</v>
      </c>
      <c r="AD166" s="241"/>
    </row>
    <row r="167" spans="1:33" x14ac:dyDescent="0.15">
      <c r="A167" s="197"/>
      <c r="B167" s="189"/>
      <c r="C167" s="188"/>
      <c r="D167" s="188"/>
      <c r="E167" s="244">
        <f t="shared" si="150"/>
        <v>0</v>
      </c>
      <c r="F167" s="189"/>
      <c r="G167" s="188"/>
      <c r="H167" s="188"/>
      <c r="I167" s="244">
        <f t="shared" si="143"/>
        <v>0</v>
      </c>
      <c r="J167" s="189"/>
      <c r="K167" s="188"/>
      <c r="L167" s="188"/>
      <c r="M167" s="244">
        <f t="shared" si="144"/>
        <v>0</v>
      </c>
      <c r="N167" s="253">
        <f t="shared" si="145"/>
        <v>0</v>
      </c>
      <c r="O167" s="176"/>
      <c r="P167" s="193" t="s">
        <v>1203</v>
      </c>
      <c r="Q167" s="189"/>
      <c r="R167" s="188"/>
      <c r="S167" s="188"/>
      <c r="T167" s="244">
        <f t="shared" si="146"/>
        <v>0</v>
      </c>
      <c r="U167" s="189"/>
      <c r="V167" s="188"/>
      <c r="W167" s="188"/>
      <c r="X167" s="244">
        <f t="shared" si="147"/>
        <v>0</v>
      </c>
      <c r="Y167" s="189"/>
      <c r="Z167" s="188"/>
      <c r="AA167" s="188"/>
      <c r="AB167" s="244">
        <f t="shared" ref="AB167" si="157">SUM(Y167:AA167)</f>
        <v>0</v>
      </c>
      <c r="AC167" s="253">
        <f t="shared" si="149"/>
        <v>0</v>
      </c>
      <c r="AD167" s="198" t="s">
        <v>1202</v>
      </c>
      <c r="AE167" s="195"/>
    </row>
    <row r="168" spans="1:33" x14ac:dyDescent="0.15">
      <c r="A168" s="197"/>
      <c r="B168" s="189"/>
      <c r="C168" s="188"/>
      <c r="D168" s="188"/>
      <c r="E168" s="244">
        <f t="shared" si="150"/>
        <v>0</v>
      </c>
      <c r="F168" s="189"/>
      <c r="G168" s="188"/>
      <c r="H168" s="188"/>
      <c r="I168" s="244">
        <f t="shared" si="143"/>
        <v>0</v>
      </c>
      <c r="J168" s="189"/>
      <c r="K168" s="188"/>
      <c r="L168" s="188"/>
      <c r="M168" s="244">
        <f t="shared" si="144"/>
        <v>0</v>
      </c>
      <c r="N168" s="253">
        <f t="shared" si="145"/>
        <v>0</v>
      </c>
      <c r="P168" s="274" t="s">
        <v>1260</v>
      </c>
      <c r="Q168" s="239"/>
      <c r="R168" s="240"/>
      <c r="S168" s="240"/>
      <c r="T168" s="249">
        <f t="shared" ref="T168:T169" si="158">SUM(Q168:S168)</f>
        <v>0</v>
      </c>
      <c r="U168" s="239"/>
      <c r="V168" s="240"/>
      <c r="W168" s="240"/>
      <c r="X168" s="249">
        <f t="shared" ref="X168:X169" si="159">SUM(U168:W168)</f>
        <v>0</v>
      </c>
      <c r="Y168" s="239"/>
      <c r="Z168" s="240"/>
      <c r="AA168" s="240"/>
      <c r="AB168" s="249">
        <f t="shared" ref="AB168:AB169" si="160">SUM(Y168:AA168)</f>
        <v>0</v>
      </c>
      <c r="AC168" s="278">
        <f t="shared" ref="AC168:AC169" si="161">T168+X168+AB168</f>
        <v>0</v>
      </c>
      <c r="AD168" s="198"/>
      <c r="AE168" s="195"/>
    </row>
    <row r="169" spans="1:33" ht="14.25" thickBot="1" x14ac:dyDescent="0.2">
      <c r="A169" s="197"/>
      <c r="B169" s="189"/>
      <c r="C169" s="188"/>
      <c r="D169" s="188"/>
      <c r="E169" s="244">
        <f t="shared" si="150"/>
        <v>0</v>
      </c>
      <c r="F169" s="189"/>
      <c r="G169" s="188"/>
      <c r="H169" s="188"/>
      <c r="I169" s="244">
        <f t="shared" si="143"/>
        <v>0</v>
      </c>
      <c r="J169" s="189"/>
      <c r="K169" s="188"/>
      <c r="L169" s="188"/>
      <c r="M169" s="244">
        <f t="shared" si="144"/>
        <v>0</v>
      </c>
      <c r="N169" s="253">
        <f t="shared" si="145"/>
        <v>0</v>
      </c>
      <c r="P169" s="193" t="s">
        <v>1259</v>
      </c>
      <c r="Q169" s="189"/>
      <c r="R169" s="188"/>
      <c r="S169" s="188"/>
      <c r="T169" s="244">
        <f t="shared" si="158"/>
        <v>0</v>
      </c>
      <c r="U169" s="189"/>
      <c r="V169" s="188"/>
      <c r="W169" s="188"/>
      <c r="X169" s="244">
        <f t="shared" si="159"/>
        <v>0</v>
      </c>
      <c r="Y169" s="189"/>
      <c r="Z169" s="188"/>
      <c r="AA169" s="188"/>
      <c r="AB169" s="244">
        <f t="shared" si="160"/>
        <v>0</v>
      </c>
      <c r="AC169" s="253">
        <f t="shared" si="161"/>
        <v>0</v>
      </c>
      <c r="AD169" s="198" t="s">
        <v>1258</v>
      </c>
      <c r="AE169" s="195"/>
    </row>
    <row r="170" spans="1:33" ht="14.25" thickBot="1" x14ac:dyDescent="0.2">
      <c r="A170" s="221" t="s">
        <v>5</v>
      </c>
      <c r="B170" s="222">
        <f>SUM(B146:B169)</f>
        <v>4</v>
      </c>
      <c r="C170" s="222">
        <f>SUM(C146:C169)</f>
        <v>3</v>
      </c>
      <c r="D170" s="222">
        <f>SUM(D146:D169)</f>
        <v>6</v>
      </c>
      <c r="E170" s="251">
        <f t="shared" si="150"/>
        <v>13</v>
      </c>
      <c r="F170" s="222">
        <f>SUM(F146:F169)</f>
        <v>4</v>
      </c>
      <c r="G170" s="222">
        <f>SUM(G146:G169)</f>
        <v>3</v>
      </c>
      <c r="H170" s="222">
        <f>SUM(H146:H169)</f>
        <v>6</v>
      </c>
      <c r="I170" s="251">
        <f t="shared" si="143"/>
        <v>13</v>
      </c>
      <c r="J170" s="222">
        <f>SUM(J146:J169)</f>
        <v>4</v>
      </c>
      <c r="K170" s="222">
        <f>SUM(K146:K169)</f>
        <v>3</v>
      </c>
      <c r="L170" s="222">
        <f>SUM(L146:L169)</f>
        <v>6</v>
      </c>
      <c r="M170" s="267">
        <f t="shared" si="144"/>
        <v>13</v>
      </c>
      <c r="N170" s="272">
        <f t="shared" si="145"/>
        <v>39</v>
      </c>
      <c r="P170" s="184" t="s">
        <v>5</v>
      </c>
      <c r="Q170" s="222">
        <f>SUM(Q146:Q169)</f>
        <v>22</v>
      </c>
      <c r="R170" s="222">
        <f>SUM(R146:R169)</f>
        <v>4</v>
      </c>
      <c r="S170" s="222">
        <f>SUM(S146:S169)</f>
        <v>7</v>
      </c>
      <c r="T170" s="251">
        <f t="shared" si="146"/>
        <v>33</v>
      </c>
      <c r="U170" s="222">
        <f>SUM(U146:U169)</f>
        <v>22</v>
      </c>
      <c r="V170" s="222">
        <f>SUM(V146:V169)</f>
        <v>4</v>
      </c>
      <c r="W170" s="222">
        <f>SUM(W146:W169)</f>
        <v>7</v>
      </c>
      <c r="X170" s="251">
        <f t="shared" si="147"/>
        <v>33</v>
      </c>
      <c r="Y170" s="222">
        <f>SUM(Y146:Y169)</f>
        <v>22</v>
      </c>
      <c r="Z170" s="222">
        <f>SUM(Z146:Z169)</f>
        <v>4</v>
      </c>
      <c r="AA170" s="222">
        <f>SUM(AA146:AA169)</f>
        <v>7</v>
      </c>
      <c r="AB170" s="251">
        <f t="shared" si="148"/>
        <v>33</v>
      </c>
      <c r="AC170" s="256">
        <f t="shared" si="149"/>
        <v>99</v>
      </c>
    </row>
    <row r="171" spans="1:33" ht="14.25" thickBot="1" x14ac:dyDescent="0.2">
      <c r="A171" s="223" t="s">
        <v>6</v>
      </c>
      <c r="B171" s="209">
        <f>B145-B170</f>
        <v>4</v>
      </c>
      <c r="C171" s="209">
        <f t="shared" ref="C171:E171" si="162">C145-C170</f>
        <v>4</v>
      </c>
      <c r="D171" s="209">
        <f t="shared" si="162"/>
        <v>7</v>
      </c>
      <c r="E171" s="246">
        <f t="shared" si="162"/>
        <v>15</v>
      </c>
      <c r="F171" s="209">
        <f>F145-F170</f>
        <v>4</v>
      </c>
      <c r="G171" s="209">
        <f t="shared" ref="G171:I171" si="163">G145-G170</f>
        <v>5</v>
      </c>
      <c r="H171" s="209">
        <f t="shared" si="163"/>
        <v>6</v>
      </c>
      <c r="I171" s="246">
        <f t="shared" si="163"/>
        <v>15</v>
      </c>
      <c r="J171" s="209">
        <f>J145-J170</f>
        <v>5</v>
      </c>
      <c r="K171" s="209">
        <f t="shared" ref="K171:M171" si="164">K145-K170</f>
        <v>4</v>
      </c>
      <c r="L171" s="209">
        <f t="shared" si="164"/>
        <v>6</v>
      </c>
      <c r="M171" s="266">
        <f t="shared" si="164"/>
        <v>15</v>
      </c>
      <c r="N171" s="271">
        <f t="shared" si="145"/>
        <v>45</v>
      </c>
      <c r="P171" s="224" t="s">
        <v>6</v>
      </c>
      <c r="Q171" s="209">
        <f>Q145-Q170</f>
        <v>333</v>
      </c>
      <c r="R171" s="209">
        <f t="shared" ref="R171:T171" si="165">R145-R170</f>
        <v>242</v>
      </c>
      <c r="S171" s="209">
        <f t="shared" si="165"/>
        <v>194</v>
      </c>
      <c r="T171" s="246">
        <f t="shared" si="165"/>
        <v>769</v>
      </c>
      <c r="U171" s="209">
        <f>U145-U170</f>
        <v>336</v>
      </c>
      <c r="V171" s="209">
        <f t="shared" ref="V171:X171" si="166">V145-V170</f>
        <v>244</v>
      </c>
      <c r="W171" s="209">
        <f t="shared" si="166"/>
        <v>197</v>
      </c>
      <c r="X171" s="246">
        <f t="shared" si="166"/>
        <v>777</v>
      </c>
      <c r="Y171" s="209">
        <f>Y145-Y170</f>
        <v>336</v>
      </c>
      <c r="Z171" s="209">
        <f t="shared" ref="Z171:AB171" si="167">Z145-Z170</f>
        <v>244</v>
      </c>
      <c r="AA171" s="209">
        <f t="shared" si="167"/>
        <v>194</v>
      </c>
      <c r="AB171" s="246">
        <f t="shared" si="167"/>
        <v>774</v>
      </c>
      <c r="AC171" s="256">
        <f t="shared" si="149"/>
        <v>2320</v>
      </c>
    </row>
    <row r="172" spans="1:33" x14ac:dyDescent="0.15">
      <c r="A172" s="172"/>
      <c r="N172" s="172"/>
      <c r="AC172" s="172"/>
    </row>
    <row r="173" spans="1:33" x14ac:dyDescent="0.15">
      <c r="A173" s="172"/>
      <c r="N173" s="172"/>
      <c r="AC173" s="172"/>
    </row>
    <row r="174" spans="1:33" ht="19.5" thickBot="1" x14ac:dyDescent="0.25">
      <c r="A174" s="177" t="s">
        <v>1183</v>
      </c>
      <c r="B174" s="178"/>
      <c r="C174" s="178"/>
      <c r="D174" s="178"/>
      <c r="E174" s="178"/>
      <c r="F174" s="179"/>
      <c r="G174" s="179"/>
      <c r="H174" s="179"/>
      <c r="I174" s="179"/>
      <c r="J174" s="179"/>
      <c r="K174" s="179"/>
      <c r="L174" s="179"/>
      <c r="M174" s="179"/>
      <c r="N174" s="180"/>
      <c r="P174" s="177" t="s">
        <v>1184</v>
      </c>
      <c r="Q174" s="178"/>
      <c r="R174" s="178"/>
      <c r="S174" s="178"/>
      <c r="T174" s="178"/>
      <c r="Y174" s="179"/>
      <c r="Z174" s="181"/>
      <c r="AA174" s="179"/>
      <c r="AB174" s="179"/>
    </row>
    <row r="175" spans="1:33" ht="14.25" thickBot="1" x14ac:dyDescent="0.2">
      <c r="A175" s="182" t="s">
        <v>0</v>
      </c>
      <c r="B175" s="350" t="s">
        <v>11</v>
      </c>
      <c r="C175" s="350"/>
      <c r="D175" s="350"/>
      <c r="E175" s="351"/>
      <c r="F175" s="349" t="s">
        <v>9</v>
      </c>
      <c r="G175" s="350"/>
      <c r="H175" s="350"/>
      <c r="I175" s="351"/>
      <c r="J175" s="349" t="s">
        <v>12</v>
      </c>
      <c r="K175" s="350"/>
      <c r="L175" s="350"/>
      <c r="M175" s="350"/>
      <c r="N175" s="352" t="s">
        <v>13</v>
      </c>
      <c r="P175" s="183" t="s">
        <v>0</v>
      </c>
      <c r="Q175" s="350" t="s">
        <v>11</v>
      </c>
      <c r="R175" s="350"/>
      <c r="S175" s="350"/>
      <c r="T175" s="351"/>
      <c r="U175" s="349" t="s">
        <v>9</v>
      </c>
      <c r="V175" s="350"/>
      <c r="W175" s="350"/>
      <c r="X175" s="351"/>
      <c r="Y175" s="349" t="s">
        <v>12</v>
      </c>
      <c r="Z175" s="350"/>
      <c r="AA175" s="350"/>
      <c r="AB175" s="350"/>
      <c r="AC175" s="354" t="s">
        <v>13</v>
      </c>
    </row>
    <row r="176" spans="1:33" ht="14.25" thickBot="1" x14ac:dyDescent="0.2">
      <c r="A176" s="182" t="s">
        <v>1</v>
      </c>
      <c r="B176" s="184" t="s">
        <v>922</v>
      </c>
      <c r="C176" s="183" t="s">
        <v>923</v>
      </c>
      <c r="D176" s="183" t="s">
        <v>924</v>
      </c>
      <c r="E176" s="242" t="s">
        <v>2</v>
      </c>
      <c r="F176" s="184" t="s">
        <v>922</v>
      </c>
      <c r="G176" s="183" t="s">
        <v>923</v>
      </c>
      <c r="H176" s="183" t="s">
        <v>924</v>
      </c>
      <c r="I176" s="242" t="s">
        <v>2</v>
      </c>
      <c r="J176" s="184" t="s">
        <v>922</v>
      </c>
      <c r="K176" s="183" t="s">
        <v>923</v>
      </c>
      <c r="L176" s="183" t="s">
        <v>924</v>
      </c>
      <c r="M176" s="252" t="s">
        <v>2</v>
      </c>
      <c r="N176" s="353"/>
      <c r="P176" s="183" t="s">
        <v>1</v>
      </c>
      <c r="Q176" s="184" t="s">
        <v>922</v>
      </c>
      <c r="R176" s="183" t="s">
        <v>923</v>
      </c>
      <c r="S176" s="183" t="s">
        <v>924</v>
      </c>
      <c r="T176" s="242" t="s">
        <v>2</v>
      </c>
      <c r="U176" s="184" t="s">
        <v>922</v>
      </c>
      <c r="V176" s="183" t="s">
        <v>923</v>
      </c>
      <c r="W176" s="183" t="s">
        <v>924</v>
      </c>
      <c r="X176" s="242" t="s">
        <v>2</v>
      </c>
      <c r="Y176" s="184" t="s">
        <v>922</v>
      </c>
      <c r="Z176" s="183" t="s">
        <v>923</v>
      </c>
      <c r="AA176" s="183" t="s">
        <v>924</v>
      </c>
      <c r="AB176" s="252" t="s">
        <v>2</v>
      </c>
      <c r="AC176" s="355"/>
    </row>
    <row r="177" spans="1:33" x14ac:dyDescent="0.15">
      <c r="A177" s="225" t="s">
        <v>6</v>
      </c>
      <c r="B177" s="226">
        <f>B171</f>
        <v>4</v>
      </c>
      <c r="C177" s="226">
        <f t="shared" ref="C177:E177" si="168">C171</f>
        <v>4</v>
      </c>
      <c r="D177" s="226">
        <f t="shared" si="168"/>
        <v>7</v>
      </c>
      <c r="E177" s="260">
        <f t="shared" si="168"/>
        <v>15</v>
      </c>
      <c r="F177" s="226">
        <f>F171</f>
        <v>4</v>
      </c>
      <c r="G177" s="226">
        <f t="shared" ref="G177:I177" si="169">G171</f>
        <v>5</v>
      </c>
      <c r="H177" s="226">
        <f t="shared" si="169"/>
        <v>6</v>
      </c>
      <c r="I177" s="260">
        <f t="shared" si="169"/>
        <v>15</v>
      </c>
      <c r="J177" s="226">
        <f>J171</f>
        <v>5</v>
      </c>
      <c r="K177" s="226">
        <f t="shared" ref="K177:M177" si="170">K171</f>
        <v>4</v>
      </c>
      <c r="L177" s="226">
        <f t="shared" si="170"/>
        <v>6</v>
      </c>
      <c r="M177" s="260">
        <f t="shared" si="170"/>
        <v>15</v>
      </c>
      <c r="N177" s="273">
        <f>E177+I177+M177</f>
        <v>45</v>
      </c>
      <c r="P177" s="215" t="s">
        <v>6</v>
      </c>
      <c r="Q177" s="226">
        <f>Q171</f>
        <v>333</v>
      </c>
      <c r="R177" s="226">
        <f t="shared" ref="R177:T177" si="171">R171</f>
        <v>242</v>
      </c>
      <c r="S177" s="226">
        <f t="shared" si="171"/>
        <v>194</v>
      </c>
      <c r="T177" s="260">
        <f t="shared" si="171"/>
        <v>769</v>
      </c>
      <c r="U177" s="226">
        <f>U171</f>
        <v>336</v>
      </c>
      <c r="V177" s="226">
        <f t="shared" ref="V177:X177" si="172">V171</f>
        <v>244</v>
      </c>
      <c r="W177" s="226">
        <f t="shared" si="172"/>
        <v>197</v>
      </c>
      <c r="X177" s="260">
        <f t="shared" si="172"/>
        <v>777</v>
      </c>
      <c r="Y177" s="226">
        <f>Y171</f>
        <v>336</v>
      </c>
      <c r="Z177" s="226">
        <f t="shared" ref="Z177:AB177" si="173">Z171</f>
        <v>244</v>
      </c>
      <c r="AA177" s="226">
        <f t="shared" si="173"/>
        <v>194</v>
      </c>
      <c r="AB177" s="260">
        <f t="shared" si="173"/>
        <v>774</v>
      </c>
      <c r="AC177" s="258">
        <f>T177+X177+AB177</f>
        <v>2320</v>
      </c>
    </row>
    <row r="178" spans="1:33" x14ac:dyDescent="0.15">
      <c r="A178" s="288" t="s">
        <v>3</v>
      </c>
      <c r="B178" s="289">
        <v>5</v>
      </c>
      <c r="C178" s="290">
        <v>5</v>
      </c>
      <c r="D178" s="290">
        <v>5</v>
      </c>
      <c r="E178" s="291">
        <f t="shared" ref="E178:E187" si="174">SUM(B178:D178)</f>
        <v>15</v>
      </c>
      <c r="F178" s="289">
        <v>5</v>
      </c>
      <c r="G178" s="290">
        <v>5</v>
      </c>
      <c r="H178" s="290">
        <v>5</v>
      </c>
      <c r="I178" s="291">
        <f t="shared" ref="I178:I213" si="175">SUM(F178:H178)</f>
        <v>15</v>
      </c>
      <c r="J178" s="292">
        <v>5</v>
      </c>
      <c r="K178" s="293">
        <v>5</v>
      </c>
      <c r="L178" s="293">
        <v>5</v>
      </c>
      <c r="M178" s="291">
        <f t="shared" ref="M178:M213" si="176">SUM(J178:L178)</f>
        <v>15</v>
      </c>
      <c r="N178" s="257">
        <f t="shared" ref="N178:N214" si="177">E178+I178+M178</f>
        <v>45</v>
      </c>
      <c r="O178" s="294">
        <v>46056</v>
      </c>
      <c r="P178" s="191" t="s">
        <v>3</v>
      </c>
      <c r="Q178" s="199"/>
      <c r="R178" s="197"/>
      <c r="S178" s="197"/>
      <c r="T178" s="243">
        <f t="shared" ref="T178:T213" si="178">SUM(Q178:S178)</f>
        <v>0</v>
      </c>
      <c r="U178" s="199"/>
      <c r="V178" s="197"/>
      <c r="W178" s="197"/>
      <c r="X178" s="243">
        <f t="shared" ref="X178:X213" si="179">SUM(U178:W178)</f>
        <v>0</v>
      </c>
      <c r="Y178" s="186"/>
      <c r="Z178" s="187"/>
      <c r="AA178" s="187"/>
      <c r="AB178" s="243">
        <f t="shared" ref="AB178:AB213" si="180">SUM(Y178:AA178)</f>
        <v>0</v>
      </c>
      <c r="AC178" s="253">
        <f t="shared" ref="AC178:AC214" si="181">T178+X178+AB178</f>
        <v>0</v>
      </c>
      <c r="AD178" s="198"/>
    </row>
    <row r="179" spans="1:33" x14ac:dyDescent="0.15">
      <c r="A179" s="191" t="s">
        <v>3</v>
      </c>
      <c r="B179" s="186">
        <v>5</v>
      </c>
      <c r="C179" s="187">
        <v>3</v>
      </c>
      <c r="D179" s="187"/>
      <c r="E179" s="244">
        <f t="shared" si="174"/>
        <v>8</v>
      </c>
      <c r="F179" s="186">
        <v>5</v>
      </c>
      <c r="G179" s="187">
        <v>3</v>
      </c>
      <c r="H179" s="187"/>
      <c r="I179" s="244">
        <f t="shared" si="175"/>
        <v>8</v>
      </c>
      <c r="J179" s="196">
        <v>5</v>
      </c>
      <c r="K179" s="197">
        <v>3</v>
      </c>
      <c r="L179" s="197"/>
      <c r="M179" s="243">
        <f t="shared" si="176"/>
        <v>8</v>
      </c>
      <c r="N179" s="253">
        <f t="shared" si="177"/>
        <v>24</v>
      </c>
      <c r="O179" s="190">
        <v>46066</v>
      </c>
      <c r="P179" s="191" t="s">
        <v>3</v>
      </c>
      <c r="Q179" s="186"/>
      <c r="R179" s="187"/>
      <c r="S179" s="187"/>
      <c r="T179" s="244">
        <f t="shared" si="178"/>
        <v>0</v>
      </c>
      <c r="U179" s="186"/>
      <c r="V179" s="187"/>
      <c r="W179" s="187"/>
      <c r="X179" s="244">
        <f t="shared" si="179"/>
        <v>0</v>
      </c>
      <c r="Y179" s="196"/>
      <c r="Z179" s="197"/>
      <c r="AA179" s="197"/>
      <c r="AB179" s="243">
        <f t="shared" si="180"/>
        <v>0</v>
      </c>
      <c r="AC179" s="253">
        <f t="shared" si="181"/>
        <v>0</v>
      </c>
      <c r="AD179" s="198"/>
    </row>
    <row r="180" spans="1:33" x14ac:dyDescent="0.15">
      <c r="A180" s="191" t="s">
        <v>372</v>
      </c>
      <c r="B180" s="199">
        <v>0</v>
      </c>
      <c r="C180" s="197">
        <v>0</v>
      </c>
      <c r="D180" s="197">
        <v>0</v>
      </c>
      <c r="E180" s="243">
        <f t="shared" si="174"/>
        <v>0</v>
      </c>
      <c r="F180" s="199">
        <v>0</v>
      </c>
      <c r="G180" s="197">
        <v>0</v>
      </c>
      <c r="H180" s="197">
        <v>0</v>
      </c>
      <c r="I180" s="243">
        <f t="shared" si="175"/>
        <v>0</v>
      </c>
      <c r="J180" s="196">
        <v>0</v>
      </c>
      <c r="K180" s="197">
        <v>0</v>
      </c>
      <c r="L180" s="197">
        <v>0</v>
      </c>
      <c r="M180" s="243">
        <f t="shared" si="176"/>
        <v>0</v>
      </c>
      <c r="N180" s="253">
        <f t="shared" si="177"/>
        <v>0</v>
      </c>
      <c r="O180" s="190">
        <v>46071</v>
      </c>
      <c r="P180" s="191" t="s">
        <v>3</v>
      </c>
      <c r="Q180" s="199"/>
      <c r="R180" s="197"/>
      <c r="S180" s="197"/>
      <c r="T180" s="243">
        <f t="shared" si="178"/>
        <v>0</v>
      </c>
      <c r="U180" s="199"/>
      <c r="V180" s="197"/>
      <c r="W180" s="197"/>
      <c r="X180" s="243">
        <f t="shared" si="179"/>
        <v>0</v>
      </c>
      <c r="Y180" s="196"/>
      <c r="Z180" s="197"/>
      <c r="AA180" s="197"/>
      <c r="AB180" s="243">
        <f t="shared" si="180"/>
        <v>0</v>
      </c>
      <c r="AC180" s="253">
        <f t="shared" si="181"/>
        <v>0</v>
      </c>
      <c r="AD180" s="198"/>
    </row>
    <row r="181" spans="1:33" x14ac:dyDescent="0.15">
      <c r="A181" s="191" t="s">
        <v>3</v>
      </c>
      <c r="B181" s="199">
        <v>3</v>
      </c>
      <c r="C181" s="197">
        <v>3</v>
      </c>
      <c r="D181" s="197">
        <v>3</v>
      </c>
      <c r="E181" s="243">
        <f t="shared" si="174"/>
        <v>9</v>
      </c>
      <c r="F181" s="199">
        <v>3</v>
      </c>
      <c r="G181" s="197">
        <v>3</v>
      </c>
      <c r="H181" s="197">
        <v>3</v>
      </c>
      <c r="I181" s="243">
        <f t="shared" si="175"/>
        <v>9</v>
      </c>
      <c r="J181" s="196">
        <v>3</v>
      </c>
      <c r="K181" s="197">
        <v>3</v>
      </c>
      <c r="L181" s="197">
        <v>3</v>
      </c>
      <c r="M181" s="243">
        <f t="shared" si="176"/>
        <v>9</v>
      </c>
      <c r="N181" s="253">
        <f t="shared" si="177"/>
        <v>27</v>
      </c>
      <c r="O181" s="190">
        <v>46074</v>
      </c>
      <c r="P181" s="191" t="s">
        <v>3</v>
      </c>
      <c r="Q181" s="199"/>
      <c r="R181" s="197"/>
      <c r="S181" s="197"/>
      <c r="T181" s="243">
        <f t="shared" si="178"/>
        <v>0</v>
      </c>
      <c r="U181" s="199"/>
      <c r="V181" s="197"/>
      <c r="W181" s="197"/>
      <c r="X181" s="243">
        <f t="shared" si="179"/>
        <v>0</v>
      </c>
      <c r="Y181" s="196"/>
      <c r="Z181" s="197"/>
      <c r="AA181" s="197"/>
      <c r="AB181" s="243">
        <f t="shared" si="180"/>
        <v>0</v>
      </c>
      <c r="AC181" s="253">
        <f t="shared" si="181"/>
        <v>0</v>
      </c>
      <c r="AD181" s="198"/>
    </row>
    <row r="182" spans="1:33" x14ac:dyDescent="0.15">
      <c r="A182" s="288" t="s">
        <v>3</v>
      </c>
      <c r="B182" s="289">
        <v>3</v>
      </c>
      <c r="C182" s="290"/>
      <c r="D182" s="290"/>
      <c r="E182" s="291">
        <f t="shared" si="174"/>
        <v>3</v>
      </c>
      <c r="F182" s="289">
        <v>3</v>
      </c>
      <c r="G182" s="290"/>
      <c r="H182" s="290"/>
      <c r="I182" s="291">
        <f t="shared" si="175"/>
        <v>3</v>
      </c>
      <c r="J182" s="299">
        <v>3</v>
      </c>
      <c r="K182" s="290"/>
      <c r="L182" s="290"/>
      <c r="M182" s="291">
        <f t="shared" si="176"/>
        <v>3</v>
      </c>
      <c r="N182" s="257">
        <f t="shared" si="177"/>
        <v>9</v>
      </c>
      <c r="O182" s="294">
        <v>46080</v>
      </c>
      <c r="P182" s="191" t="s">
        <v>3</v>
      </c>
      <c r="Q182" s="199"/>
      <c r="R182" s="197"/>
      <c r="S182" s="197"/>
      <c r="T182" s="243">
        <f t="shared" si="178"/>
        <v>0</v>
      </c>
      <c r="U182" s="199"/>
      <c r="V182" s="197"/>
      <c r="W182" s="197"/>
      <c r="X182" s="243">
        <f t="shared" si="179"/>
        <v>0</v>
      </c>
      <c r="Y182" s="196"/>
      <c r="Z182" s="197"/>
      <c r="AA182" s="197"/>
      <c r="AB182" s="243">
        <f t="shared" si="180"/>
        <v>0</v>
      </c>
      <c r="AC182" s="253">
        <f t="shared" si="181"/>
        <v>0</v>
      </c>
      <c r="AD182" s="198"/>
    </row>
    <row r="183" spans="1:33" x14ac:dyDescent="0.15">
      <c r="A183" s="191" t="s">
        <v>3</v>
      </c>
      <c r="B183" s="199">
        <v>3</v>
      </c>
      <c r="C183" s="197"/>
      <c r="D183" s="197"/>
      <c r="E183" s="243">
        <f t="shared" si="174"/>
        <v>3</v>
      </c>
      <c r="F183" s="199">
        <v>3</v>
      </c>
      <c r="G183" s="197"/>
      <c r="H183" s="197"/>
      <c r="I183" s="243">
        <f t="shared" si="175"/>
        <v>3</v>
      </c>
      <c r="J183" s="186">
        <v>3</v>
      </c>
      <c r="K183" s="187"/>
      <c r="L183" s="187"/>
      <c r="M183" s="244">
        <f t="shared" si="176"/>
        <v>3</v>
      </c>
      <c r="N183" s="253">
        <f t="shared" si="177"/>
        <v>9</v>
      </c>
      <c r="O183" s="190">
        <v>46084</v>
      </c>
      <c r="P183" s="191" t="s">
        <v>3</v>
      </c>
      <c r="Q183" s="199"/>
      <c r="R183" s="197"/>
      <c r="S183" s="197"/>
      <c r="T183" s="243">
        <f t="shared" si="178"/>
        <v>0</v>
      </c>
      <c r="U183" s="199"/>
      <c r="V183" s="197"/>
      <c r="W183" s="197"/>
      <c r="X183" s="243">
        <f t="shared" si="179"/>
        <v>0</v>
      </c>
      <c r="Y183" s="186"/>
      <c r="Z183" s="187"/>
      <c r="AA183" s="187"/>
      <c r="AB183" s="244">
        <f t="shared" si="180"/>
        <v>0</v>
      </c>
      <c r="AC183" s="253">
        <f t="shared" si="181"/>
        <v>0</v>
      </c>
      <c r="AD183" s="198"/>
    </row>
    <row r="184" spans="1:33" x14ac:dyDescent="0.15">
      <c r="A184" s="191" t="s">
        <v>3</v>
      </c>
      <c r="B184" s="200">
        <v>3</v>
      </c>
      <c r="C184" s="187"/>
      <c r="D184" s="187"/>
      <c r="E184" s="243">
        <f t="shared" si="174"/>
        <v>3</v>
      </c>
      <c r="F184" s="200">
        <v>3</v>
      </c>
      <c r="G184" s="187"/>
      <c r="H184" s="187"/>
      <c r="I184" s="243">
        <f t="shared" si="175"/>
        <v>3</v>
      </c>
      <c r="J184" s="186">
        <v>3</v>
      </c>
      <c r="K184" s="187"/>
      <c r="L184" s="187"/>
      <c r="M184" s="243">
        <f t="shared" si="176"/>
        <v>3</v>
      </c>
      <c r="N184" s="253">
        <f t="shared" si="177"/>
        <v>9</v>
      </c>
      <c r="O184" s="190">
        <v>46086</v>
      </c>
      <c r="P184" s="191" t="s">
        <v>3</v>
      </c>
      <c r="Q184" s="200"/>
      <c r="R184" s="187"/>
      <c r="S184" s="187"/>
      <c r="T184" s="243">
        <f t="shared" si="178"/>
        <v>0</v>
      </c>
      <c r="U184" s="200"/>
      <c r="V184" s="187"/>
      <c r="W184" s="187"/>
      <c r="X184" s="243">
        <f t="shared" si="179"/>
        <v>0</v>
      </c>
      <c r="Y184" s="186"/>
      <c r="Z184" s="187"/>
      <c r="AA184" s="187"/>
      <c r="AB184" s="243">
        <f t="shared" si="180"/>
        <v>0</v>
      </c>
      <c r="AC184" s="253">
        <f t="shared" si="181"/>
        <v>0</v>
      </c>
      <c r="AD184" s="198"/>
    </row>
    <row r="185" spans="1:33" x14ac:dyDescent="0.15">
      <c r="A185" s="191" t="s">
        <v>57</v>
      </c>
      <c r="B185" s="199"/>
      <c r="C185" s="197"/>
      <c r="D185" s="197">
        <v>1</v>
      </c>
      <c r="E185" s="243">
        <f t="shared" si="174"/>
        <v>1</v>
      </c>
      <c r="F185" s="199"/>
      <c r="G185" s="197"/>
      <c r="H185" s="197">
        <v>1</v>
      </c>
      <c r="I185" s="243">
        <f t="shared" si="175"/>
        <v>1</v>
      </c>
      <c r="J185" s="186"/>
      <c r="K185" s="187"/>
      <c r="L185" s="187">
        <v>1</v>
      </c>
      <c r="M185" s="243">
        <f t="shared" si="176"/>
        <v>1</v>
      </c>
      <c r="N185" s="253">
        <f t="shared" si="177"/>
        <v>3</v>
      </c>
      <c r="O185" s="190">
        <v>46090</v>
      </c>
      <c r="P185" s="191" t="s">
        <v>3</v>
      </c>
      <c r="Q185" s="199"/>
      <c r="R185" s="197"/>
      <c r="S185" s="197"/>
      <c r="T185" s="243">
        <f t="shared" si="178"/>
        <v>0</v>
      </c>
      <c r="U185" s="199"/>
      <c r="V185" s="197"/>
      <c r="W185" s="197"/>
      <c r="X185" s="243">
        <f t="shared" si="179"/>
        <v>0</v>
      </c>
      <c r="Y185" s="186"/>
      <c r="Z185" s="187"/>
      <c r="AA185" s="187"/>
      <c r="AB185" s="243">
        <f t="shared" si="180"/>
        <v>0</v>
      </c>
      <c r="AC185" s="253">
        <f t="shared" si="181"/>
        <v>0</v>
      </c>
      <c r="AD185" s="198"/>
    </row>
    <row r="186" spans="1:33" x14ac:dyDescent="0.15">
      <c r="A186" s="191" t="s">
        <v>3</v>
      </c>
      <c r="B186" s="200"/>
      <c r="C186" s="187"/>
      <c r="D186" s="187"/>
      <c r="E186" s="243">
        <f t="shared" si="174"/>
        <v>0</v>
      </c>
      <c r="F186" s="200"/>
      <c r="G186" s="187"/>
      <c r="H186" s="187"/>
      <c r="I186" s="243">
        <f t="shared" si="175"/>
        <v>0</v>
      </c>
      <c r="J186" s="186"/>
      <c r="K186" s="187"/>
      <c r="L186" s="187"/>
      <c r="M186" s="243">
        <f t="shared" si="176"/>
        <v>0</v>
      </c>
      <c r="N186" s="253">
        <f t="shared" si="177"/>
        <v>0</v>
      </c>
      <c r="P186" s="191" t="s">
        <v>3</v>
      </c>
      <c r="Q186" s="200"/>
      <c r="R186" s="187"/>
      <c r="S186" s="187"/>
      <c r="T186" s="243">
        <f t="shared" si="178"/>
        <v>0</v>
      </c>
      <c r="U186" s="200"/>
      <c r="V186" s="187"/>
      <c r="W186" s="187"/>
      <c r="X186" s="243">
        <f t="shared" si="179"/>
        <v>0</v>
      </c>
      <c r="Y186" s="186"/>
      <c r="Z186" s="187"/>
      <c r="AA186" s="187"/>
      <c r="AB186" s="243">
        <f t="shared" si="180"/>
        <v>0</v>
      </c>
      <c r="AC186" s="253">
        <f t="shared" si="181"/>
        <v>0</v>
      </c>
      <c r="AD186" s="198"/>
    </row>
    <row r="187" spans="1:33" ht="14.25" thickBot="1" x14ac:dyDescent="0.2">
      <c r="A187" s="206" t="s">
        <v>3</v>
      </c>
      <c r="B187" s="202"/>
      <c r="C187" s="203"/>
      <c r="D187" s="203"/>
      <c r="E187" s="245">
        <f t="shared" si="174"/>
        <v>0</v>
      </c>
      <c r="F187" s="202"/>
      <c r="G187" s="203"/>
      <c r="H187" s="203"/>
      <c r="I187" s="245">
        <f t="shared" si="175"/>
        <v>0</v>
      </c>
      <c r="J187" s="205"/>
      <c r="K187" s="203"/>
      <c r="L187" s="204"/>
      <c r="M187" s="245">
        <f t="shared" si="176"/>
        <v>0</v>
      </c>
      <c r="N187" s="255">
        <f t="shared" si="177"/>
        <v>0</v>
      </c>
      <c r="P187" s="206" t="s">
        <v>3</v>
      </c>
      <c r="Q187" s="202"/>
      <c r="R187" s="203"/>
      <c r="S187" s="203"/>
      <c r="T187" s="245">
        <f t="shared" si="178"/>
        <v>0</v>
      </c>
      <c r="U187" s="202"/>
      <c r="V187" s="203"/>
      <c r="W187" s="203"/>
      <c r="X187" s="245">
        <f t="shared" si="179"/>
        <v>0</v>
      </c>
      <c r="Y187" s="205"/>
      <c r="Z187" s="203"/>
      <c r="AA187" s="204"/>
      <c r="AB187" s="245">
        <f t="shared" si="180"/>
        <v>0</v>
      </c>
      <c r="AC187" s="255">
        <f t="shared" si="181"/>
        <v>0</v>
      </c>
      <c r="AD187" s="198"/>
    </row>
    <row r="188" spans="1:33" ht="14.25" thickBot="1" x14ac:dyDescent="0.2">
      <c r="A188" s="207" t="s">
        <v>4</v>
      </c>
      <c r="B188" s="208">
        <f>SUM(B177:B187)</f>
        <v>26</v>
      </c>
      <c r="C188" s="208">
        <f>SUM(C177:C187)</f>
        <v>15</v>
      </c>
      <c r="D188" s="208">
        <f>SUM(D177:D187)</f>
        <v>16</v>
      </c>
      <c r="E188" s="246">
        <f t="shared" ref="E188:E213" si="182">SUM(B188:D188)</f>
        <v>57</v>
      </c>
      <c r="F188" s="208">
        <f>SUM(F177:F187)</f>
        <v>26</v>
      </c>
      <c r="G188" s="208">
        <f>SUM(G177:G187)</f>
        <v>16</v>
      </c>
      <c r="H188" s="208">
        <f>SUM(H177:H187)</f>
        <v>15</v>
      </c>
      <c r="I188" s="246">
        <f t="shared" si="175"/>
        <v>57</v>
      </c>
      <c r="J188" s="208">
        <f>SUM(J177:J187)</f>
        <v>27</v>
      </c>
      <c r="K188" s="208">
        <f>SUM(K177:K187)</f>
        <v>15</v>
      </c>
      <c r="L188" s="208">
        <f>SUM(L177:L187)</f>
        <v>15</v>
      </c>
      <c r="M188" s="266">
        <f t="shared" si="176"/>
        <v>57</v>
      </c>
      <c r="N188" s="271">
        <f t="shared" si="177"/>
        <v>171</v>
      </c>
      <c r="P188" s="210" t="s">
        <v>4</v>
      </c>
      <c r="Q188" s="208">
        <f>SUM(Q177:Q187)</f>
        <v>333</v>
      </c>
      <c r="R188" s="208">
        <f>SUM(R177:R187)</f>
        <v>242</v>
      </c>
      <c r="S188" s="208">
        <f>SUM(S177:S187)</f>
        <v>194</v>
      </c>
      <c r="T188" s="246">
        <f t="shared" si="178"/>
        <v>769</v>
      </c>
      <c r="U188" s="208">
        <f>SUM(U177:U187)</f>
        <v>336</v>
      </c>
      <c r="V188" s="208">
        <f>SUM(V177:V187)</f>
        <v>244</v>
      </c>
      <c r="W188" s="208">
        <f>SUM(W177:W187)</f>
        <v>197</v>
      </c>
      <c r="X188" s="246">
        <f t="shared" si="179"/>
        <v>777</v>
      </c>
      <c r="Y188" s="208">
        <f>SUM(Y177:Y187)</f>
        <v>336</v>
      </c>
      <c r="Z188" s="208">
        <f>SUM(Z177:Z187)</f>
        <v>244</v>
      </c>
      <c r="AA188" s="208">
        <f>SUM(AA177:AA187)</f>
        <v>194</v>
      </c>
      <c r="AB188" s="246">
        <f t="shared" si="180"/>
        <v>774</v>
      </c>
      <c r="AC188" s="256">
        <f t="shared" si="181"/>
        <v>2320</v>
      </c>
    </row>
    <row r="189" spans="1:33" x14ac:dyDescent="0.15">
      <c r="A189" s="295" t="s">
        <v>1492</v>
      </c>
      <c r="B189" s="189">
        <v>5</v>
      </c>
      <c r="C189" s="188">
        <v>5</v>
      </c>
      <c r="D189" s="188">
        <v>5</v>
      </c>
      <c r="E189" s="244">
        <f t="shared" si="182"/>
        <v>15</v>
      </c>
      <c r="F189" s="189">
        <v>5</v>
      </c>
      <c r="G189" s="188">
        <v>5</v>
      </c>
      <c r="H189" s="188">
        <v>5</v>
      </c>
      <c r="I189" s="244">
        <f t="shared" si="175"/>
        <v>15</v>
      </c>
      <c r="J189" s="189">
        <v>5</v>
      </c>
      <c r="K189" s="188">
        <v>5</v>
      </c>
      <c r="L189" s="188">
        <v>5</v>
      </c>
      <c r="M189" s="244">
        <f t="shared" si="176"/>
        <v>15</v>
      </c>
      <c r="N189" s="253">
        <f t="shared" si="177"/>
        <v>45</v>
      </c>
      <c r="O189" s="190">
        <v>46058</v>
      </c>
      <c r="P189" s="290" t="s">
        <v>1484</v>
      </c>
      <c r="Q189" s="234">
        <v>5</v>
      </c>
      <c r="R189" s="235">
        <v>5</v>
      </c>
      <c r="S189" s="235">
        <v>5</v>
      </c>
      <c r="T189" s="247">
        <f t="shared" si="178"/>
        <v>15</v>
      </c>
      <c r="U189" s="234">
        <v>5</v>
      </c>
      <c r="V189" s="235">
        <v>5</v>
      </c>
      <c r="W189" s="235">
        <v>5</v>
      </c>
      <c r="X189" s="247">
        <f t="shared" si="179"/>
        <v>15</v>
      </c>
      <c r="Y189" s="234">
        <v>5</v>
      </c>
      <c r="Z189" s="235">
        <v>5</v>
      </c>
      <c r="AA189" s="235">
        <v>5</v>
      </c>
      <c r="AB189" s="247">
        <f t="shared" si="180"/>
        <v>15</v>
      </c>
      <c r="AC189" s="257">
        <f t="shared" si="181"/>
        <v>45</v>
      </c>
      <c r="AD189" s="236">
        <v>46056</v>
      </c>
    </row>
    <row r="190" spans="1:33" x14ac:dyDescent="0.15">
      <c r="A190" s="197" t="s">
        <v>74</v>
      </c>
      <c r="B190" s="189">
        <v>1</v>
      </c>
      <c r="C190" s="188"/>
      <c r="D190" s="188"/>
      <c r="E190" s="244">
        <f t="shared" si="182"/>
        <v>1</v>
      </c>
      <c r="F190" s="189">
        <v>1</v>
      </c>
      <c r="G190" s="188"/>
      <c r="H190" s="188"/>
      <c r="I190" s="244">
        <f t="shared" si="175"/>
        <v>1</v>
      </c>
      <c r="J190" s="189">
        <v>1</v>
      </c>
      <c r="K190" s="188"/>
      <c r="L190" s="188"/>
      <c r="M190" s="244">
        <f t="shared" si="176"/>
        <v>1</v>
      </c>
      <c r="N190" s="253">
        <f t="shared" si="177"/>
        <v>3</v>
      </c>
      <c r="O190" s="190">
        <v>46063</v>
      </c>
      <c r="P190" s="197" t="s">
        <v>1489</v>
      </c>
      <c r="Q190" s="189">
        <v>7</v>
      </c>
      <c r="R190" s="188">
        <v>6</v>
      </c>
      <c r="S190" s="188">
        <v>8</v>
      </c>
      <c r="T190" s="244">
        <f t="shared" si="178"/>
        <v>21</v>
      </c>
      <c r="U190" s="189">
        <v>7</v>
      </c>
      <c r="V190" s="188">
        <v>6</v>
      </c>
      <c r="W190" s="188">
        <v>8</v>
      </c>
      <c r="X190" s="244">
        <f t="shared" si="179"/>
        <v>21</v>
      </c>
      <c r="Y190" s="189">
        <v>7</v>
      </c>
      <c r="Z190" s="188">
        <v>6</v>
      </c>
      <c r="AA190" s="188">
        <v>8</v>
      </c>
      <c r="AB190" s="244">
        <f t="shared" si="180"/>
        <v>21</v>
      </c>
      <c r="AC190" s="253">
        <f t="shared" si="181"/>
        <v>63</v>
      </c>
      <c r="AD190" s="194">
        <v>46076</v>
      </c>
    </row>
    <row r="191" spans="1:33" x14ac:dyDescent="0.15">
      <c r="A191" s="197" t="s">
        <v>77</v>
      </c>
      <c r="B191" s="189">
        <v>1</v>
      </c>
      <c r="C191" s="188"/>
      <c r="D191" s="188"/>
      <c r="E191" s="244">
        <f t="shared" si="182"/>
        <v>1</v>
      </c>
      <c r="F191" s="189">
        <v>1</v>
      </c>
      <c r="G191" s="188"/>
      <c r="H191" s="188"/>
      <c r="I191" s="244">
        <f t="shared" si="175"/>
        <v>1</v>
      </c>
      <c r="J191" s="189">
        <v>1</v>
      </c>
      <c r="K191" s="188"/>
      <c r="L191" s="188"/>
      <c r="M191" s="244">
        <f t="shared" si="176"/>
        <v>1</v>
      </c>
      <c r="N191" s="253">
        <f t="shared" si="177"/>
        <v>3</v>
      </c>
      <c r="O191" s="190">
        <v>46065</v>
      </c>
      <c r="P191" s="197" t="s">
        <v>1495</v>
      </c>
      <c r="Q191" s="189">
        <v>15</v>
      </c>
      <c r="R191" s="188">
        <v>5</v>
      </c>
      <c r="S191" s="188">
        <v>8</v>
      </c>
      <c r="T191" s="244">
        <f t="shared" si="178"/>
        <v>28</v>
      </c>
      <c r="U191" s="189">
        <v>15</v>
      </c>
      <c r="V191" s="188">
        <v>5</v>
      </c>
      <c r="W191" s="188">
        <v>8</v>
      </c>
      <c r="X191" s="244">
        <f t="shared" si="179"/>
        <v>28</v>
      </c>
      <c r="Y191" s="189">
        <v>15</v>
      </c>
      <c r="Z191" s="188">
        <v>5</v>
      </c>
      <c r="AA191" s="188">
        <v>8</v>
      </c>
      <c r="AB191" s="244">
        <f t="shared" si="180"/>
        <v>28</v>
      </c>
      <c r="AC191" s="253">
        <f t="shared" si="181"/>
        <v>84</v>
      </c>
      <c r="AD191" s="194">
        <v>46059</v>
      </c>
    </row>
    <row r="192" spans="1:33" x14ac:dyDescent="0.15">
      <c r="A192" s="197" t="s">
        <v>79</v>
      </c>
      <c r="B192" s="189">
        <v>2</v>
      </c>
      <c r="C192" s="188">
        <v>2</v>
      </c>
      <c r="D192" s="188">
        <v>1</v>
      </c>
      <c r="E192" s="244">
        <f t="shared" si="182"/>
        <v>5</v>
      </c>
      <c r="F192" s="189">
        <v>2</v>
      </c>
      <c r="G192" s="188">
        <v>2</v>
      </c>
      <c r="H192" s="188">
        <v>1</v>
      </c>
      <c r="I192" s="244">
        <f t="shared" si="175"/>
        <v>5</v>
      </c>
      <c r="J192" s="189">
        <v>2</v>
      </c>
      <c r="K192" s="188">
        <v>2</v>
      </c>
      <c r="L192" s="188">
        <v>1</v>
      </c>
      <c r="M192" s="244">
        <f t="shared" si="176"/>
        <v>5</v>
      </c>
      <c r="N192" s="253">
        <f t="shared" si="177"/>
        <v>15</v>
      </c>
      <c r="O192" s="190">
        <v>46066</v>
      </c>
      <c r="P192" s="197" t="s">
        <v>1420</v>
      </c>
      <c r="Q192" s="189">
        <v>5</v>
      </c>
      <c r="R192" s="188"/>
      <c r="S192" s="188"/>
      <c r="T192" s="244">
        <f t="shared" si="178"/>
        <v>5</v>
      </c>
      <c r="U192" s="189">
        <v>5</v>
      </c>
      <c r="V192" s="188"/>
      <c r="W192" s="188"/>
      <c r="X192" s="244">
        <f t="shared" si="179"/>
        <v>5</v>
      </c>
      <c r="Y192" s="189">
        <v>5</v>
      </c>
      <c r="Z192" s="188"/>
      <c r="AA192" s="188"/>
      <c r="AB192" s="244">
        <f t="shared" si="180"/>
        <v>5</v>
      </c>
      <c r="AC192" s="253">
        <f t="shared" si="181"/>
        <v>15</v>
      </c>
      <c r="AD192" s="194">
        <v>46059</v>
      </c>
      <c r="AE192" s="195"/>
      <c r="AF192" s="195"/>
      <c r="AG192" s="195"/>
    </row>
    <row r="193" spans="1:33" x14ac:dyDescent="0.15">
      <c r="A193" s="197" t="s">
        <v>1541</v>
      </c>
      <c r="B193" s="189"/>
      <c r="C193" s="188">
        <v>1</v>
      </c>
      <c r="D193" s="188"/>
      <c r="E193" s="244">
        <f t="shared" si="182"/>
        <v>1</v>
      </c>
      <c r="F193" s="189"/>
      <c r="G193" s="188">
        <v>1</v>
      </c>
      <c r="H193" s="188"/>
      <c r="I193" s="244">
        <f t="shared" si="175"/>
        <v>1</v>
      </c>
      <c r="J193" s="189"/>
      <c r="K193" s="188">
        <v>1</v>
      </c>
      <c r="L193" s="188"/>
      <c r="M193" s="244">
        <f t="shared" si="176"/>
        <v>1</v>
      </c>
      <c r="N193" s="253">
        <f t="shared" si="177"/>
        <v>3</v>
      </c>
      <c r="O193" s="190">
        <v>46072</v>
      </c>
      <c r="P193" s="193" t="s">
        <v>1514</v>
      </c>
      <c r="Q193" s="189">
        <v>8</v>
      </c>
      <c r="R193" s="188">
        <v>2</v>
      </c>
      <c r="S193" s="188">
        <v>2</v>
      </c>
      <c r="T193" s="244">
        <f t="shared" si="178"/>
        <v>12</v>
      </c>
      <c r="U193" s="189">
        <v>8</v>
      </c>
      <c r="V193" s="188">
        <v>2</v>
      </c>
      <c r="W193" s="188">
        <v>2</v>
      </c>
      <c r="X193" s="244">
        <f t="shared" si="179"/>
        <v>12</v>
      </c>
      <c r="Y193" s="189">
        <v>8</v>
      </c>
      <c r="Z193" s="188">
        <v>2</v>
      </c>
      <c r="AA193" s="188">
        <v>2</v>
      </c>
      <c r="AB193" s="244">
        <f t="shared" si="180"/>
        <v>12</v>
      </c>
      <c r="AC193" s="253">
        <f t="shared" si="181"/>
        <v>36</v>
      </c>
      <c r="AD193" s="194">
        <v>46066</v>
      </c>
      <c r="AE193" s="195"/>
      <c r="AF193" s="195"/>
      <c r="AG193" s="195"/>
    </row>
    <row r="194" spans="1:33" x14ac:dyDescent="0.15">
      <c r="A194" s="197" t="s">
        <v>88</v>
      </c>
      <c r="B194" s="189">
        <v>2</v>
      </c>
      <c r="C194" s="188">
        <v>1</v>
      </c>
      <c r="D194" s="188">
        <v>1</v>
      </c>
      <c r="E194" s="244">
        <f t="shared" si="182"/>
        <v>4</v>
      </c>
      <c r="F194" s="189">
        <v>2</v>
      </c>
      <c r="G194" s="188">
        <v>1</v>
      </c>
      <c r="H194" s="188">
        <v>1</v>
      </c>
      <c r="I194" s="244">
        <f t="shared" si="175"/>
        <v>4</v>
      </c>
      <c r="J194" s="189">
        <v>2</v>
      </c>
      <c r="K194" s="188">
        <v>1</v>
      </c>
      <c r="L194" s="188">
        <v>1</v>
      </c>
      <c r="M194" s="244">
        <f t="shared" si="176"/>
        <v>4</v>
      </c>
      <c r="N194" s="253">
        <f t="shared" si="177"/>
        <v>12</v>
      </c>
      <c r="O194" s="190">
        <v>46077</v>
      </c>
      <c r="P194" s="197" t="s">
        <v>1319</v>
      </c>
      <c r="Q194" s="189">
        <v>5</v>
      </c>
      <c r="R194" s="188">
        <v>3</v>
      </c>
      <c r="S194" s="188"/>
      <c r="T194" s="244">
        <f t="shared" si="178"/>
        <v>8</v>
      </c>
      <c r="U194" s="189">
        <v>5</v>
      </c>
      <c r="V194" s="188">
        <v>3</v>
      </c>
      <c r="W194" s="188"/>
      <c r="X194" s="244">
        <f t="shared" si="179"/>
        <v>8</v>
      </c>
      <c r="Y194" s="189">
        <v>5</v>
      </c>
      <c r="Z194" s="188">
        <v>3</v>
      </c>
      <c r="AA194" s="188"/>
      <c r="AB194" s="244">
        <f t="shared" si="180"/>
        <v>8</v>
      </c>
      <c r="AC194" s="253">
        <f t="shared" si="181"/>
        <v>24</v>
      </c>
      <c r="AD194" s="194">
        <v>46066</v>
      </c>
    </row>
    <row r="195" spans="1:33" x14ac:dyDescent="0.15">
      <c r="A195" s="197" t="s">
        <v>1558</v>
      </c>
      <c r="B195" s="189">
        <v>2</v>
      </c>
      <c r="C195" s="188"/>
      <c r="D195" s="188"/>
      <c r="E195" s="244">
        <f t="shared" si="182"/>
        <v>2</v>
      </c>
      <c r="F195" s="189">
        <v>2</v>
      </c>
      <c r="G195" s="188"/>
      <c r="H195" s="188"/>
      <c r="I195" s="244">
        <f t="shared" si="175"/>
        <v>2</v>
      </c>
      <c r="J195" s="189">
        <v>2</v>
      </c>
      <c r="K195" s="188"/>
      <c r="L195" s="188"/>
      <c r="M195" s="244">
        <f t="shared" si="176"/>
        <v>2</v>
      </c>
      <c r="N195" s="253">
        <f t="shared" si="177"/>
        <v>6</v>
      </c>
      <c r="O195" s="190">
        <v>46079</v>
      </c>
      <c r="P195" s="295" t="s">
        <v>1545</v>
      </c>
      <c r="Q195" s="189">
        <v>10</v>
      </c>
      <c r="R195" s="188">
        <v>15</v>
      </c>
      <c r="S195" s="188">
        <v>5</v>
      </c>
      <c r="T195" s="244">
        <f t="shared" si="178"/>
        <v>30</v>
      </c>
      <c r="U195" s="189">
        <v>10</v>
      </c>
      <c r="V195" s="188">
        <v>15</v>
      </c>
      <c r="W195" s="188">
        <v>5</v>
      </c>
      <c r="X195" s="244">
        <f t="shared" si="179"/>
        <v>30</v>
      </c>
      <c r="Y195" s="189">
        <v>10</v>
      </c>
      <c r="Z195" s="188">
        <v>15</v>
      </c>
      <c r="AA195" s="188">
        <v>5</v>
      </c>
      <c r="AB195" s="244">
        <f t="shared" si="180"/>
        <v>30</v>
      </c>
      <c r="AC195" s="253">
        <f t="shared" si="181"/>
        <v>90</v>
      </c>
      <c r="AD195" s="194">
        <v>46071</v>
      </c>
    </row>
    <row r="196" spans="1:33" x14ac:dyDescent="0.15">
      <c r="A196" s="197" t="s">
        <v>96</v>
      </c>
      <c r="B196" s="189">
        <v>2</v>
      </c>
      <c r="C196" s="188"/>
      <c r="D196" s="188"/>
      <c r="E196" s="244">
        <f t="shared" ref="E196:E197" si="183">SUM(B196:D196)</f>
        <v>2</v>
      </c>
      <c r="F196" s="189">
        <v>2</v>
      </c>
      <c r="G196" s="188"/>
      <c r="H196" s="188"/>
      <c r="I196" s="244">
        <f t="shared" ref="I196:I197" si="184">SUM(F196:H196)</f>
        <v>2</v>
      </c>
      <c r="J196" s="189">
        <v>2</v>
      </c>
      <c r="K196" s="188"/>
      <c r="L196" s="188"/>
      <c r="M196" s="244">
        <f t="shared" ref="M196:M197" si="185">SUM(J196:L196)</f>
        <v>2</v>
      </c>
      <c r="N196" s="253">
        <f t="shared" ref="N196:N197" si="186">E196+I196+M196</f>
        <v>6</v>
      </c>
      <c r="O196" s="190">
        <v>46080</v>
      </c>
      <c r="P196" s="197" t="s">
        <v>1535</v>
      </c>
      <c r="Q196" s="189">
        <v>20</v>
      </c>
      <c r="R196" s="188">
        <v>20</v>
      </c>
      <c r="S196" s="188">
        <v>20</v>
      </c>
      <c r="T196" s="244">
        <f t="shared" si="178"/>
        <v>60</v>
      </c>
      <c r="U196" s="189">
        <v>10</v>
      </c>
      <c r="V196" s="188">
        <v>10</v>
      </c>
      <c r="W196" s="188">
        <v>10</v>
      </c>
      <c r="X196" s="244">
        <f t="shared" si="179"/>
        <v>30</v>
      </c>
      <c r="Y196" s="189">
        <v>20</v>
      </c>
      <c r="Z196" s="188">
        <v>20</v>
      </c>
      <c r="AA196" s="188">
        <v>20</v>
      </c>
      <c r="AB196" s="244">
        <f t="shared" si="180"/>
        <v>60</v>
      </c>
      <c r="AC196" s="253">
        <f t="shared" si="181"/>
        <v>150</v>
      </c>
      <c r="AD196" s="194">
        <v>46072</v>
      </c>
    </row>
    <row r="197" spans="1:33" x14ac:dyDescent="0.15">
      <c r="A197" s="197"/>
      <c r="B197" s="189"/>
      <c r="C197" s="188"/>
      <c r="D197" s="188"/>
      <c r="E197" s="244">
        <f t="shared" si="183"/>
        <v>0</v>
      </c>
      <c r="F197" s="189"/>
      <c r="G197" s="188"/>
      <c r="H197" s="188"/>
      <c r="I197" s="244">
        <f t="shared" si="184"/>
        <v>0</v>
      </c>
      <c r="J197" s="189"/>
      <c r="K197" s="188"/>
      <c r="L197" s="188"/>
      <c r="M197" s="244">
        <f t="shared" si="185"/>
        <v>0</v>
      </c>
      <c r="N197" s="253">
        <f t="shared" si="186"/>
        <v>0</v>
      </c>
      <c r="P197" s="295" t="s">
        <v>1546</v>
      </c>
      <c r="Q197" s="189">
        <v>30</v>
      </c>
      <c r="R197" s="188"/>
      <c r="S197" s="188">
        <v>20</v>
      </c>
      <c r="T197" s="244">
        <f t="shared" si="178"/>
        <v>50</v>
      </c>
      <c r="U197" s="189">
        <v>30</v>
      </c>
      <c r="V197" s="188"/>
      <c r="W197" s="188">
        <v>20</v>
      </c>
      <c r="X197" s="244">
        <f t="shared" si="179"/>
        <v>50</v>
      </c>
      <c r="Y197" s="189">
        <v>30</v>
      </c>
      <c r="Z197" s="188"/>
      <c r="AA197" s="188">
        <v>20</v>
      </c>
      <c r="AB197" s="244">
        <f t="shared" si="180"/>
        <v>50</v>
      </c>
      <c r="AC197" s="253">
        <f t="shared" si="181"/>
        <v>150</v>
      </c>
      <c r="AD197" s="194">
        <v>46071</v>
      </c>
    </row>
    <row r="198" spans="1:33" x14ac:dyDescent="0.15">
      <c r="A198" s="197"/>
      <c r="B198" s="189"/>
      <c r="C198" s="188"/>
      <c r="D198" s="188"/>
      <c r="E198" s="244">
        <f t="shared" si="182"/>
        <v>0</v>
      </c>
      <c r="F198" s="189"/>
      <c r="G198" s="188"/>
      <c r="H198" s="188"/>
      <c r="I198" s="244">
        <f t="shared" si="175"/>
        <v>0</v>
      </c>
      <c r="J198" s="189"/>
      <c r="K198" s="188"/>
      <c r="L198" s="188"/>
      <c r="M198" s="244">
        <f t="shared" si="176"/>
        <v>0</v>
      </c>
      <c r="N198" s="253">
        <f t="shared" si="177"/>
        <v>0</v>
      </c>
      <c r="P198" s="295" t="s">
        <v>1549</v>
      </c>
      <c r="Q198" s="189"/>
      <c r="R198" s="188">
        <v>20</v>
      </c>
      <c r="S198" s="188"/>
      <c r="T198" s="244">
        <f t="shared" si="178"/>
        <v>20</v>
      </c>
      <c r="U198" s="189"/>
      <c r="V198" s="188">
        <v>20</v>
      </c>
      <c r="W198" s="188"/>
      <c r="X198" s="244">
        <f t="shared" si="179"/>
        <v>20</v>
      </c>
      <c r="Y198" s="189"/>
      <c r="Z198" s="188">
        <v>20</v>
      </c>
      <c r="AA198" s="188"/>
      <c r="AB198" s="244">
        <f t="shared" si="180"/>
        <v>20</v>
      </c>
      <c r="AC198" s="253">
        <f t="shared" si="181"/>
        <v>60</v>
      </c>
      <c r="AD198" s="194">
        <v>46072</v>
      </c>
    </row>
    <row r="199" spans="1:33" x14ac:dyDescent="0.15">
      <c r="A199" s="197"/>
      <c r="B199" s="189"/>
      <c r="C199" s="188"/>
      <c r="D199" s="188"/>
      <c r="E199" s="244">
        <f t="shared" si="182"/>
        <v>0</v>
      </c>
      <c r="F199" s="189"/>
      <c r="G199" s="188"/>
      <c r="H199" s="188"/>
      <c r="I199" s="244">
        <f t="shared" si="175"/>
        <v>0</v>
      </c>
      <c r="J199" s="189"/>
      <c r="K199" s="188"/>
      <c r="L199" s="188"/>
      <c r="M199" s="244">
        <f t="shared" si="176"/>
        <v>0</v>
      </c>
      <c r="N199" s="253">
        <f t="shared" si="177"/>
        <v>0</v>
      </c>
      <c r="P199" s="197" t="s">
        <v>1556</v>
      </c>
      <c r="Q199" s="189">
        <v>3</v>
      </c>
      <c r="R199" s="188">
        <v>3</v>
      </c>
      <c r="S199" s="188">
        <v>3</v>
      </c>
      <c r="T199" s="244">
        <f t="shared" si="178"/>
        <v>9</v>
      </c>
      <c r="U199" s="189">
        <v>3</v>
      </c>
      <c r="V199" s="188">
        <v>3</v>
      </c>
      <c r="W199" s="188">
        <v>3</v>
      </c>
      <c r="X199" s="244">
        <f t="shared" si="179"/>
        <v>9</v>
      </c>
      <c r="Y199" s="189">
        <v>3</v>
      </c>
      <c r="Z199" s="188">
        <v>3</v>
      </c>
      <c r="AA199" s="188">
        <v>3</v>
      </c>
      <c r="AB199" s="244">
        <f t="shared" si="180"/>
        <v>9</v>
      </c>
      <c r="AC199" s="253">
        <f t="shared" si="181"/>
        <v>27</v>
      </c>
      <c r="AD199" s="194">
        <v>46074</v>
      </c>
    </row>
    <row r="200" spans="1:33" x14ac:dyDescent="0.15">
      <c r="A200" s="197"/>
      <c r="B200" s="189"/>
      <c r="C200" s="188"/>
      <c r="D200" s="188"/>
      <c r="E200" s="244">
        <f t="shared" si="182"/>
        <v>0</v>
      </c>
      <c r="F200" s="189"/>
      <c r="G200" s="188"/>
      <c r="H200" s="188"/>
      <c r="I200" s="244">
        <f t="shared" si="175"/>
        <v>0</v>
      </c>
      <c r="J200" s="189"/>
      <c r="K200" s="188"/>
      <c r="L200" s="188"/>
      <c r="M200" s="244">
        <f t="shared" si="176"/>
        <v>0</v>
      </c>
      <c r="N200" s="253">
        <f t="shared" si="177"/>
        <v>0</v>
      </c>
      <c r="P200" s="290" t="s">
        <v>1319</v>
      </c>
      <c r="Q200" s="234">
        <v>3</v>
      </c>
      <c r="R200" s="235"/>
      <c r="S200" s="235"/>
      <c r="T200" s="247">
        <f t="shared" si="178"/>
        <v>3</v>
      </c>
      <c r="U200" s="234">
        <v>3</v>
      </c>
      <c r="V200" s="235"/>
      <c r="W200" s="235"/>
      <c r="X200" s="247">
        <f t="shared" si="179"/>
        <v>3</v>
      </c>
      <c r="Y200" s="234">
        <v>3</v>
      </c>
      <c r="Z200" s="235"/>
      <c r="AA200" s="235"/>
      <c r="AB200" s="247">
        <f t="shared" si="180"/>
        <v>3</v>
      </c>
      <c r="AC200" s="257">
        <f t="shared" si="181"/>
        <v>9</v>
      </c>
      <c r="AD200" s="236">
        <v>46080</v>
      </c>
    </row>
    <row r="201" spans="1:33" x14ac:dyDescent="0.15">
      <c r="A201" s="197"/>
      <c r="B201" s="189"/>
      <c r="C201" s="188"/>
      <c r="D201" s="188"/>
      <c r="E201" s="244">
        <f t="shared" si="182"/>
        <v>0</v>
      </c>
      <c r="F201" s="189"/>
      <c r="G201" s="188"/>
      <c r="H201" s="188"/>
      <c r="I201" s="244">
        <f t="shared" si="175"/>
        <v>0</v>
      </c>
      <c r="J201" s="189"/>
      <c r="K201" s="188"/>
      <c r="L201" s="188"/>
      <c r="M201" s="244">
        <f t="shared" si="176"/>
        <v>0</v>
      </c>
      <c r="N201" s="253">
        <f t="shared" si="177"/>
        <v>0</v>
      </c>
      <c r="P201" s="197" t="s">
        <v>1319</v>
      </c>
      <c r="Q201" s="189">
        <v>3</v>
      </c>
      <c r="R201" s="188"/>
      <c r="S201" s="188"/>
      <c r="T201" s="244">
        <f t="shared" ref="T201:T206" si="187">SUM(Q201:S201)</f>
        <v>3</v>
      </c>
      <c r="U201" s="189">
        <v>3</v>
      </c>
      <c r="V201" s="188"/>
      <c r="W201" s="188"/>
      <c r="X201" s="244">
        <f t="shared" ref="X201:X206" si="188">SUM(U201:W201)</f>
        <v>3</v>
      </c>
      <c r="Y201" s="189">
        <v>3</v>
      </c>
      <c r="Z201" s="188"/>
      <c r="AA201" s="188"/>
      <c r="AB201" s="244">
        <f t="shared" ref="AB201:AB206" si="189">SUM(Y201:AA201)</f>
        <v>3</v>
      </c>
      <c r="AC201" s="253">
        <f t="shared" ref="AC201:AC206" si="190">T201+X201+AB201</f>
        <v>9</v>
      </c>
      <c r="AD201" s="194">
        <v>46084</v>
      </c>
    </row>
    <row r="202" spans="1:33" x14ac:dyDescent="0.15">
      <c r="A202" s="197"/>
      <c r="B202" s="189"/>
      <c r="C202" s="188"/>
      <c r="D202" s="188"/>
      <c r="E202" s="244">
        <f t="shared" si="182"/>
        <v>0</v>
      </c>
      <c r="F202" s="189"/>
      <c r="G202" s="188"/>
      <c r="H202" s="188"/>
      <c r="I202" s="244">
        <f t="shared" si="175"/>
        <v>0</v>
      </c>
      <c r="J202" s="189"/>
      <c r="K202" s="188"/>
      <c r="L202" s="188"/>
      <c r="M202" s="244">
        <f t="shared" si="176"/>
        <v>0</v>
      </c>
      <c r="N202" s="253">
        <f t="shared" si="177"/>
        <v>0</v>
      </c>
      <c r="P202" s="197" t="s">
        <v>1423</v>
      </c>
      <c r="Q202" s="189"/>
      <c r="R202" s="188"/>
      <c r="S202" s="188"/>
      <c r="T202" s="244">
        <f t="shared" ref="T202" si="191">SUM(Q202:S202)</f>
        <v>0</v>
      </c>
      <c r="U202" s="189"/>
      <c r="V202" s="188"/>
      <c r="W202" s="188"/>
      <c r="X202" s="244">
        <f t="shared" ref="X202" si="192">SUM(U202:W202)</f>
        <v>0</v>
      </c>
      <c r="Y202" s="189"/>
      <c r="Z202" s="188"/>
      <c r="AA202" s="188"/>
      <c r="AB202" s="244">
        <f t="shared" ref="AB202" si="193">SUM(Y202:AA202)</f>
        <v>0</v>
      </c>
      <c r="AC202" s="253">
        <f t="shared" ref="AC202" si="194">T202+X202+AB202</f>
        <v>0</v>
      </c>
      <c r="AD202" s="198" t="s">
        <v>1422</v>
      </c>
    </row>
    <row r="203" spans="1:33" x14ac:dyDescent="0.15">
      <c r="A203" s="197"/>
      <c r="B203" s="189"/>
      <c r="C203" s="188"/>
      <c r="D203" s="188"/>
      <c r="E203" s="244">
        <f t="shared" si="182"/>
        <v>0</v>
      </c>
      <c r="F203" s="189"/>
      <c r="G203" s="188"/>
      <c r="H203" s="188"/>
      <c r="I203" s="244">
        <f t="shared" si="175"/>
        <v>0</v>
      </c>
      <c r="J203" s="189"/>
      <c r="K203" s="188"/>
      <c r="L203" s="188"/>
      <c r="M203" s="244">
        <f t="shared" si="176"/>
        <v>0</v>
      </c>
      <c r="N203" s="253">
        <f t="shared" si="177"/>
        <v>0</v>
      </c>
      <c r="P203" s="197" t="s">
        <v>1427</v>
      </c>
      <c r="Q203" s="189"/>
      <c r="R203" s="188"/>
      <c r="S203" s="188"/>
      <c r="T203" s="244">
        <f t="shared" si="187"/>
        <v>0</v>
      </c>
      <c r="U203" s="189"/>
      <c r="V203" s="188"/>
      <c r="W203" s="188"/>
      <c r="X203" s="244">
        <f t="shared" si="188"/>
        <v>0</v>
      </c>
      <c r="Y203" s="189"/>
      <c r="Z203" s="188"/>
      <c r="AA203" s="188"/>
      <c r="AB203" s="244">
        <f t="shared" si="189"/>
        <v>0</v>
      </c>
      <c r="AC203" s="253">
        <f t="shared" si="190"/>
        <v>0</v>
      </c>
      <c r="AD203" s="198" t="s">
        <v>621</v>
      </c>
    </row>
    <row r="204" spans="1:33" x14ac:dyDescent="0.15">
      <c r="A204" s="197"/>
      <c r="B204" s="189"/>
      <c r="C204" s="188"/>
      <c r="D204" s="188"/>
      <c r="E204" s="244">
        <f t="shared" si="182"/>
        <v>0</v>
      </c>
      <c r="F204" s="189"/>
      <c r="G204" s="188"/>
      <c r="H204" s="188"/>
      <c r="I204" s="244">
        <f t="shared" si="175"/>
        <v>0</v>
      </c>
      <c r="J204" s="189"/>
      <c r="K204" s="188"/>
      <c r="L204" s="188"/>
      <c r="M204" s="244">
        <f t="shared" si="176"/>
        <v>0</v>
      </c>
      <c r="N204" s="253">
        <f t="shared" si="177"/>
        <v>0</v>
      </c>
      <c r="P204" s="197" t="s">
        <v>1407</v>
      </c>
      <c r="Q204" s="189"/>
      <c r="R204" s="188"/>
      <c r="S204" s="188"/>
      <c r="T204" s="244">
        <f t="shared" si="187"/>
        <v>0</v>
      </c>
      <c r="U204" s="189"/>
      <c r="V204" s="188"/>
      <c r="W204" s="188"/>
      <c r="X204" s="244">
        <f t="shared" si="188"/>
        <v>0</v>
      </c>
      <c r="Y204" s="189"/>
      <c r="Z204" s="188"/>
      <c r="AA204" s="188"/>
      <c r="AB204" s="244">
        <f t="shared" si="189"/>
        <v>0</v>
      </c>
      <c r="AC204" s="253">
        <f t="shared" si="190"/>
        <v>0</v>
      </c>
      <c r="AD204" s="198" t="s">
        <v>1406</v>
      </c>
    </row>
    <row r="205" spans="1:33" x14ac:dyDescent="0.15">
      <c r="A205" s="197"/>
      <c r="B205" s="189"/>
      <c r="C205" s="188"/>
      <c r="D205" s="188"/>
      <c r="E205" s="244">
        <f t="shared" si="182"/>
        <v>0</v>
      </c>
      <c r="F205" s="189"/>
      <c r="G205" s="188"/>
      <c r="H205" s="188"/>
      <c r="I205" s="244">
        <f t="shared" si="175"/>
        <v>0</v>
      </c>
      <c r="J205" s="189"/>
      <c r="K205" s="188"/>
      <c r="L205" s="188"/>
      <c r="M205" s="244">
        <f t="shared" si="176"/>
        <v>0</v>
      </c>
      <c r="N205" s="253">
        <f t="shared" si="177"/>
        <v>0</v>
      </c>
      <c r="P205" s="197" t="s">
        <v>1560</v>
      </c>
      <c r="Q205" s="189">
        <v>1</v>
      </c>
      <c r="R205" s="188"/>
      <c r="S205" s="188"/>
      <c r="T205" s="244">
        <f t="shared" si="187"/>
        <v>1</v>
      </c>
      <c r="U205" s="189">
        <v>1</v>
      </c>
      <c r="V205" s="188"/>
      <c r="W205" s="188"/>
      <c r="X205" s="244">
        <f t="shared" si="188"/>
        <v>1</v>
      </c>
      <c r="Y205" s="189">
        <v>1</v>
      </c>
      <c r="Z205" s="188"/>
      <c r="AA205" s="188"/>
      <c r="AB205" s="244">
        <f t="shared" si="189"/>
        <v>1</v>
      </c>
      <c r="AC205" s="253">
        <f t="shared" si="190"/>
        <v>3</v>
      </c>
      <c r="AD205" s="194">
        <v>46086</v>
      </c>
    </row>
    <row r="206" spans="1:33" x14ac:dyDescent="0.15">
      <c r="A206" s="197"/>
      <c r="B206" s="189"/>
      <c r="C206" s="188"/>
      <c r="D206" s="188"/>
      <c r="E206" s="244">
        <f t="shared" si="182"/>
        <v>0</v>
      </c>
      <c r="F206" s="189"/>
      <c r="G206" s="188"/>
      <c r="H206" s="188"/>
      <c r="I206" s="244">
        <f t="shared" si="175"/>
        <v>0</v>
      </c>
      <c r="J206" s="189"/>
      <c r="K206" s="188"/>
      <c r="L206" s="188"/>
      <c r="M206" s="244">
        <f t="shared" si="176"/>
        <v>0</v>
      </c>
      <c r="N206" s="253">
        <f t="shared" si="177"/>
        <v>0</v>
      </c>
      <c r="P206" s="193" t="s">
        <v>1565</v>
      </c>
      <c r="Q206" s="189">
        <v>8</v>
      </c>
      <c r="R206" s="188">
        <v>6</v>
      </c>
      <c r="S206" s="188"/>
      <c r="T206" s="244">
        <f t="shared" si="187"/>
        <v>14</v>
      </c>
      <c r="U206" s="189">
        <v>8</v>
      </c>
      <c r="V206" s="188">
        <v>6</v>
      </c>
      <c r="W206" s="188"/>
      <c r="X206" s="244">
        <f t="shared" si="188"/>
        <v>14</v>
      </c>
      <c r="Y206" s="189">
        <v>8</v>
      </c>
      <c r="Z206" s="188">
        <v>6</v>
      </c>
      <c r="AA206" s="188"/>
      <c r="AB206" s="244">
        <f t="shared" si="189"/>
        <v>14</v>
      </c>
      <c r="AC206" s="253">
        <f t="shared" si="190"/>
        <v>42</v>
      </c>
      <c r="AD206" s="194">
        <v>46083</v>
      </c>
    </row>
    <row r="207" spans="1:33" x14ac:dyDescent="0.15">
      <c r="A207" s="197"/>
      <c r="B207" s="189"/>
      <c r="C207" s="188"/>
      <c r="D207" s="188"/>
      <c r="E207" s="244">
        <f t="shared" si="182"/>
        <v>0</v>
      </c>
      <c r="F207" s="189"/>
      <c r="G207" s="188"/>
      <c r="H207" s="188"/>
      <c r="I207" s="244">
        <f t="shared" si="175"/>
        <v>0</v>
      </c>
      <c r="J207" s="189"/>
      <c r="K207" s="188"/>
      <c r="L207" s="188"/>
      <c r="M207" s="244">
        <f t="shared" si="176"/>
        <v>0</v>
      </c>
      <c r="N207" s="253">
        <f t="shared" si="177"/>
        <v>0</v>
      </c>
      <c r="P207" s="193" t="s">
        <v>1319</v>
      </c>
      <c r="Q207" s="189">
        <v>3</v>
      </c>
      <c r="R207" s="188"/>
      <c r="S207" s="188"/>
      <c r="T207" s="244">
        <f t="shared" ref="T207:T208" si="195">SUM(Q207:S207)</f>
        <v>3</v>
      </c>
      <c r="U207" s="189">
        <v>3</v>
      </c>
      <c r="V207" s="188"/>
      <c r="W207" s="188"/>
      <c r="X207" s="244">
        <f t="shared" ref="X207:X208" si="196">SUM(U207:W207)</f>
        <v>3</v>
      </c>
      <c r="Y207" s="189">
        <v>3</v>
      </c>
      <c r="Z207" s="188"/>
      <c r="AA207" s="188"/>
      <c r="AB207" s="244">
        <f t="shared" ref="AB207:AB211" si="197">SUM(Y207:AA207)</f>
        <v>3</v>
      </c>
      <c r="AC207" s="287">
        <f t="shared" ref="AC207:AC208" si="198">T207+X207+AB207</f>
        <v>9</v>
      </c>
      <c r="AD207" s="194">
        <v>46086</v>
      </c>
    </row>
    <row r="208" spans="1:33" x14ac:dyDescent="0.15">
      <c r="A208" s="197"/>
      <c r="B208" s="189"/>
      <c r="C208" s="188"/>
      <c r="D208" s="188"/>
      <c r="E208" s="244">
        <f t="shared" si="182"/>
        <v>0</v>
      </c>
      <c r="F208" s="189"/>
      <c r="G208" s="188"/>
      <c r="H208" s="188"/>
      <c r="I208" s="244">
        <f t="shared" si="175"/>
        <v>0</v>
      </c>
      <c r="J208" s="189"/>
      <c r="K208" s="188"/>
      <c r="L208" s="188"/>
      <c r="M208" s="244">
        <f t="shared" si="176"/>
        <v>0</v>
      </c>
      <c r="N208" s="253">
        <f t="shared" si="177"/>
        <v>0</v>
      </c>
      <c r="P208" s="193" t="s">
        <v>1319</v>
      </c>
      <c r="Q208" s="189">
        <v>3</v>
      </c>
      <c r="R208" s="188"/>
      <c r="S208" s="188"/>
      <c r="T208" s="244">
        <f t="shared" si="195"/>
        <v>3</v>
      </c>
      <c r="U208" s="189">
        <v>3</v>
      </c>
      <c r="V208" s="188"/>
      <c r="W208" s="188"/>
      <c r="X208" s="244">
        <f t="shared" si="196"/>
        <v>3</v>
      </c>
      <c r="Y208" s="189">
        <v>3</v>
      </c>
      <c r="Z208" s="188"/>
      <c r="AA208" s="188"/>
      <c r="AB208" s="244">
        <f t="shared" ref="AB208" si="199">SUM(Y208:AA208)</f>
        <v>3</v>
      </c>
      <c r="AC208" s="253">
        <f t="shared" si="198"/>
        <v>9</v>
      </c>
      <c r="AD208" s="194">
        <v>46115</v>
      </c>
    </row>
    <row r="209" spans="1:31" x14ac:dyDescent="0.15">
      <c r="A209" s="197"/>
      <c r="B209" s="189"/>
      <c r="C209" s="188"/>
      <c r="D209" s="188"/>
      <c r="E209" s="244">
        <f t="shared" si="182"/>
        <v>0</v>
      </c>
      <c r="F209" s="189"/>
      <c r="G209" s="188"/>
      <c r="H209" s="188"/>
      <c r="I209" s="244">
        <f t="shared" si="175"/>
        <v>0</v>
      </c>
      <c r="J209" s="189"/>
      <c r="K209" s="188"/>
      <c r="L209" s="188"/>
      <c r="M209" s="244">
        <f t="shared" si="176"/>
        <v>0</v>
      </c>
      <c r="N209" s="253">
        <f t="shared" si="177"/>
        <v>0</v>
      </c>
      <c r="P209" s="274" t="s">
        <v>1274</v>
      </c>
      <c r="Q209" s="239"/>
      <c r="R209" s="240"/>
      <c r="S209" s="240"/>
      <c r="T209" s="249">
        <f t="shared" ref="T209:T210" si="200">SUM(Q209:S209)</f>
        <v>0</v>
      </c>
      <c r="U209" s="239"/>
      <c r="V209" s="240"/>
      <c r="W209" s="240"/>
      <c r="X209" s="249">
        <f t="shared" ref="X209:X210" si="201">SUM(U209:W209)</f>
        <v>0</v>
      </c>
      <c r="Y209" s="239"/>
      <c r="Z209" s="240"/>
      <c r="AA209" s="240"/>
      <c r="AB209" s="249">
        <f t="shared" si="197"/>
        <v>0</v>
      </c>
      <c r="AC209" s="275">
        <f t="shared" ref="AC209:AC210" si="202">T209+X209+AB209</f>
        <v>0</v>
      </c>
      <c r="AD209" s="198"/>
      <c r="AE209" s="195"/>
    </row>
    <row r="210" spans="1:31" x14ac:dyDescent="0.15">
      <c r="A210" s="197"/>
      <c r="B210" s="189"/>
      <c r="C210" s="188"/>
      <c r="D210" s="188"/>
      <c r="E210" s="244">
        <f t="shared" si="182"/>
        <v>0</v>
      </c>
      <c r="F210" s="189"/>
      <c r="G210" s="188"/>
      <c r="H210" s="188"/>
      <c r="I210" s="244">
        <f t="shared" si="175"/>
        <v>0</v>
      </c>
      <c r="J210" s="189"/>
      <c r="K210" s="188"/>
      <c r="L210" s="188"/>
      <c r="M210" s="244">
        <f t="shared" si="176"/>
        <v>0</v>
      </c>
      <c r="N210" s="253">
        <f t="shared" si="177"/>
        <v>0</v>
      </c>
      <c r="P210" s="193" t="s">
        <v>1566</v>
      </c>
      <c r="Q210" s="189"/>
      <c r="R210" s="188"/>
      <c r="S210" s="188"/>
      <c r="T210" s="244">
        <f t="shared" si="200"/>
        <v>0</v>
      </c>
      <c r="U210" s="189"/>
      <c r="V210" s="188"/>
      <c r="W210" s="188"/>
      <c r="X210" s="244">
        <f t="shared" si="201"/>
        <v>0</v>
      </c>
      <c r="Y210" s="189"/>
      <c r="Z210" s="188"/>
      <c r="AA210" s="188"/>
      <c r="AB210" s="244">
        <f t="shared" si="197"/>
        <v>0</v>
      </c>
      <c r="AC210" s="253">
        <f t="shared" si="202"/>
        <v>0</v>
      </c>
      <c r="AD210" s="198" t="s">
        <v>1272</v>
      </c>
      <c r="AE210" s="195"/>
    </row>
    <row r="211" spans="1:31" x14ac:dyDescent="0.15">
      <c r="A211" s="197"/>
      <c r="B211" s="189"/>
      <c r="C211" s="188"/>
      <c r="D211" s="188"/>
      <c r="E211" s="244">
        <f t="shared" si="182"/>
        <v>0</v>
      </c>
      <c r="F211" s="189"/>
      <c r="G211" s="188"/>
      <c r="H211" s="188"/>
      <c r="I211" s="244">
        <f t="shared" si="175"/>
        <v>0</v>
      </c>
      <c r="J211" s="189"/>
      <c r="K211" s="188"/>
      <c r="L211" s="188"/>
      <c r="M211" s="244">
        <f t="shared" si="176"/>
        <v>0</v>
      </c>
      <c r="N211" s="253">
        <f t="shared" si="177"/>
        <v>0</v>
      </c>
      <c r="P211" s="274" t="s">
        <v>1296</v>
      </c>
      <c r="Q211" s="239"/>
      <c r="R211" s="240"/>
      <c r="S211" s="240"/>
      <c r="T211" s="249">
        <f t="shared" ref="T211:T212" si="203">SUM(Q211:S211)</f>
        <v>0</v>
      </c>
      <c r="U211" s="239"/>
      <c r="V211" s="240"/>
      <c r="W211" s="240"/>
      <c r="X211" s="249">
        <f t="shared" ref="X211:X212" si="204">SUM(U211:W211)</f>
        <v>0</v>
      </c>
      <c r="Y211" s="239"/>
      <c r="Z211" s="240"/>
      <c r="AA211" s="240"/>
      <c r="AB211" s="249">
        <f t="shared" si="197"/>
        <v>0</v>
      </c>
      <c r="AC211" s="278">
        <f t="shared" ref="AC211:AC212" si="205">T211+X211+AB211</f>
        <v>0</v>
      </c>
      <c r="AD211" s="241"/>
    </row>
    <row r="212" spans="1:31" ht="14.25" thickBot="1" x14ac:dyDescent="0.2">
      <c r="A212" s="197"/>
      <c r="B212" s="189"/>
      <c r="C212" s="188"/>
      <c r="D212" s="188"/>
      <c r="E212" s="244">
        <f t="shared" si="182"/>
        <v>0</v>
      </c>
      <c r="F212" s="189"/>
      <c r="G212" s="188"/>
      <c r="H212" s="188"/>
      <c r="I212" s="244">
        <f t="shared" si="175"/>
        <v>0</v>
      </c>
      <c r="J212" s="189"/>
      <c r="K212" s="188"/>
      <c r="L212" s="188"/>
      <c r="M212" s="244">
        <f t="shared" si="176"/>
        <v>0</v>
      </c>
      <c r="N212" s="253">
        <f t="shared" si="177"/>
        <v>0</v>
      </c>
      <c r="P212" s="193" t="s">
        <v>1299</v>
      </c>
      <c r="Q212" s="189"/>
      <c r="R212" s="188"/>
      <c r="S212" s="188"/>
      <c r="T212" s="244">
        <f t="shared" si="203"/>
        <v>0</v>
      </c>
      <c r="U212" s="189"/>
      <c r="V212" s="188"/>
      <c r="W212" s="188"/>
      <c r="X212" s="244">
        <f t="shared" si="204"/>
        <v>0</v>
      </c>
      <c r="Y212" s="189"/>
      <c r="Z212" s="188"/>
      <c r="AA212" s="188"/>
      <c r="AB212" s="244">
        <f t="shared" ref="AB212" si="206">SUM(Y212:AA212)</f>
        <v>0</v>
      </c>
      <c r="AC212" s="253">
        <f t="shared" si="205"/>
        <v>0</v>
      </c>
      <c r="AD212" s="198" t="s">
        <v>1298</v>
      </c>
    </row>
    <row r="213" spans="1:31" ht="14.25" thickBot="1" x14ac:dyDescent="0.2">
      <c r="A213" s="221" t="s">
        <v>5</v>
      </c>
      <c r="B213" s="222">
        <f>SUM(B189:B212)</f>
        <v>15</v>
      </c>
      <c r="C213" s="222">
        <f>SUM(C189:C212)</f>
        <v>9</v>
      </c>
      <c r="D213" s="222">
        <f>SUM(D189:D212)</f>
        <v>7</v>
      </c>
      <c r="E213" s="251">
        <f t="shared" si="182"/>
        <v>31</v>
      </c>
      <c r="F213" s="222">
        <f>SUM(F189:F212)</f>
        <v>15</v>
      </c>
      <c r="G213" s="222">
        <f>SUM(G189:G212)</f>
        <v>9</v>
      </c>
      <c r="H213" s="222">
        <f>SUM(H189:H212)</f>
        <v>7</v>
      </c>
      <c r="I213" s="251">
        <f t="shared" si="175"/>
        <v>31</v>
      </c>
      <c r="J213" s="222">
        <f>SUM(J189:J212)</f>
        <v>15</v>
      </c>
      <c r="K213" s="222">
        <f>SUM(K189:K212)</f>
        <v>9</v>
      </c>
      <c r="L213" s="222">
        <f>SUM(L189:L212)</f>
        <v>7</v>
      </c>
      <c r="M213" s="267">
        <f t="shared" si="176"/>
        <v>31</v>
      </c>
      <c r="N213" s="272">
        <f t="shared" si="177"/>
        <v>93</v>
      </c>
      <c r="P213" s="184" t="s">
        <v>5</v>
      </c>
      <c r="Q213" s="222">
        <f>SUM(Q189:Q212)</f>
        <v>129</v>
      </c>
      <c r="R213" s="222">
        <f>SUM(R189:R212)</f>
        <v>85</v>
      </c>
      <c r="S213" s="222">
        <f>SUM(S189:S212)</f>
        <v>71</v>
      </c>
      <c r="T213" s="251">
        <f t="shared" si="178"/>
        <v>285</v>
      </c>
      <c r="U213" s="222">
        <f>SUM(U189:U212)</f>
        <v>119</v>
      </c>
      <c r="V213" s="222">
        <f>SUM(V189:V212)</f>
        <v>75</v>
      </c>
      <c r="W213" s="222">
        <f>SUM(W189:W212)</f>
        <v>61</v>
      </c>
      <c r="X213" s="251">
        <f t="shared" si="179"/>
        <v>255</v>
      </c>
      <c r="Y213" s="222">
        <f>SUM(Y189:Y212)</f>
        <v>129</v>
      </c>
      <c r="Z213" s="222">
        <f>SUM(Z189:Z212)</f>
        <v>85</v>
      </c>
      <c r="AA213" s="222">
        <f>SUM(AA189:AA212)</f>
        <v>71</v>
      </c>
      <c r="AB213" s="251">
        <f t="shared" si="180"/>
        <v>285</v>
      </c>
      <c r="AC213" s="256">
        <f t="shared" si="181"/>
        <v>825</v>
      </c>
    </row>
    <row r="214" spans="1:31" ht="14.25" thickBot="1" x14ac:dyDescent="0.2">
      <c r="A214" s="223" t="s">
        <v>6</v>
      </c>
      <c r="B214" s="209">
        <f>B188-B213</f>
        <v>11</v>
      </c>
      <c r="C214" s="209">
        <f t="shared" ref="C214:E214" si="207">C188-C213</f>
        <v>6</v>
      </c>
      <c r="D214" s="209">
        <f t="shared" si="207"/>
        <v>9</v>
      </c>
      <c r="E214" s="246">
        <f t="shared" si="207"/>
        <v>26</v>
      </c>
      <c r="F214" s="209">
        <f>F188-F213</f>
        <v>11</v>
      </c>
      <c r="G214" s="209">
        <f t="shared" ref="G214:I214" si="208">G188-G213</f>
        <v>7</v>
      </c>
      <c r="H214" s="209">
        <f t="shared" si="208"/>
        <v>8</v>
      </c>
      <c r="I214" s="246">
        <f t="shared" si="208"/>
        <v>26</v>
      </c>
      <c r="J214" s="209">
        <f>J188-J213</f>
        <v>12</v>
      </c>
      <c r="K214" s="209">
        <f t="shared" ref="K214:M214" si="209">K188-K213</f>
        <v>6</v>
      </c>
      <c r="L214" s="209">
        <f t="shared" si="209"/>
        <v>8</v>
      </c>
      <c r="M214" s="266">
        <f t="shared" si="209"/>
        <v>26</v>
      </c>
      <c r="N214" s="271">
        <f t="shared" si="177"/>
        <v>78</v>
      </c>
      <c r="P214" s="224" t="s">
        <v>6</v>
      </c>
      <c r="Q214" s="209">
        <f>Q188-Q213</f>
        <v>204</v>
      </c>
      <c r="R214" s="209">
        <f t="shared" ref="R214:T214" si="210">R188-R213</f>
        <v>157</v>
      </c>
      <c r="S214" s="209">
        <f t="shared" si="210"/>
        <v>123</v>
      </c>
      <c r="T214" s="246">
        <f t="shared" si="210"/>
        <v>484</v>
      </c>
      <c r="U214" s="209">
        <f>U188-U213</f>
        <v>217</v>
      </c>
      <c r="V214" s="209">
        <f t="shared" ref="V214:X214" si="211">V188-V213</f>
        <v>169</v>
      </c>
      <c r="W214" s="209">
        <f t="shared" si="211"/>
        <v>136</v>
      </c>
      <c r="X214" s="246">
        <f t="shared" si="211"/>
        <v>522</v>
      </c>
      <c r="Y214" s="209">
        <f>Y188-Y213</f>
        <v>207</v>
      </c>
      <c r="Z214" s="209">
        <f t="shared" ref="Z214:AB214" si="212">Z188-Z213</f>
        <v>159</v>
      </c>
      <c r="AA214" s="209">
        <f t="shared" si="212"/>
        <v>123</v>
      </c>
      <c r="AB214" s="246">
        <f t="shared" si="212"/>
        <v>489</v>
      </c>
      <c r="AC214" s="256">
        <f t="shared" si="181"/>
        <v>1495</v>
      </c>
    </row>
    <row r="215" spans="1:31" x14ac:dyDescent="0.15">
      <c r="A215" s="172"/>
      <c r="N215" s="172"/>
      <c r="AC215" s="172"/>
    </row>
    <row r="216" spans="1:31" x14ac:dyDescent="0.15">
      <c r="A216" s="172"/>
      <c r="N216" s="172"/>
      <c r="AC216" s="172"/>
    </row>
    <row r="217" spans="1:31" ht="19.5" thickBot="1" x14ac:dyDescent="0.25">
      <c r="A217" s="177" t="s">
        <v>1183</v>
      </c>
      <c r="B217" s="178"/>
      <c r="C217" s="178"/>
      <c r="D217" s="178"/>
      <c r="E217" s="178"/>
      <c r="F217" s="179"/>
      <c r="G217" s="179"/>
      <c r="H217" s="179"/>
      <c r="I217" s="179"/>
      <c r="J217" s="179"/>
      <c r="K217" s="179"/>
      <c r="L217" s="179"/>
      <c r="M217" s="179"/>
      <c r="N217" s="180"/>
      <c r="P217" s="177" t="s">
        <v>1184</v>
      </c>
      <c r="Q217" s="178"/>
      <c r="R217" s="178"/>
      <c r="S217" s="178"/>
      <c r="T217" s="178"/>
      <c r="Y217" s="179"/>
      <c r="Z217" s="181"/>
      <c r="AA217" s="179"/>
      <c r="AB217" s="179"/>
    </row>
    <row r="218" spans="1:31" ht="14.25" thickBot="1" x14ac:dyDescent="0.2">
      <c r="A218" s="182" t="s">
        <v>0</v>
      </c>
      <c r="B218" s="350" t="s">
        <v>11</v>
      </c>
      <c r="C218" s="350"/>
      <c r="D218" s="350"/>
      <c r="E218" s="351"/>
      <c r="F218" s="349" t="s">
        <v>9</v>
      </c>
      <c r="G218" s="350"/>
      <c r="H218" s="350"/>
      <c r="I218" s="351"/>
      <c r="J218" s="349" t="s">
        <v>12</v>
      </c>
      <c r="K218" s="350"/>
      <c r="L218" s="350"/>
      <c r="M218" s="350"/>
      <c r="N218" s="352" t="s">
        <v>13</v>
      </c>
      <c r="P218" s="183" t="s">
        <v>0</v>
      </c>
      <c r="Q218" s="350" t="s">
        <v>11</v>
      </c>
      <c r="R218" s="350"/>
      <c r="S218" s="350"/>
      <c r="T218" s="351"/>
      <c r="U218" s="349" t="s">
        <v>9</v>
      </c>
      <c r="V218" s="350"/>
      <c r="W218" s="350"/>
      <c r="X218" s="351"/>
      <c r="Y218" s="349" t="s">
        <v>12</v>
      </c>
      <c r="Z218" s="350"/>
      <c r="AA218" s="350"/>
      <c r="AB218" s="350"/>
      <c r="AC218" s="354" t="s">
        <v>13</v>
      </c>
    </row>
    <row r="219" spans="1:31" ht="14.25" thickBot="1" x14ac:dyDescent="0.2">
      <c r="A219" s="182" t="s">
        <v>1</v>
      </c>
      <c r="B219" s="184" t="s">
        <v>922</v>
      </c>
      <c r="C219" s="183" t="s">
        <v>923</v>
      </c>
      <c r="D219" s="183" t="s">
        <v>924</v>
      </c>
      <c r="E219" s="242" t="s">
        <v>2</v>
      </c>
      <c r="F219" s="184" t="s">
        <v>922</v>
      </c>
      <c r="G219" s="183" t="s">
        <v>923</v>
      </c>
      <c r="H219" s="183" t="s">
        <v>924</v>
      </c>
      <c r="I219" s="242" t="s">
        <v>2</v>
      </c>
      <c r="J219" s="184" t="s">
        <v>922</v>
      </c>
      <c r="K219" s="183" t="s">
        <v>923</v>
      </c>
      <c r="L219" s="183" t="s">
        <v>924</v>
      </c>
      <c r="M219" s="252" t="s">
        <v>2</v>
      </c>
      <c r="N219" s="353"/>
      <c r="P219" s="183" t="s">
        <v>1</v>
      </c>
      <c r="Q219" s="184" t="s">
        <v>922</v>
      </c>
      <c r="R219" s="183" t="s">
        <v>923</v>
      </c>
      <c r="S219" s="183" t="s">
        <v>924</v>
      </c>
      <c r="T219" s="242" t="s">
        <v>2</v>
      </c>
      <c r="U219" s="184" t="s">
        <v>922</v>
      </c>
      <c r="V219" s="183" t="s">
        <v>923</v>
      </c>
      <c r="W219" s="183" t="s">
        <v>924</v>
      </c>
      <c r="X219" s="242" t="s">
        <v>2</v>
      </c>
      <c r="Y219" s="184" t="s">
        <v>922</v>
      </c>
      <c r="Z219" s="183" t="s">
        <v>923</v>
      </c>
      <c r="AA219" s="183" t="s">
        <v>924</v>
      </c>
      <c r="AB219" s="252" t="s">
        <v>2</v>
      </c>
      <c r="AC219" s="355"/>
    </row>
    <row r="220" spans="1:31" x14ac:dyDescent="0.15">
      <c r="A220" s="225" t="s">
        <v>6</v>
      </c>
      <c r="B220" s="226">
        <f>B214</f>
        <v>11</v>
      </c>
      <c r="C220" s="226">
        <f t="shared" ref="C220:E220" si="213">C214</f>
        <v>6</v>
      </c>
      <c r="D220" s="226">
        <f t="shared" si="213"/>
        <v>9</v>
      </c>
      <c r="E220" s="260">
        <f t="shared" si="213"/>
        <v>26</v>
      </c>
      <c r="F220" s="226">
        <f>F214</f>
        <v>11</v>
      </c>
      <c r="G220" s="226">
        <f t="shared" ref="G220:I220" si="214">G214</f>
        <v>7</v>
      </c>
      <c r="H220" s="226">
        <f t="shared" si="214"/>
        <v>8</v>
      </c>
      <c r="I220" s="260">
        <f t="shared" si="214"/>
        <v>26</v>
      </c>
      <c r="J220" s="226">
        <f>J214</f>
        <v>12</v>
      </c>
      <c r="K220" s="226">
        <f t="shared" ref="K220:M220" si="215">K214</f>
        <v>6</v>
      </c>
      <c r="L220" s="226">
        <f t="shared" si="215"/>
        <v>8</v>
      </c>
      <c r="M220" s="260">
        <f t="shared" si="215"/>
        <v>26</v>
      </c>
      <c r="N220" s="273">
        <f>E220+I220+M220</f>
        <v>78</v>
      </c>
      <c r="P220" s="215" t="s">
        <v>6</v>
      </c>
      <c r="Q220" s="226">
        <f>Q214</f>
        <v>204</v>
      </c>
      <c r="R220" s="226">
        <f t="shared" ref="R220:T220" si="216">R214</f>
        <v>157</v>
      </c>
      <c r="S220" s="226">
        <f t="shared" si="216"/>
        <v>123</v>
      </c>
      <c r="T220" s="260">
        <f t="shared" si="216"/>
        <v>484</v>
      </c>
      <c r="U220" s="226">
        <f>U214</f>
        <v>217</v>
      </c>
      <c r="V220" s="226">
        <f t="shared" ref="V220:X220" si="217">V214</f>
        <v>169</v>
      </c>
      <c r="W220" s="226">
        <f t="shared" si="217"/>
        <v>136</v>
      </c>
      <c r="X220" s="260">
        <f t="shared" si="217"/>
        <v>522</v>
      </c>
      <c r="Y220" s="226">
        <f>Y214</f>
        <v>207</v>
      </c>
      <c r="Z220" s="226">
        <f t="shared" ref="Z220:AB220" si="218">Z214</f>
        <v>159</v>
      </c>
      <c r="AA220" s="226">
        <f t="shared" si="218"/>
        <v>123</v>
      </c>
      <c r="AB220" s="260">
        <f t="shared" si="218"/>
        <v>489</v>
      </c>
      <c r="AC220" s="258">
        <f>T220+X220+AB220</f>
        <v>1495</v>
      </c>
    </row>
    <row r="221" spans="1:31" x14ac:dyDescent="0.15">
      <c r="A221" s="191" t="s">
        <v>319</v>
      </c>
      <c r="B221" s="199"/>
      <c r="C221" s="197">
        <v>7</v>
      </c>
      <c r="D221" s="197">
        <v>1</v>
      </c>
      <c r="E221" s="243">
        <f t="shared" ref="E221:E230" si="219">SUM(B221:D221)</f>
        <v>8</v>
      </c>
      <c r="F221" s="199"/>
      <c r="G221" s="197">
        <v>7</v>
      </c>
      <c r="H221" s="197">
        <v>1</v>
      </c>
      <c r="I221" s="243">
        <f t="shared" ref="I221:I256" si="220">SUM(F221:H221)</f>
        <v>8</v>
      </c>
      <c r="J221" s="186"/>
      <c r="K221" s="187">
        <v>7</v>
      </c>
      <c r="L221" s="187">
        <v>1</v>
      </c>
      <c r="M221" s="243">
        <f t="shared" ref="M221:M256" si="221">SUM(J221:L221)</f>
        <v>8</v>
      </c>
      <c r="N221" s="253">
        <f t="shared" ref="N221:N257" si="222">E221+I221+M221</f>
        <v>24</v>
      </c>
      <c r="O221" s="232">
        <v>46093</v>
      </c>
      <c r="P221" s="191" t="s">
        <v>1663</v>
      </c>
      <c r="Q221" s="199"/>
      <c r="R221" s="197">
        <v>5</v>
      </c>
      <c r="S221" s="197"/>
      <c r="T221" s="243">
        <f t="shared" ref="T221:T256" si="223">SUM(Q221:S221)</f>
        <v>5</v>
      </c>
      <c r="U221" s="199"/>
      <c r="V221" s="197">
        <v>5</v>
      </c>
      <c r="W221" s="197"/>
      <c r="X221" s="243">
        <f t="shared" ref="X221:X256" si="224">SUM(U221:W221)</f>
        <v>5</v>
      </c>
      <c r="Y221" s="186"/>
      <c r="Z221" s="187">
        <v>5</v>
      </c>
      <c r="AA221" s="187"/>
      <c r="AB221" s="243">
        <f t="shared" ref="AB221:AB243" si="225">SUM(Y221:AA221)</f>
        <v>5</v>
      </c>
      <c r="AC221" s="253">
        <f t="shared" ref="AC221:AC257" si="226">T221+X221+AB221</f>
        <v>15</v>
      </c>
      <c r="AD221" s="194">
        <v>46102</v>
      </c>
    </row>
    <row r="222" spans="1:31" x14ac:dyDescent="0.15">
      <c r="A222" s="197" t="s">
        <v>1646</v>
      </c>
      <c r="B222" s="189"/>
      <c r="C222" s="187">
        <v>1</v>
      </c>
      <c r="D222" s="188"/>
      <c r="E222" s="244">
        <f t="shared" ref="E222" si="227">SUM(B222:D222)</f>
        <v>1</v>
      </c>
      <c r="F222" s="186">
        <v>1</v>
      </c>
      <c r="G222" s="188"/>
      <c r="H222" s="188"/>
      <c r="I222" s="244">
        <f t="shared" si="220"/>
        <v>1</v>
      </c>
      <c r="J222" s="189"/>
      <c r="K222" s="188"/>
      <c r="L222" s="187">
        <v>1</v>
      </c>
      <c r="M222" s="244">
        <f t="shared" si="221"/>
        <v>1</v>
      </c>
      <c r="N222" s="253">
        <f t="shared" si="222"/>
        <v>3</v>
      </c>
      <c r="O222" s="194">
        <v>46098</v>
      </c>
      <c r="P222" s="191" t="s">
        <v>3</v>
      </c>
      <c r="Q222" s="186"/>
      <c r="R222" s="187"/>
      <c r="S222" s="187"/>
      <c r="T222" s="244">
        <f t="shared" si="223"/>
        <v>0</v>
      </c>
      <c r="U222" s="186"/>
      <c r="V222" s="187"/>
      <c r="W222" s="187"/>
      <c r="X222" s="244">
        <f t="shared" si="224"/>
        <v>0</v>
      </c>
      <c r="Y222" s="196"/>
      <c r="Z222" s="197"/>
      <c r="AA222" s="197"/>
      <c r="AB222" s="243">
        <f t="shared" si="225"/>
        <v>0</v>
      </c>
      <c r="AC222" s="253">
        <f t="shared" si="226"/>
        <v>0</v>
      </c>
      <c r="AD222" s="198"/>
    </row>
    <row r="223" spans="1:31" x14ac:dyDescent="0.15">
      <c r="A223" s="191" t="s">
        <v>3</v>
      </c>
      <c r="B223" s="199">
        <v>3</v>
      </c>
      <c r="C223" s="197"/>
      <c r="D223" s="197"/>
      <c r="E223" s="243">
        <f t="shared" si="219"/>
        <v>3</v>
      </c>
      <c r="F223" s="199">
        <v>3</v>
      </c>
      <c r="G223" s="197"/>
      <c r="H223" s="197"/>
      <c r="I223" s="243">
        <f t="shared" si="220"/>
        <v>3</v>
      </c>
      <c r="J223" s="196">
        <v>3</v>
      </c>
      <c r="K223" s="197"/>
      <c r="L223" s="197"/>
      <c r="M223" s="243">
        <f t="shared" si="221"/>
        <v>3</v>
      </c>
      <c r="N223" s="253">
        <f t="shared" si="222"/>
        <v>9</v>
      </c>
      <c r="O223" s="190">
        <v>46115</v>
      </c>
      <c r="P223" s="191" t="s">
        <v>3</v>
      </c>
      <c r="Q223" s="199"/>
      <c r="R223" s="197"/>
      <c r="S223" s="197"/>
      <c r="T223" s="243">
        <f t="shared" si="223"/>
        <v>0</v>
      </c>
      <c r="U223" s="199"/>
      <c r="V223" s="197"/>
      <c r="W223" s="197"/>
      <c r="X223" s="243">
        <f t="shared" si="224"/>
        <v>0</v>
      </c>
      <c r="Y223" s="196"/>
      <c r="Z223" s="197"/>
      <c r="AA223" s="197"/>
      <c r="AB223" s="243">
        <f t="shared" si="225"/>
        <v>0</v>
      </c>
      <c r="AC223" s="253">
        <f t="shared" si="226"/>
        <v>0</v>
      </c>
      <c r="AD223" s="198"/>
    </row>
    <row r="224" spans="1:31" x14ac:dyDescent="0.15">
      <c r="A224" s="191" t="s">
        <v>3</v>
      </c>
      <c r="B224" s="199"/>
      <c r="C224" s="197"/>
      <c r="D224" s="197"/>
      <c r="E224" s="243">
        <f t="shared" si="219"/>
        <v>0</v>
      </c>
      <c r="F224" s="199"/>
      <c r="G224" s="197"/>
      <c r="H224" s="197"/>
      <c r="I224" s="243">
        <f t="shared" si="220"/>
        <v>0</v>
      </c>
      <c r="J224" s="196"/>
      <c r="K224" s="197"/>
      <c r="L224" s="197"/>
      <c r="M224" s="243">
        <f t="shared" si="221"/>
        <v>0</v>
      </c>
      <c r="N224" s="253">
        <f t="shared" si="222"/>
        <v>0</v>
      </c>
      <c r="P224" s="191" t="s">
        <v>3</v>
      </c>
      <c r="Q224" s="199"/>
      <c r="R224" s="197"/>
      <c r="S224" s="197"/>
      <c r="T224" s="243">
        <f t="shared" si="223"/>
        <v>0</v>
      </c>
      <c r="U224" s="199"/>
      <c r="V224" s="197"/>
      <c r="W224" s="197"/>
      <c r="X224" s="243">
        <f t="shared" si="224"/>
        <v>0</v>
      </c>
      <c r="Y224" s="196"/>
      <c r="Z224" s="197"/>
      <c r="AA224" s="197"/>
      <c r="AB224" s="243">
        <f t="shared" si="225"/>
        <v>0</v>
      </c>
      <c r="AC224" s="253">
        <f t="shared" si="226"/>
        <v>0</v>
      </c>
      <c r="AD224" s="198"/>
    </row>
    <row r="225" spans="1:31" x14ac:dyDescent="0.15">
      <c r="A225" s="191" t="s">
        <v>3</v>
      </c>
      <c r="B225" s="199"/>
      <c r="C225" s="197"/>
      <c r="D225" s="197"/>
      <c r="E225" s="243">
        <f t="shared" si="219"/>
        <v>0</v>
      </c>
      <c r="F225" s="199"/>
      <c r="G225" s="197"/>
      <c r="H225" s="197"/>
      <c r="I225" s="243">
        <f t="shared" si="220"/>
        <v>0</v>
      </c>
      <c r="J225" s="196"/>
      <c r="K225" s="197"/>
      <c r="L225" s="197"/>
      <c r="M225" s="243">
        <f t="shared" si="221"/>
        <v>0</v>
      </c>
      <c r="N225" s="253">
        <f t="shared" si="222"/>
        <v>0</v>
      </c>
      <c r="P225" s="191" t="s">
        <v>3</v>
      </c>
      <c r="Q225" s="199"/>
      <c r="R225" s="197"/>
      <c r="S225" s="197"/>
      <c r="T225" s="243">
        <f t="shared" si="223"/>
        <v>0</v>
      </c>
      <c r="U225" s="199"/>
      <c r="V225" s="197"/>
      <c r="W225" s="197"/>
      <c r="X225" s="243">
        <f t="shared" si="224"/>
        <v>0</v>
      </c>
      <c r="Y225" s="196"/>
      <c r="Z225" s="197"/>
      <c r="AA225" s="197"/>
      <c r="AB225" s="243">
        <f t="shared" si="225"/>
        <v>0</v>
      </c>
      <c r="AC225" s="253">
        <f t="shared" si="226"/>
        <v>0</v>
      </c>
      <c r="AD225" s="198"/>
    </row>
    <row r="226" spans="1:31" x14ac:dyDescent="0.15">
      <c r="A226" s="191" t="s">
        <v>3</v>
      </c>
      <c r="B226" s="199"/>
      <c r="C226" s="197"/>
      <c r="D226" s="197"/>
      <c r="E226" s="243">
        <f t="shared" si="219"/>
        <v>0</v>
      </c>
      <c r="F226" s="199"/>
      <c r="G226" s="197"/>
      <c r="H226" s="197"/>
      <c r="I226" s="243">
        <f t="shared" si="220"/>
        <v>0</v>
      </c>
      <c r="J226" s="186"/>
      <c r="K226" s="187"/>
      <c r="L226" s="187"/>
      <c r="M226" s="244">
        <f t="shared" si="221"/>
        <v>0</v>
      </c>
      <c r="N226" s="253">
        <f t="shared" si="222"/>
        <v>0</v>
      </c>
      <c r="P226" s="191" t="s">
        <v>3</v>
      </c>
      <c r="Q226" s="199"/>
      <c r="R226" s="197"/>
      <c r="S226" s="197"/>
      <c r="T226" s="243">
        <f t="shared" si="223"/>
        <v>0</v>
      </c>
      <c r="U226" s="199"/>
      <c r="V226" s="197"/>
      <c r="W226" s="197"/>
      <c r="X226" s="243">
        <f t="shared" si="224"/>
        <v>0</v>
      </c>
      <c r="Y226" s="186"/>
      <c r="Z226" s="187"/>
      <c r="AA226" s="187"/>
      <c r="AB226" s="244">
        <f t="shared" si="225"/>
        <v>0</v>
      </c>
      <c r="AC226" s="253">
        <f t="shared" si="226"/>
        <v>0</v>
      </c>
      <c r="AD226" s="198"/>
    </row>
    <row r="227" spans="1:31" x14ac:dyDescent="0.15">
      <c r="A227" s="191" t="s">
        <v>3</v>
      </c>
      <c r="B227" s="200"/>
      <c r="C227" s="187"/>
      <c r="D227" s="187"/>
      <c r="E227" s="243">
        <f t="shared" si="219"/>
        <v>0</v>
      </c>
      <c r="F227" s="200"/>
      <c r="G227" s="187"/>
      <c r="H227" s="187"/>
      <c r="I227" s="243">
        <f t="shared" si="220"/>
        <v>0</v>
      </c>
      <c r="J227" s="186"/>
      <c r="K227" s="187"/>
      <c r="L227" s="187"/>
      <c r="M227" s="243">
        <f t="shared" si="221"/>
        <v>0</v>
      </c>
      <c r="N227" s="253">
        <f t="shared" si="222"/>
        <v>0</v>
      </c>
      <c r="P227" s="191" t="s">
        <v>3</v>
      </c>
      <c r="Q227" s="200"/>
      <c r="R227" s="187"/>
      <c r="S227" s="187"/>
      <c r="T227" s="243">
        <f t="shared" si="223"/>
        <v>0</v>
      </c>
      <c r="U227" s="200"/>
      <c r="V227" s="187"/>
      <c r="W227" s="187"/>
      <c r="X227" s="243">
        <f t="shared" si="224"/>
        <v>0</v>
      </c>
      <c r="Y227" s="186"/>
      <c r="Z227" s="187"/>
      <c r="AA227" s="187"/>
      <c r="AB227" s="243">
        <f t="shared" si="225"/>
        <v>0</v>
      </c>
      <c r="AC227" s="253">
        <f t="shared" si="226"/>
        <v>0</v>
      </c>
      <c r="AD227" s="198"/>
    </row>
    <row r="228" spans="1:31" x14ac:dyDescent="0.15">
      <c r="A228" s="191" t="s">
        <v>3</v>
      </c>
      <c r="B228" s="199"/>
      <c r="C228" s="197"/>
      <c r="D228" s="197"/>
      <c r="E228" s="243">
        <f t="shared" si="219"/>
        <v>0</v>
      </c>
      <c r="F228" s="199"/>
      <c r="G228" s="197"/>
      <c r="H228" s="197"/>
      <c r="I228" s="243">
        <f t="shared" si="220"/>
        <v>0</v>
      </c>
      <c r="J228" s="186"/>
      <c r="K228" s="187"/>
      <c r="L228" s="187"/>
      <c r="M228" s="243">
        <f t="shared" si="221"/>
        <v>0</v>
      </c>
      <c r="N228" s="253">
        <f t="shared" si="222"/>
        <v>0</v>
      </c>
      <c r="P228" s="191" t="s">
        <v>3</v>
      </c>
      <c r="Q228" s="199"/>
      <c r="R228" s="197"/>
      <c r="S228" s="197"/>
      <c r="T228" s="243">
        <f t="shared" si="223"/>
        <v>0</v>
      </c>
      <c r="U228" s="199"/>
      <c r="V228" s="197"/>
      <c r="W228" s="197"/>
      <c r="X228" s="243">
        <f t="shared" si="224"/>
        <v>0</v>
      </c>
      <c r="Y228" s="186"/>
      <c r="Z228" s="187"/>
      <c r="AA228" s="187"/>
      <c r="AB228" s="243">
        <f t="shared" si="225"/>
        <v>0</v>
      </c>
      <c r="AC228" s="253">
        <f t="shared" si="226"/>
        <v>0</v>
      </c>
      <c r="AD228" s="198"/>
    </row>
    <row r="229" spans="1:31" x14ac:dyDescent="0.15">
      <c r="A229" s="191" t="s">
        <v>3</v>
      </c>
      <c r="B229" s="200"/>
      <c r="C229" s="187"/>
      <c r="D229" s="187"/>
      <c r="E229" s="243">
        <f t="shared" si="219"/>
        <v>0</v>
      </c>
      <c r="F229" s="200"/>
      <c r="G229" s="187"/>
      <c r="H229" s="187"/>
      <c r="I229" s="243">
        <f t="shared" si="220"/>
        <v>0</v>
      </c>
      <c r="J229" s="186"/>
      <c r="K229" s="187"/>
      <c r="L229" s="187"/>
      <c r="M229" s="243">
        <f t="shared" si="221"/>
        <v>0</v>
      </c>
      <c r="N229" s="253">
        <f t="shared" si="222"/>
        <v>0</v>
      </c>
      <c r="P229" s="191" t="s">
        <v>3</v>
      </c>
      <c r="Q229" s="200"/>
      <c r="R229" s="187"/>
      <c r="S229" s="187"/>
      <c r="T229" s="243">
        <f t="shared" si="223"/>
        <v>0</v>
      </c>
      <c r="U229" s="200"/>
      <c r="V229" s="187"/>
      <c r="W229" s="187"/>
      <c r="X229" s="243">
        <f t="shared" si="224"/>
        <v>0</v>
      </c>
      <c r="Y229" s="186"/>
      <c r="Z229" s="187"/>
      <c r="AA229" s="187"/>
      <c r="AB229" s="243">
        <f t="shared" si="225"/>
        <v>0</v>
      </c>
      <c r="AC229" s="253">
        <f t="shared" si="226"/>
        <v>0</v>
      </c>
      <c r="AD229" s="198"/>
    </row>
    <row r="230" spans="1:31" ht="14.25" thickBot="1" x14ac:dyDescent="0.2">
      <c r="A230" s="206" t="s">
        <v>3</v>
      </c>
      <c r="B230" s="202"/>
      <c r="C230" s="203"/>
      <c r="D230" s="203"/>
      <c r="E230" s="245">
        <f t="shared" si="219"/>
        <v>0</v>
      </c>
      <c r="F230" s="202"/>
      <c r="G230" s="203"/>
      <c r="H230" s="203"/>
      <c r="I230" s="245">
        <f t="shared" si="220"/>
        <v>0</v>
      </c>
      <c r="J230" s="205"/>
      <c r="K230" s="203"/>
      <c r="L230" s="204"/>
      <c r="M230" s="245">
        <f t="shared" si="221"/>
        <v>0</v>
      </c>
      <c r="N230" s="255">
        <f t="shared" si="222"/>
        <v>0</v>
      </c>
      <c r="P230" s="206" t="s">
        <v>3</v>
      </c>
      <c r="Q230" s="202"/>
      <c r="R230" s="203"/>
      <c r="S230" s="203"/>
      <c r="T230" s="245">
        <f t="shared" si="223"/>
        <v>0</v>
      </c>
      <c r="U230" s="202"/>
      <c r="V230" s="203"/>
      <c r="W230" s="203"/>
      <c r="X230" s="245">
        <f t="shared" si="224"/>
        <v>0</v>
      </c>
      <c r="Y230" s="205"/>
      <c r="Z230" s="203"/>
      <c r="AA230" s="204"/>
      <c r="AB230" s="245">
        <f t="shared" si="225"/>
        <v>0</v>
      </c>
      <c r="AC230" s="255">
        <f t="shared" si="226"/>
        <v>0</v>
      </c>
      <c r="AD230" s="198"/>
    </row>
    <row r="231" spans="1:31" ht="14.25" thickBot="1" x14ac:dyDescent="0.2">
      <c r="A231" s="207" t="s">
        <v>4</v>
      </c>
      <c r="B231" s="208">
        <f>SUM(B220:B230)</f>
        <v>14</v>
      </c>
      <c r="C231" s="208">
        <f>SUM(C220:C230)</f>
        <v>14</v>
      </c>
      <c r="D231" s="208">
        <f>SUM(D220:D230)</f>
        <v>10</v>
      </c>
      <c r="E231" s="246">
        <f t="shared" ref="E231:E256" si="228">SUM(B231:D231)</f>
        <v>38</v>
      </c>
      <c r="F231" s="208">
        <f>SUM(F220:F230)</f>
        <v>15</v>
      </c>
      <c r="G231" s="208">
        <f>SUM(G220:G230)</f>
        <v>14</v>
      </c>
      <c r="H231" s="208">
        <f>SUM(H220:H230)</f>
        <v>9</v>
      </c>
      <c r="I231" s="246">
        <f t="shared" si="220"/>
        <v>38</v>
      </c>
      <c r="J231" s="208">
        <f>SUM(J220:J230)</f>
        <v>15</v>
      </c>
      <c r="K231" s="208">
        <f>SUM(K220:K230)</f>
        <v>13</v>
      </c>
      <c r="L231" s="208">
        <f>SUM(L220:L230)</f>
        <v>10</v>
      </c>
      <c r="M231" s="266">
        <f t="shared" si="221"/>
        <v>38</v>
      </c>
      <c r="N231" s="271">
        <f t="shared" si="222"/>
        <v>114</v>
      </c>
      <c r="P231" s="210" t="s">
        <v>4</v>
      </c>
      <c r="Q231" s="208">
        <f>SUM(Q220:Q230)</f>
        <v>204</v>
      </c>
      <c r="R231" s="208">
        <f>SUM(R220:R230)</f>
        <v>162</v>
      </c>
      <c r="S231" s="208">
        <f>SUM(S220:S230)</f>
        <v>123</v>
      </c>
      <c r="T231" s="246">
        <f t="shared" si="223"/>
        <v>489</v>
      </c>
      <c r="U231" s="208">
        <f>SUM(U220:U230)</f>
        <v>217</v>
      </c>
      <c r="V231" s="208">
        <f>SUM(V220:V230)</f>
        <v>174</v>
      </c>
      <c r="W231" s="208">
        <f>SUM(W220:W230)</f>
        <v>136</v>
      </c>
      <c r="X231" s="246">
        <f t="shared" si="224"/>
        <v>527</v>
      </c>
      <c r="Y231" s="208">
        <f>SUM(Y220:Y230)</f>
        <v>207</v>
      </c>
      <c r="Z231" s="208">
        <f>SUM(Z220:Z230)</f>
        <v>164</v>
      </c>
      <c r="AA231" s="208">
        <f>SUM(AA220:AA230)</f>
        <v>123</v>
      </c>
      <c r="AB231" s="246">
        <f t="shared" si="225"/>
        <v>494</v>
      </c>
      <c r="AC231" s="256">
        <f t="shared" si="226"/>
        <v>1510</v>
      </c>
    </row>
    <row r="232" spans="1:31" x14ac:dyDescent="0.15">
      <c r="A232" s="197" t="s">
        <v>106</v>
      </c>
      <c r="B232" s="189">
        <v>1</v>
      </c>
      <c r="C232" s="188"/>
      <c r="D232" s="188"/>
      <c r="E232" s="244">
        <f t="shared" si="228"/>
        <v>1</v>
      </c>
      <c r="F232" s="189">
        <v>1</v>
      </c>
      <c r="G232" s="188"/>
      <c r="H232" s="188"/>
      <c r="I232" s="244">
        <f t="shared" si="220"/>
        <v>1</v>
      </c>
      <c r="J232" s="189">
        <v>1</v>
      </c>
      <c r="K232" s="188"/>
      <c r="L232" s="188"/>
      <c r="M232" s="244">
        <f t="shared" si="221"/>
        <v>1</v>
      </c>
      <c r="N232" s="253">
        <f t="shared" si="222"/>
        <v>3</v>
      </c>
      <c r="O232" s="190">
        <v>46083</v>
      </c>
      <c r="P232" s="197" t="s">
        <v>1572</v>
      </c>
      <c r="Q232" s="189"/>
      <c r="R232" s="188"/>
      <c r="S232" s="188"/>
      <c r="T232" s="244">
        <f t="shared" ref="T232:T234" si="229">SUM(Q232:S232)</f>
        <v>0</v>
      </c>
      <c r="U232" s="189">
        <v>30</v>
      </c>
      <c r="V232" s="188">
        <v>10</v>
      </c>
      <c r="W232" s="188"/>
      <c r="X232" s="244">
        <f t="shared" ref="X232:X234" si="230">SUM(U232:W232)</f>
        <v>40</v>
      </c>
      <c r="Y232" s="189">
        <v>30</v>
      </c>
      <c r="Z232" s="188"/>
      <c r="AA232" s="188"/>
      <c r="AB232" s="244">
        <f t="shared" ref="AB232:AB234" si="231">SUM(Y232:AA232)</f>
        <v>30</v>
      </c>
      <c r="AC232" s="253">
        <f t="shared" ref="AC232:AC234" si="232">T232+X232+AB232</f>
        <v>70</v>
      </c>
      <c r="AD232" s="194">
        <v>46086</v>
      </c>
    </row>
    <row r="233" spans="1:31" x14ac:dyDescent="0.15">
      <c r="A233" s="197" t="s">
        <v>107</v>
      </c>
      <c r="B233" s="189">
        <v>1</v>
      </c>
      <c r="C233" s="188"/>
      <c r="D233" s="188"/>
      <c r="E233" s="244">
        <f t="shared" si="228"/>
        <v>1</v>
      </c>
      <c r="F233" s="189">
        <v>1</v>
      </c>
      <c r="G233" s="188"/>
      <c r="H233" s="188"/>
      <c r="I233" s="244">
        <f t="shared" si="220"/>
        <v>1</v>
      </c>
      <c r="J233" s="189">
        <v>1</v>
      </c>
      <c r="K233" s="188"/>
      <c r="L233" s="188"/>
      <c r="M233" s="244">
        <f t="shared" si="221"/>
        <v>1</v>
      </c>
      <c r="N233" s="253">
        <f t="shared" si="222"/>
        <v>3</v>
      </c>
      <c r="O233" s="190">
        <v>46085</v>
      </c>
      <c r="P233" s="197" t="s">
        <v>1583</v>
      </c>
      <c r="Q233" s="189">
        <v>3</v>
      </c>
      <c r="R233" s="188"/>
      <c r="S233" s="188"/>
      <c r="T233" s="244">
        <f t="shared" si="229"/>
        <v>3</v>
      </c>
      <c r="U233" s="189">
        <v>3</v>
      </c>
      <c r="V233" s="188"/>
      <c r="W233" s="188"/>
      <c r="X233" s="244">
        <f t="shared" si="230"/>
        <v>3</v>
      </c>
      <c r="Y233" s="189">
        <v>3</v>
      </c>
      <c r="Z233" s="188"/>
      <c r="AA233" s="188"/>
      <c r="AB233" s="244">
        <f t="shared" si="231"/>
        <v>3</v>
      </c>
      <c r="AC233" s="253">
        <f t="shared" si="232"/>
        <v>9</v>
      </c>
      <c r="AD233" s="194">
        <v>46094</v>
      </c>
    </row>
    <row r="234" spans="1:31" x14ac:dyDescent="0.15">
      <c r="A234" s="197" t="s">
        <v>106</v>
      </c>
      <c r="B234" s="189">
        <v>1</v>
      </c>
      <c r="C234" s="188"/>
      <c r="D234" s="188"/>
      <c r="E234" s="244">
        <f t="shared" si="228"/>
        <v>1</v>
      </c>
      <c r="F234" s="189">
        <v>1</v>
      </c>
      <c r="G234" s="188"/>
      <c r="H234" s="188"/>
      <c r="I234" s="244">
        <f t="shared" si="220"/>
        <v>1</v>
      </c>
      <c r="J234" s="189">
        <v>1</v>
      </c>
      <c r="K234" s="188"/>
      <c r="L234" s="188"/>
      <c r="M234" s="244">
        <f t="shared" si="221"/>
        <v>1</v>
      </c>
      <c r="N234" s="253">
        <f t="shared" si="222"/>
        <v>3</v>
      </c>
      <c r="O234" s="190">
        <v>46086</v>
      </c>
      <c r="P234" s="193" t="s">
        <v>1584</v>
      </c>
      <c r="Q234" s="189">
        <v>6</v>
      </c>
      <c r="R234" s="188"/>
      <c r="S234" s="188">
        <v>6</v>
      </c>
      <c r="T234" s="244">
        <f t="shared" si="229"/>
        <v>12</v>
      </c>
      <c r="U234" s="189">
        <v>6</v>
      </c>
      <c r="V234" s="188"/>
      <c r="W234" s="188">
        <v>6</v>
      </c>
      <c r="X234" s="244">
        <f t="shared" si="230"/>
        <v>12</v>
      </c>
      <c r="Y234" s="189">
        <v>6</v>
      </c>
      <c r="Z234" s="188"/>
      <c r="AA234" s="188">
        <v>6</v>
      </c>
      <c r="AB234" s="244">
        <f t="shared" si="231"/>
        <v>12</v>
      </c>
      <c r="AC234" s="253">
        <f t="shared" si="232"/>
        <v>36</v>
      </c>
      <c r="AD234" s="194">
        <v>46090</v>
      </c>
    </row>
    <row r="235" spans="1:31" x14ac:dyDescent="0.15">
      <c r="A235" s="197" t="s">
        <v>107</v>
      </c>
      <c r="B235" s="189">
        <v>2</v>
      </c>
      <c r="C235" s="188"/>
      <c r="D235" s="188"/>
      <c r="E235" s="244">
        <f t="shared" si="228"/>
        <v>2</v>
      </c>
      <c r="F235" s="189">
        <v>2</v>
      </c>
      <c r="G235" s="188"/>
      <c r="H235" s="188"/>
      <c r="I235" s="244">
        <f t="shared" si="220"/>
        <v>2</v>
      </c>
      <c r="J235" s="189">
        <v>2</v>
      </c>
      <c r="K235" s="188"/>
      <c r="L235" s="188"/>
      <c r="M235" s="244">
        <f t="shared" si="221"/>
        <v>2</v>
      </c>
      <c r="N235" s="253">
        <f t="shared" si="222"/>
        <v>6</v>
      </c>
      <c r="O235" s="190">
        <v>46087</v>
      </c>
      <c r="P235" s="197" t="s">
        <v>1587</v>
      </c>
      <c r="Q235" s="189"/>
      <c r="R235" s="188"/>
      <c r="S235" s="188"/>
      <c r="T235" s="244">
        <f t="shared" si="223"/>
        <v>0</v>
      </c>
      <c r="U235" s="189"/>
      <c r="V235" s="188"/>
      <c r="W235" s="188">
        <v>10</v>
      </c>
      <c r="X235" s="244">
        <f t="shared" si="224"/>
        <v>10</v>
      </c>
      <c r="Y235" s="189"/>
      <c r="Z235" s="188"/>
      <c r="AA235" s="188"/>
      <c r="AB235" s="244">
        <f t="shared" si="225"/>
        <v>0</v>
      </c>
      <c r="AC235" s="253">
        <f t="shared" si="226"/>
        <v>10</v>
      </c>
      <c r="AD235" s="194">
        <v>46087</v>
      </c>
    </row>
    <row r="236" spans="1:31" x14ac:dyDescent="0.15">
      <c r="A236" s="197" t="s">
        <v>109</v>
      </c>
      <c r="B236" s="189"/>
      <c r="C236" s="188"/>
      <c r="D236" s="188">
        <v>1</v>
      </c>
      <c r="E236" s="244">
        <f t="shared" si="228"/>
        <v>1</v>
      </c>
      <c r="F236" s="189"/>
      <c r="G236" s="188"/>
      <c r="H236" s="188">
        <v>1</v>
      </c>
      <c r="I236" s="244">
        <f t="shared" si="220"/>
        <v>1</v>
      </c>
      <c r="J236" s="189"/>
      <c r="K236" s="188"/>
      <c r="L236" s="188">
        <v>1</v>
      </c>
      <c r="M236" s="244">
        <f t="shared" si="221"/>
        <v>1</v>
      </c>
      <c r="N236" s="253">
        <f t="shared" si="222"/>
        <v>3</v>
      </c>
      <c r="O236" s="190">
        <v>46091</v>
      </c>
      <c r="P236" s="197" t="s">
        <v>1595</v>
      </c>
      <c r="Q236" s="189">
        <v>10</v>
      </c>
      <c r="R236" s="188">
        <v>10</v>
      </c>
      <c r="S236" s="188">
        <v>5</v>
      </c>
      <c r="T236" s="244">
        <f t="shared" si="223"/>
        <v>25</v>
      </c>
      <c r="U236" s="189">
        <v>10</v>
      </c>
      <c r="V236" s="188">
        <v>10</v>
      </c>
      <c r="W236" s="188">
        <v>5</v>
      </c>
      <c r="X236" s="244">
        <f t="shared" si="224"/>
        <v>25</v>
      </c>
      <c r="Y236" s="189">
        <v>10</v>
      </c>
      <c r="Z236" s="188">
        <v>10</v>
      </c>
      <c r="AA236" s="188">
        <v>5</v>
      </c>
      <c r="AB236" s="244">
        <f t="shared" si="225"/>
        <v>25</v>
      </c>
      <c r="AC236" s="253">
        <f t="shared" si="226"/>
        <v>75</v>
      </c>
      <c r="AD236" s="194">
        <v>46091</v>
      </c>
      <c r="AE236" s="195"/>
    </row>
    <row r="237" spans="1:31" x14ac:dyDescent="0.15">
      <c r="A237" s="197" t="s">
        <v>112</v>
      </c>
      <c r="B237" s="189"/>
      <c r="C237" s="188"/>
      <c r="D237" s="188">
        <v>1</v>
      </c>
      <c r="E237" s="244">
        <f t="shared" si="228"/>
        <v>1</v>
      </c>
      <c r="F237" s="189"/>
      <c r="G237" s="188"/>
      <c r="H237" s="188">
        <v>1</v>
      </c>
      <c r="I237" s="244">
        <f t="shared" si="220"/>
        <v>1</v>
      </c>
      <c r="J237" s="189"/>
      <c r="K237" s="188"/>
      <c r="L237" s="188">
        <v>1</v>
      </c>
      <c r="M237" s="244">
        <f t="shared" si="221"/>
        <v>1</v>
      </c>
      <c r="N237" s="253">
        <f t="shared" si="222"/>
        <v>3</v>
      </c>
      <c r="O237" s="190">
        <v>46097</v>
      </c>
      <c r="P237" s="197" t="s">
        <v>1596</v>
      </c>
      <c r="Q237" s="189"/>
      <c r="R237" s="188"/>
      <c r="S237" s="188"/>
      <c r="T237" s="244">
        <f t="shared" si="223"/>
        <v>0</v>
      </c>
      <c r="U237" s="189">
        <v>20</v>
      </c>
      <c r="V237" s="188"/>
      <c r="W237" s="188"/>
      <c r="X237" s="244">
        <f t="shared" si="224"/>
        <v>20</v>
      </c>
      <c r="Y237" s="189"/>
      <c r="Z237" s="188"/>
      <c r="AA237" s="188"/>
      <c r="AB237" s="244">
        <f t="shared" si="225"/>
        <v>0</v>
      </c>
      <c r="AC237" s="253">
        <f t="shared" si="226"/>
        <v>20</v>
      </c>
      <c r="AD237" s="194">
        <v>46088</v>
      </c>
    </row>
    <row r="238" spans="1:31" x14ac:dyDescent="0.15">
      <c r="A238" s="197" t="s">
        <v>1560</v>
      </c>
      <c r="B238" s="189">
        <v>1</v>
      </c>
      <c r="C238" s="188"/>
      <c r="D238" s="188"/>
      <c r="E238" s="244">
        <f t="shared" si="228"/>
        <v>1</v>
      </c>
      <c r="F238" s="189">
        <v>1</v>
      </c>
      <c r="G238" s="188"/>
      <c r="H238" s="188"/>
      <c r="I238" s="244">
        <f t="shared" si="220"/>
        <v>1</v>
      </c>
      <c r="J238" s="189">
        <v>1</v>
      </c>
      <c r="K238" s="188"/>
      <c r="L238" s="188"/>
      <c r="M238" s="244">
        <f t="shared" si="221"/>
        <v>1</v>
      </c>
      <c r="N238" s="253">
        <f t="shared" si="222"/>
        <v>3</v>
      </c>
      <c r="O238" s="190">
        <v>46100</v>
      </c>
      <c r="P238" s="197" t="s">
        <v>1599</v>
      </c>
      <c r="Q238" s="189">
        <v>15</v>
      </c>
      <c r="R238" s="188">
        <v>15</v>
      </c>
      <c r="S238" s="188">
        <v>15</v>
      </c>
      <c r="T238" s="244">
        <f t="shared" si="223"/>
        <v>45</v>
      </c>
      <c r="U238" s="189">
        <v>10</v>
      </c>
      <c r="V238" s="188">
        <v>10</v>
      </c>
      <c r="W238" s="188">
        <v>10</v>
      </c>
      <c r="X238" s="244">
        <f t="shared" si="224"/>
        <v>30</v>
      </c>
      <c r="Y238" s="189">
        <v>15</v>
      </c>
      <c r="Z238" s="188">
        <v>15</v>
      </c>
      <c r="AA238" s="188">
        <v>15</v>
      </c>
      <c r="AB238" s="244">
        <f t="shared" si="225"/>
        <v>45</v>
      </c>
      <c r="AC238" s="253">
        <f t="shared" si="226"/>
        <v>120</v>
      </c>
      <c r="AD238" s="194">
        <v>46093</v>
      </c>
    </row>
    <row r="239" spans="1:31" x14ac:dyDescent="0.15">
      <c r="A239" s="197" t="s">
        <v>113</v>
      </c>
      <c r="B239" s="189"/>
      <c r="C239" s="188"/>
      <c r="D239" s="188">
        <v>1</v>
      </c>
      <c r="E239" s="244">
        <f t="shared" si="228"/>
        <v>1</v>
      </c>
      <c r="F239" s="189"/>
      <c r="G239" s="188"/>
      <c r="H239" s="188">
        <v>1</v>
      </c>
      <c r="I239" s="244">
        <f t="shared" si="220"/>
        <v>1</v>
      </c>
      <c r="J239" s="189"/>
      <c r="K239" s="188"/>
      <c r="L239" s="188">
        <v>1</v>
      </c>
      <c r="M239" s="244">
        <f t="shared" si="221"/>
        <v>1</v>
      </c>
      <c r="N239" s="253">
        <f t="shared" si="222"/>
        <v>3</v>
      </c>
      <c r="O239" s="190">
        <v>46100</v>
      </c>
      <c r="P239" s="197" t="s">
        <v>1608</v>
      </c>
      <c r="Q239" s="189">
        <v>15</v>
      </c>
      <c r="R239" s="188"/>
      <c r="S239" s="188"/>
      <c r="T239" s="244">
        <f t="shared" si="223"/>
        <v>15</v>
      </c>
      <c r="U239" s="189">
        <v>15</v>
      </c>
      <c r="V239" s="188"/>
      <c r="W239" s="188"/>
      <c r="X239" s="244">
        <f t="shared" si="224"/>
        <v>15</v>
      </c>
      <c r="Y239" s="189">
        <v>15</v>
      </c>
      <c r="Z239" s="188"/>
      <c r="AA239" s="188"/>
      <c r="AB239" s="244">
        <f t="shared" si="225"/>
        <v>15</v>
      </c>
      <c r="AC239" s="253">
        <f t="shared" si="226"/>
        <v>45</v>
      </c>
      <c r="AD239" s="194">
        <v>46093</v>
      </c>
    </row>
    <row r="240" spans="1:31" x14ac:dyDescent="0.15">
      <c r="A240" s="197" t="s">
        <v>1662</v>
      </c>
      <c r="B240" s="189"/>
      <c r="C240" s="188">
        <v>5</v>
      </c>
      <c r="D240" s="188"/>
      <c r="E240" s="244">
        <f t="shared" si="228"/>
        <v>5</v>
      </c>
      <c r="F240" s="189"/>
      <c r="G240" s="188">
        <v>5</v>
      </c>
      <c r="H240" s="188"/>
      <c r="I240" s="244">
        <f t="shared" si="220"/>
        <v>5</v>
      </c>
      <c r="J240" s="189"/>
      <c r="K240" s="188">
        <v>5</v>
      </c>
      <c r="L240" s="188"/>
      <c r="M240" s="244">
        <f t="shared" si="221"/>
        <v>5</v>
      </c>
      <c r="N240" s="253">
        <f t="shared" si="222"/>
        <v>15</v>
      </c>
      <c r="O240" s="190">
        <v>46102</v>
      </c>
      <c r="P240" s="197" t="s">
        <v>1610</v>
      </c>
      <c r="Q240" s="189">
        <v>20</v>
      </c>
      <c r="R240" s="188">
        <v>12</v>
      </c>
      <c r="S240" s="188">
        <v>12</v>
      </c>
      <c r="T240" s="244">
        <f t="shared" si="223"/>
        <v>44</v>
      </c>
      <c r="U240" s="189">
        <v>20</v>
      </c>
      <c r="V240" s="188">
        <v>12</v>
      </c>
      <c r="W240" s="188">
        <v>12</v>
      </c>
      <c r="X240" s="244">
        <f t="shared" si="224"/>
        <v>44</v>
      </c>
      <c r="Y240" s="189">
        <v>20</v>
      </c>
      <c r="Z240" s="188">
        <v>12</v>
      </c>
      <c r="AA240" s="188">
        <v>12</v>
      </c>
      <c r="AB240" s="244">
        <f t="shared" si="225"/>
        <v>44</v>
      </c>
      <c r="AC240" s="253">
        <f t="shared" si="226"/>
        <v>132</v>
      </c>
      <c r="AD240" s="194">
        <v>46100</v>
      </c>
    </row>
    <row r="241" spans="1:30" x14ac:dyDescent="0.15">
      <c r="A241" s="197" t="s">
        <v>115</v>
      </c>
      <c r="B241" s="189"/>
      <c r="C241" s="188">
        <v>1</v>
      </c>
      <c r="D241" s="188">
        <v>1</v>
      </c>
      <c r="E241" s="244">
        <f t="shared" ref="E241:E243" si="233">SUM(B241:D241)</f>
        <v>2</v>
      </c>
      <c r="F241" s="189"/>
      <c r="G241" s="188">
        <v>1</v>
      </c>
      <c r="H241" s="188">
        <v>1</v>
      </c>
      <c r="I241" s="244">
        <f t="shared" ref="I241:I243" si="234">SUM(F241:H241)</f>
        <v>2</v>
      </c>
      <c r="J241" s="189"/>
      <c r="K241" s="188">
        <v>1</v>
      </c>
      <c r="L241" s="188">
        <v>1</v>
      </c>
      <c r="M241" s="244">
        <f t="shared" ref="M241:M243" si="235">SUM(J241:L241)</f>
        <v>2</v>
      </c>
      <c r="N241" s="253">
        <f t="shared" ref="N241:N243" si="236">E241+I241+M241</f>
        <v>6</v>
      </c>
      <c r="O241" s="190">
        <v>46107</v>
      </c>
      <c r="P241" s="197" t="s">
        <v>1624</v>
      </c>
      <c r="Q241" s="189">
        <v>10</v>
      </c>
      <c r="R241" s="188">
        <v>6</v>
      </c>
      <c r="S241" s="188">
        <v>6</v>
      </c>
      <c r="T241" s="244">
        <f t="shared" si="223"/>
        <v>22</v>
      </c>
      <c r="U241" s="189">
        <v>10</v>
      </c>
      <c r="V241" s="188">
        <v>6</v>
      </c>
      <c r="W241" s="188">
        <v>6</v>
      </c>
      <c r="X241" s="244">
        <f t="shared" si="224"/>
        <v>22</v>
      </c>
      <c r="Y241" s="189">
        <v>10</v>
      </c>
      <c r="Z241" s="188">
        <v>6</v>
      </c>
      <c r="AA241" s="188">
        <v>6</v>
      </c>
      <c r="AB241" s="244">
        <f t="shared" si="225"/>
        <v>22</v>
      </c>
      <c r="AC241" s="253">
        <f t="shared" si="226"/>
        <v>66</v>
      </c>
      <c r="AD241" s="194">
        <v>46101</v>
      </c>
    </row>
    <row r="242" spans="1:30" x14ac:dyDescent="0.15">
      <c r="A242" s="197" t="s">
        <v>119</v>
      </c>
      <c r="B242" s="189"/>
      <c r="C242" s="188"/>
      <c r="D242" s="188">
        <v>1</v>
      </c>
      <c r="E242" s="244">
        <f t="shared" si="233"/>
        <v>1</v>
      </c>
      <c r="F242" s="189"/>
      <c r="G242" s="188"/>
      <c r="H242" s="188">
        <v>1</v>
      </c>
      <c r="I242" s="244">
        <f t="shared" si="234"/>
        <v>1</v>
      </c>
      <c r="J242" s="189"/>
      <c r="K242" s="188"/>
      <c r="L242" s="188">
        <v>1</v>
      </c>
      <c r="M242" s="244">
        <f t="shared" si="235"/>
        <v>1</v>
      </c>
      <c r="N242" s="253">
        <f t="shared" si="236"/>
        <v>3</v>
      </c>
      <c r="O242" s="190">
        <v>46108</v>
      </c>
      <c r="P242" s="197" t="s">
        <v>1650</v>
      </c>
      <c r="Q242" s="189"/>
      <c r="R242" s="188">
        <v>5</v>
      </c>
      <c r="S242" s="188">
        <v>3</v>
      </c>
      <c r="T242" s="244">
        <f t="shared" si="223"/>
        <v>8</v>
      </c>
      <c r="U242" s="189"/>
      <c r="V242" s="188">
        <v>5</v>
      </c>
      <c r="W242" s="188">
        <v>3</v>
      </c>
      <c r="X242" s="244">
        <f t="shared" si="224"/>
        <v>8</v>
      </c>
      <c r="Y242" s="189"/>
      <c r="Z242" s="188">
        <v>5</v>
      </c>
      <c r="AA242" s="188">
        <v>3</v>
      </c>
      <c r="AB242" s="244">
        <f t="shared" si="225"/>
        <v>8</v>
      </c>
      <c r="AC242" s="253">
        <f t="shared" si="226"/>
        <v>24</v>
      </c>
      <c r="AD242" s="194">
        <v>46111</v>
      </c>
    </row>
    <row r="243" spans="1:30" x14ac:dyDescent="0.15">
      <c r="A243" s="197" t="s">
        <v>125</v>
      </c>
      <c r="B243" s="189">
        <v>1</v>
      </c>
      <c r="C243" s="188">
        <v>2</v>
      </c>
      <c r="D243" s="188"/>
      <c r="E243" s="244">
        <f t="shared" si="233"/>
        <v>3</v>
      </c>
      <c r="F243" s="189">
        <v>1</v>
      </c>
      <c r="G243" s="188">
        <v>2</v>
      </c>
      <c r="H243" s="188"/>
      <c r="I243" s="244">
        <f t="shared" si="234"/>
        <v>3</v>
      </c>
      <c r="J243" s="189">
        <v>1</v>
      </c>
      <c r="K243" s="188">
        <v>2</v>
      </c>
      <c r="L243" s="188"/>
      <c r="M243" s="244">
        <f t="shared" si="235"/>
        <v>3</v>
      </c>
      <c r="N243" s="253">
        <f t="shared" si="236"/>
        <v>9</v>
      </c>
      <c r="O243" s="190">
        <v>46111</v>
      </c>
      <c r="P243" s="197"/>
      <c r="Q243" s="189"/>
      <c r="R243" s="188"/>
      <c r="S243" s="188"/>
      <c r="T243" s="244">
        <f t="shared" si="223"/>
        <v>0</v>
      </c>
      <c r="U243" s="189"/>
      <c r="V243" s="188"/>
      <c r="W243" s="188"/>
      <c r="X243" s="244">
        <f t="shared" si="224"/>
        <v>0</v>
      </c>
      <c r="Y243" s="189"/>
      <c r="Z243" s="188"/>
      <c r="AA243" s="188"/>
      <c r="AB243" s="244">
        <f t="shared" si="225"/>
        <v>0</v>
      </c>
      <c r="AC243" s="253">
        <f t="shared" si="226"/>
        <v>0</v>
      </c>
      <c r="AD243" s="198"/>
    </row>
    <row r="244" spans="1:30" x14ac:dyDescent="0.15">
      <c r="A244" s="197" t="s">
        <v>1695</v>
      </c>
      <c r="B244" s="189"/>
      <c r="C244" s="188">
        <v>1</v>
      </c>
      <c r="D244" s="188"/>
      <c r="E244" s="244">
        <f t="shared" si="228"/>
        <v>1</v>
      </c>
      <c r="F244" s="189"/>
      <c r="G244" s="188">
        <v>1</v>
      </c>
      <c r="H244" s="188"/>
      <c r="I244" s="244">
        <f t="shared" si="220"/>
        <v>1</v>
      </c>
      <c r="J244" s="189"/>
      <c r="K244" s="188">
        <v>1</v>
      </c>
      <c r="L244" s="188"/>
      <c r="M244" s="244">
        <f t="shared" si="221"/>
        <v>1</v>
      </c>
      <c r="N244" s="253">
        <f t="shared" si="222"/>
        <v>3</v>
      </c>
      <c r="O244" s="190">
        <v>46120</v>
      </c>
      <c r="P244" s="197"/>
      <c r="Q244" s="189"/>
      <c r="R244" s="188"/>
      <c r="S244" s="188"/>
      <c r="T244" s="244">
        <f t="shared" ref="T244:T247" si="237">SUM(Q244:S244)</f>
        <v>0</v>
      </c>
      <c r="U244" s="189"/>
      <c r="V244" s="188"/>
      <c r="W244" s="188"/>
      <c r="X244" s="244">
        <f t="shared" ref="X244:X247" si="238">SUM(U244:W244)</f>
        <v>0</v>
      </c>
      <c r="Y244" s="189"/>
      <c r="Z244" s="188"/>
      <c r="AA244" s="188"/>
      <c r="AB244" s="244">
        <f t="shared" ref="AB244:AB247" si="239">SUM(Y244:AA244)</f>
        <v>0</v>
      </c>
      <c r="AC244" s="253">
        <f t="shared" ref="AC244:AC247" si="240">T244+X244+AB244</f>
        <v>0</v>
      </c>
      <c r="AD244" s="198"/>
    </row>
    <row r="245" spans="1:30" x14ac:dyDescent="0.15">
      <c r="A245" s="197"/>
      <c r="B245" s="189"/>
      <c r="C245" s="188"/>
      <c r="D245" s="188"/>
      <c r="E245" s="244">
        <f t="shared" si="228"/>
        <v>0</v>
      </c>
      <c r="F245" s="189"/>
      <c r="G245" s="188"/>
      <c r="H245" s="188"/>
      <c r="I245" s="244">
        <f t="shared" si="220"/>
        <v>0</v>
      </c>
      <c r="J245" s="189"/>
      <c r="K245" s="188"/>
      <c r="L245" s="188"/>
      <c r="M245" s="244">
        <f t="shared" si="221"/>
        <v>0</v>
      </c>
      <c r="N245" s="253">
        <f t="shared" si="222"/>
        <v>0</v>
      </c>
      <c r="P245" s="197"/>
      <c r="Q245" s="189"/>
      <c r="R245" s="188"/>
      <c r="S245" s="188"/>
      <c r="T245" s="244">
        <f t="shared" si="237"/>
        <v>0</v>
      </c>
      <c r="U245" s="189"/>
      <c r="V245" s="188"/>
      <c r="W245" s="188"/>
      <c r="X245" s="244">
        <f t="shared" si="238"/>
        <v>0</v>
      </c>
      <c r="Y245" s="189"/>
      <c r="Z245" s="188"/>
      <c r="AA245" s="188"/>
      <c r="AB245" s="244">
        <f t="shared" si="239"/>
        <v>0</v>
      </c>
      <c r="AC245" s="253">
        <f t="shared" si="240"/>
        <v>0</v>
      </c>
      <c r="AD245" s="198"/>
    </row>
    <row r="246" spans="1:30" x14ac:dyDescent="0.15">
      <c r="A246" s="197"/>
      <c r="B246" s="189"/>
      <c r="C246" s="188"/>
      <c r="D246" s="188"/>
      <c r="E246" s="244">
        <f t="shared" si="228"/>
        <v>0</v>
      </c>
      <c r="F246" s="189"/>
      <c r="G246" s="188"/>
      <c r="H246" s="188"/>
      <c r="I246" s="244">
        <f t="shared" si="220"/>
        <v>0</v>
      </c>
      <c r="J246" s="189"/>
      <c r="K246" s="188"/>
      <c r="L246" s="188"/>
      <c r="M246" s="244">
        <f t="shared" si="221"/>
        <v>0</v>
      </c>
      <c r="N246" s="253">
        <f t="shared" si="222"/>
        <v>0</v>
      </c>
      <c r="P246" s="191" t="s">
        <v>1280</v>
      </c>
      <c r="Q246" s="239"/>
      <c r="R246" s="240"/>
      <c r="S246" s="240"/>
      <c r="T246" s="249">
        <f t="shared" si="237"/>
        <v>0</v>
      </c>
      <c r="U246" s="239"/>
      <c r="V246" s="240"/>
      <c r="W246" s="240"/>
      <c r="X246" s="249">
        <f t="shared" si="238"/>
        <v>0</v>
      </c>
      <c r="Y246" s="239"/>
      <c r="Z246" s="240"/>
      <c r="AA246" s="240"/>
      <c r="AB246" s="249">
        <f t="shared" si="239"/>
        <v>0</v>
      </c>
      <c r="AC246" s="278">
        <f t="shared" si="240"/>
        <v>0</v>
      </c>
      <c r="AD246" s="198"/>
    </row>
    <row r="247" spans="1:30" x14ac:dyDescent="0.15">
      <c r="A247" s="197"/>
      <c r="B247" s="189"/>
      <c r="C247" s="188"/>
      <c r="D247" s="188"/>
      <c r="E247" s="244">
        <f t="shared" si="228"/>
        <v>0</v>
      </c>
      <c r="F247" s="189"/>
      <c r="G247" s="188"/>
      <c r="H247" s="188"/>
      <c r="I247" s="244">
        <f t="shared" si="220"/>
        <v>0</v>
      </c>
      <c r="J247" s="189"/>
      <c r="K247" s="188"/>
      <c r="L247" s="188"/>
      <c r="M247" s="244">
        <f t="shared" si="221"/>
        <v>0</v>
      </c>
      <c r="N247" s="253">
        <f t="shared" si="222"/>
        <v>0</v>
      </c>
      <c r="P247" s="197" t="s">
        <v>1279</v>
      </c>
      <c r="Q247" s="189"/>
      <c r="R247" s="188"/>
      <c r="S247" s="188"/>
      <c r="T247" s="244">
        <f t="shared" si="237"/>
        <v>0</v>
      </c>
      <c r="U247" s="189"/>
      <c r="V247" s="188"/>
      <c r="W247" s="188"/>
      <c r="X247" s="244">
        <f t="shared" si="238"/>
        <v>0</v>
      </c>
      <c r="Y247" s="189"/>
      <c r="Z247" s="188"/>
      <c r="AA247" s="188"/>
      <c r="AB247" s="244">
        <f t="shared" si="239"/>
        <v>0</v>
      </c>
      <c r="AC247" s="253">
        <f t="shared" si="240"/>
        <v>0</v>
      </c>
      <c r="AD247" s="198" t="s">
        <v>1278</v>
      </c>
    </row>
    <row r="248" spans="1:30" x14ac:dyDescent="0.15">
      <c r="A248" s="197"/>
      <c r="B248" s="189"/>
      <c r="C248" s="188"/>
      <c r="D248" s="188"/>
      <c r="E248" s="244">
        <f t="shared" si="228"/>
        <v>0</v>
      </c>
      <c r="F248" s="189"/>
      <c r="G248" s="188"/>
      <c r="H248" s="188"/>
      <c r="I248" s="244">
        <f t="shared" si="220"/>
        <v>0</v>
      </c>
      <c r="J248" s="189"/>
      <c r="K248" s="188"/>
      <c r="L248" s="188"/>
      <c r="M248" s="244">
        <f t="shared" si="221"/>
        <v>0</v>
      </c>
      <c r="N248" s="253">
        <f t="shared" si="222"/>
        <v>0</v>
      </c>
      <c r="P248" s="191" t="s">
        <v>1295</v>
      </c>
      <c r="Q248" s="239"/>
      <c r="R248" s="240"/>
      <c r="S248" s="240"/>
      <c r="T248" s="249">
        <f t="shared" ref="T248:T249" si="241">SUM(Q248:S248)</f>
        <v>0</v>
      </c>
      <c r="U248" s="239"/>
      <c r="V248" s="240"/>
      <c r="W248" s="240"/>
      <c r="X248" s="249">
        <f t="shared" ref="X248:X249" si="242">SUM(U248:W248)</f>
        <v>0</v>
      </c>
      <c r="Y248" s="239"/>
      <c r="Z248" s="240"/>
      <c r="AA248" s="240"/>
      <c r="AB248" s="249">
        <f t="shared" ref="AB248:AB249" si="243">SUM(Y248:AA248)</f>
        <v>0</v>
      </c>
      <c r="AC248" s="278">
        <f t="shared" ref="AC248:AC249" si="244">T248+X248+AB248</f>
        <v>0</v>
      </c>
      <c r="AD248" s="241"/>
    </row>
    <row r="249" spans="1:30" x14ac:dyDescent="0.15">
      <c r="A249" s="197"/>
      <c r="B249" s="189"/>
      <c r="C249" s="188"/>
      <c r="D249" s="188"/>
      <c r="E249" s="244">
        <f t="shared" si="228"/>
        <v>0</v>
      </c>
      <c r="F249" s="189"/>
      <c r="G249" s="188"/>
      <c r="H249" s="188"/>
      <c r="I249" s="244">
        <f t="shared" si="220"/>
        <v>0</v>
      </c>
      <c r="J249" s="189"/>
      <c r="K249" s="188"/>
      <c r="L249" s="188"/>
      <c r="M249" s="244">
        <f t="shared" si="221"/>
        <v>0</v>
      </c>
      <c r="N249" s="253">
        <f t="shared" si="222"/>
        <v>0</v>
      </c>
      <c r="P249" s="197" t="s">
        <v>1236</v>
      </c>
      <c r="Q249" s="189"/>
      <c r="R249" s="188"/>
      <c r="S249" s="188"/>
      <c r="T249" s="244">
        <f t="shared" si="241"/>
        <v>0</v>
      </c>
      <c r="U249" s="189"/>
      <c r="V249" s="188"/>
      <c r="W249" s="188"/>
      <c r="X249" s="244">
        <f t="shared" si="242"/>
        <v>0</v>
      </c>
      <c r="Y249" s="189"/>
      <c r="Z249" s="188"/>
      <c r="AA249" s="188"/>
      <c r="AB249" s="244">
        <f t="shared" si="243"/>
        <v>0</v>
      </c>
      <c r="AC249" s="253">
        <f t="shared" si="244"/>
        <v>0</v>
      </c>
      <c r="AD249" s="198" t="s">
        <v>1320</v>
      </c>
    </row>
    <row r="250" spans="1:30" x14ac:dyDescent="0.15">
      <c r="A250" s="197"/>
      <c r="B250" s="189"/>
      <c r="C250" s="188"/>
      <c r="D250" s="188"/>
      <c r="E250" s="244">
        <f t="shared" si="228"/>
        <v>0</v>
      </c>
      <c r="F250" s="189"/>
      <c r="G250" s="188"/>
      <c r="H250" s="188"/>
      <c r="I250" s="244">
        <f t="shared" si="220"/>
        <v>0</v>
      </c>
      <c r="J250" s="189"/>
      <c r="K250" s="188"/>
      <c r="L250" s="188"/>
      <c r="M250" s="244">
        <f t="shared" si="221"/>
        <v>0</v>
      </c>
      <c r="N250" s="253">
        <f t="shared" si="222"/>
        <v>0</v>
      </c>
      <c r="P250" s="191" t="s">
        <v>1304</v>
      </c>
      <c r="Q250" s="239"/>
      <c r="R250" s="240"/>
      <c r="S250" s="240"/>
      <c r="T250" s="249">
        <f t="shared" si="223"/>
        <v>0</v>
      </c>
      <c r="U250" s="239"/>
      <c r="V250" s="240"/>
      <c r="W250" s="240"/>
      <c r="X250" s="249">
        <f t="shared" si="224"/>
        <v>0</v>
      </c>
      <c r="Y250" s="239"/>
      <c r="Z250" s="240"/>
      <c r="AA250" s="240"/>
      <c r="AB250" s="249">
        <f t="shared" ref="AB250:AB255" si="245">SUM(Y250:AA250)</f>
        <v>0</v>
      </c>
      <c r="AC250" s="303">
        <f t="shared" si="226"/>
        <v>0</v>
      </c>
      <c r="AD250" s="198"/>
    </row>
    <row r="251" spans="1:30" x14ac:dyDescent="0.15">
      <c r="A251" s="197"/>
      <c r="B251" s="189"/>
      <c r="C251" s="188"/>
      <c r="D251" s="188"/>
      <c r="E251" s="244">
        <f t="shared" si="228"/>
        <v>0</v>
      </c>
      <c r="F251" s="189"/>
      <c r="G251" s="188"/>
      <c r="H251" s="188"/>
      <c r="I251" s="244">
        <f t="shared" si="220"/>
        <v>0</v>
      </c>
      <c r="J251" s="189"/>
      <c r="K251" s="188"/>
      <c r="L251" s="188"/>
      <c r="M251" s="244">
        <f t="shared" si="221"/>
        <v>0</v>
      </c>
      <c r="N251" s="253">
        <f t="shared" si="222"/>
        <v>0</v>
      </c>
      <c r="P251" s="197" t="s">
        <v>1303</v>
      </c>
      <c r="Q251" s="189"/>
      <c r="R251" s="188"/>
      <c r="S251" s="188"/>
      <c r="T251" s="244">
        <f t="shared" si="223"/>
        <v>0</v>
      </c>
      <c r="U251" s="189"/>
      <c r="V251" s="188"/>
      <c r="W251" s="188"/>
      <c r="X251" s="244">
        <f t="shared" si="224"/>
        <v>0</v>
      </c>
      <c r="Y251" s="189"/>
      <c r="Z251" s="188"/>
      <c r="AA251" s="188"/>
      <c r="AB251" s="244">
        <f t="shared" si="245"/>
        <v>0</v>
      </c>
      <c r="AC251" s="253">
        <f t="shared" si="226"/>
        <v>0</v>
      </c>
      <c r="AD251" s="198" t="s">
        <v>1424</v>
      </c>
    </row>
    <row r="252" spans="1:30" x14ac:dyDescent="0.15">
      <c r="A252" s="197"/>
      <c r="B252" s="189"/>
      <c r="C252" s="188"/>
      <c r="D252" s="188"/>
      <c r="E252" s="244">
        <f t="shared" si="228"/>
        <v>0</v>
      </c>
      <c r="F252" s="189"/>
      <c r="G252" s="188"/>
      <c r="H252" s="188"/>
      <c r="I252" s="244">
        <f t="shared" si="220"/>
        <v>0</v>
      </c>
      <c r="J252" s="189"/>
      <c r="K252" s="188"/>
      <c r="L252" s="188"/>
      <c r="M252" s="244">
        <f t="shared" si="221"/>
        <v>0</v>
      </c>
      <c r="N252" s="253">
        <f t="shared" si="222"/>
        <v>0</v>
      </c>
      <c r="P252" s="274" t="s">
        <v>1361</v>
      </c>
      <c r="Q252" s="239"/>
      <c r="R252" s="240"/>
      <c r="S252" s="240"/>
      <c r="T252" s="249">
        <f t="shared" si="223"/>
        <v>0</v>
      </c>
      <c r="U252" s="239"/>
      <c r="V252" s="240"/>
      <c r="W252" s="240"/>
      <c r="X252" s="249">
        <f t="shared" si="224"/>
        <v>0</v>
      </c>
      <c r="Y252" s="239"/>
      <c r="Z252" s="240"/>
      <c r="AA252" s="240"/>
      <c r="AB252" s="249">
        <f t="shared" si="245"/>
        <v>0</v>
      </c>
      <c r="AC252" s="278">
        <f t="shared" si="226"/>
        <v>0</v>
      </c>
      <c r="AD252" s="241"/>
    </row>
    <row r="253" spans="1:30" x14ac:dyDescent="0.15">
      <c r="A253" s="197"/>
      <c r="B253" s="189"/>
      <c r="C253" s="188"/>
      <c r="D253" s="188"/>
      <c r="E253" s="244">
        <f t="shared" si="228"/>
        <v>0</v>
      </c>
      <c r="F253" s="189"/>
      <c r="G253" s="188"/>
      <c r="H253" s="188"/>
      <c r="I253" s="244">
        <f t="shared" si="220"/>
        <v>0</v>
      </c>
      <c r="J253" s="189"/>
      <c r="K253" s="188"/>
      <c r="L253" s="188"/>
      <c r="M253" s="244">
        <f t="shared" si="221"/>
        <v>0</v>
      </c>
      <c r="N253" s="253">
        <f t="shared" si="222"/>
        <v>0</v>
      </c>
      <c r="P253" s="193" t="s">
        <v>1364</v>
      </c>
      <c r="Q253" s="189"/>
      <c r="R253" s="188"/>
      <c r="S253" s="188"/>
      <c r="T253" s="244">
        <f t="shared" si="223"/>
        <v>0</v>
      </c>
      <c r="U253" s="189"/>
      <c r="V253" s="188"/>
      <c r="W253" s="188"/>
      <c r="X253" s="244">
        <f t="shared" si="224"/>
        <v>0</v>
      </c>
      <c r="Y253" s="189"/>
      <c r="Z253" s="188"/>
      <c r="AA253" s="188"/>
      <c r="AB253" s="244">
        <f t="shared" si="245"/>
        <v>0</v>
      </c>
      <c r="AC253" s="253">
        <f t="shared" si="226"/>
        <v>0</v>
      </c>
      <c r="AD253" s="198" t="s">
        <v>1363</v>
      </c>
    </row>
    <row r="254" spans="1:30" x14ac:dyDescent="0.15">
      <c r="A254" s="197"/>
      <c r="B254" s="189"/>
      <c r="C254" s="188"/>
      <c r="D254" s="188"/>
      <c r="E254" s="244">
        <f t="shared" si="228"/>
        <v>0</v>
      </c>
      <c r="F254" s="189"/>
      <c r="G254" s="188"/>
      <c r="H254" s="188"/>
      <c r="I254" s="244">
        <f t="shared" si="220"/>
        <v>0</v>
      </c>
      <c r="J254" s="189"/>
      <c r="K254" s="188"/>
      <c r="L254" s="188"/>
      <c r="M254" s="244">
        <f t="shared" si="221"/>
        <v>0</v>
      </c>
      <c r="N254" s="253">
        <f t="shared" si="222"/>
        <v>0</v>
      </c>
      <c r="P254" s="274" t="s">
        <v>1349</v>
      </c>
      <c r="Q254" s="239"/>
      <c r="R254" s="240"/>
      <c r="S254" s="240"/>
      <c r="T254" s="249">
        <f t="shared" si="223"/>
        <v>0</v>
      </c>
      <c r="U254" s="239"/>
      <c r="V254" s="240"/>
      <c r="W254" s="240"/>
      <c r="X254" s="249">
        <f t="shared" si="224"/>
        <v>0</v>
      </c>
      <c r="Y254" s="239"/>
      <c r="Z254" s="240"/>
      <c r="AA254" s="240"/>
      <c r="AB254" s="249">
        <f t="shared" si="245"/>
        <v>0</v>
      </c>
      <c r="AC254" s="298">
        <f t="shared" si="226"/>
        <v>0</v>
      </c>
      <c r="AD254" s="198"/>
    </row>
    <row r="255" spans="1:30" ht="14.25" thickBot="1" x14ac:dyDescent="0.2">
      <c r="A255" s="197"/>
      <c r="B255" s="189"/>
      <c r="C255" s="188"/>
      <c r="D255" s="188"/>
      <c r="E255" s="244">
        <f t="shared" si="228"/>
        <v>0</v>
      </c>
      <c r="F255" s="189"/>
      <c r="G255" s="188"/>
      <c r="H255" s="188"/>
      <c r="I255" s="244">
        <f t="shared" si="220"/>
        <v>0</v>
      </c>
      <c r="J255" s="189"/>
      <c r="K255" s="188"/>
      <c r="L255" s="188"/>
      <c r="M255" s="244">
        <f t="shared" si="221"/>
        <v>0</v>
      </c>
      <c r="N255" s="253">
        <f t="shared" si="222"/>
        <v>0</v>
      </c>
      <c r="P255" s="193" t="s">
        <v>1348</v>
      </c>
      <c r="Q255" s="189"/>
      <c r="R255" s="188"/>
      <c r="S255" s="188"/>
      <c r="T255" s="244">
        <f t="shared" si="223"/>
        <v>0</v>
      </c>
      <c r="U255" s="189"/>
      <c r="V255" s="188"/>
      <c r="W255" s="188"/>
      <c r="X255" s="244">
        <f t="shared" si="224"/>
        <v>0</v>
      </c>
      <c r="Y255" s="189"/>
      <c r="Z255" s="188"/>
      <c r="AA255" s="188"/>
      <c r="AB255" s="244">
        <f t="shared" si="245"/>
        <v>0</v>
      </c>
      <c r="AC255" s="304">
        <f t="shared" si="226"/>
        <v>0</v>
      </c>
      <c r="AD255" s="198" t="s">
        <v>1350</v>
      </c>
    </row>
    <row r="256" spans="1:30" ht="14.25" thickBot="1" x14ac:dyDescent="0.2">
      <c r="A256" s="221" t="s">
        <v>5</v>
      </c>
      <c r="B256" s="222">
        <f>SUM(B232:B255)</f>
        <v>7</v>
      </c>
      <c r="C256" s="222">
        <f>SUM(C232:C255)</f>
        <v>9</v>
      </c>
      <c r="D256" s="222">
        <f>SUM(D232:D255)</f>
        <v>5</v>
      </c>
      <c r="E256" s="251">
        <f t="shared" si="228"/>
        <v>21</v>
      </c>
      <c r="F256" s="222">
        <f>SUM(F232:F255)</f>
        <v>7</v>
      </c>
      <c r="G256" s="222">
        <f>SUM(G232:G255)</f>
        <v>9</v>
      </c>
      <c r="H256" s="222">
        <f>SUM(H232:H255)</f>
        <v>5</v>
      </c>
      <c r="I256" s="251">
        <f t="shared" si="220"/>
        <v>21</v>
      </c>
      <c r="J256" s="222">
        <f>SUM(J232:J255)</f>
        <v>7</v>
      </c>
      <c r="K256" s="222">
        <f>SUM(K232:K255)</f>
        <v>9</v>
      </c>
      <c r="L256" s="222">
        <f>SUM(L232:L255)</f>
        <v>5</v>
      </c>
      <c r="M256" s="267">
        <f t="shared" si="221"/>
        <v>21</v>
      </c>
      <c r="N256" s="272">
        <f t="shared" si="222"/>
        <v>63</v>
      </c>
      <c r="P256" s="184" t="s">
        <v>5</v>
      </c>
      <c r="Q256" s="222">
        <f>SUM(Q232:Q255)</f>
        <v>79</v>
      </c>
      <c r="R256" s="222">
        <f>SUM(R232:R255)</f>
        <v>48</v>
      </c>
      <c r="S256" s="222">
        <f>SUM(S232:S255)</f>
        <v>47</v>
      </c>
      <c r="T256" s="251">
        <f t="shared" si="223"/>
        <v>174</v>
      </c>
      <c r="U256" s="222">
        <f>SUM(U232:U255)</f>
        <v>124</v>
      </c>
      <c r="V256" s="222">
        <f>SUM(V232:V255)</f>
        <v>53</v>
      </c>
      <c r="W256" s="222">
        <f>SUM(W232:W255)</f>
        <v>52</v>
      </c>
      <c r="X256" s="251">
        <f t="shared" si="224"/>
        <v>229</v>
      </c>
      <c r="Y256" s="222">
        <f>SUM(Y232:Y255)</f>
        <v>109</v>
      </c>
      <c r="Z256" s="222">
        <f>SUM(Z232:Z255)</f>
        <v>48</v>
      </c>
      <c r="AA256" s="222">
        <f>SUM(AA232:AA255)</f>
        <v>47</v>
      </c>
      <c r="AB256" s="251">
        <f t="shared" ref="AB256" si="246">SUM(Y256:AA256)</f>
        <v>204</v>
      </c>
      <c r="AC256" s="256">
        <f t="shared" si="226"/>
        <v>607</v>
      </c>
    </row>
    <row r="257" spans="1:30" ht="14.25" thickBot="1" x14ac:dyDescent="0.2">
      <c r="A257" s="223" t="s">
        <v>6</v>
      </c>
      <c r="B257" s="209">
        <f>B231-B256</f>
        <v>7</v>
      </c>
      <c r="C257" s="209">
        <f t="shared" ref="C257:E257" si="247">C231-C256</f>
        <v>5</v>
      </c>
      <c r="D257" s="209">
        <f t="shared" si="247"/>
        <v>5</v>
      </c>
      <c r="E257" s="246">
        <f t="shared" si="247"/>
        <v>17</v>
      </c>
      <c r="F257" s="209">
        <f>F231-F256</f>
        <v>8</v>
      </c>
      <c r="G257" s="209">
        <f t="shared" ref="G257:I257" si="248">G231-G256</f>
        <v>5</v>
      </c>
      <c r="H257" s="209">
        <f t="shared" si="248"/>
        <v>4</v>
      </c>
      <c r="I257" s="246">
        <f t="shared" si="248"/>
        <v>17</v>
      </c>
      <c r="J257" s="209">
        <f>J231-J256</f>
        <v>8</v>
      </c>
      <c r="K257" s="209">
        <f t="shared" ref="K257:M257" si="249">K231-K256</f>
        <v>4</v>
      </c>
      <c r="L257" s="209">
        <f t="shared" si="249"/>
        <v>5</v>
      </c>
      <c r="M257" s="266">
        <f t="shared" si="249"/>
        <v>17</v>
      </c>
      <c r="N257" s="271">
        <f t="shared" si="222"/>
        <v>51</v>
      </c>
      <c r="P257" s="224" t="s">
        <v>6</v>
      </c>
      <c r="Q257" s="209">
        <f>Q231-Q256</f>
        <v>125</v>
      </c>
      <c r="R257" s="209">
        <f t="shared" ref="R257:T257" si="250">R231-R256</f>
        <v>114</v>
      </c>
      <c r="S257" s="209">
        <f t="shared" si="250"/>
        <v>76</v>
      </c>
      <c r="T257" s="246">
        <f t="shared" si="250"/>
        <v>315</v>
      </c>
      <c r="U257" s="209">
        <f>U231-U256</f>
        <v>93</v>
      </c>
      <c r="V257" s="209">
        <f t="shared" ref="V257:X257" si="251">V231-V256</f>
        <v>121</v>
      </c>
      <c r="W257" s="209">
        <f t="shared" si="251"/>
        <v>84</v>
      </c>
      <c r="X257" s="246">
        <f t="shared" si="251"/>
        <v>298</v>
      </c>
      <c r="Y257" s="209">
        <f>Y231-Y256</f>
        <v>98</v>
      </c>
      <c r="Z257" s="209">
        <f t="shared" ref="Z257:AB257" si="252">Z231-Z256</f>
        <v>116</v>
      </c>
      <c r="AA257" s="209">
        <f t="shared" si="252"/>
        <v>76</v>
      </c>
      <c r="AB257" s="246">
        <f t="shared" si="252"/>
        <v>290</v>
      </c>
      <c r="AC257" s="256">
        <f t="shared" si="226"/>
        <v>903</v>
      </c>
    </row>
    <row r="258" spans="1:30" x14ac:dyDescent="0.15">
      <c r="A258" s="172"/>
      <c r="N258" s="172"/>
      <c r="P258" s="321" t="s">
        <v>1669</v>
      </c>
      <c r="Q258" s="318">
        <f>Q256+Q213+Q170+Q127+Q84+Q41</f>
        <v>339</v>
      </c>
      <c r="R258" s="318">
        <f t="shared" ref="R258:AC258" si="253">R256+R213+R170+R127+R84+R41</f>
        <v>201</v>
      </c>
      <c r="S258" s="318">
        <f t="shared" si="253"/>
        <v>183</v>
      </c>
      <c r="T258" s="318">
        <f t="shared" si="253"/>
        <v>723</v>
      </c>
      <c r="U258" s="318">
        <f t="shared" si="253"/>
        <v>374</v>
      </c>
      <c r="V258" s="318">
        <f t="shared" si="253"/>
        <v>196</v>
      </c>
      <c r="W258" s="318">
        <f t="shared" si="253"/>
        <v>178</v>
      </c>
      <c r="X258" s="318">
        <f t="shared" si="253"/>
        <v>748</v>
      </c>
      <c r="Y258" s="318">
        <f t="shared" si="253"/>
        <v>369</v>
      </c>
      <c r="Z258" s="318">
        <f t="shared" si="253"/>
        <v>201</v>
      </c>
      <c r="AA258" s="318">
        <f t="shared" si="253"/>
        <v>183</v>
      </c>
      <c r="AB258" s="318">
        <f t="shared" si="253"/>
        <v>753</v>
      </c>
      <c r="AC258" s="318">
        <f t="shared" si="253"/>
        <v>2224</v>
      </c>
    </row>
    <row r="259" spans="1:30" x14ac:dyDescent="0.15">
      <c r="A259" s="172"/>
      <c r="N259" s="172"/>
      <c r="P259" s="322" t="s">
        <v>1130</v>
      </c>
      <c r="Q259" s="231">
        <f>Q258/$T$258*100</f>
        <v>46.88796680497925</v>
      </c>
      <c r="R259" s="231">
        <f t="shared" ref="R259:T259" si="254">R258/$T$258*100</f>
        <v>27.800829875518673</v>
      </c>
      <c r="S259" s="231">
        <f t="shared" si="254"/>
        <v>25.311203319502074</v>
      </c>
      <c r="T259" s="231">
        <f t="shared" si="254"/>
        <v>100</v>
      </c>
      <c r="U259" s="231">
        <f>U258/$X$258*100</f>
        <v>50</v>
      </c>
      <c r="V259" s="231">
        <f t="shared" ref="V259:X259" si="255">V258/$X$258*100</f>
        <v>26.203208556149733</v>
      </c>
      <c r="W259" s="231">
        <f t="shared" si="255"/>
        <v>23.796791443850267</v>
      </c>
      <c r="X259" s="231">
        <f t="shared" si="255"/>
        <v>100</v>
      </c>
      <c r="Y259" s="320">
        <f>Y258/$AB$258*100</f>
        <v>49.003984063745023</v>
      </c>
      <c r="Z259" s="320">
        <f t="shared" ref="Z259:AB259" si="256">Z258/$AB$258*100</f>
        <v>26.693227091633464</v>
      </c>
      <c r="AA259" s="320">
        <f t="shared" si="256"/>
        <v>24.302788844621514</v>
      </c>
      <c r="AB259" s="320">
        <f t="shared" si="256"/>
        <v>100</v>
      </c>
      <c r="AC259" s="318"/>
    </row>
    <row r="260" spans="1:30" ht="19.5" thickBot="1" x14ac:dyDescent="0.25">
      <c r="A260" s="177" t="s">
        <v>1183</v>
      </c>
      <c r="B260" s="178"/>
      <c r="C260" s="178"/>
      <c r="D260" s="178"/>
      <c r="E260" s="178"/>
      <c r="F260" s="179"/>
      <c r="G260" s="179"/>
      <c r="H260" s="179"/>
      <c r="I260" s="179"/>
      <c r="J260" s="179"/>
      <c r="K260" s="179"/>
      <c r="L260" s="179"/>
      <c r="M260" s="179"/>
      <c r="N260" s="180"/>
      <c r="P260" s="177"/>
      <c r="Q260" s="178"/>
      <c r="R260" s="178"/>
      <c r="S260" s="178"/>
      <c r="T260" s="316">
        <f>T258/AC258*100</f>
        <v>32.508992805755391</v>
      </c>
      <c r="X260" s="315">
        <f>X258/AC258*100</f>
        <v>33.633093525179859</v>
      </c>
      <c r="Y260" s="179"/>
      <c r="Z260" s="181"/>
      <c r="AA260" s="179"/>
      <c r="AB260" s="317">
        <f>AB258/AC258*100</f>
        <v>33.85791366906475</v>
      </c>
    </row>
    <row r="261" spans="1:30" ht="14.25" thickBot="1" x14ac:dyDescent="0.2">
      <c r="A261" s="182" t="s">
        <v>0</v>
      </c>
      <c r="B261" s="350" t="s">
        <v>11</v>
      </c>
      <c r="C261" s="350"/>
      <c r="D261" s="350"/>
      <c r="E261" s="351"/>
      <c r="F261" s="349" t="s">
        <v>9</v>
      </c>
      <c r="G261" s="350"/>
      <c r="H261" s="350"/>
      <c r="I261" s="351"/>
      <c r="J261" s="349" t="s">
        <v>12</v>
      </c>
      <c r="K261" s="350"/>
      <c r="L261" s="350"/>
      <c r="M261" s="350"/>
      <c r="N261" s="352" t="s">
        <v>13</v>
      </c>
      <c r="P261" s="183" t="s">
        <v>0</v>
      </c>
      <c r="Q261" s="350" t="s">
        <v>11</v>
      </c>
      <c r="R261" s="350"/>
      <c r="S261" s="350"/>
      <c r="T261" s="351"/>
      <c r="U261" s="349" t="s">
        <v>9</v>
      </c>
      <c r="V261" s="350"/>
      <c r="W261" s="350"/>
      <c r="X261" s="351"/>
      <c r="Y261" s="349" t="s">
        <v>12</v>
      </c>
      <c r="Z261" s="350"/>
      <c r="AA261" s="350"/>
      <c r="AB261" s="350"/>
      <c r="AC261" s="354" t="s">
        <v>13</v>
      </c>
    </row>
    <row r="262" spans="1:30" ht="14.25" thickBot="1" x14ac:dyDescent="0.2">
      <c r="A262" s="182" t="s">
        <v>1</v>
      </c>
      <c r="B262" s="184" t="s">
        <v>922</v>
      </c>
      <c r="C262" s="183" t="s">
        <v>923</v>
      </c>
      <c r="D262" s="183" t="s">
        <v>924</v>
      </c>
      <c r="E262" s="242" t="s">
        <v>2</v>
      </c>
      <c r="F262" s="184" t="s">
        <v>922</v>
      </c>
      <c r="G262" s="183" t="s">
        <v>923</v>
      </c>
      <c r="H262" s="183" t="s">
        <v>924</v>
      </c>
      <c r="I262" s="242" t="s">
        <v>2</v>
      </c>
      <c r="J262" s="184" t="s">
        <v>922</v>
      </c>
      <c r="K262" s="183" t="s">
        <v>923</v>
      </c>
      <c r="L262" s="183" t="s">
        <v>924</v>
      </c>
      <c r="M262" s="252" t="s">
        <v>2</v>
      </c>
      <c r="N262" s="353"/>
      <c r="P262" s="183" t="s">
        <v>1</v>
      </c>
      <c r="Q262" s="184" t="s">
        <v>922</v>
      </c>
      <c r="R262" s="183" t="s">
        <v>923</v>
      </c>
      <c r="S262" s="183" t="s">
        <v>924</v>
      </c>
      <c r="T262" s="242" t="s">
        <v>2</v>
      </c>
      <c r="U262" s="184" t="s">
        <v>922</v>
      </c>
      <c r="V262" s="183" t="s">
        <v>923</v>
      </c>
      <c r="W262" s="183" t="s">
        <v>924</v>
      </c>
      <c r="X262" s="242" t="s">
        <v>2</v>
      </c>
      <c r="Y262" s="184" t="s">
        <v>922</v>
      </c>
      <c r="Z262" s="183" t="s">
        <v>923</v>
      </c>
      <c r="AA262" s="183" t="s">
        <v>924</v>
      </c>
      <c r="AB262" s="252" t="s">
        <v>2</v>
      </c>
      <c r="AC262" s="355"/>
    </row>
    <row r="263" spans="1:30" x14ac:dyDescent="0.15">
      <c r="A263" s="225" t="s">
        <v>6</v>
      </c>
      <c r="B263" s="226">
        <f>B257</f>
        <v>7</v>
      </c>
      <c r="C263" s="226">
        <f t="shared" ref="C263:E263" si="257">C257</f>
        <v>5</v>
      </c>
      <c r="D263" s="226">
        <f t="shared" si="257"/>
        <v>5</v>
      </c>
      <c r="E263" s="260">
        <f t="shared" si="257"/>
        <v>17</v>
      </c>
      <c r="F263" s="226">
        <f>F257</f>
        <v>8</v>
      </c>
      <c r="G263" s="226">
        <f t="shared" ref="G263:I263" si="258">G257</f>
        <v>5</v>
      </c>
      <c r="H263" s="226">
        <f t="shared" si="258"/>
        <v>4</v>
      </c>
      <c r="I263" s="260">
        <f t="shared" si="258"/>
        <v>17</v>
      </c>
      <c r="J263" s="226">
        <f>J257</f>
        <v>8</v>
      </c>
      <c r="K263" s="226">
        <f t="shared" ref="K263:M263" si="259">K257</f>
        <v>4</v>
      </c>
      <c r="L263" s="226">
        <f t="shared" si="259"/>
        <v>5</v>
      </c>
      <c r="M263" s="260">
        <f t="shared" si="259"/>
        <v>17</v>
      </c>
      <c r="N263" s="273">
        <f>E263+I263+M263</f>
        <v>51</v>
      </c>
      <c r="P263" s="215" t="s">
        <v>6</v>
      </c>
      <c r="Q263" s="226">
        <f>Q257</f>
        <v>125</v>
      </c>
      <c r="R263" s="226">
        <f t="shared" ref="R263:T263" si="260">R257</f>
        <v>114</v>
      </c>
      <c r="S263" s="226">
        <f t="shared" si="260"/>
        <v>76</v>
      </c>
      <c r="T263" s="260">
        <f t="shared" si="260"/>
        <v>315</v>
      </c>
      <c r="U263" s="226">
        <f>U257</f>
        <v>93</v>
      </c>
      <c r="V263" s="226">
        <f t="shared" ref="V263:X263" si="261">V257</f>
        <v>121</v>
      </c>
      <c r="W263" s="226">
        <f t="shared" si="261"/>
        <v>84</v>
      </c>
      <c r="X263" s="260">
        <f t="shared" si="261"/>
        <v>298</v>
      </c>
      <c r="Y263" s="226">
        <f>Y257</f>
        <v>98</v>
      </c>
      <c r="Z263" s="226">
        <f t="shared" ref="Z263:AB263" si="262">Z257</f>
        <v>116</v>
      </c>
      <c r="AA263" s="226">
        <f t="shared" si="262"/>
        <v>76</v>
      </c>
      <c r="AB263" s="260">
        <f t="shared" si="262"/>
        <v>290</v>
      </c>
      <c r="AC263" s="258">
        <f>T263+X263+AB263</f>
        <v>903</v>
      </c>
    </row>
    <row r="264" spans="1:30" x14ac:dyDescent="0.15">
      <c r="A264" s="191" t="s">
        <v>1741</v>
      </c>
      <c r="B264" s="199"/>
      <c r="C264" s="197"/>
      <c r="D264" s="197">
        <v>1</v>
      </c>
      <c r="E264" s="243">
        <f t="shared" ref="E264:E273" si="263">SUM(B264:D264)</f>
        <v>1</v>
      </c>
      <c r="F264" s="199"/>
      <c r="G264" s="197"/>
      <c r="H264" s="197">
        <v>1</v>
      </c>
      <c r="I264" s="243">
        <f t="shared" ref="I264:I299" si="264">SUM(F264:H264)</f>
        <v>1</v>
      </c>
      <c r="J264" s="186"/>
      <c r="K264" s="187"/>
      <c r="L264" s="187">
        <v>1</v>
      </c>
      <c r="M264" s="243">
        <f t="shared" ref="M264:M299" si="265">SUM(J264:L264)</f>
        <v>1</v>
      </c>
      <c r="N264" s="253">
        <f t="shared" ref="N264:N300" si="266">E264+I264+M264</f>
        <v>3</v>
      </c>
      <c r="O264" s="232">
        <v>46128</v>
      </c>
      <c r="P264" s="191" t="s">
        <v>3</v>
      </c>
      <c r="Q264" s="199"/>
      <c r="R264" s="197"/>
      <c r="S264" s="197"/>
      <c r="T264" s="243">
        <f t="shared" ref="T264:T299" si="267">SUM(Q264:S264)</f>
        <v>0</v>
      </c>
      <c r="U264" s="199"/>
      <c r="V264" s="197"/>
      <c r="W264" s="197"/>
      <c r="X264" s="243">
        <f t="shared" ref="X264:X299" si="268">SUM(U264:W264)</f>
        <v>0</v>
      </c>
      <c r="Y264" s="186"/>
      <c r="Z264" s="187"/>
      <c r="AA264" s="187"/>
      <c r="AB264" s="243">
        <f t="shared" ref="AB264:AB299" si="269">SUM(Y264:AA264)</f>
        <v>0</v>
      </c>
      <c r="AC264" s="253">
        <f t="shared" ref="AC264:AC300" si="270">T264+X264+AB264</f>
        <v>0</v>
      </c>
    </row>
    <row r="265" spans="1:30" x14ac:dyDescent="0.15">
      <c r="A265" s="191" t="s">
        <v>139</v>
      </c>
      <c r="B265" s="186">
        <v>4</v>
      </c>
      <c r="C265" s="187">
        <v>3</v>
      </c>
      <c r="D265" s="187">
        <v>7</v>
      </c>
      <c r="E265" s="244">
        <f t="shared" si="263"/>
        <v>14</v>
      </c>
      <c r="F265" s="186">
        <v>4</v>
      </c>
      <c r="G265" s="187">
        <v>3</v>
      </c>
      <c r="H265" s="187">
        <v>7</v>
      </c>
      <c r="I265" s="244">
        <f t="shared" si="264"/>
        <v>14</v>
      </c>
      <c r="J265" s="196">
        <v>4</v>
      </c>
      <c r="K265" s="197">
        <v>3</v>
      </c>
      <c r="L265" s="197">
        <v>7</v>
      </c>
      <c r="M265" s="243">
        <f t="shared" si="265"/>
        <v>14</v>
      </c>
      <c r="N265" s="253">
        <f t="shared" si="266"/>
        <v>42</v>
      </c>
      <c r="O265" s="232">
        <v>46135</v>
      </c>
      <c r="P265" s="191" t="s">
        <v>3</v>
      </c>
      <c r="Q265" s="186"/>
      <c r="R265" s="187"/>
      <c r="S265" s="187"/>
      <c r="T265" s="244">
        <f t="shared" si="267"/>
        <v>0</v>
      </c>
      <c r="U265" s="186"/>
      <c r="V265" s="187"/>
      <c r="W265" s="187"/>
      <c r="X265" s="244">
        <f t="shared" si="268"/>
        <v>0</v>
      </c>
      <c r="Y265" s="196"/>
      <c r="Z265" s="197"/>
      <c r="AA265" s="197"/>
      <c r="AB265" s="243">
        <f t="shared" si="269"/>
        <v>0</v>
      </c>
      <c r="AC265" s="253">
        <f t="shared" si="270"/>
        <v>0</v>
      </c>
    </row>
    <row r="266" spans="1:30" x14ac:dyDescent="0.15">
      <c r="A266" s="191" t="s">
        <v>3</v>
      </c>
      <c r="B266" s="199"/>
      <c r="C266" s="197"/>
      <c r="D266" s="197"/>
      <c r="E266" s="243">
        <f t="shared" si="263"/>
        <v>0</v>
      </c>
      <c r="F266" s="199"/>
      <c r="G266" s="197"/>
      <c r="H266" s="197"/>
      <c r="I266" s="243">
        <f t="shared" si="264"/>
        <v>0</v>
      </c>
      <c r="J266" s="196"/>
      <c r="K266" s="197"/>
      <c r="L266" s="197"/>
      <c r="M266" s="243">
        <f t="shared" si="265"/>
        <v>0</v>
      </c>
      <c r="N266" s="253">
        <f t="shared" si="266"/>
        <v>0</v>
      </c>
      <c r="P266" s="191" t="s">
        <v>377</v>
      </c>
      <c r="Q266" s="199">
        <v>200</v>
      </c>
      <c r="R266" s="197">
        <v>150</v>
      </c>
      <c r="S266" s="197">
        <v>150</v>
      </c>
      <c r="T266" s="243">
        <f t="shared" si="267"/>
        <v>500</v>
      </c>
      <c r="U266" s="199">
        <v>200</v>
      </c>
      <c r="V266" s="197">
        <v>150</v>
      </c>
      <c r="W266" s="197">
        <v>150</v>
      </c>
      <c r="X266" s="243">
        <f t="shared" si="268"/>
        <v>500</v>
      </c>
      <c r="Y266" s="196">
        <v>200</v>
      </c>
      <c r="Z266" s="197">
        <v>150</v>
      </c>
      <c r="AA266" s="197">
        <v>150</v>
      </c>
      <c r="AB266" s="243">
        <f t="shared" si="269"/>
        <v>500</v>
      </c>
      <c r="AC266" s="253">
        <f t="shared" si="270"/>
        <v>1500</v>
      </c>
      <c r="AD266" s="194" t="s">
        <v>1708</v>
      </c>
    </row>
    <row r="267" spans="1:30" x14ac:dyDescent="0.15">
      <c r="A267" s="191" t="s">
        <v>3</v>
      </c>
      <c r="B267" s="199"/>
      <c r="C267" s="197"/>
      <c r="D267" s="197"/>
      <c r="E267" s="243">
        <f t="shared" si="263"/>
        <v>0</v>
      </c>
      <c r="F267" s="199"/>
      <c r="G267" s="197"/>
      <c r="H267" s="197"/>
      <c r="I267" s="243">
        <f t="shared" si="264"/>
        <v>0</v>
      </c>
      <c r="J267" s="196"/>
      <c r="K267" s="197"/>
      <c r="L267" s="197"/>
      <c r="M267" s="243">
        <f t="shared" si="265"/>
        <v>0</v>
      </c>
      <c r="N267" s="253">
        <f t="shared" si="266"/>
        <v>0</v>
      </c>
      <c r="P267" s="191" t="s">
        <v>3</v>
      </c>
      <c r="Q267" s="199"/>
      <c r="R267" s="197"/>
      <c r="S267" s="197"/>
      <c r="T267" s="243">
        <f t="shared" si="267"/>
        <v>0</v>
      </c>
      <c r="U267" s="199"/>
      <c r="V267" s="197"/>
      <c r="W267" s="197"/>
      <c r="X267" s="243">
        <f t="shared" si="268"/>
        <v>0</v>
      </c>
      <c r="Y267" s="196"/>
      <c r="Z267" s="197"/>
      <c r="AA267" s="197"/>
      <c r="AB267" s="243">
        <f t="shared" si="269"/>
        <v>0</v>
      </c>
      <c r="AC267" s="253">
        <f t="shared" si="270"/>
        <v>0</v>
      </c>
    </row>
    <row r="268" spans="1:30" x14ac:dyDescent="0.15">
      <c r="A268" s="191" t="s">
        <v>3</v>
      </c>
      <c r="B268" s="199"/>
      <c r="C268" s="197"/>
      <c r="D268" s="197"/>
      <c r="E268" s="243">
        <f t="shared" si="263"/>
        <v>0</v>
      </c>
      <c r="F268" s="199"/>
      <c r="G268" s="197"/>
      <c r="H268" s="197"/>
      <c r="I268" s="243">
        <f t="shared" si="264"/>
        <v>0</v>
      </c>
      <c r="J268" s="196"/>
      <c r="K268" s="197"/>
      <c r="L268" s="197"/>
      <c r="M268" s="243">
        <f t="shared" si="265"/>
        <v>0</v>
      </c>
      <c r="N268" s="253">
        <f t="shared" si="266"/>
        <v>0</v>
      </c>
      <c r="P268" s="191" t="s">
        <v>3</v>
      </c>
      <c r="Q268" s="199"/>
      <c r="R268" s="197"/>
      <c r="S268" s="197"/>
      <c r="T268" s="243">
        <f t="shared" si="267"/>
        <v>0</v>
      </c>
      <c r="U268" s="199"/>
      <c r="V268" s="197"/>
      <c r="W268" s="197"/>
      <c r="X268" s="243">
        <f t="shared" si="268"/>
        <v>0</v>
      </c>
      <c r="Y268" s="196"/>
      <c r="Z268" s="197"/>
      <c r="AA268" s="197"/>
      <c r="AB268" s="243">
        <f t="shared" si="269"/>
        <v>0</v>
      </c>
      <c r="AC268" s="253">
        <f t="shared" si="270"/>
        <v>0</v>
      </c>
    </row>
    <row r="269" spans="1:30" x14ac:dyDescent="0.15">
      <c r="A269" s="191" t="s">
        <v>3</v>
      </c>
      <c r="B269" s="199"/>
      <c r="C269" s="197"/>
      <c r="D269" s="197"/>
      <c r="E269" s="243">
        <f t="shared" si="263"/>
        <v>0</v>
      </c>
      <c r="F269" s="199"/>
      <c r="G269" s="197"/>
      <c r="H269" s="197"/>
      <c r="I269" s="243">
        <f t="shared" si="264"/>
        <v>0</v>
      </c>
      <c r="J269" s="186"/>
      <c r="K269" s="187"/>
      <c r="L269" s="187"/>
      <c r="M269" s="244">
        <f t="shared" si="265"/>
        <v>0</v>
      </c>
      <c r="N269" s="253">
        <f t="shared" si="266"/>
        <v>0</v>
      </c>
      <c r="P269" s="191" t="s">
        <v>3</v>
      </c>
      <c r="Q269" s="199"/>
      <c r="R269" s="197"/>
      <c r="S269" s="197"/>
      <c r="T269" s="243">
        <f t="shared" ref="T269:T270" si="271">SUM(Q269:S269)</f>
        <v>0</v>
      </c>
      <c r="U269" s="199"/>
      <c r="V269" s="197"/>
      <c r="W269" s="197"/>
      <c r="X269" s="243">
        <f t="shared" ref="X269:X270" si="272">SUM(U269:W269)</f>
        <v>0</v>
      </c>
      <c r="Y269" s="186"/>
      <c r="Z269" s="187"/>
      <c r="AA269" s="187"/>
      <c r="AB269" s="243">
        <f t="shared" ref="AB269:AB270" si="273">SUM(Y269:AA269)</f>
        <v>0</v>
      </c>
      <c r="AC269" s="253">
        <f t="shared" ref="AC269:AC270" si="274">T269+X269+AB269</f>
        <v>0</v>
      </c>
    </row>
    <row r="270" spans="1:30" x14ac:dyDescent="0.15">
      <c r="A270" s="191" t="s">
        <v>3</v>
      </c>
      <c r="B270" s="200"/>
      <c r="C270" s="187"/>
      <c r="D270" s="187"/>
      <c r="E270" s="243">
        <f t="shared" si="263"/>
        <v>0</v>
      </c>
      <c r="F270" s="200"/>
      <c r="G270" s="187"/>
      <c r="H270" s="187"/>
      <c r="I270" s="243">
        <f t="shared" si="264"/>
        <v>0</v>
      </c>
      <c r="J270" s="186"/>
      <c r="K270" s="187"/>
      <c r="L270" s="187"/>
      <c r="M270" s="243">
        <f t="shared" si="265"/>
        <v>0</v>
      </c>
      <c r="N270" s="253">
        <f t="shared" si="266"/>
        <v>0</v>
      </c>
      <c r="P270" s="191" t="s">
        <v>3</v>
      </c>
      <c r="Q270" s="199"/>
      <c r="R270" s="197"/>
      <c r="S270" s="197"/>
      <c r="T270" s="243">
        <f t="shared" si="271"/>
        <v>0</v>
      </c>
      <c r="U270" s="199"/>
      <c r="V270" s="197"/>
      <c r="W270" s="197"/>
      <c r="X270" s="243">
        <f t="shared" si="272"/>
        <v>0</v>
      </c>
      <c r="Y270" s="186"/>
      <c r="Z270" s="187"/>
      <c r="AA270" s="187"/>
      <c r="AB270" s="243">
        <f t="shared" si="273"/>
        <v>0</v>
      </c>
      <c r="AC270" s="253">
        <f t="shared" si="274"/>
        <v>0</v>
      </c>
    </row>
    <row r="271" spans="1:30" x14ac:dyDescent="0.15">
      <c r="A271" s="191" t="s">
        <v>3</v>
      </c>
      <c r="B271" s="199"/>
      <c r="C271" s="197"/>
      <c r="D271" s="197"/>
      <c r="E271" s="243">
        <f t="shared" si="263"/>
        <v>0</v>
      </c>
      <c r="F271" s="199"/>
      <c r="G271" s="197"/>
      <c r="H271" s="197"/>
      <c r="I271" s="243">
        <f t="shared" si="264"/>
        <v>0</v>
      </c>
      <c r="J271" s="186"/>
      <c r="K271" s="187"/>
      <c r="L271" s="187"/>
      <c r="M271" s="243">
        <f t="shared" si="265"/>
        <v>0</v>
      </c>
      <c r="N271" s="253">
        <f t="shared" si="266"/>
        <v>0</v>
      </c>
      <c r="P271" s="191" t="s">
        <v>3</v>
      </c>
      <c r="Q271" s="199"/>
      <c r="R271" s="197"/>
      <c r="S271" s="197"/>
      <c r="T271" s="243">
        <f t="shared" si="267"/>
        <v>0</v>
      </c>
      <c r="U271" s="199"/>
      <c r="V271" s="197"/>
      <c r="W271" s="197"/>
      <c r="X271" s="243">
        <f t="shared" si="268"/>
        <v>0</v>
      </c>
      <c r="Y271" s="186"/>
      <c r="Z271" s="187"/>
      <c r="AA271" s="187"/>
      <c r="AB271" s="243">
        <f t="shared" si="269"/>
        <v>0</v>
      </c>
      <c r="AC271" s="253">
        <f t="shared" si="270"/>
        <v>0</v>
      </c>
    </row>
    <row r="272" spans="1:30" x14ac:dyDescent="0.15">
      <c r="A272" s="191" t="s">
        <v>3</v>
      </c>
      <c r="B272" s="200"/>
      <c r="C272" s="187"/>
      <c r="D272" s="187"/>
      <c r="E272" s="243">
        <f t="shared" si="263"/>
        <v>0</v>
      </c>
      <c r="F272" s="200"/>
      <c r="G272" s="187"/>
      <c r="H272" s="187"/>
      <c r="I272" s="243">
        <f t="shared" si="264"/>
        <v>0</v>
      </c>
      <c r="J272" s="186"/>
      <c r="K272" s="187"/>
      <c r="L272" s="187"/>
      <c r="M272" s="243">
        <f t="shared" si="265"/>
        <v>0</v>
      </c>
      <c r="N272" s="253">
        <f t="shared" si="266"/>
        <v>0</v>
      </c>
      <c r="P272" s="191" t="s">
        <v>3</v>
      </c>
      <c r="Q272" s="200"/>
      <c r="R272" s="187"/>
      <c r="S272" s="187"/>
      <c r="T272" s="243">
        <f t="shared" si="267"/>
        <v>0</v>
      </c>
      <c r="U272" s="200"/>
      <c r="V272" s="187"/>
      <c r="W272" s="187"/>
      <c r="X272" s="243">
        <f t="shared" si="268"/>
        <v>0</v>
      </c>
      <c r="Y272" s="186"/>
      <c r="Z272" s="187"/>
      <c r="AA272" s="187"/>
      <c r="AB272" s="243">
        <f t="shared" si="269"/>
        <v>0</v>
      </c>
      <c r="AC272" s="253">
        <f t="shared" si="270"/>
        <v>0</v>
      </c>
    </row>
    <row r="273" spans="1:31" ht="14.25" thickBot="1" x14ac:dyDescent="0.2">
      <c r="A273" s="206" t="s">
        <v>3</v>
      </c>
      <c r="B273" s="202"/>
      <c r="C273" s="203"/>
      <c r="D273" s="203"/>
      <c r="E273" s="245">
        <f t="shared" si="263"/>
        <v>0</v>
      </c>
      <c r="F273" s="202"/>
      <c r="G273" s="203"/>
      <c r="H273" s="203"/>
      <c r="I273" s="245">
        <f t="shared" si="264"/>
        <v>0</v>
      </c>
      <c r="J273" s="205"/>
      <c r="K273" s="203"/>
      <c r="L273" s="204"/>
      <c r="M273" s="245">
        <f t="shared" si="265"/>
        <v>0</v>
      </c>
      <c r="N273" s="255">
        <f t="shared" si="266"/>
        <v>0</v>
      </c>
      <c r="P273" s="206" t="s">
        <v>3</v>
      </c>
      <c r="Q273" s="202"/>
      <c r="R273" s="203"/>
      <c r="S273" s="203"/>
      <c r="T273" s="245">
        <f t="shared" si="267"/>
        <v>0</v>
      </c>
      <c r="U273" s="202"/>
      <c r="V273" s="203"/>
      <c r="W273" s="203"/>
      <c r="X273" s="245">
        <f t="shared" si="268"/>
        <v>0</v>
      </c>
      <c r="Y273" s="205"/>
      <c r="Z273" s="203"/>
      <c r="AA273" s="204"/>
      <c r="AB273" s="245">
        <f t="shared" si="269"/>
        <v>0</v>
      </c>
      <c r="AC273" s="255">
        <f t="shared" si="270"/>
        <v>0</v>
      </c>
    </row>
    <row r="274" spans="1:31" ht="14.25" thickBot="1" x14ac:dyDescent="0.2">
      <c r="A274" s="207" t="s">
        <v>4</v>
      </c>
      <c r="B274" s="208">
        <f>SUM(B263:B273)</f>
        <v>11</v>
      </c>
      <c r="C274" s="208">
        <f>SUM(C263:C273)</f>
        <v>8</v>
      </c>
      <c r="D274" s="208">
        <f>SUM(D263:D273)</f>
        <v>13</v>
      </c>
      <c r="E274" s="246">
        <f t="shared" ref="E274:E299" si="275">SUM(B274:D274)</f>
        <v>32</v>
      </c>
      <c r="F274" s="208">
        <f>SUM(F263:F273)</f>
        <v>12</v>
      </c>
      <c r="G274" s="208">
        <f>SUM(G263:G273)</f>
        <v>8</v>
      </c>
      <c r="H274" s="208">
        <f>SUM(H263:H273)</f>
        <v>12</v>
      </c>
      <c r="I274" s="246">
        <f t="shared" si="264"/>
        <v>32</v>
      </c>
      <c r="J274" s="208">
        <f>SUM(J263:J273)</f>
        <v>12</v>
      </c>
      <c r="K274" s="208">
        <f>SUM(K263:K273)</f>
        <v>7</v>
      </c>
      <c r="L274" s="208">
        <f>SUM(L263:L273)</f>
        <v>13</v>
      </c>
      <c r="M274" s="266">
        <f t="shared" si="265"/>
        <v>32</v>
      </c>
      <c r="N274" s="271">
        <f t="shared" si="266"/>
        <v>96</v>
      </c>
      <c r="P274" s="210" t="s">
        <v>4</v>
      </c>
      <c r="Q274" s="208">
        <f>SUM(Q263:Q273)</f>
        <v>325</v>
      </c>
      <c r="R274" s="208">
        <f>SUM(R263:R273)</f>
        <v>264</v>
      </c>
      <c r="S274" s="208">
        <f>SUM(S263:S273)</f>
        <v>226</v>
      </c>
      <c r="T274" s="246">
        <f t="shared" si="267"/>
        <v>815</v>
      </c>
      <c r="U274" s="208">
        <f>SUM(U263:U273)</f>
        <v>293</v>
      </c>
      <c r="V274" s="208">
        <f>SUM(V263:V273)</f>
        <v>271</v>
      </c>
      <c r="W274" s="208">
        <f>SUM(W263:W273)</f>
        <v>234</v>
      </c>
      <c r="X274" s="246">
        <f t="shared" si="268"/>
        <v>798</v>
      </c>
      <c r="Y274" s="208">
        <f>SUM(Y263:Y273)</f>
        <v>298</v>
      </c>
      <c r="Z274" s="208">
        <f>SUM(Z263:Z273)</f>
        <v>266</v>
      </c>
      <c r="AA274" s="208">
        <f>SUM(AA263:AA273)</f>
        <v>226</v>
      </c>
      <c r="AB274" s="246">
        <f t="shared" si="269"/>
        <v>790</v>
      </c>
      <c r="AC274" s="256">
        <f t="shared" si="270"/>
        <v>2403</v>
      </c>
    </row>
    <row r="275" spans="1:31" x14ac:dyDescent="0.15">
      <c r="A275" s="197" t="s">
        <v>126</v>
      </c>
      <c r="B275" s="189"/>
      <c r="C275" s="188">
        <v>1</v>
      </c>
      <c r="D275" s="188"/>
      <c r="E275" s="244">
        <f t="shared" si="275"/>
        <v>1</v>
      </c>
      <c r="F275" s="189"/>
      <c r="G275" s="188">
        <v>1</v>
      </c>
      <c r="H275" s="188"/>
      <c r="I275" s="244">
        <f t="shared" si="264"/>
        <v>1</v>
      </c>
      <c r="J275" s="189"/>
      <c r="K275" s="188">
        <v>1</v>
      </c>
      <c r="L275" s="188"/>
      <c r="M275" s="244">
        <f t="shared" si="265"/>
        <v>1</v>
      </c>
      <c r="N275" s="253">
        <f t="shared" si="266"/>
        <v>3</v>
      </c>
      <c r="O275" s="190">
        <v>46128</v>
      </c>
      <c r="P275" s="197" t="s">
        <v>1673</v>
      </c>
      <c r="Q275" s="189">
        <v>5</v>
      </c>
      <c r="R275" s="188">
        <v>3</v>
      </c>
      <c r="S275" s="188"/>
      <c r="T275" s="244">
        <f t="shared" si="267"/>
        <v>8</v>
      </c>
      <c r="U275" s="189">
        <v>5</v>
      </c>
      <c r="V275" s="188">
        <v>3</v>
      </c>
      <c r="W275" s="188"/>
      <c r="X275" s="244">
        <f t="shared" si="268"/>
        <v>8</v>
      </c>
      <c r="Y275" s="189"/>
      <c r="Z275" s="188">
        <v>3</v>
      </c>
      <c r="AA275" s="188"/>
      <c r="AB275" s="244">
        <f t="shared" si="269"/>
        <v>3</v>
      </c>
      <c r="AC275" s="253">
        <f t="shared" si="270"/>
        <v>19</v>
      </c>
      <c r="AD275" s="194">
        <v>46114</v>
      </c>
    </row>
    <row r="276" spans="1:31" x14ac:dyDescent="0.15">
      <c r="A276" s="197" t="s">
        <v>130</v>
      </c>
      <c r="B276" s="189"/>
      <c r="C276" s="188"/>
      <c r="D276" s="188">
        <v>1</v>
      </c>
      <c r="E276" s="244">
        <f t="shared" si="275"/>
        <v>1</v>
      </c>
      <c r="F276" s="189"/>
      <c r="G276" s="188"/>
      <c r="H276" s="188">
        <v>1</v>
      </c>
      <c r="I276" s="244">
        <f t="shared" si="264"/>
        <v>1</v>
      </c>
      <c r="J276" s="189"/>
      <c r="K276" s="188"/>
      <c r="L276" s="188">
        <v>1</v>
      </c>
      <c r="M276" s="244">
        <f t="shared" si="265"/>
        <v>1</v>
      </c>
      <c r="N276" s="253">
        <f t="shared" si="266"/>
        <v>3</v>
      </c>
      <c r="O276" s="190">
        <v>46132</v>
      </c>
      <c r="P276" s="193" t="s">
        <v>1687</v>
      </c>
      <c r="Q276" s="189"/>
      <c r="R276" s="188">
        <v>15</v>
      </c>
      <c r="S276" s="188">
        <v>10</v>
      </c>
      <c r="T276" s="244">
        <f t="shared" si="267"/>
        <v>25</v>
      </c>
      <c r="U276" s="189"/>
      <c r="V276" s="188">
        <v>15</v>
      </c>
      <c r="W276" s="188">
        <v>10</v>
      </c>
      <c r="X276" s="244">
        <f t="shared" si="268"/>
        <v>25</v>
      </c>
      <c r="Y276" s="189"/>
      <c r="Z276" s="188">
        <v>15</v>
      </c>
      <c r="AA276" s="188">
        <v>10</v>
      </c>
      <c r="AB276" s="244">
        <f t="shared" si="269"/>
        <v>25</v>
      </c>
      <c r="AC276" s="253">
        <f t="shared" si="270"/>
        <v>75</v>
      </c>
      <c r="AD276" s="194">
        <v>46114</v>
      </c>
    </row>
    <row r="277" spans="1:31" x14ac:dyDescent="0.15">
      <c r="A277" s="197" t="s">
        <v>135</v>
      </c>
      <c r="B277" s="189"/>
      <c r="C277" s="188"/>
      <c r="D277" s="188">
        <v>1</v>
      </c>
      <c r="E277" s="244">
        <f t="shared" si="275"/>
        <v>1</v>
      </c>
      <c r="F277" s="189"/>
      <c r="G277" s="188"/>
      <c r="H277" s="188">
        <v>1</v>
      </c>
      <c r="I277" s="244">
        <f t="shared" si="264"/>
        <v>1</v>
      </c>
      <c r="J277" s="189"/>
      <c r="K277" s="188"/>
      <c r="L277" s="188">
        <v>1</v>
      </c>
      <c r="M277" s="244">
        <f t="shared" si="265"/>
        <v>1</v>
      </c>
      <c r="N277" s="253">
        <f t="shared" si="266"/>
        <v>3</v>
      </c>
      <c r="O277" s="190">
        <v>46134</v>
      </c>
      <c r="P277" s="197" t="s">
        <v>1683</v>
      </c>
      <c r="Q277" s="189"/>
      <c r="R277" s="188">
        <v>5</v>
      </c>
      <c r="S277" s="188"/>
      <c r="T277" s="244">
        <f t="shared" si="267"/>
        <v>5</v>
      </c>
      <c r="U277" s="189"/>
      <c r="V277" s="188">
        <v>5</v>
      </c>
      <c r="W277" s="188"/>
      <c r="X277" s="244">
        <f t="shared" si="268"/>
        <v>5</v>
      </c>
      <c r="Y277" s="189"/>
      <c r="Z277" s="188">
        <v>5</v>
      </c>
      <c r="AA277" s="188"/>
      <c r="AB277" s="244">
        <f t="shared" si="269"/>
        <v>5</v>
      </c>
      <c r="AC277" s="253">
        <f t="shared" si="270"/>
        <v>15</v>
      </c>
      <c r="AD277" s="194">
        <v>46115</v>
      </c>
    </row>
    <row r="278" spans="1:31" x14ac:dyDescent="0.15">
      <c r="A278" s="197" t="s">
        <v>136</v>
      </c>
      <c r="B278" s="189">
        <v>1</v>
      </c>
      <c r="C278" s="188">
        <v>1</v>
      </c>
      <c r="D278" s="188"/>
      <c r="E278" s="244">
        <f t="shared" si="275"/>
        <v>2</v>
      </c>
      <c r="F278" s="189">
        <v>1</v>
      </c>
      <c r="G278" s="188">
        <v>1</v>
      </c>
      <c r="H278" s="188"/>
      <c r="I278" s="244">
        <f t="shared" si="264"/>
        <v>2</v>
      </c>
      <c r="J278" s="189">
        <v>1</v>
      </c>
      <c r="K278" s="188">
        <v>1</v>
      </c>
      <c r="L278" s="188"/>
      <c r="M278" s="244">
        <f t="shared" si="265"/>
        <v>2</v>
      </c>
      <c r="N278" s="253">
        <f t="shared" si="266"/>
        <v>6</v>
      </c>
      <c r="O278" s="190">
        <v>46137</v>
      </c>
      <c r="P278" s="193" t="s">
        <v>1690</v>
      </c>
      <c r="Q278" s="189">
        <v>10</v>
      </c>
      <c r="R278" s="188"/>
      <c r="S278" s="188"/>
      <c r="T278" s="244">
        <f t="shared" si="267"/>
        <v>10</v>
      </c>
      <c r="U278" s="189">
        <v>10</v>
      </c>
      <c r="V278" s="188"/>
      <c r="W278" s="188"/>
      <c r="X278" s="244">
        <f t="shared" si="268"/>
        <v>10</v>
      </c>
      <c r="Y278" s="189">
        <v>10</v>
      </c>
      <c r="Z278" s="188"/>
      <c r="AA278" s="188"/>
      <c r="AB278" s="244">
        <f t="shared" si="269"/>
        <v>10</v>
      </c>
      <c r="AC278" s="253">
        <f t="shared" si="270"/>
        <v>30</v>
      </c>
      <c r="AD278" s="194">
        <v>46115</v>
      </c>
      <c r="AE278" s="195"/>
    </row>
    <row r="279" spans="1:31" x14ac:dyDescent="0.15">
      <c r="A279" s="197" t="s">
        <v>138</v>
      </c>
      <c r="B279" s="189">
        <v>1</v>
      </c>
      <c r="C279" s="188">
        <v>1</v>
      </c>
      <c r="D279" s="188">
        <v>1</v>
      </c>
      <c r="E279" s="244">
        <f t="shared" si="275"/>
        <v>3</v>
      </c>
      <c r="F279" s="189">
        <v>1</v>
      </c>
      <c r="G279" s="188">
        <v>1</v>
      </c>
      <c r="H279" s="188">
        <v>1</v>
      </c>
      <c r="I279" s="244">
        <f t="shared" si="264"/>
        <v>3</v>
      </c>
      <c r="J279" s="189">
        <v>1</v>
      </c>
      <c r="K279" s="188">
        <v>1</v>
      </c>
      <c r="L279" s="188">
        <v>1</v>
      </c>
      <c r="M279" s="244">
        <f t="shared" si="265"/>
        <v>3</v>
      </c>
      <c r="N279" s="253">
        <f t="shared" si="266"/>
        <v>9</v>
      </c>
      <c r="O279" s="190">
        <v>46140</v>
      </c>
      <c r="P279" s="197" t="s">
        <v>1688</v>
      </c>
      <c r="Q279" s="189">
        <v>5</v>
      </c>
      <c r="R279" s="188">
        <v>5</v>
      </c>
      <c r="S279" s="188"/>
      <c r="T279" s="244">
        <f t="shared" si="267"/>
        <v>10</v>
      </c>
      <c r="U279" s="189">
        <v>5</v>
      </c>
      <c r="V279" s="188">
        <v>5</v>
      </c>
      <c r="W279" s="188"/>
      <c r="X279" s="244">
        <f t="shared" si="268"/>
        <v>10</v>
      </c>
      <c r="Y279" s="189">
        <v>10</v>
      </c>
      <c r="Z279" s="188">
        <v>5</v>
      </c>
      <c r="AA279" s="188"/>
      <c r="AB279" s="244">
        <f t="shared" si="269"/>
        <v>15</v>
      </c>
      <c r="AC279" s="253">
        <f t="shared" si="270"/>
        <v>35</v>
      </c>
      <c r="AD279" s="194">
        <v>46116</v>
      </c>
      <c r="AE279" s="195"/>
    </row>
    <row r="280" spans="1:31" x14ac:dyDescent="0.15">
      <c r="A280" s="197" t="s">
        <v>1753</v>
      </c>
      <c r="B280" s="189">
        <v>1</v>
      </c>
      <c r="C280" s="188"/>
      <c r="D280" s="188"/>
      <c r="E280" s="244">
        <f t="shared" si="275"/>
        <v>1</v>
      </c>
      <c r="F280" s="189">
        <v>1</v>
      </c>
      <c r="G280" s="188"/>
      <c r="H280" s="188"/>
      <c r="I280" s="244">
        <f t="shared" si="264"/>
        <v>1</v>
      </c>
      <c r="J280" s="189">
        <v>1</v>
      </c>
      <c r="K280" s="188"/>
      <c r="L280" s="188"/>
      <c r="M280" s="244">
        <f t="shared" si="265"/>
        <v>1</v>
      </c>
      <c r="N280" s="253">
        <f t="shared" si="266"/>
        <v>3</v>
      </c>
      <c r="O280" s="232">
        <v>46139</v>
      </c>
      <c r="P280" s="197" t="s">
        <v>1693</v>
      </c>
      <c r="Q280" s="189"/>
      <c r="R280" s="188"/>
      <c r="S280" s="188"/>
      <c r="T280" s="244">
        <f t="shared" si="267"/>
        <v>0</v>
      </c>
      <c r="U280" s="189"/>
      <c r="V280" s="188"/>
      <c r="W280" s="188"/>
      <c r="X280" s="244">
        <f t="shared" si="268"/>
        <v>0</v>
      </c>
      <c r="Y280" s="189">
        <v>5</v>
      </c>
      <c r="Z280" s="188"/>
      <c r="AA280" s="188"/>
      <c r="AB280" s="244">
        <f t="shared" si="269"/>
        <v>5</v>
      </c>
      <c r="AC280" s="253">
        <f t="shared" si="270"/>
        <v>5</v>
      </c>
      <c r="AD280" s="194">
        <v>46116</v>
      </c>
    </row>
    <row r="281" spans="1:31" x14ac:dyDescent="0.15">
      <c r="A281" s="197"/>
      <c r="B281" s="189"/>
      <c r="C281" s="188"/>
      <c r="D281" s="188"/>
      <c r="E281" s="244">
        <f t="shared" si="275"/>
        <v>0</v>
      </c>
      <c r="F281" s="189"/>
      <c r="G281" s="188"/>
      <c r="H281" s="188"/>
      <c r="I281" s="244">
        <f t="shared" si="264"/>
        <v>0</v>
      </c>
      <c r="J281" s="189"/>
      <c r="K281" s="188"/>
      <c r="L281" s="188"/>
      <c r="M281" s="244">
        <f t="shared" si="265"/>
        <v>0</v>
      </c>
      <c r="N281" s="253">
        <f t="shared" si="266"/>
        <v>0</v>
      </c>
      <c r="P281" s="197" t="s">
        <v>1701</v>
      </c>
      <c r="Q281" s="189">
        <v>30</v>
      </c>
      <c r="R281" s="188">
        <v>20</v>
      </c>
      <c r="S281" s="188"/>
      <c r="T281" s="244">
        <f t="shared" si="267"/>
        <v>50</v>
      </c>
      <c r="U281" s="189">
        <v>20</v>
      </c>
      <c r="V281" s="188"/>
      <c r="W281" s="188"/>
      <c r="X281" s="244">
        <f t="shared" si="268"/>
        <v>20</v>
      </c>
      <c r="Y281" s="189"/>
      <c r="Z281" s="188"/>
      <c r="AA281" s="188"/>
      <c r="AB281" s="244">
        <f t="shared" si="269"/>
        <v>0</v>
      </c>
      <c r="AC281" s="253">
        <f t="shared" si="270"/>
        <v>70</v>
      </c>
      <c r="AD281" s="194">
        <v>46135</v>
      </c>
    </row>
    <row r="282" spans="1:31" x14ac:dyDescent="0.15">
      <c r="A282" s="197"/>
      <c r="B282" s="189"/>
      <c r="C282" s="188"/>
      <c r="D282" s="188"/>
      <c r="E282" s="244">
        <f t="shared" si="275"/>
        <v>0</v>
      </c>
      <c r="F282" s="189"/>
      <c r="G282" s="188"/>
      <c r="H282" s="188"/>
      <c r="I282" s="244">
        <f t="shared" si="264"/>
        <v>0</v>
      </c>
      <c r="J282" s="189"/>
      <c r="K282" s="188"/>
      <c r="L282" s="188"/>
      <c r="M282" s="244">
        <f t="shared" si="265"/>
        <v>0</v>
      </c>
      <c r="N282" s="253">
        <f t="shared" si="266"/>
        <v>0</v>
      </c>
      <c r="P282" s="197"/>
      <c r="Q282" s="189"/>
      <c r="R282" s="188"/>
      <c r="S282" s="188"/>
      <c r="T282" s="244">
        <f t="shared" si="267"/>
        <v>0</v>
      </c>
      <c r="U282" s="189"/>
      <c r="V282" s="188"/>
      <c r="W282" s="188"/>
      <c r="X282" s="244">
        <f t="shared" si="268"/>
        <v>0</v>
      </c>
      <c r="Y282" s="189"/>
      <c r="Z282" s="188"/>
      <c r="AA282" s="188"/>
      <c r="AB282" s="244">
        <f t="shared" si="269"/>
        <v>0</v>
      </c>
      <c r="AC282" s="253">
        <f t="shared" si="270"/>
        <v>0</v>
      </c>
    </row>
    <row r="283" spans="1:31" x14ac:dyDescent="0.15">
      <c r="A283" s="197"/>
      <c r="B283" s="189"/>
      <c r="C283" s="188"/>
      <c r="D283" s="188"/>
      <c r="E283" s="244">
        <f t="shared" si="275"/>
        <v>0</v>
      </c>
      <c r="F283" s="189"/>
      <c r="G283" s="188"/>
      <c r="H283" s="188"/>
      <c r="I283" s="244">
        <f t="shared" si="264"/>
        <v>0</v>
      </c>
      <c r="J283" s="189"/>
      <c r="K283" s="188"/>
      <c r="L283" s="188"/>
      <c r="M283" s="244">
        <f t="shared" si="265"/>
        <v>0</v>
      </c>
      <c r="N283" s="253">
        <f t="shared" si="266"/>
        <v>0</v>
      </c>
      <c r="P283" s="197"/>
      <c r="Q283" s="189"/>
      <c r="R283" s="188"/>
      <c r="S283" s="188"/>
      <c r="T283" s="244">
        <f t="shared" si="267"/>
        <v>0</v>
      </c>
      <c r="U283" s="189"/>
      <c r="V283" s="188"/>
      <c r="W283" s="188"/>
      <c r="X283" s="244">
        <f t="shared" si="268"/>
        <v>0</v>
      </c>
      <c r="Y283" s="189"/>
      <c r="Z283" s="188"/>
      <c r="AA283" s="188"/>
      <c r="AB283" s="244">
        <f t="shared" si="269"/>
        <v>0</v>
      </c>
      <c r="AC283" s="253">
        <f t="shared" si="270"/>
        <v>0</v>
      </c>
    </row>
    <row r="284" spans="1:31" x14ac:dyDescent="0.15">
      <c r="A284" s="197"/>
      <c r="B284" s="189"/>
      <c r="C284" s="188"/>
      <c r="D284" s="188"/>
      <c r="E284" s="244">
        <f t="shared" si="275"/>
        <v>0</v>
      </c>
      <c r="F284" s="189"/>
      <c r="G284" s="188"/>
      <c r="H284" s="188"/>
      <c r="I284" s="244">
        <f t="shared" si="264"/>
        <v>0</v>
      </c>
      <c r="J284" s="189"/>
      <c r="K284" s="188"/>
      <c r="L284" s="188"/>
      <c r="M284" s="244">
        <f t="shared" si="265"/>
        <v>0</v>
      </c>
      <c r="N284" s="253">
        <f t="shared" si="266"/>
        <v>0</v>
      </c>
      <c r="P284" s="197"/>
      <c r="Q284" s="189"/>
      <c r="R284" s="188"/>
      <c r="S284" s="188"/>
      <c r="T284" s="244">
        <f t="shared" si="267"/>
        <v>0</v>
      </c>
      <c r="U284" s="189"/>
      <c r="V284" s="188"/>
      <c r="W284" s="188"/>
      <c r="X284" s="244">
        <f t="shared" si="268"/>
        <v>0</v>
      </c>
      <c r="Y284" s="189"/>
      <c r="Z284" s="188"/>
      <c r="AA284" s="188"/>
      <c r="AB284" s="244">
        <f t="shared" si="269"/>
        <v>0</v>
      </c>
      <c r="AC284" s="253">
        <f t="shared" si="270"/>
        <v>0</v>
      </c>
    </row>
    <row r="285" spans="1:31" x14ac:dyDescent="0.15">
      <c r="A285" s="197"/>
      <c r="B285" s="189"/>
      <c r="C285" s="188"/>
      <c r="D285" s="188"/>
      <c r="E285" s="244">
        <f t="shared" si="275"/>
        <v>0</v>
      </c>
      <c r="F285" s="189"/>
      <c r="G285" s="188"/>
      <c r="H285" s="188"/>
      <c r="I285" s="244">
        <f t="shared" si="264"/>
        <v>0</v>
      </c>
      <c r="J285" s="189"/>
      <c r="K285" s="188"/>
      <c r="L285" s="188"/>
      <c r="M285" s="244">
        <f t="shared" si="265"/>
        <v>0</v>
      </c>
      <c r="N285" s="253">
        <f t="shared" si="266"/>
        <v>0</v>
      </c>
      <c r="P285" s="197"/>
      <c r="Q285" s="189"/>
      <c r="R285" s="188"/>
      <c r="S285" s="188"/>
      <c r="T285" s="244">
        <f t="shared" si="267"/>
        <v>0</v>
      </c>
      <c r="U285" s="189"/>
      <c r="V285" s="188"/>
      <c r="W285" s="188"/>
      <c r="X285" s="244">
        <f t="shared" si="268"/>
        <v>0</v>
      </c>
      <c r="Y285" s="189"/>
      <c r="Z285" s="188"/>
      <c r="AA285" s="188"/>
      <c r="AB285" s="244">
        <f t="shared" si="269"/>
        <v>0</v>
      </c>
      <c r="AC285" s="253">
        <f t="shared" si="270"/>
        <v>0</v>
      </c>
    </row>
    <row r="286" spans="1:31" x14ac:dyDescent="0.15">
      <c r="A286" s="197"/>
      <c r="B286" s="189"/>
      <c r="C286" s="188"/>
      <c r="D286" s="188"/>
      <c r="E286" s="244">
        <f t="shared" si="275"/>
        <v>0</v>
      </c>
      <c r="F286" s="189"/>
      <c r="G286" s="188"/>
      <c r="H286" s="188"/>
      <c r="I286" s="244">
        <f t="shared" si="264"/>
        <v>0</v>
      </c>
      <c r="J286" s="189"/>
      <c r="K286" s="188"/>
      <c r="L286" s="188"/>
      <c r="M286" s="244">
        <f t="shared" si="265"/>
        <v>0</v>
      </c>
      <c r="N286" s="253">
        <f t="shared" si="266"/>
        <v>0</v>
      </c>
      <c r="P286" s="197"/>
      <c r="Q286" s="189"/>
      <c r="R286" s="188"/>
      <c r="S286" s="188"/>
      <c r="T286" s="244">
        <f t="shared" si="267"/>
        <v>0</v>
      </c>
      <c r="U286" s="189"/>
      <c r="V286" s="188"/>
      <c r="W286" s="188"/>
      <c r="X286" s="244">
        <f t="shared" si="268"/>
        <v>0</v>
      </c>
      <c r="Y286" s="189"/>
      <c r="Z286" s="188"/>
      <c r="AA286" s="188"/>
      <c r="AB286" s="244">
        <f t="shared" si="269"/>
        <v>0</v>
      </c>
      <c r="AC286" s="253">
        <f t="shared" si="270"/>
        <v>0</v>
      </c>
    </row>
    <row r="287" spans="1:31" x14ac:dyDescent="0.15">
      <c r="A287" s="197"/>
      <c r="B287" s="189"/>
      <c r="C287" s="188"/>
      <c r="D287" s="188"/>
      <c r="E287" s="244">
        <f t="shared" si="275"/>
        <v>0</v>
      </c>
      <c r="F287" s="189"/>
      <c r="G287" s="188"/>
      <c r="H287" s="188"/>
      <c r="I287" s="244">
        <f t="shared" si="264"/>
        <v>0</v>
      </c>
      <c r="J287" s="189"/>
      <c r="K287" s="188"/>
      <c r="L287" s="188"/>
      <c r="M287" s="244">
        <f t="shared" si="265"/>
        <v>0</v>
      </c>
      <c r="N287" s="253">
        <f t="shared" si="266"/>
        <v>0</v>
      </c>
      <c r="P287" s="197"/>
      <c r="Q287" s="189"/>
      <c r="R287" s="188"/>
      <c r="S287" s="188"/>
      <c r="T287" s="244">
        <f t="shared" si="267"/>
        <v>0</v>
      </c>
      <c r="U287" s="189"/>
      <c r="V287" s="188"/>
      <c r="W287" s="188"/>
      <c r="X287" s="244">
        <f t="shared" si="268"/>
        <v>0</v>
      </c>
      <c r="Y287" s="189"/>
      <c r="Z287" s="188"/>
      <c r="AA287" s="188"/>
      <c r="AB287" s="244">
        <f t="shared" si="269"/>
        <v>0</v>
      </c>
      <c r="AC287" s="253">
        <f t="shared" si="270"/>
        <v>0</v>
      </c>
    </row>
    <row r="288" spans="1:31" x14ac:dyDescent="0.15">
      <c r="A288" s="197"/>
      <c r="B288" s="189"/>
      <c r="C288" s="188"/>
      <c r="D288" s="188"/>
      <c r="E288" s="244">
        <f t="shared" si="275"/>
        <v>0</v>
      </c>
      <c r="F288" s="189"/>
      <c r="G288" s="188"/>
      <c r="H288" s="188"/>
      <c r="I288" s="244">
        <f t="shared" si="264"/>
        <v>0</v>
      </c>
      <c r="J288" s="189"/>
      <c r="K288" s="188"/>
      <c r="L288" s="188"/>
      <c r="M288" s="244">
        <f t="shared" si="265"/>
        <v>0</v>
      </c>
      <c r="N288" s="253">
        <f t="shared" si="266"/>
        <v>0</v>
      </c>
      <c r="P288" s="197"/>
      <c r="Q288" s="189"/>
      <c r="R288" s="188"/>
      <c r="S288" s="188"/>
      <c r="T288" s="244">
        <f t="shared" ref="T288:T289" si="276">SUM(Q288:S288)</f>
        <v>0</v>
      </c>
      <c r="U288" s="189"/>
      <c r="V288" s="188"/>
      <c r="W288" s="188"/>
      <c r="X288" s="244">
        <f t="shared" ref="X288:X289" si="277">SUM(U288:W288)</f>
        <v>0</v>
      </c>
      <c r="Y288" s="189"/>
      <c r="Z288" s="188"/>
      <c r="AA288" s="188"/>
      <c r="AB288" s="244">
        <f t="shared" ref="AB288:AB289" si="278">SUM(Y288:AA288)</f>
        <v>0</v>
      </c>
      <c r="AC288" s="253">
        <f t="shared" ref="AC288:AC289" si="279">T288+X288+AB288</f>
        <v>0</v>
      </c>
    </row>
    <row r="289" spans="1:30" x14ac:dyDescent="0.15">
      <c r="A289" s="197"/>
      <c r="B289" s="189"/>
      <c r="C289" s="188"/>
      <c r="D289" s="188"/>
      <c r="E289" s="244">
        <f t="shared" si="275"/>
        <v>0</v>
      </c>
      <c r="F289" s="189"/>
      <c r="G289" s="188"/>
      <c r="H289" s="188"/>
      <c r="I289" s="244">
        <f t="shared" si="264"/>
        <v>0</v>
      </c>
      <c r="J289" s="189"/>
      <c r="K289" s="188"/>
      <c r="L289" s="188"/>
      <c r="M289" s="244">
        <f t="shared" si="265"/>
        <v>0</v>
      </c>
      <c r="N289" s="253">
        <f t="shared" si="266"/>
        <v>0</v>
      </c>
      <c r="P289" s="197"/>
      <c r="Q289" s="189"/>
      <c r="R289" s="188"/>
      <c r="S289" s="188"/>
      <c r="T289" s="244">
        <f t="shared" si="276"/>
        <v>0</v>
      </c>
      <c r="U289" s="189"/>
      <c r="V289" s="188"/>
      <c r="W289" s="188"/>
      <c r="X289" s="244">
        <f t="shared" si="277"/>
        <v>0</v>
      </c>
      <c r="Y289" s="189"/>
      <c r="Z289" s="188"/>
      <c r="AA289" s="188"/>
      <c r="AB289" s="244">
        <f t="shared" si="278"/>
        <v>0</v>
      </c>
      <c r="AC289" s="253">
        <f t="shared" si="279"/>
        <v>0</v>
      </c>
    </row>
    <row r="290" spans="1:30" x14ac:dyDescent="0.15">
      <c r="A290" s="197"/>
      <c r="B290" s="189"/>
      <c r="C290" s="188"/>
      <c r="D290" s="188"/>
      <c r="E290" s="244">
        <f t="shared" si="275"/>
        <v>0</v>
      </c>
      <c r="F290" s="189"/>
      <c r="G290" s="188"/>
      <c r="H290" s="188"/>
      <c r="I290" s="244">
        <f t="shared" si="264"/>
        <v>0</v>
      </c>
      <c r="J290" s="189"/>
      <c r="K290" s="188"/>
      <c r="L290" s="188"/>
      <c r="M290" s="244">
        <f t="shared" si="265"/>
        <v>0</v>
      </c>
      <c r="N290" s="253">
        <f t="shared" si="266"/>
        <v>0</v>
      </c>
      <c r="P290" s="197"/>
      <c r="Q290" s="189"/>
      <c r="R290" s="188"/>
      <c r="S290" s="188"/>
      <c r="T290" s="244">
        <f t="shared" ref="T290:T291" si="280">SUM(Q290:S290)</f>
        <v>0</v>
      </c>
      <c r="U290" s="189"/>
      <c r="V290" s="188"/>
      <c r="W290" s="188"/>
      <c r="X290" s="244">
        <f t="shared" ref="X290:X291" si="281">SUM(U290:W290)</f>
        <v>0</v>
      </c>
      <c r="Y290" s="189"/>
      <c r="Z290" s="188"/>
      <c r="AA290" s="188"/>
      <c r="AB290" s="244">
        <f t="shared" ref="AB290:AB291" si="282">SUM(Y290:AA290)</f>
        <v>0</v>
      </c>
      <c r="AC290" s="253">
        <f t="shared" ref="AC290:AC292" si="283">T290+X290+AB290</f>
        <v>0</v>
      </c>
    </row>
    <row r="291" spans="1:30" x14ac:dyDescent="0.15">
      <c r="A291" s="197"/>
      <c r="B291" s="189"/>
      <c r="C291" s="188"/>
      <c r="D291" s="188"/>
      <c r="E291" s="244">
        <f t="shared" si="275"/>
        <v>0</v>
      </c>
      <c r="F291" s="189"/>
      <c r="G291" s="188"/>
      <c r="H291" s="188"/>
      <c r="I291" s="244">
        <f t="shared" si="264"/>
        <v>0</v>
      </c>
      <c r="J291" s="189"/>
      <c r="K291" s="188"/>
      <c r="L291" s="188"/>
      <c r="M291" s="244">
        <f t="shared" si="265"/>
        <v>0</v>
      </c>
      <c r="N291" s="253">
        <f t="shared" si="266"/>
        <v>0</v>
      </c>
      <c r="P291" s="197"/>
      <c r="Q291" s="189"/>
      <c r="R291" s="188"/>
      <c r="S291" s="188"/>
      <c r="T291" s="244">
        <f t="shared" si="280"/>
        <v>0</v>
      </c>
      <c r="U291" s="189"/>
      <c r="V291" s="188"/>
      <c r="W291" s="188"/>
      <c r="X291" s="244">
        <f t="shared" si="281"/>
        <v>0</v>
      </c>
      <c r="Y291" s="189"/>
      <c r="Z291" s="188"/>
      <c r="AA291" s="188"/>
      <c r="AB291" s="244">
        <f t="shared" si="282"/>
        <v>0</v>
      </c>
      <c r="AC291" s="253">
        <f t="shared" si="283"/>
        <v>0</v>
      </c>
    </row>
    <row r="292" spans="1:30" x14ac:dyDescent="0.15">
      <c r="A292" s="197"/>
      <c r="B292" s="189"/>
      <c r="C292" s="188"/>
      <c r="D292" s="188"/>
      <c r="E292" s="244">
        <f t="shared" si="275"/>
        <v>0</v>
      </c>
      <c r="F292" s="189"/>
      <c r="G292" s="188"/>
      <c r="H292" s="188"/>
      <c r="I292" s="244">
        <f t="shared" si="264"/>
        <v>0</v>
      </c>
      <c r="J292" s="189"/>
      <c r="K292" s="188"/>
      <c r="L292" s="188"/>
      <c r="M292" s="244">
        <f t="shared" si="265"/>
        <v>0</v>
      </c>
      <c r="N292" s="253">
        <f t="shared" si="266"/>
        <v>0</v>
      </c>
      <c r="P292" s="197"/>
      <c r="Q292" s="189"/>
      <c r="R292" s="188"/>
      <c r="S292" s="188"/>
      <c r="T292" s="244">
        <f t="shared" ref="T292:T293" si="284">SUM(Q292:S292)</f>
        <v>0</v>
      </c>
      <c r="U292" s="189"/>
      <c r="V292" s="188"/>
      <c r="W292" s="188"/>
      <c r="X292" s="244">
        <f t="shared" ref="X292:X293" si="285">SUM(U292:W292)</f>
        <v>0</v>
      </c>
      <c r="Y292" s="189"/>
      <c r="Z292" s="188"/>
      <c r="AA292" s="188"/>
      <c r="AB292" s="244">
        <f t="shared" ref="AB292:AB293" si="286">SUM(Y292:AA292)</f>
        <v>0</v>
      </c>
      <c r="AC292" s="253">
        <f t="shared" si="283"/>
        <v>0</v>
      </c>
    </row>
    <row r="293" spans="1:30" x14ac:dyDescent="0.15">
      <c r="A293" s="197"/>
      <c r="B293" s="189"/>
      <c r="C293" s="188"/>
      <c r="D293" s="188"/>
      <c r="E293" s="244">
        <f t="shared" si="275"/>
        <v>0</v>
      </c>
      <c r="F293" s="189"/>
      <c r="G293" s="188"/>
      <c r="H293" s="188"/>
      <c r="I293" s="244">
        <f t="shared" si="264"/>
        <v>0</v>
      </c>
      <c r="J293" s="189"/>
      <c r="K293" s="188"/>
      <c r="L293" s="188"/>
      <c r="M293" s="244">
        <f t="shared" si="265"/>
        <v>0</v>
      </c>
      <c r="N293" s="253">
        <f t="shared" si="266"/>
        <v>0</v>
      </c>
      <c r="P293" s="197"/>
      <c r="Q293" s="189"/>
      <c r="R293" s="188"/>
      <c r="S293" s="188"/>
      <c r="T293" s="244">
        <f t="shared" si="284"/>
        <v>0</v>
      </c>
      <c r="U293" s="189"/>
      <c r="V293" s="188"/>
      <c r="W293" s="188"/>
      <c r="X293" s="244">
        <f t="shared" si="285"/>
        <v>0</v>
      </c>
      <c r="Y293" s="189"/>
      <c r="Z293" s="188"/>
      <c r="AA293" s="188"/>
      <c r="AB293" s="244">
        <f t="shared" si="286"/>
        <v>0</v>
      </c>
      <c r="AC293" s="253">
        <f t="shared" ref="AC293" si="287">T293+X293+AB293</f>
        <v>0</v>
      </c>
    </row>
    <row r="294" spans="1:30" x14ac:dyDescent="0.15">
      <c r="A294" s="197"/>
      <c r="B294" s="189"/>
      <c r="C294" s="188"/>
      <c r="D294" s="188"/>
      <c r="E294" s="244">
        <f t="shared" si="275"/>
        <v>0</v>
      </c>
      <c r="F294" s="189"/>
      <c r="G294" s="188"/>
      <c r="H294" s="188"/>
      <c r="I294" s="244">
        <f t="shared" si="264"/>
        <v>0</v>
      </c>
      <c r="J294" s="189"/>
      <c r="K294" s="188"/>
      <c r="L294" s="188"/>
      <c r="M294" s="244">
        <f t="shared" si="265"/>
        <v>0</v>
      </c>
      <c r="N294" s="253">
        <f t="shared" si="266"/>
        <v>0</v>
      </c>
      <c r="P294" s="197" t="s">
        <v>1534</v>
      </c>
      <c r="Q294" s="189"/>
      <c r="R294" s="188"/>
      <c r="S294" s="188"/>
      <c r="T294" s="244">
        <f t="shared" ref="T294:T298" si="288">SUM(Q294:S294)</f>
        <v>0</v>
      </c>
      <c r="U294" s="189"/>
      <c r="V294" s="188"/>
      <c r="W294" s="188"/>
      <c r="X294" s="244">
        <f t="shared" ref="X294:X298" si="289">SUM(U294:W294)</f>
        <v>0</v>
      </c>
      <c r="Y294" s="189"/>
      <c r="Z294" s="188"/>
      <c r="AA294" s="188"/>
      <c r="AB294" s="244">
        <f t="shared" ref="AB294:AB298" si="290">SUM(Y294:AA294)</f>
        <v>0</v>
      </c>
      <c r="AC294" s="253">
        <f t="shared" ref="AC294:AC298" si="291">T294+X294+AB294</f>
        <v>0</v>
      </c>
      <c r="AD294" s="198" t="s">
        <v>87</v>
      </c>
    </row>
    <row r="295" spans="1:30" x14ac:dyDescent="0.15">
      <c r="A295" s="197"/>
      <c r="B295" s="189"/>
      <c r="C295" s="188"/>
      <c r="D295" s="188"/>
      <c r="E295" s="244">
        <f t="shared" si="275"/>
        <v>0</v>
      </c>
      <c r="F295" s="189"/>
      <c r="G295" s="188"/>
      <c r="H295" s="188"/>
      <c r="I295" s="244">
        <f t="shared" si="264"/>
        <v>0</v>
      </c>
      <c r="J295" s="189"/>
      <c r="K295" s="188"/>
      <c r="L295" s="188"/>
      <c r="M295" s="244">
        <f t="shared" si="265"/>
        <v>0</v>
      </c>
      <c r="N295" s="253">
        <f t="shared" si="266"/>
        <v>0</v>
      </c>
      <c r="P295" s="274" t="s">
        <v>1351</v>
      </c>
      <c r="Q295" s="239"/>
      <c r="R295" s="240"/>
      <c r="S295" s="240"/>
      <c r="T295" s="249">
        <f t="shared" si="288"/>
        <v>0</v>
      </c>
      <c r="U295" s="239"/>
      <c r="V295" s="240"/>
      <c r="W295" s="240"/>
      <c r="X295" s="249">
        <f t="shared" si="289"/>
        <v>0</v>
      </c>
      <c r="Y295" s="239"/>
      <c r="Z295" s="240"/>
      <c r="AA295" s="240"/>
      <c r="AB295" s="249">
        <f t="shared" si="290"/>
        <v>0</v>
      </c>
      <c r="AC295" s="278">
        <f t="shared" si="291"/>
        <v>0</v>
      </c>
      <c r="AD295" s="198"/>
    </row>
    <row r="296" spans="1:30" x14ac:dyDescent="0.15">
      <c r="A296" s="197"/>
      <c r="B296" s="189"/>
      <c r="C296" s="188"/>
      <c r="D296" s="188"/>
      <c r="E296" s="244">
        <f t="shared" si="275"/>
        <v>0</v>
      </c>
      <c r="F296" s="189"/>
      <c r="G296" s="188"/>
      <c r="H296" s="188"/>
      <c r="I296" s="244">
        <f t="shared" si="264"/>
        <v>0</v>
      </c>
      <c r="J296" s="189"/>
      <c r="K296" s="188"/>
      <c r="L296" s="188"/>
      <c r="M296" s="244">
        <f t="shared" si="265"/>
        <v>0</v>
      </c>
      <c r="N296" s="253">
        <f t="shared" si="266"/>
        <v>0</v>
      </c>
      <c r="P296" s="193" t="s">
        <v>1734</v>
      </c>
      <c r="Q296" s="189"/>
      <c r="R296" s="188"/>
      <c r="S296" s="188"/>
      <c r="T296" s="244">
        <f t="shared" si="288"/>
        <v>0</v>
      </c>
      <c r="U296" s="189"/>
      <c r="V296" s="188"/>
      <c r="W296" s="188"/>
      <c r="X296" s="244">
        <f t="shared" si="289"/>
        <v>0</v>
      </c>
      <c r="Y296" s="189"/>
      <c r="Z296" s="188"/>
      <c r="AA296" s="188"/>
      <c r="AB296" s="244">
        <f t="shared" si="290"/>
        <v>0</v>
      </c>
      <c r="AC296" s="253">
        <f t="shared" si="291"/>
        <v>0</v>
      </c>
      <c r="AD296" s="198" t="s">
        <v>1107</v>
      </c>
    </row>
    <row r="297" spans="1:30" x14ac:dyDescent="0.15">
      <c r="A297" s="197"/>
      <c r="B297" s="189"/>
      <c r="C297" s="188"/>
      <c r="D297" s="188"/>
      <c r="E297" s="244">
        <f t="shared" si="275"/>
        <v>0</v>
      </c>
      <c r="F297" s="189"/>
      <c r="G297" s="188"/>
      <c r="H297" s="188"/>
      <c r="I297" s="244">
        <f t="shared" si="264"/>
        <v>0</v>
      </c>
      <c r="J297" s="189"/>
      <c r="K297" s="188"/>
      <c r="L297" s="188"/>
      <c r="M297" s="244">
        <f t="shared" si="265"/>
        <v>0</v>
      </c>
      <c r="N297" s="253">
        <f t="shared" si="266"/>
        <v>0</v>
      </c>
      <c r="P297" s="191" t="s">
        <v>1373</v>
      </c>
      <c r="Q297" s="239"/>
      <c r="R297" s="240"/>
      <c r="S297" s="240"/>
      <c r="T297" s="249">
        <f t="shared" si="288"/>
        <v>0</v>
      </c>
      <c r="U297" s="239"/>
      <c r="V297" s="240"/>
      <c r="W297" s="240"/>
      <c r="X297" s="249">
        <f t="shared" si="289"/>
        <v>0</v>
      </c>
      <c r="Y297" s="239"/>
      <c r="Z297" s="240"/>
      <c r="AA297" s="240"/>
      <c r="AB297" s="249">
        <f t="shared" si="290"/>
        <v>0</v>
      </c>
      <c r="AC297" s="303">
        <f t="shared" si="291"/>
        <v>0</v>
      </c>
      <c r="AD297" s="198"/>
    </row>
    <row r="298" spans="1:30" ht="14.25" thickBot="1" x14ac:dyDescent="0.2">
      <c r="A298" s="197"/>
      <c r="B298" s="189"/>
      <c r="C298" s="188"/>
      <c r="D298" s="188"/>
      <c r="E298" s="244">
        <f t="shared" si="275"/>
        <v>0</v>
      </c>
      <c r="F298" s="189"/>
      <c r="G298" s="188"/>
      <c r="H298" s="188"/>
      <c r="I298" s="244">
        <f t="shared" si="264"/>
        <v>0</v>
      </c>
      <c r="J298" s="189"/>
      <c r="K298" s="188"/>
      <c r="L298" s="188"/>
      <c r="M298" s="244">
        <f t="shared" si="265"/>
        <v>0</v>
      </c>
      <c r="N298" s="253">
        <f t="shared" si="266"/>
        <v>0</v>
      </c>
      <c r="P298" s="197" t="s">
        <v>1374</v>
      </c>
      <c r="Q298" s="189"/>
      <c r="R298" s="188"/>
      <c r="S298" s="188"/>
      <c r="T298" s="244">
        <f t="shared" si="288"/>
        <v>0</v>
      </c>
      <c r="U298" s="189"/>
      <c r="V298" s="188"/>
      <c r="W298" s="188"/>
      <c r="X298" s="244">
        <f t="shared" si="289"/>
        <v>0</v>
      </c>
      <c r="Y298" s="189"/>
      <c r="Z298" s="188"/>
      <c r="AA298" s="188"/>
      <c r="AB298" s="244">
        <f t="shared" si="290"/>
        <v>0</v>
      </c>
      <c r="AC298" s="253">
        <f t="shared" si="291"/>
        <v>0</v>
      </c>
      <c r="AD298" s="198" t="s">
        <v>1475</v>
      </c>
    </row>
    <row r="299" spans="1:30" ht="14.25" thickBot="1" x14ac:dyDescent="0.2">
      <c r="A299" s="221" t="s">
        <v>5</v>
      </c>
      <c r="B299" s="222">
        <f>SUM(B275:B298)</f>
        <v>3</v>
      </c>
      <c r="C299" s="222">
        <f>SUM(C275:C298)</f>
        <v>3</v>
      </c>
      <c r="D299" s="222">
        <f>SUM(D275:D298)</f>
        <v>3</v>
      </c>
      <c r="E299" s="251">
        <f t="shared" si="275"/>
        <v>9</v>
      </c>
      <c r="F299" s="222">
        <f>SUM(F275:F298)</f>
        <v>3</v>
      </c>
      <c r="G299" s="222">
        <f>SUM(G275:G298)</f>
        <v>3</v>
      </c>
      <c r="H299" s="222">
        <f>SUM(H275:H298)</f>
        <v>3</v>
      </c>
      <c r="I299" s="251">
        <f t="shared" si="264"/>
        <v>9</v>
      </c>
      <c r="J299" s="222">
        <f>SUM(J275:J298)</f>
        <v>3</v>
      </c>
      <c r="K299" s="222">
        <f>SUM(K275:K298)</f>
        <v>3</v>
      </c>
      <c r="L299" s="222">
        <f>SUM(L275:L298)</f>
        <v>3</v>
      </c>
      <c r="M299" s="267">
        <f t="shared" si="265"/>
        <v>9</v>
      </c>
      <c r="N299" s="272">
        <f t="shared" si="266"/>
        <v>27</v>
      </c>
      <c r="P299" s="184" t="s">
        <v>5</v>
      </c>
      <c r="Q299" s="222">
        <f>SUM(Q275:Q298)</f>
        <v>50</v>
      </c>
      <c r="R299" s="222">
        <f>SUM(R275:R298)</f>
        <v>48</v>
      </c>
      <c r="S299" s="222">
        <f>SUM(S275:S298)</f>
        <v>10</v>
      </c>
      <c r="T299" s="251">
        <f t="shared" si="267"/>
        <v>108</v>
      </c>
      <c r="U299" s="222">
        <f>SUM(U275:U298)</f>
        <v>40</v>
      </c>
      <c r="V299" s="222">
        <f>SUM(V275:V298)</f>
        <v>28</v>
      </c>
      <c r="W299" s="222">
        <f>SUM(W275:W298)</f>
        <v>10</v>
      </c>
      <c r="X299" s="251">
        <f t="shared" si="268"/>
        <v>78</v>
      </c>
      <c r="Y299" s="222">
        <f>SUM(Y275:Y298)</f>
        <v>25</v>
      </c>
      <c r="Z299" s="222">
        <f>SUM(Z275:Z298)</f>
        <v>28</v>
      </c>
      <c r="AA299" s="222">
        <f>SUM(AA275:AA298)</f>
        <v>10</v>
      </c>
      <c r="AB299" s="251">
        <f t="shared" si="269"/>
        <v>63</v>
      </c>
      <c r="AC299" s="256">
        <f t="shared" si="270"/>
        <v>249</v>
      </c>
    </row>
    <row r="300" spans="1:30" ht="14.25" thickBot="1" x14ac:dyDescent="0.2">
      <c r="A300" s="223" t="s">
        <v>6</v>
      </c>
      <c r="B300" s="209">
        <f>B274-B299</f>
        <v>8</v>
      </c>
      <c r="C300" s="209">
        <f t="shared" ref="C300:E300" si="292">C274-C299</f>
        <v>5</v>
      </c>
      <c r="D300" s="209">
        <f t="shared" si="292"/>
        <v>10</v>
      </c>
      <c r="E300" s="246">
        <f t="shared" si="292"/>
        <v>23</v>
      </c>
      <c r="F300" s="209">
        <f>F274-F299</f>
        <v>9</v>
      </c>
      <c r="G300" s="209">
        <f t="shared" ref="G300:I300" si="293">G274-G299</f>
        <v>5</v>
      </c>
      <c r="H300" s="209">
        <f t="shared" si="293"/>
        <v>9</v>
      </c>
      <c r="I300" s="246">
        <f t="shared" si="293"/>
        <v>23</v>
      </c>
      <c r="J300" s="209">
        <f>J274-J299</f>
        <v>9</v>
      </c>
      <c r="K300" s="209">
        <f t="shared" ref="K300:M300" si="294">K274-K299</f>
        <v>4</v>
      </c>
      <c r="L300" s="209">
        <f t="shared" si="294"/>
        <v>10</v>
      </c>
      <c r="M300" s="266">
        <f t="shared" si="294"/>
        <v>23</v>
      </c>
      <c r="N300" s="271">
        <f t="shared" si="266"/>
        <v>69</v>
      </c>
      <c r="P300" s="224" t="s">
        <v>6</v>
      </c>
      <c r="Q300" s="209">
        <f>Q274-Q299</f>
        <v>275</v>
      </c>
      <c r="R300" s="209">
        <f t="shared" ref="R300:T300" si="295">R274-R299</f>
        <v>216</v>
      </c>
      <c r="S300" s="209">
        <f t="shared" si="295"/>
        <v>216</v>
      </c>
      <c r="T300" s="246">
        <f t="shared" si="295"/>
        <v>707</v>
      </c>
      <c r="U300" s="209">
        <f>U274-U299</f>
        <v>253</v>
      </c>
      <c r="V300" s="209">
        <f t="shared" ref="V300:X300" si="296">V274-V299</f>
        <v>243</v>
      </c>
      <c r="W300" s="209">
        <f t="shared" si="296"/>
        <v>224</v>
      </c>
      <c r="X300" s="246">
        <f t="shared" si="296"/>
        <v>720</v>
      </c>
      <c r="Y300" s="209">
        <f>Y274-Y299</f>
        <v>273</v>
      </c>
      <c r="Z300" s="209">
        <f t="shared" ref="Z300:AB300" si="297">Z274-Z299</f>
        <v>238</v>
      </c>
      <c r="AA300" s="209">
        <f t="shared" si="297"/>
        <v>216</v>
      </c>
      <c r="AB300" s="246">
        <f t="shared" si="297"/>
        <v>727</v>
      </c>
      <c r="AC300" s="256">
        <f t="shared" si="270"/>
        <v>2154</v>
      </c>
      <c r="AD300" s="218" t="s">
        <v>1562</v>
      </c>
    </row>
    <row r="301" spans="1:30" x14ac:dyDescent="0.15">
      <c r="A301" s="172"/>
      <c r="N301" s="172"/>
      <c r="AC301" s="172"/>
    </row>
    <row r="302" spans="1:30" x14ac:dyDescent="0.15">
      <c r="A302" s="172"/>
      <c r="N302" s="172"/>
      <c r="AC302" s="172"/>
    </row>
    <row r="303" spans="1:30" ht="19.5" thickBot="1" x14ac:dyDescent="0.25">
      <c r="A303" s="177" t="s">
        <v>1183</v>
      </c>
      <c r="B303" s="178"/>
      <c r="C303" s="178"/>
      <c r="D303" s="178"/>
      <c r="E303" s="178"/>
      <c r="F303" s="179"/>
      <c r="G303" s="179"/>
      <c r="H303" s="179"/>
      <c r="I303" s="179"/>
      <c r="J303" s="179"/>
      <c r="K303" s="179"/>
      <c r="L303" s="179"/>
      <c r="M303" s="179"/>
      <c r="N303" s="180"/>
      <c r="P303" s="177" t="s">
        <v>1184</v>
      </c>
      <c r="Q303" s="178"/>
      <c r="R303" s="178"/>
      <c r="S303" s="178"/>
      <c r="T303" s="178"/>
      <c r="Y303" s="179"/>
      <c r="Z303" s="181"/>
      <c r="AA303" s="179"/>
      <c r="AB303" s="179"/>
    </row>
    <row r="304" spans="1:30" ht="14.25" thickBot="1" x14ac:dyDescent="0.2">
      <c r="A304" s="182" t="s">
        <v>0</v>
      </c>
      <c r="B304" s="350" t="s">
        <v>11</v>
      </c>
      <c r="C304" s="350"/>
      <c r="D304" s="350"/>
      <c r="E304" s="351"/>
      <c r="F304" s="349" t="s">
        <v>9</v>
      </c>
      <c r="G304" s="350"/>
      <c r="H304" s="350"/>
      <c r="I304" s="351"/>
      <c r="J304" s="349" t="s">
        <v>12</v>
      </c>
      <c r="K304" s="350"/>
      <c r="L304" s="350"/>
      <c r="M304" s="350"/>
      <c r="N304" s="352" t="s">
        <v>13</v>
      </c>
      <c r="P304" s="183" t="s">
        <v>0</v>
      </c>
      <c r="Q304" s="350" t="s">
        <v>11</v>
      </c>
      <c r="R304" s="350"/>
      <c r="S304" s="350"/>
      <c r="T304" s="351"/>
      <c r="U304" s="349" t="s">
        <v>9</v>
      </c>
      <c r="V304" s="350"/>
      <c r="W304" s="350"/>
      <c r="X304" s="351"/>
      <c r="Y304" s="349" t="s">
        <v>12</v>
      </c>
      <c r="Z304" s="350"/>
      <c r="AA304" s="350"/>
      <c r="AB304" s="350"/>
      <c r="AC304" s="354" t="s">
        <v>13</v>
      </c>
    </row>
    <row r="305" spans="1:30" ht="14.25" thickBot="1" x14ac:dyDescent="0.2">
      <c r="A305" s="182" t="s">
        <v>1</v>
      </c>
      <c r="B305" s="184" t="s">
        <v>922</v>
      </c>
      <c r="C305" s="183" t="s">
        <v>923</v>
      </c>
      <c r="D305" s="183" t="s">
        <v>924</v>
      </c>
      <c r="E305" s="242" t="s">
        <v>2</v>
      </c>
      <c r="F305" s="184" t="s">
        <v>922</v>
      </c>
      <c r="G305" s="183" t="s">
        <v>923</v>
      </c>
      <c r="H305" s="183" t="s">
        <v>924</v>
      </c>
      <c r="I305" s="242" t="s">
        <v>2</v>
      </c>
      <c r="J305" s="184" t="s">
        <v>922</v>
      </c>
      <c r="K305" s="183" t="s">
        <v>923</v>
      </c>
      <c r="L305" s="183" t="s">
        <v>924</v>
      </c>
      <c r="M305" s="252" t="s">
        <v>2</v>
      </c>
      <c r="N305" s="353"/>
      <c r="P305" s="183" t="s">
        <v>1</v>
      </c>
      <c r="Q305" s="184" t="s">
        <v>922</v>
      </c>
      <c r="R305" s="183" t="s">
        <v>923</v>
      </c>
      <c r="S305" s="183" t="s">
        <v>924</v>
      </c>
      <c r="T305" s="242" t="s">
        <v>2</v>
      </c>
      <c r="U305" s="184" t="s">
        <v>922</v>
      </c>
      <c r="V305" s="183" t="s">
        <v>923</v>
      </c>
      <c r="W305" s="183" t="s">
        <v>924</v>
      </c>
      <c r="X305" s="242" t="s">
        <v>2</v>
      </c>
      <c r="Y305" s="184" t="s">
        <v>922</v>
      </c>
      <c r="Z305" s="183" t="s">
        <v>923</v>
      </c>
      <c r="AA305" s="183" t="s">
        <v>924</v>
      </c>
      <c r="AB305" s="252" t="s">
        <v>2</v>
      </c>
      <c r="AC305" s="355"/>
    </row>
    <row r="306" spans="1:30" x14ac:dyDescent="0.15">
      <c r="A306" s="225" t="s">
        <v>6</v>
      </c>
      <c r="B306" s="226">
        <f>B300</f>
        <v>8</v>
      </c>
      <c r="C306" s="226">
        <f t="shared" ref="C306:E306" si="298">C300</f>
        <v>5</v>
      </c>
      <c r="D306" s="226">
        <f t="shared" si="298"/>
        <v>10</v>
      </c>
      <c r="E306" s="260">
        <f t="shared" si="298"/>
        <v>23</v>
      </c>
      <c r="F306" s="226">
        <f>F300</f>
        <v>9</v>
      </c>
      <c r="G306" s="226">
        <f t="shared" ref="G306:I306" si="299">G300</f>
        <v>5</v>
      </c>
      <c r="H306" s="226">
        <f t="shared" si="299"/>
        <v>9</v>
      </c>
      <c r="I306" s="260">
        <f t="shared" si="299"/>
        <v>23</v>
      </c>
      <c r="J306" s="226">
        <f>J300</f>
        <v>9</v>
      </c>
      <c r="K306" s="226">
        <f t="shared" ref="K306:M306" si="300">K300</f>
        <v>4</v>
      </c>
      <c r="L306" s="226">
        <f t="shared" si="300"/>
        <v>10</v>
      </c>
      <c r="M306" s="260">
        <f t="shared" si="300"/>
        <v>23</v>
      </c>
      <c r="N306" s="273">
        <f>E306+I306+M306</f>
        <v>69</v>
      </c>
      <c r="P306" s="215" t="s">
        <v>6</v>
      </c>
      <c r="Q306" s="226">
        <f>Q300</f>
        <v>275</v>
      </c>
      <c r="R306" s="226">
        <f t="shared" ref="R306:T306" si="301">R300</f>
        <v>216</v>
      </c>
      <c r="S306" s="226">
        <f t="shared" si="301"/>
        <v>216</v>
      </c>
      <c r="T306" s="260">
        <f t="shared" si="301"/>
        <v>707</v>
      </c>
      <c r="U306" s="226">
        <f>U300</f>
        <v>253</v>
      </c>
      <c r="V306" s="226">
        <f t="shared" ref="V306:X306" si="302">V300</f>
        <v>243</v>
      </c>
      <c r="W306" s="226">
        <f t="shared" si="302"/>
        <v>224</v>
      </c>
      <c r="X306" s="260">
        <f t="shared" si="302"/>
        <v>720</v>
      </c>
      <c r="Y306" s="226">
        <f>Y300</f>
        <v>273</v>
      </c>
      <c r="Z306" s="226">
        <f t="shared" ref="Z306:AB306" si="303">Z300</f>
        <v>238</v>
      </c>
      <c r="AA306" s="226">
        <f t="shared" si="303"/>
        <v>216</v>
      </c>
      <c r="AB306" s="260">
        <f t="shared" si="303"/>
        <v>727</v>
      </c>
      <c r="AC306" s="258">
        <f>T306+X306+AB306</f>
        <v>2154</v>
      </c>
    </row>
    <row r="307" spans="1:30" x14ac:dyDescent="0.15">
      <c r="A307" s="288" t="s">
        <v>3</v>
      </c>
      <c r="B307" s="289">
        <v>3</v>
      </c>
      <c r="C307" s="290">
        <v>3</v>
      </c>
      <c r="D307" s="290"/>
      <c r="E307" s="291">
        <f t="shared" ref="E307:E316" si="304">SUM(B307:D307)</f>
        <v>6</v>
      </c>
      <c r="F307" s="289">
        <v>3</v>
      </c>
      <c r="G307" s="290">
        <v>3</v>
      </c>
      <c r="H307" s="290"/>
      <c r="I307" s="291">
        <f t="shared" ref="I307:I342" si="305">SUM(F307:H307)</f>
        <v>6</v>
      </c>
      <c r="J307" s="292">
        <v>3</v>
      </c>
      <c r="K307" s="293">
        <v>3</v>
      </c>
      <c r="L307" s="293"/>
      <c r="M307" s="291">
        <f t="shared" ref="M307:M342" si="306">SUM(J307:L307)</f>
        <v>6</v>
      </c>
      <c r="N307" s="257">
        <f t="shared" ref="N307:N343" si="307">E307+I307+M307</f>
        <v>18</v>
      </c>
      <c r="O307" s="294">
        <v>46155</v>
      </c>
      <c r="P307" s="191" t="s">
        <v>3</v>
      </c>
      <c r="Q307" s="199"/>
      <c r="R307" s="197"/>
      <c r="S307" s="197"/>
      <c r="T307" s="243">
        <f t="shared" ref="T307:T342" si="308">SUM(Q307:S307)</f>
        <v>0</v>
      </c>
      <c r="U307" s="199"/>
      <c r="V307" s="197"/>
      <c r="W307" s="197"/>
      <c r="X307" s="243">
        <f t="shared" ref="X307:X342" si="309">SUM(U307:W307)</f>
        <v>0</v>
      </c>
      <c r="Y307" s="186"/>
      <c r="Z307" s="187"/>
      <c r="AA307" s="187"/>
      <c r="AB307" s="243">
        <f t="shared" ref="AB307:AB342" si="310">SUM(Y307:AA307)</f>
        <v>0</v>
      </c>
      <c r="AC307" s="253">
        <f t="shared" ref="AC307:AC343" si="311">T307+X307+AB307</f>
        <v>0</v>
      </c>
    </row>
    <row r="308" spans="1:30" x14ac:dyDescent="0.15">
      <c r="A308" s="288" t="s">
        <v>3</v>
      </c>
      <c r="B308" s="292">
        <v>3</v>
      </c>
      <c r="C308" s="293"/>
      <c r="D308" s="293"/>
      <c r="E308" s="247">
        <f t="shared" si="304"/>
        <v>3</v>
      </c>
      <c r="F308" s="292">
        <v>3</v>
      </c>
      <c r="G308" s="293"/>
      <c r="H308" s="293"/>
      <c r="I308" s="247">
        <f t="shared" si="305"/>
        <v>3</v>
      </c>
      <c r="J308" s="299">
        <v>3</v>
      </c>
      <c r="K308" s="290"/>
      <c r="L308" s="290"/>
      <c r="M308" s="291">
        <f t="shared" si="306"/>
        <v>3</v>
      </c>
      <c r="N308" s="257">
        <f t="shared" si="307"/>
        <v>9</v>
      </c>
      <c r="O308" s="294">
        <v>46156</v>
      </c>
      <c r="P308" s="191" t="s">
        <v>3</v>
      </c>
      <c r="Q308" s="186"/>
      <c r="R308" s="187"/>
      <c r="S308" s="187"/>
      <c r="T308" s="244">
        <f t="shared" si="308"/>
        <v>0</v>
      </c>
      <c r="U308" s="186"/>
      <c r="V308" s="187"/>
      <c r="W308" s="187"/>
      <c r="X308" s="244">
        <f t="shared" si="309"/>
        <v>0</v>
      </c>
      <c r="Y308" s="196"/>
      <c r="Z308" s="197"/>
      <c r="AA308" s="197"/>
      <c r="AB308" s="243">
        <f t="shared" si="310"/>
        <v>0</v>
      </c>
      <c r="AC308" s="253">
        <f t="shared" si="311"/>
        <v>0</v>
      </c>
    </row>
    <row r="309" spans="1:30" x14ac:dyDescent="0.15">
      <c r="A309" s="191" t="s">
        <v>319</v>
      </c>
      <c r="B309" s="199"/>
      <c r="C309" s="197"/>
      <c r="D309" s="197">
        <v>1</v>
      </c>
      <c r="E309" s="243">
        <f t="shared" si="304"/>
        <v>1</v>
      </c>
      <c r="F309" s="199"/>
      <c r="G309" s="197"/>
      <c r="H309" s="197">
        <v>1</v>
      </c>
      <c r="I309" s="243">
        <f t="shared" si="305"/>
        <v>1</v>
      </c>
      <c r="J309" s="196"/>
      <c r="K309" s="197"/>
      <c r="L309" s="197">
        <v>1</v>
      </c>
      <c r="M309" s="243">
        <f t="shared" si="306"/>
        <v>1</v>
      </c>
      <c r="N309" s="253">
        <f t="shared" si="307"/>
        <v>3</v>
      </c>
      <c r="O309" s="232">
        <v>46157</v>
      </c>
      <c r="P309" s="191" t="s">
        <v>3</v>
      </c>
      <c r="Q309" s="186"/>
      <c r="R309" s="187"/>
      <c r="S309" s="187"/>
      <c r="T309" s="244">
        <f t="shared" ref="T309" si="312">SUM(Q309:S309)</f>
        <v>0</v>
      </c>
      <c r="U309" s="186"/>
      <c r="V309" s="187"/>
      <c r="W309" s="187"/>
      <c r="X309" s="244">
        <f t="shared" ref="X309" si="313">SUM(U309:W309)</f>
        <v>0</v>
      </c>
      <c r="Y309" s="196"/>
      <c r="Z309" s="197"/>
      <c r="AA309" s="197"/>
      <c r="AB309" s="243">
        <f t="shared" ref="AB309" si="314">SUM(Y309:AA309)</f>
        <v>0</v>
      </c>
      <c r="AC309" s="253">
        <f t="shared" ref="AC309" si="315">T309+X309+AB309</f>
        <v>0</v>
      </c>
    </row>
    <row r="310" spans="1:30" x14ac:dyDescent="0.15">
      <c r="A310" s="191" t="s">
        <v>3</v>
      </c>
      <c r="B310" s="199">
        <v>5</v>
      </c>
      <c r="C310" s="197"/>
      <c r="D310" s="197"/>
      <c r="E310" s="243">
        <f t="shared" si="304"/>
        <v>5</v>
      </c>
      <c r="F310" s="199">
        <v>5</v>
      </c>
      <c r="G310" s="197"/>
      <c r="H310" s="197"/>
      <c r="I310" s="243">
        <f t="shared" si="305"/>
        <v>5</v>
      </c>
      <c r="J310" s="196">
        <v>5</v>
      </c>
      <c r="K310" s="197"/>
      <c r="L310" s="197"/>
      <c r="M310" s="243">
        <f t="shared" si="306"/>
        <v>5</v>
      </c>
      <c r="N310" s="253">
        <f t="shared" si="307"/>
        <v>15</v>
      </c>
      <c r="O310" s="190">
        <v>46164</v>
      </c>
      <c r="P310" s="191" t="s">
        <v>3</v>
      </c>
      <c r="Q310" s="186"/>
      <c r="R310" s="187"/>
      <c r="S310" s="187"/>
      <c r="T310" s="244">
        <f t="shared" ref="T310:T311" si="316">SUM(Q310:S310)</f>
        <v>0</v>
      </c>
      <c r="U310" s="186"/>
      <c r="V310" s="187"/>
      <c r="W310" s="187"/>
      <c r="X310" s="244">
        <f t="shared" ref="X310:X311" si="317">SUM(U310:W310)</f>
        <v>0</v>
      </c>
      <c r="Y310" s="196"/>
      <c r="Z310" s="197"/>
      <c r="AA310" s="197"/>
      <c r="AB310" s="243">
        <f t="shared" ref="AB310:AB311" si="318">SUM(Y310:AA310)</f>
        <v>0</v>
      </c>
      <c r="AC310" s="253">
        <f t="shared" ref="AC310:AC311" si="319">T310+X310+AB310</f>
        <v>0</v>
      </c>
    </row>
    <row r="311" spans="1:30" x14ac:dyDescent="0.15">
      <c r="A311" s="191" t="s">
        <v>3</v>
      </c>
      <c r="B311" s="199"/>
      <c r="C311" s="197">
        <v>3</v>
      </c>
      <c r="D311" s="197"/>
      <c r="E311" s="243">
        <f t="shared" si="304"/>
        <v>3</v>
      </c>
      <c r="F311" s="199"/>
      <c r="G311" s="197">
        <v>3</v>
      </c>
      <c r="H311" s="197"/>
      <c r="I311" s="243">
        <f t="shared" si="305"/>
        <v>3</v>
      </c>
      <c r="J311" s="196"/>
      <c r="K311" s="197">
        <v>3</v>
      </c>
      <c r="L311" s="197"/>
      <c r="M311" s="243">
        <f t="shared" si="306"/>
        <v>3</v>
      </c>
      <c r="N311" s="253">
        <f t="shared" si="307"/>
        <v>9</v>
      </c>
      <c r="O311" s="190">
        <v>46176</v>
      </c>
      <c r="P311" s="191" t="s">
        <v>3</v>
      </c>
      <c r="Q311" s="186"/>
      <c r="R311" s="187"/>
      <c r="S311" s="187"/>
      <c r="T311" s="244">
        <f t="shared" si="316"/>
        <v>0</v>
      </c>
      <c r="U311" s="186"/>
      <c r="V311" s="187"/>
      <c r="W311" s="187"/>
      <c r="X311" s="244">
        <f t="shared" si="317"/>
        <v>0</v>
      </c>
      <c r="Y311" s="196"/>
      <c r="Z311" s="197"/>
      <c r="AA311" s="197"/>
      <c r="AB311" s="243">
        <f t="shared" si="318"/>
        <v>0</v>
      </c>
      <c r="AC311" s="253">
        <f t="shared" si="319"/>
        <v>0</v>
      </c>
    </row>
    <row r="312" spans="1:30" x14ac:dyDescent="0.15">
      <c r="A312" s="191" t="s">
        <v>3</v>
      </c>
      <c r="B312" s="199">
        <v>5</v>
      </c>
      <c r="C312" s="197"/>
      <c r="D312" s="197"/>
      <c r="E312" s="243">
        <f t="shared" si="304"/>
        <v>5</v>
      </c>
      <c r="F312" s="199">
        <v>5</v>
      </c>
      <c r="G312" s="197"/>
      <c r="H312" s="197"/>
      <c r="I312" s="243">
        <f t="shared" si="305"/>
        <v>5</v>
      </c>
      <c r="J312" s="186">
        <v>5</v>
      </c>
      <c r="K312" s="187"/>
      <c r="L312" s="187"/>
      <c r="M312" s="244">
        <f t="shared" si="306"/>
        <v>5</v>
      </c>
      <c r="N312" s="253">
        <f t="shared" si="307"/>
        <v>15</v>
      </c>
      <c r="O312" s="190">
        <v>46179</v>
      </c>
      <c r="P312" s="191" t="s">
        <v>3</v>
      </c>
      <c r="Q312" s="199"/>
      <c r="R312" s="197"/>
      <c r="S312" s="197"/>
      <c r="T312" s="243">
        <f t="shared" si="308"/>
        <v>0</v>
      </c>
      <c r="U312" s="199"/>
      <c r="V312" s="197"/>
      <c r="W312" s="197"/>
      <c r="X312" s="243">
        <f t="shared" si="309"/>
        <v>0</v>
      </c>
      <c r="Y312" s="186"/>
      <c r="Z312" s="187"/>
      <c r="AA312" s="187"/>
      <c r="AB312" s="244">
        <f t="shared" si="310"/>
        <v>0</v>
      </c>
      <c r="AC312" s="253">
        <f t="shared" si="311"/>
        <v>0</v>
      </c>
    </row>
    <row r="313" spans="1:30" x14ac:dyDescent="0.15">
      <c r="A313" s="191" t="s">
        <v>3</v>
      </c>
      <c r="B313" s="200"/>
      <c r="C313" s="187"/>
      <c r="D313" s="187"/>
      <c r="E313" s="243">
        <f t="shared" si="304"/>
        <v>0</v>
      </c>
      <c r="F313" s="200"/>
      <c r="G313" s="187"/>
      <c r="H313" s="187"/>
      <c r="I313" s="243">
        <f t="shared" si="305"/>
        <v>0</v>
      </c>
      <c r="J313" s="186"/>
      <c r="K313" s="187"/>
      <c r="L313" s="187"/>
      <c r="M313" s="243">
        <f t="shared" si="306"/>
        <v>0</v>
      </c>
      <c r="N313" s="253">
        <f t="shared" si="307"/>
        <v>0</v>
      </c>
      <c r="O313" s="195"/>
      <c r="P313" s="191" t="s">
        <v>3</v>
      </c>
      <c r="Q313" s="186"/>
      <c r="R313" s="187"/>
      <c r="S313" s="187"/>
      <c r="T313" s="244">
        <f t="shared" si="308"/>
        <v>0</v>
      </c>
      <c r="U313" s="186"/>
      <c r="V313" s="187"/>
      <c r="W313" s="187"/>
      <c r="X313" s="244">
        <f t="shared" si="309"/>
        <v>0</v>
      </c>
      <c r="Y313" s="196"/>
      <c r="Z313" s="197"/>
      <c r="AA313" s="197"/>
      <c r="AB313" s="243">
        <f t="shared" si="310"/>
        <v>0</v>
      </c>
      <c r="AC313" s="253">
        <f t="shared" si="311"/>
        <v>0</v>
      </c>
    </row>
    <row r="314" spans="1:30" x14ac:dyDescent="0.15">
      <c r="A314" s="191" t="s">
        <v>3</v>
      </c>
      <c r="B314" s="199"/>
      <c r="C314" s="197"/>
      <c r="D314" s="197"/>
      <c r="E314" s="243">
        <f t="shared" si="304"/>
        <v>0</v>
      </c>
      <c r="F314" s="199"/>
      <c r="G314" s="197"/>
      <c r="H314" s="197"/>
      <c r="I314" s="243">
        <f t="shared" si="305"/>
        <v>0</v>
      </c>
      <c r="J314" s="186"/>
      <c r="K314" s="187"/>
      <c r="L314" s="187"/>
      <c r="M314" s="243">
        <f t="shared" si="306"/>
        <v>0</v>
      </c>
      <c r="N314" s="253">
        <f t="shared" si="307"/>
        <v>0</v>
      </c>
      <c r="P314" s="191" t="s">
        <v>3</v>
      </c>
      <c r="Q314" s="199"/>
      <c r="R314" s="197"/>
      <c r="S314" s="197"/>
      <c r="T314" s="243">
        <f t="shared" si="308"/>
        <v>0</v>
      </c>
      <c r="U314" s="199"/>
      <c r="V314" s="197"/>
      <c r="W314" s="197"/>
      <c r="X314" s="243">
        <f t="shared" si="309"/>
        <v>0</v>
      </c>
      <c r="Y314" s="186"/>
      <c r="Z314" s="187"/>
      <c r="AA314" s="187"/>
      <c r="AB314" s="243">
        <f t="shared" si="310"/>
        <v>0</v>
      </c>
      <c r="AC314" s="253">
        <f t="shared" si="311"/>
        <v>0</v>
      </c>
    </row>
    <row r="315" spans="1:30" x14ac:dyDescent="0.15">
      <c r="A315" s="191" t="s">
        <v>3</v>
      </c>
      <c r="B315" s="200"/>
      <c r="C315" s="187"/>
      <c r="D315" s="187"/>
      <c r="E315" s="243">
        <f t="shared" si="304"/>
        <v>0</v>
      </c>
      <c r="F315" s="200"/>
      <c r="G315" s="187"/>
      <c r="H315" s="187"/>
      <c r="I315" s="243">
        <f t="shared" si="305"/>
        <v>0</v>
      </c>
      <c r="J315" s="186"/>
      <c r="K315" s="187"/>
      <c r="L315" s="187"/>
      <c r="M315" s="243">
        <f t="shared" si="306"/>
        <v>0</v>
      </c>
      <c r="N315" s="253">
        <f t="shared" si="307"/>
        <v>0</v>
      </c>
      <c r="P315" s="191" t="s">
        <v>3</v>
      </c>
      <c r="Q315" s="200"/>
      <c r="R315" s="187"/>
      <c r="S315" s="187"/>
      <c r="T315" s="243">
        <f t="shared" si="308"/>
        <v>0</v>
      </c>
      <c r="U315" s="200"/>
      <c r="V315" s="187"/>
      <c r="W315" s="187"/>
      <c r="X315" s="243">
        <f t="shared" si="309"/>
        <v>0</v>
      </c>
      <c r="Y315" s="186"/>
      <c r="Z315" s="187"/>
      <c r="AA315" s="187"/>
      <c r="AB315" s="243">
        <f t="shared" si="310"/>
        <v>0</v>
      </c>
      <c r="AC315" s="253">
        <f t="shared" si="311"/>
        <v>0</v>
      </c>
    </row>
    <row r="316" spans="1:30" ht="14.25" thickBot="1" x14ac:dyDescent="0.2">
      <c r="A316" s="206" t="s">
        <v>3</v>
      </c>
      <c r="B316" s="202"/>
      <c r="C316" s="203"/>
      <c r="D316" s="203"/>
      <c r="E316" s="245">
        <f t="shared" si="304"/>
        <v>0</v>
      </c>
      <c r="F316" s="202"/>
      <c r="G316" s="203"/>
      <c r="H316" s="203"/>
      <c r="I316" s="245">
        <f t="shared" si="305"/>
        <v>0</v>
      </c>
      <c r="J316" s="205"/>
      <c r="K316" s="203"/>
      <c r="L316" s="204"/>
      <c r="M316" s="245">
        <f t="shared" si="306"/>
        <v>0</v>
      </c>
      <c r="N316" s="255">
        <f t="shared" si="307"/>
        <v>0</v>
      </c>
      <c r="P316" s="206" t="s">
        <v>3</v>
      </c>
      <c r="Q316" s="202"/>
      <c r="R316" s="203"/>
      <c r="S316" s="203"/>
      <c r="T316" s="245">
        <f t="shared" si="308"/>
        <v>0</v>
      </c>
      <c r="U316" s="202"/>
      <c r="V316" s="203"/>
      <c r="W316" s="203"/>
      <c r="X316" s="245">
        <f t="shared" si="309"/>
        <v>0</v>
      </c>
      <c r="Y316" s="205"/>
      <c r="Z316" s="203"/>
      <c r="AA316" s="204"/>
      <c r="AB316" s="245">
        <f t="shared" si="310"/>
        <v>0</v>
      </c>
      <c r="AC316" s="255">
        <f t="shared" si="311"/>
        <v>0</v>
      </c>
    </row>
    <row r="317" spans="1:30" ht="14.25" thickBot="1" x14ac:dyDescent="0.2">
      <c r="A317" s="207" t="s">
        <v>4</v>
      </c>
      <c r="B317" s="208">
        <f>SUM(B306:B316)</f>
        <v>24</v>
      </c>
      <c r="C317" s="208">
        <f>SUM(C306:C316)</f>
        <v>11</v>
      </c>
      <c r="D317" s="208">
        <f>SUM(D306:D316)</f>
        <v>11</v>
      </c>
      <c r="E317" s="246">
        <f t="shared" ref="E317:E342" si="320">SUM(B317:D317)</f>
        <v>46</v>
      </c>
      <c r="F317" s="208">
        <f>SUM(F306:F316)</f>
        <v>25</v>
      </c>
      <c r="G317" s="208">
        <f>SUM(G306:G316)</f>
        <v>11</v>
      </c>
      <c r="H317" s="208">
        <f>SUM(H306:H316)</f>
        <v>10</v>
      </c>
      <c r="I317" s="246">
        <f t="shared" si="305"/>
        <v>46</v>
      </c>
      <c r="J317" s="208">
        <f>SUM(J306:J316)</f>
        <v>25</v>
      </c>
      <c r="K317" s="208">
        <f>SUM(K306:K316)</f>
        <v>10</v>
      </c>
      <c r="L317" s="208">
        <f>SUM(L306:L316)</f>
        <v>11</v>
      </c>
      <c r="M317" s="266">
        <f t="shared" si="306"/>
        <v>46</v>
      </c>
      <c r="N317" s="271">
        <f t="shared" si="307"/>
        <v>138</v>
      </c>
      <c r="P317" s="210" t="s">
        <v>4</v>
      </c>
      <c r="Q317" s="208">
        <f>SUM(Q306:Q316)</f>
        <v>275</v>
      </c>
      <c r="R317" s="208">
        <f>SUM(R306:R316)</f>
        <v>216</v>
      </c>
      <c r="S317" s="208">
        <f>SUM(S306:S316)</f>
        <v>216</v>
      </c>
      <c r="T317" s="246">
        <f t="shared" si="308"/>
        <v>707</v>
      </c>
      <c r="U317" s="208">
        <f>SUM(U306:U316)</f>
        <v>253</v>
      </c>
      <c r="V317" s="208">
        <f>SUM(V306:V316)</f>
        <v>243</v>
      </c>
      <c r="W317" s="208">
        <f>SUM(W306:W316)</f>
        <v>224</v>
      </c>
      <c r="X317" s="246">
        <f t="shared" si="309"/>
        <v>720</v>
      </c>
      <c r="Y317" s="208">
        <f>SUM(Y306:Y316)</f>
        <v>273</v>
      </c>
      <c r="Z317" s="208">
        <f>SUM(Z306:Z316)</f>
        <v>238</v>
      </c>
      <c r="AA317" s="208">
        <f>SUM(AA306:AA316)</f>
        <v>216</v>
      </c>
      <c r="AB317" s="246">
        <f t="shared" si="310"/>
        <v>727</v>
      </c>
      <c r="AC317" s="256">
        <f t="shared" si="311"/>
        <v>2154</v>
      </c>
    </row>
    <row r="318" spans="1:30" x14ac:dyDescent="0.15">
      <c r="A318" s="197" t="s">
        <v>143</v>
      </c>
      <c r="B318" s="189">
        <v>1</v>
      </c>
      <c r="C318" s="188"/>
      <c r="D318" s="188"/>
      <c r="E318" s="244">
        <f t="shared" si="320"/>
        <v>1</v>
      </c>
      <c r="F318" s="189">
        <v>1</v>
      </c>
      <c r="G318" s="188"/>
      <c r="H318" s="188"/>
      <c r="I318" s="244">
        <f t="shared" si="305"/>
        <v>1</v>
      </c>
      <c r="J318" s="189">
        <v>1</v>
      </c>
      <c r="K318" s="188"/>
      <c r="L318" s="188"/>
      <c r="M318" s="244">
        <f t="shared" si="306"/>
        <v>1</v>
      </c>
      <c r="N318" s="253">
        <f t="shared" si="307"/>
        <v>3</v>
      </c>
      <c r="O318" s="190">
        <v>46149</v>
      </c>
      <c r="P318" s="193" t="s">
        <v>1799</v>
      </c>
      <c r="Q318" s="189">
        <v>5</v>
      </c>
      <c r="R318" s="188">
        <v>5</v>
      </c>
      <c r="S318" s="188">
        <v>5</v>
      </c>
      <c r="T318" s="244">
        <f t="shared" si="308"/>
        <v>15</v>
      </c>
      <c r="U318" s="189">
        <v>5</v>
      </c>
      <c r="V318" s="188">
        <v>5</v>
      </c>
      <c r="W318" s="188">
        <v>5</v>
      </c>
      <c r="X318" s="244">
        <f t="shared" si="309"/>
        <v>15</v>
      </c>
      <c r="Y318" s="189">
        <v>5</v>
      </c>
      <c r="Z318" s="188">
        <v>5</v>
      </c>
      <c r="AA318" s="188">
        <v>5</v>
      </c>
      <c r="AB318" s="244">
        <f t="shared" si="310"/>
        <v>15</v>
      </c>
      <c r="AC318" s="253">
        <f t="shared" si="311"/>
        <v>45</v>
      </c>
      <c r="AD318" s="194">
        <v>46160</v>
      </c>
    </row>
    <row r="319" spans="1:30" x14ac:dyDescent="0.15">
      <c r="A319" s="197" t="s">
        <v>149</v>
      </c>
      <c r="B319" s="189">
        <v>1</v>
      </c>
      <c r="C319" s="188"/>
      <c r="D319" s="188">
        <v>1</v>
      </c>
      <c r="E319" s="244">
        <f t="shared" si="320"/>
        <v>2</v>
      </c>
      <c r="F319" s="189">
        <v>1</v>
      </c>
      <c r="G319" s="188"/>
      <c r="H319" s="188">
        <v>1</v>
      </c>
      <c r="I319" s="244">
        <f t="shared" si="305"/>
        <v>2</v>
      </c>
      <c r="J319" s="189">
        <v>1</v>
      </c>
      <c r="K319" s="188"/>
      <c r="L319" s="188">
        <v>1</v>
      </c>
      <c r="M319" s="244">
        <f t="shared" si="306"/>
        <v>2</v>
      </c>
      <c r="N319" s="253">
        <f t="shared" si="307"/>
        <v>6</v>
      </c>
      <c r="O319" s="190">
        <v>46153</v>
      </c>
      <c r="P319" s="197" t="s">
        <v>1739</v>
      </c>
      <c r="Q319" s="189"/>
      <c r="R319" s="188"/>
      <c r="S319" s="188"/>
      <c r="T319" s="244">
        <f t="shared" si="308"/>
        <v>0</v>
      </c>
      <c r="U319" s="189"/>
      <c r="V319" s="188"/>
      <c r="W319" s="188">
        <v>5</v>
      </c>
      <c r="X319" s="244">
        <f t="shared" si="309"/>
        <v>5</v>
      </c>
      <c r="Y319" s="189">
        <v>5</v>
      </c>
      <c r="Z319" s="188">
        <v>5</v>
      </c>
      <c r="AA319" s="188"/>
      <c r="AB319" s="244">
        <f t="shared" si="310"/>
        <v>10</v>
      </c>
      <c r="AC319" s="253">
        <f t="shared" si="311"/>
        <v>15</v>
      </c>
      <c r="AD319" s="194">
        <v>46154</v>
      </c>
    </row>
    <row r="320" spans="1:30" x14ac:dyDescent="0.15">
      <c r="A320" s="197" t="s">
        <v>151</v>
      </c>
      <c r="B320" s="189">
        <v>2</v>
      </c>
      <c r="C320" s="188">
        <v>1</v>
      </c>
      <c r="D320" s="188"/>
      <c r="E320" s="244">
        <f t="shared" si="320"/>
        <v>3</v>
      </c>
      <c r="F320" s="189">
        <v>2</v>
      </c>
      <c r="G320" s="188">
        <v>1</v>
      </c>
      <c r="H320" s="188"/>
      <c r="I320" s="244">
        <f t="shared" si="305"/>
        <v>3</v>
      </c>
      <c r="J320" s="189">
        <v>2</v>
      </c>
      <c r="K320" s="188">
        <v>1</v>
      </c>
      <c r="L320" s="188"/>
      <c r="M320" s="244">
        <f t="shared" si="306"/>
        <v>3</v>
      </c>
      <c r="N320" s="253">
        <f t="shared" si="307"/>
        <v>9</v>
      </c>
      <c r="O320" s="190">
        <v>46155</v>
      </c>
      <c r="P320" s="290" t="s">
        <v>1319</v>
      </c>
      <c r="Q320" s="234">
        <v>3</v>
      </c>
      <c r="R320" s="235">
        <v>3</v>
      </c>
      <c r="S320" s="235"/>
      <c r="T320" s="247">
        <f t="shared" si="308"/>
        <v>6</v>
      </c>
      <c r="U320" s="234">
        <v>3</v>
      </c>
      <c r="V320" s="235">
        <v>3</v>
      </c>
      <c r="W320" s="235"/>
      <c r="X320" s="247">
        <f t="shared" si="309"/>
        <v>6</v>
      </c>
      <c r="Y320" s="234">
        <v>3</v>
      </c>
      <c r="Z320" s="235">
        <v>3</v>
      </c>
      <c r="AA320" s="235"/>
      <c r="AB320" s="247">
        <f t="shared" si="310"/>
        <v>6</v>
      </c>
      <c r="AC320" s="257">
        <f t="shared" si="311"/>
        <v>18</v>
      </c>
      <c r="AD320" s="236">
        <v>46155</v>
      </c>
    </row>
    <row r="321" spans="1:31" x14ac:dyDescent="0.15">
      <c r="A321" s="197" t="s">
        <v>154</v>
      </c>
      <c r="B321" s="189">
        <v>1</v>
      </c>
      <c r="C321" s="188">
        <v>1</v>
      </c>
      <c r="D321" s="188"/>
      <c r="E321" s="244">
        <f t="shared" si="320"/>
        <v>2</v>
      </c>
      <c r="F321" s="189">
        <v>1</v>
      </c>
      <c r="G321" s="188">
        <v>1</v>
      </c>
      <c r="H321" s="188"/>
      <c r="I321" s="244">
        <f t="shared" si="305"/>
        <v>2</v>
      </c>
      <c r="J321" s="189">
        <v>1</v>
      </c>
      <c r="K321" s="188">
        <v>1</v>
      </c>
      <c r="L321" s="188"/>
      <c r="M321" s="244">
        <f t="shared" si="306"/>
        <v>2</v>
      </c>
      <c r="N321" s="253">
        <f t="shared" si="307"/>
        <v>6</v>
      </c>
      <c r="O321" s="190">
        <v>46156</v>
      </c>
      <c r="P321" s="290" t="s">
        <v>1319</v>
      </c>
      <c r="Q321" s="234">
        <v>3</v>
      </c>
      <c r="R321" s="235"/>
      <c r="S321" s="235"/>
      <c r="T321" s="247">
        <f t="shared" si="308"/>
        <v>3</v>
      </c>
      <c r="U321" s="234">
        <v>3</v>
      </c>
      <c r="V321" s="235"/>
      <c r="W321" s="235"/>
      <c r="X321" s="247">
        <f t="shared" si="309"/>
        <v>3</v>
      </c>
      <c r="Y321" s="234">
        <v>3</v>
      </c>
      <c r="Z321" s="235"/>
      <c r="AA321" s="235"/>
      <c r="AB321" s="247">
        <f t="shared" si="310"/>
        <v>3</v>
      </c>
      <c r="AC321" s="257">
        <f t="shared" si="311"/>
        <v>9</v>
      </c>
      <c r="AD321" s="236">
        <v>46156</v>
      </c>
    </row>
    <row r="322" spans="1:31" x14ac:dyDescent="0.15">
      <c r="A322" s="197" t="s">
        <v>162</v>
      </c>
      <c r="B322" s="189">
        <v>4</v>
      </c>
      <c r="C322" s="188"/>
      <c r="D322" s="188"/>
      <c r="E322" s="244">
        <f t="shared" si="320"/>
        <v>4</v>
      </c>
      <c r="F322" s="189">
        <v>4</v>
      </c>
      <c r="G322" s="188"/>
      <c r="H322" s="188"/>
      <c r="I322" s="244">
        <f t="shared" si="305"/>
        <v>4</v>
      </c>
      <c r="J322" s="189">
        <v>4</v>
      </c>
      <c r="K322" s="188"/>
      <c r="L322" s="188"/>
      <c r="M322" s="244">
        <f t="shared" si="306"/>
        <v>4</v>
      </c>
      <c r="N322" s="253">
        <f t="shared" si="307"/>
        <v>12</v>
      </c>
      <c r="O322" s="190">
        <v>46157</v>
      </c>
      <c r="P322" s="197" t="s">
        <v>1785</v>
      </c>
      <c r="Q322" s="189"/>
      <c r="R322" s="188"/>
      <c r="S322" s="188"/>
      <c r="T322" s="244">
        <f t="shared" si="308"/>
        <v>0</v>
      </c>
      <c r="U322" s="189"/>
      <c r="V322" s="188"/>
      <c r="W322" s="188"/>
      <c r="X322" s="244">
        <f t="shared" si="309"/>
        <v>0</v>
      </c>
      <c r="Y322" s="189"/>
      <c r="Z322" s="188"/>
      <c r="AA322" s="188">
        <v>10</v>
      </c>
      <c r="AB322" s="244">
        <f t="shared" si="310"/>
        <v>10</v>
      </c>
      <c r="AC322" s="253">
        <f t="shared" si="311"/>
        <v>10</v>
      </c>
      <c r="AD322" s="194">
        <v>46164</v>
      </c>
      <c r="AE322" s="331"/>
    </row>
    <row r="323" spans="1:31" x14ac:dyDescent="0.15">
      <c r="A323" s="197" t="s">
        <v>168</v>
      </c>
      <c r="B323" s="189">
        <v>1</v>
      </c>
      <c r="C323" s="188"/>
      <c r="D323" s="188"/>
      <c r="E323" s="244">
        <f t="shared" si="320"/>
        <v>1</v>
      </c>
      <c r="F323" s="189">
        <v>1</v>
      </c>
      <c r="G323" s="188"/>
      <c r="H323" s="188"/>
      <c r="I323" s="244">
        <f t="shared" si="305"/>
        <v>1</v>
      </c>
      <c r="J323" s="189">
        <v>1</v>
      </c>
      <c r="K323" s="188"/>
      <c r="L323" s="188"/>
      <c r="M323" s="244">
        <f t="shared" si="306"/>
        <v>1</v>
      </c>
      <c r="N323" s="253">
        <f t="shared" si="307"/>
        <v>3</v>
      </c>
      <c r="O323" s="190">
        <v>46158</v>
      </c>
      <c r="P323" s="197" t="s">
        <v>1819</v>
      </c>
      <c r="Q323" s="189">
        <v>5</v>
      </c>
      <c r="R323" s="188"/>
      <c r="S323" s="188"/>
      <c r="T323" s="244">
        <f t="shared" si="308"/>
        <v>5</v>
      </c>
      <c r="U323" s="189">
        <v>5</v>
      </c>
      <c r="V323" s="188"/>
      <c r="W323" s="188"/>
      <c r="X323" s="244">
        <f t="shared" si="309"/>
        <v>5</v>
      </c>
      <c r="Y323" s="189">
        <v>5</v>
      </c>
      <c r="Z323" s="188"/>
      <c r="AA323" s="188"/>
      <c r="AB323" s="244">
        <f t="shared" si="310"/>
        <v>5</v>
      </c>
      <c r="AC323" s="253">
        <f t="shared" si="311"/>
        <v>15</v>
      </c>
      <c r="AD323" s="194">
        <v>46164</v>
      </c>
    </row>
    <row r="324" spans="1:31" x14ac:dyDescent="0.15">
      <c r="A324" s="197" t="s">
        <v>169</v>
      </c>
      <c r="B324" s="189"/>
      <c r="C324" s="188"/>
      <c r="D324" s="188">
        <v>1</v>
      </c>
      <c r="E324" s="244">
        <f t="shared" si="320"/>
        <v>1</v>
      </c>
      <c r="F324" s="189"/>
      <c r="G324" s="188"/>
      <c r="H324" s="188">
        <v>1</v>
      </c>
      <c r="I324" s="244">
        <f t="shared" si="305"/>
        <v>1</v>
      </c>
      <c r="J324" s="189"/>
      <c r="K324" s="188"/>
      <c r="L324" s="188">
        <v>1</v>
      </c>
      <c r="M324" s="244">
        <f t="shared" si="306"/>
        <v>1</v>
      </c>
      <c r="N324" s="253">
        <f t="shared" si="307"/>
        <v>3</v>
      </c>
      <c r="O324" s="190">
        <v>46163</v>
      </c>
      <c r="P324" s="197" t="s">
        <v>1807</v>
      </c>
      <c r="Q324" s="189"/>
      <c r="R324" s="188"/>
      <c r="S324" s="188"/>
      <c r="T324" s="244">
        <f t="shared" si="308"/>
        <v>0</v>
      </c>
      <c r="U324" s="189"/>
      <c r="V324" s="188"/>
      <c r="W324" s="188"/>
      <c r="X324" s="244">
        <f t="shared" si="309"/>
        <v>0</v>
      </c>
      <c r="Y324" s="189">
        <v>10</v>
      </c>
      <c r="Z324" s="188"/>
      <c r="AA324" s="188"/>
      <c r="AB324" s="244">
        <f t="shared" si="310"/>
        <v>10</v>
      </c>
      <c r="AC324" s="253">
        <f t="shared" si="311"/>
        <v>10</v>
      </c>
      <c r="AD324" s="194">
        <v>46165</v>
      </c>
    </row>
    <row r="325" spans="1:31" x14ac:dyDescent="0.15">
      <c r="A325" s="197" t="s">
        <v>171</v>
      </c>
      <c r="B325" s="189">
        <v>2</v>
      </c>
      <c r="C325" s="188"/>
      <c r="D325" s="188"/>
      <c r="E325" s="244">
        <f t="shared" si="320"/>
        <v>2</v>
      </c>
      <c r="F325" s="189">
        <v>2</v>
      </c>
      <c r="G325" s="188"/>
      <c r="H325" s="188"/>
      <c r="I325" s="244">
        <f t="shared" si="305"/>
        <v>2</v>
      </c>
      <c r="J325" s="189">
        <v>2</v>
      </c>
      <c r="K325" s="188"/>
      <c r="L325" s="188"/>
      <c r="M325" s="244">
        <f t="shared" si="306"/>
        <v>2</v>
      </c>
      <c r="N325" s="253">
        <f t="shared" si="307"/>
        <v>6</v>
      </c>
      <c r="O325" s="190">
        <v>46164</v>
      </c>
      <c r="P325" s="197" t="s">
        <v>1319</v>
      </c>
      <c r="Q325" s="189"/>
      <c r="R325" s="188">
        <v>3</v>
      </c>
      <c r="S325" s="188"/>
      <c r="T325" s="244">
        <f t="shared" si="308"/>
        <v>3</v>
      </c>
      <c r="U325" s="189"/>
      <c r="V325" s="188">
        <v>3</v>
      </c>
      <c r="W325" s="188"/>
      <c r="X325" s="244">
        <f t="shared" si="309"/>
        <v>3</v>
      </c>
      <c r="Y325" s="189"/>
      <c r="Z325" s="188">
        <v>3</v>
      </c>
      <c r="AA325" s="188"/>
      <c r="AB325" s="244">
        <f t="shared" si="310"/>
        <v>3</v>
      </c>
      <c r="AC325" s="253">
        <f t="shared" si="311"/>
        <v>9</v>
      </c>
      <c r="AD325" s="194">
        <v>46176</v>
      </c>
    </row>
    <row r="326" spans="1:31" x14ac:dyDescent="0.15">
      <c r="A326" s="197" t="s">
        <v>172</v>
      </c>
      <c r="B326" s="189">
        <v>1</v>
      </c>
      <c r="C326" s="188"/>
      <c r="D326" s="188"/>
      <c r="E326" s="244">
        <f t="shared" si="320"/>
        <v>1</v>
      </c>
      <c r="F326" s="189">
        <v>1</v>
      </c>
      <c r="G326" s="188"/>
      <c r="H326" s="188"/>
      <c r="I326" s="244">
        <f t="shared" si="305"/>
        <v>1</v>
      </c>
      <c r="J326" s="189">
        <v>1</v>
      </c>
      <c r="K326" s="188"/>
      <c r="L326" s="188"/>
      <c r="M326" s="244">
        <f t="shared" si="306"/>
        <v>1</v>
      </c>
      <c r="N326" s="253">
        <f t="shared" si="307"/>
        <v>3</v>
      </c>
      <c r="O326" s="190">
        <v>46165</v>
      </c>
      <c r="P326" s="197" t="s">
        <v>1319</v>
      </c>
      <c r="Q326" s="189">
        <v>5</v>
      </c>
      <c r="R326" s="188"/>
      <c r="S326" s="188"/>
      <c r="T326" s="244">
        <f t="shared" si="308"/>
        <v>5</v>
      </c>
      <c r="U326" s="189">
        <v>5</v>
      </c>
      <c r="V326" s="188"/>
      <c r="W326" s="188"/>
      <c r="X326" s="244">
        <f t="shared" si="309"/>
        <v>5</v>
      </c>
      <c r="Y326" s="189">
        <v>5</v>
      </c>
      <c r="Z326" s="188"/>
      <c r="AA326" s="188"/>
      <c r="AB326" s="244">
        <f t="shared" si="310"/>
        <v>5</v>
      </c>
      <c r="AC326" s="253">
        <f t="shared" si="311"/>
        <v>15</v>
      </c>
      <c r="AD326" s="194">
        <v>46179</v>
      </c>
    </row>
    <row r="327" spans="1:31" x14ac:dyDescent="0.15">
      <c r="A327" s="197" t="s">
        <v>174</v>
      </c>
      <c r="B327" s="189"/>
      <c r="C327" s="188">
        <v>1</v>
      </c>
      <c r="D327" s="188">
        <v>1</v>
      </c>
      <c r="E327" s="244">
        <f t="shared" si="320"/>
        <v>2</v>
      </c>
      <c r="F327" s="189"/>
      <c r="G327" s="188">
        <v>1</v>
      </c>
      <c r="H327" s="188">
        <v>1</v>
      </c>
      <c r="I327" s="244">
        <f t="shared" si="305"/>
        <v>2</v>
      </c>
      <c r="J327" s="189"/>
      <c r="K327" s="188">
        <v>1</v>
      </c>
      <c r="L327" s="188">
        <v>1</v>
      </c>
      <c r="M327" s="244">
        <f t="shared" si="306"/>
        <v>2</v>
      </c>
      <c r="N327" s="253">
        <f t="shared" si="307"/>
        <v>6</v>
      </c>
      <c r="O327" s="190">
        <v>46167</v>
      </c>
      <c r="P327" s="197"/>
      <c r="Q327" s="189"/>
      <c r="R327" s="188"/>
      <c r="S327" s="188"/>
      <c r="T327" s="244">
        <f t="shared" si="308"/>
        <v>0</v>
      </c>
      <c r="U327" s="189"/>
      <c r="V327" s="188"/>
      <c r="W327" s="188"/>
      <c r="X327" s="244">
        <f t="shared" si="309"/>
        <v>0</v>
      </c>
      <c r="Y327" s="189"/>
      <c r="Z327" s="188"/>
      <c r="AA327" s="188"/>
      <c r="AB327" s="244">
        <f t="shared" si="310"/>
        <v>0</v>
      </c>
      <c r="AC327" s="253">
        <f t="shared" si="311"/>
        <v>0</v>
      </c>
      <c r="AD327" s="198"/>
    </row>
    <row r="328" spans="1:31" x14ac:dyDescent="0.15">
      <c r="A328" s="197" t="s">
        <v>176</v>
      </c>
      <c r="B328" s="189"/>
      <c r="C328" s="188"/>
      <c r="D328" s="188">
        <v>2</v>
      </c>
      <c r="E328" s="244">
        <f t="shared" si="320"/>
        <v>2</v>
      </c>
      <c r="F328" s="189"/>
      <c r="G328" s="188"/>
      <c r="H328" s="188">
        <v>2</v>
      </c>
      <c r="I328" s="244">
        <f t="shared" si="305"/>
        <v>2</v>
      </c>
      <c r="J328" s="189"/>
      <c r="K328" s="188"/>
      <c r="L328" s="188">
        <v>2</v>
      </c>
      <c r="M328" s="244">
        <f t="shared" si="306"/>
        <v>2</v>
      </c>
      <c r="N328" s="253">
        <f t="shared" si="307"/>
        <v>6</v>
      </c>
      <c r="O328" s="190">
        <v>46170</v>
      </c>
      <c r="P328" s="197"/>
      <c r="Q328" s="189"/>
      <c r="R328" s="188"/>
      <c r="S328" s="188"/>
      <c r="T328" s="244">
        <f t="shared" si="308"/>
        <v>0</v>
      </c>
      <c r="U328" s="189"/>
      <c r="V328" s="188"/>
      <c r="W328" s="188"/>
      <c r="X328" s="244">
        <f t="shared" si="309"/>
        <v>0</v>
      </c>
      <c r="Y328" s="189"/>
      <c r="Z328" s="188"/>
      <c r="AA328" s="188"/>
      <c r="AB328" s="244">
        <f t="shared" si="310"/>
        <v>0</v>
      </c>
      <c r="AC328" s="253">
        <f t="shared" si="311"/>
        <v>0</v>
      </c>
    </row>
    <row r="329" spans="1:31" x14ac:dyDescent="0.15">
      <c r="A329" s="197" t="s">
        <v>178</v>
      </c>
      <c r="B329" s="189"/>
      <c r="C329" s="188">
        <v>3</v>
      </c>
      <c r="D329" s="188"/>
      <c r="E329" s="244">
        <f t="shared" si="320"/>
        <v>3</v>
      </c>
      <c r="F329" s="189"/>
      <c r="G329" s="188">
        <v>3</v>
      </c>
      <c r="H329" s="188"/>
      <c r="I329" s="244">
        <f t="shared" si="305"/>
        <v>3</v>
      </c>
      <c r="J329" s="189"/>
      <c r="K329" s="188">
        <v>3</v>
      </c>
      <c r="L329" s="188"/>
      <c r="M329" s="244">
        <f t="shared" si="306"/>
        <v>3</v>
      </c>
      <c r="N329" s="253">
        <f t="shared" si="307"/>
        <v>9</v>
      </c>
      <c r="O329" s="190">
        <v>46171</v>
      </c>
      <c r="P329" s="197"/>
      <c r="Q329" s="189"/>
      <c r="R329" s="188"/>
      <c r="S329" s="188"/>
      <c r="T329" s="244">
        <f t="shared" si="308"/>
        <v>0</v>
      </c>
      <c r="U329" s="189"/>
      <c r="V329" s="188"/>
      <c r="W329" s="188"/>
      <c r="X329" s="244">
        <f t="shared" si="309"/>
        <v>0</v>
      </c>
      <c r="Y329" s="189"/>
      <c r="Z329" s="188"/>
      <c r="AA329" s="188"/>
      <c r="AB329" s="244">
        <f t="shared" si="310"/>
        <v>0</v>
      </c>
      <c r="AC329" s="253">
        <f t="shared" si="311"/>
        <v>0</v>
      </c>
    </row>
    <row r="330" spans="1:31" x14ac:dyDescent="0.15">
      <c r="A330" s="197" t="s">
        <v>180</v>
      </c>
      <c r="B330" s="189">
        <v>3</v>
      </c>
      <c r="C330" s="188"/>
      <c r="D330" s="188"/>
      <c r="E330" s="244">
        <f t="shared" si="320"/>
        <v>3</v>
      </c>
      <c r="F330" s="189">
        <v>3</v>
      </c>
      <c r="G330" s="188"/>
      <c r="H330" s="188"/>
      <c r="I330" s="244">
        <f t="shared" si="305"/>
        <v>3</v>
      </c>
      <c r="J330" s="189">
        <v>3</v>
      </c>
      <c r="K330" s="188"/>
      <c r="L330" s="188"/>
      <c r="M330" s="244">
        <f t="shared" si="306"/>
        <v>3</v>
      </c>
      <c r="N330" s="253">
        <f t="shared" si="307"/>
        <v>9</v>
      </c>
      <c r="O330" s="190">
        <v>46176</v>
      </c>
      <c r="P330" s="197"/>
      <c r="Q330" s="189"/>
      <c r="R330" s="188"/>
      <c r="S330" s="188"/>
      <c r="T330" s="244">
        <f t="shared" si="308"/>
        <v>0</v>
      </c>
      <c r="U330" s="189"/>
      <c r="V330" s="188"/>
      <c r="W330" s="188"/>
      <c r="X330" s="244">
        <f t="shared" si="309"/>
        <v>0</v>
      </c>
      <c r="Y330" s="189"/>
      <c r="Z330" s="188"/>
      <c r="AA330" s="188"/>
      <c r="AB330" s="244">
        <f t="shared" si="310"/>
        <v>0</v>
      </c>
      <c r="AC330" s="253">
        <f t="shared" si="311"/>
        <v>0</v>
      </c>
    </row>
    <row r="331" spans="1:31" x14ac:dyDescent="0.15">
      <c r="A331" s="197" t="s">
        <v>182</v>
      </c>
      <c r="B331" s="189"/>
      <c r="C331" s="188"/>
      <c r="D331" s="188">
        <v>1</v>
      </c>
      <c r="E331" s="244">
        <f t="shared" si="320"/>
        <v>1</v>
      </c>
      <c r="F331" s="189"/>
      <c r="G331" s="188"/>
      <c r="H331" s="188">
        <v>1</v>
      </c>
      <c r="I331" s="244">
        <f t="shared" si="305"/>
        <v>1</v>
      </c>
      <c r="J331" s="189"/>
      <c r="K331" s="188"/>
      <c r="L331" s="188">
        <v>1</v>
      </c>
      <c r="M331" s="244">
        <f t="shared" si="306"/>
        <v>1</v>
      </c>
      <c r="N331" s="253">
        <f t="shared" si="307"/>
        <v>3</v>
      </c>
      <c r="O331" s="190">
        <v>46177</v>
      </c>
      <c r="P331" s="197"/>
      <c r="Q331" s="189"/>
      <c r="R331" s="188"/>
      <c r="S331" s="188"/>
      <c r="T331" s="244">
        <f t="shared" si="308"/>
        <v>0</v>
      </c>
      <c r="U331" s="189"/>
      <c r="V331" s="188"/>
      <c r="W331" s="188"/>
      <c r="X331" s="244">
        <f t="shared" si="309"/>
        <v>0</v>
      </c>
      <c r="Y331" s="189"/>
      <c r="Z331" s="188"/>
      <c r="AA331" s="188"/>
      <c r="AB331" s="244">
        <f t="shared" si="310"/>
        <v>0</v>
      </c>
      <c r="AC331" s="253">
        <f t="shared" si="311"/>
        <v>0</v>
      </c>
    </row>
    <row r="332" spans="1:31" x14ac:dyDescent="0.15">
      <c r="A332" s="197" t="s">
        <v>183</v>
      </c>
      <c r="B332" s="189">
        <v>1</v>
      </c>
      <c r="C332" s="188"/>
      <c r="D332" s="188"/>
      <c r="E332" s="244">
        <f t="shared" si="320"/>
        <v>1</v>
      </c>
      <c r="F332" s="189">
        <v>1</v>
      </c>
      <c r="G332" s="188"/>
      <c r="H332" s="188"/>
      <c r="I332" s="244">
        <f t="shared" si="305"/>
        <v>1</v>
      </c>
      <c r="J332" s="189">
        <v>1</v>
      </c>
      <c r="K332" s="188"/>
      <c r="L332" s="188"/>
      <c r="M332" s="244">
        <f t="shared" si="306"/>
        <v>1</v>
      </c>
      <c r="N332" s="253">
        <f t="shared" si="307"/>
        <v>3</v>
      </c>
      <c r="O332" s="190">
        <v>46178</v>
      </c>
      <c r="P332" s="197"/>
      <c r="Q332" s="189"/>
      <c r="R332" s="188"/>
      <c r="S332" s="188"/>
      <c r="T332" s="244">
        <f t="shared" ref="T332:T333" si="321">SUM(Q332:S332)</f>
        <v>0</v>
      </c>
      <c r="U332" s="189"/>
      <c r="V332" s="188"/>
      <c r="W332" s="188"/>
      <c r="X332" s="244">
        <f t="shared" ref="X332:X333" si="322">SUM(U332:W332)</f>
        <v>0</v>
      </c>
      <c r="Y332" s="189"/>
      <c r="Z332" s="188"/>
      <c r="AA332" s="188"/>
      <c r="AB332" s="244">
        <f t="shared" ref="AB332:AB333" si="323">SUM(Y332:AA332)</f>
        <v>0</v>
      </c>
      <c r="AC332" s="253">
        <f t="shared" si="311"/>
        <v>0</v>
      </c>
    </row>
    <row r="333" spans="1:31" x14ac:dyDescent="0.15">
      <c r="A333" s="197" t="s">
        <v>185</v>
      </c>
      <c r="B333" s="189">
        <v>1</v>
      </c>
      <c r="C333" s="188"/>
      <c r="D333" s="188"/>
      <c r="E333" s="244">
        <f t="shared" si="320"/>
        <v>1</v>
      </c>
      <c r="F333" s="189">
        <v>1</v>
      </c>
      <c r="G333" s="188"/>
      <c r="H333" s="188"/>
      <c r="I333" s="244">
        <f t="shared" si="305"/>
        <v>1</v>
      </c>
      <c r="J333" s="189">
        <v>1</v>
      </c>
      <c r="K333" s="188"/>
      <c r="L333" s="188"/>
      <c r="M333" s="244">
        <f t="shared" si="306"/>
        <v>1</v>
      </c>
      <c r="N333" s="253">
        <f t="shared" si="307"/>
        <v>3</v>
      </c>
      <c r="O333" s="190">
        <v>46178</v>
      </c>
      <c r="P333" s="197"/>
      <c r="Q333" s="189"/>
      <c r="R333" s="188"/>
      <c r="S333" s="188"/>
      <c r="T333" s="244">
        <f t="shared" si="321"/>
        <v>0</v>
      </c>
      <c r="U333" s="189"/>
      <c r="V333" s="188"/>
      <c r="W333" s="188"/>
      <c r="X333" s="244">
        <f t="shared" si="322"/>
        <v>0</v>
      </c>
      <c r="Y333" s="189"/>
      <c r="Z333" s="188"/>
      <c r="AA333" s="188"/>
      <c r="AB333" s="244">
        <f t="shared" si="323"/>
        <v>0</v>
      </c>
      <c r="AC333" s="253">
        <f t="shared" ref="AC333" si="324">T333+X333+AB333</f>
        <v>0</v>
      </c>
    </row>
    <row r="334" spans="1:31" x14ac:dyDescent="0.15">
      <c r="A334" s="197" t="s">
        <v>186</v>
      </c>
      <c r="B334" s="189"/>
      <c r="C334" s="188">
        <v>1</v>
      </c>
      <c r="D334" s="188"/>
      <c r="E334" s="244">
        <f t="shared" si="320"/>
        <v>1</v>
      </c>
      <c r="F334" s="189"/>
      <c r="G334" s="188">
        <v>1</v>
      </c>
      <c r="H334" s="188"/>
      <c r="I334" s="244">
        <f t="shared" si="305"/>
        <v>1</v>
      </c>
      <c r="J334" s="189"/>
      <c r="K334" s="188">
        <v>1</v>
      </c>
      <c r="L334" s="188"/>
      <c r="M334" s="244">
        <f t="shared" si="306"/>
        <v>1</v>
      </c>
      <c r="N334" s="253">
        <f t="shared" si="307"/>
        <v>3</v>
      </c>
      <c r="O334" s="190">
        <v>46181</v>
      </c>
      <c r="P334" s="274" t="s">
        <v>1410</v>
      </c>
      <c r="Q334" s="239"/>
      <c r="R334" s="240"/>
      <c r="S334" s="240"/>
      <c r="T334" s="249">
        <f t="shared" si="308"/>
        <v>0</v>
      </c>
      <c r="U334" s="239"/>
      <c r="V334" s="240"/>
      <c r="W334" s="240"/>
      <c r="X334" s="249">
        <f t="shared" si="309"/>
        <v>0</v>
      </c>
      <c r="Y334" s="239"/>
      <c r="Z334" s="240"/>
      <c r="AA334" s="240"/>
      <c r="AB334" s="249">
        <f t="shared" si="310"/>
        <v>0</v>
      </c>
      <c r="AC334" s="298">
        <f t="shared" si="311"/>
        <v>0</v>
      </c>
      <c r="AD334" s="198"/>
    </row>
    <row r="335" spans="1:31" x14ac:dyDescent="0.15">
      <c r="A335" s="197"/>
      <c r="B335" s="189"/>
      <c r="C335" s="188"/>
      <c r="D335" s="188"/>
      <c r="E335" s="244">
        <f t="shared" si="320"/>
        <v>0</v>
      </c>
      <c r="F335" s="189"/>
      <c r="G335" s="188"/>
      <c r="H335" s="188"/>
      <c r="I335" s="244">
        <f t="shared" si="305"/>
        <v>0</v>
      </c>
      <c r="J335" s="189"/>
      <c r="K335" s="188"/>
      <c r="L335" s="188"/>
      <c r="M335" s="244">
        <f t="shared" si="306"/>
        <v>0</v>
      </c>
      <c r="N335" s="253">
        <f t="shared" si="307"/>
        <v>0</v>
      </c>
      <c r="P335" s="193" t="s">
        <v>1706</v>
      </c>
      <c r="Q335" s="189"/>
      <c r="R335" s="188"/>
      <c r="S335" s="188"/>
      <c r="T335" s="244">
        <f t="shared" si="308"/>
        <v>0</v>
      </c>
      <c r="U335" s="189"/>
      <c r="V335" s="188"/>
      <c r="W335" s="188"/>
      <c r="X335" s="244">
        <f t="shared" si="309"/>
        <v>0</v>
      </c>
      <c r="Y335" s="189"/>
      <c r="Z335" s="188"/>
      <c r="AA335" s="188"/>
      <c r="AB335" s="244">
        <f t="shared" si="310"/>
        <v>0</v>
      </c>
      <c r="AC335" s="253">
        <f t="shared" si="311"/>
        <v>0</v>
      </c>
      <c r="AD335" s="198" t="s">
        <v>1411</v>
      </c>
    </row>
    <row r="336" spans="1:31" x14ac:dyDescent="0.15">
      <c r="A336" s="197"/>
      <c r="B336" s="189"/>
      <c r="C336" s="188"/>
      <c r="D336" s="188"/>
      <c r="E336" s="244">
        <f t="shared" si="320"/>
        <v>0</v>
      </c>
      <c r="F336" s="189"/>
      <c r="G336" s="188"/>
      <c r="H336" s="188"/>
      <c r="I336" s="244">
        <f t="shared" si="305"/>
        <v>0</v>
      </c>
      <c r="J336" s="189"/>
      <c r="K336" s="188"/>
      <c r="L336" s="188"/>
      <c r="M336" s="244">
        <f t="shared" si="306"/>
        <v>0</v>
      </c>
      <c r="N336" s="253">
        <f t="shared" si="307"/>
        <v>0</v>
      </c>
      <c r="P336" s="191" t="s">
        <v>1413</v>
      </c>
      <c r="Q336" s="239"/>
      <c r="R336" s="240"/>
      <c r="S336" s="240"/>
      <c r="T336" s="249">
        <f t="shared" si="308"/>
        <v>0</v>
      </c>
      <c r="U336" s="239"/>
      <c r="V336" s="240"/>
      <c r="W336" s="240"/>
      <c r="X336" s="249">
        <f t="shared" si="309"/>
        <v>0</v>
      </c>
      <c r="Y336" s="239"/>
      <c r="Z336" s="240"/>
      <c r="AA336" s="240"/>
      <c r="AB336" s="249">
        <f t="shared" si="310"/>
        <v>0</v>
      </c>
      <c r="AC336" s="278">
        <f t="shared" si="311"/>
        <v>0</v>
      </c>
      <c r="AD336" s="241"/>
    </row>
    <row r="337" spans="1:30" x14ac:dyDescent="0.15">
      <c r="A337" s="197"/>
      <c r="B337" s="189"/>
      <c r="C337" s="188"/>
      <c r="D337" s="188"/>
      <c r="E337" s="244">
        <f t="shared" si="320"/>
        <v>0</v>
      </c>
      <c r="F337" s="189"/>
      <c r="G337" s="188"/>
      <c r="H337" s="188"/>
      <c r="I337" s="244">
        <f t="shared" si="305"/>
        <v>0</v>
      </c>
      <c r="J337" s="189"/>
      <c r="K337" s="188"/>
      <c r="L337" s="188"/>
      <c r="M337" s="244">
        <f t="shared" si="306"/>
        <v>0</v>
      </c>
      <c r="N337" s="253">
        <f t="shared" si="307"/>
        <v>0</v>
      </c>
      <c r="P337" s="197" t="s">
        <v>1414</v>
      </c>
      <c r="Q337" s="189"/>
      <c r="R337" s="188"/>
      <c r="S337" s="188"/>
      <c r="T337" s="244">
        <f t="shared" si="308"/>
        <v>0</v>
      </c>
      <c r="U337" s="189"/>
      <c r="V337" s="188"/>
      <c r="W337" s="188"/>
      <c r="X337" s="244">
        <f t="shared" si="309"/>
        <v>0</v>
      </c>
      <c r="Y337" s="189"/>
      <c r="Z337" s="188"/>
      <c r="AA337" s="188"/>
      <c r="AB337" s="244">
        <f t="shared" si="310"/>
        <v>0</v>
      </c>
      <c r="AC337" s="253">
        <f t="shared" si="311"/>
        <v>0</v>
      </c>
      <c r="AD337" s="198" t="s">
        <v>1411</v>
      </c>
    </row>
    <row r="338" spans="1:30" x14ac:dyDescent="0.15">
      <c r="A338" s="197"/>
      <c r="B338" s="189"/>
      <c r="C338" s="188"/>
      <c r="D338" s="188"/>
      <c r="E338" s="244">
        <f t="shared" si="320"/>
        <v>0</v>
      </c>
      <c r="F338" s="189"/>
      <c r="G338" s="188"/>
      <c r="H338" s="188"/>
      <c r="I338" s="244">
        <f t="shared" si="305"/>
        <v>0</v>
      </c>
      <c r="J338" s="189"/>
      <c r="K338" s="188"/>
      <c r="L338" s="188"/>
      <c r="M338" s="244">
        <f t="shared" si="306"/>
        <v>0</v>
      </c>
      <c r="N338" s="253">
        <f t="shared" si="307"/>
        <v>0</v>
      </c>
      <c r="P338" s="274" t="s">
        <v>1508</v>
      </c>
      <c r="Q338" s="239"/>
      <c r="R338" s="240"/>
      <c r="S338" s="240"/>
      <c r="T338" s="249">
        <f t="shared" ref="T338:T341" si="325">SUM(Q338:S338)</f>
        <v>0</v>
      </c>
      <c r="U338" s="239"/>
      <c r="V338" s="240"/>
      <c r="W338" s="240"/>
      <c r="X338" s="249">
        <f t="shared" ref="X338:X341" si="326">SUM(U338:W338)</f>
        <v>0</v>
      </c>
      <c r="Y338" s="239"/>
      <c r="Z338" s="240"/>
      <c r="AA338" s="240"/>
      <c r="AB338" s="249">
        <f t="shared" ref="AB338:AB341" si="327">SUM(Y338:AA338)</f>
        <v>0</v>
      </c>
      <c r="AC338" s="278">
        <f t="shared" ref="AC338:AC341" si="328">T338+X338+AB338</f>
        <v>0</v>
      </c>
      <c r="AD338" s="241"/>
    </row>
    <row r="339" spans="1:30" x14ac:dyDescent="0.15">
      <c r="A339" s="197"/>
      <c r="B339" s="189"/>
      <c r="C339" s="188"/>
      <c r="D339" s="188"/>
      <c r="E339" s="244">
        <f t="shared" si="320"/>
        <v>0</v>
      </c>
      <c r="F339" s="189"/>
      <c r="G339" s="188"/>
      <c r="H339" s="188"/>
      <c r="I339" s="244">
        <f t="shared" si="305"/>
        <v>0</v>
      </c>
      <c r="J339" s="189"/>
      <c r="K339" s="188"/>
      <c r="L339" s="188"/>
      <c r="M339" s="244">
        <f t="shared" si="306"/>
        <v>0</v>
      </c>
      <c r="N339" s="253">
        <f t="shared" si="307"/>
        <v>0</v>
      </c>
      <c r="P339" s="193" t="s">
        <v>1511</v>
      </c>
      <c r="Q339" s="189"/>
      <c r="R339" s="188"/>
      <c r="S339" s="188"/>
      <c r="T339" s="244">
        <f t="shared" si="325"/>
        <v>0</v>
      </c>
      <c r="U339" s="189"/>
      <c r="V339" s="188"/>
      <c r="W339" s="188"/>
      <c r="X339" s="244">
        <f t="shared" si="326"/>
        <v>0</v>
      </c>
      <c r="Y339" s="189"/>
      <c r="Z339" s="188"/>
      <c r="AA339" s="188"/>
      <c r="AB339" s="244">
        <f t="shared" si="327"/>
        <v>0</v>
      </c>
      <c r="AC339" s="253">
        <f t="shared" si="328"/>
        <v>0</v>
      </c>
      <c r="AD339" s="198" t="s">
        <v>1510</v>
      </c>
    </row>
    <row r="340" spans="1:30" x14ac:dyDescent="0.15">
      <c r="A340" s="197"/>
      <c r="B340" s="189"/>
      <c r="C340" s="188"/>
      <c r="D340" s="188"/>
      <c r="E340" s="244">
        <f t="shared" si="320"/>
        <v>0</v>
      </c>
      <c r="F340" s="189"/>
      <c r="G340" s="188"/>
      <c r="H340" s="188"/>
      <c r="I340" s="244">
        <f t="shared" si="305"/>
        <v>0</v>
      </c>
      <c r="J340" s="189"/>
      <c r="K340" s="188"/>
      <c r="L340" s="188"/>
      <c r="M340" s="244">
        <f t="shared" si="306"/>
        <v>0</v>
      </c>
      <c r="N340" s="253">
        <f t="shared" si="307"/>
        <v>0</v>
      </c>
      <c r="P340" s="191" t="s">
        <v>1456</v>
      </c>
      <c r="Q340" s="239"/>
      <c r="R340" s="240"/>
      <c r="S340" s="240"/>
      <c r="T340" s="249">
        <f t="shared" si="325"/>
        <v>0</v>
      </c>
      <c r="U340" s="239"/>
      <c r="V340" s="240"/>
      <c r="W340" s="240"/>
      <c r="X340" s="249">
        <f t="shared" si="326"/>
        <v>0</v>
      </c>
      <c r="Y340" s="239"/>
      <c r="Z340" s="240"/>
      <c r="AA340" s="240"/>
      <c r="AB340" s="249">
        <f t="shared" si="327"/>
        <v>0</v>
      </c>
      <c r="AC340" s="278">
        <f t="shared" si="328"/>
        <v>0</v>
      </c>
      <c r="AD340" s="241"/>
    </row>
    <row r="341" spans="1:30" ht="14.25" thickBot="1" x14ac:dyDescent="0.2">
      <c r="A341" s="197"/>
      <c r="B341" s="189"/>
      <c r="C341" s="188"/>
      <c r="D341" s="188"/>
      <c r="E341" s="244">
        <f t="shared" si="320"/>
        <v>0</v>
      </c>
      <c r="F341" s="189"/>
      <c r="G341" s="188"/>
      <c r="H341" s="188"/>
      <c r="I341" s="244">
        <f t="shared" si="305"/>
        <v>0</v>
      </c>
      <c r="J341" s="189"/>
      <c r="K341" s="188"/>
      <c r="L341" s="188"/>
      <c r="M341" s="244">
        <f t="shared" si="306"/>
        <v>0</v>
      </c>
      <c r="N341" s="253">
        <f t="shared" si="307"/>
        <v>0</v>
      </c>
      <c r="P341" s="197" t="s">
        <v>1538</v>
      </c>
      <c r="Q341" s="189"/>
      <c r="R341" s="188"/>
      <c r="S341" s="188"/>
      <c r="T341" s="244">
        <f t="shared" si="325"/>
        <v>0</v>
      </c>
      <c r="U341" s="189"/>
      <c r="V341" s="188"/>
      <c r="W341" s="188"/>
      <c r="X341" s="244">
        <f t="shared" si="326"/>
        <v>0</v>
      </c>
      <c r="Y341" s="189"/>
      <c r="Z341" s="188"/>
      <c r="AA341" s="188"/>
      <c r="AB341" s="244">
        <f t="shared" si="327"/>
        <v>0</v>
      </c>
      <c r="AC341" s="253">
        <f t="shared" si="328"/>
        <v>0</v>
      </c>
      <c r="AD341" s="198" t="s">
        <v>1537</v>
      </c>
    </row>
    <row r="342" spans="1:30" ht="14.25" thickBot="1" x14ac:dyDescent="0.2">
      <c r="A342" s="221" t="s">
        <v>5</v>
      </c>
      <c r="B342" s="222">
        <f>SUM(B318:B341)</f>
        <v>18</v>
      </c>
      <c r="C342" s="222">
        <f>SUM(C318:C341)</f>
        <v>7</v>
      </c>
      <c r="D342" s="222">
        <f>SUM(D318:D341)</f>
        <v>6</v>
      </c>
      <c r="E342" s="251">
        <f t="shared" si="320"/>
        <v>31</v>
      </c>
      <c r="F342" s="222">
        <f>SUM(F318:F341)</f>
        <v>18</v>
      </c>
      <c r="G342" s="222">
        <f>SUM(G318:G341)</f>
        <v>7</v>
      </c>
      <c r="H342" s="222">
        <f>SUM(H318:H341)</f>
        <v>6</v>
      </c>
      <c r="I342" s="251">
        <f t="shared" si="305"/>
        <v>31</v>
      </c>
      <c r="J342" s="222">
        <f>SUM(J318:J341)</f>
        <v>18</v>
      </c>
      <c r="K342" s="222">
        <f>SUM(K318:K341)</f>
        <v>7</v>
      </c>
      <c r="L342" s="222">
        <f>SUM(L318:L341)</f>
        <v>6</v>
      </c>
      <c r="M342" s="267">
        <f t="shared" si="306"/>
        <v>31</v>
      </c>
      <c r="N342" s="272">
        <f t="shared" si="307"/>
        <v>93</v>
      </c>
      <c r="P342" s="184" t="s">
        <v>5</v>
      </c>
      <c r="Q342" s="222">
        <f>SUM(Q318:Q341)</f>
        <v>21</v>
      </c>
      <c r="R342" s="222">
        <f>SUM(R318:R341)</f>
        <v>11</v>
      </c>
      <c r="S342" s="222">
        <f>SUM(S318:S341)</f>
        <v>5</v>
      </c>
      <c r="T342" s="251">
        <f t="shared" si="308"/>
        <v>37</v>
      </c>
      <c r="U342" s="222">
        <f>SUM(U318:U341)</f>
        <v>21</v>
      </c>
      <c r="V342" s="222">
        <f>SUM(V318:V341)</f>
        <v>11</v>
      </c>
      <c r="W342" s="222">
        <f>SUM(W318:W341)</f>
        <v>10</v>
      </c>
      <c r="X342" s="251">
        <f t="shared" si="309"/>
        <v>42</v>
      </c>
      <c r="Y342" s="222">
        <f>SUM(Y318:Y341)</f>
        <v>36</v>
      </c>
      <c r="Z342" s="222">
        <f>SUM(Z318:Z341)</f>
        <v>16</v>
      </c>
      <c r="AA342" s="222">
        <f>SUM(AA318:AA341)</f>
        <v>15</v>
      </c>
      <c r="AB342" s="251">
        <f t="shared" si="310"/>
        <v>67</v>
      </c>
      <c r="AC342" s="256">
        <f t="shared" si="311"/>
        <v>146</v>
      </c>
    </row>
    <row r="343" spans="1:30" ht="14.25" thickBot="1" x14ac:dyDescent="0.2">
      <c r="A343" s="223" t="s">
        <v>6</v>
      </c>
      <c r="B343" s="209">
        <f>B317-B342</f>
        <v>6</v>
      </c>
      <c r="C343" s="209">
        <f t="shared" ref="C343:E343" si="329">C317-C342</f>
        <v>4</v>
      </c>
      <c r="D343" s="209">
        <f t="shared" si="329"/>
        <v>5</v>
      </c>
      <c r="E343" s="246">
        <f t="shared" si="329"/>
        <v>15</v>
      </c>
      <c r="F343" s="209">
        <f>F317-F342</f>
        <v>7</v>
      </c>
      <c r="G343" s="209">
        <f t="shared" ref="G343:I343" si="330">G317-G342</f>
        <v>4</v>
      </c>
      <c r="H343" s="209">
        <f t="shared" si="330"/>
        <v>4</v>
      </c>
      <c r="I343" s="246">
        <f t="shared" si="330"/>
        <v>15</v>
      </c>
      <c r="J343" s="209">
        <f>J317-J342</f>
        <v>7</v>
      </c>
      <c r="K343" s="209">
        <f t="shared" ref="K343:M343" si="331">K317-K342</f>
        <v>3</v>
      </c>
      <c r="L343" s="209">
        <f t="shared" si="331"/>
        <v>5</v>
      </c>
      <c r="M343" s="266">
        <f t="shared" si="331"/>
        <v>15</v>
      </c>
      <c r="N343" s="271">
        <f t="shared" si="307"/>
        <v>45</v>
      </c>
      <c r="P343" s="224" t="s">
        <v>6</v>
      </c>
      <c r="Q343" s="209">
        <f>Q317-Q342</f>
        <v>254</v>
      </c>
      <c r="R343" s="209">
        <f t="shared" ref="R343:T343" si="332">R317-R342</f>
        <v>205</v>
      </c>
      <c r="S343" s="209">
        <f t="shared" si="332"/>
        <v>211</v>
      </c>
      <c r="T343" s="246">
        <f t="shared" si="332"/>
        <v>670</v>
      </c>
      <c r="U343" s="209">
        <f>U317-U342</f>
        <v>232</v>
      </c>
      <c r="V343" s="209">
        <f t="shared" ref="V343:X343" si="333">V317-V342</f>
        <v>232</v>
      </c>
      <c r="W343" s="209">
        <f t="shared" si="333"/>
        <v>214</v>
      </c>
      <c r="X343" s="246">
        <f t="shared" si="333"/>
        <v>678</v>
      </c>
      <c r="Y343" s="209">
        <f>Y317-Y342</f>
        <v>237</v>
      </c>
      <c r="Z343" s="209">
        <f t="shared" ref="Z343:AB343" si="334">Z317-Z342</f>
        <v>222</v>
      </c>
      <c r="AA343" s="209">
        <f t="shared" si="334"/>
        <v>201</v>
      </c>
      <c r="AB343" s="246">
        <f t="shared" si="334"/>
        <v>660</v>
      </c>
      <c r="AC343" s="256">
        <f t="shared" si="311"/>
        <v>2008</v>
      </c>
    </row>
    <row r="344" spans="1:30" x14ac:dyDescent="0.15">
      <c r="A344" s="172"/>
      <c r="N344" s="172"/>
      <c r="AC344" s="172"/>
    </row>
    <row r="345" spans="1:30" x14ac:dyDescent="0.15">
      <c r="A345" s="172"/>
      <c r="N345" s="172"/>
      <c r="AC345" s="172"/>
    </row>
    <row r="346" spans="1:30" ht="19.5" thickBot="1" x14ac:dyDescent="0.25">
      <c r="A346" s="177" t="s">
        <v>1183</v>
      </c>
      <c r="B346" s="178"/>
      <c r="C346" s="178"/>
      <c r="D346" s="178"/>
      <c r="E346" s="178"/>
      <c r="F346" s="179"/>
      <c r="G346" s="179"/>
      <c r="H346" s="179"/>
      <c r="I346" s="179"/>
      <c r="J346" s="179"/>
      <c r="K346" s="179"/>
      <c r="L346" s="179"/>
      <c r="M346" s="179"/>
      <c r="N346" s="180"/>
      <c r="P346" s="177" t="s">
        <v>1184</v>
      </c>
      <c r="Q346" s="178"/>
      <c r="R346" s="178"/>
      <c r="S346" s="178"/>
      <c r="T346" s="178"/>
      <c r="Y346" s="179"/>
      <c r="Z346" s="181"/>
      <c r="AA346" s="179"/>
      <c r="AB346" s="179"/>
    </row>
    <row r="347" spans="1:30" ht="14.25" thickBot="1" x14ac:dyDescent="0.2">
      <c r="A347" s="182" t="s">
        <v>0</v>
      </c>
      <c r="B347" s="350" t="s">
        <v>11</v>
      </c>
      <c r="C347" s="350"/>
      <c r="D347" s="350"/>
      <c r="E347" s="351"/>
      <c r="F347" s="349" t="s">
        <v>9</v>
      </c>
      <c r="G347" s="350"/>
      <c r="H347" s="350"/>
      <c r="I347" s="351"/>
      <c r="J347" s="349" t="s">
        <v>12</v>
      </c>
      <c r="K347" s="350"/>
      <c r="L347" s="350"/>
      <c r="M347" s="350"/>
      <c r="N347" s="352" t="s">
        <v>13</v>
      </c>
      <c r="P347" s="183" t="s">
        <v>0</v>
      </c>
      <c r="Q347" s="350" t="s">
        <v>11</v>
      </c>
      <c r="R347" s="350"/>
      <c r="S347" s="350"/>
      <c r="T347" s="351"/>
      <c r="U347" s="349" t="s">
        <v>9</v>
      </c>
      <c r="V347" s="350"/>
      <c r="W347" s="350"/>
      <c r="X347" s="351"/>
      <c r="Y347" s="349" t="s">
        <v>12</v>
      </c>
      <c r="Z347" s="350"/>
      <c r="AA347" s="350"/>
      <c r="AB347" s="350"/>
      <c r="AC347" s="354" t="s">
        <v>13</v>
      </c>
    </row>
    <row r="348" spans="1:30" ht="14.25" thickBot="1" x14ac:dyDescent="0.2">
      <c r="A348" s="182" t="s">
        <v>1</v>
      </c>
      <c r="B348" s="184" t="s">
        <v>922</v>
      </c>
      <c r="C348" s="183" t="s">
        <v>923</v>
      </c>
      <c r="D348" s="183" t="s">
        <v>924</v>
      </c>
      <c r="E348" s="242" t="s">
        <v>2</v>
      </c>
      <c r="F348" s="184" t="s">
        <v>922</v>
      </c>
      <c r="G348" s="183" t="s">
        <v>923</v>
      </c>
      <c r="H348" s="183" t="s">
        <v>924</v>
      </c>
      <c r="I348" s="242" t="s">
        <v>2</v>
      </c>
      <c r="J348" s="184" t="s">
        <v>922</v>
      </c>
      <c r="K348" s="183" t="s">
        <v>923</v>
      </c>
      <c r="L348" s="183" t="s">
        <v>924</v>
      </c>
      <c r="M348" s="252" t="s">
        <v>2</v>
      </c>
      <c r="N348" s="353"/>
      <c r="P348" s="183" t="s">
        <v>1</v>
      </c>
      <c r="Q348" s="184" t="s">
        <v>922</v>
      </c>
      <c r="R348" s="183" t="s">
        <v>923</v>
      </c>
      <c r="S348" s="183" t="s">
        <v>924</v>
      </c>
      <c r="T348" s="242" t="s">
        <v>2</v>
      </c>
      <c r="U348" s="184" t="s">
        <v>922</v>
      </c>
      <c r="V348" s="183" t="s">
        <v>923</v>
      </c>
      <c r="W348" s="183" t="s">
        <v>924</v>
      </c>
      <c r="X348" s="242" t="s">
        <v>2</v>
      </c>
      <c r="Y348" s="184" t="s">
        <v>922</v>
      </c>
      <c r="Z348" s="183" t="s">
        <v>923</v>
      </c>
      <c r="AA348" s="183" t="s">
        <v>924</v>
      </c>
      <c r="AB348" s="252" t="s">
        <v>2</v>
      </c>
      <c r="AC348" s="355"/>
    </row>
    <row r="349" spans="1:30" x14ac:dyDescent="0.15">
      <c r="A349" s="225" t="s">
        <v>6</v>
      </c>
      <c r="B349" s="226">
        <f>B343</f>
        <v>6</v>
      </c>
      <c r="C349" s="226">
        <f t="shared" ref="C349:E349" si="335">C343</f>
        <v>4</v>
      </c>
      <c r="D349" s="226">
        <f t="shared" si="335"/>
        <v>5</v>
      </c>
      <c r="E349" s="260">
        <f t="shared" si="335"/>
        <v>15</v>
      </c>
      <c r="F349" s="226">
        <f>F343</f>
        <v>7</v>
      </c>
      <c r="G349" s="226">
        <f t="shared" ref="G349:I349" si="336">G343</f>
        <v>4</v>
      </c>
      <c r="H349" s="226">
        <f t="shared" si="336"/>
        <v>4</v>
      </c>
      <c r="I349" s="260">
        <f t="shared" si="336"/>
        <v>15</v>
      </c>
      <c r="J349" s="226">
        <f>J343</f>
        <v>7</v>
      </c>
      <c r="K349" s="226">
        <f t="shared" ref="K349:M349" si="337">K343</f>
        <v>3</v>
      </c>
      <c r="L349" s="226">
        <f t="shared" si="337"/>
        <v>5</v>
      </c>
      <c r="M349" s="260">
        <f t="shared" si="337"/>
        <v>15</v>
      </c>
      <c r="N349" s="273">
        <f>E349+I349+M349</f>
        <v>45</v>
      </c>
      <c r="P349" s="215" t="s">
        <v>6</v>
      </c>
      <c r="Q349" s="226">
        <f>Q343</f>
        <v>254</v>
      </c>
      <c r="R349" s="226">
        <f t="shared" ref="R349:T349" si="338">R343</f>
        <v>205</v>
      </c>
      <c r="S349" s="226">
        <f t="shared" si="338"/>
        <v>211</v>
      </c>
      <c r="T349" s="260">
        <f t="shared" si="338"/>
        <v>670</v>
      </c>
      <c r="U349" s="226">
        <f>U343</f>
        <v>232</v>
      </c>
      <c r="V349" s="226">
        <f t="shared" ref="V349:X349" si="339">V343</f>
        <v>232</v>
      </c>
      <c r="W349" s="226">
        <f t="shared" si="339"/>
        <v>214</v>
      </c>
      <c r="X349" s="260">
        <f t="shared" si="339"/>
        <v>678</v>
      </c>
      <c r="Y349" s="226">
        <f>Y343</f>
        <v>237</v>
      </c>
      <c r="Z349" s="226">
        <f t="shared" ref="Z349:AB349" si="340">Z343</f>
        <v>222</v>
      </c>
      <c r="AA349" s="226">
        <f t="shared" si="340"/>
        <v>201</v>
      </c>
      <c r="AB349" s="260">
        <f t="shared" si="340"/>
        <v>660</v>
      </c>
      <c r="AC349" s="258">
        <f>T349+X349+AB349</f>
        <v>2008</v>
      </c>
    </row>
    <row r="350" spans="1:30" x14ac:dyDescent="0.15">
      <c r="A350" s="191" t="s">
        <v>195</v>
      </c>
      <c r="B350" s="199"/>
      <c r="C350" s="197"/>
      <c r="D350" s="197">
        <v>4</v>
      </c>
      <c r="E350" s="243">
        <f t="shared" ref="E350:E359" si="341">SUM(B350:D350)</f>
        <v>4</v>
      </c>
      <c r="F350" s="199">
        <v>1</v>
      </c>
      <c r="G350" s="197"/>
      <c r="H350" s="197"/>
      <c r="I350" s="243">
        <f t="shared" ref="I350:I385" si="342">SUM(F350:H350)</f>
        <v>1</v>
      </c>
      <c r="J350" s="186"/>
      <c r="K350" s="187">
        <v>1</v>
      </c>
      <c r="L350" s="187"/>
      <c r="M350" s="243">
        <f t="shared" ref="M350:M385" si="343">SUM(J350:L350)</f>
        <v>1</v>
      </c>
      <c r="N350" s="253">
        <f t="shared" ref="N350:N386" si="344">E350+I350+M350</f>
        <v>6</v>
      </c>
      <c r="O350" s="232">
        <v>46190</v>
      </c>
      <c r="P350" s="191" t="s">
        <v>3</v>
      </c>
      <c r="Q350" s="199"/>
      <c r="R350" s="197"/>
      <c r="S350" s="197"/>
      <c r="T350" s="243">
        <f t="shared" ref="T350:T356" si="345">SUM(Q350:S350)</f>
        <v>0</v>
      </c>
      <c r="U350" s="199"/>
      <c r="V350" s="197"/>
      <c r="W350" s="197"/>
      <c r="X350" s="243">
        <f t="shared" ref="X350:X356" si="346">SUM(U350:W350)</f>
        <v>0</v>
      </c>
      <c r="Y350" s="186"/>
      <c r="Z350" s="187"/>
      <c r="AA350" s="187"/>
      <c r="AB350" s="243">
        <f t="shared" ref="AB350:AB356" si="347">SUM(Y350:AA350)</f>
        <v>0</v>
      </c>
      <c r="AC350" s="253">
        <f t="shared" ref="AC350:AC358" si="348">T350+X350+AB350</f>
        <v>0</v>
      </c>
    </row>
    <row r="351" spans="1:30" x14ac:dyDescent="0.15">
      <c r="A351" s="191" t="s">
        <v>3</v>
      </c>
      <c r="B351" s="186"/>
      <c r="C351" s="187"/>
      <c r="D351" s="187"/>
      <c r="E351" s="244">
        <f t="shared" si="341"/>
        <v>0</v>
      </c>
      <c r="F351" s="186"/>
      <c r="G351" s="187"/>
      <c r="H351" s="187"/>
      <c r="I351" s="244">
        <f t="shared" si="342"/>
        <v>0</v>
      </c>
      <c r="J351" s="196"/>
      <c r="K351" s="197"/>
      <c r="L351" s="197"/>
      <c r="M351" s="243">
        <f t="shared" si="343"/>
        <v>0</v>
      </c>
      <c r="N351" s="253">
        <f t="shared" si="344"/>
        <v>0</v>
      </c>
      <c r="P351" s="191" t="s">
        <v>3</v>
      </c>
      <c r="Q351" s="186"/>
      <c r="R351" s="187"/>
      <c r="S351" s="187"/>
      <c r="T351" s="244">
        <f t="shared" si="345"/>
        <v>0</v>
      </c>
      <c r="U351" s="186"/>
      <c r="V351" s="187"/>
      <c r="W351" s="187"/>
      <c r="X351" s="244">
        <f t="shared" si="346"/>
        <v>0</v>
      </c>
      <c r="Y351" s="196"/>
      <c r="Z351" s="197"/>
      <c r="AA351" s="197"/>
      <c r="AB351" s="243">
        <f t="shared" si="347"/>
        <v>0</v>
      </c>
      <c r="AC351" s="253">
        <f t="shared" si="348"/>
        <v>0</v>
      </c>
    </row>
    <row r="352" spans="1:30" x14ac:dyDescent="0.15">
      <c r="A352" s="191" t="s">
        <v>3</v>
      </c>
      <c r="B352" s="199"/>
      <c r="C352" s="197"/>
      <c r="D352" s="197"/>
      <c r="E352" s="243">
        <f t="shared" si="341"/>
        <v>0</v>
      </c>
      <c r="F352" s="199"/>
      <c r="G352" s="197"/>
      <c r="H352" s="197"/>
      <c r="I352" s="243">
        <f t="shared" si="342"/>
        <v>0</v>
      </c>
      <c r="J352" s="196"/>
      <c r="K352" s="197"/>
      <c r="L352" s="197"/>
      <c r="M352" s="243">
        <f t="shared" si="343"/>
        <v>0</v>
      </c>
      <c r="N352" s="253">
        <f t="shared" si="344"/>
        <v>0</v>
      </c>
      <c r="P352" s="191" t="s">
        <v>378</v>
      </c>
      <c r="Q352" s="200">
        <v>250</v>
      </c>
      <c r="R352" s="187">
        <v>200</v>
      </c>
      <c r="S352" s="187">
        <v>150</v>
      </c>
      <c r="T352" s="243">
        <f t="shared" si="345"/>
        <v>600</v>
      </c>
      <c r="U352" s="200">
        <v>250</v>
      </c>
      <c r="V352" s="187">
        <v>200</v>
      </c>
      <c r="W352" s="187">
        <v>150</v>
      </c>
      <c r="X352" s="243">
        <f t="shared" si="346"/>
        <v>600</v>
      </c>
      <c r="Y352" s="186">
        <v>250</v>
      </c>
      <c r="Z352" s="187">
        <v>200</v>
      </c>
      <c r="AA352" s="187">
        <v>150</v>
      </c>
      <c r="AB352" s="243">
        <f t="shared" si="347"/>
        <v>600</v>
      </c>
      <c r="AC352" s="253">
        <f t="shared" si="348"/>
        <v>1800</v>
      </c>
      <c r="AD352" s="198" t="s">
        <v>1858</v>
      </c>
    </row>
    <row r="353" spans="1:32" x14ac:dyDescent="0.15">
      <c r="A353" s="191" t="s">
        <v>3</v>
      </c>
      <c r="B353" s="199"/>
      <c r="C353" s="197"/>
      <c r="D353" s="197"/>
      <c r="E353" s="243">
        <f t="shared" si="341"/>
        <v>0</v>
      </c>
      <c r="F353" s="199"/>
      <c r="G353" s="197"/>
      <c r="H353" s="197"/>
      <c r="I353" s="243">
        <f t="shared" si="342"/>
        <v>0</v>
      </c>
      <c r="J353" s="196"/>
      <c r="K353" s="197"/>
      <c r="L353" s="197"/>
      <c r="M353" s="243">
        <f t="shared" si="343"/>
        <v>0</v>
      </c>
      <c r="N353" s="253">
        <f t="shared" si="344"/>
        <v>0</v>
      </c>
      <c r="P353" s="191" t="s">
        <v>701</v>
      </c>
      <c r="Q353" s="186">
        <v>15</v>
      </c>
      <c r="R353" s="187">
        <v>12</v>
      </c>
      <c r="S353" s="187">
        <v>12</v>
      </c>
      <c r="T353" s="244">
        <f t="shared" ref="T353" si="349">SUM(Q353:S353)</f>
        <v>39</v>
      </c>
      <c r="U353" s="186">
        <v>16</v>
      </c>
      <c r="V353" s="187">
        <v>12</v>
      </c>
      <c r="W353" s="187">
        <v>11</v>
      </c>
      <c r="X353" s="244">
        <f t="shared" ref="X353" si="350">SUM(U353:W353)</f>
        <v>39</v>
      </c>
      <c r="Y353" s="196">
        <v>11</v>
      </c>
      <c r="Z353" s="197">
        <v>14</v>
      </c>
      <c r="AA353" s="197">
        <v>12</v>
      </c>
      <c r="AB353" s="243">
        <f t="shared" ref="AB353" si="351">SUM(Y353:AA353)</f>
        <v>37</v>
      </c>
      <c r="AC353" s="253">
        <f t="shared" ref="AC353" si="352">T353+X353+AB353</f>
        <v>115</v>
      </c>
      <c r="AD353" s="198"/>
    </row>
    <row r="354" spans="1:32" x14ac:dyDescent="0.15">
      <c r="A354" s="191" t="s">
        <v>3</v>
      </c>
      <c r="B354" s="199"/>
      <c r="C354" s="197"/>
      <c r="D354" s="197"/>
      <c r="E354" s="243">
        <f t="shared" si="341"/>
        <v>0</v>
      </c>
      <c r="F354" s="199"/>
      <c r="G354" s="197"/>
      <c r="H354" s="197"/>
      <c r="I354" s="243">
        <f t="shared" si="342"/>
        <v>0</v>
      </c>
      <c r="J354" s="196"/>
      <c r="K354" s="197"/>
      <c r="L354" s="197"/>
      <c r="M354" s="243">
        <f t="shared" si="343"/>
        <v>0</v>
      </c>
      <c r="N354" s="253">
        <f t="shared" si="344"/>
        <v>0</v>
      </c>
      <c r="P354" s="191" t="s">
        <v>3</v>
      </c>
      <c r="Q354" s="186"/>
      <c r="R354" s="187"/>
      <c r="S354" s="187"/>
      <c r="T354" s="244">
        <f t="shared" si="345"/>
        <v>0</v>
      </c>
      <c r="U354" s="186"/>
      <c r="V354" s="187"/>
      <c r="W354" s="187"/>
      <c r="X354" s="244">
        <f t="shared" si="346"/>
        <v>0</v>
      </c>
      <c r="Y354" s="196"/>
      <c r="Z354" s="197"/>
      <c r="AA354" s="197"/>
      <c r="AB354" s="243">
        <f t="shared" si="347"/>
        <v>0</v>
      </c>
      <c r="AC354" s="253">
        <f t="shared" si="348"/>
        <v>0</v>
      </c>
    </row>
    <row r="355" spans="1:32" x14ac:dyDescent="0.15">
      <c r="A355" s="191" t="s">
        <v>3</v>
      </c>
      <c r="B355" s="199"/>
      <c r="C355" s="197"/>
      <c r="D355" s="197"/>
      <c r="E355" s="243">
        <f t="shared" si="341"/>
        <v>0</v>
      </c>
      <c r="F355" s="199"/>
      <c r="G355" s="197"/>
      <c r="H355" s="197"/>
      <c r="I355" s="243">
        <f t="shared" si="342"/>
        <v>0</v>
      </c>
      <c r="J355" s="186"/>
      <c r="K355" s="187"/>
      <c r="L355" s="187"/>
      <c r="M355" s="244">
        <f t="shared" si="343"/>
        <v>0</v>
      </c>
      <c r="N355" s="253">
        <f t="shared" si="344"/>
        <v>0</v>
      </c>
      <c r="P355" s="191" t="s">
        <v>3</v>
      </c>
      <c r="Q355" s="199"/>
      <c r="R355" s="197"/>
      <c r="S355" s="197"/>
      <c r="T355" s="243">
        <f t="shared" si="345"/>
        <v>0</v>
      </c>
      <c r="U355" s="199"/>
      <c r="V355" s="197"/>
      <c r="W355" s="197"/>
      <c r="X355" s="243">
        <f t="shared" si="346"/>
        <v>0</v>
      </c>
      <c r="Y355" s="186"/>
      <c r="Z355" s="187"/>
      <c r="AA355" s="187"/>
      <c r="AB355" s="244">
        <f t="shared" si="347"/>
        <v>0</v>
      </c>
      <c r="AC355" s="253">
        <f t="shared" si="348"/>
        <v>0</v>
      </c>
    </row>
    <row r="356" spans="1:32" x14ac:dyDescent="0.15">
      <c r="A356" s="191" t="s">
        <v>3</v>
      </c>
      <c r="B356" s="200"/>
      <c r="C356" s="187"/>
      <c r="D356" s="187"/>
      <c r="E356" s="243">
        <f t="shared" si="341"/>
        <v>0</v>
      </c>
      <c r="F356" s="200"/>
      <c r="G356" s="187"/>
      <c r="H356" s="187"/>
      <c r="I356" s="243">
        <f t="shared" si="342"/>
        <v>0</v>
      </c>
      <c r="J356" s="186"/>
      <c r="K356" s="187"/>
      <c r="L356" s="187"/>
      <c r="M356" s="243">
        <f t="shared" si="343"/>
        <v>0</v>
      </c>
      <c r="N356" s="253">
        <f t="shared" si="344"/>
        <v>0</v>
      </c>
      <c r="P356" s="191" t="s">
        <v>3</v>
      </c>
      <c r="Q356" s="186"/>
      <c r="R356" s="187"/>
      <c r="S356" s="187"/>
      <c r="T356" s="244">
        <f t="shared" si="345"/>
        <v>0</v>
      </c>
      <c r="U356" s="186"/>
      <c r="V356" s="187"/>
      <c r="W356" s="187"/>
      <c r="X356" s="244">
        <f t="shared" si="346"/>
        <v>0</v>
      </c>
      <c r="Y356" s="196"/>
      <c r="Z356" s="197"/>
      <c r="AA356" s="197"/>
      <c r="AB356" s="243">
        <f t="shared" si="347"/>
        <v>0</v>
      </c>
      <c r="AC356" s="253">
        <f t="shared" si="348"/>
        <v>0</v>
      </c>
    </row>
    <row r="357" spans="1:32" x14ac:dyDescent="0.15">
      <c r="A357" s="191" t="s">
        <v>3</v>
      </c>
      <c r="B357" s="199"/>
      <c r="C357" s="197"/>
      <c r="D357" s="197"/>
      <c r="E357" s="243">
        <f t="shared" si="341"/>
        <v>0</v>
      </c>
      <c r="F357" s="199"/>
      <c r="G357" s="197"/>
      <c r="H357" s="197"/>
      <c r="I357" s="243">
        <f t="shared" si="342"/>
        <v>0</v>
      </c>
      <c r="J357" s="186"/>
      <c r="K357" s="187"/>
      <c r="L357" s="187"/>
      <c r="M357" s="243">
        <f t="shared" si="343"/>
        <v>0</v>
      </c>
      <c r="N357" s="253">
        <f t="shared" si="344"/>
        <v>0</v>
      </c>
      <c r="P357" s="191" t="s">
        <v>3</v>
      </c>
      <c r="Q357" s="199"/>
      <c r="R357" s="197"/>
      <c r="S357" s="197"/>
      <c r="T357" s="243">
        <f t="shared" ref="T357:T385" si="353">SUM(Q357:S357)</f>
        <v>0</v>
      </c>
      <c r="U357" s="199"/>
      <c r="V357" s="197"/>
      <c r="W357" s="197"/>
      <c r="X357" s="243">
        <f t="shared" ref="X357:X385" si="354">SUM(U357:W357)</f>
        <v>0</v>
      </c>
      <c r="Y357" s="186"/>
      <c r="Z357" s="187"/>
      <c r="AA357" s="187"/>
      <c r="AB357" s="243">
        <f t="shared" ref="AB357:AB385" si="355">SUM(Y357:AA357)</f>
        <v>0</v>
      </c>
      <c r="AC357" s="253">
        <f t="shared" si="348"/>
        <v>0</v>
      </c>
    </row>
    <row r="358" spans="1:32" x14ac:dyDescent="0.15">
      <c r="A358" s="191" t="s">
        <v>3</v>
      </c>
      <c r="B358" s="200"/>
      <c r="C358" s="187"/>
      <c r="D358" s="187"/>
      <c r="E358" s="243">
        <f t="shared" si="341"/>
        <v>0</v>
      </c>
      <c r="F358" s="200"/>
      <c r="G358" s="187"/>
      <c r="H358" s="187"/>
      <c r="I358" s="243">
        <f t="shared" si="342"/>
        <v>0</v>
      </c>
      <c r="J358" s="186"/>
      <c r="K358" s="187"/>
      <c r="L358" s="187"/>
      <c r="M358" s="243">
        <f t="shared" si="343"/>
        <v>0</v>
      </c>
      <c r="N358" s="253">
        <f t="shared" si="344"/>
        <v>0</v>
      </c>
      <c r="P358" s="191" t="s">
        <v>3</v>
      </c>
      <c r="Q358" s="200"/>
      <c r="R358" s="187"/>
      <c r="S358" s="187"/>
      <c r="T358" s="243">
        <f t="shared" si="353"/>
        <v>0</v>
      </c>
      <c r="U358" s="200"/>
      <c r="V358" s="187"/>
      <c r="W358" s="187"/>
      <c r="X358" s="243">
        <f t="shared" si="354"/>
        <v>0</v>
      </c>
      <c r="Y358" s="186"/>
      <c r="Z358" s="187"/>
      <c r="AA358" s="187"/>
      <c r="AB358" s="243">
        <f t="shared" si="355"/>
        <v>0</v>
      </c>
      <c r="AC358" s="253">
        <f t="shared" si="348"/>
        <v>0</v>
      </c>
    </row>
    <row r="359" spans="1:32" ht="14.25" thickBot="1" x14ac:dyDescent="0.2">
      <c r="A359" s="206" t="s">
        <v>3</v>
      </c>
      <c r="B359" s="202"/>
      <c r="C359" s="203"/>
      <c r="D359" s="203"/>
      <c r="E359" s="245">
        <f t="shared" si="341"/>
        <v>0</v>
      </c>
      <c r="F359" s="202"/>
      <c r="G359" s="203"/>
      <c r="H359" s="203"/>
      <c r="I359" s="245">
        <f t="shared" si="342"/>
        <v>0</v>
      </c>
      <c r="J359" s="205"/>
      <c r="K359" s="203"/>
      <c r="L359" s="204"/>
      <c r="M359" s="245">
        <f t="shared" si="343"/>
        <v>0</v>
      </c>
      <c r="N359" s="255">
        <f t="shared" si="344"/>
        <v>0</v>
      </c>
      <c r="P359" s="206" t="s">
        <v>3</v>
      </c>
      <c r="Q359" s="202"/>
      <c r="R359" s="203"/>
      <c r="S359" s="203"/>
      <c r="T359" s="245">
        <f t="shared" si="353"/>
        <v>0</v>
      </c>
      <c r="U359" s="202"/>
      <c r="V359" s="203"/>
      <c r="W359" s="203"/>
      <c r="X359" s="245">
        <f t="shared" si="354"/>
        <v>0</v>
      </c>
      <c r="Y359" s="205"/>
      <c r="Z359" s="203"/>
      <c r="AA359" s="204"/>
      <c r="AB359" s="245">
        <f t="shared" si="355"/>
        <v>0</v>
      </c>
      <c r="AC359" s="255">
        <f t="shared" ref="AC359:AC386" si="356">T359+X359+AB359</f>
        <v>0</v>
      </c>
    </row>
    <row r="360" spans="1:32" ht="14.25" thickBot="1" x14ac:dyDescent="0.2">
      <c r="A360" s="207" t="s">
        <v>4</v>
      </c>
      <c r="B360" s="208">
        <f>SUM(B349:B359)</f>
        <v>6</v>
      </c>
      <c r="C360" s="208">
        <f>SUM(C349:C359)</f>
        <v>4</v>
      </c>
      <c r="D360" s="208">
        <f>SUM(D349:D359)</f>
        <v>9</v>
      </c>
      <c r="E360" s="246">
        <f t="shared" ref="E360:E385" si="357">SUM(B360:D360)</f>
        <v>19</v>
      </c>
      <c r="F360" s="208">
        <f>SUM(F349:F359)</f>
        <v>8</v>
      </c>
      <c r="G360" s="208">
        <f>SUM(G349:G359)</f>
        <v>4</v>
      </c>
      <c r="H360" s="208">
        <f>SUM(H349:H359)</f>
        <v>4</v>
      </c>
      <c r="I360" s="246">
        <f t="shared" si="342"/>
        <v>16</v>
      </c>
      <c r="J360" s="208">
        <f>SUM(J349:J359)</f>
        <v>7</v>
      </c>
      <c r="K360" s="208">
        <f>SUM(K349:K359)</f>
        <v>4</v>
      </c>
      <c r="L360" s="208">
        <f>SUM(L349:L359)</f>
        <v>5</v>
      </c>
      <c r="M360" s="266">
        <f t="shared" si="343"/>
        <v>16</v>
      </c>
      <c r="N360" s="271">
        <f t="shared" si="344"/>
        <v>51</v>
      </c>
      <c r="P360" s="210" t="s">
        <v>4</v>
      </c>
      <c r="Q360" s="208">
        <f>SUM(Q349:Q359)</f>
        <v>519</v>
      </c>
      <c r="R360" s="208">
        <f>SUM(R349:R359)</f>
        <v>417</v>
      </c>
      <c r="S360" s="208">
        <f>SUM(S349:S359)</f>
        <v>373</v>
      </c>
      <c r="T360" s="246">
        <f t="shared" si="353"/>
        <v>1309</v>
      </c>
      <c r="U360" s="208">
        <f>SUM(U349:U359)</f>
        <v>498</v>
      </c>
      <c r="V360" s="208">
        <f>SUM(V349:V359)</f>
        <v>444</v>
      </c>
      <c r="W360" s="208">
        <f>SUM(W349:W359)</f>
        <v>375</v>
      </c>
      <c r="X360" s="246">
        <f t="shared" si="354"/>
        <v>1317</v>
      </c>
      <c r="Y360" s="208">
        <f>SUM(Y349:Y359)</f>
        <v>498</v>
      </c>
      <c r="Z360" s="208">
        <f>SUM(Z349:Z359)</f>
        <v>436</v>
      </c>
      <c r="AA360" s="208">
        <f>SUM(AA349:AA359)</f>
        <v>363</v>
      </c>
      <c r="AB360" s="246">
        <f t="shared" si="355"/>
        <v>1297</v>
      </c>
      <c r="AC360" s="256">
        <f t="shared" si="356"/>
        <v>3923</v>
      </c>
    </row>
    <row r="361" spans="1:32" x14ac:dyDescent="0.15">
      <c r="A361" s="197" t="s">
        <v>188</v>
      </c>
      <c r="B361" s="189"/>
      <c r="C361" s="188"/>
      <c r="D361" s="188">
        <v>2</v>
      </c>
      <c r="E361" s="244">
        <f t="shared" si="357"/>
        <v>2</v>
      </c>
      <c r="F361" s="189"/>
      <c r="G361" s="188"/>
      <c r="H361" s="188">
        <v>2</v>
      </c>
      <c r="I361" s="244">
        <f t="shared" si="342"/>
        <v>2</v>
      </c>
      <c r="J361" s="189"/>
      <c r="K361" s="188"/>
      <c r="L361" s="188">
        <v>2</v>
      </c>
      <c r="M361" s="244">
        <f t="shared" si="343"/>
        <v>2</v>
      </c>
      <c r="N361" s="253">
        <f t="shared" si="344"/>
        <v>6</v>
      </c>
      <c r="O361" s="190">
        <v>46183</v>
      </c>
      <c r="P361" s="193" t="s">
        <v>943</v>
      </c>
      <c r="Q361" s="189">
        <v>8</v>
      </c>
      <c r="R361" s="188">
        <v>2</v>
      </c>
      <c r="S361" s="188">
        <v>1</v>
      </c>
      <c r="T361" s="244">
        <f t="shared" si="353"/>
        <v>11</v>
      </c>
      <c r="U361" s="189">
        <v>8</v>
      </c>
      <c r="V361" s="188">
        <v>2</v>
      </c>
      <c r="W361" s="188">
        <v>1</v>
      </c>
      <c r="X361" s="244">
        <f t="shared" si="354"/>
        <v>11</v>
      </c>
      <c r="Y361" s="189">
        <v>8</v>
      </c>
      <c r="Z361" s="188">
        <v>2</v>
      </c>
      <c r="AA361" s="188">
        <v>1</v>
      </c>
      <c r="AB361" s="244">
        <f t="shared" si="355"/>
        <v>11</v>
      </c>
      <c r="AC361" s="253">
        <f t="shared" si="356"/>
        <v>33</v>
      </c>
      <c r="AD361" s="194">
        <v>46174</v>
      </c>
    </row>
    <row r="362" spans="1:32" x14ac:dyDescent="0.15">
      <c r="A362" s="197" t="s">
        <v>1876</v>
      </c>
      <c r="B362" s="189"/>
      <c r="C362" s="188">
        <v>1</v>
      </c>
      <c r="D362" s="188"/>
      <c r="E362" s="244">
        <f t="shared" si="357"/>
        <v>1</v>
      </c>
      <c r="F362" s="189"/>
      <c r="G362" s="188">
        <v>1</v>
      </c>
      <c r="H362" s="188"/>
      <c r="I362" s="244">
        <f t="shared" si="342"/>
        <v>1</v>
      </c>
      <c r="J362" s="189"/>
      <c r="K362" s="188">
        <v>1</v>
      </c>
      <c r="L362" s="188"/>
      <c r="M362" s="244">
        <f t="shared" si="343"/>
        <v>1</v>
      </c>
      <c r="N362" s="253">
        <f t="shared" si="344"/>
        <v>3</v>
      </c>
      <c r="O362" s="190">
        <v>46184</v>
      </c>
      <c r="P362" s="197" t="s">
        <v>1845</v>
      </c>
      <c r="Q362" s="189"/>
      <c r="R362" s="188"/>
      <c r="S362" s="188"/>
      <c r="T362" s="244">
        <f t="shared" si="353"/>
        <v>0</v>
      </c>
      <c r="U362" s="189"/>
      <c r="V362" s="188"/>
      <c r="W362" s="188"/>
      <c r="X362" s="244">
        <f t="shared" si="354"/>
        <v>0</v>
      </c>
      <c r="Y362" s="189">
        <v>5</v>
      </c>
      <c r="Z362" s="188"/>
      <c r="AA362" s="188"/>
      <c r="AB362" s="244">
        <f t="shared" si="355"/>
        <v>5</v>
      </c>
      <c r="AC362" s="253">
        <f t="shared" si="356"/>
        <v>5</v>
      </c>
      <c r="AD362" s="194">
        <v>46177</v>
      </c>
    </row>
    <row r="363" spans="1:32" x14ac:dyDescent="0.15">
      <c r="A363" s="197" t="s">
        <v>1889</v>
      </c>
      <c r="B363" s="189">
        <v>1</v>
      </c>
      <c r="C363" s="188"/>
      <c r="D363" s="188"/>
      <c r="E363" s="244">
        <f t="shared" si="357"/>
        <v>1</v>
      </c>
      <c r="F363" s="189">
        <v>1</v>
      </c>
      <c r="G363" s="188"/>
      <c r="H363" s="188"/>
      <c r="I363" s="244">
        <f t="shared" si="342"/>
        <v>1</v>
      </c>
      <c r="J363" s="189">
        <v>1</v>
      </c>
      <c r="K363" s="188"/>
      <c r="L363" s="188"/>
      <c r="M363" s="244">
        <f t="shared" si="343"/>
        <v>1</v>
      </c>
      <c r="N363" s="253">
        <f t="shared" si="344"/>
        <v>3</v>
      </c>
      <c r="O363" s="190">
        <v>46188</v>
      </c>
      <c r="P363" s="197" t="s">
        <v>1854</v>
      </c>
      <c r="Q363" s="189">
        <v>2</v>
      </c>
      <c r="R363" s="188">
        <v>2</v>
      </c>
      <c r="S363" s="188">
        <v>2</v>
      </c>
      <c r="T363" s="244">
        <f t="shared" si="353"/>
        <v>6</v>
      </c>
      <c r="U363" s="189">
        <v>2</v>
      </c>
      <c r="V363" s="188">
        <v>2</v>
      </c>
      <c r="W363" s="188">
        <v>2</v>
      </c>
      <c r="X363" s="244">
        <f t="shared" si="354"/>
        <v>6</v>
      </c>
      <c r="Y363" s="189">
        <v>2</v>
      </c>
      <c r="Z363" s="188">
        <v>2</v>
      </c>
      <c r="AA363" s="188">
        <v>2</v>
      </c>
      <c r="AB363" s="244">
        <f t="shared" si="355"/>
        <v>6</v>
      </c>
      <c r="AC363" s="253">
        <f t="shared" si="356"/>
        <v>18</v>
      </c>
      <c r="AD363" s="194">
        <v>46181</v>
      </c>
      <c r="AE363" s="195"/>
    </row>
    <row r="364" spans="1:32" x14ac:dyDescent="0.15">
      <c r="A364" s="211" t="s">
        <v>1908</v>
      </c>
      <c r="B364" s="212"/>
      <c r="C364" s="213">
        <v>1</v>
      </c>
      <c r="D364" s="213"/>
      <c r="E364" s="248">
        <f t="shared" si="357"/>
        <v>1</v>
      </c>
      <c r="F364" s="212"/>
      <c r="G364" s="213">
        <v>1</v>
      </c>
      <c r="H364" s="213"/>
      <c r="I364" s="248">
        <f t="shared" si="342"/>
        <v>1</v>
      </c>
      <c r="J364" s="212"/>
      <c r="K364" s="213">
        <v>1</v>
      </c>
      <c r="L364" s="213"/>
      <c r="M364" s="248">
        <f t="shared" si="343"/>
        <v>1</v>
      </c>
      <c r="N364" s="258">
        <f t="shared" si="344"/>
        <v>3</v>
      </c>
      <c r="O364" s="331">
        <v>46192</v>
      </c>
      <c r="P364" s="197" t="s">
        <v>1439</v>
      </c>
      <c r="Q364" s="189">
        <v>4</v>
      </c>
      <c r="R364" s="188">
        <v>4</v>
      </c>
      <c r="S364" s="188">
        <v>4</v>
      </c>
      <c r="T364" s="244">
        <f t="shared" si="353"/>
        <v>12</v>
      </c>
      <c r="U364" s="189">
        <v>4</v>
      </c>
      <c r="V364" s="188">
        <v>4</v>
      </c>
      <c r="W364" s="188">
        <v>4</v>
      </c>
      <c r="X364" s="244">
        <f t="shared" si="354"/>
        <v>12</v>
      </c>
      <c r="Y364" s="189">
        <v>4</v>
      </c>
      <c r="Z364" s="188">
        <v>4</v>
      </c>
      <c r="AA364" s="188">
        <v>4</v>
      </c>
      <c r="AB364" s="244">
        <f t="shared" si="355"/>
        <v>12</v>
      </c>
      <c r="AC364" s="253">
        <f t="shared" si="356"/>
        <v>36</v>
      </c>
      <c r="AD364" s="194">
        <v>46185</v>
      </c>
    </row>
    <row r="365" spans="1:32" x14ac:dyDescent="0.15">
      <c r="A365" s="197"/>
      <c r="B365" s="189"/>
      <c r="C365" s="188"/>
      <c r="D365" s="188"/>
      <c r="E365" s="244">
        <f t="shared" si="357"/>
        <v>0</v>
      </c>
      <c r="F365" s="189"/>
      <c r="G365" s="188"/>
      <c r="H365" s="188"/>
      <c r="I365" s="244">
        <f t="shared" si="342"/>
        <v>0</v>
      </c>
      <c r="J365" s="189"/>
      <c r="K365" s="188"/>
      <c r="L365" s="188"/>
      <c r="M365" s="244">
        <f t="shared" si="343"/>
        <v>0</v>
      </c>
      <c r="N365" s="253">
        <f t="shared" si="344"/>
        <v>0</v>
      </c>
      <c r="P365" s="197" t="s">
        <v>1882</v>
      </c>
      <c r="Q365" s="189"/>
      <c r="R365" s="188">
        <v>1</v>
      </c>
      <c r="S365" s="188">
        <v>1</v>
      </c>
      <c r="T365" s="244">
        <f t="shared" si="353"/>
        <v>2</v>
      </c>
      <c r="U365" s="189"/>
      <c r="V365" s="188">
        <v>1</v>
      </c>
      <c r="W365" s="188">
        <v>1</v>
      </c>
      <c r="X365" s="244">
        <f t="shared" si="354"/>
        <v>2</v>
      </c>
      <c r="Y365" s="189"/>
      <c r="Z365" s="188">
        <v>1</v>
      </c>
      <c r="AA365" s="188">
        <v>1</v>
      </c>
      <c r="AB365" s="244">
        <f t="shared" si="355"/>
        <v>2</v>
      </c>
      <c r="AC365" s="253">
        <f t="shared" si="356"/>
        <v>6</v>
      </c>
      <c r="AD365" s="194">
        <v>46185</v>
      </c>
      <c r="AE365" s="195"/>
      <c r="AF365" s="195"/>
    </row>
    <row r="366" spans="1:32" x14ac:dyDescent="0.15">
      <c r="A366" s="197"/>
      <c r="B366" s="189"/>
      <c r="C366" s="188"/>
      <c r="D366" s="188"/>
      <c r="E366" s="244">
        <f t="shared" si="357"/>
        <v>0</v>
      </c>
      <c r="F366" s="189"/>
      <c r="G366" s="188"/>
      <c r="H366" s="188"/>
      <c r="I366" s="244">
        <f t="shared" si="342"/>
        <v>0</v>
      </c>
      <c r="J366" s="189"/>
      <c r="K366" s="188"/>
      <c r="L366" s="188"/>
      <c r="M366" s="244">
        <f t="shared" si="343"/>
        <v>0</v>
      </c>
      <c r="N366" s="253">
        <f t="shared" si="344"/>
        <v>0</v>
      </c>
      <c r="P366" s="197" t="s">
        <v>1885</v>
      </c>
      <c r="Q366" s="189"/>
      <c r="R366" s="188"/>
      <c r="S366" s="188">
        <v>6</v>
      </c>
      <c r="T366" s="244">
        <f t="shared" ref="T366:T372" si="358">SUM(Q366:S366)</f>
        <v>6</v>
      </c>
      <c r="U366" s="189"/>
      <c r="V366" s="188"/>
      <c r="W366" s="188">
        <v>6</v>
      </c>
      <c r="X366" s="244">
        <f t="shared" ref="X366:X372" si="359">SUM(U366:W366)</f>
        <v>6</v>
      </c>
      <c r="Y366" s="189"/>
      <c r="Z366" s="188"/>
      <c r="AA366" s="188">
        <v>6</v>
      </c>
      <c r="AB366" s="244">
        <f t="shared" ref="AB366:AB372" si="360">SUM(Y366:AA366)</f>
        <v>6</v>
      </c>
      <c r="AC366" s="253">
        <f t="shared" ref="AC366:AC372" si="361">T366+X366+AB366</f>
        <v>18</v>
      </c>
      <c r="AD366" s="194">
        <v>46185</v>
      </c>
      <c r="AE366" s="195"/>
      <c r="AF366" s="195"/>
    </row>
    <row r="367" spans="1:32" x14ac:dyDescent="0.15">
      <c r="A367" s="197"/>
      <c r="B367" s="189"/>
      <c r="C367" s="188"/>
      <c r="D367" s="188"/>
      <c r="E367" s="244">
        <f t="shared" si="357"/>
        <v>0</v>
      </c>
      <c r="F367" s="189"/>
      <c r="G367" s="188"/>
      <c r="H367" s="188"/>
      <c r="I367" s="244">
        <f t="shared" si="342"/>
        <v>0</v>
      </c>
      <c r="J367" s="189"/>
      <c r="K367" s="188"/>
      <c r="L367" s="188"/>
      <c r="M367" s="244">
        <f t="shared" si="343"/>
        <v>0</v>
      </c>
      <c r="N367" s="253">
        <f t="shared" si="344"/>
        <v>0</v>
      </c>
      <c r="P367" s="197" t="s">
        <v>199</v>
      </c>
      <c r="Q367" s="189">
        <v>4</v>
      </c>
      <c r="R367" s="188">
        <v>3</v>
      </c>
      <c r="S367" s="188">
        <v>1</v>
      </c>
      <c r="T367" s="244">
        <f t="shared" si="358"/>
        <v>8</v>
      </c>
      <c r="U367" s="189">
        <v>4</v>
      </c>
      <c r="V367" s="188">
        <v>3</v>
      </c>
      <c r="W367" s="188">
        <v>1</v>
      </c>
      <c r="X367" s="244">
        <f t="shared" si="359"/>
        <v>8</v>
      </c>
      <c r="Y367" s="189">
        <v>4</v>
      </c>
      <c r="Z367" s="188">
        <v>3</v>
      </c>
      <c r="AA367" s="188">
        <v>1</v>
      </c>
      <c r="AB367" s="244">
        <f t="shared" si="360"/>
        <v>8</v>
      </c>
      <c r="AC367" s="253">
        <f t="shared" si="361"/>
        <v>24</v>
      </c>
      <c r="AD367" s="194">
        <v>46190</v>
      </c>
      <c r="AE367" s="195"/>
      <c r="AF367" s="195"/>
    </row>
    <row r="368" spans="1:32" x14ac:dyDescent="0.15">
      <c r="A368" s="197"/>
      <c r="B368" s="189"/>
      <c r="C368" s="188"/>
      <c r="D368" s="188"/>
      <c r="E368" s="244">
        <f t="shared" si="357"/>
        <v>0</v>
      </c>
      <c r="F368" s="189"/>
      <c r="G368" s="188"/>
      <c r="H368" s="188"/>
      <c r="I368" s="244">
        <f t="shared" si="342"/>
        <v>0</v>
      </c>
      <c r="J368" s="189"/>
      <c r="K368" s="188"/>
      <c r="L368" s="188"/>
      <c r="M368" s="244">
        <f t="shared" si="343"/>
        <v>0</v>
      </c>
      <c r="N368" s="253">
        <f t="shared" si="344"/>
        <v>0</v>
      </c>
      <c r="P368" s="197" t="s">
        <v>1894</v>
      </c>
      <c r="Q368" s="189">
        <v>2</v>
      </c>
      <c r="R368" s="188">
        <v>1</v>
      </c>
      <c r="S368" s="188">
        <v>2</v>
      </c>
      <c r="T368" s="244">
        <f t="shared" si="358"/>
        <v>5</v>
      </c>
      <c r="U368" s="189">
        <v>2</v>
      </c>
      <c r="V368" s="188">
        <v>1</v>
      </c>
      <c r="W368" s="188">
        <v>2</v>
      </c>
      <c r="X368" s="244">
        <f t="shared" si="359"/>
        <v>5</v>
      </c>
      <c r="Y368" s="189">
        <v>2</v>
      </c>
      <c r="Z368" s="188">
        <v>1</v>
      </c>
      <c r="AA368" s="188">
        <v>2</v>
      </c>
      <c r="AB368" s="244">
        <f t="shared" si="360"/>
        <v>5</v>
      </c>
      <c r="AC368" s="253">
        <f t="shared" si="361"/>
        <v>15</v>
      </c>
      <c r="AD368" s="194">
        <v>46191</v>
      </c>
      <c r="AE368" s="195"/>
    </row>
    <row r="369" spans="1:31" x14ac:dyDescent="0.15">
      <c r="A369" s="197"/>
      <c r="B369" s="189"/>
      <c r="C369" s="188"/>
      <c r="D369" s="188"/>
      <c r="E369" s="244">
        <f t="shared" si="357"/>
        <v>0</v>
      </c>
      <c r="F369" s="189"/>
      <c r="G369" s="188"/>
      <c r="H369" s="188"/>
      <c r="I369" s="244">
        <f t="shared" si="342"/>
        <v>0</v>
      </c>
      <c r="J369" s="189"/>
      <c r="K369" s="188"/>
      <c r="L369" s="188"/>
      <c r="M369" s="244">
        <f t="shared" si="343"/>
        <v>0</v>
      </c>
      <c r="N369" s="253">
        <f t="shared" si="344"/>
        <v>0</v>
      </c>
      <c r="P369" s="193" t="s">
        <v>1895</v>
      </c>
      <c r="Q369" s="189">
        <v>20</v>
      </c>
      <c r="R369" s="188"/>
      <c r="S369" s="188">
        <v>10</v>
      </c>
      <c r="T369" s="244">
        <f t="shared" si="358"/>
        <v>30</v>
      </c>
      <c r="U369" s="189">
        <v>20</v>
      </c>
      <c r="V369" s="188"/>
      <c r="W369" s="188">
        <v>10</v>
      </c>
      <c r="X369" s="244">
        <f t="shared" si="359"/>
        <v>30</v>
      </c>
      <c r="Y369" s="189">
        <v>20</v>
      </c>
      <c r="Z369" s="188"/>
      <c r="AA369" s="188">
        <v>10</v>
      </c>
      <c r="AB369" s="244">
        <f t="shared" si="360"/>
        <v>30</v>
      </c>
      <c r="AC369" s="253">
        <f t="shared" si="361"/>
        <v>90</v>
      </c>
      <c r="AD369" s="194">
        <v>46190</v>
      </c>
      <c r="AE369" s="195"/>
    </row>
    <row r="370" spans="1:31" x14ac:dyDescent="0.15">
      <c r="A370" s="197"/>
      <c r="B370" s="189"/>
      <c r="C370" s="188"/>
      <c r="D370" s="188"/>
      <c r="E370" s="244">
        <f t="shared" si="357"/>
        <v>0</v>
      </c>
      <c r="F370" s="189"/>
      <c r="G370" s="188"/>
      <c r="H370" s="188"/>
      <c r="I370" s="244">
        <f t="shared" si="342"/>
        <v>0</v>
      </c>
      <c r="J370" s="189"/>
      <c r="K370" s="188"/>
      <c r="L370" s="188"/>
      <c r="M370" s="244">
        <f t="shared" si="343"/>
        <v>0</v>
      </c>
      <c r="N370" s="253">
        <f t="shared" si="344"/>
        <v>0</v>
      </c>
      <c r="P370" s="197" t="s">
        <v>1907</v>
      </c>
      <c r="Q370" s="189"/>
      <c r="R370" s="188"/>
      <c r="S370" s="188"/>
      <c r="T370" s="244">
        <f t="shared" si="358"/>
        <v>0</v>
      </c>
      <c r="U370" s="189"/>
      <c r="V370" s="188"/>
      <c r="W370" s="188"/>
      <c r="X370" s="244">
        <f t="shared" si="359"/>
        <v>0</v>
      </c>
      <c r="Y370" s="189">
        <v>10</v>
      </c>
      <c r="Z370" s="188">
        <v>10</v>
      </c>
      <c r="AA370" s="188"/>
      <c r="AB370" s="244">
        <f t="shared" si="360"/>
        <v>20</v>
      </c>
      <c r="AC370" s="253">
        <f t="shared" si="361"/>
        <v>20</v>
      </c>
      <c r="AD370" s="194">
        <v>46191</v>
      </c>
      <c r="AE370" s="195"/>
    </row>
    <row r="371" spans="1:31" x14ac:dyDescent="0.15">
      <c r="A371" s="197"/>
      <c r="B371" s="189"/>
      <c r="C371" s="188"/>
      <c r="D371" s="188"/>
      <c r="E371" s="244">
        <f t="shared" si="357"/>
        <v>0</v>
      </c>
      <c r="F371" s="189"/>
      <c r="G371" s="188"/>
      <c r="H371" s="188"/>
      <c r="I371" s="244">
        <f t="shared" si="342"/>
        <v>0</v>
      </c>
      <c r="J371" s="189"/>
      <c r="K371" s="188"/>
      <c r="L371" s="188"/>
      <c r="M371" s="244">
        <f t="shared" si="343"/>
        <v>0</v>
      </c>
      <c r="N371" s="253">
        <f t="shared" si="344"/>
        <v>0</v>
      </c>
      <c r="P371" s="197"/>
      <c r="Q371" s="189"/>
      <c r="R371" s="188"/>
      <c r="S371" s="188"/>
      <c r="T371" s="244">
        <f t="shared" si="358"/>
        <v>0</v>
      </c>
      <c r="U371" s="189"/>
      <c r="V371" s="188"/>
      <c r="W371" s="188"/>
      <c r="X371" s="244">
        <f t="shared" si="359"/>
        <v>0</v>
      </c>
      <c r="Y371" s="189"/>
      <c r="Z371" s="188"/>
      <c r="AA371" s="188"/>
      <c r="AB371" s="244">
        <f t="shared" si="360"/>
        <v>0</v>
      </c>
      <c r="AC371" s="253">
        <f t="shared" si="361"/>
        <v>0</v>
      </c>
      <c r="AD371" s="198"/>
    </row>
    <row r="372" spans="1:31" x14ac:dyDescent="0.15">
      <c r="A372" s="197"/>
      <c r="B372" s="189"/>
      <c r="C372" s="188"/>
      <c r="D372" s="188"/>
      <c r="E372" s="244">
        <f t="shared" si="357"/>
        <v>0</v>
      </c>
      <c r="F372" s="189"/>
      <c r="G372" s="188"/>
      <c r="H372" s="188"/>
      <c r="I372" s="244">
        <f t="shared" si="342"/>
        <v>0</v>
      </c>
      <c r="J372" s="189"/>
      <c r="K372" s="188"/>
      <c r="L372" s="188"/>
      <c r="M372" s="244">
        <f t="shared" si="343"/>
        <v>0</v>
      </c>
      <c r="N372" s="253">
        <f t="shared" si="344"/>
        <v>0</v>
      </c>
      <c r="P372" s="197"/>
      <c r="Q372" s="189"/>
      <c r="R372" s="188"/>
      <c r="S372" s="188"/>
      <c r="T372" s="244">
        <f t="shared" si="358"/>
        <v>0</v>
      </c>
      <c r="U372" s="189"/>
      <c r="V372" s="188"/>
      <c r="W372" s="188"/>
      <c r="X372" s="244">
        <f t="shared" si="359"/>
        <v>0</v>
      </c>
      <c r="Y372" s="189"/>
      <c r="Z372" s="188"/>
      <c r="AA372" s="188"/>
      <c r="AB372" s="244">
        <f t="shared" si="360"/>
        <v>0</v>
      </c>
      <c r="AC372" s="253">
        <f t="shared" si="361"/>
        <v>0</v>
      </c>
      <c r="AD372" s="198"/>
    </row>
    <row r="373" spans="1:31" x14ac:dyDescent="0.15">
      <c r="A373" s="197"/>
      <c r="B373" s="189"/>
      <c r="C373" s="188"/>
      <c r="D373" s="188"/>
      <c r="E373" s="244">
        <f t="shared" si="357"/>
        <v>0</v>
      </c>
      <c r="F373" s="189"/>
      <c r="G373" s="188"/>
      <c r="H373" s="188"/>
      <c r="I373" s="244">
        <f t="shared" si="342"/>
        <v>0</v>
      </c>
      <c r="J373" s="189"/>
      <c r="K373" s="188"/>
      <c r="L373" s="188"/>
      <c r="M373" s="244">
        <f t="shared" si="343"/>
        <v>0</v>
      </c>
      <c r="N373" s="253">
        <f t="shared" si="344"/>
        <v>0</v>
      </c>
      <c r="P373" s="197"/>
      <c r="Q373" s="189"/>
      <c r="R373" s="188"/>
      <c r="S373" s="188"/>
      <c r="T373" s="244">
        <f t="shared" ref="T373:T379" si="362">SUM(Q373:S373)</f>
        <v>0</v>
      </c>
      <c r="U373" s="189"/>
      <c r="V373" s="188"/>
      <c r="W373" s="188"/>
      <c r="X373" s="244">
        <f t="shared" ref="X373:X379" si="363">SUM(U373:W373)</f>
        <v>0</v>
      </c>
      <c r="Y373" s="189"/>
      <c r="Z373" s="188"/>
      <c r="AA373" s="188"/>
      <c r="AB373" s="244">
        <f t="shared" ref="AB373:AB379" si="364">SUM(Y373:AA373)</f>
        <v>0</v>
      </c>
      <c r="AC373" s="253">
        <f t="shared" ref="AC373:AC379" si="365">T373+X373+AB373</f>
        <v>0</v>
      </c>
      <c r="AD373" s="198"/>
    </row>
    <row r="374" spans="1:31" x14ac:dyDescent="0.15">
      <c r="A374" s="197"/>
      <c r="B374" s="189"/>
      <c r="C374" s="188"/>
      <c r="D374" s="188"/>
      <c r="E374" s="244">
        <f t="shared" si="357"/>
        <v>0</v>
      </c>
      <c r="F374" s="189"/>
      <c r="G374" s="188"/>
      <c r="H374" s="188"/>
      <c r="I374" s="244">
        <f t="shared" si="342"/>
        <v>0</v>
      </c>
      <c r="J374" s="189"/>
      <c r="K374" s="188"/>
      <c r="L374" s="188"/>
      <c r="M374" s="244">
        <f t="shared" si="343"/>
        <v>0</v>
      </c>
      <c r="N374" s="253">
        <f t="shared" si="344"/>
        <v>0</v>
      </c>
      <c r="P374" s="197"/>
      <c r="Q374" s="189"/>
      <c r="R374" s="188"/>
      <c r="S374" s="188"/>
      <c r="T374" s="244">
        <f t="shared" si="362"/>
        <v>0</v>
      </c>
      <c r="U374" s="189"/>
      <c r="V374" s="188"/>
      <c r="W374" s="188"/>
      <c r="X374" s="244">
        <f t="shared" si="363"/>
        <v>0</v>
      </c>
      <c r="Y374" s="189"/>
      <c r="Z374" s="188"/>
      <c r="AA374" s="188"/>
      <c r="AB374" s="244">
        <f t="shared" si="364"/>
        <v>0</v>
      </c>
      <c r="AC374" s="253">
        <f t="shared" si="365"/>
        <v>0</v>
      </c>
    </row>
    <row r="375" spans="1:31" x14ac:dyDescent="0.15">
      <c r="A375" s="197"/>
      <c r="B375" s="189"/>
      <c r="C375" s="188"/>
      <c r="D375" s="188"/>
      <c r="E375" s="244">
        <f t="shared" si="357"/>
        <v>0</v>
      </c>
      <c r="F375" s="189"/>
      <c r="G375" s="188"/>
      <c r="H375" s="188"/>
      <c r="I375" s="244">
        <f t="shared" si="342"/>
        <v>0</v>
      </c>
      <c r="J375" s="189"/>
      <c r="K375" s="188"/>
      <c r="L375" s="188"/>
      <c r="M375" s="244">
        <f t="shared" si="343"/>
        <v>0</v>
      </c>
      <c r="N375" s="253">
        <f t="shared" si="344"/>
        <v>0</v>
      </c>
      <c r="P375" s="197"/>
      <c r="Q375" s="189"/>
      <c r="R375" s="188"/>
      <c r="S375" s="188"/>
      <c r="T375" s="244">
        <f t="shared" si="362"/>
        <v>0</v>
      </c>
      <c r="U375" s="189"/>
      <c r="V375" s="188"/>
      <c r="W375" s="188"/>
      <c r="X375" s="244">
        <f t="shared" si="363"/>
        <v>0</v>
      </c>
      <c r="Y375" s="189"/>
      <c r="Z375" s="188"/>
      <c r="AA375" s="188"/>
      <c r="AB375" s="244">
        <f t="shared" si="364"/>
        <v>0</v>
      </c>
      <c r="AC375" s="253">
        <f t="shared" si="365"/>
        <v>0</v>
      </c>
    </row>
    <row r="376" spans="1:31" x14ac:dyDescent="0.15">
      <c r="A376" s="197"/>
      <c r="B376" s="189"/>
      <c r="C376" s="188"/>
      <c r="D376" s="188"/>
      <c r="E376" s="244">
        <f t="shared" si="357"/>
        <v>0</v>
      </c>
      <c r="F376" s="189"/>
      <c r="G376" s="188"/>
      <c r="H376" s="188"/>
      <c r="I376" s="244">
        <f t="shared" si="342"/>
        <v>0</v>
      </c>
      <c r="J376" s="189"/>
      <c r="K376" s="188"/>
      <c r="L376" s="188"/>
      <c r="M376" s="244">
        <f t="shared" si="343"/>
        <v>0</v>
      </c>
      <c r="N376" s="253">
        <f t="shared" si="344"/>
        <v>0</v>
      </c>
      <c r="P376" s="197"/>
      <c r="Q376" s="189"/>
      <c r="R376" s="188"/>
      <c r="S376" s="188"/>
      <c r="T376" s="244">
        <f t="shared" si="362"/>
        <v>0</v>
      </c>
      <c r="U376" s="189"/>
      <c r="V376" s="188"/>
      <c r="W376" s="188"/>
      <c r="X376" s="244">
        <f t="shared" si="363"/>
        <v>0</v>
      </c>
      <c r="Y376" s="189"/>
      <c r="Z376" s="188"/>
      <c r="AA376" s="188"/>
      <c r="AB376" s="244">
        <f t="shared" si="364"/>
        <v>0</v>
      </c>
      <c r="AC376" s="253">
        <f t="shared" si="365"/>
        <v>0</v>
      </c>
    </row>
    <row r="377" spans="1:31" x14ac:dyDescent="0.15">
      <c r="A377" s="197"/>
      <c r="B377" s="189"/>
      <c r="C377" s="188"/>
      <c r="D377" s="188"/>
      <c r="E377" s="244">
        <f t="shared" si="357"/>
        <v>0</v>
      </c>
      <c r="F377" s="189"/>
      <c r="G377" s="188"/>
      <c r="H377" s="188"/>
      <c r="I377" s="244">
        <f t="shared" si="342"/>
        <v>0</v>
      </c>
      <c r="J377" s="189"/>
      <c r="K377" s="188"/>
      <c r="L377" s="188"/>
      <c r="M377" s="244">
        <f t="shared" si="343"/>
        <v>0</v>
      </c>
      <c r="N377" s="253">
        <f t="shared" si="344"/>
        <v>0</v>
      </c>
      <c r="P377" s="197"/>
      <c r="Q377" s="189"/>
      <c r="R377" s="188"/>
      <c r="S377" s="188"/>
      <c r="T377" s="244">
        <f t="shared" si="362"/>
        <v>0</v>
      </c>
      <c r="U377" s="189"/>
      <c r="V377" s="188"/>
      <c r="W377" s="188"/>
      <c r="X377" s="244">
        <f t="shared" si="363"/>
        <v>0</v>
      </c>
      <c r="Y377" s="189"/>
      <c r="Z377" s="188"/>
      <c r="AA377" s="188"/>
      <c r="AB377" s="244">
        <f t="shared" si="364"/>
        <v>0</v>
      </c>
      <c r="AC377" s="253">
        <f t="shared" si="365"/>
        <v>0</v>
      </c>
    </row>
    <row r="378" spans="1:31" x14ac:dyDescent="0.15">
      <c r="A378" s="197"/>
      <c r="B378" s="189"/>
      <c r="C378" s="188"/>
      <c r="D378" s="188"/>
      <c r="E378" s="244">
        <f t="shared" si="357"/>
        <v>0</v>
      </c>
      <c r="F378" s="189"/>
      <c r="G378" s="188"/>
      <c r="H378" s="188"/>
      <c r="I378" s="244">
        <f t="shared" si="342"/>
        <v>0</v>
      </c>
      <c r="J378" s="189"/>
      <c r="K378" s="188"/>
      <c r="L378" s="188"/>
      <c r="M378" s="244">
        <f t="shared" si="343"/>
        <v>0</v>
      </c>
      <c r="N378" s="253">
        <f t="shared" si="344"/>
        <v>0</v>
      </c>
      <c r="P378" s="197" t="s">
        <v>1605</v>
      </c>
      <c r="Q378" s="189"/>
      <c r="R378" s="188"/>
      <c r="S378" s="188"/>
      <c r="T378" s="244">
        <f t="shared" si="362"/>
        <v>0</v>
      </c>
      <c r="U378" s="189"/>
      <c r="V378" s="188"/>
      <c r="W378" s="188"/>
      <c r="X378" s="244">
        <f t="shared" si="363"/>
        <v>0</v>
      </c>
      <c r="Y378" s="189"/>
      <c r="Z378" s="188"/>
      <c r="AA378" s="188"/>
      <c r="AB378" s="244">
        <f t="shared" si="364"/>
        <v>0</v>
      </c>
      <c r="AC378" s="253">
        <f t="shared" si="365"/>
        <v>0</v>
      </c>
      <c r="AD378" s="198" t="s">
        <v>744</v>
      </c>
    </row>
    <row r="379" spans="1:31" x14ac:dyDescent="0.15">
      <c r="A379" s="197"/>
      <c r="B379" s="189"/>
      <c r="C379" s="188"/>
      <c r="D379" s="188"/>
      <c r="E379" s="244">
        <f t="shared" si="357"/>
        <v>0</v>
      </c>
      <c r="F379" s="189"/>
      <c r="G379" s="188"/>
      <c r="H379" s="188"/>
      <c r="I379" s="244">
        <f t="shared" si="342"/>
        <v>0</v>
      </c>
      <c r="J379" s="189"/>
      <c r="K379" s="188"/>
      <c r="L379" s="188"/>
      <c r="M379" s="244">
        <f t="shared" si="343"/>
        <v>0</v>
      </c>
      <c r="N379" s="253">
        <f t="shared" si="344"/>
        <v>0</v>
      </c>
      <c r="P379" s="197" t="s">
        <v>1604</v>
      </c>
      <c r="Q379" s="189"/>
      <c r="R379" s="188"/>
      <c r="S379" s="188"/>
      <c r="T379" s="244">
        <f t="shared" si="362"/>
        <v>0</v>
      </c>
      <c r="U379" s="189"/>
      <c r="V379" s="188"/>
      <c r="W379" s="188"/>
      <c r="X379" s="244">
        <f t="shared" si="363"/>
        <v>0</v>
      </c>
      <c r="Y379" s="189"/>
      <c r="Z379" s="188"/>
      <c r="AA379" s="188"/>
      <c r="AB379" s="244">
        <f t="shared" si="364"/>
        <v>0</v>
      </c>
      <c r="AC379" s="253">
        <f t="shared" si="365"/>
        <v>0</v>
      </c>
      <c r="AD379" s="198" t="s">
        <v>132</v>
      </c>
    </row>
    <row r="380" spans="1:31" x14ac:dyDescent="0.15">
      <c r="A380" s="197"/>
      <c r="B380" s="189"/>
      <c r="C380" s="188"/>
      <c r="D380" s="188"/>
      <c r="E380" s="244">
        <f t="shared" si="357"/>
        <v>0</v>
      </c>
      <c r="F380" s="189"/>
      <c r="G380" s="188"/>
      <c r="H380" s="188"/>
      <c r="I380" s="244">
        <f t="shared" si="342"/>
        <v>0</v>
      </c>
      <c r="J380" s="189"/>
      <c r="K380" s="188"/>
      <c r="L380" s="188"/>
      <c r="M380" s="244">
        <f t="shared" si="343"/>
        <v>0</v>
      </c>
      <c r="N380" s="253">
        <f t="shared" si="344"/>
        <v>0</v>
      </c>
      <c r="P380" s="197" t="s">
        <v>1632</v>
      </c>
      <c r="Q380" s="189"/>
      <c r="R380" s="188"/>
      <c r="S380" s="188"/>
      <c r="T380" s="244">
        <f t="shared" ref="T380" si="366">SUM(Q380:S380)</f>
        <v>0</v>
      </c>
      <c r="U380" s="189"/>
      <c r="V380" s="188"/>
      <c r="W380" s="188"/>
      <c r="X380" s="244">
        <f t="shared" ref="X380" si="367">SUM(U380:W380)</f>
        <v>0</v>
      </c>
      <c r="Y380" s="189"/>
      <c r="Z380" s="188"/>
      <c r="AA380" s="188"/>
      <c r="AB380" s="244">
        <f t="shared" ref="AB380" si="368">SUM(Y380:AA380)</f>
        <v>0</v>
      </c>
      <c r="AC380" s="253">
        <f t="shared" ref="AC380" si="369">T380+X380+AB380</f>
        <v>0</v>
      </c>
      <c r="AD380" s="198" t="s">
        <v>767</v>
      </c>
    </row>
    <row r="381" spans="1:31" x14ac:dyDescent="0.15">
      <c r="A381" s="197"/>
      <c r="B381" s="189"/>
      <c r="C381" s="188"/>
      <c r="D381" s="188"/>
      <c r="E381" s="244">
        <f t="shared" si="357"/>
        <v>0</v>
      </c>
      <c r="F381" s="189"/>
      <c r="G381" s="188"/>
      <c r="H381" s="188"/>
      <c r="I381" s="244">
        <f t="shared" si="342"/>
        <v>0</v>
      </c>
      <c r="J381" s="189"/>
      <c r="K381" s="188"/>
      <c r="L381" s="188"/>
      <c r="M381" s="244">
        <f t="shared" si="343"/>
        <v>0</v>
      </c>
      <c r="N381" s="253">
        <f t="shared" si="344"/>
        <v>0</v>
      </c>
      <c r="P381" s="219" t="s">
        <v>1633</v>
      </c>
      <c r="Q381" s="216">
        <v>0</v>
      </c>
      <c r="R381" s="217">
        <v>-10</v>
      </c>
      <c r="S381" s="217">
        <v>-5</v>
      </c>
      <c r="T381" s="250">
        <f t="shared" ref="T381:T382" si="370">SUM(Q381:S381)</f>
        <v>-15</v>
      </c>
      <c r="U381" s="216">
        <v>0</v>
      </c>
      <c r="V381" s="217">
        <v>-10</v>
      </c>
      <c r="W381" s="217">
        <v>-5</v>
      </c>
      <c r="X381" s="250">
        <f t="shared" ref="X381:X382" si="371">SUM(U381:W381)</f>
        <v>-15</v>
      </c>
      <c r="Y381" s="216">
        <v>0</v>
      </c>
      <c r="Z381" s="217">
        <v>-10</v>
      </c>
      <c r="AA381" s="217">
        <v>-5</v>
      </c>
      <c r="AB381" s="250">
        <f t="shared" ref="AB381:AB382" si="372">SUM(Y381:AA381)</f>
        <v>-15</v>
      </c>
      <c r="AC381" s="262">
        <f t="shared" ref="AC381:AC382" si="373">T381+X381+AB381</f>
        <v>-45</v>
      </c>
      <c r="AD381" s="218"/>
    </row>
    <row r="382" spans="1:31" x14ac:dyDescent="0.15">
      <c r="A382" s="197"/>
      <c r="B382" s="189"/>
      <c r="C382" s="188"/>
      <c r="D382" s="188"/>
      <c r="E382" s="244">
        <f t="shared" si="357"/>
        <v>0</v>
      </c>
      <c r="F382" s="189"/>
      <c r="G382" s="188"/>
      <c r="H382" s="188"/>
      <c r="I382" s="244">
        <f t="shared" si="342"/>
        <v>0</v>
      </c>
      <c r="J382" s="189"/>
      <c r="K382" s="188"/>
      <c r="L382" s="188"/>
      <c r="M382" s="244">
        <f t="shared" si="343"/>
        <v>0</v>
      </c>
      <c r="N382" s="253">
        <f t="shared" si="344"/>
        <v>0</v>
      </c>
      <c r="P382" s="220" t="s">
        <v>899</v>
      </c>
      <c r="Q382" s="212">
        <f>10-8</f>
        <v>2</v>
      </c>
      <c r="R382" s="213">
        <f>20-2</f>
        <v>18</v>
      </c>
      <c r="S382" s="213">
        <f>10-1</f>
        <v>9</v>
      </c>
      <c r="T382" s="248">
        <f t="shared" si="370"/>
        <v>29</v>
      </c>
      <c r="U382" s="212">
        <f>10-8</f>
        <v>2</v>
      </c>
      <c r="V382" s="213">
        <f>20-2</f>
        <v>18</v>
      </c>
      <c r="W382" s="213">
        <f>10-1</f>
        <v>9</v>
      </c>
      <c r="X382" s="248">
        <f t="shared" si="371"/>
        <v>29</v>
      </c>
      <c r="Y382" s="212">
        <f>10-8</f>
        <v>2</v>
      </c>
      <c r="Z382" s="213">
        <f>20-2</f>
        <v>18</v>
      </c>
      <c r="AA382" s="213">
        <f>10-1</f>
        <v>9</v>
      </c>
      <c r="AB382" s="248">
        <f t="shared" si="372"/>
        <v>29</v>
      </c>
      <c r="AC382" s="258">
        <f t="shared" si="373"/>
        <v>87</v>
      </c>
      <c r="AD382" s="214" t="s">
        <v>1635</v>
      </c>
    </row>
    <row r="383" spans="1:31" x14ac:dyDescent="0.15">
      <c r="A383" s="197"/>
      <c r="B383" s="189"/>
      <c r="C383" s="188"/>
      <c r="D383" s="188"/>
      <c r="E383" s="244">
        <f t="shared" si="357"/>
        <v>0</v>
      </c>
      <c r="F383" s="189"/>
      <c r="G383" s="188"/>
      <c r="H383" s="188"/>
      <c r="I383" s="244">
        <f t="shared" si="342"/>
        <v>0</v>
      </c>
      <c r="J383" s="189"/>
      <c r="K383" s="188"/>
      <c r="L383" s="188"/>
      <c r="M383" s="244">
        <f t="shared" si="343"/>
        <v>0</v>
      </c>
      <c r="N383" s="253">
        <f t="shared" si="344"/>
        <v>0</v>
      </c>
      <c r="P383" s="191" t="s">
        <v>1553</v>
      </c>
      <c r="Q383" s="239"/>
      <c r="R383" s="240"/>
      <c r="S383" s="240"/>
      <c r="T383" s="249">
        <f t="shared" ref="T383:T384" si="374">SUM(Q383:S383)</f>
        <v>0</v>
      </c>
      <c r="U383" s="239"/>
      <c r="V383" s="240"/>
      <c r="W383" s="240"/>
      <c r="X383" s="249">
        <f t="shared" ref="X383:X384" si="375">SUM(U383:W383)</f>
        <v>0</v>
      </c>
      <c r="Y383" s="239"/>
      <c r="Z383" s="240"/>
      <c r="AA383" s="240"/>
      <c r="AB383" s="249">
        <f t="shared" ref="AB383:AB384" si="376">SUM(Y383:AA383)</f>
        <v>0</v>
      </c>
      <c r="AC383" s="303">
        <f t="shared" ref="AC383:AC384" si="377">T383+X383+AB383</f>
        <v>0</v>
      </c>
      <c r="AD383" s="198"/>
    </row>
    <row r="384" spans="1:31" ht="14.25" thickBot="1" x14ac:dyDescent="0.2">
      <c r="A384" s="197"/>
      <c r="B384" s="189"/>
      <c r="C384" s="188"/>
      <c r="D384" s="188"/>
      <c r="E384" s="244">
        <f t="shared" si="357"/>
        <v>0</v>
      </c>
      <c r="F384" s="189"/>
      <c r="G384" s="188"/>
      <c r="H384" s="188"/>
      <c r="I384" s="244">
        <f t="shared" si="342"/>
        <v>0</v>
      </c>
      <c r="J384" s="189"/>
      <c r="K384" s="188"/>
      <c r="L384" s="188"/>
      <c r="M384" s="244">
        <f t="shared" si="343"/>
        <v>0</v>
      </c>
      <c r="N384" s="253">
        <f t="shared" si="344"/>
        <v>0</v>
      </c>
      <c r="P384" s="197" t="s">
        <v>1551</v>
      </c>
      <c r="Q384" s="189"/>
      <c r="R384" s="188"/>
      <c r="S384" s="188"/>
      <c r="T384" s="244">
        <f t="shared" si="374"/>
        <v>0</v>
      </c>
      <c r="U384" s="189"/>
      <c r="V384" s="188"/>
      <c r="W384" s="188"/>
      <c r="X384" s="244">
        <f t="shared" si="375"/>
        <v>0</v>
      </c>
      <c r="Y384" s="189"/>
      <c r="Z384" s="188"/>
      <c r="AA384" s="188"/>
      <c r="AB384" s="244">
        <f t="shared" si="376"/>
        <v>0</v>
      </c>
      <c r="AC384" s="253">
        <f t="shared" si="377"/>
        <v>0</v>
      </c>
      <c r="AD384" s="198" t="s">
        <v>1627</v>
      </c>
    </row>
    <row r="385" spans="1:30" ht="14.25" thickBot="1" x14ac:dyDescent="0.2">
      <c r="A385" s="221" t="s">
        <v>5</v>
      </c>
      <c r="B385" s="222">
        <f>SUM(B361:B384)</f>
        <v>1</v>
      </c>
      <c r="C385" s="222">
        <f>SUM(C361:C384)</f>
        <v>2</v>
      </c>
      <c r="D385" s="222">
        <f>SUM(D361:D384)</f>
        <v>2</v>
      </c>
      <c r="E385" s="251">
        <f t="shared" si="357"/>
        <v>5</v>
      </c>
      <c r="F385" s="222">
        <f>SUM(F361:F384)</f>
        <v>1</v>
      </c>
      <c r="G385" s="222">
        <f>SUM(G361:G384)</f>
        <v>2</v>
      </c>
      <c r="H385" s="222">
        <f>SUM(H361:H384)</f>
        <v>2</v>
      </c>
      <c r="I385" s="251">
        <f t="shared" si="342"/>
        <v>5</v>
      </c>
      <c r="J385" s="222">
        <f>SUM(J361:J384)</f>
        <v>1</v>
      </c>
      <c r="K385" s="222">
        <f>SUM(K361:K384)</f>
        <v>2</v>
      </c>
      <c r="L385" s="222">
        <f>SUM(L361:L384)</f>
        <v>2</v>
      </c>
      <c r="M385" s="267">
        <f t="shared" si="343"/>
        <v>5</v>
      </c>
      <c r="N385" s="272">
        <f t="shared" si="344"/>
        <v>15</v>
      </c>
      <c r="P385" s="184" t="s">
        <v>5</v>
      </c>
      <c r="Q385" s="222">
        <f>SUM(Q361:Q384)</f>
        <v>42</v>
      </c>
      <c r="R385" s="222">
        <f>SUM(R361:R384)</f>
        <v>21</v>
      </c>
      <c r="S385" s="222">
        <f>SUM(S361:S384)</f>
        <v>31</v>
      </c>
      <c r="T385" s="251">
        <f t="shared" si="353"/>
        <v>94</v>
      </c>
      <c r="U385" s="222">
        <f>SUM(U361:U384)</f>
        <v>42</v>
      </c>
      <c r="V385" s="222">
        <f>SUM(V361:V384)</f>
        <v>21</v>
      </c>
      <c r="W385" s="222">
        <f>SUM(W361:W384)</f>
        <v>31</v>
      </c>
      <c r="X385" s="251">
        <f t="shared" si="354"/>
        <v>94</v>
      </c>
      <c r="Y385" s="222">
        <f>SUM(Y361:Y384)</f>
        <v>57</v>
      </c>
      <c r="Z385" s="222">
        <f>SUM(Z361:Z384)</f>
        <v>31</v>
      </c>
      <c r="AA385" s="222">
        <f>SUM(AA361:AA384)</f>
        <v>31</v>
      </c>
      <c r="AB385" s="251">
        <f t="shared" si="355"/>
        <v>119</v>
      </c>
      <c r="AC385" s="256">
        <f t="shared" si="356"/>
        <v>307</v>
      </c>
    </row>
    <row r="386" spans="1:30" ht="14.25" thickBot="1" x14ac:dyDescent="0.2">
      <c r="A386" s="223" t="s">
        <v>6</v>
      </c>
      <c r="B386" s="209">
        <f>B360-B385</f>
        <v>5</v>
      </c>
      <c r="C386" s="209">
        <f t="shared" ref="C386:E386" si="378">C360-C385</f>
        <v>2</v>
      </c>
      <c r="D386" s="209">
        <f t="shared" si="378"/>
        <v>7</v>
      </c>
      <c r="E386" s="246">
        <f t="shared" si="378"/>
        <v>14</v>
      </c>
      <c r="F386" s="209">
        <f>F360-F385</f>
        <v>7</v>
      </c>
      <c r="G386" s="209">
        <f t="shared" ref="G386:I386" si="379">G360-G385</f>
        <v>2</v>
      </c>
      <c r="H386" s="209">
        <f t="shared" si="379"/>
        <v>2</v>
      </c>
      <c r="I386" s="246">
        <f t="shared" si="379"/>
        <v>11</v>
      </c>
      <c r="J386" s="209">
        <f>J360-J385</f>
        <v>6</v>
      </c>
      <c r="K386" s="209">
        <f t="shared" ref="K386:M386" si="380">K360-K385</f>
        <v>2</v>
      </c>
      <c r="L386" s="209">
        <f t="shared" si="380"/>
        <v>3</v>
      </c>
      <c r="M386" s="266">
        <f t="shared" si="380"/>
        <v>11</v>
      </c>
      <c r="N386" s="271">
        <f t="shared" si="344"/>
        <v>36</v>
      </c>
      <c r="P386" s="224" t="s">
        <v>6</v>
      </c>
      <c r="Q386" s="209">
        <f>Q360-Q385</f>
        <v>477</v>
      </c>
      <c r="R386" s="209">
        <f t="shared" ref="R386:T386" si="381">R360-R385</f>
        <v>396</v>
      </c>
      <c r="S386" s="209">
        <f t="shared" si="381"/>
        <v>342</v>
      </c>
      <c r="T386" s="246">
        <f t="shared" si="381"/>
        <v>1215</v>
      </c>
      <c r="U386" s="209">
        <f>U360-U385</f>
        <v>456</v>
      </c>
      <c r="V386" s="209">
        <f t="shared" ref="V386:X386" si="382">V360-V385</f>
        <v>423</v>
      </c>
      <c r="W386" s="209">
        <f t="shared" si="382"/>
        <v>344</v>
      </c>
      <c r="X386" s="246">
        <f t="shared" si="382"/>
        <v>1223</v>
      </c>
      <c r="Y386" s="209">
        <f>Y360-Y385</f>
        <v>441</v>
      </c>
      <c r="Z386" s="209">
        <f t="shared" ref="Z386:AB386" si="383">Z360-Z385</f>
        <v>405</v>
      </c>
      <c r="AA386" s="209">
        <f t="shared" si="383"/>
        <v>332</v>
      </c>
      <c r="AB386" s="246">
        <f t="shared" si="383"/>
        <v>1178</v>
      </c>
      <c r="AC386" s="256">
        <f t="shared" si="356"/>
        <v>3616</v>
      </c>
      <c r="AD386" s="218" t="s">
        <v>1581</v>
      </c>
    </row>
    <row r="387" spans="1:30" x14ac:dyDescent="0.15">
      <c r="A387" s="172"/>
      <c r="N387" s="172"/>
      <c r="AC387" s="172"/>
    </row>
    <row r="388" spans="1:30" x14ac:dyDescent="0.15">
      <c r="A388" s="172"/>
      <c r="N388" s="172"/>
      <c r="AC388" s="172"/>
    </row>
    <row r="389" spans="1:30" ht="19.5" thickBot="1" x14ac:dyDescent="0.25">
      <c r="A389" s="177" t="s">
        <v>1183</v>
      </c>
      <c r="B389" s="178"/>
      <c r="C389" s="178"/>
      <c r="D389" s="178"/>
      <c r="E389" s="178"/>
      <c r="F389" s="179"/>
      <c r="G389" s="179"/>
      <c r="H389" s="179"/>
      <c r="I389" s="179"/>
      <c r="J389" s="179"/>
      <c r="K389" s="179"/>
      <c r="L389" s="179"/>
      <c r="M389" s="179"/>
      <c r="N389" s="180"/>
      <c r="P389" s="177" t="s">
        <v>1184</v>
      </c>
      <c r="Q389" s="178"/>
      <c r="R389" s="178"/>
      <c r="S389" s="178"/>
      <c r="T389" s="178"/>
      <c r="Y389" s="179"/>
      <c r="Z389" s="181"/>
      <c r="AA389" s="179"/>
      <c r="AB389" s="179"/>
    </row>
    <row r="390" spans="1:30" ht="14.25" thickBot="1" x14ac:dyDescent="0.2">
      <c r="A390" s="182" t="s">
        <v>0</v>
      </c>
      <c r="B390" s="350" t="s">
        <v>11</v>
      </c>
      <c r="C390" s="350"/>
      <c r="D390" s="350"/>
      <c r="E390" s="351"/>
      <c r="F390" s="349" t="s">
        <v>9</v>
      </c>
      <c r="G390" s="350"/>
      <c r="H390" s="350"/>
      <c r="I390" s="351"/>
      <c r="J390" s="349" t="s">
        <v>12</v>
      </c>
      <c r="K390" s="350"/>
      <c r="L390" s="350"/>
      <c r="M390" s="350"/>
      <c r="N390" s="352" t="s">
        <v>13</v>
      </c>
      <c r="P390" s="183" t="s">
        <v>0</v>
      </c>
      <c r="Q390" s="349" t="s">
        <v>11</v>
      </c>
      <c r="R390" s="350"/>
      <c r="S390" s="350"/>
      <c r="T390" s="351"/>
      <c r="U390" s="349" t="s">
        <v>9</v>
      </c>
      <c r="V390" s="350"/>
      <c r="W390" s="350"/>
      <c r="X390" s="351"/>
      <c r="Y390" s="349" t="s">
        <v>12</v>
      </c>
      <c r="Z390" s="350"/>
      <c r="AA390" s="350"/>
      <c r="AB390" s="351"/>
      <c r="AC390" s="300" t="s">
        <v>13</v>
      </c>
    </row>
    <row r="391" spans="1:30" ht="14.25" thickBot="1" x14ac:dyDescent="0.2">
      <c r="A391" s="182" t="s">
        <v>1</v>
      </c>
      <c r="B391" s="184" t="s">
        <v>922</v>
      </c>
      <c r="C391" s="183" t="s">
        <v>923</v>
      </c>
      <c r="D391" s="183" t="s">
        <v>924</v>
      </c>
      <c r="E391" s="242" t="s">
        <v>2</v>
      </c>
      <c r="F391" s="184" t="s">
        <v>922</v>
      </c>
      <c r="G391" s="183" t="s">
        <v>923</v>
      </c>
      <c r="H391" s="183" t="s">
        <v>924</v>
      </c>
      <c r="I391" s="242" t="s">
        <v>2</v>
      </c>
      <c r="J391" s="184" t="s">
        <v>922</v>
      </c>
      <c r="K391" s="183" t="s">
        <v>923</v>
      </c>
      <c r="L391" s="183" t="s">
        <v>924</v>
      </c>
      <c r="M391" s="252" t="s">
        <v>2</v>
      </c>
      <c r="N391" s="353"/>
      <c r="P391" s="183" t="s">
        <v>1</v>
      </c>
      <c r="Q391" s="184" t="s">
        <v>922</v>
      </c>
      <c r="R391" s="183" t="s">
        <v>923</v>
      </c>
      <c r="S391" s="183" t="s">
        <v>924</v>
      </c>
      <c r="T391" s="242" t="s">
        <v>2</v>
      </c>
      <c r="U391" s="184" t="s">
        <v>922</v>
      </c>
      <c r="V391" s="183" t="s">
        <v>923</v>
      </c>
      <c r="W391" s="183" t="s">
        <v>924</v>
      </c>
      <c r="X391" s="242" t="s">
        <v>2</v>
      </c>
      <c r="Y391" s="184" t="s">
        <v>922</v>
      </c>
      <c r="Z391" s="183" t="s">
        <v>923</v>
      </c>
      <c r="AA391" s="183" t="s">
        <v>924</v>
      </c>
      <c r="AB391" s="252" t="s">
        <v>2</v>
      </c>
      <c r="AC391" s="301"/>
    </row>
    <row r="392" spans="1:30" x14ac:dyDescent="0.15">
      <c r="A392" s="225" t="s">
        <v>6</v>
      </c>
      <c r="B392" s="226">
        <f>B386</f>
        <v>5</v>
      </c>
      <c r="C392" s="226">
        <f t="shared" ref="C392:E392" si="384">C386</f>
        <v>2</v>
      </c>
      <c r="D392" s="226">
        <f t="shared" si="384"/>
        <v>7</v>
      </c>
      <c r="E392" s="260">
        <f t="shared" si="384"/>
        <v>14</v>
      </c>
      <c r="F392" s="226">
        <f>F386</f>
        <v>7</v>
      </c>
      <c r="G392" s="226">
        <f t="shared" ref="G392:I392" si="385">G386</f>
        <v>2</v>
      </c>
      <c r="H392" s="226">
        <f t="shared" si="385"/>
        <v>2</v>
      </c>
      <c r="I392" s="260">
        <f t="shared" si="385"/>
        <v>11</v>
      </c>
      <c r="J392" s="226">
        <f>J386</f>
        <v>6</v>
      </c>
      <c r="K392" s="226">
        <f t="shared" ref="K392:M392" si="386">K386</f>
        <v>2</v>
      </c>
      <c r="L392" s="226">
        <f t="shared" si="386"/>
        <v>3</v>
      </c>
      <c r="M392" s="260">
        <f t="shared" si="386"/>
        <v>11</v>
      </c>
      <c r="N392" s="273">
        <f>E392+I392+M392</f>
        <v>36</v>
      </c>
      <c r="P392" s="215" t="s">
        <v>6</v>
      </c>
      <c r="Q392" s="226">
        <f>Q386</f>
        <v>477</v>
      </c>
      <c r="R392" s="226">
        <f t="shared" ref="R392:T392" si="387">R386</f>
        <v>396</v>
      </c>
      <c r="S392" s="226">
        <f t="shared" si="387"/>
        <v>342</v>
      </c>
      <c r="T392" s="260">
        <f t="shared" si="387"/>
        <v>1215</v>
      </c>
      <c r="U392" s="226">
        <f>U386</f>
        <v>456</v>
      </c>
      <c r="V392" s="226">
        <f t="shared" ref="V392:X392" si="388">V386</f>
        <v>423</v>
      </c>
      <c r="W392" s="226">
        <f t="shared" si="388"/>
        <v>344</v>
      </c>
      <c r="X392" s="260">
        <f t="shared" si="388"/>
        <v>1223</v>
      </c>
      <c r="Y392" s="226">
        <f>Y386</f>
        <v>441</v>
      </c>
      <c r="Z392" s="226">
        <f t="shared" ref="Z392:AB392" si="389">Z386</f>
        <v>405</v>
      </c>
      <c r="AA392" s="226">
        <f t="shared" si="389"/>
        <v>332</v>
      </c>
      <c r="AB392" s="260">
        <f t="shared" si="389"/>
        <v>1178</v>
      </c>
      <c r="AC392" s="258">
        <f>T392+X392+AB392</f>
        <v>3616</v>
      </c>
    </row>
    <row r="393" spans="1:30" x14ac:dyDescent="0.15">
      <c r="A393" s="191" t="s">
        <v>3</v>
      </c>
      <c r="B393" s="199"/>
      <c r="C393" s="197"/>
      <c r="D393" s="197"/>
      <c r="E393" s="243">
        <f t="shared" ref="E393:E402" si="390">SUM(B393:D393)</f>
        <v>0</v>
      </c>
      <c r="F393" s="199"/>
      <c r="G393" s="197"/>
      <c r="H393" s="197"/>
      <c r="I393" s="243">
        <f t="shared" ref="I393:I428" si="391">SUM(F393:H393)</f>
        <v>0</v>
      </c>
      <c r="J393" s="186"/>
      <c r="K393" s="187"/>
      <c r="L393" s="187"/>
      <c r="M393" s="243">
        <f t="shared" ref="M393:M428" si="392">SUM(J393:L393)</f>
        <v>0</v>
      </c>
      <c r="N393" s="253">
        <f t="shared" ref="N393:N429" si="393">E393+I393+M393</f>
        <v>0</v>
      </c>
      <c r="P393" s="191" t="s">
        <v>3</v>
      </c>
      <c r="Q393" s="199"/>
      <c r="R393" s="197"/>
      <c r="S393" s="197"/>
      <c r="T393" s="243">
        <f t="shared" ref="T393:T428" si="394">SUM(Q393:S393)</f>
        <v>0</v>
      </c>
      <c r="U393" s="199"/>
      <c r="V393" s="197"/>
      <c r="W393" s="197"/>
      <c r="X393" s="243">
        <f t="shared" ref="X393:X428" si="395">SUM(U393:W393)</f>
        <v>0</v>
      </c>
      <c r="Y393" s="186"/>
      <c r="Z393" s="187"/>
      <c r="AA393" s="187"/>
      <c r="AB393" s="243">
        <f t="shared" ref="AB393:AB428" si="396">SUM(Y393:AA393)</f>
        <v>0</v>
      </c>
      <c r="AC393" s="253">
        <f t="shared" ref="AC393:AC429" si="397">T393+X393+AB393</f>
        <v>0</v>
      </c>
    </row>
    <row r="394" spans="1:30" x14ac:dyDescent="0.15">
      <c r="A394" s="191" t="s">
        <v>3</v>
      </c>
      <c r="B394" s="186"/>
      <c r="C394" s="187"/>
      <c r="D394" s="187"/>
      <c r="E394" s="244">
        <f t="shared" si="390"/>
        <v>0</v>
      </c>
      <c r="F394" s="186"/>
      <c r="G394" s="187"/>
      <c r="H394" s="187"/>
      <c r="I394" s="244">
        <f t="shared" si="391"/>
        <v>0</v>
      </c>
      <c r="J394" s="196"/>
      <c r="K394" s="197"/>
      <c r="L394" s="197"/>
      <c r="M394" s="243">
        <f t="shared" si="392"/>
        <v>0</v>
      </c>
      <c r="N394" s="253">
        <f t="shared" si="393"/>
        <v>0</v>
      </c>
      <c r="P394" s="191" t="s">
        <v>3</v>
      </c>
      <c r="Q394" s="199"/>
      <c r="R394" s="197"/>
      <c r="S394" s="197"/>
      <c r="T394" s="243">
        <f t="shared" si="394"/>
        <v>0</v>
      </c>
      <c r="U394" s="199"/>
      <c r="V394" s="197"/>
      <c r="W394" s="197"/>
      <c r="X394" s="243">
        <f t="shared" si="395"/>
        <v>0</v>
      </c>
      <c r="Y394" s="186"/>
      <c r="Z394" s="187"/>
      <c r="AA394" s="187"/>
      <c r="AB394" s="243">
        <f t="shared" si="396"/>
        <v>0</v>
      </c>
      <c r="AC394" s="253">
        <f t="shared" si="397"/>
        <v>0</v>
      </c>
    </row>
    <row r="395" spans="1:30" x14ac:dyDescent="0.15">
      <c r="A395" s="191" t="s">
        <v>3</v>
      </c>
      <c r="B395" s="199"/>
      <c r="C395" s="197"/>
      <c r="D395" s="197"/>
      <c r="E395" s="243">
        <f t="shared" si="390"/>
        <v>0</v>
      </c>
      <c r="F395" s="199"/>
      <c r="G395" s="197"/>
      <c r="H395" s="197"/>
      <c r="I395" s="243">
        <f t="shared" si="391"/>
        <v>0</v>
      </c>
      <c r="J395" s="196"/>
      <c r="K395" s="197"/>
      <c r="L395" s="197"/>
      <c r="M395" s="243">
        <f t="shared" si="392"/>
        <v>0</v>
      </c>
      <c r="N395" s="253">
        <f t="shared" si="393"/>
        <v>0</v>
      </c>
      <c r="P395" s="191" t="s">
        <v>3</v>
      </c>
      <c r="Q395" s="199"/>
      <c r="R395" s="197"/>
      <c r="S395" s="197"/>
      <c r="T395" s="243">
        <f t="shared" ref="T395" si="398">SUM(Q395:S395)</f>
        <v>0</v>
      </c>
      <c r="U395" s="199"/>
      <c r="V395" s="197"/>
      <c r="W395" s="197"/>
      <c r="X395" s="243">
        <f t="shared" ref="X395" si="399">SUM(U395:W395)</f>
        <v>0</v>
      </c>
      <c r="Y395" s="186"/>
      <c r="Z395" s="187"/>
      <c r="AA395" s="187"/>
      <c r="AB395" s="243">
        <f t="shared" ref="AB395" si="400">SUM(Y395:AA395)</f>
        <v>0</v>
      </c>
      <c r="AC395" s="253">
        <f t="shared" ref="AC395" si="401">T395+X395+AB395</f>
        <v>0</v>
      </c>
    </row>
    <row r="396" spans="1:30" x14ac:dyDescent="0.15">
      <c r="A396" s="191" t="s">
        <v>3</v>
      </c>
      <c r="B396" s="199"/>
      <c r="C396" s="197"/>
      <c r="D396" s="197"/>
      <c r="E396" s="243">
        <f t="shared" si="390"/>
        <v>0</v>
      </c>
      <c r="F396" s="199"/>
      <c r="G396" s="197"/>
      <c r="H396" s="197"/>
      <c r="I396" s="243">
        <f t="shared" si="391"/>
        <v>0</v>
      </c>
      <c r="J396" s="196"/>
      <c r="K396" s="197"/>
      <c r="L396" s="197"/>
      <c r="M396" s="243">
        <f t="shared" si="392"/>
        <v>0</v>
      </c>
      <c r="N396" s="253">
        <f t="shared" si="393"/>
        <v>0</v>
      </c>
      <c r="P396" s="191" t="s">
        <v>3</v>
      </c>
      <c r="Q396" s="199"/>
      <c r="R396" s="197"/>
      <c r="S396" s="197"/>
      <c r="T396" s="243">
        <f t="shared" ref="T396" si="402">SUM(Q396:S396)</f>
        <v>0</v>
      </c>
      <c r="U396" s="199"/>
      <c r="V396" s="197"/>
      <c r="W396" s="197"/>
      <c r="X396" s="243">
        <f t="shared" ref="X396" si="403">SUM(U396:W396)</f>
        <v>0</v>
      </c>
      <c r="Y396" s="186"/>
      <c r="Z396" s="187"/>
      <c r="AA396" s="187"/>
      <c r="AB396" s="243">
        <f t="shared" ref="AB396" si="404">SUM(Y396:AA396)</f>
        <v>0</v>
      </c>
      <c r="AC396" s="253">
        <f t="shared" ref="AC396" si="405">T396+X396+AB396</f>
        <v>0</v>
      </c>
    </row>
    <row r="397" spans="1:30" x14ac:dyDescent="0.15">
      <c r="A397" s="191" t="s">
        <v>3</v>
      </c>
      <c r="B397" s="199"/>
      <c r="C397" s="197"/>
      <c r="D397" s="197"/>
      <c r="E397" s="243">
        <f t="shared" si="390"/>
        <v>0</v>
      </c>
      <c r="F397" s="199"/>
      <c r="G397" s="197"/>
      <c r="H397" s="197"/>
      <c r="I397" s="243">
        <f t="shared" si="391"/>
        <v>0</v>
      </c>
      <c r="J397" s="196"/>
      <c r="K397" s="197"/>
      <c r="L397" s="197"/>
      <c r="M397" s="243">
        <f t="shared" si="392"/>
        <v>0</v>
      </c>
      <c r="N397" s="253">
        <f t="shared" si="393"/>
        <v>0</v>
      </c>
      <c r="P397" s="191" t="s">
        <v>3</v>
      </c>
      <c r="Q397" s="186"/>
      <c r="R397" s="187"/>
      <c r="S397" s="187"/>
      <c r="T397" s="244">
        <f t="shared" si="394"/>
        <v>0</v>
      </c>
      <c r="U397" s="186"/>
      <c r="V397" s="187"/>
      <c r="W397" s="187"/>
      <c r="X397" s="244">
        <f t="shared" si="395"/>
        <v>0</v>
      </c>
      <c r="Y397" s="196"/>
      <c r="Z397" s="197"/>
      <c r="AA397" s="197"/>
      <c r="AB397" s="243">
        <f t="shared" si="396"/>
        <v>0</v>
      </c>
      <c r="AC397" s="253">
        <f t="shared" si="397"/>
        <v>0</v>
      </c>
    </row>
    <row r="398" spans="1:30" x14ac:dyDescent="0.15">
      <c r="A398" s="191" t="s">
        <v>3</v>
      </c>
      <c r="B398" s="199"/>
      <c r="C398" s="197"/>
      <c r="D398" s="197"/>
      <c r="E398" s="243">
        <f t="shared" si="390"/>
        <v>0</v>
      </c>
      <c r="F398" s="199"/>
      <c r="G398" s="197"/>
      <c r="H398" s="197"/>
      <c r="I398" s="243">
        <f t="shared" si="391"/>
        <v>0</v>
      </c>
      <c r="J398" s="186"/>
      <c r="K398" s="187"/>
      <c r="L398" s="187"/>
      <c r="M398" s="244">
        <f t="shared" si="392"/>
        <v>0</v>
      </c>
      <c r="N398" s="253">
        <f t="shared" si="393"/>
        <v>0</v>
      </c>
      <c r="P398" s="191" t="s">
        <v>3</v>
      </c>
      <c r="Q398" s="199"/>
      <c r="R398" s="197"/>
      <c r="S398" s="197"/>
      <c r="T398" s="243">
        <f t="shared" si="394"/>
        <v>0</v>
      </c>
      <c r="U398" s="199"/>
      <c r="V398" s="197"/>
      <c r="W398" s="197"/>
      <c r="X398" s="243">
        <f t="shared" si="395"/>
        <v>0</v>
      </c>
      <c r="Y398" s="186"/>
      <c r="Z398" s="187"/>
      <c r="AA398" s="187"/>
      <c r="AB398" s="244">
        <f t="shared" si="396"/>
        <v>0</v>
      </c>
      <c r="AC398" s="253">
        <f t="shared" si="397"/>
        <v>0</v>
      </c>
    </row>
    <row r="399" spans="1:30" x14ac:dyDescent="0.15">
      <c r="A399" s="191" t="s">
        <v>3</v>
      </c>
      <c r="B399" s="200"/>
      <c r="C399" s="187"/>
      <c r="D399" s="187"/>
      <c r="E399" s="243">
        <f t="shared" si="390"/>
        <v>0</v>
      </c>
      <c r="F399" s="200"/>
      <c r="G399" s="187"/>
      <c r="H399" s="187"/>
      <c r="I399" s="243">
        <f t="shared" si="391"/>
        <v>0</v>
      </c>
      <c r="J399" s="186"/>
      <c r="K399" s="187"/>
      <c r="L399" s="187"/>
      <c r="M399" s="243">
        <f t="shared" si="392"/>
        <v>0</v>
      </c>
      <c r="N399" s="253">
        <f t="shared" si="393"/>
        <v>0</v>
      </c>
      <c r="P399" s="191" t="s">
        <v>3</v>
      </c>
      <c r="Q399" s="186"/>
      <c r="R399" s="187"/>
      <c r="S399" s="187"/>
      <c r="T399" s="244">
        <f t="shared" si="394"/>
        <v>0</v>
      </c>
      <c r="U399" s="186"/>
      <c r="V399" s="187"/>
      <c r="W399" s="187"/>
      <c r="X399" s="244">
        <f t="shared" si="395"/>
        <v>0</v>
      </c>
      <c r="Y399" s="196"/>
      <c r="Z399" s="197"/>
      <c r="AA399" s="197"/>
      <c r="AB399" s="243">
        <f t="shared" si="396"/>
        <v>0</v>
      </c>
      <c r="AC399" s="253">
        <f t="shared" si="397"/>
        <v>0</v>
      </c>
    </row>
    <row r="400" spans="1:30" x14ac:dyDescent="0.15">
      <c r="A400" s="191" t="s">
        <v>3</v>
      </c>
      <c r="B400" s="199"/>
      <c r="C400" s="197"/>
      <c r="D400" s="197"/>
      <c r="E400" s="243">
        <f t="shared" si="390"/>
        <v>0</v>
      </c>
      <c r="F400" s="199"/>
      <c r="G400" s="197"/>
      <c r="H400" s="197"/>
      <c r="I400" s="243">
        <f t="shared" si="391"/>
        <v>0</v>
      </c>
      <c r="J400" s="186"/>
      <c r="K400" s="187"/>
      <c r="L400" s="187"/>
      <c r="M400" s="243">
        <f t="shared" si="392"/>
        <v>0</v>
      </c>
      <c r="N400" s="253">
        <f t="shared" si="393"/>
        <v>0</v>
      </c>
      <c r="P400" s="191" t="s">
        <v>3</v>
      </c>
      <c r="Q400" s="199"/>
      <c r="R400" s="197"/>
      <c r="S400" s="197"/>
      <c r="T400" s="243">
        <f t="shared" si="394"/>
        <v>0</v>
      </c>
      <c r="U400" s="199"/>
      <c r="V400" s="197"/>
      <c r="W400" s="197"/>
      <c r="X400" s="243">
        <f t="shared" si="395"/>
        <v>0</v>
      </c>
      <c r="Y400" s="186"/>
      <c r="Z400" s="187"/>
      <c r="AA400" s="187"/>
      <c r="AB400" s="243">
        <f t="shared" si="396"/>
        <v>0</v>
      </c>
      <c r="AC400" s="253">
        <f t="shared" si="397"/>
        <v>0</v>
      </c>
    </row>
    <row r="401" spans="1:34" x14ac:dyDescent="0.15">
      <c r="A401" s="191" t="s">
        <v>3</v>
      </c>
      <c r="B401" s="200"/>
      <c r="C401" s="187"/>
      <c r="D401" s="187"/>
      <c r="E401" s="243">
        <f t="shared" si="390"/>
        <v>0</v>
      </c>
      <c r="F401" s="200"/>
      <c r="G401" s="187"/>
      <c r="H401" s="187"/>
      <c r="I401" s="243">
        <f t="shared" si="391"/>
        <v>0</v>
      </c>
      <c r="J401" s="186"/>
      <c r="K401" s="187"/>
      <c r="L401" s="187"/>
      <c r="M401" s="243">
        <f t="shared" si="392"/>
        <v>0</v>
      </c>
      <c r="N401" s="253">
        <f t="shared" si="393"/>
        <v>0</v>
      </c>
      <c r="P401" s="191" t="s">
        <v>3</v>
      </c>
      <c r="Q401" s="200"/>
      <c r="R401" s="187"/>
      <c r="S401" s="187"/>
      <c r="T401" s="243">
        <f t="shared" si="394"/>
        <v>0</v>
      </c>
      <c r="U401" s="200"/>
      <c r="V401" s="187"/>
      <c r="W401" s="187"/>
      <c r="X401" s="243">
        <f t="shared" si="395"/>
        <v>0</v>
      </c>
      <c r="Y401" s="186"/>
      <c r="Z401" s="187"/>
      <c r="AA401" s="187"/>
      <c r="AB401" s="243">
        <f t="shared" si="396"/>
        <v>0</v>
      </c>
      <c r="AC401" s="253">
        <f t="shared" si="397"/>
        <v>0</v>
      </c>
    </row>
    <row r="402" spans="1:34" ht="14.25" thickBot="1" x14ac:dyDescent="0.2">
      <c r="A402" s="206" t="s">
        <v>3</v>
      </c>
      <c r="B402" s="202"/>
      <c r="C402" s="203"/>
      <c r="D402" s="203"/>
      <c r="E402" s="245">
        <f t="shared" si="390"/>
        <v>0</v>
      </c>
      <c r="F402" s="202"/>
      <c r="G402" s="203"/>
      <c r="H402" s="203"/>
      <c r="I402" s="245">
        <f t="shared" si="391"/>
        <v>0</v>
      </c>
      <c r="J402" s="205"/>
      <c r="K402" s="203"/>
      <c r="L402" s="204"/>
      <c r="M402" s="245">
        <f t="shared" si="392"/>
        <v>0</v>
      </c>
      <c r="N402" s="255">
        <f t="shared" si="393"/>
        <v>0</v>
      </c>
      <c r="P402" s="206" t="s">
        <v>3</v>
      </c>
      <c r="Q402" s="202"/>
      <c r="R402" s="203"/>
      <c r="S402" s="203"/>
      <c r="T402" s="245">
        <f t="shared" si="394"/>
        <v>0</v>
      </c>
      <c r="U402" s="202"/>
      <c r="V402" s="203"/>
      <c r="W402" s="203"/>
      <c r="X402" s="245">
        <f t="shared" si="395"/>
        <v>0</v>
      </c>
      <c r="Y402" s="205"/>
      <c r="Z402" s="203"/>
      <c r="AA402" s="204"/>
      <c r="AB402" s="245">
        <f t="shared" si="396"/>
        <v>0</v>
      </c>
      <c r="AC402" s="255">
        <f t="shared" si="397"/>
        <v>0</v>
      </c>
    </row>
    <row r="403" spans="1:34" ht="14.25" thickBot="1" x14ac:dyDescent="0.2">
      <c r="A403" s="207" t="s">
        <v>4</v>
      </c>
      <c r="B403" s="208">
        <f>SUM(B392:B402)</f>
        <v>5</v>
      </c>
      <c r="C403" s="208">
        <f>SUM(C392:C402)</f>
        <v>2</v>
      </c>
      <c r="D403" s="208">
        <f>SUM(D392:D402)</f>
        <v>7</v>
      </c>
      <c r="E403" s="246">
        <f t="shared" ref="E403:E428" si="406">SUM(B403:D403)</f>
        <v>14</v>
      </c>
      <c r="F403" s="208">
        <f>SUM(F392:F402)</f>
        <v>7</v>
      </c>
      <c r="G403" s="208">
        <f>SUM(G392:G402)</f>
        <v>2</v>
      </c>
      <c r="H403" s="208">
        <f>SUM(H392:H402)</f>
        <v>2</v>
      </c>
      <c r="I403" s="246">
        <f t="shared" si="391"/>
        <v>11</v>
      </c>
      <c r="J403" s="208">
        <f>SUM(J392:J402)</f>
        <v>6</v>
      </c>
      <c r="K403" s="208">
        <f>SUM(K392:K402)</f>
        <v>2</v>
      </c>
      <c r="L403" s="208">
        <f>SUM(L392:L402)</f>
        <v>3</v>
      </c>
      <c r="M403" s="266">
        <f t="shared" si="392"/>
        <v>11</v>
      </c>
      <c r="N403" s="271">
        <f t="shared" si="393"/>
        <v>36</v>
      </c>
      <c r="P403" s="210" t="s">
        <v>4</v>
      </c>
      <c r="Q403" s="208">
        <f>SUM(Q392:Q402)</f>
        <v>477</v>
      </c>
      <c r="R403" s="208">
        <f>SUM(R392:R402)</f>
        <v>396</v>
      </c>
      <c r="S403" s="208">
        <f>SUM(S392:S402)</f>
        <v>342</v>
      </c>
      <c r="T403" s="246">
        <f t="shared" si="394"/>
        <v>1215</v>
      </c>
      <c r="U403" s="208">
        <f>SUM(U392:U402)</f>
        <v>456</v>
      </c>
      <c r="V403" s="208">
        <f>SUM(V392:V402)</f>
        <v>423</v>
      </c>
      <c r="W403" s="208">
        <f>SUM(W392:W402)</f>
        <v>344</v>
      </c>
      <c r="X403" s="246">
        <f t="shared" si="395"/>
        <v>1223</v>
      </c>
      <c r="Y403" s="208">
        <f>SUM(Y392:Y402)</f>
        <v>441</v>
      </c>
      <c r="Z403" s="208">
        <f>SUM(Z392:Z402)</f>
        <v>405</v>
      </c>
      <c r="AA403" s="208">
        <f>SUM(AA392:AA402)</f>
        <v>332</v>
      </c>
      <c r="AB403" s="246">
        <f t="shared" si="396"/>
        <v>1178</v>
      </c>
      <c r="AC403" s="256">
        <f t="shared" si="397"/>
        <v>3616</v>
      </c>
    </row>
    <row r="404" spans="1:34" x14ac:dyDescent="0.15">
      <c r="A404" s="197"/>
      <c r="B404" s="189"/>
      <c r="C404" s="188"/>
      <c r="D404" s="188"/>
      <c r="E404" s="244">
        <f t="shared" si="406"/>
        <v>0</v>
      </c>
      <c r="F404" s="189"/>
      <c r="G404" s="188"/>
      <c r="H404" s="188"/>
      <c r="I404" s="244">
        <f t="shared" si="391"/>
        <v>0</v>
      </c>
      <c r="J404" s="189"/>
      <c r="K404" s="188"/>
      <c r="L404" s="188"/>
      <c r="M404" s="244">
        <f t="shared" si="392"/>
        <v>0</v>
      </c>
      <c r="N404" s="253">
        <f t="shared" si="393"/>
        <v>0</v>
      </c>
      <c r="P404" s="197"/>
      <c r="Q404" s="189"/>
      <c r="R404" s="188"/>
      <c r="S404" s="188"/>
      <c r="T404" s="244">
        <f t="shared" si="394"/>
        <v>0</v>
      </c>
      <c r="U404" s="189"/>
      <c r="V404" s="188"/>
      <c r="W404" s="188"/>
      <c r="X404" s="244">
        <f t="shared" si="395"/>
        <v>0</v>
      </c>
      <c r="Y404" s="189"/>
      <c r="Z404" s="188"/>
      <c r="AA404" s="188"/>
      <c r="AB404" s="244">
        <f t="shared" si="396"/>
        <v>0</v>
      </c>
      <c r="AC404" s="253">
        <f t="shared" si="397"/>
        <v>0</v>
      </c>
    </row>
    <row r="405" spans="1:34" x14ac:dyDescent="0.15">
      <c r="A405" s="197"/>
      <c r="B405" s="189"/>
      <c r="C405" s="188"/>
      <c r="D405" s="188"/>
      <c r="E405" s="244">
        <f t="shared" si="406"/>
        <v>0</v>
      </c>
      <c r="F405" s="189"/>
      <c r="G405" s="188"/>
      <c r="H405" s="188"/>
      <c r="I405" s="244">
        <f t="shared" si="391"/>
        <v>0</v>
      </c>
      <c r="J405" s="189"/>
      <c r="K405" s="188"/>
      <c r="L405" s="188"/>
      <c r="M405" s="244">
        <f t="shared" si="392"/>
        <v>0</v>
      </c>
      <c r="N405" s="253">
        <f t="shared" si="393"/>
        <v>0</v>
      </c>
      <c r="P405" s="197"/>
      <c r="Q405" s="189"/>
      <c r="R405" s="188"/>
      <c r="S405" s="188"/>
      <c r="T405" s="244">
        <f t="shared" si="394"/>
        <v>0</v>
      </c>
      <c r="U405" s="189"/>
      <c r="V405" s="188"/>
      <c r="W405" s="188"/>
      <c r="X405" s="244">
        <f t="shared" si="395"/>
        <v>0</v>
      </c>
      <c r="Y405" s="189"/>
      <c r="Z405" s="188"/>
      <c r="AA405" s="188"/>
      <c r="AB405" s="244">
        <f t="shared" si="396"/>
        <v>0</v>
      </c>
      <c r="AC405" s="253">
        <f t="shared" si="397"/>
        <v>0</v>
      </c>
    </row>
    <row r="406" spans="1:34" x14ac:dyDescent="0.15">
      <c r="A406" s="197"/>
      <c r="B406" s="189"/>
      <c r="C406" s="188"/>
      <c r="D406" s="188"/>
      <c r="E406" s="244">
        <f t="shared" si="406"/>
        <v>0</v>
      </c>
      <c r="F406" s="189"/>
      <c r="G406" s="188"/>
      <c r="H406" s="188"/>
      <c r="I406" s="244">
        <f t="shared" si="391"/>
        <v>0</v>
      </c>
      <c r="J406" s="189"/>
      <c r="K406" s="188"/>
      <c r="L406" s="188"/>
      <c r="M406" s="244">
        <f t="shared" si="392"/>
        <v>0</v>
      </c>
      <c r="N406" s="253">
        <f t="shared" si="393"/>
        <v>0</v>
      </c>
      <c r="P406" s="197"/>
      <c r="Q406" s="189"/>
      <c r="R406" s="188"/>
      <c r="S406" s="188"/>
      <c r="T406" s="244">
        <f t="shared" si="394"/>
        <v>0</v>
      </c>
      <c r="U406" s="189"/>
      <c r="V406" s="188"/>
      <c r="W406" s="188"/>
      <c r="X406" s="244">
        <f t="shared" si="395"/>
        <v>0</v>
      </c>
      <c r="Y406" s="189"/>
      <c r="Z406" s="188"/>
      <c r="AA406" s="188"/>
      <c r="AB406" s="244">
        <f t="shared" si="396"/>
        <v>0</v>
      </c>
      <c r="AC406" s="253">
        <f t="shared" si="397"/>
        <v>0</v>
      </c>
    </row>
    <row r="407" spans="1:34" x14ac:dyDescent="0.15">
      <c r="A407" s="197"/>
      <c r="B407" s="189"/>
      <c r="C407" s="188"/>
      <c r="D407" s="188"/>
      <c r="E407" s="244">
        <f t="shared" si="406"/>
        <v>0</v>
      </c>
      <c r="F407" s="189"/>
      <c r="G407" s="188"/>
      <c r="H407" s="188"/>
      <c r="I407" s="244">
        <f t="shared" si="391"/>
        <v>0</v>
      </c>
      <c r="J407" s="189"/>
      <c r="K407" s="188"/>
      <c r="L407" s="188"/>
      <c r="M407" s="244">
        <f t="shared" si="392"/>
        <v>0</v>
      </c>
      <c r="N407" s="253">
        <f t="shared" si="393"/>
        <v>0</v>
      </c>
      <c r="P407" s="197"/>
      <c r="Q407" s="189"/>
      <c r="R407" s="188"/>
      <c r="S407" s="188"/>
      <c r="T407" s="244">
        <f t="shared" si="394"/>
        <v>0</v>
      </c>
      <c r="U407" s="189"/>
      <c r="V407" s="188"/>
      <c r="W407" s="188"/>
      <c r="X407" s="244">
        <f t="shared" si="395"/>
        <v>0</v>
      </c>
      <c r="Y407" s="189"/>
      <c r="Z407" s="188"/>
      <c r="AA407" s="188"/>
      <c r="AB407" s="244">
        <f t="shared" si="396"/>
        <v>0</v>
      </c>
      <c r="AC407" s="253">
        <f t="shared" si="397"/>
        <v>0</v>
      </c>
    </row>
    <row r="408" spans="1:34" x14ac:dyDescent="0.15">
      <c r="A408" s="197"/>
      <c r="B408" s="189"/>
      <c r="C408" s="188"/>
      <c r="D408" s="188"/>
      <c r="E408" s="244">
        <f t="shared" si="406"/>
        <v>0</v>
      </c>
      <c r="F408" s="189"/>
      <c r="G408" s="188"/>
      <c r="H408" s="188"/>
      <c r="I408" s="244">
        <f t="shared" si="391"/>
        <v>0</v>
      </c>
      <c r="J408" s="189"/>
      <c r="K408" s="188"/>
      <c r="L408" s="188"/>
      <c r="M408" s="244">
        <f t="shared" si="392"/>
        <v>0</v>
      </c>
      <c r="N408" s="253">
        <f t="shared" si="393"/>
        <v>0</v>
      </c>
      <c r="P408" s="197"/>
      <c r="Q408" s="189"/>
      <c r="R408" s="188"/>
      <c r="S408" s="188"/>
      <c r="T408" s="244">
        <f t="shared" si="394"/>
        <v>0</v>
      </c>
      <c r="U408" s="189"/>
      <c r="V408" s="188"/>
      <c r="W408" s="188"/>
      <c r="X408" s="244">
        <f t="shared" si="395"/>
        <v>0</v>
      </c>
      <c r="Y408" s="189"/>
      <c r="Z408" s="188"/>
      <c r="AA408" s="188"/>
      <c r="AB408" s="244">
        <f t="shared" si="396"/>
        <v>0</v>
      </c>
      <c r="AC408" s="253">
        <f t="shared" si="397"/>
        <v>0</v>
      </c>
    </row>
    <row r="409" spans="1:34" x14ac:dyDescent="0.15">
      <c r="A409" s="197"/>
      <c r="B409" s="189"/>
      <c r="C409" s="188"/>
      <c r="D409" s="188"/>
      <c r="E409" s="244">
        <f t="shared" si="406"/>
        <v>0</v>
      </c>
      <c r="F409" s="189"/>
      <c r="G409" s="188"/>
      <c r="H409" s="188"/>
      <c r="I409" s="244">
        <f t="shared" si="391"/>
        <v>0</v>
      </c>
      <c r="J409" s="189"/>
      <c r="K409" s="188"/>
      <c r="L409" s="188"/>
      <c r="M409" s="244">
        <f t="shared" si="392"/>
        <v>0</v>
      </c>
      <c r="N409" s="253">
        <f t="shared" si="393"/>
        <v>0</v>
      </c>
      <c r="P409" s="197"/>
      <c r="Q409" s="189"/>
      <c r="R409" s="188"/>
      <c r="S409" s="188"/>
      <c r="T409" s="244">
        <f t="shared" si="394"/>
        <v>0</v>
      </c>
      <c r="U409" s="189"/>
      <c r="V409" s="188"/>
      <c r="W409" s="188"/>
      <c r="X409" s="244">
        <f t="shared" si="395"/>
        <v>0</v>
      </c>
      <c r="Y409" s="189"/>
      <c r="Z409" s="188"/>
      <c r="AA409" s="188"/>
      <c r="AB409" s="244">
        <f t="shared" si="396"/>
        <v>0</v>
      </c>
      <c r="AC409" s="253">
        <f t="shared" si="397"/>
        <v>0</v>
      </c>
    </row>
    <row r="410" spans="1:34" x14ac:dyDescent="0.15">
      <c r="A410" s="197"/>
      <c r="B410" s="189"/>
      <c r="C410" s="188"/>
      <c r="D410" s="188"/>
      <c r="E410" s="244">
        <f t="shared" si="406"/>
        <v>0</v>
      </c>
      <c r="F410" s="189"/>
      <c r="G410" s="188"/>
      <c r="H410" s="188"/>
      <c r="I410" s="244">
        <f t="shared" si="391"/>
        <v>0</v>
      </c>
      <c r="J410" s="189"/>
      <c r="K410" s="188"/>
      <c r="L410" s="188"/>
      <c r="M410" s="244">
        <f t="shared" si="392"/>
        <v>0</v>
      </c>
      <c r="N410" s="253">
        <f t="shared" si="393"/>
        <v>0</v>
      </c>
      <c r="P410" s="197"/>
      <c r="Q410" s="189"/>
      <c r="R410" s="188"/>
      <c r="S410" s="188"/>
      <c r="T410" s="244">
        <f t="shared" si="394"/>
        <v>0</v>
      </c>
      <c r="U410" s="189"/>
      <c r="V410" s="188"/>
      <c r="W410" s="188"/>
      <c r="X410" s="244">
        <f t="shared" si="395"/>
        <v>0</v>
      </c>
      <c r="Y410" s="189"/>
      <c r="Z410" s="188"/>
      <c r="AA410" s="188"/>
      <c r="AB410" s="244">
        <f t="shared" si="396"/>
        <v>0</v>
      </c>
      <c r="AC410" s="253">
        <f t="shared" si="397"/>
        <v>0</v>
      </c>
    </row>
    <row r="411" spans="1:34" x14ac:dyDescent="0.15">
      <c r="A411" s="197"/>
      <c r="B411" s="189"/>
      <c r="C411" s="188"/>
      <c r="D411" s="188"/>
      <c r="E411" s="244">
        <f t="shared" si="406"/>
        <v>0</v>
      </c>
      <c r="F411" s="189"/>
      <c r="G411" s="188"/>
      <c r="H411" s="188"/>
      <c r="I411" s="244">
        <f t="shared" si="391"/>
        <v>0</v>
      </c>
      <c r="J411" s="189"/>
      <c r="K411" s="188"/>
      <c r="L411" s="188"/>
      <c r="M411" s="244">
        <f t="shared" si="392"/>
        <v>0</v>
      </c>
      <c r="N411" s="253">
        <f t="shared" si="393"/>
        <v>0</v>
      </c>
      <c r="P411" s="197"/>
      <c r="Q411" s="189"/>
      <c r="R411" s="188"/>
      <c r="S411" s="188"/>
      <c r="T411" s="244">
        <f t="shared" si="394"/>
        <v>0</v>
      </c>
      <c r="U411" s="189"/>
      <c r="V411" s="188"/>
      <c r="W411" s="188"/>
      <c r="X411" s="244">
        <f t="shared" si="395"/>
        <v>0</v>
      </c>
      <c r="Y411" s="189"/>
      <c r="Z411" s="188"/>
      <c r="AA411" s="188"/>
      <c r="AB411" s="244">
        <f t="shared" si="396"/>
        <v>0</v>
      </c>
      <c r="AC411" s="253">
        <f t="shared" si="397"/>
        <v>0</v>
      </c>
    </row>
    <row r="412" spans="1:34" x14ac:dyDescent="0.15">
      <c r="A412" s="197"/>
      <c r="B412" s="189"/>
      <c r="C412" s="188"/>
      <c r="D412" s="188"/>
      <c r="E412" s="244">
        <f t="shared" si="406"/>
        <v>0</v>
      </c>
      <c r="F412" s="189"/>
      <c r="G412" s="188"/>
      <c r="H412" s="188"/>
      <c r="I412" s="244">
        <f t="shared" si="391"/>
        <v>0</v>
      </c>
      <c r="J412" s="189"/>
      <c r="K412" s="188"/>
      <c r="L412" s="188"/>
      <c r="M412" s="244">
        <f t="shared" si="392"/>
        <v>0</v>
      </c>
      <c r="N412" s="253">
        <f t="shared" si="393"/>
        <v>0</v>
      </c>
      <c r="P412" s="197"/>
      <c r="Q412" s="189"/>
      <c r="R412" s="188"/>
      <c r="S412" s="188"/>
      <c r="T412" s="244">
        <f t="shared" si="394"/>
        <v>0</v>
      </c>
      <c r="U412" s="189"/>
      <c r="V412" s="188"/>
      <c r="W412" s="188"/>
      <c r="X412" s="244">
        <f t="shared" si="395"/>
        <v>0</v>
      </c>
      <c r="Y412" s="189"/>
      <c r="Z412" s="188"/>
      <c r="AA412" s="188"/>
      <c r="AB412" s="244">
        <f t="shared" si="396"/>
        <v>0</v>
      </c>
      <c r="AC412" s="253">
        <f t="shared" si="397"/>
        <v>0</v>
      </c>
    </row>
    <row r="413" spans="1:34" x14ac:dyDescent="0.15">
      <c r="A413" s="197"/>
      <c r="B413" s="189"/>
      <c r="C413" s="188"/>
      <c r="D413" s="188"/>
      <c r="E413" s="244">
        <f t="shared" si="406"/>
        <v>0</v>
      </c>
      <c r="F413" s="189"/>
      <c r="G413" s="188"/>
      <c r="H413" s="188"/>
      <c r="I413" s="244">
        <f t="shared" si="391"/>
        <v>0</v>
      </c>
      <c r="J413" s="189"/>
      <c r="K413" s="188"/>
      <c r="L413" s="188"/>
      <c r="M413" s="244">
        <f t="shared" si="392"/>
        <v>0</v>
      </c>
      <c r="N413" s="253">
        <f t="shared" si="393"/>
        <v>0</v>
      </c>
      <c r="P413" s="197"/>
      <c r="Q413" s="189"/>
      <c r="R413" s="188"/>
      <c r="S413" s="188"/>
      <c r="T413" s="244">
        <f t="shared" ref="T413:T416" si="407">SUM(Q413:S413)</f>
        <v>0</v>
      </c>
      <c r="U413" s="189"/>
      <c r="V413" s="188"/>
      <c r="W413" s="188"/>
      <c r="X413" s="244">
        <f t="shared" ref="X413:X416" si="408">SUM(U413:W413)</f>
        <v>0</v>
      </c>
      <c r="Y413" s="189"/>
      <c r="Z413" s="188"/>
      <c r="AA413" s="188"/>
      <c r="AB413" s="244">
        <f t="shared" ref="AB413:AB416" si="409">SUM(Y413:AA413)</f>
        <v>0</v>
      </c>
      <c r="AC413" s="253">
        <f t="shared" ref="AC413:AC416" si="410">T413+X413+AB413</f>
        <v>0</v>
      </c>
      <c r="AG413" s="195"/>
      <c r="AH413" s="195"/>
    </row>
    <row r="414" spans="1:34" x14ac:dyDescent="0.15">
      <c r="A414" s="197"/>
      <c r="B414" s="189"/>
      <c r="C414" s="188"/>
      <c r="D414" s="188"/>
      <c r="E414" s="244">
        <f t="shared" si="406"/>
        <v>0</v>
      </c>
      <c r="F414" s="189"/>
      <c r="G414" s="188"/>
      <c r="H414" s="188"/>
      <c r="I414" s="244">
        <f t="shared" si="391"/>
        <v>0</v>
      </c>
      <c r="J414" s="189"/>
      <c r="K414" s="188"/>
      <c r="L414" s="188"/>
      <c r="M414" s="244">
        <f t="shared" si="392"/>
        <v>0</v>
      </c>
      <c r="N414" s="253">
        <f t="shared" si="393"/>
        <v>0</v>
      </c>
      <c r="P414" s="197"/>
      <c r="Q414" s="189"/>
      <c r="R414" s="188"/>
      <c r="S414" s="188"/>
      <c r="T414" s="244">
        <f t="shared" si="407"/>
        <v>0</v>
      </c>
      <c r="U414" s="189"/>
      <c r="V414" s="188"/>
      <c r="W414" s="188"/>
      <c r="X414" s="244">
        <f t="shared" si="408"/>
        <v>0</v>
      </c>
      <c r="Y414" s="189"/>
      <c r="Z414" s="188"/>
      <c r="AA414" s="188"/>
      <c r="AB414" s="244">
        <f t="shared" si="409"/>
        <v>0</v>
      </c>
      <c r="AC414" s="253">
        <f t="shared" si="410"/>
        <v>0</v>
      </c>
    </row>
    <row r="415" spans="1:34" x14ac:dyDescent="0.15">
      <c r="A415" s="197"/>
      <c r="B415" s="189"/>
      <c r="C415" s="188"/>
      <c r="D415" s="188"/>
      <c r="E415" s="244">
        <f t="shared" si="406"/>
        <v>0</v>
      </c>
      <c r="F415" s="189"/>
      <c r="G415" s="188"/>
      <c r="H415" s="188"/>
      <c r="I415" s="244">
        <f t="shared" si="391"/>
        <v>0</v>
      </c>
      <c r="J415" s="189"/>
      <c r="K415" s="188"/>
      <c r="L415" s="188"/>
      <c r="M415" s="244">
        <f t="shared" si="392"/>
        <v>0</v>
      </c>
      <c r="N415" s="253">
        <f t="shared" si="393"/>
        <v>0</v>
      </c>
      <c r="P415" s="219" t="s">
        <v>1770</v>
      </c>
      <c r="Q415" s="216">
        <v>0</v>
      </c>
      <c r="R415" s="217">
        <v>0</v>
      </c>
      <c r="S415" s="217">
        <v>0</v>
      </c>
      <c r="T415" s="250">
        <f t="shared" si="407"/>
        <v>0</v>
      </c>
      <c r="U415" s="216">
        <v>0</v>
      </c>
      <c r="V415" s="217">
        <v>0</v>
      </c>
      <c r="W415" s="217">
        <v>0</v>
      </c>
      <c r="X415" s="250">
        <f t="shared" si="408"/>
        <v>0</v>
      </c>
      <c r="Y415" s="216">
        <v>0</v>
      </c>
      <c r="Z415" s="217">
        <v>0</v>
      </c>
      <c r="AA415" s="217">
        <v>0</v>
      </c>
      <c r="AB415" s="250">
        <f t="shared" si="409"/>
        <v>0</v>
      </c>
      <c r="AC415" s="262">
        <f t="shared" si="410"/>
        <v>0</v>
      </c>
      <c r="AD415" s="218"/>
    </row>
    <row r="416" spans="1:34" x14ac:dyDescent="0.15">
      <c r="A416" s="197"/>
      <c r="B416" s="189"/>
      <c r="C416" s="188"/>
      <c r="D416" s="188"/>
      <c r="E416" s="244">
        <f t="shared" si="406"/>
        <v>0</v>
      </c>
      <c r="F416" s="189"/>
      <c r="G416" s="188"/>
      <c r="H416" s="188"/>
      <c r="I416" s="244">
        <f t="shared" si="391"/>
        <v>0</v>
      </c>
      <c r="J416" s="189"/>
      <c r="K416" s="188"/>
      <c r="L416" s="188"/>
      <c r="M416" s="244">
        <f t="shared" si="392"/>
        <v>0</v>
      </c>
      <c r="N416" s="253">
        <f t="shared" si="393"/>
        <v>0</v>
      </c>
      <c r="P416" s="220" t="s">
        <v>1773</v>
      </c>
      <c r="Q416" s="212">
        <v>5</v>
      </c>
      <c r="R416" s="213">
        <v>5</v>
      </c>
      <c r="S416" s="213">
        <v>5</v>
      </c>
      <c r="T416" s="248">
        <f t="shared" si="407"/>
        <v>15</v>
      </c>
      <c r="U416" s="212">
        <v>5</v>
      </c>
      <c r="V416" s="213">
        <v>5</v>
      </c>
      <c r="W416" s="213">
        <v>5</v>
      </c>
      <c r="X416" s="248">
        <f t="shared" si="408"/>
        <v>15</v>
      </c>
      <c r="Y416" s="212">
        <v>5</v>
      </c>
      <c r="Z416" s="213">
        <v>5</v>
      </c>
      <c r="AA416" s="213">
        <v>5</v>
      </c>
      <c r="AB416" s="248">
        <f t="shared" si="409"/>
        <v>15</v>
      </c>
      <c r="AC416" s="258">
        <f t="shared" si="410"/>
        <v>45</v>
      </c>
      <c r="AD416" s="214" t="s">
        <v>1771</v>
      </c>
    </row>
    <row r="417" spans="1:30" x14ac:dyDescent="0.15">
      <c r="A417" s="197"/>
      <c r="B417" s="189"/>
      <c r="C417" s="188"/>
      <c r="D417" s="188"/>
      <c r="E417" s="244">
        <f t="shared" si="406"/>
        <v>0</v>
      </c>
      <c r="F417" s="189"/>
      <c r="G417" s="188"/>
      <c r="H417" s="188"/>
      <c r="I417" s="244">
        <f t="shared" si="391"/>
        <v>0</v>
      </c>
      <c r="J417" s="189"/>
      <c r="K417" s="188"/>
      <c r="L417" s="188"/>
      <c r="M417" s="244">
        <f t="shared" si="392"/>
        <v>0</v>
      </c>
      <c r="N417" s="253">
        <f t="shared" si="393"/>
        <v>0</v>
      </c>
      <c r="P417" s="197" t="s">
        <v>1827</v>
      </c>
      <c r="Q417" s="189"/>
      <c r="R417" s="188"/>
      <c r="S417" s="188"/>
      <c r="T417" s="244">
        <f t="shared" ref="T417:T421" si="411">SUM(Q417:S417)</f>
        <v>0</v>
      </c>
      <c r="U417" s="189"/>
      <c r="V417" s="188"/>
      <c r="W417" s="188"/>
      <c r="X417" s="244">
        <f t="shared" ref="X417:X421" si="412">SUM(U417:W417)</f>
        <v>0</v>
      </c>
      <c r="Y417" s="189"/>
      <c r="Z417" s="188"/>
      <c r="AA417" s="188"/>
      <c r="AB417" s="244">
        <f t="shared" ref="AB417:AB421" si="413">SUM(Y417:AA417)</f>
        <v>0</v>
      </c>
      <c r="AC417" s="253">
        <f t="shared" ref="AC417:AC421" si="414">T417+X417+AB417</f>
        <v>0</v>
      </c>
      <c r="AD417" s="198" t="s">
        <v>1745</v>
      </c>
    </row>
    <row r="418" spans="1:30" x14ac:dyDescent="0.15">
      <c r="A418" s="197"/>
      <c r="B418" s="189"/>
      <c r="C418" s="188"/>
      <c r="D418" s="188"/>
      <c r="E418" s="244">
        <f t="shared" si="406"/>
        <v>0</v>
      </c>
      <c r="F418" s="189"/>
      <c r="G418" s="188"/>
      <c r="H418" s="188"/>
      <c r="I418" s="244">
        <f t="shared" si="391"/>
        <v>0</v>
      </c>
      <c r="J418" s="189"/>
      <c r="K418" s="188"/>
      <c r="L418" s="188"/>
      <c r="M418" s="244">
        <f t="shared" si="392"/>
        <v>0</v>
      </c>
      <c r="N418" s="253">
        <f t="shared" si="393"/>
        <v>0</v>
      </c>
      <c r="P418" s="197" t="s">
        <v>1829</v>
      </c>
      <c r="Q418" s="189"/>
      <c r="R418" s="188"/>
      <c r="S418" s="188"/>
      <c r="T418" s="244">
        <f t="shared" ref="T418:T419" si="415">SUM(Q418:S418)</f>
        <v>0</v>
      </c>
      <c r="U418" s="189"/>
      <c r="V418" s="188"/>
      <c r="W418" s="188"/>
      <c r="X418" s="244">
        <f t="shared" ref="X418:X419" si="416">SUM(U418:W418)</f>
        <v>0</v>
      </c>
      <c r="Y418" s="189"/>
      <c r="Z418" s="188"/>
      <c r="AA418" s="188"/>
      <c r="AB418" s="244">
        <f t="shared" si="413"/>
        <v>0</v>
      </c>
      <c r="AC418" s="253">
        <f t="shared" si="414"/>
        <v>0</v>
      </c>
      <c r="AD418" s="198" t="s">
        <v>804</v>
      </c>
    </row>
    <row r="419" spans="1:30" x14ac:dyDescent="0.15">
      <c r="A419" s="197"/>
      <c r="B419" s="189"/>
      <c r="C419" s="188"/>
      <c r="D419" s="188"/>
      <c r="E419" s="244">
        <f t="shared" si="406"/>
        <v>0</v>
      </c>
      <c r="F419" s="189"/>
      <c r="G419" s="188"/>
      <c r="H419" s="188"/>
      <c r="I419" s="244">
        <f t="shared" si="391"/>
        <v>0</v>
      </c>
      <c r="J419" s="189"/>
      <c r="K419" s="188"/>
      <c r="L419" s="188"/>
      <c r="M419" s="244">
        <f t="shared" si="392"/>
        <v>0</v>
      </c>
      <c r="N419" s="253">
        <f t="shared" si="393"/>
        <v>0</v>
      </c>
      <c r="P419" s="211" t="s">
        <v>1828</v>
      </c>
      <c r="Q419" s="212">
        <v>5</v>
      </c>
      <c r="R419" s="213">
        <v>3</v>
      </c>
      <c r="S419" s="213">
        <v>2</v>
      </c>
      <c r="T419" s="248">
        <f t="shared" si="415"/>
        <v>10</v>
      </c>
      <c r="U419" s="212">
        <v>5</v>
      </c>
      <c r="V419" s="213">
        <v>3</v>
      </c>
      <c r="W419" s="213">
        <v>2</v>
      </c>
      <c r="X419" s="248">
        <f t="shared" si="416"/>
        <v>10</v>
      </c>
      <c r="Y419" s="212">
        <v>5</v>
      </c>
      <c r="Z419" s="213">
        <v>3</v>
      </c>
      <c r="AA419" s="213">
        <v>2</v>
      </c>
      <c r="AB419" s="248">
        <f t="shared" si="413"/>
        <v>10</v>
      </c>
      <c r="AC419" s="258">
        <f t="shared" si="414"/>
        <v>30</v>
      </c>
      <c r="AD419" s="214" t="s">
        <v>1750</v>
      </c>
    </row>
    <row r="420" spans="1:30" x14ac:dyDescent="0.15">
      <c r="A420" s="197"/>
      <c r="B420" s="189"/>
      <c r="C420" s="188"/>
      <c r="D420" s="188"/>
      <c r="E420" s="244">
        <f t="shared" si="406"/>
        <v>0</v>
      </c>
      <c r="F420" s="189"/>
      <c r="G420" s="188"/>
      <c r="H420" s="188"/>
      <c r="I420" s="244">
        <f t="shared" si="391"/>
        <v>0</v>
      </c>
      <c r="J420" s="189"/>
      <c r="K420" s="188"/>
      <c r="L420" s="188"/>
      <c r="M420" s="244">
        <f t="shared" si="392"/>
        <v>0</v>
      </c>
      <c r="N420" s="253">
        <f t="shared" si="393"/>
        <v>0</v>
      </c>
      <c r="P420" s="215" t="s">
        <v>1698</v>
      </c>
      <c r="Q420" s="216">
        <v>0</v>
      </c>
      <c r="R420" s="217">
        <v>0</v>
      </c>
      <c r="S420" s="217">
        <v>0</v>
      </c>
      <c r="T420" s="250">
        <f t="shared" si="411"/>
        <v>0</v>
      </c>
      <c r="U420" s="216">
        <v>0</v>
      </c>
      <c r="V420" s="217">
        <v>0</v>
      </c>
      <c r="W420" s="217">
        <v>0</v>
      </c>
      <c r="X420" s="250">
        <f t="shared" si="412"/>
        <v>0</v>
      </c>
      <c r="Y420" s="216">
        <v>0</v>
      </c>
      <c r="Z420" s="217">
        <v>0</v>
      </c>
      <c r="AA420" s="217">
        <v>0</v>
      </c>
      <c r="AB420" s="250">
        <f t="shared" si="413"/>
        <v>0</v>
      </c>
      <c r="AC420" s="282">
        <f t="shared" si="414"/>
        <v>0</v>
      </c>
    </row>
    <row r="421" spans="1:30" x14ac:dyDescent="0.15">
      <c r="A421" s="197"/>
      <c r="B421" s="189"/>
      <c r="C421" s="188"/>
      <c r="D421" s="188"/>
      <c r="E421" s="244">
        <f t="shared" si="406"/>
        <v>0</v>
      </c>
      <c r="F421" s="189"/>
      <c r="G421" s="188"/>
      <c r="H421" s="188"/>
      <c r="I421" s="244">
        <f t="shared" si="391"/>
        <v>0</v>
      </c>
      <c r="J421" s="189"/>
      <c r="K421" s="188"/>
      <c r="L421" s="188"/>
      <c r="M421" s="244">
        <f t="shared" si="392"/>
        <v>0</v>
      </c>
      <c r="N421" s="253">
        <f t="shared" si="393"/>
        <v>0</v>
      </c>
      <c r="P421" s="211" t="s">
        <v>1697</v>
      </c>
      <c r="Q421" s="212">
        <f>12-2</f>
        <v>10</v>
      </c>
      <c r="R421" s="213">
        <f>10-2</f>
        <v>8</v>
      </c>
      <c r="S421" s="213">
        <f>8-2</f>
        <v>6</v>
      </c>
      <c r="T421" s="248">
        <f t="shared" si="411"/>
        <v>24</v>
      </c>
      <c r="U421" s="212">
        <f>12-2</f>
        <v>10</v>
      </c>
      <c r="V421" s="213">
        <f>10-2</f>
        <v>8</v>
      </c>
      <c r="W421" s="213">
        <f>8-2</f>
        <v>6</v>
      </c>
      <c r="X421" s="248">
        <f t="shared" si="412"/>
        <v>24</v>
      </c>
      <c r="Y421" s="212">
        <f>12-2</f>
        <v>10</v>
      </c>
      <c r="Z421" s="213">
        <f>10-2</f>
        <v>8</v>
      </c>
      <c r="AA421" s="213">
        <f>8-2</f>
        <v>6</v>
      </c>
      <c r="AB421" s="248">
        <f t="shared" si="413"/>
        <v>24</v>
      </c>
      <c r="AC421" s="258">
        <f t="shared" si="414"/>
        <v>72</v>
      </c>
      <c r="AD421" s="214" t="s">
        <v>1880</v>
      </c>
    </row>
    <row r="422" spans="1:30" x14ac:dyDescent="0.15">
      <c r="A422" s="197"/>
      <c r="B422" s="189"/>
      <c r="C422" s="188"/>
      <c r="D422" s="188"/>
      <c r="E422" s="244">
        <f t="shared" si="406"/>
        <v>0</v>
      </c>
      <c r="F422" s="189"/>
      <c r="G422" s="188"/>
      <c r="H422" s="188"/>
      <c r="I422" s="244">
        <f t="shared" si="391"/>
        <v>0</v>
      </c>
      <c r="J422" s="189"/>
      <c r="K422" s="188"/>
      <c r="L422" s="188"/>
      <c r="M422" s="244">
        <f t="shared" si="392"/>
        <v>0</v>
      </c>
      <c r="N422" s="253">
        <f t="shared" si="393"/>
        <v>0</v>
      </c>
      <c r="P422" s="215" t="s">
        <v>1637</v>
      </c>
      <c r="Q422" s="216">
        <v>-20</v>
      </c>
      <c r="R422" s="217">
        <v>-40</v>
      </c>
      <c r="S422" s="217">
        <v>-50</v>
      </c>
      <c r="T422" s="250">
        <f t="shared" si="394"/>
        <v>-110</v>
      </c>
      <c r="U422" s="216">
        <v>-20</v>
      </c>
      <c r="V422" s="217">
        <v>-30</v>
      </c>
      <c r="W422" s="217">
        <v>-30</v>
      </c>
      <c r="X422" s="250">
        <f t="shared" si="395"/>
        <v>-80</v>
      </c>
      <c r="Y422" s="216">
        <v>-40</v>
      </c>
      <c r="Z422" s="217">
        <v>-40</v>
      </c>
      <c r="AA422" s="217">
        <v>-40</v>
      </c>
      <c r="AB422" s="250">
        <f t="shared" si="396"/>
        <v>-120</v>
      </c>
      <c r="AC422" s="285">
        <f t="shared" si="397"/>
        <v>-310</v>
      </c>
      <c r="AD422" s="214"/>
    </row>
    <row r="423" spans="1:30" x14ac:dyDescent="0.15">
      <c r="A423" s="197"/>
      <c r="B423" s="189"/>
      <c r="C423" s="188"/>
      <c r="D423" s="188"/>
      <c r="E423" s="244">
        <f t="shared" si="406"/>
        <v>0</v>
      </c>
      <c r="F423" s="189"/>
      <c r="G423" s="188"/>
      <c r="H423" s="188"/>
      <c r="I423" s="244">
        <f t="shared" si="391"/>
        <v>0</v>
      </c>
      <c r="J423" s="189"/>
      <c r="K423" s="188"/>
      <c r="L423" s="188"/>
      <c r="M423" s="244">
        <f t="shared" si="392"/>
        <v>0</v>
      </c>
      <c r="N423" s="253">
        <f t="shared" si="393"/>
        <v>0</v>
      </c>
      <c r="P423" s="211" t="s">
        <v>1638</v>
      </c>
      <c r="Q423" s="212">
        <v>40</v>
      </c>
      <c r="R423" s="213">
        <v>60</v>
      </c>
      <c r="S423" s="213">
        <v>60</v>
      </c>
      <c r="T423" s="248">
        <f t="shared" si="394"/>
        <v>160</v>
      </c>
      <c r="U423" s="212">
        <v>40</v>
      </c>
      <c r="V423" s="213">
        <v>40</v>
      </c>
      <c r="W423" s="213">
        <v>40</v>
      </c>
      <c r="X423" s="248">
        <f t="shared" si="395"/>
        <v>120</v>
      </c>
      <c r="Y423" s="212">
        <f>60-5-10</f>
        <v>45</v>
      </c>
      <c r="Z423" s="213">
        <f>60-10</f>
        <v>50</v>
      </c>
      <c r="AA423" s="213">
        <v>60</v>
      </c>
      <c r="AB423" s="248">
        <f t="shared" si="396"/>
        <v>155</v>
      </c>
      <c r="AC423" s="258">
        <f t="shared" si="397"/>
        <v>435</v>
      </c>
      <c r="AD423" s="214" t="s">
        <v>1720</v>
      </c>
    </row>
    <row r="424" spans="1:30" x14ac:dyDescent="0.15">
      <c r="A424" s="197"/>
      <c r="B424" s="189"/>
      <c r="C424" s="188"/>
      <c r="D424" s="188"/>
      <c r="E424" s="244">
        <f t="shared" si="406"/>
        <v>0</v>
      </c>
      <c r="F424" s="189"/>
      <c r="G424" s="188"/>
      <c r="H424" s="188"/>
      <c r="I424" s="244">
        <f t="shared" si="391"/>
        <v>0</v>
      </c>
      <c r="J424" s="189"/>
      <c r="K424" s="188"/>
      <c r="L424" s="188"/>
      <c r="M424" s="244">
        <f t="shared" si="392"/>
        <v>0</v>
      </c>
      <c r="N424" s="253">
        <f t="shared" si="393"/>
        <v>0</v>
      </c>
      <c r="P424" s="219" t="s">
        <v>1620</v>
      </c>
      <c r="Q424" s="216">
        <v>-50</v>
      </c>
      <c r="R424" s="217">
        <v>-50</v>
      </c>
      <c r="S424" s="217">
        <v>-40</v>
      </c>
      <c r="T424" s="250">
        <f t="shared" si="394"/>
        <v>-140</v>
      </c>
      <c r="U424" s="216">
        <v>-50</v>
      </c>
      <c r="V424" s="217">
        <v>-50</v>
      </c>
      <c r="W424" s="217">
        <v>-40</v>
      </c>
      <c r="X424" s="250">
        <f t="shared" si="395"/>
        <v>-140</v>
      </c>
      <c r="Y424" s="216">
        <v>-50</v>
      </c>
      <c r="Z424" s="217">
        <v>-50</v>
      </c>
      <c r="AA424" s="217">
        <v>-40</v>
      </c>
      <c r="AB424" s="250">
        <f t="shared" si="396"/>
        <v>-140</v>
      </c>
      <c r="AC424" s="298">
        <f t="shared" si="397"/>
        <v>-420</v>
      </c>
    </row>
    <row r="425" spans="1:30" x14ac:dyDescent="0.15">
      <c r="A425" s="197"/>
      <c r="B425" s="189"/>
      <c r="C425" s="188"/>
      <c r="D425" s="188"/>
      <c r="E425" s="244">
        <f t="shared" si="406"/>
        <v>0</v>
      </c>
      <c r="F425" s="189"/>
      <c r="G425" s="188"/>
      <c r="H425" s="188"/>
      <c r="I425" s="244">
        <f t="shared" si="391"/>
        <v>0</v>
      </c>
      <c r="J425" s="189"/>
      <c r="K425" s="188"/>
      <c r="L425" s="188"/>
      <c r="M425" s="244">
        <f t="shared" si="392"/>
        <v>0</v>
      </c>
      <c r="N425" s="253">
        <f t="shared" si="393"/>
        <v>0</v>
      </c>
      <c r="P425" s="220" t="s">
        <v>1621</v>
      </c>
      <c r="Q425" s="212">
        <f>100-20</f>
        <v>80</v>
      </c>
      <c r="R425" s="213">
        <v>70</v>
      </c>
      <c r="S425" s="213">
        <f>70-10</f>
        <v>60</v>
      </c>
      <c r="T425" s="248">
        <f t="shared" si="394"/>
        <v>210</v>
      </c>
      <c r="U425" s="212">
        <f>100-20</f>
        <v>80</v>
      </c>
      <c r="V425" s="213">
        <v>70</v>
      </c>
      <c r="W425" s="213">
        <f>70-10</f>
        <v>60</v>
      </c>
      <c r="X425" s="248">
        <f t="shared" si="395"/>
        <v>210</v>
      </c>
      <c r="Y425" s="212">
        <f>100-20</f>
        <v>80</v>
      </c>
      <c r="Z425" s="213">
        <v>70</v>
      </c>
      <c r="AA425" s="213">
        <f>70-10</f>
        <v>60</v>
      </c>
      <c r="AB425" s="248">
        <f t="shared" si="396"/>
        <v>210</v>
      </c>
      <c r="AC425" s="258">
        <f t="shared" si="397"/>
        <v>630</v>
      </c>
      <c r="AD425" s="214" t="s">
        <v>1626</v>
      </c>
    </row>
    <row r="426" spans="1:30" x14ac:dyDescent="0.15">
      <c r="A426" s="197"/>
      <c r="B426" s="189"/>
      <c r="C426" s="188"/>
      <c r="D426" s="188"/>
      <c r="E426" s="244">
        <f t="shared" si="406"/>
        <v>0</v>
      </c>
      <c r="F426" s="189"/>
      <c r="G426" s="188"/>
      <c r="H426" s="188"/>
      <c r="I426" s="244">
        <f t="shared" si="391"/>
        <v>0</v>
      </c>
      <c r="J426" s="189"/>
      <c r="K426" s="188"/>
      <c r="L426" s="188"/>
      <c r="M426" s="244">
        <f t="shared" si="392"/>
        <v>0</v>
      </c>
      <c r="N426" s="253">
        <f t="shared" si="393"/>
        <v>0</v>
      </c>
      <c r="P426" s="215" t="s">
        <v>1438</v>
      </c>
      <c r="Q426" s="216">
        <v>0</v>
      </c>
      <c r="R426" s="217">
        <v>0</v>
      </c>
      <c r="S426" s="217">
        <v>0</v>
      </c>
      <c r="T426" s="250">
        <f t="shared" si="394"/>
        <v>0</v>
      </c>
      <c r="U426" s="216">
        <v>0</v>
      </c>
      <c r="V426" s="217">
        <v>0</v>
      </c>
      <c r="W426" s="217">
        <v>0</v>
      </c>
      <c r="X426" s="250">
        <f t="shared" si="395"/>
        <v>0</v>
      </c>
      <c r="Y426" s="216">
        <v>0</v>
      </c>
      <c r="Z426" s="217">
        <v>0</v>
      </c>
      <c r="AA426" s="217">
        <v>0</v>
      </c>
      <c r="AB426" s="250">
        <f t="shared" si="396"/>
        <v>0</v>
      </c>
      <c r="AC426" s="282">
        <f t="shared" si="397"/>
        <v>0</v>
      </c>
      <c r="AD426" s="214"/>
    </row>
    <row r="427" spans="1:30" ht="14.25" thickBot="1" x14ac:dyDescent="0.2">
      <c r="A427" s="197"/>
      <c r="B427" s="189"/>
      <c r="C427" s="188"/>
      <c r="D427" s="188"/>
      <c r="E427" s="244">
        <f t="shared" si="406"/>
        <v>0</v>
      </c>
      <c r="F427" s="189"/>
      <c r="G427" s="188"/>
      <c r="H427" s="188"/>
      <c r="I427" s="244">
        <f t="shared" si="391"/>
        <v>0</v>
      </c>
      <c r="J427" s="189"/>
      <c r="K427" s="188"/>
      <c r="L427" s="188"/>
      <c r="M427" s="244">
        <f t="shared" si="392"/>
        <v>0</v>
      </c>
      <c r="N427" s="253">
        <f t="shared" si="393"/>
        <v>0</v>
      </c>
      <c r="P427" s="211" t="s">
        <v>1439</v>
      </c>
      <c r="Q427" s="212">
        <f>7-4</f>
        <v>3</v>
      </c>
      <c r="R427" s="213">
        <f>6-4</f>
        <v>2</v>
      </c>
      <c r="S427" s="213">
        <f>7-4</f>
        <v>3</v>
      </c>
      <c r="T427" s="248">
        <f t="shared" si="394"/>
        <v>8</v>
      </c>
      <c r="U427" s="212">
        <f>7-4</f>
        <v>3</v>
      </c>
      <c r="V427" s="213">
        <f>6-4</f>
        <v>2</v>
      </c>
      <c r="W427" s="213">
        <f>7-4</f>
        <v>3</v>
      </c>
      <c r="X427" s="248">
        <f t="shared" si="395"/>
        <v>8</v>
      </c>
      <c r="Y427" s="212">
        <f>7-4</f>
        <v>3</v>
      </c>
      <c r="Z427" s="213">
        <f>6-4</f>
        <v>2</v>
      </c>
      <c r="AA427" s="213">
        <f>7-4</f>
        <v>3</v>
      </c>
      <c r="AB427" s="248">
        <f t="shared" si="396"/>
        <v>8</v>
      </c>
      <c r="AC427" s="258">
        <f t="shared" si="397"/>
        <v>24</v>
      </c>
      <c r="AD427" s="214" t="s">
        <v>1531</v>
      </c>
    </row>
    <row r="428" spans="1:30" ht="14.25" thickBot="1" x14ac:dyDescent="0.2">
      <c r="A428" s="221" t="s">
        <v>5</v>
      </c>
      <c r="B428" s="222">
        <f>SUM(B404:B427)</f>
        <v>0</v>
      </c>
      <c r="C428" s="222">
        <f>SUM(C404:C427)</f>
        <v>0</v>
      </c>
      <c r="D428" s="222">
        <f>SUM(D404:D427)</f>
        <v>0</v>
      </c>
      <c r="E428" s="251">
        <f t="shared" si="406"/>
        <v>0</v>
      </c>
      <c r="F428" s="222">
        <f>SUM(F404:F427)</f>
        <v>0</v>
      </c>
      <c r="G428" s="222">
        <f>SUM(G404:G427)</f>
        <v>0</v>
      </c>
      <c r="H428" s="222">
        <f>SUM(H404:H427)</f>
        <v>0</v>
      </c>
      <c r="I428" s="251">
        <f t="shared" si="391"/>
        <v>0</v>
      </c>
      <c r="J428" s="222">
        <f>SUM(J404:J427)</f>
        <v>0</v>
      </c>
      <c r="K428" s="222">
        <f>SUM(K404:K427)</f>
        <v>0</v>
      </c>
      <c r="L428" s="222">
        <f>SUM(L404:L427)</f>
        <v>0</v>
      </c>
      <c r="M428" s="267">
        <f t="shared" si="392"/>
        <v>0</v>
      </c>
      <c r="N428" s="272">
        <f t="shared" si="393"/>
        <v>0</v>
      </c>
      <c r="P428" s="184" t="s">
        <v>5</v>
      </c>
      <c r="Q428" s="222">
        <f>SUM(Q404:Q427)</f>
        <v>73</v>
      </c>
      <c r="R428" s="222">
        <f>SUM(R404:R427)</f>
        <v>58</v>
      </c>
      <c r="S428" s="222">
        <f>SUM(S404:S427)</f>
        <v>46</v>
      </c>
      <c r="T428" s="251">
        <f t="shared" si="394"/>
        <v>177</v>
      </c>
      <c r="U428" s="222">
        <f>SUM(U404:U427)</f>
        <v>73</v>
      </c>
      <c r="V428" s="222">
        <f>SUM(V404:V427)</f>
        <v>48</v>
      </c>
      <c r="W428" s="222">
        <f>SUM(W404:W427)</f>
        <v>46</v>
      </c>
      <c r="X428" s="251">
        <f t="shared" si="395"/>
        <v>167</v>
      </c>
      <c r="Y428" s="222">
        <f>SUM(Y404:Y427)</f>
        <v>58</v>
      </c>
      <c r="Z428" s="222">
        <f>SUM(Z404:Z427)</f>
        <v>48</v>
      </c>
      <c r="AA428" s="222">
        <f>SUM(AA404:AA427)</f>
        <v>56</v>
      </c>
      <c r="AB428" s="251">
        <f t="shared" si="396"/>
        <v>162</v>
      </c>
      <c r="AC428" s="256">
        <f t="shared" si="397"/>
        <v>506</v>
      </c>
    </row>
    <row r="429" spans="1:30" ht="14.25" thickBot="1" x14ac:dyDescent="0.2">
      <c r="A429" s="223" t="s">
        <v>6</v>
      </c>
      <c r="B429" s="209">
        <f>B403-B428</f>
        <v>5</v>
      </c>
      <c r="C429" s="209">
        <f t="shared" ref="C429:E429" si="417">C403-C428</f>
        <v>2</v>
      </c>
      <c r="D429" s="209">
        <f t="shared" si="417"/>
        <v>7</v>
      </c>
      <c r="E429" s="246">
        <f t="shared" si="417"/>
        <v>14</v>
      </c>
      <c r="F429" s="209">
        <f>F403-F428</f>
        <v>7</v>
      </c>
      <c r="G429" s="209">
        <f t="shared" ref="G429:I429" si="418">G403-G428</f>
        <v>2</v>
      </c>
      <c r="H429" s="209">
        <f t="shared" si="418"/>
        <v>2</v>
      </c>
      <c r="I429" s="246">
        <f t="shared" si="418"/>
        <v>11</v>
      </c>
      <c r="J429" s="209">
        <f>J403-J428</f>
        <v>6</v>
      </c>
      <c r="K429" s="209">
        <f t="shared" ref="K429:M429" si="419">K403-K428</f>
        <v>2</v>
      </c>
      <c r="L429" s="209">
        <f t="shared" si="419"/>
        <v>3</v>
      </c>
      <c r="M429" s="266">
        <f t="shared" si="419"/>
        <v>11</v>
      </c>
      <c r="N429" s="271">
        <f t="shared" si="393"/>
        <v>36</v>
      </c>
      <c r="P429" s="224" t="s">
        <v>6</v>
      </c>
      <c r="Q429" s="209">
        <f>Q403-Q428</f>
        <v>404</v>
      </c>
      <c r="R429" s="209">
        <f t="shared" ref="R429:T429" si="420">R403-R428</f>
        <v>338</v>
      </c>
      <c r="S429" s="209">
        <f t="shared" si="420"/>
        <v>296</v>
      </c>
      <c r="T429" s="246">
        <f t="shared" si="420"/>
        <v>1038</v>
      </c>
      <c r="U429" s="209">
        <f>U403-U428</f>
        <v>383</v>
      </c>
      <c r="V429" s="209">
        <f t="shared" ref="V429:X429" si="421">V403-V428</f>
        <v>375</v>
      </c>
      <c r="W429" s="209">
        <f t="shared" si="421"/>
        <v>298</v>
      </c>
      <c r="X429" s="246">
        <f t="shared" si="421"/>
        <v>1056</v>
      </c>
      <c r="Y429" s="209">
        <f>Y403-Y428</f>
        <v>383</v>
      </c>
      <c r="Z429" s="209">
        <f t="shared" ref="Z429:AB429" si="422">Z403-Z428</f>
        <v>357</v>
      </c>
      <c r="AA429" s="209">
        <f t="shared" si="422"/>
        <v>276</v>
      </c>
      <c r="AB429" s="246">
        <f t="shared" si="422"/>
        <v>1016</v>
      </c>
      <c r="AC429" s="256">
        <f t="shared" si="397"/>
        <v>3110</v>
      </c>
    </row>
    <row r="430" spans="1:30" x14ac:dyDescent="0.15">
      <c r="A430" s="172"/>
      <c r="N430" s="172"/>
      <c r="AC430" s="172"/>
    </row>
    <row r="431" spans="1:30" x14ac:dyDescent="0.15">
      <c r="A431" s="172"/>
      <c r="N431" s="172"/>
      <c r="AC431" s="172"/>
    </row>
    <row r="432" spans="1:30" ht="19.5" thickBot="1" x14ac:dyDescent="0.25">
      <c r="A432" s="177" t="s">
        <v>1183</v>
      </c>
      <c r="B432" s="178"/>
      <c r="C432" s="178"/>
      <c r="D432" s="178"/>
      <c r="E432" s="178"/>
      <c r="F432" s="179"/>
      <c r="G432" s="179"/>
      <c r="H432" s="179"/>
      <c r="I432" s="179"/>
      <c r="J432" s="179"/>
      <c r="K432" s="179"/>
      <c r="L432" s="179"/>
      <c r="M432" s="179"/>
      <c r="N432" s="180"/>
      <c r="P432" s="177" t="s">
        <v>1184</v>
      </c>
      <c r="Q432" s="178"/>
      <c r="R432" s="178"/>
      <c r="S432" s="178"/>
      <c r="T432" s="178"/>
      <c r="Y432" s="179"/>
      <c r="Z432" s="181"/>
      <c r="AA432" s="179"/>
      <c r="AB432" s="179"/>
    </row>
    <row r="433" spans="1:30" ht="14.25" thickBot="1" x14ac:dyDescent="0.2">
      <c r="A433" s="182" t="s">
        <v>0</v>
      </c>
      <c r="B433" s="350" t="s">
        <v>11</v>
      </c>
      <c r="C433" s="350"/>
      <c r="D433" s="350"/>
      <c r="E433" s="351"/>
      <c r="F433" s="349" t="s">
        <v>9</v>
      </c>
      <c r="G433" s="350"/>
      <c r="H433" s="350"/>
      <c r="I433" s="351"/>
      <c r="J433" s="349" t="s">
        <v>12</v>
      </c>
      <c r="K433" s="350"/>
      <c r="L433" s="350"/>
      <c r="M433" s="350"/>
      <c r="N433" s="352" t="s">
        <v>13</v>
      </c>
      <c r="P433" s="183" t="s">
        <v>0</v>
      </c>
      <c r="Q433" s="349" t="s">
        <v>11</v>
      </c>
      <c r="R433" s="350"/>
      <c r="S433" s="350"/>
      <c r="T433" s="351"/>
      <c r="U433" s="349" t="s">
        <v>9</v>
      </c>
      <c r="V433" s="350"/>
      <c r="W433" s="350"/>
      <c r="X433" s="351"/>
      <c r="Y433" s="349" t="s">
        <v>12</v>
      </c>
      <c r="Z433" s="350"/>
      <c r="AA433" s="350"/>
      <c r="AB433" s="351"/>
      <c r="AC433" s="300" t="s">
        <v>13</v>
      </c>
    </row>
    <row r="434" spans="1:30" ht="14.25" thickBot="1" x14ac:dyDescent="0.2">
      <c r="A434" s="182" t="s">
        <v>1</v>
      </c>
      <c r="B434" s="184" t="s">
        <v>922</v>
      </c>
      <c r="C434" s="183" t="s">
        <v>923</v>
      </c>
      <c r="D434" s="183" t="s">
        <v>924</v>
      </c>
      <c r="E434" s="242" t="s">
        <v>2</v>
      </c>
      <c r="F434" s="184" t="s">
        <v>922</v>
      </c>
      <c r="G434" s="183" t="s">
        <v>923</v>
      </c>
      <c r="H434" s="183" t="s">
        <v>924</v>
      </c>
      <c r="I434" s="242" t="s">
        <v>2</v>
      </c>
      <c r="J434" s="184" t="s">
        <v>922</v>
      </c>
      <c r="K434" s="183" t="s">
        <v>923</v>
      </c>
      <c r="L434" s="183" t="s">
        <v>924</v>
      </c>
      <c r="M434" s="252" t="s">
        <v>2</v>
      </c>
      <c r="N434" s="353"/>
      <c r="P434" s="183" t="s">
        <v>1</v>
      </c>
      <c r="Q434" s="184" t="s">
        <v>922</v>
      </c>
      <c r="R434" s="183" t="s">
        <v>923</v>
      </c>
      <c r="S434" s="183" t="s">
        <v>924</v>
      </c>
      <c r="T434" s="242" t="s">
        <v>2</v>
      </c>
      <c r="U434" s="184" t="s">
        <v>922</v>
      </c>
      <c r="V434" s="183" t="s">
        <v>923</v>
      </c>
      <c r="W434" s="183" t="s">
        <v>924</v>
      </c>
      <c r="X434" s="242" t="s">
        <v>2</v>
      </c>
      <c r="Y434" s="184" t="s">
        <v>922</v>
      </c>
      <c r="Z434" s="183" t="s">
        <v>923</v>
      </c>
      <c r="AA434" s="183" t="s">
        <v>924</v>
      </c>
      <c r="AB434" s="252" t="s">
        <v>2</v>
      </c>
      <c r="AC434" s="301"/>
    </row>
    <row r="435" spans="1:30" x14ac:dyDescent="0.15">
      <c r="A435" s="225" t="s">
        <v>6</v>
      </c>
      <c r="B435" s="226">
        <f>B429</f>
        <v>5</v>
      </c>
      <c r="C435" s="226">
        <f t="shared" ref="C435:E435" si="423">C429</f>
        <v>2</v>
      </c>
      <c r="D435" s="226">
        <f t="shared" si="423"/>
        <v>7</v>
      </c>
      <c r="E435" s="260">
        <f t="shared" si="423"/>
        <v>14</v>
      </c>
      <c r="F435" s="226">
        <f>F429</f>
        <v>7</v>
      </c>
      <c r="G435" s="226">
        <f t="shared" ref="G435:I435" si="424">G429</f>
        <v>2</v>
      </c>
      <c r="H435" s="226">
        <f t="shared" si="424"/>
        <v>2</v>
      </c>
      <c r="I435" s="260">
        <f t="shared" si="424"/>
        <v>11</v>
      </c>
      <c r="J435" s="226">
        <f>J429</f>
        <v>6</v>
      </c>
      <c r="K435" s="226">
        <f t="shared" ref="K435:M435" si="425">K429</f>
        <v>2</v>
      </c>
      <c r="L435" s="226">
        <f t="shared" si="425"/>
        <v>3</v>
      </c>
      <c r="M435" s="260">
        <f t="shared" si="425"/>
        <v>11</v>
      </c>
      <c r="N435" s="273">
        <f>E435+I435+M435</f>
        <v>36</v>
      </c>
      <c r="P435" s="215" t="s">
        <v>6</v>
      </c>
      <c r="Q435" s="226">
        <f>Q429</f>
        <v>404</v>
      </c>
      <c r="R435" s="226">
        <f t="shared" ref="R435:T435" si="426">R429</f>
        <v>338</v>
      </c>
      <c r="S435" s="226">
        <f t="shared" si="426"/>
        <v>296</v>
      </c>
      <c r="T435" s="260">
        <f t="shared" si="426"/>
        <v>1038</v>
      </c>
      <c r="U435" s="226">
        <f>U429</f>
        <v>383</v>
      </c>
      <c r="V435" s="226">
        <f t="shared" ref="V435:X435" si="427">V429</f>
        <v>375</v>
      </c>
      <c r="W435" s="226">
        <f t="shared" si="427"/>
        <v>298</v>
      </c>
      <c r="X435" s="260">
        <f t="shared" si="427"/>
        <v>1056</v>
      </c>
      <c r="Y435" s="226">
        <f>Y429</f>
        <v>383</v>
      </c>
      <c r="Z435" s="226">
        <f t="shared" ref="Z435:AB435" si="428">Z429</f>
        <v>357</v>
      </c>
      <c r="AA435" s="226">
        <f t="shared" si="428"/>
        <v>276</v>
      </c>
      <c r="AB435" s="260">
        <f t="shared" si="428"/>
        <v>1016</v>
      </c>
      <c r="AC435" s="258">
        <f>T435+X435+AB435</f>
        <v>3110</v>
      </c>
    </row>
    <row r="436" spans="1:30" x14ac:dyDescent="0.15">
      <c r="A436" s="191" t="s">
        <v>3</v>
      </c>
      <c r="B436" s="199"/>
      <c r="C436" s="197"/>
      <c r="D436" s="197"/>
      <c r="E436" s="243">
        <f t="shared" ref="E436:E445" si="429">SUM(B436:D436)</f>
        <v>0</v>
      </c>
      <c r="F436" s="199"/>
      <c r="G436" s="197"/>
      <c r="H436" s="197"/>
      <c r="I436" s="243">
        <f t="shared" ref="I436:I471" si="430">SUM(F436:H436)</f>
        <v>0</v>
      </c>
      <c r="J436" s="186"/>
      <c r="K436" s="187"/>
      <c r="L436" s="187"/>
      <c r="M436" s="243">
        <f t="shared" ref="M436:M471" si="431">SUM(J436:L436)</f>
        <v>0</v>
      </c>
      <c r="N436" s="253">
        <f t="shared" ref="N436:N472" si="432">E436+I436+M436</f>
        <v>0</v>
      </c>
      <c r="P436" s="191" t="s">
        <v>3</v>
      </c>
      <c r="Q436" s="199"/>
      <c r="R436" s="197"/>
      <c r="S436" s="197"/>
      <c r="T436" s="243">
        <f t="shared" ref="T436:T471" si="433">SUM(Q436:S436)</f>
        <v>0</v>
      </c>
      <c r="U436" s="199"/>
      <c r="V436" s="197"/>
      <c r="W436" s="197"/>
      <c r="X436" s="243">
        <f t="shared" ref="X436:X471" si="434">SUM(U436:W436)</f>
        <v>0</v>
      </c>
      <c r="Y436" s="186"/>
      <c r="Z436" s="187"/>
      <c r="AA436" s="187"/>
      <c r="AB436" s="243">
        <f t="shared" ref="AB436:AB471" si="435">SUM(Y436:AA436)</f>
        <v>0</v>
      </c>
      <c r="AC436" s="253">
        <f t="shared" ref="AC436:AC472" si="436">T436+X436+AB436</f>
        <v>0</v>
      </c>
    </row>
    <row r="437" spans="1:30" x14ac:dyDescent="0.15">
      <c r="A437" s="191" t="s">
        <v>3</v>
      </c>
      <c r="B437" s="186"/>
      <c r="C437" s="187"/>
      <c r="D437" s="187"/>
      <c r="E437" s="244">
        <f t="shared" si="429"/>
        <v>0</v>
      </c>
      <c r="F437" s="186"/>
      <c r="G437" s="187"/>
      <c r="H437" s="187"/>
      <c r="I437" s="244">
        <f t="shared" si="430"/>
        <v>0</v>
      </c>
      <c r="J437" s="196"/>
      <c r="K437" s="197"/>
      <c r="L437" s="197"/>
      <c r="M437" s="243">
        <f t="shared" si="431"/>
        <v>0</v>
      </c>
      <c r="N437" s="253">
        <f t="shared" si="432"/>
        <v>0</v>
      </c>
      <c r="P437" s="191" t="s">
        <v>3</v>
      </c>
      <c r="Q437" s="199"/>
      <c r="R437" s="197"/>
      <c r="S437" s="197"/>
      <c r="T437" s="243">
        <f t="shared" si="433"/>
        <v>0</v>
      </c>
      <c r="U437" s="199"/>
      <c r="V437" s="197"/>
      <c r="W437" s="197"/>
      <c r="X437" s="243">
        <f t="shared" si="434"/>
        <v>0</v>
      </c>
      <c r="Y437" s="186"/>
      <c r="Z437" s="187"/>
      <c r="AA437" s="187"/>
      <c r="AB437" s="243">
        <f t="shared" si="435"/>
        <v>0</v>
      </c>
      <c r="AC437" s="253">
        <f t="shared" si="436"/>
        <v>0</v>
      </c>
    </row>
    <row r="438" spans="1:30" x14ac:dyDescent="0.15">
      <c r="A438" s="191" t="s">
        <v>3</v>
      </c>
      <c r="B438" s="199"/>
      <c r="C438" s="197"/>
      <c r="D438" s="197"/>
      <c r="E438" s="243">
        <f t="shared" si="429"/>
        <v>0</v>
      </c>
      <c r="F438" s="199"/>
      <c r="G438" s="197"/>
      <c r="H438" s="197"/>
      <c r="I438" s="243">
        <f t="shared" si="430"/>
        <v>0</v>
      </c>
      <c r="J438" s="196"/>
      <c r="K438" s="197"/>
      <c r="L438" s="197"/>
      <c r="M438" s="243">
        <f t="shared" si="431"/>
        <v>0</v>
      </c>
      <c r="N438" s="253">
        <f t="shared" si="432"/>
        <v>0</v>
      </c>
      <c r="P438" s="215" t="s">
        <v>377</v>
      </c>
      <c r="Q438" s="227">
        <v>250</v>
      </c>
      <c r="R438" s="211">
        <v>100</v>
      </c>
      <c r="S438" s="211">
        <v>100</v>
      </c>
      <c r="T438" s="261">
        <f t="shared" si="433"/>
        <v>450</v>
      </c>
      <c r="U438" s="227">
        <v>300</v>
      </c>
      <c r="V438" s="211">
        <v>100</v>
      </c>
      <c r="W438" s="211">
        <v>100</v>
      </c>
      <c r="X438" s="261">
        <f t="shared" si="434"/>
        <v>500</v>
      </c>
      <c r="Y438" s="226">
        <v>270</v>
      </c>
      <c r="Z438" s="228">
        <v>100</v>
      </c>
      <c r="AA438" s="228">
        <v>100</v>
      </c>
      <c r="AB438" s="261">
        <f t="shared" si="435"/>
        <v>470</v>
      </c>
      <c r="AC438" s="258">
        <f t="shared" si="436"/>
        <v>1420</v>
      </c>
      <c r="AD438" s="297">
        <v>46204</v>
      </c>
    </row>
    <row r="439" spans="1:30" x14ac:dyDescent="0.15">
      <c r="A439" s="191" t="s">
        <v>3</v>
      </c>
      <c r="B439" s="199"/>
      <c r="C439" s="197"/>
      <c r="D439" s="197"/>
      <c r="E439" s="243">
        <f t="shared" si="429"/>
        <v>0</v>
      </c>
      <c r="F439" s="199"/>
      <c r="G439" s="197"/>
      <c r="H439" s="197"/>
      <c r="I439" s="243">
        <f t="shared" si="430"/>
        <v>0</v>
      </c>
      <c r="J439" s="196"/>
      <c r="K439" s="197"/>
      <c r="L439" s="197"/>
      <c r="M439" s="243">
        <f t="shared" si="431"/>
        <v>0</v>
      </c>
      <c r="N439" s="253">
        <f t="shared" si="432"/>
        <v>0</v>
      </c>
      <c r="P439" s="191" t="s">
        <v>3</v>
      </c>
      <c r="Q439" s="186"/>
      <c r="R439" s="187"/>
      <c r="S439" s="187"/>
      <c r="T439" s="244">
        <f t="shared" ref="T439" si="437">SUM(Q439:S439)</f>
        <v>0</v>
      </c>
      <c r="U439" s="186"/>
      <c r="V439" s="187"/>
      <c r="W439" s="187"/>
      <c r="X439" s="244">
        <f t="shared" ref="X439" si="438">SUM(U439:W439)</f>
        <v>0</v>
      </c>
      <c r="Y439" s="196"/>
      <c r="Z439" s="197"/>
      <c r="AA439" s="197"/>
      <c r="AB439" s="243">
        <f t="shared" ref="AB439" si="439">SUM(Y439:AA439)</f>
        <v>0</v>
      </c>
      <c r="AC439" s="253">
        <f t="shared" ref="AC439" si="440">T439+X439+AB439</f>
        <v>0</v>
      </c>
    </row>
    <row r="440" spans="1:30" x14ac:dyDescent="0.15">
      <c r="A440" s="191" t="s">
        <v>3</v>
      </c>
      <c r="B440" s="199"/>
      <c r="C440" s="197"/>
      <c r="D440" s="197"/>
      <c r="E440" s="243">
        <f t="shared" si="429"/>
        <v>0</v>
      </c>
      <c r="F440" s="199"/>
      <c r="G440" s="197"/>
      <c r="H440" s="197"/>
      <c r="I440" s="243">
        <f t="shared" si="430"/>
        <v>0</v>
      </c>
      <c r="J440" s="196"/>
      <c r="K440" s="197"/>
      <c r="L440" s="197"/>
      <c r="M440" s="243">
        <f t="shared" si="431"/>
        <v>0</v>
      </c>
      <c r="N440" s="253">
        <f t="shared" si="432"/>
        <v>0</v>
      </c>
      <c r="P440" s="191" t="s">
        <v>3</v>
      </c>
      <c r="Q440" s="186"/>
      <c r="R440" s="187"/>
      <c r="S440" s="187"/>
      <c r="T440" s="244">
        <f t="shared" si="433"/>
        <v>0</v>
      </c>
      <c r="U440" s="186"/>
      <c r="V440" s="187"/>
      <c r="W440" s="187"/>
      <c r="X440" s="244">
        <f t="shared" si="434"/>
        <v>0</v>
      </c>
      <c r="Y440" s="196"/>
      <c r="Z440" s="197"/>
      <c r="AA440" s="197"/>
      <c r="AB440" s="243">
        <f t="shared" si="435"/>
        <v>0</v>
      </c>
      <c r="AC440" s="253">
        <f t="shared" si="436"/>
        <v>0</v>
      </c>
    </row>
    <row r="441" spans="1:30" x14ac:dyDescent="0.15">
      <c r="A441" s="191" t="s">
        <v>3</v>
      </c>
      <c r="B441" s="199"/>
      <c r="C441" s="197"/>
      <c r="D441" s="197"/>
      <c r="E441" s="243">
        <f t="shared" si="429"/>
        <v>0</v>
      </c>
      <c r="F441" s="199"/>
      <c r="G441" s="197"/>
      <c r="H441" s="197"/>
      <c r="I441" s="243">
        <f t="shared" si="430"/>
        <v>0</v>
      </c>
      <c r="J441" s="186"/>
      <c r="K441" s="187"/>
      <c r="L441" s="187"/>
      <c r="M441" s="244">
        <f t="shared" si="431"/>
        <v>0</v>
      </c>
      <c r="N441" s="253">
        <f t="shared" si="432"/>
        <v>0</v>
      </c>
      <c r="P441" s="191" t="s">
        <v>3</v>
      </c>
      <c r="Q441" s="199"/>
      <c r="R441" s="197"/>
      <c r="S441" s="197"/>
      <c r="T441" s="243">
        <f t="shared" si="433"/>
        <v>0</v>
      </c>
      <c r="U441" s="199"/>
      <c r="V441" s="197"/>
      <c r="W441" s="197"/>
      <c r="X441" s="243">
        <f t="shared" si="434"/>
        <v>0</v>
      </c>
      <c r="Y441" s="186"/>
      <c r="Z441" s="187"/>
      <c r="AA441" s="187"/>
      <c r="AB441" s="244">
        <f t="shared" si="435"/>
        <v>0</v>
      </c>
      <c r="AC441" s="253">
        <f t="shared" si="436"/>
        <v>0</v>
      </c>
    </row>
    <row r="442" spans="1:30" x14ac:dyDescent="0.15">
      <c r="A442" s="191" t="s">
        <v>3</v>
      </c>
      <c r="B442" s="200"/>
      <c r="C442" s="187"/>
      <c r="D442" s="187"/>
      <c r="E442" s="243">
        <f t="shared" si="429"/>
        <v>0</v>
      </c>
      <c r="F442" s="200"/>
      <c r="G442" s="187"/>
      <c r="H442" s="187"/>
      <c r="I442" s="243">
        <f t="shared" si="430"/>
        <v>0</v>
      </c>
      <c r="J442" s="186"/>
      <c r="K442" s="187"/>
      <c r="L442" s="187"/>
      <c r="M442" s="243">
        <f t="shared" si="431"/>
        <v>0</v>
      </c>
      <c r="N442" s="253">
        <f t="shared" si="432"/>
        <v>0</v>
      </c>
      <c r="P442" s="191" t="s">
        <v>3</v>
      </c>
      <c r="Q442" s="186"/>
      <c r="R442" s="187"/>
      <c r="S442" s="187"/>
      <c r="T442" s="244">
        <f t="shared" si="433"/>
        <v>0</v>
      </c>
      <c r="U442" s="186"/>
      <c r="V442" s="187"/>
      <c r="W442" s="187"/>
      <c r="X442" s="244">
        <f t="shared" si="434"/>
        <v>0</v>
      </c>
      <c r="Y442" s="196"/>
      <c r="Z442" s="197"/>
      <c r="AA442" s="197"/>
      <c r="AB442" s="243">
        <f t="shared" si="435"/>
        <v>0</v>
      </c>
      <c r="AC442" s="253">
        <f t="shared" si="436"/>
        <v>0</v>
      </c>
    </row>
    <row r="443" spans="1:30" x14ac:dyDescent="0.15">
      <c r="A443" s="191" t="s">
        <v>3</v>
      </c>
      <c r="B443" s="199"/>
      <c r="C443" s="197"/>
      <c r="D443" s="197"/>
      <c r="E443" s="243">
        <f t="shared" si="429"/>
        <v>0</v>
      </c>
      <c r="F443" s="199"/>
      <c r="G443" s="197"/>
      <c r="H443" s="197"/>
      <c r="I443" s="243">
        <f t="shared" si="430"/>
        <v>0</v>
      </c>
      <c r="J443" s="186"/>
      <c r="K443" s="187"/>
      <c r="L443" s="187"/>
      <c r="M443" s="243">
        <f t="shared" si="431"/>
        <v>0</v>
      </c>
      <c r="N443" s="253">
        <f t="shared" si="432"/>
        <v>0</v>
      </c>
      <c r="P443" s="191" t="s">
        <v>3</v>
      </c>
      <c r="Q443" s="199"/>
      <c r="R443" s="197"/>
      <c r="S443" s="197"/>
      <c r="T443" s="243">
        <f t="shared" si="433"/>
        <v>0</v>
      </c>
      <c r="U443" s="199"/>
      <c r="V443" s="197"/>
      <c r="W443" s="197"/>
      <c r="X443" s="243">
        <f t="shared" si="434"/>
        <v>0</v>
      </c>
      <c r="Y443" s="186"/>
      <c r="Z443" s="187"/>
      <c r="AA443" s="187"/>
      <c r="AB443" s="243">
        <f t="shared" si="435"/>
        <v>0</v>
      </c>
      <c r="AC443" s="253">
        <f t="shared" si="436"/>
        <v>0</v>
      </c>
    </row>
    <row r="444" spans="1:30" x14ac:dyDescent="0.15">
      <c r="A444" s="191" t="s">
        <v>3</v>
      </c>
      <c r="B444" s="200"/>
      <c r="C444" s="187"/>
      <c r="D444" s="187"/>
      <c r="E444" s="243">
        <f t="shared" si="429"/>
        <v>0</v>
      </c>
      <c r="F444" s="200"/>
      <c r="G444" s="187"/>
      <c r="H444" s="187"/>
      <c r="I444" s="243">
        <f t="shared" si="430"/>
        <v>0</v>
      </c>
      <c r="J444" s="186"/>
      <c r="K444" s="187"/>
      <c r="L444" s="187"/>
      <c r="M444" s="243">
        <f t="shared" si="431"/>
        <v>0</v>
      </c>
      <c r="N444" s="253">
        <f t="shared" si="432"/>
        <v>0</v>
      </c>
      <c r="P444" s="191" t="s">
        <v>3</v>
      </c>
      <c r="Q444" s="200"/>
      <c r="R444" s="187"/>
      <c r="S444" s="187"/>
      <c r="T444" s="243">
        <f t="shared" si="433"/>
        <v>0</v>
      </c>
      <c r="U444" s="200"/>
      <c r="V444" s="187"/>
      <c r="W444" s="187"/>
      <c r="X444" s="243">
        <f t="shared" si="434"/>
        <v>0</v>
      </c>
      <c r="Y444" s="186"/>
      <c r="Z444" s="187"/>
      <c r="AA444" s="187"/>
      <c r="AB444" s="243">
        <f t="shared" si="435"/>
        <v>0</v>
      </c>
      <c r="AC444" s="253">
        <f t="shared" si="436"/>
        <v>0</v>
      </c>
    </row>
    <row r="445" spans="1:30" ht="14.25" thickBot="1" x14ac:dyDescent="0.2">
      <c r="A445" s="206" t="s">
        <v>3</v>
      </c>
      <c r="B445" s="202"/>
      <c r="C445" s="203"/>
      <c r="D445" s="203"/>
      <c r="E445" s="245">
        <f t="shared" si="429"/>
        <v>0</v>
      </c>
      <c r="F445" s="202"/>
      <c r="G445" s="203"/>
      <c r="H445" s="203"/>
      <c r="I445" s="245">
        <f t="shared" si="430"/>
        <v>0</v>
      </c>
      <c r="J445" s="205"/>
      <c r="K445" s="203"/>
      <c r="L445" s="204"/>
      <c r="M445" s="245">
        <f t="shared" si="431"/>
        <v>0</v>
      </c>
      <c r="N445" s="255">
        <f t="shared" si="432"/>
        <v>0</v>
      </c>
      <c r="P445" s="206" t="s">
        <v>3</v>
      </c>
      <c r="Q445" s="202"/>
      <c r="R445" s="203"/>
      <c r="S445" s="203"/>
      <c r="T445" s="245">
        <f t="shared" si="433"/>
        <v>0</v>
      </c>
      <c r="U445" s="202"/>
      <c r="V445" s="203"/>
      <c r="W445" s="203"/>
      <c r="X445" s="245">
        <f t="shared" si="434"/>
        <v>0</v>
      </c>
      <c r="Y445" s="205"/>
      <c r="Z445" s="203"/>
      <c r="AA445" s="204"/>
      <c r="AB445" s="245">
        <f t="shared" si="435"/>
        <v>0</v>
      </c>
      <c r="AC445" s="255">
        <f t="shared" si="436"/>
        <v>0</v>
      </c>
    </row>
    <row r="446" spans="1:30" ht="14.25" thickBot="1" x14ac:dyDescent="0.2">
      <c r="A446" s="207" t="s">
        <v>4</v>
      </c>
      <c r="B446" s="208">
        <f>SUM(B435:B445)</f>
        <v>5</v>
      </c>
      <c r="C446" s="208">
        <f>SUM(C435:C445)</f>
        <v>2</v>
      </c>
      <c r="D446" s="208">
        <f>SUM(D435:D445)</f>
        <v>7</v>
      </c>
      <c r="E446" s="246">
        <f t="shared" ref="E446:E471" si="441">SUM(B446:D446)</f>
        <v>14</v>
      </c>
      <c r="F446" s="208">
        <f>SUM(F435:F445)</f>
        <v>7</v>
      </c>
      <c r="G446" s="208">
        <f>SUM(G435:G445)</f>
        <v>2</v>
      </c>
      <c r="H446" s="208">
        <f>SUM(H435:H445)</f>
        <v>2</v>
      </c>
      <c r="I446" s="246">
        <f t="shared" si="430"/>
        <v>11</v>
      </c>
      <c r="J446" s="208">
        <f>SUM(J435:J445)</f>
        <v>6</v>
      </c>
      <c r="K446" s="208">
        <f>SUM(K435:K445)</f>
        <v>2</v>
      </c>
      <c r="L446" s="208">
        <f>SUM(L435:L445)</f>
        <v>3</v>
      </c>
      <c r="M446" s="266">
        <f t="shared" si="431"/>
        <v>11</v>
      </c>
      <c r="N446" s="271">
        <f t="shared" si="432"/>
        <v>36</v>
      </c>
      <c r="P446" s="210" t="s">
        <v>4</v>
      </c>
      <c r="Q446" s="208">
        <f>SUM(Q435:Q445)</f>
        <v>654</v>
      </c>
      <c r="R446" s="208">
        <f>SUM(R435:R445)</f>
        <v>438</v>
      </c>
      <c r="S446" s="208">
        <f>SUM(S435:S445)</f>
        <v>396</v>
      </c>
      <c r="T446" s="246">
        <f t="shared" si="433"/>
        <v>1488</v>
      </c>
      <c r="U446" s="208">
        <f>SUM(U435:U445)</f>
        <v>683</v>
      </c>
      <c r="V446" s="208">
        <f>SUM(V435:V445)</f>
        <v>475</v>
      </c>
      <c r="W446" s="208">
        <f>SUM(W435:W445)</f>
        <v>398</v>
      </c>
      <c r="X446" s="246">
        <f t="shared" si="434"/>
        <v>1556</v>
      </c>
      <c r="Y446" s="208">
        <f>SUM(Y435:Y445)</f>
        <v>653</v>
      </c>
      <c r="Z446" s="208">
        <f>SUM(Z435:Z445)</f>
        <v>457</v>
      </c>
      <c r="AA446" s="208">
        <f>SUM(AA435:AA445)</f>
        <v>376</v>
      </c>
      <c r="AB446" s="246">
        <f t="shared" si="435"/>
        <v>1486</v>
      </c>
      <c r="AC446" s="256">
        <f t="shared" si="436"/>
        <v>4530</v>
      </c>
    </row>
    <row r="447" spans="1:30" x14ac:dyDescent="0.15">
      <c r="A447" s="197"/>
      <c r="B447" s="189"/>
      <c r="C447" s="188"/>
      <c r="D447" s="188"/>
      <c r="E447" s="244">
        <f t="shared" si="441"/>
        <v>0</v>
      </c>
      <c r="F447" s="189"/>
      <c r="G447" s="188"/>
      <c r="H447" s="188"/>
      <c r="I447" s="244">
        <f t="shared" si="430"/>
        <v>0</v>
      </c>
      <c r="J447" s="189"/>
      <c r="K447" s="188"/>
      <c r="L447" s="188"/>
      <c r="M447" s="244">
        <f t="shared" si="431"/>
        <v>0</v>
      </c>
      <c r="N447" s="253">
        <f t="shared" si="432"/>
        <v>0</v>
      </c>
      <c r="P447" s="197"/>
      <c r="Q447" s="189"/>
      <c r="R447" s="188"/>
      <c r="S447" s="188"/>
      <c r="T447" s="244">
        <f t="shared" si="433"/>
        <v>0</v>
      </c>
      <c r="U447" s="189"/>
      <c r="V447" s="188"/>
      <c r="W447" s="188"/>
      <c r="X447" s="244">
        <f t="shared" si="434"/>
        <v>0</v>
      </c>
      <c r="Y447" s="189"/>
      <c r="Z447" s="188"/>
      <c r="AA447" s="188"/>
      <c r="AB447" s="244">
        <f t="shared" si="435"/>
        <v>0</v>
      </c>
      <c r="AC447" s="253">
        <f t="shared" si="436"/>
        <v>0</v>
      </c>
    </row>
    <row r="448" spans="1:30" x14ac:dyDescent="0.15">
      <c r="A448" s="197"/>
      <c r="B448" s="189"/>
      <c r="C448" s="188"/>
      <c r="D448" s="188"/>
      <c r="E448" s="244">
        <f t="shared" si="441"/>
        <v>0</v>
      </c>
      <c r="F448" s="189"/>
      <c r="G448" s="188"/>
      <c r="H448" s="188"/>
      <c r="I448" s="244">
        <f t="shared" si="430"/>
        <v>0</v>
      </c>
      <c r="J448" s="189"/>
      <c r="K448" s="188"/>
      <c r="L448" s="188"/>
      <c r="M448" s="244">
        <f t="shared" si="431"/>
        <v>0</v>
      </c>
      <c r="N448" s="253">
        <f t="shared" si="432"/>
        <v>0</v>
      </c>
      <c r="P448" s="197"/>
      <c r="Q448" s="189"/>
      <c r="R448" s="188"/>
      <c r="S448" s="188"/>
      <c r="T448" s="244">
        <f t="shared" si="433"/>
        <v>0</v>
      </c>
      <c r="U448" s="189"/>
      <c r="V448" s="188"/>
      <c r="W448" s="188"/>
      <c r="X448" s="244">
        <f t="shared" si="434"/>
        <v>0</v>
      </c>
      <c r="Y448" s="189"/>
      <c r="Z448" s="188"/>
      <c r="AA448" s="188"/>
      <c r="AB448" s="244">
        <f t="shared" si="435"/>
        <v>0</v>
      </c>
      <c r="AC448" s="253">
        <f t="shared" si="436"/>
        <v>0</v>
      </c>
    </row>
    <row r="449" spans="1:30" x14ac:dyDescent="0.15">
      <c r="A449" s="197"/>
      <c r="B449" s="189"/>
      <c r="C449" s="188"/>
      <c r="D449" s="188"/>
      <c r="E449" s="244">
        <f t="shared" si="441"/>
        <v>0</v>
      </c>
      <c r="F449" s="189"/>
      <c r="G449" s="188"/>
      <c r="H449" s="188"/>
      <c r="I449" s="244">
        <f t="shared" si="430"/>
        <v>0</v>
      </c>
      <c r="J449" s="189"/>
      <c r="K449" s="188"/>
      <c r="L449" s="188"/>
      <c r="M449" s="244">
        <f t="shared" si="431"/>
        <v>0</v>
      </c>
      <c r="N449" s="253">
        <f t="shared" si="432"/>
        <v>0</v>
      </c>
      <c r="P449" s="197"/>
      <c r="Q449" s="189"/>
      <c r="R449" s="188"/>
      <c r="S449" s="188"/>
      <c r="T449" s="244">
        <f t="shared" si="433"/>
        <v>0</v>
      </c>
      <c r="U449" s="189"/>
      <c r="V449" s="188"/>
      <c r="W449" s="188"/>
      <c r="X449" s="244">
        <f t="shared" si="434"/>
        <v>0</v>
      </c>
      <c r="Y449" s="189"/>
      <c r="Z449" s="188"/>
      <c r="AA449" s="188"/>
      <c r="AB449" s="244">
        <f t="shared" si="435"/>
        <v>0</v>
      </c>
      <c r="AC449" s="253">
        <f t="shared" si="436"/>
        <v>0</v>
      </c>
    </row>
    <row r="450" spans="1:30" x14ac:dyDescent="0.15">
      <c r="A450" s="197"/>
      <c r="B450" s="189"/>
      <c r="C450" s="188"/>
      <c r="D450" s="188"/>
      <c r="E450" s="244">
        <f t="shared" si="441"/>
        <v>0</v>
      </c>
      <c r="F450" s="189"/>
      <c r="G450" s="188"/>
      <c r="H450" s="188"/>
      <c r="I450" s="244">
        <f t="shared" si="430"/>
        <v>0</v>
      </c>
      <c r="J450" s="189"/>
      <c r="K450" s="188"/>
      <c r="L450" s="188"/>
      <c r="M450" s="244">
        <f t="shared" si="431"/>
        <v>0</v>
      </c>
      <c r="N450" s="253">
        <f t="shared" si="432"/>
        <v>0</v>
      </c>
      <c r="P450" s="197"/>
      <c r="Q450" s="189"/>
      <c r="R450" s="188"/>
      <c r="S450" s="188"/>
      <c r="T450" s="244">
        <f t="shared" si="433"/>
        <v>0</v>
      </c>
      <c r="U450" s="189"/>
      <c r="V450" s="188"/>
      <c r="W450" s="188"/>
      <c r="X450" s="244">
        <f t="shared" si="434"/>
        <v>0</v>
      </c>
      <c r="Y450" s="189"/>
      <c r="Z450" s="188"/>
      <c r="AA450" s="188"/>
      <c r="AB450" s="244">
        <f t="shared" si="435"/>
        <v>0</v>
      </c>
      <c r="AC450" s="253">
        <f t="shared" si="436"/>
        <v>0</v>
      </c>
    </row>
    <row r="451" spans="1:30" x14ac:dyDescent="0.15">
      <c r="A451" s="197"/>
      <c r="B451" s="189"/>
      <c r="C451" s="188"/>
      <c r="D451" s="188"/>
      <c r="E451" s="244">
        <f t="shared" si="441"/>
        <v>0</v>
      </c>
      <c r="F451" s="189"/>
      <c r="G451" s="188"/>
      <c r="H451" s="188"/>
      <c r="I451" s="244">
        <f t="shared" si="430"/>
        <v>0</v>
      </c>
      <c r="J451" s="189"/>
      <c r="K451" s="188"/>
      <c r="L451" s="188"/>
      <c r="M451" s="244">
        <f t="shared" si="431"/>
        <v>0</v>
      </c>
      <c r="N451" s="253">
        <f t="shared" si="432"/>
        <v>0</v>
      </c>
      <c r="P451" s="197"/>
      <c r="Q451" s="189"/>
      <c r="R451" s="188"/>
      <c r="S451" s="188"/>
      <c r="T451" s="244">
        <f t="shared" si="433"/>
        <v>0</v>
      </c>
      <c r="U451" s="189"/>
      <c r="V451" s="188"/>
      <c r="W451" s="188"/>
      <c r="X451" s="244">
        <f t="shared" si="434"/>
        <v>0</v>
      </c>
      <c r="Y451" s="189"/>
      <c r="Z451" s="188"/>
      <c r="AA451" s="188"/>
      <c r="AB451" s="244">
        <f t="shared" si="435"/>
        <v>0</v>
      </c>
      <c r="AC451" s="253">
        <f t="shared" si="436"/>
        <v>0</v>
      </c>
    </row>
    <row r="452" spans="1:30" x14ac:dyDescent="0.15">
      <c r="A452" s="197"/>
      <c r="B452" s="189"/>
      <c r="C452" s="188"/>
      <c r="D452" s="188"/>
      <c r="E452" s="244">
        <f t="shared" si="441"/>
        <v>0</v>
      </c>
      <c r="F452" s="189"/>
      <c r="G452" s="188"/>
      <c r="H452" s="188"/>
      <c r="I452" s="244">
        <f t="shared" si="430"/>
        <v>0</v>
      </c>
      <c r="J452" s="189"/>
      <c r="K452" s="188"/>
      <c r="L452" s="188"/>
      <c r="M452" s="244">
        <f t="shared" si="431"/>
        <v>0</v>
      </c>
      <c r="N452" s="253">
        <f t="shared" si="432"/>
        <v>0</v>
      </c>
      <c r="P452" s="197"/>
      <c r="Q452" s="189"/>
      <c r="R452" s="188"/>
      <c r="S452" s="188"/>
      <c r="T452" s="244">
        <f t="shared" si="433"/>
        <v>0</v>
      </c>
      <c r="U452" s="189"/>
      <c r="V452" s="188"/>
      <c r="W452" s="188"/>
      <c r="X452" s="244">
        <f t="shared" si="434"/>
        <v>0</v>
      </c>
      <c r="Y452" s="189"/>
      <c r="Z452" s="188"/>
      <c r="AA452" s="188"/>
      <c r="AB452" s="244">
        <f t="shared" si="435"/>
        <v>0</v>
      </c>
      <c r="AC452" s="253">
        <f t="shared" si="436"/>
        <v>0</v>
      </c>
    </row>
    <row r="453" spans="1:30" x14ac:dyDescent="0.15">
      <c r="A453" s="197"/>
      <c r="B453" s="189"/>
      <c r="C453" s="188"/>
      <c r="D453" s="188"/>
      <c r="E453" s="244">
        <f t="shared" si="441"/>
        <v>0</v>
      </c>
      <c r="F453" s="189"/>
      <c r="G453" s="188"/>
      <c r="H453" s="188"/>
      <c r="I453" s="244">
        <f t="shared" si="430"/>
        <v>0</v>
      </c>
      <c r="J453" s="189"/>
      <c r="K453" s="188"/>
      <c r="L453" s="188"/>
      <c r="M453" s="244">
        <f t="shared" si="431"/>
        <v>0</v>
      </c>
      <c r="N453" s="253">
        <f t="shared" si="432"/>
        <v>0</v>
      </c>
      <c r="P453" s="197"/>
      <c r="Q453" s="189"/>
      <c r="R453" s="188"/>
      <c r="S453" s="188"/>
      <c r="T453" s="244">
        <f t="shared" si="433"/>
        <v>0</v>
      </c>
      <c r="U453" s="189"/>
      <c r="V453" s="188"/>
      <c r="W453" s="188"/>
      <c r="X453" s="244">
        <f t="shared" si="434"/>
        <v>0</v>
      </c>
      <c r="Y453" s="189"/>
      <c r="Z453" s="188"/>
      <c r="AA453" s="188"/>
      <c r="AB453" s="244">
        <f t="shared" si="435"/>
        <v>0</v>
      </c>
      <c r="AC453" s="253">
        <f t="shared" si="436"/>
        <v>0</v>
      </c>
    </row>
    <row r="454" spans="1:30" x14ac:dyDescent="0.15">
      <c r="A454" s="197"/>
      <c r="B454" s="189"/>
      <c r="C454" s="188"/>
      <c r="D454" s="188"/>
      <c r="E454" s="244">
        <f t="shared" si="441"/>
        <v>0</v>
      </c>
      <c r="F454" s="189"/>
      <c r="G454" s="188"/>
      <c r="H454" s="188"/>
      <c r="I454" s="244">
        <f t="shared" si="430"/>
        <v>0</v>
      </c>
      <c r="J454" s="189"/>
      <c r="K454" s="188"/>
      <c r="L454" s="188"/>
      <c r="M454" s="244">
        <f t="shared" si="431"/>
        <v>0</v>
      </c>
      <c r="N454" s="253">
        <f t="shared" si="432"/>
        <v>0</v>
      </c>
      <c r="P454" s="197"/>
      <c r="Q454" s="189"/>
      <c r="R454" s="188"/>
      <c r="S454" s="188"/>
      <c r="T454" s="244">
        <f t="shared" si="433"/>
        <v>0</v>
      </c>
      <c r="U454" s="189"/>
      <c r="V454" s="188"/>
      <c r="W454" s="188"/>
      <c r="X454" s="244">
        <f t="shared" si="434"/>
        <v>0</v>
      </c>
      <c r="Y454" s="189"/>
      <c r="Z454" s="188"/>
      <c r="AA454" s="188"/>
      <c r="AB454" s="244">
        <f t="shared" si="435"/>
        <v>0</v>
      </c>
      <c r="AC454" s="253">
        <f t="shared" si="436"/>
        <v>0</v>
      </c>
    </row>
    <row r="455" spans="1:30" x14ac:dyDescent="0.15">
      <c r="A455" s="197"/>
      <c r="B455" s="189"/>
      <c r="C455" s="188"/>
      <c r="D455" s="188"/>
      <c r="E455" s="244">
        <f t="shared" si="441"/>
        <v>0</v>
      </c>
      <c r="F455" s="189"/>
      <c r="G455" s="188"/>
      <c r="H455" s="188"/>
      <c r="I455" s="244">
        <f t="shared" si="430"/>
        <v>0</v>
      </c>
      <c r="J455" s="189"/>
      <c r="K455" s="188"/>
      <c r="L455" s="188"/>
      <c r="M455" s="244">
        <f t="shared" si="431"/>
        <v>0</v>
      </c>
      <c r="N455" s="253">
        <f t="shared" si="432"/>
        <v>0</v>
      </c>
      <c r="P455" s="197"/>
      <c r="Q455" s="189"/>
      <c r="R455" s="188"/>
      <c r="S455" s="188"/>
      <c r="T455" s="244">
        <f t="shared" si="433"/>
        <v>0</v>
      </c>
      <c r="U455" s="189"/>
      <c r="V455" s="188"/>
      <c r="W455" s="188"/>
      <c r="X455" s="244">
        <f t="shared" si="434"/>
        <v>0</v>
      </c>
      <c r="Y455" s="189"/>
      <c r="Z455" s="188"/>
      <c r="AA455" s="188"/>
      <c r="AB455" s="244">
        <f t="shared" si="435"/>
        <v>0</v>
      </c>
      <c r="AC455" s="253">
        <f t="shared" si="436"/>
        <v>0</v>
      </c>
    </row>
    <row r="456" spans="1:30" x14ac:dyDescent="0.15">
      <c r="A456" s="197"/>
      <c r="B456" s="189"/>
      <c r="C456" s="188"/>
      <c r="D456" s="188"/>
      <c r="E456" s="244">
        <f t="shared" si="441"/>
        <v>0</v>
      </c>
      <c r="F456" s="189"/>
      <c r="G456" s="188"/>
      <c r="H456" s="188"/>
      <c r="I456" s="244">
        <f t="shared" si="430"/>
        <v>0</v>
      </c>
      <c r="J456" s="189"/>
      <c r="K456" s="188"/>
      <c r="L456" s="188"/>
      <c r="M456" s="244">
        <f t="shared" si="431"/>
        <v>0</v>
      </c>
      <c r="N456" s="253">
        <f t="shared" si="432"/>
        <v>0</v>
      </c>
      <c r="P456" s="197"/>
      <c r="Q456" s="189"/>
      <c r="R456" s="188"/>
      <c r="S456" s="188"/>
      <c r="T456" s="244">
        <f t="shared" si="433"/>
        <v>0</v>
      </c>
      <c r="U456" s="189"/>
      <c r="V456" s="188"/>
      <c r="W456" s="188"/>
      <c r="X456" s="244">
        <f t="shared" si="434"/>
        <v>0</v>
      </c>
      <c r="Y456" s="189"/>
      <c r="Z456" s="188"/>
      <c r="AA456" s="188"/>
      <c r="AB456" s="244">
        <f t="shared" si="435"/>
        <v>0</v>
      </c>
      <c r="AC456" s="253">
        <f t="shared" si="436"/>
        <v>0</v>
      </c>
    </row>
    <row r="457" spans="1:30" x14ac:dyDescent="0.15">
      <c r="A457" s="197"/>
      <c r="B457" s="189"/>
      <c r="C457" s="188"/>
      <c r="D457" s="188"/>
      <c r="E457" s="244">
        <f t="shared" si="441"/>
        <v>0</v>
      </c>
      <c r="F457" s="189"/>
      <c r="G457" s="188"/>
      <c r="H457" s="188"/>
      <c r="I457" s="244">
        <f t="shared" si="430"/>
        <v>0</v>
      </c>
      <c r="J457" s="189"/>
      <c r="K457" s="188"/>
      <c r="L457" s="188"/>
      <c r="M457" s="244">
        <f t="shared" si="431"/>
        <v>0</v>
      </c>
      <c r="N457" s="253">
        <f t="shared" si="432"/>
        <v>0</v>
      </c>
      <c r="P457" s="197"/>
      <c r="Q457" s="189"/>
      <c r="R457" s="188"/>
      <c r="S457" s="188"/>
      <c r="T457" s="244">
        <f t="shared" si="433"/>
        <v>0</v>
      </c>
      <c r="U457" s="189"/>
      <c r="V457" s="188"/>
      <c r="W457" s="188"/>
      <c r="X457" s="244">
        <f t="shared" si="434"/>
        <v>0</v>
      </c>
      <c r="Y457" s="189"/>
      <c r="Z457" s="188"/>
      <c r="AA457" s="188"/>
      <c r="AB457" s="244">
        <f t="shared" si="435"/>
        <v>0</v>
      </c>
      <c r="AC457" s="253">
        <f t="shared" si="436"/>
        <v>0</v>
      </c>
    </row>
    <row r="458" spans="1:30" x14ac:dyDescent="0.15">
      <c r="A458" s="197"/>
      <c r="B458" s="189"/>
      <c r="C458" s="188"/>
      <c r="D458" s="188"/>
      <c r="E458" s="244">
        <f t="shared" si="441"/>
        <v>0</v>
      </c>
      <c r="F458" s="189"/>
      <c r="G458" s="188"/>
      <c r="H458" s="188"/>
      <c r="I458" s="244">
        <f t="shared" si="430"/>
        <v>0</v>
      </c>
      <c r="J458" s="189"/>
      <c r="K458" s="188"/>
      <c r="L458" s="188"/>
      <c r="M458" s="244">
        <f t="shared" si="431"/>
        <v>0</v>
      </c>
      <c r="N458" s="253">
        <f t="shared" si="432"/>
        <v>0</v>
      </c>
      <c r="P458" s="197"/>
      <c r="Q458" s="189"/>
      <c r="R458" s="188"/>
      <c r="S458" s="188"/>
      <c r="T458" s="244">
        <f t="shared" si="433"/>
        <v>0</v>
      </c>
      <c r="U458" s="189"/>
      <c r="V458" s="188"/>
      <c r="W458" s="188"/>
      <c r="X458" s="244">
        <f t="shared" si="434"/>
        <v>0</v>
      </c>
      <c r="Y458" s="189"/>
      <c r="Z458" s="188"/>
      <c r="AA458" s="188"/>
      <c r="AB458" s="244">
        <f t="shared" si="435"/>
        <v>0</v>
      </c>
      <c r="AC458" s="253">
        <f t="shared" si="436"/>
        <v>0</v>
      </c>
    </row>
    <row r="459" spans="1:30" x14ac:dyDescent="0.15">
      <c r="A459" s="197"/>
      <c r="B459" s="189"/>
      <c r="C459" s="188"/>
      <c r="D459" s="188"/>
      <c r="E459" s="244">
        <f t="shared" si="441"/>
        <v>0</v>
      </c>
      <c r="F459" s="189"/>
      <c r="G459" s="188"/>
      <c r="H459" s="188"/>
      <c r="I459" s="244">
        <f t="shared" si="430"/>
        <v>0</v>
      </c>
      <c r="J459" s="189"/>
      <c r="K459" s="188"/>
      <c r="L459" s="188"/>
      <c r="M459" s="244">
        <f t="shared" si="431"/>
        <v>0</v>
      </c>
      <c r="N459" s="253">
        <f t="shared" si="432"/>
        <v>0</v>
      </c>
      <c r="P459" s="211" t="s">
        <v>1855</v>
      </c>
      <c r="Q459" s="212">
        <v>5</v>
      </c>
      <c r="R459" s="213">
        <v>3</v>
      </c>
      <c r="S459" s="213">
        <v>2</v>
      </c>
      <c r="T459" s="248">
        <f t="shared" si="433"/>
        <v>10</v>
      </c>
      <c r="U459" s="212">
        <v>5</v>
      </c>
      <c r="V459" s="213">
        <v>3</v>
      </c>
      <c r="W459" s="213">
        <v>2</v>
      </c>
      <c r="X459" s="248">
        <f t="shared" si="434"/>
        <v>10</v>
      </c>
      <c r="Y459" s="212">
        <v>5</v>
      </c>
      <c r="Z459" s="213">
        <v>3</v>
      </c>
      <c r="AA459" s="213">
        <v>2</v>
      </c>
      <c r="AB459" s="248">
        <f t="shared" si="435"/>
        <v>10</v>
      </c>
      <c r="AC459" s="258">
        <f t="shared" si="436"/>
        <v>30</v>
      </c>
      <c r="AD459" s="214" t="s">
        <v>903</v>
      </c>
    </row>
    <row r="460" spans="1:30" x14ac:dyDescent="0.15">
      <c r="A460" s="197"/>
      <c r="B460" s="189"/>
      <c r="C460" s="188"/>
      <c r="D460" s="188"/>
      <c r="E460" s="244">
        <f t="shared" si="441"/>
        <v>0</v>
      </c>
      <c r="F460" s="189"/>
      <c r="G460" s="188"/>
      <c r="H460" s="188"/>
      <c r="I460" s="244">
        <f t="shared" si="430"/>
        <v>0</v>
      </c>
      <c r="J460" s="189"/>
      <c r="K460" s="188"/>
      <c r="L460" s="188"/>
      <c r="M460" s="244">
        <f t="shared" si="431"/>
        <v>0</v>
      </c>
      <c r="N460" s="253">
        <f t="shared" si="432"/>
        <v>0</v>
      </c>
      <c r="P460" s="219" t="s">
        <v>1865</v>
      </c>
      <c r="Q460" s="216">
        <v>0</v>
      </c>
      <c r="R460" s="217">
        <v>0</v>
      </c>
      <c r="S460" s="217">
        <v>0</v>
      </c>
      <c r="T460" s="250">
        <f t="shared" ref="T460:T461" si="442">SUM(Q460:S460)</f>
        <v>0</v>
      </c>
      <c r="U460" s="216">
        <v>0</v>
      </c>
      <c r="V460" s="217">
        <v>0</v>
      </c>
      <c r="W460" s="217">
        <v>0</v>
      </c>
      <c r="X460" s="250">
        <f t="shared" ref="X460:X461" si="443">SUM(U460:W460)</f>
        <v>0</v>
      </c>
      <c r="Y460" s="216">
        <v>0</v>
      </c>
      <c r="Z460" s="217">
        <v>0</v>
      </c>
      <c r="AA460" s="217">
        <v>0</v>
      </c>
      <c r="AB460" s="250">
        <f t="shared" ref="AB460:AB461" si="444">SUM(Y460:AA460)</f>
        <v>0</v>
      </c>
      <c r="AC460" s="262">
        <f t="shared" ref="AC460:AC461" si="445">T460+X460+AB460</f>
        <v>0</v>
      </c>
      <c r="AD460" s="218"/>
    </row>
    <row r="461" spans="1:30" x14ac:dyDescent="0.15">
      <c r="A461" s="197"/>
      <c r="B461" s="189"/>
      <c r="C461" s="188"/>
      <c r="D461" s="188"/>
      <c r="E461" s="244">
        <f t="shared" si="441"/>
        <v>0</v>
      </c>
      <c r="F461" s="189"/>
      <c r="G461" s="188"/>
      <c r="H461" s="188"/>
      <c r="I461" s="244">
        <f t="shared" si="430"/>
        <v>0</v>
      </c>
      <c r="J461" s="189"/>
      <c r="K461" s="188"/>
      <c r="L461" s="188"/>
      <c r="M461" s="244">
        <f t="shared" si="431"/>
        <v>0</v>
      </c>
      <c r="N461" s="253">
        <f t="shared" si="432"/>
        <v>0</v>
      </c>
      <c r="P461" s="220" t="s">
        <v>896</v>
      </c>
      <c r="Q461" s="212">
        <v>5</v>
      </c>
      <c r="R461" s="213">
        <v>5</v>
      </c>
      <c r="S461" s="213">
        <v>5</v>
      </c>
      <c r="T461" s="248">
        <f t="shared" si="442"/>
        <v>15</v>
      </c>
      <c r="U461" s="212">
        <v>5</v>
      </c>
      <c r="V461" s="213">
        <v>5</v>
      </c>
      <c r="W461" s="213">
        <v>5</v>
      </c>
      <c r="X461" s="248">
        <f t="shared" si="443"/>
        <v>15</v>
      </c>
      <c r="Y461" s="212">
        <v>5</v>
      </c>
      <c r="Z461" s="213">
        <v>5</v>
      </c>
      <c r="AA461" s="213">
        <v>5</v>
      </c>
      <c r="AB461" s="248">
        <f t="shared" si="444"/>
        <v>15</v>
      </c>
      <c r="AC461" s="258">
        <f t="shared" si="445"/>
        <v>45</v>
      </c>
      <c r="AD461" s="214" t="s">
        <v>1867</v>
      </c>
    </row>
    <row r="462" spans="1:30" x14ac:dyDescent="0.15">
      <c r="A462" s="197"/>
      <c r="B462" s="189"/>
      <c r="C462" s="188"/>
      <c r="D462" s="188"/>
      <c r="E462" s="244">
        <f t="shared" si="441"/>
        <v>0</v>
      </c>
      <c r="F462" s="189"/>
      <c r="G462" s="188"/>
      <c r="H462" s="188"/>
      <c r="I462" s="244">
        <f t="shared" si="430"/>
        <v>0</v>
      </c>
      <c r="J462" s="189"/>
      <c r="K462" s="188"/>
      <c r="L462" s="188"/>
      <c r="M462" s="244">
        <f t="shared" si="431"/>
        <v>0</v>
      </c>
      <c r="N462" s="253">
        <f t="shared" si="432"/>
        <v>0</v>
      </c>
      <c r="P462" s="211" t="s">
        <v>1826</v>
      </c>
      <c r="Q462" s="212">
        <v>5</v>
      </c>
      <c r="R462" s="213">
        <v>3</v>
      </c>
      <c r="S462" s="213">
        <v>2</v>
      </c>
      <c r="T462" s="248">
        <f t="shared" ref="T462:T466" si="446">SUM(Q462:S462)</f>
        <v>10</v>
      </c>
      <c r="U462" s="212">
        <v>5</v>
      </c>
      <c r="V462" s="213">
        <v>3</v>
      </c>
      <c r="W462" s="213">
        <v>2</v>
      </c>
      <c r="X462" s="248">
        <f t="shared" ref="X462:X466" si="447">SUM(U462:W462)</f>
        <v>10</v>
      </c>
      <c r="Y462" s="212">
        <v>5</v>
      </c>
      <c r="Z462" s="213">
        <v>3</v>
      </c>
      <c r="AA462" s="213">
        <v>2</v>
      </c>
      <c r="AB462" s="248">
        <f t="shared" ref="AB462:AB466" si="448">SUM(Y462:AA462)</f>
        <v>10</v>
      </c>
      <c r="AC462" s="258">
        <f t="shared" ref="AC462:AC466" si="449">T462+X462+AB462</f>
        <v>30</v>
      </c>
      <c r="AD462" s="214" t="s">
        <v>1824</v>
      </c>
    </row>
    <row r="463" spans="1:30" x14ac:dyDescent="0.15">
      <c r="A463" s="197"/>
      <c r="B463" s="189"/>
      <c r="C463" s="188"/>
      <c r="D463" s="188"/>
      <c r="E463" s="244">
        <f t="shared" si="441"/>
        <v>0</v>
      </c>
      <c r="F463" s="189"/>
      <c r="G463" s="188"/>
      <c r="H463" s="188"/>
      <c r="I463" s="244">
        <f t="shared" si="430"/>
        <v>0</v>
      </c>
      <c r="J463" s="189"/>
      <c r="K463" s="188"/>
      <c r="L463" s="188"/>
      <c r="M463" s="244">
        <f t="shared" si="431"/>
        <v>0</v>
      </c>
      <c r="N463" s="253">
        <f t="shared" si="432"/>
        <v>0</v>
      </c>
      <c r="P463" s="219" t="s">
        <v>1837</v>
      </c>
      <c r="Q463" s="216">
        <v>0</v>
      </c>
      <c r="R463" s="217">
        <v>-10</v>
      </c>
      <c r="S463" s="217">
        <v>-5</v>
      </c>
      <c r="T463" s="250">
        <f t="shared" si="446"/>
        <v>-15</v>
      </c>
      <c r="U463" s="216">
        <v>0</v>
      </c>
      <c r="V463" s="217">
        <v>-10</v>
      </c>
      <c r="W463" s="217">
        <v>-5</v>
      </c>
      <c r="X463" s="250">
        <f t="shared" si="447"/>
        <v>-15</v>
      </c>
      <c r="Y463" s="216">
        <v>0</v>
      </c>
      <c r="Z463" s="217">
        <v>-10</v>
      </c>
      <c r="AA463" s="217">
        <v>-5</v>
      </c>
      <c r="AB463" s="250">
        <f t="shared" si="448"/>
        <v>-15</v>
      </c>
      <c r="AC463" s="262">
        <f t="shared" si="449"/>
        <v>-45</v>
      </c>
      <c r="AD463" s="218"/>
    </row>
    <row r="464" spans="1:30" x14ac:dyDescent="0.15">
      <c r="A464" s="197"/>
      <c r="B464" s="189"/>
      <c r="C464" s="188"/>
      <c r="D464" s="188"/>
      <c r="E464" s="244">
        <f t="shared" si="441"/>
        <v>0</v>
      </c>
      <c r="F464" s="189"/>
      <c r="G464" s="188"/>
      <c r="H464" s="188"/>
      <c r="I464" s="244">
        <f t="shared" si="430"/>
        <v>0</v>
      </c>
      <c r="J464" s="189"/>
      <c r="K464" s="188"/>
      <c r="L464" s="188"/>
      <c r="M464" s="244">
        <f t="shared" si="431"/>
        <v>0</v>
      </c>
      <c r="N464" s="253">
        <f t="shared" si="432"/>
        <v>0</v>
      </c>
      <c r="P464" s="220" t="s">
        <v>1838</v>
      </c>
      <c r="Q464" s="212">
        <v>10</v>
      </c>
      <c r="R464" s="213">
        <v>20</v>
      </c>
      <c r="S464" s="213">
        <v>10</v>
      </c>
      <c r="T464" s="248">
        <f t="shared" si="446"/>
        <v>40</v>
      </c>
      <c r="U464" s="212">
        <v>10</v>
      </c>
      <c r="V464" s="213">
        <v>20</v>
      </c>
      <c r="W464" s="213">
        <v>10</v>
      </c>
      <c r="X464" s="248">
        <f t="shared" si="447"/>
        <v>40</v>
      </c>
      <c r="Y464" s="212">
        <v>10</v>
      </c>
      <c r="Z464" s="213">
        <v>20</v>
      </c>
      <c r="AA464" s="213">
        <v>10</v>
      </c>
      <c r="AB464" s="248">
        <f t="shared" si="448"/>
        <v>40</v>
      </c>
      <c r="AC464" s="258">
        <f t="shared" si="449"/>
        <v>120</v>
      </c>
      <c r="AD464" s="214" t="s">
        <v>1839</v>
      </c>
    </row>
    <row r="465" spans="1:30" x14ac:dyDescent="0.15">
      <c r="A465" s="197"/>
      <c r="B465" s="189"/>
      <c r="C465" s="188"/>
      <c r="D465" s="188"/>
      <c r="E465" s="244">
        <f t="shared" si="441"/>
        <v>0</v>
      </c>
      <c r="F465" s="189"/>
      <c r="G465" s="188"/>
      <c r="H465" s="188"/>
      <c r="I465" s="244">
        <f t="shared" si="430"/>
        <v>0</v>
      </c>
      <c r="J465" s="189"/>
      <c r="K465" s="188"/>
      <c r="L465" s="188"/>
      <c r="M465" s="244">
        <f t="shared" si="431"/>
        <v>0</v>
      </c>
      <c r="N465" s="253">
        <f t="shared" si="432"/>
        <v>0</v>
      </c>
      <c r="P465" s="215" t="s">
        <v>1640</v>
      </c>
      <c r="Q465" s="216">
        <v>-5</v>
      </c>
      <c r="R465" s="217">
        <v>-5</v>
      </c>
      <c r="S465" s="217">
        <v>-5</v>
      </c>
      <c r="T465" s="250">
        <f t="shared" si="446"/>
        <v>-15</v>
      </c>
      <c r="U465" s="216">
        <v>-5</v>
      </c>
      <c r="V465" s="217">
        <v>-5</v>
      </c>
      <c r="W465" s="217">
        <v>-5</v>
      </c>
      <c r="X465" s="250">
        <f t="shared" si="447"/>
        <v>-15</v>
      </c>
      <c r="Y465" s="216">
        <v>-5</v>
      </c>
      <c r="Z465" s="217">
        <v>-5</v>
      </c>
      <c r="AA465" s="217">
        <v>-5</v>
      </c>
      <c r="AB465" s="250">
        <f t="shared" si="448"/>
        <v>-15</v>
      </c>
      <c r="AC465" s="298">
        <f t="shared" si="449"/>
        <v>-45</v>
      </c>
      <c r="AD465" s="214"/>
    </row>
    <row r="466" spans="1:30" x14ac:dyDescent="0.15">
      <c r="A466" s="197"/>
      <c r="B466" s="189"/>
      <c r="C466" s="188"/>
      <c r="D466" s="188"/>
      <c r="E466" s="244">
        <f t="shared" si="441"/>
        <v>0</v>
      </c>
      <c r="F466" s="189"/>
      <c r="G466" s="188"/>
      <c r="H466" s="188"/>
      <c r="I466" s="244">
        <f t="shared" si="430"/>
        <v>0</v>
      </c>
      <c r="J466" s="189"/>
      <c r="K466" s="188"/>
      <c r="L466" s="188"/>
      <c r="M466" s="244">
        <f t="shared" si="431"/>
        <v>0</v>
      </c>
      <c r="N466" s="253">
        <f t="shared" si="432"/>
        <v>0</v>
      </c>
      <c r="P466" s="211" t="s">
        <v>1678</v>
      </c>
      <c r="Q466" s="212">
        <v>35</v>
      </c>
      <c r="R466" s="213">
        <v>20</v>
      </c>
      <c r="S466" s="213">
        <v>15</v>
      </c>
      <c r="T466" s="248">
        <f t="shared" si="446"/>
        <v>70</v>
      </c>
      <c r="U466" s="212">
        <v>35</v>
      </c>
      <c r="V466" s="213">
        <v>20</v>
      </c>
      <c r="W466" s="213">
        <v>15</v>
      </c>
      <c r="X466" s="248">
        <f t="shared" si="447"/>
        <v>70</v>
      </c>
      <c r="Y466" s="212">
        <v>35</v>
      </c>
      <c r="Z466" s="213">
        <v>20</v>
      </c>
      <c r="AA466" s="213">
        <v>15</v>
      </c>
      <c r="AB466" s="248">
        <f t="shared" si="448"/>
        <v>70</v>
      </c>
      <c r="AC466" s="258">
        <f t="shared" si="449"/>
        <v>210</v>
      </c>
      <c r="AD466" s="214" t="s">
        <v>1679</v>
      </c>
    </row>
    <row r="467" spans="1:30" x14ac:dyDescent="0.15">
      <c r="A467" s="197"/>
      <c r="B467" s="189"/>
      <c r="C467" s="188"/>
      <c r="D467" s="188"/>
      <c r="E467" s="244">
        <f t="shared" si="441"/>
        <v>0</v>
      </c>
      <c r="F467" s="189"/>
      <c r="G467" s="188"/>
      <c r="H467" s="188"/>
      <c r="I467" s="244">
        <f t="shared" si="430"/>
        <v>0</v>
      </c>
      <c r="J467" s="189"/>
      <c r="K467" s="188"/>
      <c r="L467" s="188"/>
      <c r="M467" s="244">
        <f t="shared" si="431"/>
        <v>0</v>
      </c>
      <c r="N467" s="253">
        <f t="shared" si="432"/>
        <v>0</v>
      </c>
      <c r="P467" s="215" t="s">
        <v>1731</v>
      </c>
      <c r="Q467" s="216">
        <v>-10</v>
      </c>
      <c r="R467" s="217">
        <v>-10</v>
      </c>
      <c r="S467" s="217">
        <v>-15</v>
      </c>
      <c r="T467" s="250">
        <f>SUM(Q467:S467)</f>
        <v>-35</v>
      </c>
      <c r="U467" s="216">
        <v>-15</v>
      </c>
      <c r="V467" s="217">
        <v>-15</v>
      </c>
      <c r="W467" s="217">
        <v>-15</v>
      </c>
      <c r="X467" s="250">
        <f>SUM(U467:W467)</f>
        <v>-45</v>
      </c>
      <c r="Y467" s="216">
        <v>-10</v>
      </c>
      <c r="Z467" s="217">
        <v>-10</v>
      </c>
      <c r="AA467" s="217">
        <v>-15</v>
      </c>
      <c r="AB467" s="250">
        <f>SUM(Y467:AA467)</f>
        <v>-35</v>
      </c>
      <c r="AC467" s="329">
        <f>T467+X467+AB467</f>
        <v>-115</v>
      </c>
      <c r="AD467" s="214"/>
    </row>
    <row r="468" spans="1:30" x14ac:dyDescent="0.15">
      <c r="A468" s="197"/>
      <c r="B468" s="189"/>
      <c r="C468" s="188"/>
      <c r="D468" s="188"/>
      <c r="E468" s="244">
        <f t="shared" si="441"/>
        <v>0</v>
      </c>
      <c r="F468" s="189"/>
      <c r="G468" s="188"/>
      <c r="H468" s="188"/>
      <c r="I468" s="244">
        <f t="shared" si="430"/>
        <v>0</v>
      </c>
      <c r="J468" s="189"/>
      <c r="K468" s="188"/>
      <c r="L468" s="188"/>
      <c r="M468" s="244">
        <f t="shared" si="431"/>
        <v>0</v>
      </c>
      <c r="N468" s="253">
        <f t="shared" si="432"/>
        <v>0</v>
      </c>
      <c r="P468" s="211" t="s">
        <v>1732</v>
      </c>
      <c r="Q468" s="212">
        <v>38</v>
      </c>
      <c r="R468" s="213">
        <v>30</v>
      </c>
      <c r="S468" s="213">
        <v>30</v>
      </c>
      <c r="T468" s="248">
        <f t="shared" ref="T468" si="450">SUM(Q468:S468)</f>
        <v>98</v>
      </c>
      <c r="U468" s="212">
        <v>38</v>
      </c>
      <c r="V468" s="213">
        <v>38</v>
      </c>
      <c r="W468" s="213">
        <v>38</v>
      </c>
      <c r="X468" s="248">
        <f t="shared" ref="X468" si="451">SUM(U468:W468)</f>
        <v>114</v>
      </c>
      <c r="Y468" s="212">
        <v>40</v>
      </c>
      <c r="Z468" s="213">
        <v>30</v>
      </c>
      <c r="AA468" s="213">
        <v>30</v>
      </c>
      <c r="AB468" s="248">
        <f t="shared" ref="AB468" si="452">SUM(Y468:AA468)</f>
        <v>100</v>
      </c>
      <c r="AC468" s="258">
        <f t="shared" ref="AC468" si="453">T468+X468+AB468</f>
        <v>312</v>
      </c>
      <c r="AD468" s="214" t="s">
        <v>1805</v>
      </c>
    </row>
    <row r="469" spans="1:30" x14ac:dyDescent="0.15">
      <c r="A469" s="197"/>
      <c r="B469" s="189"/>
      <c r="C469" s="188"/>
      <c r="D469" s="188"/>
      <c r="E469" s="244">
        <f t="shared" si="441"/>
        <v>0</v>
      </c>
      <c r="F469" s="189"/>
      <c r="G469" s="188"/>
      <c r="H469" s="188"/>
      <c r="I469" s="244">
        <f t="shared" si="430"/>
        <v>0</v>
      </c>
      <c r="J469" s="189"/>
      <c r="K469" s="188"/>
      <c r="L469" s="188"/>
      <c r="M469" s="244">
        <f t="shared" si="431"/>
        <v>0</v>
      </c>
      <c r="N469" s="253">
        <f t="shared" si="432"/>
        <v>0</v>
      </c>
      <c r="P469" s="219" t="s">
        <v>1736</v>
      </c>
      <c r="Q469" s="216">
        <v>-10</v>
      </c>
      <c r="R469" s="217">
        <v>-10</v>
      </c>
      <c r="S469" s="217">
        <v>-5</v>
      </c>
      <c r="T469" s="250">
        <f t="shared" si="433"/>
        <v>-25</v>
      </c>
      <c r="U469" s="216">
        <v>-10</v>
      </c>
      <c r="V469" s="217">
        <v>-10</v>
      </c>
      <c r="W469" s="217">
        <v>-5</v>
      </c>
      <c r="X469" s="250">
        <f t="shared" si="434"/>
        <v>-25</v>
      </c>
      <c r="Y469" s="216">
        <v>-10</v>
      </c>
      <c r="Z469" s="217">
        <v>-10</v>
      </c>
      <c r="AA469" s="217">
        <v>-5</v>
      </c>
      <c r="AB469" s="250">
        <f t="shared" si="435"/>
        <v>-25</v>
      </c>
      <c r="AC469" s="262">
        <f t="shared" si="436"/>
        <v>-75</v>
      </c>
      <c r="AD469" s="214"/>
    </row>
    <row r="470" spans="1:30" ht="14.25" thickBot="1" x14ac:dyDescent="0.2">
      <c r="A470" s="197"/>
      <c r="B470" s="189"/>
      <c r="C470" s="188"/>
      <c r="D470" s="188"/>
      <c r="E470" s="244">
        <f t="shared" si="441"/>
        <v>0</v>
      </c>
      <c r="F470" s="189"/>
      <c r="G470" s="188"/>
      <c r="H470" s="188"/>
      <c r="I470" s="244">
        <f t="shared" si="430"/>
        <v>0</v>
      </c>
      <c r="J470" s="189"/>
      <c r="K470" s="188"/>
      <c r="L470" s="188"/>
      <c r="M470" s="244">
        <f t="shared" si="431"/>
        <v>0</v>
      </c>
      <c r="N470" s="253">
        <f t="shared" si="432"/>
        <v>0</v>
      </c>
      <c r="P470" s="220" t="s">
        <v>1748</v>
      </c>
      <c r="Q470" s="212">
        <v>30</v>
      </c>
      <c r="R470" s="213">
        <v>25</v>
      </c>
      <c r="S470" s="213">
        <v>15</v>
      </c>
      <c r="T470" s="248">
        <f t="shared" si="433"/>
        <v>70</v>
      </c>
      <c r="U470" s="212">
        <v>30</v>
      </c>
      <c r="V470" s="213">
        <v>25</v>
      </c>
      <c r="W470" s="213">
        <v>15</v>
      </c>
      <c r="X470" s="248">
        <f t="shared" si="434"/>
        <v>70</v>
      </c>
      <c r="Y470" s="212">
        <v>30</v>
      </c>
      <c r="Z470" s="213">
        <v>25</v>
      </c>
      <c r="AA470" s="213">
        <v>15</v>
      </c>
      <c r="AB470" s="248">
        <f t="shared" si="435"/>
        <v>70</v>
      </c>
      <c r="AC470" s="258">
        <f t="shared" si="436"/>
        <v>210</v>
      </c>
      <c r="AD470" s="214" t="s">
        <v>1737</v>
      </c>
    </row>
    <row r="471" spans="1:30" ht="14.25" thickBot="1" x14ac:dyDescent="0.2">
      <c r="A471" s="221" t="s">
        <v>5</v>
      </c>
      <c r="B471" s="222">
        <f>SUM(B447:B470)</f>
        <v>0</v>
      </c>
      <c r="C471" s="222">
        <f>SUM(C447:C470)</f>
        <v>0</v>
      </c>
      <c r="D471" s="222">
        <f>SUM(D447:D470)</f>
        <v>0</v>
      </c>
      <c r="E471" s="251">
        <f t="shared" si="441"/>
        <v>0</v>
      </c>
      <c r="F471" s="222">
        <f>SUM(F447:F470)</f>
        <v>0</v>
      </c>
      <c r="G471" s="222">
        <f>SUM(G447:G470)</f>
        <v>0</v>
      </c>
      <c r="H471" s="222">
        <f>SUM(H447:H470)</f>
        <v>0</v>
      </c>
      <c r="I471" s="251">
        <f t="shared" si="430"/>
        <v>0</v>
      </c>
      <c r="J471" s="222">
        <f>SUM(J447:J470)</f>
        <v>0</v>
      </c>
      <c r="K471" s="222">
        <f>SUM(K447:K470)</f>
        <v>0</v>
      </c>
      <c r="L471" s="222">
        <f>SUM(L447:L470)</f>
        <v>0</v>
      </c>
      <c r="M471" s="267">
        <f t="shared" si="431"/>
        <v>0</v>
      </c>
      <c r="N471" s="272">
        <f t="shared" si="432"/>
        <v>0</v>
      </c>
      <c r="P471" s="184" t="s">
        <v>5</v>
      </c>
      <c r="Q471" s="222">
        <f>SUM(Q447:Q470)</f>
        <v>103</v>
      </c>
      <c r="R471" s="222">
        <f>SUM(R447:R470)</f>
        <v>71</v>
      </c>
      <c r="S471" s="222">
        <f>SUM(S447:S470)</f>
        <v>49</v>
      </c>
      <c r="T471" s="251">
        <f t="shared" si="433"/>
        <v>223</v>
      </c>
      <c r="U471" s="222">
        <f>SUM(U447:U470)</f>
        <v>98</v>
      </c>
      <c r="V471" s="222">
        <f>SUM(V447:V470)</f>
        <v>74</v>
      </c>
      <c r="W471" s="222">
        <f>SUM(W447:W470)</f>
        <v>57</v>
      </c>
      <c r="X471" s="251">
        <f t="shared" si="434"/>
        <v>229</v>
      </c>
      <c r="Y471" s="222">
        <f>SUM(Y447:Y470)</f>
        <v>105</v>
      </c>
      <c r="Z471" s="222">
        <f>SUM(Z447:Z470)</f>
        <v>71</v>
      </c>
      <c r="AA471" s="222">
        <f>SUM(AA447:AA470)</f>
        <v>49</v>
      </c>
      <c r="AB471" s="251">
        <f t="shared" si="435"/>
        <v>225</v>
      </c>
      <c r="AC471" s="256">
        <f t="shared" si="436"/>
        <v>677</v>
      </c>
    </row>
    <row r="472" spans="1:30" ht="14.25" thickBot="1" x14ac:dyDescent="0.2">
      <c r="A472" s="223" t="s">
        <v>6</v>
      </c>
      <c r="B472" s="209">
        <f>B446-B471</f>
        <v>5</v>
      </c>
      <c r="C472" s="209">
        <f t="shared" ref="C472:E472" si="454">C446-C471</f>
        <v>2</v>
      </c>
      <c r="D472" s="209">
        <f t="shared" si="454"/>
        <v>7</v>
      </c>
      <c r="E472" s="246">
        <f t="shared" si="454"/>
        <v>14</v>
      </c>
      <c r="F472" s="209">
        <f>F446-F471</f>
        <v>7</v>
      </c>
      <c r="G472" s="209">
        <f t="shared" ref="G472:I472" si="455">G446-G471</f>
        <v>2</v>
      </c>
      <c r="H472" s="209">
        <f t="shared" si="455"/>
        <v>2</v>
      </c>
      <c r="I472" s="246">
        <f t="shared" si="455"/>
        <v>11</v>
      </c>
      <c r="J472" s="209">
        <f>J446-J471</f>
        <v>6</v>
      </c>
      <c r="K472" s="209">
        <f t="shared" ref="K472:M472" si="456">K446-K471</f>
        <v>2</v>
      </c>
      <c r="L472" s="209">
        <f t="shared" si="456"/>
        <v>3</v>
      </c>
      <c r="M472" s="266">
        <f t="shared" si="456"/>
        <v>11</v>
      </c>
      <c r="N472" s="271">
        <f t="shared" si="432"/>
        <v>36</v>
      </c>
      <c r="P472" s="224" t="s">
        <v>6</v>
      </c>
      <c r="Q472" s="209">
        <f t="shared" ref="Q472:AB472" si="457">Q446-Q471</f>
        <v>551</v>
      </c>
      <c r="R472" s="209">
        <f t="shared" si="457"/>
        <v>367</v>
      </c>
      <c r="S472" s="209">
        <f t="shared" si="457"/>
        <v>347</v>
      </c>
      <c r="T472" s="246">
        <f t="shared" si="457"/>
        <v>1265</v>
      </c>
      <c r="U472" s="209">
        <f t="shared" si="457"/>
        <v>585</v>
      </c>
      <c r="V472" s="209">
        <f t="shared" si="457"/>
        <v>401</v>
      </c>
      <c r="W472" s="209">
        <f t="shared" si="457"/>
        <v>341</v>
      </c>
      <c r="X472" s="246">
        <f t="shared" si="457"/>
        <v>1327</v>
      </c>
      <c r="Y472" s="209">
        <f t="shared" si="457"/>
        <v>548</v>
      </c>
      <c r="Z472" s="209">
        <f t="shared" si="457"/>
        <v>386</v>
      </c>
      <c r="AA472" s="209">
        <f t="shared" si="457"/>
        <v>327</v>
      </c>
      <c r="AB472" s="246">
        <f t="shared" si="457"/>
        <v>1261</v>
      </c>
      <c r="AC472" s="256">
        <f t="shared" si="436"/>
        <v>3853</v>
      </c>
    </row>
    <row r="473" spans="1:30" x14ac:dyDescent="0.15">
      <c r="A473" s="172"/>
      <c r="N473" s="172"/>
      <c r="P473" s="321" t="s">
        <v>1129</v>
      </c>
      <c r="Q473" s="319">
        <f>Q472/$T$472*100</f>
        <v>43.557312252964422</v>
      </c>
      <c r="R473" s="319">
        <f t="shared" ref="R473:T473" si="458">R472/$T$472*100</f>
        <v>29.011857707509879</v>
      </c>
      <c r="S473" s="319">
        <f t="shared" si="458"/>
        <v>27.430830039525695</v>
      </c>
      <c r="T473" s="319">
        <f t="shared" si="458"/>
        <v>100</v>
      </c>
      <c r="U473" s="319">
        <f>U472/$X$472*100</f>
        <v>44.0844009042954</v>
      </c>
      <c r="V473" s="319">
        <f t="shared" ref="V473:X473" si="459">V472/$X$472*100</f>
        <v>30.218538055764881</v>
      </c>
      <c r="W473" s="319">
        <f t="shared" si="459"/>
        <v>25.697061039939712</v>
      </c>
      <c r="X473" s="319">
        <f t="shared" si="459"/>
        <v>100</v>
      </c>
      <c r="Y473" s="319">
        <f>Y472/$AB$472*100</f>
        <v>43.457573354480573</v>
      </c>
      <c r="Z473" s="319">
        <f t="shared" ref="Z473:AB473" si="460">Z472/$AB$472*100</f>
        <v>30.610626486915148</v>
      </c>
      <c r="AA473" s="319">
        <f t="shared" si="460"/>
        <v>25.931800158604286</v>
      </c>
      <c r="AB473" s="319">
        <f t="shared" si="460"/>
        <v>100</v>
      </c>
      <c r="AC473" s="318"/>
    </row>
    <row r="474" spans="1:30" x14ac:dyDescent="0.15">
      <c r="A474" s="172"/>
      <c r="N474" s="172"/>
      <c r="P474" s="322" t="s">
        <v>1130</v>
      </c>
      <c r="Q474" s="231">
        <v>46.7</v>
      </c>
      <c r="R474" s="231">
        <v>27.9</v>
      </c>
      <c r="S474" s="231">
        <v>25.4</v>
      </c>
      <c r="T474" s="231">
        <f>SUM(Q474:S474)</f>
        <v>100</v>
      </c>
      <c r="U474" s="231">
        <v>49.8</v>
      </c>
      <c r="V474" s="231">
        <v>26.3</v>
      </c>
      <c r="W474" s="231">
        <v>23.9</v>
      </c>
      <c r="X474" s="231">
        <f>SUM(U474:W474)</f>
        <v>100</v>
      </c>
      <c r="Y474" s="320">
        <v>48.8</v>
      </c>
      <c r="Z474" s="320">
        <v>26.8</v>
      </c>
      <c r="AA474" s="320">
        <v>24.4</v>
      </c>
      <c r="AB474" s="320">
        <f>SUM(Y474:AA474)</f>
        <v>100</v>
      </c>
      <c r="AC474" s="318"/>
    </row>
    <row r="475" spans="1:30" ht="19.5" thickBot="1" x14ac:dyDescent="0.25">
      <c r="A475" s="177" t="s">
        <v>1183</v>
      </c>
      <c r="B475" s="178"/>
      <c r="C475" s="178"/>
      <c r="D475" s="178"/>
      <c r="E475" s="178"/>
      <c r="F475" s="179"/>
      <c r="G475" s="179"/>
      <c r="H475" s="179"/>
      <c r="I475" s="179"/>
      <c r="J475" s="179"/>
      <c r="K475" s="179"/>
      <c r="L475" s="179"/>
      <c r="M475" s="179"/>
      <c r="N475" s="180"/>
      <c r="P475" s="177" t="s">
        <v>1184</v>
      </c>
      <c r="Q475" s="178"/>
      <c r="R475" s="178"/>
      <c r="S475" s="178"/>
      <c r="T475" s="178"/>
      <c r="Y475" s="179"/>
      <c r="Z475" s="181"/>
      <c r="AA475" s="179"/>
      <c r="AB475" s="179"/>
    </row>
    <row r="476" spans="1:30" ht="14.25" thickBot="1" x14ac:dyDescent="0.2">
      <c r="A476" s="182" t="s">
        <v>0</v>
      </c>
      <c r="B476" s="350" t="s">
        <v>11</v>
      </c>
      <c r="C476" s="350"/>
      <c r="D476" s="350"/>
      <c r="E476" s="351"/>
      <c r="F476" s="349" t="s">
        <v>9</v>
      </c>
      <c r="G476" s="350"/>
      <c r="H476" s="350"/>
      <c r="I476" s="351"/>
      <c r="J476" s="349" t="s">
        <v>12</v>
      </c>
      <c r="K476" s="350"/>
      <c r="L476" s="350"/>
      <c r="M476" s="350"/>
      <c r="N476" s="352" t="s">
        <v>13</v>
      </c>
      <c r="P476" s="183" t="s">
        <v>0</v>
      </c>
      <c r="Q476" s="349" t="s">
        <v>11</v>
      </c>
      <c r="R476" s="350"/>
      <c r="S476" s="350"/>
      <c r="T476" s="351"/>
      <c r="U476" s="349" t="s">
        <v>9</v>
      </c>
      <c r="V476" s="350"/>
      <c r="W476" s="350"/>
      <c r="X476" s="351"/>
      <c r="Y476" s="349" t="s">
        <v>12</v>
      </c>
      <c r="Z476" s="350"/>
      <c r="AA476" s="350"/>
      <c r="AB476" s="351"/>
      <c r="AC476" s="300" t="s">
        <v>13</v>
      </c>
    </row>
    <row r="477" spans="1:30" ht="14.25" thickBot="1" x14ac:dyDescent="0.2">
      <c r="A477" s="182" t="s">
        <v>1</v>
      </c>
      <c r="B477" s="184" t="s">
        <v>922</v>
      </c>
      <c r="C477" s="183" t="s">
        <v>923</v>
      </c>
      <c r="D477" s="183" t="s">
        <v>924</v>
      </c>
      <c r="E477" s="242" t="s">
        <v>2</v>
      </c>
      <c r="F477" s="184" t="s">
        <v>922</v>
      </c>
      <c r="G477" s="183" t="s">
        <v>923</v>
      </c>
      <c r="H477" s="183" t="s">
        <v>924</v>
      </c>
      <c r="I477" s="242" t="s">
        <v>2</v>
      </c>
      <c r="J477" s="184" t="s">
        <v>922</v>
      </c>
      <c r="K477" s="183" t="s">
        <v>923</v>
      </c>
      <c r="L477" s="183" t="s">
        <v>924</v>
      </c>
      <c r="M477" s="252" t="s">
        <v>2</v>
      </c>
      <c r="N477" s="353"/>
      <c r="P477" s="183" t="s">
        <v>1</v>
      </c>
      <c r="Q477" s="184" t="s">
        <v>922</v>
      </c>
      <c r="R477" s="183" t="s">
        <v>923</v>
      </c>
      <c r="S477" s="183" t="s">
        <v>924</v>
      </c>
      <c r="T477" s="242" t="s">
        <v>2</v>
      </c>
      <c r="U477" s="184" t="s">
        <v>922</v>
      </c>
      <c r="V477" s="183" t="s">
        <v>923</v>
      </c>
      <c r="W477" s="183" t="s">
        <v>924</v>
      </c>
      <c r="X477" s="242" t="s">
        <v>2</v>
      </c>
      <c r="Y477" s="184" t="s">
        <v>922</v>
      </c>
      <c r="Z477" s="183" t="s">
        <v>923</v>
      </c>
      <c r="AA477" s="183" t="s">
        <v>924</v>
      </c>
      <c r="AB477" s="252" t="s">
        <v>2</v>
      </c>
      <c r="AC477" s="301"/>
    </row>
    <row r="478" spans="1:30" x14ac:dyDescent="0.15">
      <c r="A478" s="225" t="s">
        <v>6</v>
      </c>
      <c r="B478" s="226">
        <f>B472</f>
        <v>5</v>
      </c>
      <c r="C478" s="226">
        <f t="shared" ref="C478:E478" si="461">C472</f>
        <v>2</v>
      </c>
      <c r="D478" s="226">
        <f t="shared" si="461"/>
        <v>7</v>
      </c>
      <c r="E478" s="260">
        <f t="shared" si="461"/>
        <v>14</v>
      </c>
      <c r="F478" s="226">
        <f>F472</f>
        <v>7</v>
      </c>
      <c r="G478" s="226">
        <f t="shared" ref="G478:I478" si="462">G472</f>
        <v>2</v>
      </c>
      <c r="H478" s="226">
        <f t="shared" si="462"/>
        <v>2</v>
      </c>
      <c r="I478" s="260">
        <f t="shared" si="462"/>
        <v>11</v>
      </c>
      <c r="J478" s="226">
        <f>J472</f>
        <v>6</v>
      </c>
      <c r="K478" s="226">
        <f t="shared" ref="K478:M478" si="463">K472</f>
        <v>2</v>
      </c>
      <c r="L478" s="226">
        <f t="shared" si="463"/>
        <v>3</v>
      </c>
      <c r="M478" s="260">
        <f t="shared" si="463"/>
        <v>11</v>
      </c>
      <c r="N478" s="273">
        <f>E478+I478+M478</f>
        <v>36</v>
      </c>
      <c r="P478" s="215" t="s">
        <v>6</v>
      </c>
      <c r="Q478" s="226">
        <f>Q472</f>
        <v>551</v>
      </c>
      <c r="R478" s="226">
        <f t="shared" ref="R478:T478" si="464">R472</f>
        <v>367</v>
      </c>
      <c r="S478" s="226">
        <f t="shared" si="464"/>
        <v>347</v>
      </c>
      <c r="T478" s="260">
        <f t="shared" si="464"/>
        <v>1265</v>
      </c>
      <c r="U478" s="226">
        <f>U472</f>
        <v>585</v>
      </c>
      <c r="V478" s="226">
        <f t="shared" ref="V478:X478" si="465">V472</f>
        <v>401</v>
      </c>
      <c r="W478" s="226">
        <f t="shared" si="465"/>
        <v>341</v>
      </c>
      <c r="X478" s="260">
        <f t="shared" si="465"/>
        <v>1327</v>
      </c>
      <c r="Y478" s="226">
        <f>Y472</f>
        <v>548</v>
      </c>
      <c r="Z478" s="226">
        <f t="shared" ref="Z478:AB478" si="466">Z472</f>
        <v>386</v>
      </c>
      <c r="AA478" s="226">
        <f t="shared" si="466"/>
        <v>327</v>
      </c>
      <c r="AB478" s="260">
        <f t="shared" si="466"/>
        <v>1261</v>
      </c>
      <c r="AC478" s="258">
        <f>T478+X478+AB478</f>
        <v>3853</v>
      </c>
    </row>
    <row r="479" spans="1:30" x14ac:dyDescent="0.15">
      <c r="A479" s="191" t="s">
        <v>3</v>
      </c>
      <c r="B479" s="199"/>
      <c r="C479" s="197"/>
      <c r="D479" s="197"/>
      <c r="E479" s="243">
        <f t="shared" ref="E479:E514" si="467">SUM(B479:D479)</f>
        <v>0</v>
      </c>
      <c r="F479" s="199"/>
      <c r="G479" s="197"/>
      <c r="H479" s="197"/>
      <c r="I479" s="243">
        <f t="shared" ref="I479:I514" si="468">SUM(F479:H479)</f>
        <v>0</v>
      </c>
      <c r="J479" s="186"/>
      <c r="K479" s="187"/>
      <c r="L479" s="187"/>
      <c r="M479" s="243">
        <f t="shared" ref="M479:M514" si="469">SUM(J479:L479)</f>
        <v>0</v>
      </c>
      <c r="N479" s="253">
        <f t="shared" ref="N479:N515" si="470">E479+I479+M479</f>
        <v>0</v>
      </c>
      <c r="P479" s="191" t="s">
        <v>3</v>
      </c>
      <c r="Q479" s="199"/>
      <c r="R479" s="197"/>
      <c r="S479" s="197"/>
      <c r="T479" s="243">
        <f t="shared" ref="T479:T505" si="471">SUM(Q479:S479)</f>
        <v>0</v>
      </c>
      <c r="U479" s="199"/>
      <c r="V479" s="197"/>
      <c r="W479" s="197"/>
      <c r="X479" s="243">
        <f t="shared" ref="X479:X505" si="472">SUM(U479:W479)</f>
        <v>0</v>
      </c>
      <c r="Y479" s="186"/>
      <c r="Z479" s="187"/>
      <c r="AA479" s="187"/>
      <c r="AB479" s="243">
        <f t="shared" ref="AB479:AB505" si="473">SUM(Y479:AA479)</f>
        <v>0</v>
      </c>
      <c r="AC479" s="253">
        <f t="shared" ref="AC479:AC505" si="474">T479+X479+AB479</f>
        <v>0</v>
      </c>
    </row>
    <row r="480" spans="1:30" x14ac:dyDescent="0.15">
      <c r="A480" s="191" t="s">
        <v>3</v>
      </c>
      <c r="B480" s="186"/>
      <c r="C480" s="187"/>
      <c r="D480" s="187"/>
      <c r="E480" s="244">
        <f t="shared" si="467"/>
        <v>0</v>
      </c>
      <c r="F480" s="186"/>
      <c r="G480" s="187"/>
      <c r="H480" s="187"/>
      <c r="I480" s="244">
        <f t="shared" si="468"/>
        <v>0</v>
      </c>
      <c r="J480" s="196"/>
      <c r="K480" s="197"/>
      <c r="L480" s="197"/>
      <c r="M480" s="243">
        <f t="shared" si="469"/>
        <v>0</v>
      </c>
      <c r="N480" s="253">
        <f t="shared" si="470"/>
        <v>0</v>
      </c>
      <c r="P480" s="191" t="s">
        <v>3</v>
      </c>
      <c r="Q480" s="199"/>
      <c r="R480" s="197"/>
      <c r="S480" s="197"/>
      <c r="T480" s="243">
        <f t="shared" si="471"/>
        <v>0</v>
      </c>
      <c r="U480" s="199"/>
      <c r="V480" s="197"/>
      <c r="W480" s="197"/>
      <c r="X480" s="243">
        <f t="shared" si="472"/>
        <v>0</v>
      </c>
      <c r="Y480" s="186"/>
      <c r="Z480" s="187"/>
      <c r="AA480" s="187"/>
      <c r="AB480" s="243">
        <f t="shared" si="473"/>
        <v>0</v>
      </c>
      <c r="AC480" s="253">
        <f t="shared" si="474"/>
        <v>0</v>
      </c>
    </row>
    <row r="481" spans="1:29" x14ac:dyDescent="0.15">
      <c r="A481" s="191" t="s">
        <v>3</v>
      </c>
      <c r="B481" s="199"/>
      <c r="C481" s="197"/>
      <c r="D481" s="197"/>
      <c r="E481" s="243">
        <f t="shared" si="467"/>
        <v>0</v>
      </c>
      <c r="F481" s="199"/>
      <c r="G481" s="197"/>
      <c r="H481" s="197"/>
      <c r="I481" s="243">
        <f t="shared" si="468"/>
        <v>0</v>
      </c>
      <c r="J481" s="196"/>
      <c r="K481" s="197"/>
      <c r="L481" s="197"/>
      <c r="M481" s="243">
        <f t="shared" si="469"/>
        <v>0</v>
      </c>
      <c r="N481" s="253">
        <f t="shared" si="470"/>
        <v>0</v>
      </c>
      <c r="P481" s="191" t="s">
        <v>3</v>
      </c>
      <c r="Q481" s="199"/>
      <c r="R481" s="197"/>
      <c r="S481" s="197"/>
      <c r="T481" s="243">
        <f t="shared" ref="T481" si="475">SUM(Q481:S481)</f>
        <v>0</v>
      </c>
      <c r="U481" s="199"/>
      <c r="V481" s="197"/>
      <c r="W481" s="197"/>
      <c r="X481" s="243">
        <f t="shared" ref="X481" si="476">SUM(U481:W481)</f>
        <v>0</v>
      </c>
      <c r="Y481" s="186"/>
      <c r="Z481" s="187"/>
      <c r="AA481" s="187"/>
      <c r="AB481" s="243">
        <f t="shared" ref="AB481" si="477">SUM(Y481:AA481)</f>
        <v>0</v>
      </c>
      <c r="AC481" s="253">
        <f t="shared" ref="AC481" si="478">T481+X481+AB481</f>
        <v>0</v>
      </c>
    </row>
    <row r="482" spans="1:29" x14ac:dyDescent="0.15">
      <c r="A482" s="191" t="s">
        <v>3</v>
      </c>
      <c r="B482" s="199"/>
      <c r="C482" s="197"/>
      <c r="D482" s="197"/>
      <c r="E482" s="243">
        <f t="shared" si="467"/>
        <v>0</v>
      </c>
      <c r="F482" s="199"/>
      <c r="G482" s="197"/>
      <c r="H482" s="197"/>
      <c r="I482" s="243">
        <f t="shared" si="468"/>
        <v>0</v>
      </c>
      <c r="J482" s="196"/>
      <c r="K482" s="197"/>
      <c r="L482" s="197"/>
      <c r="M482" s="243">
        <f t="shared" si="469"/>
        <v>0</v>
      </c>
      <c r="N482" s="253">
        <f t="shared" si="470"/>
        <v>0</v>
      </c>
      <c r="P482" s="191" t="s">
        <v>3</v>
      </c>
      <c r="Q482" s="199"/>
      <c r="R482" s="197"/>
      <c r="S482" s="197"/>
      <c r="T482" s="243">
        <f t="shared" ref="T482:T483" si="479">SUM(Q482:S482)</f>
        <v>0</v>
      </c>
      <c r="U482" s="199"/>
      <c r="V482" s="197"/>
      <c r="W482" s="197"/>
      <c r="X482" s="243">
        <f t="shared" ref="X482:X483" si="480">SUM(U482:W482)</f>
        <v>0</v>
      </c>
      <c r="Y482" s="186"/>
      <c r="Z482" s="187"/>
      <c r="AA482" s="187"/>
      <c r="AB482" s="243">
        <f t="shared" ref="AB482:AB483" si="481">SUM(Y482:AA482)</f>
        <v>0</v>
      </c>
      <c r="AC482" s="253">
        <f t="shared" ref="AC482:AC483" si="482">T482+X482+AB482</f>
        <v>0</v>
      </c>
    </row>
    <row r="483" spans="1:29" x14ac:dyDescent="0.15">
      <c r="A483" s="191" t="s">
        <v>3</v>
      </c>
      <c r="B483" s="199"/>
      <c r="C483" s="197"/>
      <c r="D483" s="197"/>
      <c r="E483" s="243">
        <f t="shared" si="467"/>
        <v>0</v>
      </c>
      <c r="F483" s="199"/>
      <c r="G483" s="197"/>
      <c r="H483" s="197"/>
      <c r="I483" s="243">
        <f t="shared" si="468"/>
        <v>0</v>
      </c>
      <c r="J483" s="196"/>
      <c r="K483" s="197"/>
      <c r="L483" s="197"/>
      <c r="M483" s="243">
        <f t="shared" si="469"/>
        <v>0</v>
      </c>
      <c r="N483" s="253">
        <f t="shared" si="470"/>
        <v>0</v>
      </c>
      <c r="P483" s="191" t="s">
        <v>3</v>
      </c>
      <c r="Q483" s="199"/>
      <c r="R483" s="197"/>
      <c r="S483" s="197"/>
      <c r="T483" s="243">
        <f t="shared" si="479"/>
        <v>0</v>
      </c>
      <c r="U483" s="199"/>
      <c r="V483" s="197"/>
      <c r="W483" s="197"/>
      <c r="X483" s="243">
        <f t="shared" si="480"/>
        <v>0</v>
      </c>
      <c r="Y483" s="186"/>
      <c r="Z483" s="187"/>
      <c r="AA483" s="187"/>
      <c r="AB483" s="243">
        <f t="shared" si="481"/>
        <v>0</v>
      </c>
      <c r="AC483" s="253">
        <f t="shared" si="482"/>
        <v>0</v>
      </c>
    </row>
    <row r="484" spans="1:29" x14ac:dyDescent="0.15">
      <c r="A484" s="191" t="s">
        <v>3</v>
      </c>
      <c r="B484" s="199"/>
      <c r="C484" s="197"/>
      <c r="D484" s="197"/>
      <c r="E484" s="243">
        <f t="shared" si="467"/>
        <v>0</v>
      </c>
      <c r="F484" s="199"/>
      <c r="G484" s="197"/>
      <c r="H484" s="197"/>
      <c r="I484" s="243">
        <f t="shared" si="468"/>
        <v>0</v>
      </c>
      <c r="J484" s="186"/>
      <c r="K484" s="187"/>
      <c r="L484" s="187"/>
      <c r="M484" s="244">
        <f t="shared" si="469"/>
        <v>0</v>
      </c>
      <c r="N484" s="253">
        <f t="shared" si="470"/>
        <v>0</v>
      </c>
      <c r="P484" s="191" t="s">
        <v>3</v>
      </c>
      <c r="Q484" s="199"/>
      <c r="R484" s="197"/>
      <c r="S484" s="197"/>
      <c r="T484" s="243">
        <f t="shared" si="471"/>
        <v>0</v>
      </c>
      <c r="U484" s="199"/>
      <c r="V484" s="197"/>
      <c r="W484" s="197"/>
      <c r="X484" s="243">
        <f t="shared" si="472"/>
        <v>0</v>
      </c>
      <c r="Y484" s="186"/>
      <c r="Z484" s="187"/>
      <c r="AA484" s="187"/>
      <c r="AB484" s="244">
        <f t="shared" si="473"/>
        <v>0</v>
      </c>
      <c r="AC484" s="253">
        <f t="shared" si="474"/>
        <v>0</v>
      </c>
    </row>
    <row r="485" spans="1:29" x14ac:dyDescent="0.15">
      <c r="A485" s="191" t="s">
        <v>3</v>
      </c>
      <c r="B485" s="200"/>
      <c r="C485" s="187"/>
      <c r="D485" s="187"/>
      <c r="E485" s="243">
        <f t="shared" si="467"/>
        <v>0</v>
      </c>
      <c r="F485" s="200"/>
      <c r="G485" s="187"/>
      <c r="H485" s="187"/>
      <c r="I485" s="243">
        <f t="shared" si="468"/>
        <v>0</v>
      </c>
      <c r="J485" s="186"/>
      <c r="K485" s="187"/>
      <c r="L485" s="187"/>
      <c r="M485" s="243">
        <f t="shared" si="469"/>
        <v>0</v>
      </c>
      <c r="N485" s="253">
        <f t="shared" si="470"/>
        <v>0</v>
      </c>
      <c r="P485" s="191" t="s">
        <v>3</v>
      </c>
      <c r="Q485" s="186"/>
      <c r="R485" s="187"/>
      <c r="S485" s="187"/>
      <c r="T485" s="244">
        <f t="shared" si="471"/>
        <v>0</v>
      </c>
      <c r="U485" s="186"/>
      <c r="V485" s="187"/>
      <c r="W485" s="187"/>
      <c r="X485" s="244">
        <f t="shared" si="472"/>
        <v>0</v>
      </c>
      <c r="Y485" s="196"/>
      <c r="Z485" s="197"/>
      <c r="AA485" s="197"/>
      <c r="AB485" s="243">
        <f t="shared" si="473"/>
        <v>0</v>
      </c>
      <c r="AC485" s="253">
        <f t="shared" si="474"/>
        <v>0</v>
      </c>
    </row>
    <row r="486" spans="1:29" x14ac:dyDescent="0.15">
      <c r="A486" s="191" t="s">
        <v>3</v>
      </c>
      <c r="B486" s="199"/>
      <c r="C486" s="197"/>
      <c r="D486" s="197"/>
      <c r="E486" s="243">
        <f t="shared" si="467"/>
        <v>0</v>
      </c>
      <c r="F486" s="199"/>
      <c r="G486" s="197"/>
      <c r="H486" s="197"/>
      <c r="I486" s="243">
        <f t="shared" si="468"/>
        <v>0</v>
      </c>
      <c r="J486" s="186"/>
      <c r="K486" s="187"/>
      <c r="L486" s="187"/>
      <c r="M486" s="243">
        <f t="shared" si="469"/>
        <v>0</v>
      </c>
      <c r="N486" s="253">
        <f t="shared" si="470"/>
        <v>0</v>
      </c>
      <c r="P486" s="191" t="s">
        <v>3</v>
      </c>
      <c r="Q486" s="199"/>
      <c r="R486" s="197"/>
      <c r="S486" s="197"/>
      <c r="T486" s="243">
        <f t="shared" si="471"/>
        <v>0</v>
      </c>
      <c r="U486" s="199"/>
      <c r="V486" s="197"/>
      <c r="W486" s="197"/>
      <c r="X486" s="243">
        <f t="shared" si="472"/>
        <v>0</v>
      </c>
      <c r="Y486" s="186"/>
      <c r="Z486" s="187"/>
      <c r="AA486" s="187"/>
      <c r="AB486" s="243">
        <f t="shared" si="473"/>
        <v>0</v>
      </c>
      <c r="AC486" s="253">
        <f t="shared" si="474"/>
        <v>0</v>
      </c>
    </row>
    <row r="487" spans="1:29" x14ac:dyDescent="0.15">
      <c r="A487" s="191" t="s">
        <v>3</v>
      </c>
      <c r="B487" s="200"/>
      <c r="C487" s="187"/>
      <c r="D487" s="187"/>
      <c r="E487" s="243">
        <f t="shared" si="467"/>
        <v>0</v>
      </c>
      <c r="F487" s="200"/>
      <c r="G487" s="187"/>
      <c r="H487" s="187"/>
      <c r="I487" s="243">
        <f t="shared" si="468"/>
        <v>0</v>
      </c>
      <c r="J487" s="186"/>
      <c r="K487" s="187"/>
      <c r="L487" s="187"/>
      <c r="M487" s="243">
        <f t="shared" si="469"/>
        <v>0</v>
      </c>
      <c r="N487" s="253">
        <f t="shared" si="470"/>
        <v>0</v>
      </c>
      <c r="P487" s="191" t="s">
        <v>3</v>
      </c>
      <c r="Q487" s="200"/>
      <c r="R487" s="187"/>
      <c r="S487" s="187"/>
      <c r="T487" s="243">
        <f t="shared" si="471"/>
        <v>0</v>
      </c>
      <c r="U487" s="200"/>
      <c r="V487" s="187"/>
      <c r="W487" s="187"/>
      <c r="X487" s="243">
        <f t="shared" si="472"/>
        <v>0</v>
      </c>
      <c r="Y487" s="186"/>
      <c r="Z487" s="187"/>
      <c r="AA487" s="187"/>
      <c r="AB487" s="243">
        <f t="shared" si="473"/>
        <v>0</v>
      </c>
      <c r="AC487" s="253">
        <f t="shared" si="474"/>
        <v>0</v>
      </c>
    </row>
    <row r="488" spans="1:29" ht="14.25" thickBot="1" x14ac:dyDescent="0.2">
      <c r="A488" s="206" t="s">
        <v>3</v>
      </c>
      <c r="B488" s="202"/>
      <c r="C488" s="203"/>
      <c r="D488" s="203"/>
      <c r="E488" s="245">
        <f t="shared" si="467"/>
        <v>0</v>
      </c>
      <c r="F488" s="202"/>
      <c r="G488" s="203"/>
      <c r="H488" s="203"/>
      <c r="I488" s="245">
        <f t="shared" si="468"/>
        <v>0</v>
      </c>
      <c r="J488" s="205"/>
      <c r="K488" s="203"/>
      <c r="L488" s="204"/>
      <c r="M488" s="245">
        <f t="shared" si="469"/>
        <v>0</v>
      </c>
      <c r="N488" s="255">
        <f t="shared" si="470"/>
        <v>0</v>
      </c>
      <c r="P488" s="206" t="s">
        <v>3</v>
      </c>
      <c r="Q488" s="202"/>
      <c r="R488" s="203"/>
      <c r="S488" s="203"/>
      <c r="T488" s="245">
        <f t="shared" si="471"/>
        <v>0</v>
      </c>
      <c r="U488" s="202"/>
      <c r="V488" s="203"/>
      <c r="W488" s="203"/>
      <c r="X488" s="245">
        <f t="shared" si="472"/>
        <v>0</v>
      </c>
      <c r="Y488" s="205"/>
      <c r="Z488" s="203"/>
      <c r="AA488" s="204"/>
      <c r="AB488" s="245">
        <f t="shared" si="473"/>
        <v>0</v>
      </c>
      <c r="AC488" s="255">
        <f t="shared" si="474"/>
        <v>0</v>
      </c>
    </row>
    <row r="489" spans="1:29" ht="14.25" thickBot="1" x14ac:dyDescent="0.2">
      <c r="A489" s="207" t="s">
        <v>4</v>
      </c>
      <c r="B489" s="208">
        <f>SUM(B478:B488)</f>
        <v>5</v>
      </c>
      <c r="C489" s="208">
        <f>SUM(C478:C488)</f>
        <v>2</v>
      </c>
      <c r="D489" s="208">
        <f>SUM(D478:D488)</f>
        <v>7</v>
      </c>
      <c r="E489" s="246">
        <f t="shared" si="467"/>
        <v>14</v>
      </c>
      <c r="F489" s="208">
        <f>SUM(F478:F488)</f>
        <v>7</v>
      </c>
      <c r="G489" s="208">
        <f>SUM(G478:G488)</f>
        <v>2</v>
      </c>
      <c r="H489" s="208">
        <f>SUM(H478:H488)</f>
        <v>2</v>
      </c>
      <c r="I489" s="246">
        <f t="shared" si="468"/>
        <v>11</v>
      </c>
      <c r="J489" s="208">
        <f>SUM(J478:J488)</f>
        <v>6</v>
      </c>
      <c r="K489" s="208">
        <f>SUM(K478:K488)</f>
        <v>2</v>
      </c>
      <c r="L489" s="208">
        <f>SUM(L478:L488)</f>
        <v>3</v>
      </c>
      <c r="M489" s="266">
        <f t="shared" si="469"/>
        <v>11</v>
      </c>
      <c r="N489" s="271">
        <f t="shared" si="470"/>
        <v>36</v>
      </c>
      <c r="P489" s="210" t="s">
        <v>4</v>
      </c>
      <c r="Q489" s="208">
        <f>SUM(Q478:Q488)</f>
        <v>551</v>
      </c>
      <c r="R489" s="208">
        <f>SUM(R478:R488)</f>
        <v>367</v>
      </c>
      <c r="S489" s="208">
        <f>SUM(S478:S488)</f>
        <v>347</v>
      </c>
      <c r="T489" s="246">
        <f t="shared" si="471"/>
        <v>1265</v>
      </c>
      <c r="U489" s="208">
        <f>SUM(U478:U488)</f>
        <v>585</v>
      </c>
      <c r="V489" s="208">
        <f>SUM(V478:V488)</f>
        <v>401</v>
      </c>
      <c r="W489" s="208">
        <f>SUM(W478:W488)</f>
        <v>341</v>
      </c>
      <c r="X489" s="246">
        <f t="shared" si="472"/>
        <v>1327</v>
      </c>
      <c r="Y489" s="208">
        <f>SUM(Y478:Y488)</f>
        <v>548</v>
      </c>
      <c r="Z489" s="208">
        <f>SUM(Z478:Z488)</f>
        <v>386</v>
      </c>
      <c r="AA489" s="208">
        <f>SUM(AA478:AA488)</f>
        <v>327</v>
      </c>
      <c r="AB489" s="246">
        <f t="shared" si="473"/>
        <v>1261</v>
      </c>
      <c r="AC489" s="256">
        <f t="shared" si="474"/>
        <v>3853</v>
      </c>
    </row>
    <row r="490" spans="1:29" x14ac:dyDescent="0.15">
      <c r="A490" s="197"/>
      <c r="B490" s="189"/>
      <c r="C490" s="188"/>
      <c r="D490" s="188"/>
      <c r="E490" s="244">
        <f t="shared" si="467"/>
        <v>0</v>
      </c>
      <c r="F490" s="189"/>
      <c r="G490" s="188"/>
      <c r="H490" s="188"/>
      <c r="I490" s="244">
        <f t="shared" si="468"/>
        <v>0</v>
      </c>
      <c r="J490" s="189"/>
      <c r="K490" s="188"/>
      <c r="L490" s="188"/>
      <c r="M490" s="244">
        <f t="shared" si="469"/>
        <v>0</v>
      </c>
      <c r="N490" s="253">
        <f t="shared" si="470"/>
        <v>0</v>
      </c>
      <c r="P490" s="197"/>
      <c r="Q490" s="189"/>
      <c r="R490" s="188"/>
      <c r="S490" s="188"/>
      <c r="T490" s="244">
        <f t="shared" si="471"/>
        <v>0</v>
      </c>
      <c r="U490" s="189"/>
      <c r="V490" s="188"/>
      <c r="W490" s="188"/>
      <c r="X490" s="244">
        <f t="shared" si="472"/>
        <v>0</v>
      </c>
      <c r="Y490" s="189"/>
      <c r="Z490" s="188"/>
      <c r="AA490" s="188"/>
      <c r="AB490" s="244">
        <f t="shared" si="473"/>
        <v>0</v>
      </c>
      <c r="AC490" s="253">
        <f t="shared" si="474"/>
        <v>0</v>
      </c>
    </row>
    <row r="491" spans="1:29" x14ac:dyDescent="0.15">
      <c r="A491" s="197"/>
      <c r="B491" s="189"/>
      <c r="C491" s="188"/>
      <c r="D491" s="188"/>
      <c r="E491" s="244">
        <f t="shared" si="467"/>
        <v>0</v>
      </c>
      <c r="F491" s="189"/>
      <c r="G491" s="188"/>
      <c r="H491" s="188"/>
      <c r="I491" s="244">
        <f t="shared" si="468"/>
        <v>0</v>
      </c>
      <c r="J491" s="189"/>
      <c r="K491" s="188"/>
      <c r="L491" s="188"/>
      <c r="M491" s="244">
        <f t="shared" si="469"/>
        <v>0</v>
      </c>
      <c r="N491" s="253">
        <f t="shared" si="470"/>
        <v>0</v>
      </c>
      <c r="P491" s="197"/>
      <c r="Q491" s="189"/>
      <c r="R491" s="188"/>
      <c r="S491" s="188"/>
      <c r="T491" s="244">
        <f t="shared" si="471"/>
        <v>0</v>
      </c>
      <c r="U491" s="189"/>
      <c r="V491" s="188"/>
      <c r="W491" s="188"/>
      <c r="X491" s="244">
        <f t="shared" si="472"/>
        <v>0</v>
      </c>
      <c r="Y491" s="189"/>
      <c r="Z491" s="188"/>
      <c r="AA491" s="188"/>
      <c r="AB491" s="244">
        <f t="shared" si="473"/>
        <v>0</v>
      </c>
      <c r="AC491" s="253">
        <f t="shared" si="474"/>
        <v>0</v>
      </c>
    </row>
    <row r="492" spans="1:29" x14ac:dyDescent="0.15">
      <c r="A492" s="197"/>
      <c r="B492" s="189"/>
      <c r="C492" s="188"/>
      <c r="D492" s="188"/>
      <c r="E492" s="244">
        <f t="shared" si="467"/>
        <v>0</v>
      </c>
      <c r="F492" s="189"/>
      <c r="G492" s="188"/>
      <c r="H492" s="188"/>
      <c r="I492" s="244">
        <f t="shared" si="468"/>
        <v>0</v>
      </c>
      <c r="J492" s="189"/>
      <c r="K492" s="188"/>
      <c r="L492" s="188"/>
      <c r="M492" s="244">
        <f t="shared" si="469"/>
        <v>0</v>
      </c>
      <c r="N492" s="253">
        <f t="shared" si="470"/>
        <v>0</v>
      </c>
      <c r="P492" s="197"/>
      <c r="Q492" s="189"/>
      <c r="R492" s="188"/>
      <c r="S492" s="188"/>
      <c r="T492" s="244">
        <f t="shared" si="471"/>
        <v>0</v>
      </c>
      <c r="U492" s="189"/>
      <c r="V492" s="188"/>
      <c r="W492" s="188"/>
      <c r="X492" s="244">
        <f t="shared" si="472"/>
        <v>0</v>
      </c>
      <c r="Y492" s="189"/>
      <c r="Z492" s="188"/>
      <c r="AA492" s="188"/>
      <c r="AB492" s="244">
        <f t="shared" si="473"/>
        <v>0</v>
      </c>
      <c r="AC492" s="253">
        <f t="shared" si="474"/>
        <v>0</v>
      </c>
    </row>
    <row r="493" spans="1:29" x14ac:dyDescent="0.15">
      <c r="A493" s="197"/>
      <c r="B493" s="189"/>
      <c r="C493" s="188"/>
      <c r="D493" s="188"/>
      <c r="E493" s="244">
        <f t="shared" si="467"/>
        <v>0</v>
      </c>
      <c r="F493" s="189"/>
      <c r="G493" s="188"/>
      <c r="H493" s="188"/>
      <c r="I493" s="244">
        <f t="shared" si="468"/>
        <v>0</v>
      </c>
      <c r="J493" s="189"/>
      <c r="K493" s="188"/>
      <c r="L493" s="188"/>
      <c r="M493" s="244">
        <f t="shared" si="469"/>
        <v>0</v>
      </c>
      <c r="N493" s="253">
        <f t="shared" si="470"/>
        <v>0</v>
      </c>
      <c r="P493" s="197"/>
      <c r="Q493" s="189"/>
      <c r="R493" s="188"/>
      <c r="S493" s="188"/>
      <c r="T493" s="244">
        <f t="shared" si="471"/>
        <v>0</v>
      </c>
      <c r="U493" s="189"/>
      <c r="V493" s="188"/>
      <c r="W493" s="188"/>
      <c r="X493" s="244">
        <f t="shared" si="472"/>
        <v>0</v>
      </c>
      <c r="Y493" s="189"/>
      <c r="Z493" s="188"/>
      <c r="AA493" s="188"/>
      <c r="AB493" s="244">
        <f t="shared" si="473"/>
        <v>0</v>
      </c>
      <c r="AC493" s="253">
        <f t="shared" si="474"/>
        <v>0</v>
      </c>
    </row>
    <row r="494" spans="1:29" x14ac:dyDescent="0.15">
      <c r="A494" s="197"/>
      <c r="B494" s="189"/>
      <c r="C494" s="188"/>
      <c r="D494" s="188"/>
      <c r="E494" s="244">
        <f t="shared" si="467"/>
        <v>0</v>
      </c>
      <c r="F494" s="189"/>
      <c r="G494" s="188"/>
      <c r="H494" s="188"/>
      <c r="I494" s="244">
        <f t="shared" si="468"/>
        <v>0</v>
      </c>
      <c r="J494" s="189"/>
      <c r="K494" s="188"/>
      <c r="L494" s="188"/>
      <c r="M494" s="244">
        <f t="shared" si="469"/>
        <v>0</v>
      </c>
      <c r="N494" s="253">
        <f t="shared" si="470"/>
        <v>0</v>
      </c>
      <c r="P494" s="197"/>
      <c r="Q494" s="189"/>
      <c r="R494" s="188"/>
      <c r="S494" s="188"/>
      <c r="T494" s="244">
        <f t="shared" si="471"/>
        <v>0</v>
      </c>
      <c r="U494" s="189"/>
      <c r="V494" s="188"/>
      <c r="W494" s="188"/>
      <c r="X494" s="244">
        <f t="shared" si="472"/>
        <v>0</v>
      </c>
      <c r="Y494" s="189"/>
      <c r="Z494" s="188"/>
      <c r="AA494" s="188"/>
      <c r="AB494" s="244">
        <f t="shared" si="473"/>
        <v>0</v>
      </c>
      <c r="AC494" s="253">
        <f t="shared" si="474"/>
        <v>0</v>
      </c>
    </row>
    <row r="495" spans="1:29" x14ac:dyDescent="0.15">
      <c r="A495" s="197"/>
      <c r="B495" s="189"/>
      <c r="C495" s="188"/>
      <c r="D495" s="188"/>
      <c r="E495" s="244">
        <f t="shared" si="467"/>
        <v>0</v>
      </c>
      <c r="F495" s="189"/>
      <c r="G495" s="188"/>
      <c r="H495" s="188"/>
      <c r="I495" s="244">
        <f t="shared" si="468"/>
        <v>0</v>
      </c>
      <c r="J495" s="189"/>
      <c r="K495" s="188"/>
      <c r="L495" s="188"/>
      <c r="M495" s="244">
        <f t="shared" si="469"/>
        <v>0</v>
      </c>
      <c r="N495" s="253">
        <f t="shared" si="470"/>
        <v>0</v>
      </c>
      <c r="P495" s="197"/>
      <c r="Q495" s="189"/>
      <c r="R495" s="188"/>
      <c r="S495" s="188"/>
      <c r="T495" s="244">
        <f t="shared" si="471"/>
        <v>0</v>
      </c>
      <c r="U495" s="189"/>
      <c r="V495" s="188"/>
      <c r="W495" s="188"/>
      <c r="X495" s="244">
        <f t="shared" si="472"/>
        <v>0</v>
      </c>
      <c r="Y495" s="189"/>
      <c r="Z495" s="188"/>
      <c r="AA495" s="188"/>
      <c r="AB495" s="244">
        <f t="shared" si="473"/>
        <v>0</v>
      </c>
      <c r="AC495" s="253">
        <f t="shared" si="474"/>
        <v>0</v>
      </c>
    </row>
    <row r="496" spans="1:29" x14ac:dyDescent="0.15">
      <c r="A496" s="197"/>
      <c r="B496" s="189"/>
      <c r="C496" s="188"/>
      <c r="D496" s="188"/>
      <c r="E496" s="244">
        <f t="shared" si="467"/>
        <v>0</v>
      </c>
      <c r="F496" s="189"/>
      <c r="G496" s="188"/>
      <c r="H496" s="188"/>
      <c r="I496" s="244">
        <f t="shared" si="468"/>
        <v>0</v>
      </c>
      <c r="J496" s="189"/>
      <c r="K496" s="188"/>
      <c r="L496" s="188"/>
      <c r="M496" s="244">
        <f t="shared" si="469"/>
        <v>0</v>
      </c>
      <c r="N496" s="253">
        <f t="shared" si="470"/>
        <v>0</v>
      </c>
      <c r="P496" s="197"/>
      <c r="Q496" s="189"/>
      <c r="R496" s="188"/>
      <c r="S496" s="188"/>
      <c r="T496" s="244">
        <f t="shared" si="471"/>
        <v>0</v>
      </c>
      <c r="U496" s="189"/>
      <c r="V496" s="188"/>
      <c r="W496" s="188"/>
      <c r="X496" s="244">
        <f t="shared" si="472"/>
        <v>0</v>
      </c>
      <c r="Y496" s="189"/>
      <c r="Z496" s="188"/>
      <c r="AA496" s="188"/>
      <c r="AB496" s="244">
        <f t="shared" si="473"/>
        <v>0</v>
      </c>
      <c r="AC496" s="253">
        <f t="shared" si="474"/>
        <v>0</v>
      </c>
    </row>
    <row r="497" spans="1:30" x14ac:dyDescent="0.15">
      <c r="A497" s="197"/>
      <c r="B497" s="189"/>
      <c r="C497" s="188"/>
      <c r="D497" s="188"/>
      <c r="E497" s="244">
        <f t="shared" si="467"/>
        <v>0</v>
      </c>
      <c r="F497" s="189"/>
      <c r="G497" s="188"/>
      <c r="H497" s="188"/>
      <c r="I497" s="244">
        <f t="shared" si="468"/>
        <v>0</v>
      </c>
      <c r="J497" s="189"/>
      <c r="K497" s="188"/>
      <c r="L497" s="188"/>
      <c r="M497" s="244">
        <f t="shared" si="469"/>
        <v>0</v>
      </c>
      <c r="N497" s="253">
        <f t="shared" si="470"/>
        <v>0</v>
      </c>
      <c r="P497" s="197"/>
      <c r="Q497" s="189"/>
      <c r="R497" s="188"/>
      <c r="S497" s="188"/>
      <c r="T497" s="244">
        <f t="shared" si="471"/>
        <v>0</v>
      </c>
      <c r="U497" s="189"/>
      <c r="V497" s="188"/>
      <c r="W497" s="188"/>
      <c r="X497" s="244">
        <f t="shared" si="472"/>
        <v>0</v>
      </c>
      <c r="Y497" s="189"/>
      <c r="Z497" s="188"/>
      <c r="AA497" s="188"/>
      <c r="AB497" s="244">
        <f t="shared" si="473"/>
        <v>0</v>
      </c>
      <c r="AC497" s="253">
        <f t="shared" si="474"/>
        <v>0</v>
      </c>
    </row>
    <row r="498" spans="1:30" x14ac:dyDescent="0.15">
      <c r="A498" s="197"/>
      <c r="B498" s="189"/>
      <c r="C498" s="188"/>
      <c r="D498" s="188"/>
      <c r="E498" s="244">
        <f t="shared" si="467"/>
        <v>0</v>
      </c>
      <c r="F498" s="189"/>
      <c r="G498" s="188"/>
      <c r="H498" s="188"/>
      <c r="I498" s="244">
        <f t="shared" si="468"/>
        <v>0</v>
      </c>
      <c r="J498" s="189"/>
      <c r="K498" s="188"/>
      <c r="L498" s="188"/>
      <c r="M498" s="244">
        <f t="shared" si="469"/>
        <v>0</v>
      </c>
      <c r="N498" s="253">
        <f t="shared" si="470"/>
        <v>0</v>
      </c>
      <c r="P498" s="197"/>
      <c r="Q498" s="189"/>
      <c r="R498" s="188"/>
      <c r="S498" s="188"/>
      <c r="T498" s="244">
        <f t="shared" si="471"/>
        <v>0</v>
      </c>
      <c r="U498" s="189"/>
      <c r="V498" s="188"/>
      <c r="W498" s="188"/>
      <c r="X498" s="244">
        <f t="shared" si="472"/>
        <v>0</v>
      </c>
      <c r="Y498" s="189"/>
      <c r="Z498" s="188"/>
      <c r="AA498" s="188"/>
      <c r="AB498" s="244">
        <f t="shared" si="473"/>
        <v>0</v>
      </c>
      <c r="AC498" s="253">
        <f t="shared" si="474"/>
        <v>0</v>
      </c>
    </row>
    <row r="499" spans="1:30" x14ac:dyDescent="0.15">
      <c r="A499" s="197"/>
      <c r="B499" s="189"/>
      <c r="C499" s="188"/>
      <c r="D499" s="188"/>
      <c r="E499" s="244">
        <f t="shared" si="467"/>
        <v>0</v>
      </c>
      <c r="F499" s="189"/>
      <c r="G499" s="188"/>
      <c r="H499" s="188"/>
      <c r="I499" s="244">
        <f t="shared" si="468"/>
        <v>0</v>
      </c>
      <c r="J499" s="189"/>
      <c r="K499" s="188"/>
      <c r="L499" s="188"/>
      <c r="M499" s="244">
        <f t="shared" si="469"/>
        <v>0</v>
      </c>
      <c r="N499" s="253">
        <f t="shared" si="470"/>
        <v>0</v>
      </c>
      <c r="P499" s="197"/>
      <c r="Q499" s="189"/>
      <c r="R499" s="188"/>
      <c r="S499" s="188"/>
      <c r="T499" s="244">
        <f t="shared" si="471"/>
        <v>0</v>
      </c>
      <c r="U499" s="189"/>
      <c r="V499" s="188"/>
      <c r="W499" s="188"/>
      <c r="X499" s="244">
        <f t="shared" si="472"/>
        <v>0</v>
      </c>
      <c r="Y499" s="189"/>
      <c r="Z499" s="188"/>
      <c r="AA499" s="188"/>
      <c r="AB499" s="244">
        <f t="shared" si="473"/>
        <v>0</v>
      </c>
      <c r="AC499" s="253">
        <f t="shared" si="474"/>
        <v>0</v>
      </c>
    </row>
    <row r="500" spans="1:30" x14ac:dyDescent="0.15">
      <c r="A500" s="197"/>
      <c r="B500" s="189"/>
      <c r="C500" s="188"/>
      <c r="D500" s="188"/>
      <c r="E500" s="244">
        <f t="shared" si="467"/>
        <v>0</v>
      </c>
      <c r="F500" s="189"/>
      <c r="G500" s="188"/>
      <c r="H500" s="188"/>
      <c r="I500" s="244">
        <f t="shared" si="468"/>
        <v>0</v>
      </c>
      <c r="J500" s="189"/>
      <c r="K500" s="188"/>
      <c r="L500" s="188"/>
      <c r="M500" s="244">
        <f t="shared" si="469"/>
        <v>0</v>
      </c>
      <c r="N500" s="253">
        <f t="shared" si="470"/>
        <v>0</v>
      </c>
      <c r="P500" s="197"/>
      <c r="Q500" s="189"/>
      <c r="R500" s="188"/>
      <c r="S500" s="188"/>
      <c r="T500" s="244">
        <f t="shared" si="471"/>
        <v>0</v>
      </c>
      <c r="U500" s="189"/>
      <c r="V500" s="188"/>
      <c r="W500" s="188"/>
      <c r="X500" s="244">
        <f t="shared" si="472"/>
        <v>0</v>
      </c>
      <c r="Y500" s="189"/>
      <c r="Z500" s="188"/>
      <c r="AA500" s="188"/>
      <c r="AB500" s="244">
        <f t="shared" si="473"/>
        <v>0</v>
      </c>
      <c r="AC500" s="253">
        <f t="shared" si="474"/>
        <v>0</v>
      </c>
    </row>
    <row r="501" spans="1:30" x14ac:dyDescent="0.15">
      <c r="A501" s="197"/>
      <c r="B501" s="189"/>
      <c r="C501" s="188"/>
      <c r="D501" s="188"/>
      <c r="E501" s="244">
        <f t="shared" si="467"/>
        <v>0</v>
      </c>
      <c r="F501" s="189"/>
      <c r="G501" s="188"/>
      <c r="H501" s="188"/>
      <c r="I501" s="244">
        <f t="shared" si="468"/>
        <v>0</v>
      </c>
      <c r="J501" s="189"/>
      <c r="K501" s="188"/>
      <c r="L501" s="188"/>
      <c r="M501" s="244">
        <f t="shared" si="469"/>
        <v>0</v>
      </c>
      <c r="N501" s="253">
        <f t="shared" si="470"/>
        <v>0</v>
      </c>
      <c r="P501" s="197"/>
      <c r="Q501" s="189"/>
      <c r="R501" s="188"/>
      <c r="S501" s="188"/>
      <c r="T501" s="244">
        <f t="shared" si="471"/>
        <v>0</v>
      </c>
      <c r="U501" s="189"/>
      <c r="V501" s="188"/>
      <c r="W501" s="188"/>
      <c r="X501" s="244">
        <f t="shared" si="472"/>
        <v>0</v>
      </c>
      <c r="Y501" s="189"/>
      <c r="Z501" s="188"/>
      <c r="AA501" s="188"/>
      <c r="AB501" s="244">
        <f t="shared" si="473"/>
        <v>0</v>
      </c>
      <c r="AC501" s="253">
        <f t="shared" si="474"/>
        <v>0</v>
      </c>
    </row>
    <row r="502" spans="1:30" x14ac:dyDescent="0.15">
      <c r="A502" s="197"/>
      <c r="B502" s="189"/>
      <c r="C502" s="188"/>
      <c r="D502" s="188"/>
      <c r="E502" s="244">
        <f t="shared" si="467"/>
        <v>0</v>
      </c>
      <c r="F502" s="189"/>
      <c r="G502" s="188"/>
      <c r="H502" s="188"/>
      <c r="I502" s="244">
        <f t="shared" si="468"/>
        <v>0</v>
      </c>
      <c r="J502" s="189"/>
      <c r="K502" s="188"/>
      <c r="L502" s="188"/>
      <c r="M502" s="244">
        <f t="shared" si="469"/>
        <v>0</v>
      </c>
      <c r="N502" s="253">
        <f t="shared" si="470"/>
        <v>0</v>
      </c>
      <c r="P502" s="215" t="s">
        <v>1803</v>
      </c>
      <c r="Q502" s="216">
        <v>-10</v>
      </c>
      <c r="R502" s="217">
        <v>-10</v>
      </c>
      <c r="S502" s="217">
        <v>-15</v>
      </c>
      <c r="T502" s="250">
        <f t="shared" si="471"/>
        <v>-35</v>
      </c>
      <c r="U502" s="216">
        <v>-15</v>
      </c>
      <c r="V502" s="217">
        <v>-15</v>
      </c>
      <c r="W502" s="217">
        <v>-15</v>
      </c>
      <c r="X502" s="250">
        <f t="shared" si="472"/>
        <v>-45</v>
      </c>
      <c r="Y502" s="216">
        <v>-10</v>
      </c>
      <c r="Z502" s="217">
        <v>-10</v>
      </c>
      <c r="AA502" s="217">
        <v>-15</v>
      </c>
      <c r="AB502" s="250">
        <f t="shared" si="473"/>
        <v>-35</v>
      </c>
      <c r="AC502" s="329">
        <f t="shared" si="474"/>
        <v>-115</v>
      </c>
      <c r="AD502" s="214"/>
    </row>
    <row r="503" spans="1:30" x14ac:dyDescent="0.15">
      <c r="A503" s="197"/>
      <c r="B503" s="189"/>
      <c r="C503" s="188"/>
      <c r="D503" s="188"/>
      <c r="E503" s="244">
        <f t="shared" si="467"/>
        <v>0</v>
      </c>
      <c r="F503" s="189"/>
      <c r="G503" s="188"/>
      <c r="H503" s="188"/>
      <c r="I503" s="244">
        <f t="shared" si="468"/>
        <v>0</v>
      </c>
      <c r="J503" s="189"/>
      <c r="K503" s="188"/>
      <c r="L503" s="188"/>
      <c r="M503" s="244">
        <f t="shared" si="469"/>
        <v>0</v>
      </c>
      <c r="N503" s="253">
        <f t="shared" si="470"/>
        <v>0</v>
      </c>
      <c r="P503" s="211" t="s">
        <v>1802</v>
      </c>
      <c r="Q503" s="212">
        <v>38</v>
      </c>
      <c r="R503" s="213">
        <v>30</v>
      </c>
      <c r="S503" s="213">
        <v>30</v>
      </c>
      <c r="T503" s="248">
        <f t="shared" si="471"/>
        <v>98</v>
      </c>
      <c r="U503" s="212">
        <v>38</v>
      </c>
      <c r="V503" s="213">
        <v>38</v>
      </c>
      <c r="W503" s="213">
        <v>38</v>
      </c>
      <c r="X503" s="248">
        <f t="shared" si="472"/>
        <v>114</v>
      </c>
      <c r="Y503" s="212">
        <v>40</v>
      </c>
      <c r="Z503" s="213">
        <v>30</v>
      </c>
      <c r="AA503" s="213">
        <v>30</v>
      </c>
      <c r="AB503" s="248">
        <f t="shared" si="473"/>
        <v>100</v>
      </c>
      <c r="AC503" s="258">
        <f t="shared" si="474"/>
        <v>312</v>
      </c>
      <c r="AD503" s="214" t="s">
        <v>1900</v>
      </c>
    </row>
    <row r="504" spans="1:30" x14ac:dyDescent="0.15">
      <c r="A504" s="197"/>
      <c r="B504" s="189"/>
      <c r="C504" s="188"/>
      <c r="D504" s="188"/>
      <c r="E504" s="244">
        <f t="shared" si="467"/>
        <v>0</v>
      </c>
      <c r="F504" s="189"/>
      <c r="G504" s="188"/>
      <c r="H504" s="188"/>
      <c r="I504" s="244">
        <f t="shared" si="468"/>
        <v>0</v>
      </c>
      <c r="J504" s="189"/>
      <c r="K504" s="188"/>
      <c r="L504" s="188"/>
      <c r="M504" s="244">
        <f t="shared" si="469"/>
        <v>0</v>
      </c>
      <c r="N504" s="253">
        <f t="shared" si="470"/>
        <v>0</v>
      </c>
      <c r="P504" s="219" t="s">
        <v>1792</v>
      </c>
      <c r="Q504" s="216">
        <v>0</v>
      </c>
      <c r="R504" s="217">
        <v>0</v>
      </c>
      <c r="S504" s="217">
        <v>0</v>
      </c>
      <c r="T504" s="250">
        <f t="shared" si="471"/>
        <v>0</v>
      </c>
      <c r="U504" s="216">
        <v>0</v>
      </c>
      <c r="V504" s="217">
        <v>0</v>
      </c>
      <c r="W504" s="217">
        <v>0</v>
      </c>
      <c r="X504" s="250">
        <f t="shared" si="472"/>
        <v>0</v>
      </c>
      <c r="Y504" s="216">
        <v>0</v>
      </c>
      <c r="Z504" s="217">
        <v>0</v>
      </c>
      <c r="AA504" s="217">
        <v>0</v>
      </c>
      <c r="AB504" s="250">
        <f t="shared" si="473"/>
        <v>0</v>
      </c>
      <c r="AC504" s="262">
        <f t="shared" si="474"/>
        <v>0</v>
      </c>
      <c r="AD504" s="214"/>
    </row>
    <row r="505" spans="1:30" x14ac:dyDescent="0.15">
      <c r="A505" s="197"/>
      <c r="B505" s="189"/>
      <c r="C505" s="188"/>
      <c r="D505" s="188"/>
      <c r="E505" s="244">
        <f t="shared" si="467"/>
        <v>0</v>
      </c>
      <c r="F505" s="189"/>
      <c r="G505" s="188"/>
      <c r="H505" s="188"/>
      <c r="I505" s="244">
        <f t="shared" si="468"/>
        <v>0</v>
      </c>
      <c r="J505" s="189"/>
      <c r="K505" s="188"/>
      <c r="L505" s="188"/>
      <c r="M505" s="244">
        <f t="shared" si="469"/>
        <v>0</v>
      </c>
      <c r="N505" s="253">
        <f t="shared" si="470"/>
        <v>0</v>
      </c>
      <c r="P505" s="220" t="s">
        <v>1793</v>
      </c>
      <c r="Q505" s="212">
        <v>25</v>
      </c>
      <c r="R505" s="213">
        <v>15</v>
      </c>
      <c r="S505" s="213">
        <v>10</v>
      </c>
      <c r="T505" s="248">
        <f t="shared" si="471"/>
        <v>50</v>
      </c>
      <c r="U505" s="212">
        <v>25</v>
      </c>
      <c r="V505" s="213">
        <v>15</v>
      </c>
      <c r="W505" s="213">
        <v>10</v>
      </c>
      <c r="X505" s="248">
        <f t="shared" si="472"/>
        <v>50</v>
      </c>
      <c r="Y505" s="212">
        <v>25</v>
      </c>
      <c r="Z505" s="213">
        <v>15</v>
      </c>
      <c r="AA505" s="213">
        <v>10</v>
      </c>
      <c r="AB505" s="248">
        <f t="shared" si="473"/>
        <v>50</v>
      </c>
      <c r="AC505" s="330">
        <f t="shared" si="474"/>
        <v>150</v>
      </c>
      <c r="AD505" s="214" t="s">
        <v>1833</v>
      </c>
    </row>
    <row r="506" spans="1:30" x14ac:dyDescent="0.15">
      <c r="A506" s="197"/>
      <c r="B506" s="189"/>
      <c r="C506" s="188"/>
      <c r="D506" s="188"/>
      <c r="E506" s="244">
        <f t="shared" si="467"/>
        <v>0</v>
      </c>
      <c r="F506" s="189"/>
      <c r="G506" s="188"/>
      <c r="H506" s="188"/>
      <c r="I506" s="244">
        <f t="shared" si="468"/>
        <v>0</v>
      </c>
      <c r="J506" s="189"/>
      <c r="K506" s="188"/>
      <c r="L506" s="188"/>
      <c r="M506" s="244">
        <f t="shared" si="469"/>
        <v>0</v>
      </c>
      <c r="N506" s="253">
        <f t="shared" si="470"/>
        <v>0</v>
      </c>
      <c r="P506" s="219" t="s">
        <v>1777</v>
      </c>
      <c r="Q506" s="216">
        <v>-20</v>
      </c>
      <c r="R506" s="217">
        <v>-15</v>
      </c>
      <c r="S506" s="217">
        <v>-15</v>
      </c>
      <c r="T506" s="250">
        <f>SUM(Q506:S506)</f>
        <v>-50</v>
      </c>
      <c r="U506" s="216">
        <v>-20</v>
      </c>
      <c r="V506" s="217">
        <v>-15</v>
      </c>
      <c r="W506" s="217">
        <v>-15</v>
      </c>
      <c r="X506" s="250">
        <f>SUM(U506:W506)</f>
        <v>-50</v>
      </c>
      <c r="Y506" s="216">
        <v>-20</v>
      </c>
      <c r="Z506" s="217">
        <v>-15</v>
      </c>
      <c r="AA506" s="217">
        <v>-15</v>
      </c>
      <c r="AB506" s="250">
        <f>SUM(Y506:AA506)</f>
        <v>-50</v>
      </c>
      <c r="AC506" s="329">
        <f>T506+X506+AB506</f>
        <v>-150</v>
      </c>
      <c r="AD506" s="214"/>
    </row>
    <row r="507" spans="1:30" x14ac:dyDescent="0.15">
      <c r="A507" s="197"/>
      <c r="B507" s="189"/>
      <c r="C507" s="188"/>
      <c r="D507" s="188"/>
      <c r="E507" s="244">
        <f t="shared" si="467"/>
        <v>0</v>
      </c>
      <c r="F507" s="189"/>
      <c r="G507" s="188"/>
      <c r="H507" s="188"/>
      <c r="I507" s="244">
        <f t="shared" si="468"/>
        <v>0</v>
      </c>
      <c r="J507" s="189"/>
      <c r="K507" s="188"/>
      <c r="L507" s="188"/>
      <c r="M507" s="244">
        <f t="shared" si="469"/>
        <v>0</v>
      </c>
      <c r="N507" s="253">
        <f t="shared" si="470"/>
        <v>0</v>
      </c>
      <c r="P507" s="220" t="s">
        <v>1776</v>
      </c>
      <c r="Q507" s="212">
        <v>40</v>
      </c>
      <c r="R507" s="213">
        <v>30</v>
      </c>
      <c r="S507" s="213">
        <v>30</v>
      </c>
      <c r="T507" s="248">
        <f t="shared" ref="T507" si="483">SUM(Q507:S507)</f>
        <v>100</v>
      </c>
      <c r="U507" s="212">
        <v>40</v>
      </c>
      <c r="V507" s="213">
        <v>30</v>
      </c>
      <c r="W507" s="213">
        <v>30</v>
      </c>
      <c r="X507" s="248">
        <f t="shared" ref="X507" si="484">SUM(U507:W507)</f>
        <v>100</v>
      </c>
      <c r="Y507" s="212">
        <v>40</v>
      </c>
      <c r="Z507" s="213">
        <v>30</v>
      </c>
      <c r="AA507" s="213">
        <v>30</v>
      </c>
      <c r="AB507" s="248">
        <f t="shared" ref="AB507" si="485">SUM(Y507:AA507)</f>
        <v>100</v>
      </c>
      <c r="AC507" s="258">
        <f t="shared" ref="AC507" si="486">T507+X507+AB507</f>
        <v>300</v>
      </c>
      <c r="AD507" s="214" t="s">
        <v>1778</v>
      </c>
    </row>
    <row r="508" spans="1:30" x14ac:dyDescent="0.15">
      <c r="A508" s="197"/>
      <c r="B508" s="189"/>
      <c r="C508" s="188"/>
      <c r="D508" s="188"/>
      <c r="E508" s="244">
        <f t="shared" si="467"/>
        <v>0</v>
      </c>
      <c r="F508" s="189"/>
      <c r="G508" s="188"/>
      <c r="H508" s="188"/>
      <c r="I508" s="244">
        <f t="shared" si="468"/>
        <v>0</v>
      </c>
      <c r="J508" s="189"/>
      <c r="K508" s="188"/>
      <c r="L508" s="188"/>
      <c r="M508" s="244">
        <f t="shared" si="469"/>
        <v>0</v>
      </c>
      <c r="N508" s="253">
        <f t="shared" si="470"/>
        <v>0</v>
      </c>
      <c r="P508" s="274" t="s">
        <v>1730</v>
      </c>
      <c r="Q508" s="239"/>
      <c r="R508" s="240"/>
      <c r="S508" s="240"/>
      <c r="T508" s="249">
        <f t="shared" ref="T508:T513" si="487">SUM(Q508:S508)</f>
        <v>0</v>
      </c>
      <c r="U508" s="239"/>
      <c r="V508" s="240"/>
      <c r="W508" s="240"/>
      <c r="X508" s="249">
        <f t="shared" ref="X508:X513" si="488">SUM(U508:W508)</f>
        <v>0</v>
      </c>
      <c r="Y508" s="239"/>
      <c r="Z508" s="240"/>
      <c r="AA508" s="240"/>
      <c r="AB508" s="249">
        <f t="shared" ref="AB508:AB513" si="489">SUM(Y508:AA508)</f>
        <v>0</v>
      </c>
      <c r="AC508" s="259">
        <f t="shared" ref="AC508:AC513" si="490">T508+X508+AB508</f>
        <v>0</v>
      </c>
    </row>
    <row r="509" spans="1:30" x14ac:dyDescent="0.15">
      <c r="A509" s="197"/>
      <c r="B509" s="189"/>
      <c r="C509" s="188"/>
      <c r="D509" s="188"/>
      <c r="E509" s="244">
        <f t="shared" si="467"/>
        <v>0</v>
      </c>
      <c r="F509" s="189"/>
      <c r="G509" s="188"/>
      <c r="H509" s="188"/>
      <c r="I509" s="244">
        <f t="shared" si="468"/>
        <v>0</v>
      </c>
      <c r="J509" s="189"/>
      <c r="K509" s="188"/>
      <c r="L509" s="188"/>
      <c r="M509" s="244">
        <f t="shared" si="469"/>
        <v>0</v>
      </c>
      <c r="N509" s="253">
        <f t="shared" si="470"/>
        <v>0</v>
      </c>
      <c r="P509" s="193" t="s">
        <v>1655</v>
      </c>
      <c r="Q509" s="189"/>
      <c r="R509" s="188"/>
      <c r="S509" s="188"/>
      <c r="T509" s="244">
        <f t="shared" si="487"/>
        <v>0</v>
      </c>
      <c r="U509" s="189"/>
      <c r="V509" s="188"/>
      <c r="W509" s="188"/>
      <c r="X509" s="244">
        <f t="shared" si="488"/>
        <v>0</v>
      </c>
      <c r="Y509" s="189"/>
      <c r="Z509" s="188"/>
      <c r="AA509" s="188"/>
      <c r="AB509" s="244">
        <f t="shared" si="489"/>
        <v>0</v>
      </c>
      <c r="AC509" s="253">
        <f t="shared" si="490"/>
        <v>0</v>
      </c>
      <c r="AD509" s="176" t="s">
        <v>1552</v>
      </c>
    </row>
    <row r="510" spans="1:30" x14ac:dyDescent="0.15">
      <c r="A510" s="197"/>
      <c r="B510" s="189"/>
      <c r="C510" s="188"/>
      <c r="D510" s="188"/>
      <c r="E510" s="244">
        <f t="shared" si="467"/>
        <v>0</v>
      </c>
      <c r="F510" s="189"/>
      <c r="G510" s="188"/>
      <c r="H510" s="188"/>
      <c r="I510" s="244">
        <f t="shared" si="468"/>
        <v>0</v>
      </c>
      <c r="J510" s="189"/>
      <c r="K510" s="188"/>
      <c r="L510" s="188"/>
      <c r="M510" s="244">
        <f t="shared" si="469"/>
        <v>0</v>
      </c>
      <c r="N510" s="253">
        <f t="shared" si="470"/>
        <v>0</v>
      </c>
      <c r="P510" s="219" t="s">
        <v>1592</v>
      </c>
      <c r="Q510" s="216">
        <v>0</v>
      </c>
      <c r="R510" s="217">
        <v>0</v>
      </c>
      <c r="S510" s="217">
        <v>0</v>
      </c>
      <c r="T510" s="250">
        <f t="shared" si="487"/>
        <v>0</v>
      </c>
      <c r="U510" s="216">
        <v>0</v>
      </c>
      <c r="V510" s="217">
        <v>0</v>
      </c>
      <c r="W510" s="217">
        <v>0</v>
      </c>
      <c r="X510" s="250">
        <f t="shared" si="488"/>
        <v>0</v>
      </c>
      <c r="Y510" s="216">
        <v>0</v>
      </c>
      <c r="Z510" s="217">
        <v>0</v>
      </c>
      <c r="AA510" s="217">
        <v>0</v>
      </c>
      <c r="AB510" s="250">
        <f t="shared" si="489"/>
        <v>0</v>
      </c>
      <c r="AC510" s="282">
        <f t="shared" si="490"/>
        <v>0</v>
      </c>
      <c r="AD510" s="214"/>
    </row>
    <row r="511" spans="1:30" x14ac:dyDescent="0.15">
      <c r="A511" s="197"/>
      <c r="B511" s="189"/>
      <c r="C511" s="188"/>
      <c r="D511" s="188"/>
      <c r="E511" s="244">
        <f t="shared" si="467"/>
        <v>0</v>
      </c>
      <c r="F511" s="189"/>
      <c r="G511" s="188"/>
      <c r="H511" s="188"/>
      <c r="I511" s="244">
        <f t="shared" si="468"/>
        <v>0</v>
      </c>
      <c r="J511" s="189"/>
      <c r="K511" s="188"/>
      <c r="L511" s="188"/>
      <c r="M511" s="244">
        <f t="shared" si="469"/>
        <v>0</v>
      </c>
      <c r="N511" s="253">
        <f t="shared" si="470"/>
        <v>0</v>
      </c>
      <c r="P511" s="220" t="s">
        <v>1593</v>
      </c>
      <c r="Q511" s="212">
        <f>3-3</f>
        <v>0</v>
      </c>
      <c r="R511" s="213">
        <f>3-3</f>
        <v>0</v>
      </c>
      <c r="S511" s="213">
        <f>3-3</f>
        <v>0</v>
      </c>
      <c r="T511" s="248">
        <f t="shared" si="487"/>
        <v>0</v>
      </c>
      <c r="U511" s="212">
        <f>3-3</f>
        <v>0</v>
      </c>
      <c r="V511" s="213">
        <f>3-3</f>
        <v>0</v>
      </c>
      <c r="W511" s="213">
        <f>3-3</f>
        <v>0</v>
      </c>
      <c r="X511" s="248">
        <f t="shared" si="488"/>
        <v>0</v>
      </c>
      <c r="Y511" s="212">
        <f>2-2</f>
        <v>0</v>
      </c>
      <c r="Z511" s="213">
        <f>2-2</f>
        <v>0</v>
      </c>
      <c r="AA511" s="213">
        <f>2-2</f>
        <v>0</v>
      </c>
      <c r="AB511" s="248">
        <f t="shared" si="489"/>
        <v>0</v>
      </c>
      <c r="AC511" s="258">
        <f t="shared" si="490"/>
        <v>0</v>
      </c>
      <c r="AD511" s="214" t="s">
        <v>1591</v>
      </c>
    </row>
    <row r="512" spans="1:30" x14ac:dyDescent="0.15">
      <c r="A512" s="197"/>
      <c r="B512" s="189"/>
      <c r="C512" s="188"/>
      <c r="D512" s="188"/>
      <c r="E512" s="244">
        <f t="shared" si="467"/>
        <v>0</v>
      </c>
      <c r="F512" s="189"/>
      <c r="G512" s="188"/>
      <c r="H512" s="188"/>
      <c r="I512" s="244">
        <f t="shared" si="468"/>
        <v>0</v>
      </c>
      <c r="J512" s="189"/>
      <c r="K512" s="188"/>
      <c r="L512" s="188"/>
      <c r="M512" s="244">
        <f t="shared" si="469"/>
        <v>0</v>
      </c>
      <c r="N512" s="253">
        <f t="shared" si="470"/>
        <v>0</v>
      </c>
      <c r="P512" s="219" t="s">
        <v>1544</v>
      </c>
      <c r="Q512" s="216">
        <v>0</v>
      </c>
      <c r="R512" s="217">
        <v>0</v>
      </c>
      <c r="S512" s="217">
        <v>0</v>
      </c>
      <c r="T512" s="250">
        <f t="shared" si="487"/>
        <v>0</v>
      </c>
      <c r="U512" s="216">
        <v>0</v>
      </c>
      <c r="V512" s="217">
        <v>0</v>
      </c>
      <c r="W512" s="217">
        <v>0</v>
      </c>
      <c r="X512" s="250">
        <f t="shared" si="488"/>
        <v>0</v>
      </c>
      <c r="Y512" s="216">
        <v>0</v>
      </c>
      <c r="Z512" s="217">
        <v>0</v>
      </c>
      <c r="AA512" s="217">
        <v>0</v>
      </c>
      <c r="AB512" s="250">
        <f t="shared" si="489"/>
        <v>0</v>
      </c>
      <c r="AC512" s="282">
        <f t="shared" si="490"/>
        <v>0</v>
      </c>
    </row>
    <row r="513" spans="1:30" ht="14.25" thickBot="1" x14ac:dyDescent="0.2">
      <c r="A513" s="197"/>
      <c r="B513" s="189"/>
      <c r="C513" s="188"/>
      <c r="D513" s="188"/>
      <c r="E513" s="244">
        <f t="shared" si="467"/>
        <v>0</v>
      </c>
      <c r="F513" s="189"/>
      <c r="G513" s="188"/>
      <c r="H513" s="188"/>
      <c r="I513" s="244">
        <f t="shared" si="468"/>
        <v>0</v>
      </c>
      <c r="J513" s="189"/>
      <c r="K513" s="188"/>
      <c r="L513" s="188"/>
      <c r="M513" s="244">
        <f t="shared" si="469"/>
        <v>0</v>
      </c>
      <c r="N513" s="253">
        <f t="shared" si="470"/>
        <v>0</v>
      </c>
      <c r="P513" s="220" t="s">
        <v>1547</v>
      </c>
      <c r="Q513" s="212">
        <f>59-2</f>
        <v>57</v>
      </c>
      <c r="R513" s="213">
        <f>20-2</f>
        <v>18</v>
      </c>
      <c r="S513" s="213">
        <f>22-2</f>
        <v>20</v>
      </c>
      <c r="T513" s="248">
        <f t="shared" si="487"/>
        <v>95</v>
      </c>
      <c r="U513" s="212">
        <f>59-2</f>
        <v>57</v>
      </c>
      <c r="V513" s="213">
        <f>20-2</f>
        <v>18</v>
      </c>
      <c r="W513" s="213">
        <f>22-2</f>
        <v>20</v>
      </c>
      <c r="X513" s="248">
        <f t="shared" si="488"/>
        <v>95</v>
      </c>
      <c r="Y513" s="212">
        <f>59-3</f>
        <v>56</v>
      </c>
      <c r="Z513" s="213">
        <f>20-3</f>
        <v>17</v>
      </c>
      <c r="AA513" s="213">
        <f>22-3</f>
        <v>19</v>
      </c>
      <c r="AB513" s="248">
        <f t="shared" si="489"/>
        <v>92</v>
      </c>
      <c r="AC513" s="258">
        <f t="shared" si="490"/>
        <v>282</v>
      </c>
      <c r="AD513" s="302" t="s">
        <v>1588</v>
      </c>
    </row>
    <row r="514" spans="1:30" ht="14.25" thickBot="1" x14ac:dyDescent="0.2">
      <c r="A514" s="221" t="s">
        <v>5</v>
      </c>
      <c r="B514" s="222">
        <f>SUM(B490:B513)</f>
        <v>0</v>
      </c>
      <c r="C514" s="222">
        <f>SUM(C490:C513)</f>
        <v>0</v>
      </c>
      <c r="D514" s="222">
        <f>SUM(D490:D513)</f>
        <v>0</v>
      </c>
      <c r="E514" s="251">
        <f t="shared" si="467"/>
        <v>0</v>
      </c>
      <c r="F514" s="222">
        <f>SUM(F490:F513)</f>
        <v>0</v>
      </c>
      <c r="G514" s="222">
        <f>SUM(G490:G513)</f>
        <v>0</v>
      </c>
      <c r="H514" s="222">
        <f>SUM(H490:H513)</f>
        <v>0</v>
      </c>
      <c r="I514" s="251">
        <f t="shared" si="468"/>
        <v>0</v>
      </c>
      <c r="J514" s="222">
        <f>SUM(J490:J513)</f>
        <v>0</v>
      </c>
      <c r="K514" s="222">
        <f>SUM(K490:K513)</f>
        <v>0</v>
      </c>
      <c r="L514" s="222">
        <f>SUM(L490:L513)</f>
        <v>0</v>
      </c>
      <c r="M514" s="267">
        <f t="shared" si="469"/>
        <v>0</v>
      </c>
      <c r="N514" s="272">
        <f t="shared" si="470"/>
        <v>0</v>
      </c>
      <c r="P514" s="184" t="s">
        <v>5</v>
      </c>
      <c r="Q514" s="222">
        <f>SUM(Q490:Q513)</f>
        <v>130</v>
      </c>
      <c r="R514" s="222">
        <f>SUM(R490:R513)</f>
        <v>68</v>
      </c>
      <c r="S514" s="222">
        <f>SUM(S490:S513)</f>
        <v>60</v>
      </c>
      <c r="T514" s="251">
        <f t="shared" ref="T514" si="491">SUM(Q514:S514)</f>
        <v>258</v>
      </c>
      <c r="U514" s="222">
        <f>SUM(U490:U513)</f>
        <v>125</v>
      </c>
      <c r="V514" s="222">
        <f>SUM(V490:V513)</f>
        <v>71</v>
      </c>
      <c r="W514" s="222">
        <f>SUM(W490:W513)</f>
        <v>68</v>
      </c>
      <c r="X514" s="251">
        <f t="shared" ref="X514" si="492">SUM(U514:W514)</f>
        <v>264</v>
      </c>
      <c r="Y514" s="222">
        <f>SUM(Y490:Y513)</f>
        <v>131</v>
      </c>
      <c r="Z514" s="222">
        <f>SUM(Z490:Z513)</f>
        <v>67</v>
      </c>
      <c r="AA514" s="222">
        <f>SUM(AA490:AA513)</f>
        <v>59</v>
      </c>
      <c r="AB514" s="251">
        <f t="shared" ref="AB514" si="493">SUM(Y514:AA514)</f>
        <v>257</v>
      </c>
      <c r="AC514" s="256">
        <f t="shared" ref="AC514:AC515" si="494">T514+X514+AB514</f>
        <v>779</v>
      </c>
    </row>
    <row r="515" spans="1:30" ht="14.25" thickBot="1" x14ac:dyDescent="0.2">
      <c r="A515" s="223" t="s">
        <v>6</v>
      </c>
      <c r="B515" s="209">
        <f>B489-B514</f>
        <v>5</v>
      </c>
      <c r="C515" s="209">
        <f t="shared" ref="C515:E515" si="495">C489-C514</f>
        <v>2</v>
      </c>
      <c r="D515" s="209">
        <f t="shared" si="495"/>
        <v>7</v>
      </c>
      <c r="E515" s="246">
        <f t="shared" si="495"/>
        <v>14</v>
      </c>
      <c r="F515" s="209">
        <f>F489-F514</f>
        <v>7</v>
      </c>
      <c r="G515" s="209">
        <f t="shared" ref="G515:I515" si="496">G489-G514</f>
        <v>2</v>
      </c>
      <c r="H515" s="209">
        <f t="shared" si="496"/>
        <v>2</v>
      </c>
      <c r="I515" s="246">
        <f t="shared" si="496"/>
        <v>11</v>
      </c>
      <c r="J515" s="209">
        <f>J489-J514</f>
        <v>6</v>
      </c>
      <c r="K515" s="209">
        <f t="shared" ref="K515:M515" si="497">K489-K514</f>
        <v>2</v>
      </c>
      <c r="L515" s="209">
        <f t="shared" si="497"/>
        <v>3</v>
      </c>
      <c r="M515" s="266">
        <f t="shared" si="497"/>
        <v>11</v>
      </c>
      <c r="N515" s="271">
        <f t="shared" si="470"/>
        <v>36</v>
      </c>
      <c r="P515" s="224" t="s">
        <v>6</v>
      </c>
      <c r="Q515" s="209">
        <f t="shared" ref="Q515:AB515" si="498">Q489-Q514</f>
        <v>421</v>
      </c>
      <c r="R515" s="209">
        <f t="shared" si="498"/>
        <v>299</v>
      </c>
      <c r="S515" s="209">
        <f t="shared" si="498"/>
        <v>287</v>
      </c>
      <c r="T515" s="246">
        <f t="shared" si="498"/>
        <v>1007</v>
      </c>
      <c r="U515" s="209">
        <f t="shared" si="498"/>
        <v>460</v>
      </c>
      <c r="V515" s="209">
        <f t="shared" si="498"/>
        <v>330</v>
      </c>
      <c r="W515" s="209">
        <f t="shared" si="498"/>
        <v>273</v>
      </c>
      <c r="X515" s="246">
        <f t="shared" si="498"/>
        <v>1063</v>
      </c>
      <c r="Y515" s="209">
        <f t="shared" si="498"/>
        <v>417</v>
      </c>
      <c r="Z515" s="209">
        <f t="shared" si="498"/>
        <v>319</v>
      </c>
      <c r="AA515" s="209">
        <f t="shared" si="498"/>
        <v>268</v>
      </c>
      <c r="AB515" s="246">
        <f t="shared" si="498"/>
        <v>1004</v>
      </c>
      <c r="AC515" s="256">
        <f t="shared" si="494"/>
        <v>3074</v>
      </c>
    </row>
    <row r="516" spans="1:30" x14ac:dyDescent="0.15">
      <c r="A516" s="172"/>
      <c r="N516" s="172"/>
      <c r="AC516" s="172"/>
    </row>
    <row r="517" spans="1:30" x14ac:dyDescent="0.15">
      <c r="A517" s="172"/>
      <c r="N517" s="172"/>
      <c r="AC517" s="172"/>
    </row>
    <row r="518" spans="1:30" ht="19.5" thickBot="1" x14ac:dyDescent="0.25">
      <c r="A518" s="177" t="s">
        <v>1183</v>
      </c>
      <c r="B518" s="178"/>
      <c r="C518" s="178"/>
      <c r="D518" s="178"/>
      <c r="E518" s="178"/>
      <c r="F518" s="179"/>
      <c r="G518" s="179"/>
      <c r="H518" s="179"/>
      <c r="I518" s="179"/>
      <c r="J518" s="179"/>
      <c r="K518" s="179"/>
      <c r="L518" s="179"/>
      <c r="M518" s="179"/>
      <c r="N518" s="180"/>
      <c r="P518" s="177" t="s">
        <v>1184</v>
      </c>
      <c r="Q518" s="178"/>
      <c r="R518" s="178"/>
      <c r="S518" s="178"/>
      <c r="T518" s="178"/>
      <c r="Y518" s="179"/>
      <c r="Z518" s="181"/>
      <c r="AA518" s="179"/>
      <c r="AB518" s="179"/>
    </row>
    <row r="519" spans="1:30" ht="14.25" thickBot="1" x14ac:dyDescent="0.2">
      <c r="A519" s="182" t="s">
        <v>0</v>
      </c>
      <c r="B519" s="350" t="s">
        <v>11</v>
      </c>
      <c r="C519" s="350"/>
      <c r="D519" s="350"/>
      <c r="E519" s="351"/>
      <c r="F519" s="349" t="s">
        <v>9</v>
      </c>
      <c r="G519" s="350"/>
      <c r="H519" s="350"/>
      <c r="I519" s="351"/>
      <c r="J519" s="349" t="s">
        <v>12</v>
      </c>
      <c r="K519" s="350"/>
      <c r="L519" s="350"/>
      <c r="M519" s="350"/>
      <c r="N519" s="352" t="s">
        <v>13</v>
      </c>
      <c r="P519" s="183" t="s">
        <v>0</v>
      </c>
      <c r="Q519" s="349" t="s">
        <v>11</v>
      </c>
      <c r="R519" s="350"/>
      <c r="S519" s="350"/>
      <c r="T519" s="351"/>
      <c r="U519" s="349" t="s">
        <v>9</v>
      </c>
      <c r="V519" s="350"/>
      <c r="W519" s="350"/>
      <c r="X519" s="351"/>
      <c r="Y519" s="349" t="s">
        <v>12</v>
      </c>
      <c r="Z519" s="350"/>
      <c r="AA519" s="350"/>
      <c r="AB519" s="351"/>
      <c r="AC519" s="300" t="s">
        <v>13</v>
      </c>
    </row>
    <row r="520" spans="1:30" ht="14.25" thickBot="1" x14ac:dyDescent="0.2">
      <c r="A520" s="182" t="s">
        <v>1</v>
      </c>
      <c r="B520" s="184" t="s">
        <v>922</v>
      </c>
      <c r="C520" s="183" t="s">
        <v>923</v>
      </c>
      <c r="D520" s="183" t="s">
        <v>924</v>
      </c>
      <c r="E520" s="242" t="s">
        <v>2</v>
      </c>
      <c r="F520" s="184" t="s">
        <v>922</v>
      </c>
      <c r="G520" s="183" t="s">
        <v>923</v>
      </c>
      <c r="H520" s="183" t="s">
        <v>924</v>
      </c>
      <c r="I520" s="242" t="s">
        <v>2</v>
      </c>
      <c r="J520" s="184" t="s">
        <v>922</v>
      </c>
      <c r="K520" s="183" t="s">
        <v>923</v>
      </c>
      <c r="L520" s="183" t="s">
        <v>924</v>
      </c>
      <c r="M520" s="252" t="s">
        <v>2</v>
      </c>
      <c r="N520" s="353"/>
      <c r="P520" s="183" t="s">
        <v>1</v>
      </c>
      <c r="Q520" s="184" t="s">
        <v>922</v>
      </c>
      <c r="R520" s="183" t="s">
        <v>923</v>
      </c>
      <c r="S520" s="183" t="s">
        <v>924</v>
      </c>
      <c r="T520" s="242" t="s">
        <v>2</v>
      </c>
      <c r="U520" s="184" t="s">
        <v>922</v>
      </c>
      <c r="V520" s="183" t="s">
        <v>923</v>
      </c>
      <c r="W520" s="183" t="s">
        <v>924</v>
      </c>
      <c r="X520" s="242" t="s">
        <v>2</v>
      </c>
      <c r="Y520" s="184" t="s">
        <v>922</v>
      </c>
      <c r="Z520" s="183" t="s">
        <v>923</v>
      </c>
      <c r="AA520" s="183" t="s">
        <v>924</v>
      </c>
      <c r="AB520" s="252" t="s">
        <v>2</v>
      </c>
      <c r="AC520" s="301"/>
    </row>
    <row r="521" spans="1:30" x14ac:dyDescent="0.15">
      <c r="A521" s="225" t="s">
        <v>6</v>
      </c>
      <c r="B521" s="226">
        <f>B515</f>
        <v>5</v>
      </c>
      <c r="C521" s="226">
        <f t="shared" ref="C521:E521" si="499">C515</f>
        <v>2</v>
      </c>
      <c r="D521" s="226">
        <f t="shared" si="499"/>
        <v>7</v>
      </c>
      <c r="E521" s="260">
        <f t="shared" si="499"/>
        <v>14</v>
      </c>
      <c r="F521" s="226">
        <f>F515</f>
        <v>7</v>
      </c>
      <c r="G521" s="226">
        <f t="shared" ref="G521:I521" si="500">G515</f>
        <v>2</v>
      </c>
      <c r="H521" s="226">
        <f t="shared" si="500"/>
        <v>2</v>
      </c>
      <c r="I521" s="260">
        <f t="shared" si="500"/>
        <v>11</v>
      </c>
      <c r="J521" s="226">
        <f>J515</f>
        <v>6</v>
      </c>
      <c r="K521" s="226">
        <f t="shared" ref="K521:M521" si="501">K515</f>
        <v>2</v>
      </c>
      <c r="L521" s="226">
        <f t="shared" si="501"/>
        <v>3</v>
      </c>
      <c r="M521" s="260">
        <f t="shared" si="501"/>
        <v>11</v>
      </c>
      <c r="N521" s="273">
        <f>E521+I521+M521</f>
        <v>36</v>
      </c>
      <c r="P521" s="215" t="s">
        <v>6</v>
      </c>
      <c r="Q521" s="226">
        <f>Q515</f>
        <v>421</v>
      </c>
      <c r="R521" s="226">
        <f t="shared" ref="R521:T521" si="502">R515</f>
        <v>299</v>
      </c>
      <c r="S521" s="226">
        <f t="shared" si="502"/>
        <v>287</v>
      </c>
      <c r="T521" s="260">
        <f t="shared" si="502"/>
        <v>1007</v>
      </c>
      <c r="U521" s="226">
        <f>U515</f>
        <v>460</v>
      </c>
      <c r="V521" s="226">
        <f t="shared" ref="V521:X521" si="503">V515</f>
        <v>330</v>
      </c>
      <c r="W521" s="226">
        <f t="shared" si="503"/>
        <v>273</v>
      </c>
      <c r="X521" s="260">
        <f t="shared" si="503"/>
        <v>1063</v>
      </c>
      <c r="Y521" s="226">
        <f>Y515</f>
        <v>417</v>
      </c>
      <c r="Z521" s="226">
        <f t="shared" ref="Z521:AB521" si="504">Z515</f>
        <v>319</v>
      </c>
      <c r="AA521" s="226">
        <f t="shared" si="504"/>
        <v>268</v>
      </c>
      <c r="AB521" s="260">
        <f t="shared" si="504"/>
        <v>1004</v>
      </c>
      <c r="AC521" s="258">
        <f>T521+X521+AB521</f>
        <v>3074</v>
      </c>
    </row>
    <row r="522" spans="1:30" x14ac:dyDescent="0.15">
      <c r="A522" s="191" t="s">
        <v>3</v>
      </c>
      <c r="B522" s="199"/>
      <c r="C522" s="197"/>
      <c r="D522" s="197"/>
      <c r="E522" s="243">
        <f t="shared" ref="E522:E557" si="505">SUM(B522:D522)</f>
        <v>0</v>
      </c>
      <c r="F522" s="199"/>
      <c r="G522" s="197"/>
      <c r="H522" s="197"/>
      <c r="I522" s="243">
        <f t="shared" ref="I522:I557" si="506">SUM(F522:H522)</f>
        <v>0</v>
      </c>
      <c r="J522" s="186"/>
      <c r="K522" s="187"/>
      <c r="L522" s="187"/>
      <c r="M522" s="243">
        <f t="shared" ref="M522:M557" si="507">SUM(J522:L522)</f>
        <v>0</v>
      </c>
      <c r="N522" s="253">
        <f t="shared" ref="N522:N558" si="508">E522+I522+M522</f>
        <v>0</v>
      </c>
      <c r="P522" s="191" t="s">
        <v>3</v>
      </c>
      <c r="Q522" s="199"/>
      <c r="R522" s="197"/>
      <c r="S522" s="197"/>
      <c r="T522" s="243">
        <f t="shared" ref="T522:T557" si="509">SUM(Q522:S522)</f>
        <v>0</v>
      </c>
      <c r="U522" s="199"/>
      <c r="V522" s="197"/>
      <c r="W522" s="197"/>
      <c r="X522" s="243">
        <f t="shared" ref="X522:X557" si="510">SUM(U522:W522)</f>
        <v>0</v>
      </c>
      <c r="Y522" s="186"/>
      <c r="Z522" s="187"/>
      <c r="AA522" s="187"/>
      <c r="AB522" s="243">
        <f t="shared" ref="AB522:AB557" si="511">SUM(Y522:AA522)</f>
        <v>0</v>
      </c>
      <c r="AC522" s="253">
        <f t="shared" ref="AC522:AC558" si="512">T522+X522+AB522</f>
        <v>0</v>
      </c>
    </row>
    <row r="523" spans="1:30" x14ac:dyDescent="0.15">
      <c r="A523" s="191" t="s">
        <v>3</v>
      </c>
      <c r="B523" s="186"/>
      <c r="C523" s="187"/>
      <c r="D523" s="187"/>
      <c r="E523" s="244">
        <f t="shared" si="505"/>
        <v>0</v>
      </c>
      <c r="F523" s="186"/>
      <c r="G523" s="187"/>
      <c r="H523" s="187"/>
      <c r="I523" s="244">
        <f t="shared" si="506"/>
        <v>0</v>
      </c>
      <c r="J523" s="196"/>
      <c r="K523" s="197"/>
      <c r="L523" s="197"/>
      <c r="M523" s="243">
        <f t="shared" si="507"/>
        <v>0</v>
      </c>
      <c r="N523" s="253">
        <f t="shared" si="508"/>
        <v>0</v>
      </c>
      <c r="P523" s="191" t="s">
        <v>3</v>
      </c>
      <c r="Q523" s="199"/>
      <c r="R523" s="197"/>
      <c r="S523" s="197"/>
      <c r="T523" s="243">
        <f t="shared" si="509"/>
        <v>0</v>
      </c>
      <c r="U523" s="199"/>
      <c r="V523" s="197"/>
      <c r="W523" s="197"/>
      <c r="X523" s="243">
        <f t="shared" si="510"/>
        <v>0</v>
      </c>
      <c r="Y523" s="186"/>
      <c r="Z523" s="187"/>
      <c r="AA523" s="187"/>
      <c r="AB523" s="243">
        <f t="shared" si="511"/>
        <v>0</v>
      </c>
      <c r="AC523" s="253">
        <f t="shared" si="512"/>
        <v>0</v>
      </c>
    </row>
    <row r="524" spans="1:30" x14ac:dyDescent="0.15">
      <c r="A524" s="191" t="s">
        <v>3</v>
      </c>
      <c r="B524" s="199"/>
      <c r="C524" s="197"/>
      <c r="D524" s="197"/>
      <c r="E524" s="243">
        <f t="shared" si="505"/>
        <v>0</v>
      </c>
      <c r="F524" s="199"/>
      <c r="G524" s="197"/>
      <c r="H524" s="197"/>
      <c r="I524" s="243">
        <f t="shared" si="506"/>
        <v>0</v>
      </c>
      <c r="J524" s="196"/>
      <c r="K524" s="197"/>
      <c r="L524" s="197"/>
      <c r="M524" s="243">
        <f t="shared" si="507"/>
        <v>0</v>
      </c>
      <c r="N524" s="253">
        <f t="shared" si="508"/>
        <v>0</v>
      </c>
      <c r="P524" s="191" t="s">
        <v>3</v>
      </c>
      <c r="Q524" s="199"/>
      <c r="R524" s="197"/>
      <c r="S524" s="197"/>
      <c r="T524" s="243">
        <f t="shared" si="509"/>
        <v>0</v>
      </c>
      <c r="U524" s="199"/>
      <c r="V524" s="197"/>
      <c r="W524" s="197"/>
      <c r="X524" s="243">
        <f t="shared" si="510"/>
        <v>0</v>
      </c>
      <c r="Y524" s="186"/>
      <c r="Z524" s="187"/>
      <c r="AA524" s="187"/>
      <c r="AB524" s="243">
        <f t="shared" si="511"/>
        <v>0</v>
      </c>
      <c r="AC524" s="253">
        <f t="shared" si="512"/>
        <v>0</v>
      </c>
    </row>
    <row r="525" spans="1:30" x14ac:dyDescent="0.15">
      <c r="A525" s="191" t="s">
        <v>3</v>
      </c>
      <c r="B525" s="199"/>
      <c r="C525" s="197"/>
      <c r="D525" s="197"/>
      <c r="E525" s="243">
        <f t="shared" si="505"/>
        <v>0</v>
      </c>
      <c r="F525" s="199"/>
      <c r="G525" s="197"/>
      <c r="H525" s="197"/>
      <c r="I525" s="243">
        <f t="shared" si="506"/>
        <v>0</v>
      </c>
      <c r="J525" s="196"/>
      <c r="K525" s="197"/>
      <c r="L525" s="197"/>
      <c r="M525" s="243">
        <f t="shared" si="507"/>
        <v>0</v>
      </c>
      <c r="N525" s="253">
        <f t="shared" si="508"/>
        <v>0</v>
      </c>
      <c r="P525" s="191" t="s">
        <v>3</v>
      </c>
      <c r="Q525" s="199"/>
      <c r="R525" s="197"/>
      <c r="S525" s="197"/>
      <c r="T525" s="243">
        <f t="shared" ref="T525:T526" si="513">SUM(Q525:S525)</f>
        <v>0</v>
      </c>
      <c r="U525" s="199"/>
      <c r="V525" s="197"/>
      <c r="W525" s="197"/>
      <c r="X525" s="243">
        <f t="shared" ref="X525:X526" si="514">SUM(U525:W525)</f>
        <v>0</v>
      </c>
      <c r="Y525" s="186"/>
      <c r="Z525" s="187"/>
      <c r="AA525" s="187"/>
      <c r="AB525" s="243">
        <f t="shared" ref="AB525:AB526" si="515">SUM(Y525:AA525)</f>
        <v>0</v>
      </c>
      <c r="AC525" s="253">
        <f t="shared" ref="AC525:AC526" si="516">T525+X525+AB525</f>
        <v>0</v>
      </c>
    </row>
    <row r="526" spans="1:30" x14ac:dyDescent="0.15">
      <c r="A526" s="191" t="s">
        <v>3</v>
      </c>
      <c r="B526" s="199"/>
      <c r="C526" s="197"/>
      <c r="D526" s="197"/>
      <c r="E526" s="243">
        <f t="shared" si="505"/>
        <v>0</v>
      </c>
      <c r="F526" s="199"/>
      <c r="G526" s="197"/>
      <c r="H526" s="197"/>
      <c r="I526" s="243">
        <f t="shared" si="506"/>
        <v>0</v>
      </c>
      <c r="J526" s="196"/>
      <c r="K526" s="197"/>
      <c r="L526" s="197"/>
      <c r="M526" s="243">
        <f t="shared" si="507"/>
        <v>0</v>
      </c>
      <c r="N526" s="253">
        <f t="shared" si="508"/>
        <v>0</v>
      </c>
      <c r="P526" s="191" t="s">
        <v>3</v>
      </c>
      <c r="Q526" s="199"/>
      <c r="R526" s="197"/>
      <c r="S526" s="197"/>
      <c r="T526" s="243">
        <f t="shared" si="513"/>
        <v>0</v>
      </c>
      <c r="U526" s="199"/>
      <c r="V526" s="197"/>
      <c r="W526" s="197"/>
      <c r="X526" s="243">
        <f t="shared" si="514"/>
        <v>0</v>
      </c>
      <c r="Y526" s="186"/>
      <c r="Z526" s="187"/>
      <c r="AA526" s="187"/>
      <c r="AB526" s="243">
        <f t="shared" si="515"/>
        <v>0</v>
      </c>
      <c r="AC526" s="253">
        <f t="shared" si="516"/>
        <v>0</v>
      </c>
    </row>
    <row r="527" spans="1:30" x14ac:dyDescent="0.15">
      <c r="A527" s="191" t="s">
        <v>3</v>
      </c>
      <c r="B527" s="199"/>
      <c r="C527" s="197"/>
      <c r="D527" s="197"/>
      <c r="E527" s="243">
        <f t="shared" si="505"/>
        <v>0</v>
      </c>
      <c r="F527" s="199"/>
      <c r="G527" s="197"/>
      <c r="H527" s="197"/>
      <c r="I527" s="243">
        <f t="shared" si="506"/>
        <v>0</v>
      </c>
      <c r="J527" s="186"/>
      <c r="K527" s="187"/>
      <c r="L527" s="187"/>
      <c r="M527" s="244">
        <f t="shared" si="507"/>
        <v>0</v>
      </c>
      <c r="N527" s="253">
        <f t="shared" si="508"/>
        <v>0</v>
      </c>
      <c r="P527" s="191" t="s">
        <v>3</v>
      </c>
      <c r="Q527" s="199"/>
      <c r="R527" s="197"/>
      <c r="S527" s="197"/>
      <c r="T527" s="243">
        <f t="shared" si="509"/>
        <v>0</v>
      </c>
      <c r="U527" s="199"/>
      <c r="V527" s="197"/>
      <c r="W527" s="197"/>
      <c r="X527" s="243">
        <f t="shared" si="510"/>
        <v>0</v>
      </c>
      <c r="Y527" s="186"/>
      <c r="Z527" s="187"/>
      <c r="AA527" s="187"/>
      <c r="AB527" s="244">
        <f t="shared" si="511"/>
        <v>0</v>
      </c>
      <c r="AC527" s="253">
        <f t="shared" si="512"/>
        <v>0</v>
      </c>
    </row>
    <row r="528" spans="1:30" x14ac:dyDescent="0.15">
      <c r="A528" s="191" t="s">
        <v>3</v>
      </c>
      <c r="B528" s="200"/>
      <c r="C528" s="187"/>
      <c r="D528" s="187"/>
      <c r="E528" s="243">
        <f t="shared" si="505"/>
        <v>0</v>
      </c>
      <c r="F528" s="200"/>
      <c r="G528" s="187"/>
      <c r="H528" s="187"/>
      <c r="I528" s="243">
        <f t="shared" si="506"/>
        <v>0</v>
      </c>
      <c r="J528" s="186"/>
      <c r="K528" s="187"/>
      <c r="L528" s="187"/>
      <c r="M528" s="243">
        <f t="shared" si="507"/>
        <v>0</v>
      </c>
      <c r="N528" s="253">
        <f t="shared" si="508"/>
        <v>0</v>
      </c>
      <c r="P528" s="191" t="s">
        <v>3</v>
      </c>
      <c r="Q528" s="186"/>
      <c r="R528" s="187"/>
      <c r="S528" s="187"/>
      <c r="T528" s="244">
        <f t="shared" si="509"/>
        <v>0</v>
      </c>
      <c r="U528" s="186"/>
      <c r="V528" s="187"/>
      <c r="W528" s="187"/>
      <c r="X528" s="244">
        <f t="shared" si="510"/>
        <v>0</v>
      </c>
      <c r="Y528" s="196"/>
      <c r="Z528" s="197"/>
      <c r="AA528" s="197"/>
      <c r="AB528" s="243">
        <f t="shared" si="511"/>
        <v>0</v>
      </c>
      <c r="AC528" s="253">
        <f t="shared" si="512"/>
        <v>0</v>
      </c>
    </row>
    <row r="529" spans="1:29" x14ac:dyDescent="0.15">
      <c r="A529" s="191" t="s">
        <v>3</v>
      </c>
      <c r="B529" s="199"/>
      <c r="C529" s="197"/>
      <c r="D529" s="197"/>
      <c r="E529" s="243">
        <f t="shared" si="505"/>
        <v>0</v>
      </c>
      <c r="F529" s="199"/>
      <c r="G529" s="197"/>
      <c r="H529" s="197"/>
      <c r="I529" s="243">
        <f t="shared" si="506"/>
        <v>0</v>
      </c>
      <c r="J529" s="186"/>
      <c r="K529" s="187"/>
      <c r="L529" s="187"/>
      <c r="M529" s="243">
        <f t="shared" si="507"/>
        <v>0</v>
      </c>
      <c r="N529" s="253">
        <f t="shared" si="508"/>
        <v>0</v>
      </c>
      <c r="P529" s="191" t="s">
        <v>3</v>
      </c>
      <c r="Q529" s="199"/>
      <c r="R529" s="197"/>
      <c r="S529" s="197"/>
      <c r="T529" s="243">
        <f t="shared" si="509"/>
        <v>0</v>
      </c>
      <c r="U529" s="199"/>
      <c r="V529" s="197"/>
      <c r="W529" s="197"/>
      <c r="X529" s="243">
        <f t="shared" si="510"/>
        <v>0</v>
      </c>
      <c r="Y529" s="186"/>
      <c r="Z529" s="187"/>
      <c r="AA529" s="187"/>
      <c r="AB529" s="243">
        <f t="shared" si="511"/>
        <v>0</v>
      </c>
      <c r="AC529" s="253">
        <f t="shared" si="512"/>
        <v>0</v>
      </c>
    </row>
    <row r="530" spans="1:29" x14ac:dyDescent="0.15">
      <c r="A530" s="191" t="s">
        <v>3</v>
      </c>
      <c r="B530" s="200"/>
      <c r="C530" s="187"/>
      <c r="D530" s="187"/>
      <c r="E530" s="243">
        <f t="shared" si="505"/>
        <v>0</v>
      </c>
      <c r="F530" s="200"/>
      <c r="G530" s="187"/>
      <c r="H530" s="187"/>
      <c r="I530" s="243">
        <f t="shared" si="506"/>
        <v>0</v>
      </c>
      <c r="J530" s="186"/>
      <c r="K530" s="187"/>
      <c r="L530" s="187"/>
      <c r="M530" s="243">
        <f t="shared" si="507"/>
        <v>0</v>
      </c>
      <c r="N530" s="253">
        <f t="shared" si="508"/>
        <v>0</v>
      </c>
      <c r="P530" s="191" t="s">
        <v>3</v>
      </c>
      <c r="Q530" s="200"/>
      <c r="R530" s="187"/>
      <c r="S530" s="187"/>
      <c r="T530" s="243">
        <f t="shared" si="509"/>
        <v>0</v>
      </c>
      <c r="U530" s="200"/>
      <c r="V530" s="187"/>
      <c r="W530" s="187"/>
      <c r="X530" s="243">
        <f t="shared" si="510"/>
        <v>0</v>
      </c>
      <c r="Y530" s="186"/>
      <c r="Z530" s="187"/>
      <c r="AA530" s="187"/>
      <c r="AB530" s="243">
        <f t="shared" si="511"/>
        <v>0</v>
      </c>
      <c r="AC530" s="253">
        <f t="shared" si="512"/>
        <v>0</v>
      </c>
    </row>
    <row r="531" spans="1:29" ht="14.25" thickBot="1" x14ac:dyDescent="0.2">
      <c r="A531" s="206" t="s">
        <v>3</v>
      </c>
      <c r="B531" s="202"/>
      <c r="C531" s="203"/>
      <c r="D531" s="203"/>
      <c r="E531" s="245">
        <f t="shared" si="505"/>
        <v>0</v>
      </c>
      <c r="F531" s="202"/>
      <c r="G531" s="203"/>
      <c r="H531" s="203"/>
      <c r="I531" s="245">
        <f t="shared" si="506"/>
        <v>0</v>
      </c>
      <c r="J531" s="205"/>
      <c r="K531" s="203"/>
      <c r="L531" s="204"/>
      <c r="M531" s="245">
        <f t="shared" si="507"/>
        <v>0</v>
      </c>
      <c r="N531" s="255">
        <f t="shared" si="508"/>
        <v>0</v>
      </c>
      <c r="P531" s="206" t="s">
        <v>3</v>
      </c>
      <c r="Q531" s="202"/>
      <c r="R531" s="203"/>
      <c r="S531" s="203"/>
      <c r="T531" s="245">
        <f t="shared" si="509"/>
        <v>0</v>
      </c>
      <c r="U531" s="202"/>
      <c r="V531" s="203"/>
      <c r="W531" s="203"/>
      <c r="X531" s="245">
        <f t="shared" si="510"/>
        <v>0</v>
      </c>
      <c r="Y531" s="205"/>
      <c r="Z531" s="203"/>
      <c r="AA531" s="204"/>
      <c r="AB531" s="245">
        <f t="shared" si="511"/>
        <v>0</v>
      </c>
      <c r="AC531" s="255">
        <f t="shared" si="512"/>
        <v>0</v>
      </c>
    </row>
    <row r="532" spans="1:29" ht="14.25" thickBot="1" x14ac:dyDescent="0.2">
      <c r="A532" s="207" t="s">
        <v>4</v>
      </c>
      <c r="B532" s="208">
        <f>SUM(B521:B531)</f>
        <v>5</v>
      </c>
      <c r="C532" s="208">
        <f>SUM(C521:C531)</f>
        <v>2</v>
      </c>
      <c r="D532" s="208">
        <f>SUM(D521:D531)</f>
        <v>7</v>
      </c>
      <c r="E532" s="246">
        <f t="shared" si="505"/>
        <v>14</v>
      </c>
      <c r="F532" s="208">
        <f>SUM(F521:F531)</f>
        <v>7</v>
      </c>
      <c r="G532" s="208">
        <f>SUM(G521:G531)</f>
        <v>2</v>
      </c>
      <c r="H532" s="208">
        <f>SUM(H521:H531)</f>
        <v>2</v>
      </c>
      <c r="I532" s="246">
        <f t="shared" si="506"/>
        <v>11</v>
      </c>
      <c r="J532" s="208">
        <f>SUM(J521:J531)</f>
        <v>6</v>
      </c>
      <c r="K532" s="208">
        <f>SUM(K521:K531)</f>
        <v>2</v>
      </c>
      <c r="L532" s="208">
        <f>SUM(L521:L531)</f>
        <v>3</v>
      </c>
      <c r="M532" s="266">
        <f t="shared" si="507"/>
        <v>11</v>
      </c>
      <c r="N532" s="271">
        <f t="shared" si="508"/>
        <v>36</v>
      </c>
      <c r="P532" s="210" t="s">
        <v>4</v>
      </c>
      <c r="Q532" s="208">
        <f>SUM(Q521:Q531)</f>
        <v>421</v>
      </c>
      <c r="R532" s="208">
        <f>SUM(R521:R531)</f>
        <v>299</v>
      </c>
      <c r="S532" s="208">
        <f>SUM(S521:S531)</f>
        <v>287</v>
      </c>
      <c r="T532" s="246">
        <f t="shared" si="509"/>
        <v>1007</v>
      </c>
      <c r="U532" s="208">
        <f>SUM(U521:U531)</f>
        <v>460</v>
      </c>
      <c r="V532" s="208">
        <f>SUM(V521:V531)</f>
        <v>330</v>
      </c>
      <c r="W532" s="208">
        <f>SUM(W521:W531)</f>
        <v>273</v>
      </c>
      <c r="X532" s="246">
        <f t="shared" si="510"/>
        <v>1063</v>
      </c>
      <c r="Y532" s="208">
        <f>SUM(Y521:Y531)</f>
        <v>417</v>
      </c>
      <c r="Z532" s="208">
        <f>SUM(Z521:Z531)</f>
        <v>319</v>
      </c>
      <c r="AA532" s="208">
        <f>SUM(AA521:AA531)</f>
        <v>268</v>
      </c>
      <c r="AB532" s="246">
        <f t="shared" si="511"/>
        <v>1004</v>
      </c>
      <c r="AC532" s="256">
        <f t="shared" si="512"/>
        <v>3074</v>
      </c>
    </row>
    <row r="533" spans="1:29" x14ac:dyDescent="0.15">
      <c r="A533" s="197"/>
      <c r="B533" s="189"/>
      <c r="C533" s="188"/>
      <c r="D533" s="188"/>
      <c r="E533" s="244">
        <f t="shared" si="505"/>
        <v>0</v>
      </c>
      <c r="F533" s="189"/>
      <c r="G533" s="188"/>
      <c r="H533" s="188"/>
      <c r="I533" s="244">
        <f t="shared" si="506"/>
        <v>0</v>
      </c>
      <c r="J533" s="189"/>
      <c r="K533" s="188"/>
      <c r="L533" s="188"/>
      <c r="M533" s="244">
        <f t="shared" si="507"/>
        <v>0</v>
      </c>
      <c r="N533" s="253">
        <f t="shared" si="508"/>
        <v>0</v>
      </c>
      <c r="P533" s="197"/>
      <c r="Q533" s="189"/>
      <c r="R533" s="188"/>
      <c r="S533" s="188"/>
      <c r="T533" s="244">
        <f t="shared" si="509"/>
        <v>0</v>
      </c>
      <c r="U533" s="189"/>
      <c r="V533" s="188"/>
      <c r="W533" s="188"/>
      <c r="X533" s="244">
        <f t="shared" si="510"/>
        <v>0</v>
      </c>
      <c r="Y533" s="189"/>
      <c r="Z533" s="188"/>
      <c r="AA533" s="188"/>
      <c r="AB533" s="244">
        <f t="shared" si="511"/>
        <v>0</v>
      </c>
      <c r="AC533" s="253">
        <f t="shared" si="512"/>
        <v>0</v>
      </c>
    </row>
    <row r="534" spans="1:29" x14ac:dyDescent="0.15">
      <c r="A534" s="197"/>
      <c r="B534" s="189"/>
      <c r="C534" s="188"/>
      <c r="D534" s="188"/>
      <c r="E534" s="244">
        <f t="shared" si="505"/>
        <v>0</v>
      </c>
      <c r="F534" s="189"/>
      <c r="G534" s="188"/>
      <c r="H534" s="188"/>
      <c r="I534" s="244">
        <f t="shared" si="506"/>
        <v>0</v>
      </c>
      <c r="J534" s="189"/>
      <c r="K534" s="188"/>
      <c r="L534" s="188"/>
      <c r="M534" s="244">
        <f t="shared" si="507"/>
        <v>0</v>
      </c>
      <c r="N534" s="253">
        <f t="shared" si="508"/>
        <v>0</v>
      </c>
      <c r="P534" s="197"/>
      <c r="Q534" s="189"/>
      <c r="R534" s="188"/>
      <c r="S534" s="188"/>
      <c r="T534" s="244">
        <f t="shared" si="509"/>
        <v>0</v>
      </c>
      <c r="U534" s="189"/>
      <c r="V534" s="188"/>
      <c r="W534" s="188"/>
      <c r="X534" s="244">
        <f t="shared" si="510"/>
        <v>0</v>
      </c>
      <c r="Y534" s="189"/>
      <c r="Z534" s="188"/>
      <c r="AA534" s="188"/>
      <c r="AB534" s="244">
        <f t="shared" si="511"/>
        <v>0</v>
      </c>
      <c r="AC534" s="253">
        <f t="shared" si="512"/>
        <v>0</v>
      </c>
    </row>
    <row r="535" spans="1:29" x14ac:dyDescent="0.15">
      <c r="A535" s="197"/>
      <c r="B535" s="189"/>
      <c r="C535" s="188"/>
      <c r="D535" s="188"/>
      <c r="E535" s="244">
        <f t="shared" si="505"/>
        <v>0</v>
      </c>
      <c r="F535" s="189"/>
      <c r="G535" s="188"/>
      <c r="H535" s="188"/>
      <c r="I535" s="244">
        <f t="shared" si="506"/>
        <v>0</v>
      </c>
      <c r="J535" s="189"/>
      <c r="K535" s="188"/>
      <c r="L535" s="188"/>
      <c r="M535" s="244">
        <f t="shared" si="507"/>
        <v>0</v>
      </c>
      <c r="N535" s="253">
        <f t="shared" si="508"/>
        <v>0</v>
      </c>
      <c r="P535" s="197"/>
      <c r="Q535" s="189"/>
      <c r="R535" s="188"/>
      <c r="S535" s="188"/>
      <c r="T535" s="244">
        <f t="shared" si="509"/>
        <v>0</v>
      </c>
      <c r="U535" s="189"/>
      <c r="V535" s="188"/>
      <c r="W535" s="188"/>
      <c r="X535" s="244">
        <f t="shared" si="510"/>
        <v>0</v>
      </c>
      <c r="Y535" s="189"/>
      <c r="Z535" s="188"/>
      <c r="AA535" s="188"/>
      <c r="AB535" s="244">
        <f t="shared" si="511"/>
        <v>0</v>
      </c>
      <c r="AC535" s="253">
        <f t="shared" si="512"/>
        <v>0</v>
      </c>
    </row>
    <row r="536" spans="1:29" x14ac:dyDescent="0.15">
      <c r="A536" s="197"/>
      <c r="B536" s="189"/>
      <c r="C536" s="188"/>
      <c r="D536" s="188"/>
      <c r="E536" s="244">
        <f t="shared" si="505"/>
        <v>0</v>
      </c>
      <c r="F536" s="189"/>
      <c r="G536" s="188"/>
      <c r="H536" s="188"/>
      <c r="I536" s="244">
        <f t="shared" si="506"/>
        <v>0</v>
      </c>
      <c r="J536" s="189"/>
      <c r="K536" s="188"/>
      <c r="L536" s="188"/>
      <c r="M536" s="244">
        <f t="shared" si="507"/>
        <v>0</v>
      </c>
      <c r="N536" s="253">
        <f t="shared" si="508"/>
        <v>0</v>
      </c>
      <c r="P536" s="197"/>
      <c r="Q536" s="189"/>
      <c r="R536" s="188"/>
      <c r="S536" s="188"/>
      <c r="T536" s="244">
        <f t="shared" si="509"/>
        <v>0</v>
      </c>
      <c r="U536" s="189"/>
      <c r="V536" s="188"/>
      <c r="W536" s="188"/>
      <c r="X536" s="244">
        <f t="shared" si="510"/>
        <v>0</v>
      </c>
      <c r="Y536" s="189"/>
      <c r="Z536" s="188"/>
      <c r="AA536" s="188"/>
      <c r="AB536" s="244">
        <f t="shared" si="511"/>
        <v>0</v>
      </c>
      <c r="AC536" s="253">
        <f t="shared" si="512"/>
        <v>0</v>
      </c>
    </row>
    <row r="537" spans="1:29" x14ac:dyDescent="0.15">
      <c r="A537" s="197"/>
      <c r="B537" s="189"/>
      <c r="C537" s="188"/>
      <c r="D537" s="188"/>
      <c r="E537" s="244">
        <f t="shared" si="505"/>
        <v>0</v>
      </c>
      <c r="F537" s="189"/>
      <c r="G537" s="188"/>
      <c r="H537" s="188"/>
      <c r="I537" s="244">
        <f t="shared" si="506"/>
        <v>0</v>
      </c>
      <c r="J537" s="189"/>
      <c r="K537" s="188"/>
      <c r="L537" s="188"/>
      <c r="M537" s="244">
        <f t="shared" si="507"/>
        <v>0</v>
      </c>
      <c r="N537" s="253">
        <f t="shared" si="508"/>
        <v>0</v>
      </c>
      <c r="P537" s="197"/>
      <c r="Q537" s="189"/>
      <c r="R537" s="188"/>
      <c r="S537" s="188"/>
      <c r="T537" s="244">
        <f t="shared" si="509"/>
        <v>0</v>
      </c>
      <c r="U537" s="189"/>
      <c r="V537" s="188"/>
      <c r="W537" s="188"/>
      <c r="X537" s="244">
        <f t="shared" si="510"/>
        <v>0</v>
      </c>
      <c r="Y537" s="189"/>
      <c r="Z537" s="188"/>
      <c r="AA537" s="188"/>
      <c r="AB537" s="244">
        <f t="shared" si="511"/>
        <v>0</v>
      </c>
      <c r="AC537" s="253">
        <f t="shared" si="512"/>
        <v>0</v>
      </c>
    </row>
    <row r="538" spans="1:29" x14ac:dyDescent="0.15">
      <c r="A538" s="197"/>
      <c r="B538" s="189"/>
      <c r="C538" s="188"/>
      <c r="D538" s="188"/>
      <c r="E538" s="244">
        <f t="shared" si="505"/>
        <v>0</v>
      </c>
      <c r="F538" s="189"/>
      <c r="G538" s="188"/>
      <c r="H538" s="188"/>
      <c r="I538" s="244">
        <f t="shared" si="506"/>
        <v>0</v>
      </c>
      <c r="J538" s="189"/>
      <c r="K538" s="188"/>
      <c r="L538" s="188"/>
      <c r="M538" s="244">
        <f t="shared" si="507"/>
        <v>0</v>
      </c>
      <c r="N538" s="253">
        <f t="shared" si="508"/>
        <v>0</v>
      </c>
      <c r="P538" s="197"/>
      <c r="Q538" s="189"/>
      <c r="R538" s="188"/>
      <c r="S538" s="188"/>
      <c r="T538" s="244">
        <f t="shared" si="509"/>
        <v>0</v>
      </c>
      <c r="U538" s="189"/>
      <c r="V538" s="188"/>
      <c r="W538" s="188"/>
      <c r="X538" s="244">
        <f t="shared" si="510"/>
        <v>0</v>
      </c>
      <c r="Y538" s="189"/>
      <c r="Z538" s="188"/>
      <c r="AA538" s="188"/>
      <c r="AB538" s="244">
        <f t="shared" si="511"/>
        <v>0</v>
      </c>
      <c r="AC538" s="253">
        <f t="shared" si="512"/>
        <v>0</v>
      </c>
    </row>
    <row r="539" spans="1:29" x14ac:dyDescent="0.15">
      <c r="A539" s="197"/>
      <c r="B539" s="189"/>
      <c r="C539" s="188"/>
      <c r="D539" s="188"/>
      <c r="E539" s="244">
        <f t="shared" si="505"/>
        <v>0</v>
      </c>
      <c r="F539" s="189"/>
      <c r="G539" s="188"/>
      <c r="H539" s="188"/>
      <c r="I539" s="244">
        <f t="shared" si="506"/>
        <v>0</v>
      </c>
      <c r="J539" s="189"/>
      <c r="K539" s="188"/>
      <c r="L539" s="188"/>
      <c r="M539" s="244">
        <f t="shared" si="507"/>
        <v>0</v>
      </c>
      <c r="N539" s="253">
        <f t="shared" si="508"/>
        <v>0</v>
      </c>
      <c r="P539" s="197"/>
      <c r="Q539" s="189"/>
      <c r="R539" s="188"/>
      <c r="S539" s="188"/>
      <c r="T539" s="244">
        <f t="shared" si="509"/>
        <v>0</v>
      </c>
      <c r="U539" s="189"/>
      <c r="V539" s="188"/>
      <c r="W539" s="188"/>
      <c r="X539" s="244">
        <f t="shared" si="510"/>
        <v>0</v>
      </c>
      <c r="Y539" s="189"/>
      <c r="Z539" s="188"/>
      <c r="AA539" s="188"/>
      <c r="AB539" s="244">
        <f t="shared" si="511"/>
        <v>0</v>
      </c>
      <c r="AC539" s="253">
        <f t="shared" si="512"/>
        <v>0</v>
      </c>
    </row>
    <row r="540" spans="1:29" x14ac:dyDescent="0.15">
      <c r="A540" s="197"/>
      <c r="B540" s="189"/>
      <c r="C540" s="188"/>
      <c r="D540" s="188"/>
      <c r="E540" s="244">
        <f t="shared" si="505"/>
        <v>0</v>
      </c>
      <c r="F540" s="189"/>
      <c r="G540" s="188"/>
      <c r="H540" s="188"/>
      <c r="I540" s="244">
        <f t="shared" si="506"/>
        <v>0</v>
      </c>
      <c r="J540" s="189"/>
      <c r="K540" s="188"/>
      <c r="L540" s="188"/>
      <c r="M540" s="244">
        <f t="shared" si="507"/>
        <v>0</v>
      </c>
      <c r="N540" s="253">
        <f t="shared" si="508"/>
        <v>0</v>
      </c>
      <c r="P540" s="197"/>
      <c r="Q540" s="189"/>
      <c r="R540" s="188"/>
      <c r="S540" s="188"/>
      <c r="T540" s="244">
        <f t="shared" si="509"/>
        <v>0</v>
      </c>
      <c r="U540" s="189"/>
      <c r="V540" s="188"/>
      <c r="W540" s="188"/>
      <c r="X540" s="244">
        <f t="shared" si="510"/>
        <v>0</v>
      </c>
      <c r="Y540" s="189"/>
      <c r="Z540" s="188"/>
      <c r="AA540" s="188"/>
      <c r="AB540" s="244">
        <f t="shared" si="511"/>
        <v>0</v>
      </c>
      <c r="AC540" s="253">
        <f t="shared" si="512"/>
        <v>0</v>
      </c>
    </row>
    <row r="541" spans="1:29" x14ac:dyDescent="0.15">
      <c r="A541" s="197"/>
      <c r="B541" s="189"/>
      <c r="C541" s="188"/>
      <c r="D541" s="188"/>
      <c r="E541" s="244">
        <f t="shared" si="505"/>
        <v>0</v>
      </c>
      <c r="F541" s="189"/>
      <c r="G541" s="188"/>
      <c r="H541" s="188"/>
      <c r="I541" s="244">
        <f t="shared" si="506"/>
        <v>0</v>
      </c>
      <c r="J541" s="189"/>
      <c r="K541" s="188"/>
      <c r="L541" s="188"/>
      <c r="M541" s="244">
        <f t="shared" si="507"/>
        <v>0</v>
      </c>
      <c r="N541" s="253">
        <f t="shared" si="508"/>
        <v>0</v>
      </c>
      <c r="P541" s="197"/>
      <c r="Q541" s="189"/>
      <c r="R541" s="188"/>
      <c r="S541" s="188"/>
      <c r="T541" s="244">
        <f t="shared" si="509"/>
        <v>0</v>
      </c>
      <c r="U541" s="189"/>
      <c r="V541" s="188"/>
      <c r="W541" s="188"/>
      <c r="X541" s="244">
        <f t="shared" si="510"/>
        <v>0</v>
      </c>
      <c r="Y541" s="189"/>
      <c r="Z541" s="188"/>
      <c r="AA541" s="188"/>
      <c r="AB541" s="244">
        <f t="shared" si="511"/>
        <v>0</v>
      </c>
      <c r="AC541" s="253">
        <f t="shared" si="512"/>
        <v>0</v>
      </c>
    </row>
    <row r="542" spans="1:29" x14ac:dyDescent="0.15">
      <c r="A542" s="197"/>
      <c r="B542" s="189"/>
      <c r="C542" s="188"/>
      <c r="D542" s="188"/>
      <c r="E542" s="244">
        <f t="shared" si="505"/>
        <v>0</v>
      </c>
      <c r="F542" s="189"/>
      <c r="G542" s="188"/>
      <c r="H542" s="188"/>
      <c r="I542" s="244">
        <f t="shared" si="506"/>
        <v>0</v>
      </c>
      <c r="J542" s="189"/>
      <c r="K542" s="188"/>
      <c r="L542" s="188"/>
      <c r="M542" s="244">
        <f t="shared" si="507"/>
        <v>0</v>
      </c>
      <c r="N542" s="253">
        <f t="shared" si="508"/>
        <v>0</v>
      </c>
      <c r="P542" s="197"/>
      <c r="Q542" s="189"/>
      <c r="R542" s="188"/>
      <c r="S542" s="188"/>
      <c r="T542" s="244">
        <f t="shared" si="509"/>
        <v>0</v>
      </c>
      <c r="U542" s="189"/>
      <c r="V542" s="188"/>
      <c r="W542" s="188"/>
      <c r="X542" s="244">
        <f t="shared" si="510"/>
        <v>0</v>
      </c>
      <c r="Y542" s="189"/>
      <c r="Z542" s="188"/>
      <c r="AA542" s="188"/>
      <c r="AB542" s="244">
        <f t="shared" si="511"/>
        <v>0</v>
      </c>
      <c r="AC542" s="253">
        <f t="shared" si="512"/>
        <v>0</v>
      </c>
    </row>
    <row r="543" spans="1:29" x14ac:dyDescent="0.15">
      <c r="A543" s="197"/>
      <c r="B543" s="189"/>
      <c r="C543" s="188"/>
      <c r="D543" s="188"/>
      <c r="E543" s="244">
        <f t="shared" si="505"/>
        <v>0</v>
      </c>
      <c r="F543" s="189"/>
      <c r="G543" s="188"/>
      <c r="H543" s="188"/>
      <c r="I543" s="244">
        <f t="shared" si="506"/>
        <v>0</v>
      </c>
      <c r="J543" s="189"/>
      <c r="K543" s="188"/>
      <c r="L543" s="188"/>
      <c r="M543" s="244">
        <f t="shared" si="507"/>
        <v>0</v>
      </c>
      <c r="N543" s="253">
        <f t="shared" si="508"/>
        <v>0</v>
      </c>
      <c r="P543" s="197"/>
      <c r="Q543" s="189"/>
      <c r="R543" s="188"/>
      <c r="S543" s="188"/>
      <c r="T543" s="244">
        <f t="shared" si="509"/>
        <v>0</v>
      </c>
      <c r="U543" s="189"/>
      <c r="V543" s="188"/>
      <c r="W543" s="188"/>
      <c r="X543" s="244">
        <f t="shared" si="510"/>
        <v>0</v>
      </c>
      <c r="Y543" s="189"/>
      <c r="Z543" s="188"/>
      <c r="AA543" s="188"/>
      <c r="AB543" s="244">
        <f t="shared" si="511"/>
        <v>0</v>
      </c>
      <c r="AC543" s="253">
        <f t="shared" si="512"/>
        <v>0</v>
      </c>
    </row>
    <row r="544" spans="1:29" x14ac:dyDescent="0.15">
      <c r="A544" s="197"/>
      <c r="B544" s="189"/>
      <c r="C544" s="188"/>
      <c r="D544" s="188"/>
      <c r="E544" s="244">
        <f t="shared" si="505"/>
        <v>0</v>
      </c>
      <c r="F544" s="189"/>
      <c r="G544" s="188"/>
      <c r="H544" s="188"/>
      <c r="I544" s="244">
        <f t="shared" si="506"/>
        <v>0</v>
      </c>
      <c r="J544" s="189"/>
      <c r="K544" s="188"/>
      <c r="L544" s="188"/>
      <c r="M544" s="244">
        <f t="shared" si="507"/>
        <v>0</v>
      </c>
      <c r="N544" s="253">
        <f t="shared" si="508"/>
        <v>0</v>
      </c>
      <c r="P544" s="197"/>
      <c r="Q544" s="189"/>
      <c r="R544" s="188"/>
      <c r="S544" s="188"/>
      <c r="T544" s="244">
        <f t="shared" si="509"/>
        <v>0</v>
      </c>
      <c r="U544" s="189"/>
      <c r="V544" s="188"/>
      <c r="W544" s="188"/>
      <c r="X544" s="244">
        <f t="shared" si="510"/>
        <v>0</v>
      </c>
      <c r="Y544" s="189"/>
      <c r="Z544" s="188"/>
      <c r="AA544" s="188"/>
      <c r="AB544" s="244">
        <f t="shared" si="511"/>
        <v>0</v>
      </c>
      <c r="AC544" s="253">
        <f t="shared" si="512"/>
        <v>0</v>
      </c>
    </row>
    <row r="545" spans="1:30" x14ac:dyDescent="0.15">
      <c r="A545" s="197"/>
      <c r="B545" s="189"/>
      <c r="C545" s="188"/>
      <c r="D545" s="188"/>
      <c r="E545" s="244">
        <f t="shared" si="505"/>
        <v>0</v>
      </c>
      <c r="F545" s="189"/>
      <c r="G545" s="188"/>
      <c r="H545" s="188"/>
      <c r="I545" s="244">
        <f t="shared" si="506"/>
        <v>0</v>
      </c>
      <c r="J545" s="189"/>
      <c r="K545" s="188"/>
      <c r="L545" s="188"/>
      <c r="M545" s="244">
        <f t="shared" si="507"/>
        <v>0</v>
      </c>
      <c r="N545" s="253">
        <f t="shared" si="508"/>
        <v>0</v>
      </c>
      <c r="P545" s="197"/>
      <c r="Q545" s="189"/>
      <c r="R545" s="188"/>
      <c r="S545" s="188"/>
      <c r="T545" s="244">
        <f t="shared" si="509"/>
        <v>0</v>
      </c>
      <c r="U545" s="189"/>
      <c r="V545" s="188"/>
      <c r="W545" s="188"/>
      <c r="X545" s="244">
        <f t="shared" si="510"/>
        <v>0</v>
      </c>
      <c r="Y545" s="189"/>
      <c r="Z545" s="188"/>
      <c r="AA545" s="188"/>
      <c r="AB545" s="244">
        <f t="shared" si="511"/>
        <v>0</v>
      </c>
      <c r="AC545" s="253">
        <f t="shared" si="512"/>
        <v>0</v>
      </c>
    </row>
    <row r="546" spans="1:30" x14ac:dyDescent="0.15">
      <c r="A546" s="197"/>
      <c r="B546" s="189"/>
      <c r="C546" s="188"/>
      <c r="D546" s="188"/>
      <c r="E546" s="244">
        <f t="shared" si="505"/>
        <v>0</v>
      </c>
      <c r="F546" s="189"/>
      <c r="G546" s="188"/>
      <c r="H546" s="188"/>
      <c r="I546" s="244">
        <f t="shared" si="506"/>
        <v>0</v>
      </c>
      <c r="J546" s="189"/>
      <c r="K546" s="188"/>
      <c r="L546" s="188"/>
      <c r="M546" s="244">
        <f t="shared" si="507"/>
        <v>0</v>
      </c>
      <c r="N546" s="253">
        <f t="shared" si="508"/>
        <v>0</v>
      </c>
      <c r="P546" s="211" t="s">
        <v>1909</v>
      </c>
      <c r="Q546" s="212">
        <v>5</v>
      </c>
      <c r="R546" s="213">
        <v>3</v>
      </c>
      <c r="S546" s="213">
        <v>2</v>
      </c>
      <c r="T546" s="248">
        <f t="shared" si="509"/>
        <v>10</v>
      </c>
      <c r="U546" s="212">
        <v>5</v>
      </c>
      <c r="V546" s="213">
        <v>3</v>
      </c>
      <c r="W546" s="213">
        <v>2</v>
      </c>
      <c r="X546" s="248">
        <f t="shared" si="510"/>
        <v>10</v>
      </c>
      <c r="Y546" s="212">
        <v>5</v>
      </c>
      <c r="Z546" s="213">
        <v>3</v>
      </c>
      <c r="AA546" s="213">
        <v>2</v>
      </c>
      <c r="AB546" s="248">
        <f t="shared" si="511"/>
        <v>10</v>
      </c>
      <c r="AC546" s="258">
        <f t="shared" si="512"/>
        <v>30</v>
      </c>
      <c r="AD546" s="214" t="s">
        <v>1910</v>
      </c>
    </row>
    <row r="547" spans="1:30" x14ac:dyDescent="0.15">
      <c r="A547" s="197"/>
      <c r="B547" s="189"/>
      <c r="C547" s="188"/>
      <c r="D547" s="188"/>
      <c r="E547" s="244">
        <f t="shared" si="505"/>
        <v>0</v>
      </c>
      <c r="F547" s="189"/>
      <c r="G547" s="188"/>
      <c r="H547" s="188"/>
      <c r="I547" s="244">
        <f t="shared" si="506"/>
        <v>0</v>
      </c>
      <c r="J547" s="189"/>
      <c r="K547" s="188"/>
      <c r="L547" s="188"/>
      <c r="M547" s="244">
        <f t="shared" si="507"/>
        <v>0</v>
      </c>
      <c r="N547" s="253">
        <f t="shared" si="508"/>
        <v>0</v>
      </c>
      <c r="P547" s="219" t="s">
        <v>1901</v>
      </c>
      <c r="Q547" s="216">
        <v>-5</v>
      </c>
      <c r="R547" s="217">
        <v>-3</v>
      </c>
      <c r="S547" s="217">
        <v>-3</v>
      </c>
      <c r="T547" s="250">
        <f t="shared" ref="T547:T550" si="517">SUM(Q547:S547)</f>
        <v>-11</v>
      </c>
      <c r="U547" s="216">
        <v>-5</v>
      </c>
      <c r="V547" s="217">
        <v>-3</v>
      </c>
      <c r="W547" s="217">
        <v>-3</v>
      </c>
      <c r="X547" s="250">
        <f t="shared" ref="X547:X550" si="518">SUM(U547:W547)</f>
        <v>-11</v>
      </c>
      <c r="Y547" s="216">
        <v>-5</v>
      </c>
      <c r="Z547" s="217">
        <v>-3</v>
      </c>
      <c r="AA547" s="217">
        <v>-3</v>
      </c>
      <c r="AB547" s="250">
        <f t="shared" ref="AB547:AB550" si="519">SUM(Y547:AA547)</f>
        <v>-11</v>
      </c>
      <c r="AC547" s="262">
        <f t="shared" ref="AC547:AC550" si="520">T547+X547+AB547</f>
        <v>-33</v>
      </c>
      <c r="AD547" s="218"/>
    </row>
    <row r="548" spans="1:30" x14ac:dyDescent="0.15">
      <c r="A548" s="197"/>
      <c r="B548" s="189"/>
      <c r="C548" s="188"/>
      <c r="D548" s="188"/>
      <c r="E548" s="244">
        <f t="shared" si="505"/>
        <v>0</v>
      </c>
      <c r="F548" s="189"/>
      <c r="G548" s="188"/>
      <c r="H548" s="188"/>
      <c r="I548" s="244">
        <f t="shared" si="506"/>
        <v>0</v>
      </c>
      <c r="J548" s="189"/>
      <c r="K548" s="188"/>
      <c r="L548" s="188"/>
      <c r="M548" s="244">
        <f t="shared" si="507"/>
        <v>0</v>
      </c>
      <c r="N548" s="253">
        <f t="shared" si="508"/>
        <v>0</v>
      </c>
      <c r="P548" s="220" t="s">
        <v>1902</v>
      </c>
      <c r="Q548" s="212">
        <v>10</v>
      </c>
      <c r="R548" s="213">
        <v>7</v>
      </c>
      <c r="S548" s="213">
        <v>7</v>
      </c>
      <c r="T548" s="248">
        <f t="shared" si="517"/>
        <v>24</v>
      </c>
      <c r="U548" s="212">
        <v>10</v>
      </c>
      <c r="V548" s="213">
        <v>7</v>
      </c>
      <c r="W548" s="213">
        <v>7</v>
      </c>
      <c r="X548" s="248">
        <f t="shared" si="518"/>
        <v>24</v>
      </c>
      <c r="Y548" s="212">
        <v>10</v>
      </c>
      <c r="Z548" s="213">
        <v>7</v>
      </c>
      <c r="AA548" s="213">
        <v>7</v>
      </c>
      <c r="AB548" s="248">
        <f t="shared" si="519"/>
        <v>24</v>
      </c>
      <c r="AC548" s="330">
        <f t="shared" si="520"/>
        <v>72</v>
      </c>
      <c r="AD548" s="214" t="s">
        <v>1834</v>
      </c>
    </row>
    <row r="549" spans="1:30" x14ac:dyDescent="0.15">
      <c r="A549" s="197"/>
      <c r="B549" s="189"/>
      <c r="C549" s="188"/>
      <c r="D549" s="188"/>
      <c r="E549" s="244">
        <f t="shared" si="505"/>
        <v>0</v>
      </c>
      <c r="F549" s="189"/>
      <c r="G549" s="188"/>
      <c r="H549" s="188"/>
      <c r="I549" s="244">
        <f t="shared" si="506"/>
        <v>0</v>
      </c>
      <c r="J549" s="189"/>
      <c r="K549" s="188"/>
      <c r="L549" s="188"/>
      <c r="M549" s="244">
        <f t="shared" si="507"/>
        <v>0</v>
      </c>
      <c r="N549" s="253">
        <f t="shared" si="508"/>
        <v>0</v>
      </c>
      <c r="P549" s="219" t="s">
        <v>1792</v>
      </c>
      <c r="Q549" s="216">
        <v>-5</v>
      </c>
      <c r="R549" s="217">
        <v>-5</v>
      </c>
      <c r="S549" s="217">
        <v>-5</v>
      </c>
      <c r="T549" s="250">
        <f t="shared" si="517"/>
        <v>-15</v>
      </c>
      <c r="U549" s="216">
        <v>-5</v>
      </c>
      <c r="V549" s="217">
        <v>-5</v>
      </c>
      <c r="W549" s="217">
        <v>-5</v>
      </c>
      <c r="X549" s="250">
        <f t="shared" si="518"/>
        <v>-15</v>
      </c>
      <c r="Y549" s="216">
        <v>-5</v>
      </c>
      <c r="Z549" s="217">
        <v>-5</v>
      </c>
      <c r="AA549" s="217">
        <v>-5</v>
      </c>
      <c r="AB549" s="250">
        <f t="shared" si="519"/>
        <v>-15</v>
      </c>
      <c r="AC549" s="262">
        <f t="shared" si="520"/>
        <v>-45</v>
      </c>
      <c r="AD549" s="214"/>
    </row>
    <row r="550" spans="1:30" x14ac:dyDescent="0.15">
      <c r="A550" s="197"/>
      <c r="B550" s="189"/>
      <c r="C550" s="188"/>
      <c r="D550" s="188"/>
      <c r="E550" s="244">
        <f t="shared" si="505"/>
        <v>0</v>
      </c>
      <c r="F550" s="189"/>
      <c r="G550" s="188"/>
      <c r="H550" s="188"/>
      <c r="I550" s="244">
        <f t="shared" si="506"/>
        <v>0</v>
      </c>
      <c r="J550" s="189"/>
      <c r="K550" s="188"/>
      <c r="L550" s="188"/>
      <c r="M550" s="244">
        <f t="shared" si="507"/>
        <v>0</v>
      </c>
      <c r="N550" s="253">
        <f t="shared" si="508"/>
        <v>0</v>
      </c>
      <c r="P550" s="220" t="s">
        <v>1793</v>
      </c>
      <c r="Q550" s="212">
        <v>25</v>
      </c>
      <c r="R550" s="213">
        <v>15</v>
      </c>
      <c r="S550" s="213">
        <v>10</v>
      </c>
      <c r="T550" s="248">
        <f t="shared" si="517"/>
        <v>50</v>
      </c>
      <c r="U550" s="212">
        <v>25</v>
      </c>
      <c r="V550" s="213">
        <v>15</v>
      </c>
      <c r="W550" s="213">
        <v>10</v>
      </c>
      <c r="X550" s="248">
        <f t="shared" si="518"/>
        <v>50</v>
      </c>
      <c r="Y550" s="212">
        <v>25</v>
      </c>
      <c r="Z550" s="213">
        <v>15</v>
      </c>
      <c r="AA550" s="213">
        <v>10</v>
      </c>
      <c r="AB550" s="248">
        <f t="shared" si="519"/>
        <v>50</v>
      </c>
      <c r="AC550" s="330">
        <f t="shared" si="520"/>
        <v>150</v>
      </c>
      <c r="AD550" s="214" t="s">
        <v>1833</v>
      </c>
    </row>
    <row r="551" spans="1:30" x14ac:dyDescent="0.15">
      <c r="A551" s="197"/>
      <c r="B551" s="189"/>
      <c r="C551" s="188"/>
      <c r="D551" s="188"/>
      <c r="E551" s="244">
        <f t="shared" si="505"/>
        <v>0</v>
      </c>
      <c r="F551" s="189"/>
      <c r="G551" s="188"/>
      <c r="H551" s="188"/>
      <c r="I551" s="244">
        <f t="shared" si="506"/>
        <v>0</v>
      </c>
      <c r="J551" s="189"/>
      <c r="K551" s="188"/>
      <c r="L551" s="188"/>
      <c r="M551" s="244">
        <f t="shared" si="507"/>
        <v>0</v>
      </c>
      <c r="N551" s="253">
        <f t="shared" si="508"/>
        <v>0</v>
      </c>
      <c r="P551" s="219" t="s">
        <v>1816</v>
      </c>
      <c r="Q551" s="216">
        <v>-20</v>
      </c>
      <c r="R551" s="217">
        <v>-15</v>
      </c>
      <c r="S551" s="217">
        <v>-15</v>
      </c>
      <c r="T551" s="250">
        <f>SUM(Q551:S551)</f>
        <v>-50</v>
      </c>
      <c r="U551" s="216">
        <v>-20</v>
      </c>
      <c r="V551" s="217">
        <v>-15</v>
      </c>
      <c r="W551" s="217">
        <v>-15</v>
      </c>
      <c r="X551" s="250">
        <f>SUM(U551:W551)</f>
        <v>-50</v>
      </c>
      <c r="Y551" s="216">
        <v>-20</v>
      </c>
      <c r="Z551" s="217">
        <v>-15</v>
      </c>
      <c r="AA551" s="217">
        <v>-15</v>
      </c>
      <c r="AB551" s="250">
        <f>SUM(Y551:AA551)</f>
        <v>-50</v>
      </c>
      <c r="AC551" s="329">
        <f>T551+X551+AB551</f>
        <v>-150</v>
      </c>
      <c r="AD551" s="214"/>
    </row>
    <row r="552" spans="1:30" x14ac:dyDescent="0.15">
      <c r="A552" s="197"/>
      <c r="B552" s="189"/>
      <c r="C552" s="188"/>
      <c r="D552" s="188"/>
      <c r="E552" s="244">
        <f t="shared" si="505"/>
        <v>0</v>
      </c>
      <c r="F552" s="189"/>
      <c r="G552" s="188"/>
      <c r="H552" s="188"/>
      <c r="I552" s="244">
        <f t="shared" si="506"/>
        <v>0</v>
      </c>
      <c r="J552" s="189"/>
      <c r="K552" s="188"/>
      <c r="L552" s="188"/>
      <c r="M552" s="244">
        <f t="shared" si="507"/>
        <v>0</v>
      </c>
      <c r="N552" s="253">
        <f t="shared" si="508"/>
        <v>0</v>
      </c>
      <c r="P552" s="220" t="s">
        <v>1817</v>
      </c>
      <c r="Q552" s="212">
        <v>40</v>
      </c>
      <c r="R552" s="213">
        <v>30</v>
      </c>
      <c r="S552" s="213">
        <v>30</v>
      </c>
      <c r="T552" s="248">
        <f t="shared" ref="T552:T554" si="521">SUM(Q552:S552)</f>
        <v>100</v>
      </c>
      <c r="U552" s="212">
        <v>40</v>
      </c>
      <c r="V552" s="213">
        <v>30</v>
      </c>
      <c r="W552" s="213">
        <v>30</v>
      </c>
      <c r="X552" s="248">
        <f t="shared" ref="X552:X554" si="522">SUM(U552:W552)</f>
        <v>100</v>
      </c>
      <c r="Y552" s="212">
        <v>40</v>
      </c>
      <c r="Z552" s="213">
        <v>30</v>
      </c>
      <c r="AA552" s="213">
        <v>30</v>
      </c>
      <c r="AB552" s="248">
        <f t="shared" ref="AB552:AB554" si="523">SUM(Y552:AA552)</f>
        <v>100</v>
      </c>
      <c r="AC552" s="258">
        <f t="shared" ref="AC552:AC554" si="524">T552+X552+AB552</f>
        <v>300</v>
      </c>
      <c r="AD552" s="214" t="s">
        <v>1818</v>
      </c>
    </row>
    <row r="553" spans="1:30" x14ac:dyDescent="0.15">
      <c r="A553" s="197"/>
      <c r="B553" s="189"/>
      <c r="C553" s="188"/>
      <c r="D553" s="188"/>
      <c r="E553" s="244">
        <f t="shared" si="505"/>
        <v>0</v>
      </c>
      <c r="F553" s="189"/>
      <c r="G553" s="188"/>
      <c r="H553" s="188"/>
      <c r="I553" s="244">
        <f t="shared" si="506"/>
        <v>0</v>
      </c>
      <c r="J553" s="189"/>
      <c r="K553" s="188"/>
      <c r="L553" s="188"/>
      <c r="M553" s="244">
        <f t="shared" si="507"/>
        <v>0</v>
      </c>
      <c r="N553" s="253">
        <f t="shared" si="508"/>
        <v>0</v>
      </c>
      <c r="P553" s="191" t="s">
        <v>1905</v>
      </c>
      <c r="Q553" s="239">
        <v>0</v>
      </c>
      <c r="R553" s="240">
        <v>0</v>
      </c>
      <c r="S553" s="240">
        <v>0</v>
      </c>
      <c r="T553" s="249">
        <f t="shared" si="521"/>
        <v>0</v>
      </c>
      <c r="U553" s="239">
        <v>0</v>
      </c>
      <c r="V553" s="240">
        <v>0</v>
      </c>
      <c r="W553" s="240">
        <v>0</v>
      </c>
      <c r="X553" s="249">
        <f t="shared" si="522"/>
        <v>0</v>
      </c>
      <c r="Y553" s="239">
        <v>0</v>
      </c>
      <c r="Z553" s="240">
        <v>0</v>
      </c>
      <c r="AA553" s="240">
        <v>0</v>
      </c>
      <c r="AB553" s="249">
        <f t="shared" si="523"/>
        <v>0</v>
      </c>
      <c r="AC553" s="303">
        <f t="shared" si="524"/>
        <v>0</v>
      </c>
      <c r="AD553" s="198"/>
    </row>
    <row r="554" spans="1:30" x14ac:dyDescent="0.15">
      <c r="A554" s="197"/>
      <c r="B554" s="189"/>
      <c r="C554" s="188"/>
      <c r="D554" s="188"/>
      <c r="E554" s="244">
        <f t="shared" si="505"/>
        <v>0</v>
      </c>
      <c r="F554" s="189"/>
      <c r="G554" s="188"/>
      <c r="H554" s="188"/>
      <c r="I554" s="244">
        <f t="shared" si="506"/>
        <v>0</v>
      </c>
      <c r="J554" s="189"/>
      <c r="K554" s="188"/>
      <c r="L554" s="188"/>
      <c r="M554" s="244">
        <f t="shared" si="507"/>
        <v>0</v>
      </c>
      <c r="N554" s="253">
        <f t="shared" si="508"/>
        <v>0</v>
      </c>
      <c r="P554" s="197" t="s">
        <v>1904</v>
      </c>
      <c r="Q554" s="189">
        <v>20</v>
      </c>
      <c r="R554" s="188">
        <v>20</v>
      </c>
      <c r="S554" s="188">
        <v>10</v>
      </c>
      <c r="T554" s="244">
        <f t="shared" si="521"/>
        <v>50</v>
      </c>
      <c r="U554" s="189">
        <v>25</v>
      </c>
      <c r="V554" s="188">
        <v>10</v>
      </c>
      <c r="W554" s="188">
        <v>15</v>
      </c>
      <c r="X554" s="244">
        <f t="shared" si="522"/>
        <v>50</v>
      </c>
      <c r="Y554" s="189">
        <v>30</v>
      </c>
      <c r="Z554" s="188">
        <v>20</v>
      </c>
      <c r="AA554" s="188">
        <v>10</v>
      </c>
      <c r="AB554" s="244">
        <f t="shared" si="523"/>
        <v>60</v>
      </c>
      <c r="AC554" s="253">
        <f t="shared" si="524"/>
        <v>160</v>
      </c>
      <c r="AD554" s="198" t="s">
        <v>1552</v>
      </c>
    </row>
    <row r="555" spans="1:30" x14ac:dyDescent="0.15">
      <c r="A555" s="197"/>
      <c r="B555" s="189"/>
      <c r="C555" s="188"/>
      <c r="D555" s="188"/>
      <c r="E555" s="244">
        <f t="shared" si="505"/>
        <v>0</v>
      </c>
      <c r="F555" s="189"/>
      <c r="G555" s="188"/>
      <c r="H555" s="188"/>
      <c r="I555" s="244">
        <f t="shared" si="506"/>
        <v>0</v>
      </c>
      <c r="J555" s="189"/>
      <c r="K555" s="188"/>
      <c r="L555" s="188"/>
      <c r="M555" s="244">
        <f t="shared" si="507"/>
        <v>0</v>
      </c>
      <c r="N555" s="253">
        <f t="shared" si="508"/>
        <v>0</v>
      </c>
      <c r="P555" s="219" t="s">
        <v>1794</v>
      </c>
      <c r="Q555" s="216">
        <v>-10</v>
      </c>
      <c r="R555" s="217">
        <v>-5</v>
      </c>
      <c r="S555" s="217">
        <v>-5</v>
      </c>
      <c r="T555" s="250">
        <f t="shared" si="509"/>
        <v>-20</v>
      </c>
      <c r="U555" s="216">
        <v>-10</v>
      </c>
      <c r="V555" s="217">
        <v>-5</v>
      </c>
      <c r="W555" s="217">
        <v>-5</v>
      </c>
      <c r="X555" s="250">
        <f t="shared" si="510"/>
        <v>-20</v>
      </c>
      <c r="Y555" s="216">
        <v>-10</v>
      </c>
      <c r="Z555" s="217">
        <v>-5</v>
      </c>
      <c r="AA555" s="217">
        <v>-5</v>
      </c>
      <c r="AB555" s="250">
        <f t="shared" si="511"/>
        <v>-20</v>
      </c>
      <c r="AC555" s="262">
        <f t="shared" si="512"/>
        <v>-60</v>
      </c>
      <c r="AD555" s="214"/>
    </row>
    <row r="556" spans="1:30" ht="14.25" thickBot="1" x14ac:dyDescent="0.2">
      <c r="A556" s="197"/>
      <c r="B556" s="189"/>
      <c r="C556" s="188"/>
      <c r="D556" s="188"/>
      <c r="E556" s="244">
        <f t="shared" si="505"/>
        <v>0</v>
      </c>
      <c r="F556" s="189"/>
      <c r="G556" s="188"/>
      <c r="H556" s="188"/>
      <c r="I556" s="244">
        <f t="shared" si="506"/>
        <v>0</v>
      </c>
      <c r="J556" s="189"/>
      <c r="K556" s="188"/>
      <c r="L556" s="188"/>
      <c r="M556" s="244">
        <f t="shared" si="507"/>
        <v>0</v>
      </c>
      <c r="N556" s="253">
        <f t="shared" si="508"/>
        <v>0</v>
      </c>
      <c r="P556" s="220" t="s">
        <v>1795</v>
      </c>
      <c r="Q556" s="212">
        <v>20</v>
      </c>
      <c r="R556" s="213">
        <v>15</v>
      </c>
      <c r="S556" s="213">
        <v>15</v>
      </c>
      <c r="T556" s="248">
        <f t="shared" si="509"/>
        <v>50</v>
      </c>
      <c r="U556" s="212">
        <v>20</v>
      </c>
      <c r="V556" s="213">
        <v>15</v>
      </c>
      <c r="W556" s="213">
        <v>15</v>
      </c>
      <c r="X556" s="248">
        <f t="shared" si="510"/>
        <v>50</v>
      </c>
      <c r="Y556" s="212">
        <v>20</v>
      </c>
      <c r="Z556" s="213">
        <v>15</v>
      </c>
      <c r="AA556" s="213">
        <v>15</v>
      </c>
      <c r="AB556" s="248">
        <f t="shared" si="511"/>
        <v>50</v>
      </c>
      <c r="AC556" s="330">
        <f t="shared" si="512"/>
        <v>150</v>
      </c>
      <c r="AD556" s="214" t="s">
        <v>1811</v>
      </c>
    </row>
    <row r="557" spans="1:30" ht="14.25" thickBot="1" x14ac:dyDescent="0.2">
      <c r="A557" s="221" t="s">
        <v>5</v>
      </c>
      <c r="B557" s="222">
        <f>SUM(B533:B556)</f>
        <v>0</v>
      </c>
      <c r="C557" s="222">
        <f>SUM(C533:C556)</f>
        <v>0</v>
      </c>
      <c r="D557" s="222">
        <f>SUM(D533:D556)</f>
        <v>0</v>
      </c>
      <c r="E557" s="251">
        <f t="shared" si="505"/>
        <v>0</v>
      </c>
      <c r="F557" s="222">
        <f>SUM(F533:F556)</f>
        <v>0</v>
      </c>
      <c r="G557" s="222">
        <f>SUM(G533:G556)</f>
        <v>0</v>
      </c>
      <c r="H557" s="222">
        <f>SUM(H533:H556)</f>
        <v>0</v>
      </c>
      <c r="I557" s="251">
        <f t="shared" si="506"/>
        <v>0</v>
      </c>
      <c r="J557" s="222">
        <f>SUM(J533:J556)</f>
        <v>0</v>
      </c>
      <c r="K557" s="222">
        <f>SUM(K533:K556)</f>
        <v>0</v>
      </c>
      <c r="L557" s="222">
        <f>SUM(L533:L556)</f>
        <v>0</v>
      </c>
      <c r="M557" s="267">
        <f t="shared" si="507"/>
        <v>0</v>
      </c>
      <c r="N557" s="272">
        <f t="shared" si="508"/>
        <v>0</v>
      </c>
      <c r="P557" s="184" t="s">
        <v>5</v>
      </c>
      <c r="Q557" s="222">
        <f>SUM(Q533:Q556)</f>
        <v>80</v>
      </c>
      <c r="R557" s="222">
        <f>SUM(R533:R556)</f>
        <v>62</v>
      </c>
      <c r="S557" s="222">
        <f>SUM(S533:S556)</f>
        <v>46</v>
      </c>
      <c r="T557" s="251">
        <f t="shared" si="509"/>
        <v>188</v>
      </c>
      <c r="U557" s="222">
        <f>SUM(U533:U556)</f>
        <v>85</v>
      </c>
      <c r="V557" s="222">
        <f>SUM(V533:V556)</f>
        <v>52</v>
      </c>
      <c r="W557" s="222">
        <f>SUM(W533:W556)</f>
        <v>51</v>
      </c>
      <c r="X557" s="251">
        <f t="shared" si="510"/>
        <v>188</v>
      </c>
      <c r="Y557" s="222">
        <f>SUM(Y533:Y556)</f>
        <v>90</v>
      </c>
      <c r="Z557" s="222">
        <f>SUM(Z533:Z556)</f>
        <v>62</v>
      </c>
      <c r="AA557" s="222">
        <f>SUM(AA533:AA556)</f>
        <v>46</v>
      </c>
      <c r="AB557" s="251">
        <f t="shared" si="511"/>
        <v>198</v>
      </c>
      <c r="AC557" s="256">
        <f t="shared" si="512"/>
        <v>574</v>
      </c>
    </row>
    <row r="558" spans="1:30" ht="14.25" thickBot="1" x14ac:dyDescent="0.2">
      <c r="A558" s="223" t="s">
        <v>6</v>
      </c>
      <c r="B558" s="209">
        <f>B532-B557</f>
        <v>5</v>
      </c>
      <c r="C558" s="209">
        <f t="shared" ref="C558:E558" si="525">C532-C557</f>
        <v>2</v>
      </c>
      <c r="D558" s="209">
        <f t="shared" si="525"/>
        <v>7</v>
      </c>
      <c r="E558" s="246">
        <f t="shared" si="525"/>
        <v>14</v>
      </c>
      <c r="F558" s="209">
        <f>F532-F557</f>
        <v>7</v>
      </c>
      <c r="G558" s="209">
        <f t="shared" ref="G558:I558" si="526">G532-G557</f>
        <v>2</v>
      </c>
      <c r="H558" s="209">
        <f t="shared" si="526"/>
        <v>2</v>
      </c>
      <c r="I558" s="246">
        <f t="shared" si="526"/>
        <v>11</v>
      </c>
      <c r="J558" s="209">
        <f>J532-J557</f>
        <v>6</v>
      </c>
      <c r="K558" s="209">
        <f t="shared" ref="K558:M558" si="527">K532-K557</f>
        <v>2</v>
      </c>
      <c r="L558" s="209">
        <f t="shared" si="527"/>
        <v>3</v>
      </c>
      <c r="M558" s="266">
        <f t="shared" si="527"/>
        <v>11</v>
      </c>
      <c r="N558" s="271">
        <f t="shared" si="508"/>
        <v>36</v>
      </c>
      <c r="P558" s="224" t="s">
        <v>6</v>
      </c>
      <c r="Q558" s="209">
        <f t="shared" ref="Q558:AB558" si="528">Q532-Q557</f>
        <v>341</v>
      </c>
      <c r="R558" s="209">
        <f t="shared" si="528"/>
        <v>237</v>
      </c>
      <c r="S558" s="209">
        <f t="shared" si="528"/>
        <v>241</v>
      </c>
      <c r="T558" s="246">
        <f t="shared" si="528"/>
        <v>819</v>
      </c>
      <c r="U558" s="209">
        <f t="shared" si="528"/>
        <v>375</v>
      </c>
      <c r="V558" s="209">
        <f t="shared" si="528"/>
        <v>278</v>
      </c>
      <c r="W558" s="209">
        <f t="shared" si="528"/>
        <v>222</v>
      </c>
      <c r="X558" s="246">
        <f t="shared" si="528"/>
        <v>875</v>
      </c>
      <c r="Y558" s="209">
        <f t="shared" si="528"/>
        <v>327</v>
      </c>
      <c r="Z558" s="209">
        <f t="shared" si="528"/>
        <v>257</v>
      </c>
      <c r="AA558" s="209">
        <f t="shared" si="528"/>
        <v>222</v>
      </c>
      <c r="AB558" s="246">
        <f t="shared" si="528"/>
        <v>806</v>
      </c>
      <c r="AC558" s="256">
        <f t="shared" si="512"/>
        <v>2500</v>
      </c>
    </row>
    <row r="559" spans="1:30" x14ac:dyDescent="0.15">
      <c r="A559" s="172"/>
      <c r="N559" s="172"/>
      <c r="AC559" s="172"/>
    </row>
    <row r="560" spans="1:30" x14ac:dyDescent="0.15">
      <c r="A560" s="172"/>
      <c r="N560" s="172"/>
      <c r="AC560" s="172"/>
    </row>
    <row r="561" spans="1:30" ht="19.5" thickBot="1" x14ac:dyDescent="0.25">
      <c r="A561" s="177" t="s">
        <v>1183</v>
      </c>
      <c r="B561" s="178"/>
      <c r="C561" s="178"/>
      <c r="D561" s="178"/>
      <c r="E561" s="178"/>
      <c r="F561" s="179"/>
      <c r="G561" s="179"/>
      <c r="H561" s="179"/>
      <c r="I561" s="179"/>
      <c r="J561" s="179"/>
      <c r="K561" s="179"/>
      <c r="L561" s="179"/>
      <c r="M561" s="179"/>
      <c r="N561" s="180"/>
      <c r="P561" s="177" t="s">
        <v>1184</v>
      </c>
      <c r="Q561" s="178"/>
      <c r="R561" s="178"/>
      <c r="S561" s="178"/>
      <c r="T561" s="178"/>
      <c r="Y561" s="179"/>
      <c r="Z561" s="181"/>
      <c r="AA561" s="179"/>
      <c r="AB561" s="179"/>
    </row>
    <row r="562" spans="1:30" ht="14.25" thickBot="1" x14ac:dyDescent="0.2">
      <c r="A562" s="182" t="s">
        <v>0</v>
      </c>
      <c r="B562" s="350" t="s">
        <v>11</v>
      </c>
      <c r="C562" s="350"/>
      <c r="D562" s="350"/>
      <c r="E562" s="351"/>
      <c r="F562" s="349" t="s">
        <v>9</v>
      </c>
      <c r="G562" s="350"/>
      <c r="H562" s="350"/>
      <c r="I562" s="351"/>
      <c r="J562" s="349" t="s">
        <v>12</v>
      </c>
      <c r="K562" s="350"/>
      <c r="L562" s="350"/>
      <c r="M562" s="350"/>
      <c r="N562" s="352" t="s">
        <v>13</v>
      </c>
      <c r="P562" s="183" t="s">
        <v>0</v>
      </c>
      <c r="Q562" s="349" t="s">
        <v>11</v>
      </c>
      <c r="R562" s="350"/>
      <c r="S562" s="350"/>
      <c r="T562" s="351"/>
      <c r="U562" s="349" t="s">
        <v>9</v>
      </c>
      <c r="V562" s="350"/>
      <c r="W562" s="350"/>
      <c r="X562" s="351"/>
      <c r="Y562" s="349" t="s">
        <v>12</v>
      </c>
      <c r="Z562" s="350"/>
      <c r="AA562" s="350"/>
      <c r="AB562" s="351"/>
      <c r="AC562" s="300" t="s">
        <v>13</v>
      </c>
    </row>
    <row r="563" spans="1:30" ht="14.25" thickBot="1" x14ac:dyDescent="0.2">
      <c r="A563" s="182" t="s">
        <v>1</v>
      </c>
      <c r="B563" s="184" t="s">
        <v>922</v>
      </c>
      <c r="C563" s="183" t="s">
        <v>923</v>
      </c>
      <c r="D563" s="183" t="s">
        <v>924</v>
      </c>
      <c r="E563" s="242" t="s">
        <v>2</v>
      </c>
      <c r="F563" s="184" t="s">
        <v>922</v>
      </c>
      <c r="G563" s="183" t="s">
        <v>923</v>
      </c>
      <c r="H563" s="183" t="s">
        <v>924</v>
      </c>
      <c r="I563" s="242" t="s">
        <v>2</v>
      </c>
      <c r="J563" s="184" t="s">
        <v>922</v>
      </c>
      <c r="K563" s="183" t="s">
        <v>923</v>
      </c>
      <c r="L563" s="183" t="s">
        <v>924</v>
      </c>
      <c r="M563" s="252" t="s">
        <v>2</v>
      </c>
      <c r="N563" s="353"/>
      <c r="P563" s="183" t="s">
        <v>1</v>
      </c>
      <c r="Q563" s="184" t="s">
        <v>922</v>
      </c>
      <c r="R563" s="183" t="s">
        <v>923</v>
      </c>
      <c r="S563" s="183" t="s">
        <v>924</v>
      </c>
      <c r="T563" s="242" t="s">
        <v>2</v>
      </c>
      <c r="U563" s="184" t="s">
        <v>922</v>
      </c>
      <c r="V563" s="183" t="s">
        <v>923</v>
      </c>
      <c r="W563" s="183" t="s">
        <v>924</v>
      </c>
      <c r="X563" s="242" t="s">
        <v>2</v>
      </c>
      <c r="Y563" s="184" t="s">
        <v>922</v>
      </c>
      <c r="Z563" s="183" t="s">
        <v>923</v>
      </c>
      <c r="AA563" s="183" t="s">
        <v>924</v>
      </c>
      <c r="AB563" s="252" t="s">
        <v>2</v>
      </c>
      <c r="AC563" s="301"/>
    </row>
    <row r="564" spans="1:30" x14ac:dyDescent="0.15">
      <c r="A564" s="225" t="s">
        <v>6</v>
      </c>
      <c r="B564" s="226">
        <f>B558</f>
        <v>5</v>
      </c>
      <c r="C564" s="226">
        <f t="shared" ref="C564:E564" si="529">C558</f>
        <v>2</v>
      </c>
      <c r="D564" s="226">
        <f t="shared" si="529"/>
        <v>7</v>
      </c>
      <c r="E564" s="260">
        <f t="shared" si="529"/>
        <v>14</v>
      </c>
      <c r="F564" s="226">
        <f>F558</f>
        <v>7</v>
      </c>
      <c r="G564" s="226">
        <f t="shared" ref="G564:I564" si="530">G558</f>
        <v>2</v>
      </c>
      <c r="H564" s="226">
        <f t="shared" si="530"/>
        <v>2</v>
      </c>
      <c r="I564" s="260">
        <f t="shared" si="530"/>
        <v>11</v>
      </c>
      <c r="J564" s="226">
        <f>J558</f>
        <v>6</v>
      </c>
      <c r="K564" s="226">
        <f t="shared" ref="K564:M564" si="531">K558</f>
        <v>2</v>
      </c>
      <c r="L564" s="226">
        <f t="shared" si="531"/>
        <v>3</v>
      </c>
      <c r="M564" s="260">
        <f t="shared" si="531"/>
        <v>11</v>
      </c>
      <c r="N564" s="273">
        <f>E564+I564+M564</f>
        <v>36</v>
      </c>
      <c r="P564" s="215" t="s">
        <v>6</v>
      </c>
      <c r="Q564" s="226">
        <f>Q558</f>
        <v>341</v>
      </c>
      <c r="R564" s="226">
        <f t="shared" ref="R564:T564" si="532">R558</f>
        <v>237</v>
      </c>
      <c r="S564" s="226">
        <f t="shared" si="532"/>
        <v>241</v>
      </c>
      <c r="T564" s="260">
        <f t="shared" si="532"/>
        <v>819</v>
      </c>
      <c r="U564" s="226">
        <f>U558</f>
        <v>375</v>
      </c>
      <c r="V564" s="226">
        <f t="shared" ref="V564:X564" si="533">V558</f>
        <v>278</v>
      </c>
      <c r="W564" s="226">
        <f t="shared" si="533"/>
        <v>222</v>
      </c>
      <c r="X564" s="260">
        <f t="shared" si="533"/>
        <v>875</v>
      </c>
      <c r="Y564" s="226">
        <f>Y558</f>
        <v>327</v>
      </c>
      <c r="Z564" s="226">
        <f t="shared" ref="Z564:AB564" si="534">Z558</f>
        <v>257</v>
      </c>
      <c r="AA564" s="226">
        <f t="shared" si="534"/>
        <v>222</v>
      </c>
      <c r="AB564" s="260">
        <f t="shared" si="534"/>
        <v>806</v>
      </c>
      <c r="AC564" s="258">
        <f>T564+X564+AB564</f>
        <v>2500</v>
      </c>
    </row>
    <row r="565" spans="1:30" x14ac:dyDescent="0.15">
      <c r="A565" s="191" t="s">
        <v>3</v>
      </c>
      <c r="B565" s="199"/>
      <c r="C565" s="197"/>
      <c r="D565" s="197"/>
      <c r="E565" s="243">
        <f t="shared" ref="E565:E600" si="535">SUM(B565:D565)</f>
        <v>0</v>
      </c>
      <c r="F565" s="199"/>
      <c r="G565" s="197"/>
      <c r="H565" s="197"/>
      <c r="I565" s="243">
        <f t="shared" ref="I565:I600" si="536">SUM(F565:H565)</f>
        <v>0</v>
      </c>
      <c r="J565" s="186"/>
      <c r="K565" s="187"/>
      <c r="L565" s="187"/>
      <c r="M565" s="243">
        <f t="shared" ref="M565:M600" si="537">SUM(J565:L565)</f>
        <v>0</v>
      </c>
      <c r="N565" s="253">
        <f t="shared" ref="N565:N601" si="538">E565+I565+M565</f>
        <v>0</v>
      </c>
      <c r="P565" s="191" t="s">
        <v>3</v>
      </c>
      <c r="Q565" s="199"/>
      <c r="R565" s="197"/>
      <c r="S565" s="197"/>
      <c r="T565" s="243">
        <f t="shared" ref="T565:T600" si="539">SUM(Q565:S565)</f>
        <v>0</v>
      </c>
      <c r="U565" s="199"/>
      <c r="V565" s="197"/>
      <c r="W565" s="197"/>
      <c r="X565" s="243">
        <f t="shared" ref="X565:X600" si="540">SUM(U565:W565)</f>
        <v>0</v>
      </c>
      <c r="Y565" s="186"/>
      <c r="Z565" s="187"/>
      <c r="AA565" s="187"/>
      <c r="AB565" s="243">
        <f t="shared" ref="AB565:AB600" si="541">SUM(Y565:AA565)</f>
        <v>0</v>
      </c>
      <c r="AC565" s="253">
        <f t="shared" ref="AC565:AC601" si="542">T565+X565+AB565</f>
        <v>0</v>
      </c>
    </row>
    <row r="566" spans="1:30" x14ac:dyDescent="0.15">
      <c r="A566" s="191" t="s">
        <v>3</v>
      </c>
      <c r="B566" s="186"/>
      <c r="C566" s="187"/>
      <c r="D566" s="187"/>
      <c r="E566" s="244">
        <f t="shared" si="535"/>
        <v>0</v>
      </c>
      <c r="F566" s="186"/>
      <c r="G566" s="187"/>
      <c r="H566" s="187"/>
      <c r="I566" s="244">
        <f t="shared" si="536"/>
        <v>0</v>
      </c>
      <c r="J566" s="196"/>
      <c r="K566" s="197"/>
      <c r="L566" s="197"/>
      <c r="M566" s="243">
        <f t="shared" si="537"/>
        <v>0</v>
      </c>
      <c r="N566" s="253">
        <f t="shared" si="538"/>
        <v>0</v>
      </c>
      <c r="P566" s="191" t="s">
        <v>3</v>
      </c>
      <c r="Q566" s="199"/>
      <c r="R566" s="197"/>
      <c r="S566" s="197"/>
      <c r="T566" s="243">
        <f t="shared" si="539"/>
        <v>0</v>
      </c>
      <c r="U566" s="199"/>
      <c r="V566" s="197"/>
      <c r="W566" s="197"/>
      <c r="X566" s="243">
        <f t="shared" si="540"/>
        <v>0</v>
      </c>
      <c r="Y566" s="186"/>
      <c r="Z566" s="187"/>
      <c r="AA566" s="187"/>
      <c r="AB566" s="243">
        <f t="shared" si="541"/>
        <v>0</v>
      </c>
      <c r="AC566" s="253">
        <f t="shared" si="542"/>
        <v>0</v>
      </c>
    </row>
    <row r="567" spans="1:30" x14ac:dyDescent="0.15">
      <c r="A567" s="191" t="s">
        <v>3</v>
      </c>
      <c r="B567" s="199"/>
      <c r="C567" s="197"/>
      <c r="D567" s="197"/>
      <c r="E567" s="243">
        <f t="shared" si="535"/>
        <v>0</v>
      </c>
      <c r="F567" s="199"/>
      <c r="G567" s="197"/>
      <c r="H567" s="197"/>
      <c r="I567" s="243">
        <f t="shared" si="536"/>
        <v>0</v>
      </c>
      <c r="J567" s="196"/>
      <c r="K567" s="197"/>
      <c r="L567" s="197"/>
      <c r="M567" s="243">
        <f t="shared" si="537"/>
        <v>0</v>
      </c>
      <c r="N567" s="253">
        <f t="shared" si="538"/>
        <v>0</v>
      </c>
      <c r="P567" s="191" t="s">
        <v>3</v>
      </c>
      <c r="Q567" s="199"/>
      <c r="R567" s="197"/>
      <c r="S567" s="197"/>
      <c r="T567" s="243">
        <f t="shared" si="539"/>
        <v>0</v>
      </c>
      <c r="U567" s="199"/>
      <c r="V567" s="197"/>
      <c r="W567" s="197"/>
      <c r="X567" s="243">
        <f t="shared" si="540"/>
        <v>0</v>
      </c>
      <c r="Y567" s="186"/>
      <c r="Z567" s="187"/>
      <c r="AA567" s="187"/>
      <c r="AB567" s="243">
        <f t="shared" si="541"/>
        <v>0</v>
      </c>
      <c r="AC567" s="253">
        <f t="shared" si="542"/>
        <v>0</v>
      </c>
    </row>
    <row r="568" spans="1:30" x14ac:dyDescent="0.15">
      <c r="A568" s="191" t="s">
        <v>3</v>
      </c>
      <c r="B568" s="199"/>
      <c r="C568" s="197"/>
      <c r="D568" s="197"/>
      <c r="E568" s="243">
        <f t="shared" si="535"/>
        <v>0</v>
      </c>
      <c r="F568" s="199"/>
      <c r="G568" s="197"/>
      <c r="H568" s="197"/>
      <c r="I568" s="243">
        <f t="shared" si="536"/>
        <v>0</v>
      </c>
      <c r="J568" s="196"/>
      <c r="K568" s="197"/>
      <c r="L568" s="197"/>
      <c r="M568" s="243">
        <f t="shared" si="537"/>
        <v>0</v>
      </c>
      <c r="N568" s="253">
        <f t="shared" si="538"/>
        <v>0</v>
      </c>
      <c r="P568" s="215" t="s">
        <v>378</v>
      </c>
      <c r="Q568" s="226">
        <v>300</v>
      </c>
      <c r="R568" s="228">
        <v>120</v>
      </c>
      <c r="S568" s="228">
        <v>130</v>
      </c>
      <c r="T568" s="248">
        <f t="shared" si="539"/>
        <v>550</v>
      </c>
      <c r="U568" s="226">
        <v>300</v>
      </c>
      <c r="V568" s="228">
        <v>100</v>
      </c>
      <c r="W568" s="228">
        <v>100</v>
      </c>
      <c r="X568" s="248">
        <f t="shared" si="540"/>
        <v>500</v>
      </c>
      <c r="Y568" s="279">
        <v>300</v>
      </c>
      <c r="Z568" s="211">
        <v>110</v>
      </c>
      <c r="AA568" s="211">
        <v>120</v>
      </c>
      <c r="AB568" s="261">
        <f t="shared" si="541"/>
        <v>530</v>
      </c>
      <c r="AC568" s="258">
        <f t="shared" si="542"/>
        <v>1580</v>
      </c>
      <c r="AD568" s="297">
        <v>46296</v>
      </c>
    </row>
    <row r="569" spans="1:30" x14ac:dyDescent="0.15">
      <c r="A569" s="191" t="s">
        <v>3</v>
      </c>
      <c r="B569" s="199"/>
      <c r="C569" s="197"/>
      <c r="D569" s="197"/>
      <c r="E569" s="243">
        <f t="shared" si="535"/>
        <v>0</v>
      </c>
      <c r="F569" s="199"/>
      <c r="G569" s="197"/>
      <c r="H569" s="197"/>
      <c r="I569" s="243">
        <f t="shared" si="536"/>
        <v>0</v>
      </c>
      <c r="J569" s="196"/>
      <c r="K569" s="197"/>
      <c r="L569" s="197"/>
      <c r="M569" s="243">
        <f t="shared" si="537"/>
        <v>0</v>
      </c>
      <c r="N569" s="253">
        <f t="shared" si="538"/>
        <v>0</v>
      </c>
      <c r="P569" s="191" t="s">
        <v>3</v>
      </c>
      <c r="Q569" s="186"/>
      <c r="R569" s="187"/>
      <c r="S569" s="187"/>
      <c r="T569" s="244">
        <f t="shared" si="539"/>
        <v>0</v>
      </c>
      <c r="U569" s="186"/>
      <c r="V569" s="187"/>
      <c r="W569" s="187"/>
      <c r="X569" s="244">
        <f t="shared" si="540"/>
        <v>0</v>
      </c>
      <c r="Y569" s="196"/>
      <c r="Z569" s="197"/>
      <c r="AA569" s="197"/>
      <c r="AB569" s="243">
        <f t="shared" si="541"/>
        <v>0</v>
      </c>
      <c r="AC569" s="253">
        <f t="shared" si="542"/>
        <v>0</v>
      </c>
    </row>
    <row r="570" spans="1:30" x14ac:dyDescent="0.15">
      <c r="A570" s="191" t="s">
        <v>3</v>
      </c>
      <c r="B570" s="199"/>
      <c r="C570" s="197"/>
      <c r="D570" s="197"/>
      <c r="E570" s="243">
        <f t="shared" si="535"/>
        <v>0</v>
      </c>
      <c r="F570" s="199"/>
      <c r="G570" s="197"/>
      <c r="H570" s="197"/>
      <c r="I570" s="243">
        <f t="shared" si="536"/>
        <v>0</v>
      </c>
      <c r="J570" s="186"/>
      <c r="K570" s="187"/>
      <c r="L570" s="187"/>
      <c r="M570" s="244">
        <f t="shared" si="537"/>
        <v>0</v>
      </c>
      <c r="N570" s="253">
        <f t="shared" si="538"/>
        <v>0</v>
      </c>
      <c r="P570" s="191" t="s">
        <v>3</v>
      </c>
      <c r="Q570" s="199"/>
      <c r="R570" s="197"/>
      <c r="S570" s="197"/>
      <c r="T570" s="243">
        <f t="shared" si="539"/>
        <v>0</v>
      </c>
      <c r="U570" s="199"/>
      <c r="V570" s="197"/>
      <c r="W570" s="197"/>
      <c r="X570" s="243">
        <f t="shared" si="540"/>
        <v>0</v>
      </c>
      <c r="Y570" s="186"/>
      <c r="Z570" s="187"/>
      <c r="AA570" s="187"/>
      <c r="AB570" s="244">
        <f t="shared" si="541"/>
        <v>0</v>
      </c>
      <c r="AC570" s="253">
        <f t="shared" si="542"/>
        <v>0</v>
      </c>
    </row>
    <row r="571" spans="1:30" x14ac:dyDescent="0.15">
      <c r="A571" s="191" t="s">
        <v>3</v>
      </c>
      <c r="B571" s="200"/>
      <c r="C571" s="187"/>
      <c r="D571" s="187"/>
      <c r="E571" s="243">
        <f t="shared" si="535"/>
        <v>0</v>
      </c>
      <c r="F571" s="200"/>
      <c r="G571" s="187"/>
      <c r="H571" s="187"/>
      <c r="I571" s="243">
        <f t="shared" si="536"/>
        <v>0</v>
      </c>
      <c r="J571" s="186"/>
      <c r="K571" s="187"/>
      <c r="L571" s="187"/>
      <c r="M571" s="243">
        <f t="shared" si="537"/>
        <v>0</v>
      </c>
      <c r="N571" s="253">
        <f t="shared" si="538"/>
        <v>0</v>
      </c>
      <c r="P571" s="191" t="s">
        <v>3</v>
      </c>
      <c r="Q571" s="186"/>
      <c r="R571" s="187"/>
      <c r="S571" s="187"/>
      <c r="T571" s="244">
        <f t="shared" si="539"/>
        <v>0</v>
      </c>
      <c r="U571" s="186"/>
      <c r="V571" s="187"/>
      <c r="W571" s="187"/>
      <c r="X571" s="244">
        <f t="shared" si="540"/>
        <v>0</v>
      </c>
      <c r="Y571" s="196"/>
      <c r="Z571" s="197"/>
      <c r="AA571" s="197"/>
      <c r="AB571" s="243">
        <f t="shared" si="541"/>
        <v>0</v>
      </c>
      <c r="AC571" s="253">
        <f t="shared" si="542"/>
        <v>0</v>
      </c>
    </row>
    <row r="572" spans="1:30" x14ac:dyDescent="0.15">
      <c r="A572" s="191" t="s">
        <v>3</v>
      </c>
      <c r="B572" s="199"/>
      <c r="C572" s="197"/>
      <c r="D572" s="197"/>
      <c r="E572" s="243">
        <f t="shared" si="535"/>
        <v>0</v>
      </c>
      <c r="F572" s="199"/>
      <c r="G572" s="197"/>
      <c r="H572" s="197"/>
      <c r="I572" s="243">
        <f t="shared" si="536"/>
        <v>0</v>
      </c>
      <c r="J572" s="186"/>
      <c r="K572" s="187"/>
      <c r="L572" s="187"/>
      <c r="M572" s="243">
        <f t="shared" si="537"/>
        <v>0</v>
      </c>
      <c r="N572" s="253">
        <f t="shared" si="538"/>
        <v>0</v>
      </c>
      <c r="P572" s="191" t="s">
        <v>3</v>
      </c>
      <c r="Q572" s="199"/>
      <c r="R572" s="197"/>
      <c r="S572" s="197"/>
      <c r="T572" s="243">
        <f t="shared" si="539"/>
        <v>0</v>
      </c>
      <c r="U572" s="199"/>
      <c r="V572" s="197"/>
      <c r="W572" s="197"/>
      <c r="X572" s="243">
        <f t="shared" si="540"/>
        <v>0</v>
      </c>
      <c r="Y572" s="186"/>
      <c r="Z572" s="187"/>
      <c r="AA572" s="187"/>
      <c r="AB572" s="243">
        <f t="shared" si="541"/>
        <v>0</v>
      </c>
      <c r="AC572" s="253">
        <f t="shared" si="542"/>
        <v>0</v>
      </c>
    </row>
    <row r="573" spans="1:30" x14ac:dyDescent="0.15">
      <c r="A573" s="191" t="s">
        <v>3</v>
      </c>
      <c r="B573" s="200"/>
      <c r="C573" s="187"/>
      <c r="D573" s="187"/>
      <c r="E573" s="243">
        <f t="shared" si="535"/>
        <v>0</v>
      </c>
      <c r="F573" s="200"/>
      <c r="G573" s="187"/>
      <c r="H573" s="187"/>
      <c r="I573" s="243">
        <f t="shared" si="536"/>
        <v>0</v>
      </c>
      <c r="J573" s="186"/>
      <c r="K573" s="187"/>
      <c r="L573" s="187"/>
      <c r="M573" s="243">
        <f t="shared" si="537"/>
        <v>0</v>
      </c>
      <c r="N573" s="253">
        <f t="shared" si="538"/>
        <v>0</v>
      </c>
      <c r="P573" s="191" t="s">
        <v>3</v>
      </c>
      <c r="Q573" s="200"/>
      <c r="R573" s="187"/>
      <c r="S573" s="187"/>
      <c r="T573" s="243">
        <f t="shared" si="539"/>
        <v>0</v>
      </c>
      <c r="U573" s="200"/>
      <c r="V573" s="187"/>
      <c r="W573" s="187"/>
      <c r="X573" s="243">
        <f t="shared" si="540"/>
        <v>0</v>
      </c>
      <c r="Y573" s="186"/>
      <c r="Z573" s="187"/>
      <c r="AA573" s="187"/>
      <c r="AB573" s="243">
        <f t="shared" si="541"/>
        <v>0</v>
      </c>
      <c r="AC573" s="253">
        <f t="shared" si="542"/>
        <v>0</v>
      </c>
    </row>
    <row r="574" spans="1:30" ht="14.25" thickBot="1" x14ac:dyDescent="0.2">
      <c r="A574" s="206" t="s">
        <v>3</v>
      </c>
      <c r="B574" s="202"/>
      <c r="C574" s="203"/>
      <c r="D574" s="203"/>
      <c r="E574" s="245">
        <f t="shared" si="535"/>
        <v>0</v>
      </c>
      <c r="F574" s="202"/>
      <c r="G574" s="203"/>
      <c r="H574" s="203"/>
      <c r="I574" s="245">
        <f t="shared" si="536"/>
        <v>0</v>
      </c>
      <c r="J574" s="205"/>
      <c r="K574" s="203"/>
      <c r="L574" s="204"/>
      <c r="M574" s="245">
        <f t="shared" si="537"/>
        <v>0</v>
      </c>
      <c r="N574" s="255">
        <f t="shared" si="538"/>
        <v>0</v>
      </c>
      <c r="P574" s="206" t="s">
        <v>3</v>
      </c>
      <c r="Q574" s="202"/>
      <c r="R574" s="203"/>
      <c r="S574" s="203"/>
      <c r="T574" s="245">
        <f t="shared" si="539"/>
        <v>0</v>
      </c>
      <c r="U574" s="202"/>
      <c r="V574" s="203"/>
      <c r="W574" s="203"/>
      <c r="X574" s="245">
        <f t="shared" si="540"/>
        <v>0</v>
      </c>
      <c r="Y574" s="205"/>
      <c r="Z574" s="203"/>
      <c r="AA574" s="204"/>
      <c r="AB574" s="245">
        <f t="shared" si="541"/>
        <v>0</v>
      </c>
      <c r="AC574" s="255">
        <f t="shared" si="542"/>
        <v>0</v>
      </c>
    </row>
    <row r="575" spans="1:30" ht="14.25" thickBot="1" x14ac:dyDescent="0.2">
      <c r="A575" s="207" t="s">
        <v>4</v>
      </c>
      <c r="B575" s="208">
        <f>SUM(B564:B574)</f>
        <v>5</v>
      </c>
      <c r="C575" s="208">
        <f>SUM(C564:C574)</f>
        <v>2</v>
      </c>
      <c r="D575" s="208">
        <f>SUM(D564:D574)</f>
        <v>7</v>
      </c>
      <c r="E575" s="246">
        <f t="shared" si="535"/>
        <v>14</v>
      </c>
      <c r="F575" s="208">
        <f>SUM(F564:F574)</f>
        <v>7</v>
      </c>
      <c r="G575" s="208">
        <f>SUM(G564:G574)</f>
        <v>2</v>
      </c>
      <c r="H575" s="208">
        <f>SUM(H564:H574)</f>
        <v>2</v>
      </c>
      <c r="I575" s="246">
        <f t="shared" si="536"/>
        <v>11</v>
      </c>
      <c r="J575" s="208">
        <f>SUM(J564:J574)</f>
        <v>6</v>
      </c>
      <c r="K575" s="208">
        <f>SUM(K564:K574)</f>
        <v>2</v>
      </c>
      <c r="L575" s="208">
        <f>SUM(L564:L574)</f>
        <v>3</v>
      </c>
      <c r="M575" s="266">
        <f t="shared" si="537"/>
        <v>11</v>
      </c>
      <c r="N575" s="271">
        <f t="shared" si="538"/>
        <v>36</v>
      </c>
      <c r="P575" s="210" t="s">
        <v>4</v>
      </c>
      <c r="Q575" s="208">
        <f>SUM(Q564:Q574)</f>
        <v>641</v>
      </c>
      <c r="R575" s="208">
        <f>SUM(R564:R574)</f>
        <v>357</v>
      </c>
      <c r="S575" s="208">
        <f>SUM(S564:S574)</f>
        <v>371</v>
      </c>
      <c r="T575" s="246">
        <f t="shared" si="539"/>
        <v>1369</v>
      </c>
      <c r="U575" s="208">
        <f>SUM(U564:U574)</f>
        <v>675</v>
      </c>
      <c r="V575" s="208">
        <f>SUM(V564:V574)</f>
        <v>378</v>
      </c>
      <c r="W575" s="208">
        <f>SUM(W564:W574)</f>
        <v>322</v>
      </c>
      <c r="X575" s="246">
        <f t="shared" si="540"/>
        <v>1375</v>
      </c>
      <c r="Y575" s="208">
        <f>SUM(Y564:Y574)</f>
        <v>627</v>
      </c>
      <c r="Z575" s="208">
        <f>SUM(Z564:Z574)</f>
        <v>367</v>
      </c>
      <c r="AA575" s="208">
        <f>SUM(AA564:AA574)</f>
        <v>342</v>
      </c>
      <c r="AB575" s="246">
        <f t="shared" si="541"/>
        <v>1336</v>
      </c>
      <c r="AC575" s="256">
        <f t="shared" si="542"/>
        <v>4080</v>
      </c>
    </row>
    <row r="576" spans="1:30" x14ac:dyDescent="0.15">
      <c r="A576" s="197"/>
      <c r="B576" s="189"/>
      <c r="C576" s="188"/>
      <c r="D576" s="188"/>
      <c r="E576" s="244">
        <f t="shared" si="535"/>
        <v>0</v>
      </c>
      <c r="F576" s="189"/>
      <c r="G576" s="188"/>
      <c r="H576" s="188"/>
      <c r="I576" s="244">
        <f t="shared" si="536"/>
        <v>0</v>
      </c>
      <c r="J576" s="189"/>
      <c r="K576" s="188"/>
      <c r="L576" s="188"/>
      <c r="M576" s="244">
        <f t="shared" si="537"/>
        <v>0</v>
      </c>
      <c r="N576" s="253">
        <f t="shared" si="538"/>
        <v>0</v>
      </c>
      <c r="P576" s="197"/>
      <c r="Q576" s="189"/>
      <c r="R576" s="188"/>
      <c r="S576" s="188"/>
      <c r="T576" s="244">
        <f t="shared" si="539"/>
        <v>0</v>
      </c>
      <c r="U576" s="189"/>
      <c r="V576" s="188"/>
      <c r="W576" s="188"/>
      <c r="X576" s="244">
        <f t="shared" si="540"/>
        <v>0</v>
      </c>
      <c r="Y576" s="189"/>
      <c r="Z576" s="188"/>
      <c r="AA576" s="188"/>
      <c r="AB576" s="244">
        <f t="shared" si="541"/>
        <v>0</v>
      </c>
      <c r="AC576" s="253">
        <f t="shared" si="542"/>
        <v>0</v>
      </c>
    </row>
    <row r="577" spans="1:29" x14ac:dyDescent="0.15">
      <c r="A577" s="197"/>
      <c r="B577" s="189"/>
      <c r="C577" s="188"/>
      <c r="D577" s="188"/>
      <c r="E577" s="244">
        <f t="shared" si="535"/>
        <v>0</v>
      </c>
      <c r="F577" s="189"/>
      <c r="G577" s="188"/>
      <c r="H577" s="188"/>
      <c r="I577" s="244">
        <f t="shared" si="536"/>
        <v>0</v>
      </c>
      <c r="J577" s="189"/>
      <c r="K577" s="188"/>
      <c r="L577" s="188"/>
      <c r="M577" s="244">
        <f t="shared" si="537"/>
        <v>0</v>
      </c>
      <c r="N577" s="253">
        <f t="shared" si="538"/>
        <v>0</v>
      </c>
      <c r="P577" s="197"/>
      <c r="Q577" s="189"/>
      <c r="R577" s="188"/>
      <c r="S577" s="188"/>
      <c r="T577" s="244">
        <f t="shared" si="539"/>
        <v>0</v>
      </c>
      <c r="U577" s="189"/>
      <c r="V577" s="188"/>
      <c r="W577" s="188"/>
      <c r="X577" s="244">
        <f t="shared" si="540"/>
        <v>0</v>
      </c>
      <c r="Y577" s="189"/>
      <c r="Z577" s="188"/>
      <c r="AA577" s="188"/>
      <c r="AB577" s="244">
        <f t="shared" si="541"/>
        <v>0</v>
      </c>
      <c r="AC577" s="253">
        <f t="shared" si="542"/>
        <v>0</v>
      </c>
    </row>
    <row r="578" spans="1:29" x14ac:dyDescent="0.15">
      <c r="A578" s="197"/>
      <c r="B578" s="189"/>
      <c r="C578" s="188"/>
      <c r="D578" s="188"/>
      <c r="E578" s="244">
        <f t="shared" si="535"/>
        <v>0</v>
      </c>
      <c r="F578" s="189"/>
      <c r="G578" s="188"/>
      <c r="H578" s="188"/>
      <c r="I578" s="244">
        <f t="shared" si="536"/>
        <v>0</v>
      </c>
      <c r="J578" s="189"/>
      <c r="K578" s="188"/>
      <c r="L578" s="188"/>
      <c r="M578" s="244">
        <f t="shared" si="537"/>
        <v>0</v>
      </c>
      <c r="N578" s="253">
        <f t="shared" si="538"/>
        <v>0</v>
      </c>
      <c r="P578" s="197"/>
      <c r="Q578" s="189"/>
      <c r="R578" s="188"/>
      <c r="S578" s="188"/>
      <c r="T578" s="244">
        <f t="shared" si="539"/>
        <v>0</v>
      </c>
      <c r="U578" s="189"/>
      <c r="V578" s="188"/>
      <c r="W578" s="188"/>
      <c r="X578" s="244">
        <f t="shared" si="540"/>
        <v>0</v>
      </c>
      <c r="Y578" s="189"/>
      <c r="Z578" s="188"/>
      <c r="AA578" s="188"/>
      <c r="AB578" s="244">
        <f t="shared" si="541"/>
        <v>0</v>
      </c>
      <c r="AC578" s="253">
        <f t="shared" si="542"/>
        <v>0</v>
      </c>
    </row>
    <row r="579" spans="1:29" x14ac:dyDescent="0.15">
      <c r="A579" s="197"/>
      <c r="B579" s="189"/>
      <c r="C579" s="188"/>
      <c r="D579" s="188"/>
      <c r="E579" s="244">
        <f t="shared" si="535"/>
        <v>0</v>
      </c>
      <c r="F579" s="189"/>
      <c r="G579" s="188"/>
      <c r="H579" s="188"/>
      <c r="I579" s="244">
        <f t="shared" si="536"/>
        <v>0</v>
      </c>
      <c r="J579" s="189"/>
      <c r="K579" s="188"/>
      <c r="L579" s="188"/>
      <c r="M579" s="244">
        <f t="shared" si="537"/>
        <v>0</v>
      </c>
      <c r="N579" s="253">
        <f t="shared" si="538"/>
        <v>0</v>
      </c>
      <c r="P579" s="197"/>
      <c r="Q579" s="189"/>
      <c r="R579" s="188"/>
      <c r="S579" s="188"/>
      <c r="T579" s="244">
        <f t="shared" si="539"/>
        <v>0</v>
      </c>
      <c r="U579" s="189"/>
      <c r="V579" s="188"/>
      <c r="W579" s="188"/>
      <c r="X579" s="244">
        <f t="shared" si="540"/>
        <v>0</v>
      </c>
      <c r="Y579" s="189"/>
      <c r="Z579" s="188"/>
      <c r="AA579" s="188"/>
      <c r="AB579" s="244">
        <f t="shared" si="541"/>
        <v>0</v>
      </c>
      <c r="AC579" s="253">
        <f t="shared" si="542"/>
        <v>0</v>
      </c>
    </row>
    <row r="580" spans="1:29" x14ac:dyDescent="0.15">
      <c r="A580" s="197"/>
      <c r="B580" s="189"/>
      <c r="C580" s="188"/>
      <c r="D580" s="188"/>
      <c r="E580" s="244">
        <f t="shared" si="535"/>
        <v>0</v>
      </c>
      <c r="F580" s="189"/>
      <c r="G580" s="188"/>
      <c r="H580" s="188"/>
      <c r="I580" s="244">
        <f t="shared" si="536"/>
        <v>0</v>
      </c>
      <c r="J580" s="189"/>
      <c r="K580" s="188"/>
      <c r="L580" s="188"/>
      <c r="M580" s="244">
        <f t="shared" si="537"/>
        <v>0</v>
      </c>
      <c r="N580" s="253">
        <f t="shared" si="538"/>
        <v>0</v>
      </c>
      <c r="P580" s="197"/>
      <c r="Q580" s="189"/>
      <c r="R580" s="188"/>
      <c r="S580" s="188"/>
      <c r="T580" s="244">
        <f t="shared" si="539"/>
        <v>0</v>
      </c>
      <c r="U580" s="189"/>
      <c r="V580" s="188"/>
      <c r="W580" s="188"/>
      <c r="X580" s="244">
        <f t="shared" si="540"/>
        <v>0</v>
      </c>
      <c r="Y580" s="189"/>
      <c r="Z580" s="188"/>
      <c r="AA580" s="188"/>
      <c r="AB580" s="244">
        <f t="shared" si="541"/>
        <v>0</v>
      </c>
      <c r="AC580" s="253">
        <f t="shared" si="542"/>
        <v>0</v>
      </c>
    </row>
    <row r="581" spans="1:29" x14ac:dyDescent="0.15">
      <c r="A581" s="197"/>
      <c r="B581" s="189"/>
      <c r="C581" s="188"/>
      <c r="D581" s="188"/>
      <c r="E581" s="244">
        <f t="shared" si="535"/>
        <v>0</v>
      </c>
      <c r="F581" s="189"/>
      <c r="G581" s="188"/>
      <c r="H581" s="188"/>
      <c r="I581" s="244">
        <f t="shared" si="536"/>
        <v>0</v>
      </c>
      <c r="J581" s="189"/>
      <c r="K581" s="188"/>
      <c r="L581" s="188"/>
      <c r="M581" s="244">
        <f t="shared" si="537"/>
        <v>0</v>
      </c>
      <c r="N581" s="253">
        <f t="shared" si="538"/>
        <v>0</v>
      </c>
      <c r="P581" s="197"/>
      <c r="Q581" s="189"/>
      <c r="R581" s="188"/>
      <c r="S581" s="188"/>
      <c r="T581" s="244">
        <f t="shared" si="539"/>
        <v>0</v>
      </c>
      <c r="U581" s="189"/>
      <c r="V581" s="188"/>
      <c r="W581" s="188"/>
      <c r="X581" s="244">
        <f t="shared" si="540"/>
        <v>0</v>
      </c>
      <c r="Y581" s="189"/>
      <c r="Z581" s="188"/>
      <c r="AA581" s="188"/>
      <c r="AB581" s="244">
        <f t="shared" si="541"/>
        <v>0</v>
      </c>
      <c r="AC581" s="253">
        <f t="shared" si="542"/>
        <v>0</v>
      </c>
    </row>
    <row r="582" spans="1:29" x14ac:dyDescent="0.15">
      <c r="A582" s="197"/>
      <c r="B582" s="189"/>
      <c r="C582" s="188"/>
      <c r="D582" s="188"/>
      <c r="E582" s="244">
        <f t="shared" si="535"/>
        <v>0</v>
      </c>
      <c r="F582" s="189"/>
      <c r="G582" s="188"/>
      <c r="H582" s="188"/>
      <c r="I582" s="244">
        <f t="shared" si="536"/>
        <v>0</v>
      </c>
      <c r="J582" s="189"/>
      <c r="K582" s="188"/>
      <c r="L582" s="188"/>
      <c r="M582" s="244">
        <f t="shared" si="537"/>
        <v>0</v>
      </c>
      <c r="N582" s="253">
        <f t="shared" si="538"/>
        <v>0</v>
      </c>
      <c r="P582" s="197"/>
      <c r="Q582" s="189"/>
      <c r="R582" s="188"/>
      <c r="S582" s="188"/>
      <c r="T582" s="244">
        <f t="shared" si="539"/>
        <v>0</v>
      </c>
      <c r="U582" s="189"/>
      <c r="V582" s="188"/>
      <c r="W582" s="188"/>
      <c r="X582" s="244">
        <f t="shared" si="540"/>
        <v>0</v>
      </c>
      <c r="Y582" s="189"/>
      <c r="Z582" s="188"/>
      <c r="AA582" s="188"/>
      <c r="AB582" s="244">
        <f t="shared" si="541"/>
        <v>0</v>
      </c>
      <c r="AC582" s="253">
        <f t="shared" si="542"/>
        <v>0</v>
      </c>
    </row>
    <row r="583" spans="1:29" x14ac:dyDescent="0.15">
      <c r="A583" s="197"/>
      <c r="B583" s="189"/>
      <c r="C583" s="188"/>
      <c r="D583" s="188"/>
      <c r="E583" s="244">
        <f t="shared" si="535"/>
        <v>0</v>
      </c>
      <c r="F583" s="189"/>
      <c r="G583" s="188"/>
      <c r="H583" s="188"/>
      <c r="I583" s="244">
        <f t="shared" si="536"/>
        <v>0</v>
      </c>
      <c r="J583" s="189"/>
      <c r="K583" s="188"/>
      <c r="L583" s="188"/>
      <c r="M583" s="244">
        <f t="shared" si="537"/>
        <v>0</v>
      </c>
      <c r="N583" s="253">
        <f t="shared" si="538"/>
        <v>0</v>
      </c>
      <c r="P583" s="197"/>
      <c r="Q583" s="189"/>
      <c r="R583" s="188"/>
      <c r="S583" s="188"/>
      <c r="T583" s="244">
        <f t="shared" si="539"/>
        <v>0</v>
      </c>
      <c r="U583" s="189"/>
      <c r="V583" s="188"/>
      <c r="W583" s="188"/>
      <c r="X583" s="244">
        <f t="shared" si="540"/>
        <v>0</v>
      </c>
      <c r="Y583" s="189"/>
      <c r="Z583" s="188"/>
      <c r="AA583" s="188"/>
      <c r="AB583" s="244">
        <f t="shared" si="541"/>
        <v>0</v>
      </c>
      <c r="AC583" s="253">
        <f t="shared" si="542"/>
        <v>0</v>
      </c>
    </row>
    <row r="584" spans="1:29" x14ac:dyDescent="0.15">
      <c r="A584" s="197"/>
      <c r="B584" s="189"/>
      <c r="C584" s="188"/>
      <c r="D584" s="188"/>
      <c r="E584" s="244">
        <f t="shared" si="535"/>
        <v>0</v>
      </c>
      <c r="F584" s="189"/>
      <c r="G584" s="188"/>
      <c r="H584" s="188"/>
      <c r="I584" s="244">
        <f t="shared" si="536"/>
        <v>0</v>
      </c>
      <c r="J584" s="189"/>
      <c r="K584" s="188"/>
      <c r="L584" s="188"/>
      <c r="M584" s="244">
        <f t="shared" si="537"/>
        <v>0</v>
      </c>
      <c r="N584" s="253">
        <f t="shared" si="538"/>
        <v>0</v>
      </c>
      <c r="P584" s="197"/>
      <c r="Q584" s="189"/>
      <c r="R584" s="188"/>
      <c r="S584" s="188"/>
      <c r="T584" s="244">
        <f t="shared" si="539"/>
        <v>0</v>
      </c>
      <c r="U584" s="189"/>
      <c r="V584" s="188"/>
      <c r="W584" s="188"/>
      <c r="X584" s="244">
        <f t="shared" si="540"/>
        <v>0</v>
      </c>
      <c r="Y584" s="189"/>
      <c r="Z584" s="188"/>
      <c r="AA584" s="188"/>
      <c r="AB584" s="244">
        <f t="shared" si="541"/>
        <v>0</v>
      </c>
      <c r="AC584" s="253">
        <f t="shared" si="542"/>
        <v>0</v>
      </c>
    </row>
    <row r="585" spans="1:29" x14ac:dyDescent="0.15">
      <c r="A585" s="197"/>
      <c r="B585" s="189"/>
      <c r="C585" s="188"/>
      <c r="D585" s="188"/>
      <c r="E585" s="244">
        <f t="shared" si="535"/>
        <v>0</v>
      </c>
      <c r="F585" s="189"/>
      <c r="G585" s="188"/>
      <c r="H585" s="188"/>
      <c r="I585" s="244">
        <f t="shared" si="536"/>
        <v>0</v>
      </c>
      <c r="J585" s="189"/>
      <c r="K585" s="188"/>
      <c r="L585" s="188"/>
      <c r="M585" s="244">
        <f t="shared" si="537"/>
        <v>0</v>
      </c>
      <c r="N585" s="253">
        <f t="shared" si="538"/>
        <v>0</v>
      </c>
      <c r="P585" s="197"/>
      <c r="Q585" s="189"/>
      <c r="R585" s="188"/>
      <c r="S585" s="188"/>
      <c r="T585" s="244">
        <f t="shared" si="539"/>
        <v>0</v>
      </c>
      <c r="U585" s="189"/>
      <c r="V585" s="188"/>
      <c r="W585" s="188"/>
      <c r="X585" s="244">
        <f t="shared" si="540"/>
        <v>0</v>
      </c>
      <c r="Y585" s="189"/>
      <c r="Z585" s="188"/>
      <c r="AA585" s="188"/>
      <c r="AB585" s="244">
        <f t="shared" si="541"/>
        <v>0</v>
      </c>
      <c r="AC585" s="253">
        <f t="shared" si="542"/>
        <v>0</v>
      </c>
    </row>
    <row r="586" spans="1:29" x14ac:dyDescent="0.15">
      <c r="A586" s="197"/>
      <c r="B586" s="189"/>
      <c r="C586" s="188"/>
      <c r="D586" s="188"/>
      <c r="E586" s="244">
        <f t="shared" si="535"/>
        <v>0</v>
      </c>
      <c r="F586" s="189"/>
      <c r="G586" s="188"/>
      <c r="H586" s="188"/>
      <c r="I586" s="244">
        <f t="shared" si="536"/>
        <v>0</v>
      </c>
      <c r="J586" s="189"/>
      <c r="K586" s="188"/>
      <c r="L586" s="188"/>
      <c r="M586" s="244">
        <f t="shared" si="537"/>
        <v>0</v>
      </c>
      <c r="N586" s="253">
        <f t="shared" si="538"/>
        <v>0</v>
      </c>
      <c r="P586" s="197"/>
      <c r="Q586" s="189"/>
      <c r="R586" s="188"/>
      <c r="S586" s="188"/>
      <c r="T586" s="244">
        <f t="shared" si="539"/>
        <v>0</v>
      </c>
      <c r="U586" s="189"/>
      <c r="V586" s="188"/>
      <c r="W586" s="188"/>
      <c r="X586" s="244">
        <f t="shared" si="540"/>
        <v>0</v>
      </c>
      <c r="Y586" s="189"/>
      <c r="Z586" s="188"/>
      <c r="AA586" s="188"/>
      <c r="AB586" s="244">
        <f t="shared" si="541"/>
        <v>0</v>
      </c>
      <c r="AC586" s="253">
        <f t="shared" si="542"/>
        <v>0</v>
      </c>
    </row>
    <row r="587" spans="1:29" x14ac:dyDescent="0.15">
      <c r="A587" s="197"/>
      <c r="B587" s="189"/>
      <c r="C587" s="188"/>
      <c r="D587" s="188"/>
      <c r="E587" s="244">
        <f t="shared" si="535"/>
        <v>0</v>
      </c>
      <c r="F587" s="189"/>
      <c r="G587" s="188"/>
      <c r="H587" s="188"/>
      <c r="I587" s="244">
        <f t="shared" si="536"/>
        <v>0</v>
      </c>
      <c r="J587" s="189"/>
      <c r="K587" s="188"/>
      <c r="L587" s="188"/>
      <c r="M587" s="244">
        <f t="shared" si="537"/>
        <v>0</v>
      </c>
      <c r="N587" s="253">
        <f t="shared" si="538"/>
        <v>0</v>
      </c>
      <c r="P587" s="197"/>
      <c r="Q587" s="189"/>
      <c r="R587" s="188"/>
      <c r="S587" s="188"/>
      <c r="T587" s="244">
        <f t="shared" si="539"/>
        <v>0</v>
      </c>
      <c r="U587" s="189"/>
      <c r="V587" s="188"/>
      <c r="W587" s="188"/>
      <c r="X587" s="244">
        <f t="shared" si="540"/>
        <v>0</v>
      </c>
      <c r="Y587" s="189"/>
      <c r="Z587" s="188"/>
      <c r="AA587" s="188"/>
      <c r="AB587" s="244">
        <f t="shared" si="541"/>
        <v>0</v>
      </c>
      <c r="AC587" s="253">
        <f t="shared" si="542"/>
        <v>0</v>
      </c>
    </row>
    <row r="588" spans="1:29" x14ac:dyDescent="0.15">
      <c r="A588" s="197"/>
      <c r="B588" s="189"/>
      <c r="C588" s="188"/>
      <c r="D588" s="188"/>
      <c r="E588" s="244">
        <f t="shared" si="535"/>
        <v>0</v>
      </c>
      <c r="F588" s="189"/>
      <c r="G588" s="188"/>
      <c r="H588" s="188"/>
      <c r="I588" s="244">
        <f t="shared" si="536"/>
        <v>0</v>
      </c>
      <c r="J588" s="189"/>
      <c r="K588" s="188"/>
      <c r="L588" s="188"/>
      <c r="M588" s="244">
        <f t="shared" si="537"/>
        <v>0</v>
      </c>
      <c r="N588" s="253">
        <f t="shared" si="538"/>
        <v>0</v>
      </c>
      <c r="P588" s="197"/>
      <c r="Q588" s="189"/>
      <c r="R588" s="188"/>
      <c r="S588" s="188"/>
      <c r="T588" s="244">
        <f t="shared" si="539"/>
        <v>0</v>
      </c>
      <c r="U588" s="189"/>
      <c r="V588" s="188"/>
      <c r="W588" s="188"/>
      <c r="X588" s="244">
        <f t="shared" si="540"/>
        <v>0</v>
      </c>
      <c r="Y588" s="189"/>
      <c r="Z588" s="188"/>
      <c r="AA588" s="188"/>
      <c r="AB588" s="244">
        <f t="shared" si="541"/>
        <v>0</v>
      </c>
      <c r="AC588" s="253">
        <f t="shared" si="542"/>
        <v>0</v>
      </c>
    </row>
    <row r="589" spans="1:29" x14ac:dyDescent="0.15">
      <c r="A589" s="197"/>
      <c r="B589" s="189"/>
      <c r="C589" s="188"/>
      <c r="D589" s="188"/>
      <c r="E589" s="244">
        <f t="shared" si="535"/>
        <v>0</v>
      </c>
      <c r="F589" s="189"/>
      <c r="G589" s="188"/>
      <c r="H589" s="188"/>
      <c r="I589" s="244">
        <f t="shared" si="536"/>
        <v>0</v>
      </c>
      <c r="J589" s="189"/>
      <c r="K589" s="188"/>
      <c r="L589" s="188"/>
      <c r="M589" s="244">
        <f t="shared" si="537"/>
        <v>0</v>
      </c>
      <c r="N589" s="253">
        <f t="shared" si="538"/>
        <v>0</v>
      </c>
      <c r="P589" s="197"/>
      <c r="Q589" s="189"/>
      <c r="R589" s="188"/>
      <c r="S589" s="188"/>
      <c r="T589" s="244">
        <f t="shared" si="539"/>
        <v>0</v>
      </c>
      <c r="U589" s="189"/>
      <c r="V589" s="188"/>
      <c r="W589" s="188"/>
      <c r="X589" s="244">
        <f t="shared" si="540"/>
        <v>0</v>
      </c>
      <c r="Y589" s="189"/>
      <c r="Z589" s="188"/>
      <c r="AA589" s="188"/>
      <c r="AB589" s="244">
        <f t="shared" si="541"/>
        <v>0</v>
      </c>
      <c r="AC589" s="253">
        <f t="shared" si="542"/>
        <v>0</v>
      </c>
    </row>
    <row r="590" spans="1:29" x14ac:dyDescent="0.15">
      <c r="A590" s="197"/>
      <c r="B590" s="189"/>
      <c r="C590" s="188"/>
      <c r="D590" s="188"/>
      <c r="E590" s="244">
        <f t="shared" si="535"/>
        <v>0</v>
      </c>
      <c r="F590" s="189"/>
      <c r="G590" s="188"/>
      <c r="H590" s="188"/>
      <c r="I590" s="244">
        <f t="shared" si="536"/>
        <v>0</v>
      </c>
      <c r="J590" s="189"/>
      <c r="K590" s="188"/>
      <c r="L590" s="188"/>
      <c r="M590" s="244">
        <f t="shared" si="537"/>
        <v>0</v>
      </c>
      <c r="N590" s="253">
        <f t="shared" si="538"/>
        <v>0</v>
      </c>
      <c r="P590" s="197"/>
      <c r="Q590" s="189"/>
      <c r="R590" s="188"/>
      <c r="S590" s="188"/>
      <c r="T590" s="244">
        <f t="shared" si="539"/>
        <v>0</v>
      </c>
      <c r="U590" s="189"/>
      <c r="V590" s="188"/>
      <c r="W590" s="188"/>
      <c r="X590" s="244">
        <f t="shared" si="540"/>
        <v>0</v>
      </c>
      <c r="Y590" s="189"/>
      <c r="Z590" s="188"/>
      <c r="AA590" s="188"/>
      <c r="AB590" s="244">
        <f t="shared" si="541"/>
        <v>0</v>
      </c>
      <c r="AC590" s="253">
        <f t="shared" si="542"/>
        <v>0</v>
      </c>
    </row>
    <row r="591" spans="1:29" x14ac:dyDescent="0.15">
      <c r="A591" s="197"/>
      <c r="B591" s="189"/>
      <c r="C591" s="188"/>
      <c r="D591" s="188"/>
      <c r="E591" s="244">
        <f t="shared" si="535"/>
        <v>0</v>
      </c>
      <c r="F591" s="189"/>
      <c r="G591" s="188"/>
      <c r="H591" s="188"/>
      <c r="I591" s="244">
        <f t="shared" si="536"/>
        <v>0</v>
      </c>
      <c r="J591" s="189"/>
      <c r="K591" s="188"/>
      <c r="L591" s="188"/>
      <c r="M591" s="244">
        <f t="shared" si="537"/>
        <v>0</v>
      </c>
      <c r="N591" s="253">
        <f t="shared" si="538"/>
        <v>0</v>
      </c>
      <c r="P591" s="197"/>
      <c r="Q591" s="189"/>
      <c r="R591" s="188"/>
      <c r="S591" s="188"/>
      <c r="T591" s="244">
        <f t="shared" si="539"/>
        <v>0</v>
      </c>
      <c r="U591" s="189"/>
      <c r="V591" s="188"/>
      <c r="W591" s="188"/>
      <c r="X591" s="244">
        <f t="shared" si="540"/>
        <v>0</v>
      </c>
      <c r="Y591" s="189"/>
      <c r="Z591" s="188"/>
      <c r="AA591" s="188"/>
      <c r="AB591" s="244">
        <f t="shared" si="541"/>
        <v>0</v>
      </c>
      <c r="AC591" s="253">
        <f t="shared" si="542"/>
        <v>0</v>
      </c>
    </row>
    <row r="592" spans="1:29" x14ac:dyDescent="0.15">
      <c r="A592" s="197"/>
      <c r="B592" s="189"/>
      <c r="C592" s="188"/>
      <c r="D592" s="188"/>
      <c r="E592" s="244">
        <f t="shared" si="535"/>
        <v>0</v>
      </c>
      <c r="F592" s="189"/>
      <c r="G592" s="188"/>
      <c r="H592" s="188"/>
      <c r="I592" s="244">
        <f t="shared" si="536"/>
        <v>0</v>
      </c>
      <c r="J592" s="189"/>
      <c r="K592" s="188"/>
      <c r="L592" s="188"/>
      <c r="M592" s="244">
        <f t="shared" si="537"/>
        <v>0</v>
      </c>
      <c r="N592" s="253">
        <f t="shared" si="538"/>
        <v>0</v>
      </c>
      <c r="P592" s="197"/>
      <c r="Q592" s="189"/>
      <c r="R592" s="188"/>
      <c r="S592" s="188"/>
      <c r="T592" s="244">
        <f t="shared" si="539"/>
        <v>0</v>
      </c>
      <c r="U592" s="189"/>
      <c r="V592" s="188"/>
      <c r="W592" s="188"/>
      <c r="X592" s="244">
        <f t="shared" si="540"/>
        <v>0</v>
      </c>
      <c r="Y592" s="189"/>
      <c r="Z592" s="188"/>
      <c r="AA592" s="188"/>
      <c r="AB592" s="244">
        <f t="shared" si="541"/>
        <v>0</v>
      </c>
      <c r="AC592" s="253">
        <f t="shared" si="542"/>
        <v>0</v>
      </c>
    </row>
    <row r="593" spans="1:29" x14ac:dyDescent="0.15">
      <c r="A593" s="197"/>
      <c r="B593" s="189"/>
      <c r="C593" s="188"/>
      <c r="D593" s="188"/>
      <c r="E593" s="244">
        <f t="shared" si="535"/>
        <v>0</v>
      </c>
      <c r="F593" s="189"/>
      <c r="G593" s="188"/>
      <c r="H593" s="188"/>
      <c r="I593" s="244">
        <f t="shared" si="536"/>
        <v>0</v>
      </c>
      <c r="J593" s="189"/>
      <c r="K593" s="188"/>
      <c r="L593" s="188"/>
      <c r="M593" s="244">
        <f t="shared" si="537"/>
        <v>0</v>
      </c>
      <c r="N593" s="253">
        <f t="shared" si="538"/>
        <v>0</v>
      </c>
      <c r="P593" s="197"/>
      <c r="Q593" s="189"/>
      <c r="R593" s="188"/>
      <c r="S593" s="188"/>
      <c r="T593" s="244">
        <f t="shared" si="539"/>
        <v>0</v>
      </c>
      <c r="U593" s="189"/>
      <c r="V593" s="188"/>
      <c r="W593" s="188"/>
      <c r="X593" s="244">
        <f t="shared" si="540"/>
        <v>0</v>
      </c>
      <c r="Y593" s="189"/>
      <c r="Z593" s="188"/>
      <c r="AA593" s="188"/>
      <c r="AB593" s="244">
        <f t="shared" si="541"/>
        <v>0</v>
      </c>
      <c r="AC593" s="253">
        <f t="shared" si="542"/>
        <v>0</v>
      </c>
    </row>
    <row r="594" spans="1:29" x14ac:dyDescent="0.15">
      <c r="A594" s="197"/>
      <c r="B594" s="189"/>
      <c r="C594" s="188"/>
      <c r="D594" s="188"/>
      <c r="E594" s="244">
        <f t="shared" si="535"/>
        <v>0</v>
      </c>
      <c r="F594" s="189"/>
      <c r="G594" s="188"/>
      <c r="H594" s="188"/>
      <c r="I594" s="244">
        <f t="shared" si="536"/>
        <v>0</v>
      </c>
      <c r="J594" s="189"/>
      <c r="K594" s="188"/>
      <c r="L594" s="188"/>
      <c r="M594" s="244">
        <f t="shared" si="537"/>
        <v>0</v>
      </c>
      <c r="N594" s="253">
        <f t="shared" si="538"/>
        <v>0</v>
      </c>
      <c r="P594" s="197"/>
      <c r="Q594" s="189"/>
      <c r="R594" s="188"/>
      <c r="S594" s="188"/>
      <c r="T594" s="244">
        <f t="shared" si="539"/>
        <v>0</v>
      </c>
      <c r="U594" s="189"/>
      <c r="V594" s="188"/>
      <c r="W594" s="188"/>
      <c r="X594" s="244">
        <f t="shared" si="540"/>
        <v>0</v>
      </c>
      <c r="Y594" s="189"/>
      <c r="Z594" s="188"/>
      <c r="AA594" s="188"/>
      <c r="AB594" s="244">
        <f t="shared" si="541"/>
        <v>0</v>
      </c>
      <c r="AC594" s="253">
        <f t="shared" si="542"/>
        <v>0</v>
      </c>
    </row>
    <row r="595" spans="1:29" x14ac:dyDescent="0.15">
      <c r="A595" s="197"/>
      <c r="B595" s="189"/>
      <c r="C595" s="188"/>
      <c r="D595" s="188"/>
      <c r="E595" s="244">
        <f t="shared" si="535"/>
        <v>0</v>
      </c>
      <c r="F595" s="189"/>
      <c r="G595" s="188"/>
      <c r="H595" s="188"/>
      <c r="I595" s="244">
        <f t="shared" si="536"/>
        <v>0</v>
      </c>
      <c r="J595" s="189"/>
      <c r="K595" s="188"/>
      <c r="L595" s="188"/>
      <c r="M595" s="244">
        <f t="shared" si="537"/>
        <v>0</v>
      </c>
      <c r="N595" s="253">
        <f t="shared" si="538"/>
        <v>0</v>
      </c>
      <c r="P595" s="197"/>
      <c r="Q595" s="189"/>
      <c r="R595" s="188"/>
      <c r="S595" s="188"/>
      <c r="T595" s="244">
        <f t="shared" si="539"/>
        <v>0</v>
      </c>
      <c r="U595" s="189"/>
      <c r="V595" s="188"/>
      <c r="W595" s="188"/>
      <c r="X595" s="244">
        <f t="shared" si="540"/>
        <v>0</v>
      </c>
      <c r="Y595" s="189"/>
      <c r="Z595" s="188"/>
      <c r="AA595" s="188"/>
      <c r="AB595" s="244">
        <f t="shared" si="541"/>
        <v>0</v>
      </c>
      <c r="AC595" s="253">
        <f t="shared" si="542"/>
        <v>0</v>
      </c>
    </row>
    <row r="596" spans="1:29" x14ac:dyDescent="0.15">
      <c r="A596" s="197"/>
      <c r="B596" s="189"/>
      <c r="C596" s="188"/>
      <c r="D596" s="188"/>
      <c r="E596" s="244">
        <f t="shared" si="535"/>
        <v>0</v>
      </c>
      <c r="F596" s="189"/>
      <c r="G596" s="188"/>
      <c r="H596" s="188"/>
      <c r="I596" s="244">
        <f t="shared" si="536"/>
        <v>0</v>
      </c>
      <c r="J596" s="189"/>
      <c r="K596" s="188"/>
      <c r="L596" s="188"/>
      <c r="M596" s="244">
        <f t="shared" si="537"/>
        <v>0</v>
      </c>
      <c r="N596" s="253">
        <f t="shared" si="538"/>
        <v>0</v>
      </c>
      <c r="P596" s="197"/>
      <c r="Q596" s="189"/>
      <c r="R596" s="188"/>
      <c r="S596" s="188"/>
      <c r="T596" s="244">
        <f t="shared" si="539"/>
        <v>0</v>
      </c>
      <c r="U596" s="189"/>
      <c r="V596" s="188"/>
      <c r="W596" s="188"/>
      <c r="X596" s="244">
        <f t="shared" si="540"/>
        <v>0</v>
      </c>
      <c r="Y596" s="189"/>
      <c r="Z596" s="188"/>
      <c r="AA596" s="188"/>
      <c r="AB596" s="244">
        <f t="shared" si="541"/>
        <v>0</v>
      </c>
      <c r="AC596" s="253">
        <f t="shared" si="542"/>
        <v>0</v>
      </c>
    </row>
    <row r="597" spans="1:29" x14ac:dyDescent="0.15">
      <c r="A597" s="197"/>
      <c r="B597" s="189"/>
      <c r="C597" s="188"/>
      <c r="D597" s="188"/>
      <c r="E597" s="244">
        <f t="shared" si="535"/>
        <v>0</v>
      </c>
      <c r="F597" s="189"/>
      <c r="G597" s="188"/>
      <c r="H597" s="188"/>
      <c r="I597" s="244">
        <f t="shared" si="536"/>
        <v>0</v>
      </c>
      <c r="J597" s="189"/>
      <c r="K597" s="188"/>
      <c r="L597" s="188"/>
      <c r="M597" s="244">
        <f t="shared" si="537"/>
        <v>0</v>
      </c>
      <c r="N597" s="253">
        <f t="shared" si="538"/>
        <v>0</v>
      </c>
      <c r="P597" s="197"/>
      <c r="Q597" s="189"/>
      <c r="R597" s="188"/>
      <c r="S597" s="188"/>
      <c r="T597" s="244">
        <f t="shared" si="539"/>
        <v>0</v>
      </c>
      <c r="U597" s="189"/>
      <c r="V597" s="188"/>
      <c r="W597" s="188"/>
      <c r="X597" s="244">
        <f t="shared" si="540"/>
        <v>0</v>
      </c>
      <c r="Y597" s="189"/>
      <c r="Z597" s="188"/>
      <c r="AA597" s="188"/>
      <c r="AB597" s="244">
        <f t="shared" si="541"/>
        <v>0</v>
      </c>
      <c r="AC597" s="253">
        <f t="shared" si="542"/>
        <v>0</v>
      </c>
    </row>
    <row r="598" spans="1:29" x14ac:dyDescent="0.15">
      <c r="A598" s="197"/>
      <c r="B598" s="189"/>
      <c r="C598" s="188"/>
      <c r="D598" s="188"/>
      <c r="E598" s="244">
        <f t="shared" si="535"/>
        <v>0</v>
      </c>
      <c r="F598" s="189"/>
      <c r="G598" s="188"/>
      <c r="H598" s="188"/>
      <c r="I598" s="244">
        <f t="shared" si="536"/>
        <v>0</v>
      </c>
      <c r="J598" s="189"/>
      <c r="K598" s="188"/>
      <c r="L598" s="188"/>
      <c r="M598" s="244">
        <f t="shared" si="537"/>
        <v>0</v>
      </c>
      <c r="N598" s="253">
        <f t="shared" si="538"/>
        <v>0</v>
      </c>
      <c r="P598" s="197"/>
      <c r="Q598" s="189"/>
      <c r="R598" s="188"/>
      <c r="S598" s="188"/>
      <c r="T598" s="244">
        <f t="shared" si="539"/>
        <v>0</v>
      </c>
      <c r="U598" s="189"/>
      <c r="V598" s="188"/>
      <c r="W598" s="188"/>
      <c r="X598" s="244">
        <f t="shared" si="540"/>
        <v>0</v>
      </c>
      <c r="Y598" s="189"/>
      <c r="Z598" s="188"/>
      <c r="AA598" s="188"/>
      <c r="AB598" s="244">
        <f t="shared" si="541"/>
        <v>0</v>
      </c>
      <c r="AC598" s="253">
        <f t="shared" si="542"/>
        <v>0</v>
      </c>
    </row>
    <row r="599" spans="1:29" ht="14.25" thickBot="1" x14ac:dyDescent="0.2">
      <c r="A599" s="197"/>
      <c r="B599" s="189"/>
      <c r="C599" s="188"/>
      <c r="D599" s="188"/>
      <c r="E599" s="244">
        <f t="shared" si="535"/>
        <v>0</v>
      </c>
      <c r="F599" s="189"/>
      <c r="G599" s="188"/>
      <c r="H599" s="188"/>
      <c r="I599" s="244">
        <f t="shared" si="536"/>
        <v>0</v>
      </c>
      <c r="J599" s="189"/>
      <c r="K599" s="188"/>
      <c r="L599" s="188"/>
      <c r="M599" s="244">
        <f t="shared" si="537"/>
        <v>0</v>
      </c>
      <c r="N599" s="253">
        <f t="shared" si="538"/>
        <v>0</v>
      </c>
      <c r="P599" s="197"/>
      <c r="Q599" s="189"/>
      <c r="R599" s="188"/>
      <c r="S599" s="188"/>
      <c r="T599" s="244">
        <f t="shared" si="539"/>
        <v>0</v>
      </c>
      <c r="U599" s="189"/>
      <c r="V599" s="188"/>
      <c r="W599" s="188"/>
      <c r="X599" s="244">
        <f t="shared" si="540"/>
        <v>0</v>
      </c>
      <c r="Y599" s="189"/>
      <c r="Z599" s="188"/>
      <c r="AA599" s="188"/>
      <c r="AB599" s="244">
        <f t="shared" si="541"/>
        <v>0</v>
      </c>
      <c r="AC599" s="253">
        <f t="shared" si="542"/>
        <v>0</v>
      </c>
    </row>
    <row r="600" spans="1:29" ht="14.25" thickBot="1" x14ac:dyDescent="0.2">
      <c r="A600" s="221" t="s">
        <v>5</v>
      </c>
      <c r="B600" s="222">
        <f>SUM(B576:B599)</f>
        <v>0</v>
      </c>
      <c r="C600" s="222">
        <f>SUM(C576:C599)</f>
        <v>0</v>
      </c>
      <c r="D600" s="222">
        <f>SUM(D576:D599)</f>
        <v>0</v>
      </c>
      <c r="E600" s="251">
        <f t="shared" si="535"/>
        <v>0</v>
      </c>
      <c r="F600" s="222">
        <f>SUM(F576:F599)</f>
        <v>0</v>
      </c>
      <c r="G600" s="222">
        <f>SUM(G576:G599)</f>
        <v>0</v>
      </c>
      <c r="H600" s="222">
        <f>SUM(H576:H599)</f>
        <v>0</v>
      </c>
      <c r="I600" s="251">
        <f t="shared" si="536"/>
        <v>0</v>
      </c>
      <c r="J600" s="222">
        <f>SUM(J576:J599)</f>
        <v>0</v>
      </c>
      <c r="K600" s="222">
        <f>SUM(K576:K599)</f>
        <v>0</v>
      </c>
      <c r="L600" s="222">
        <f>SUM(L576:L599)</f>
        <v>0</v>
      </c>
      <c r="M600" s="267">
        <f t="shared" si="537"/>
        <v>0</v>
      </c>
      <c r="N600" s="272">
        <f t="shared" si="538"/>
        <v>0</v>
      </c>
      <c r="P600" s="184" t="s">
        <v>5</v>
      </c>
      <c r="Q600" s="222">
        <f>SUM(Q576:Q599)</f>
        <v>0</v>
      </c>
      <c r="R600" s="222">
        <f>SUM(R576:R599)</f>
        <v>0</v>
      </c>
      <c r="S600" s="222">
        <f>SUM(S576:S599)</f>
        <v>0</v>
      </c>
      <c r="T600" s="251">
        <f t="shared" si="539"/>
        <v>0</v>
      </c>
      <c r="U600" s="222">
        <f>SUM(U576:U599)</f>
        <v>0</v>
      </c>
      <c r="V600" s="222">
        <f>SUM(V576:V599)</f>
        <v>0</v>
      </c>
      <c r="W600" s="222">
        <f>SUM(W576:W599)</f>
        <v>0</v>
      </c>
      <c r="X600" s="251">
        <f t="shared" si="540"/>
        <v>0</v>
      </c>
      <c r="Y600" s="222">
        <f>SUM(Y576:Y599)</f>
        <v>0</v>
      </c>
      <c r="Z600" s="222">
        <f>SUM(Z576:Z599)</f>
        <v>0</v>
      </c>
      <c r="AA600" s="222">
        <f>SUM(AA576:AA599)</f>
        <v>0</v>
      </c>
      <c r="AB600" s="251">
        <f t="shared" si="541"/>
        <v>0</v>
      </c>
      <c r="AC600" s="256">
        <f t="shared" si="542"/>
        <v>0</v>
      </c>
    </row>
    <row r="601" spans="1:29" ht="14.25" thickBot="1" x14ac:dyDescent="0.2">
      <c r="A601" s="223" t="s">
        <v>6</v>
      </c>
      <c r="B601" s="209">
        <f>B575-B600</f>
        <v>5</v>
      </c>
      <c r="C601" s="209">
        <f t="shared" ref="C601:E601" si="543">C575-C600</f>
        <v>2</v>
      </c>
      <c r="D601" s="209">
        <f t="shared" si="543"/>
        <v>7</v>
      </c>
      <c r="E601" s="246">
        <f t="shared" si="543"/>
        <v>14</v>
      </c>
      <c r="F601" s="209">
        <f>F575-F600</f>
        <v>7</v>
      </c>
      <c r="G601" s="209">
        <f t="shared" ref="G601:I601" si="544">G575-G600</f>
        <v>2</v>
      </c>
      <c r="H601" s="209">
        <f t="shared" si="544"/>
        <v>2</v>
      </c>
      <c r="I601" s="246">
        <f t="shared" si="544"/>
        <v>11</v>
      </c>
      <c r="J601" s="209">
        <f>J575-J600</f>
        <v>6</v>
      </c>
      <c r="K601" s="209">
        <f t="shared" ref="K601:M601" si="545">K575-K600</f>
        <v>2</v>
      </c>
      <c r="L601" s="209">
        <f t="shared" si="545"/>
        <v>3</v>
      </c>
      <c r="M601" s="266">
        <f t="shared" si="545"/>
        <v>11</v>
      </c>
      <c r="N601" s="271">
        <f t="shared" si="538"/>
        <v>36</v>
      </c>
      <c r="P601" s="224" t="s">
        <v>6</v>
      </c>
      <c r="Q601" s="209">
        <f t="shared" ref="Q601:AB601" si="546">Q575-Q600</f>
        <v>641</v>
      </c>
      <c r="R601" s="209">
        <f t="shared" si="546"/>
        <v>357</v>
      </c>
      <c r="S601" s="209">
        <f t="shared" si="546"/>
        <v>371</v>
      </c>
      <c r="T601" s="246">
        <f t="shared" si="546"/>
        <v>1369</v>
      </c>
      <c r="U601" s="209">
        <f t="shared" si="546"/>
        <v>675</v>
      </c>
      <c r="V601" s="209">
        <f t="shared" si="546"/>
        <v>378</v>
      </c>
      <c r="W601" s="209">
        <f t="shared" si="546"/>
        <v>322</v>
      </c>
      <c r="X601" s="246">
        <f t="shared" si="546"/>
        <v>1375</v>
      </c>
      <c r="Y601" s="209">
        <f t="shared" si="546"/>
        <v>627</v>
      </c>
      <c r="Z601" s="209">
        <f t="shared" si="546"/>
        <v>367</v>
      </c>
      <c r="AA601" s="209">
        <f t="shared" si="546"/>
        <v>342</v>
      </c>
      <c r="AB601" s="246">
        <f t="shared" si="546"/>
        <v>1336</v>
      </c>
      <c r="AC601" s="256">
        <f t="shared" si="542"/>
        <v>4080</v>
      </c>
    </row>
    <row r="602" spans="1:29" x14ac:dyDescent="0.15">
      <c r="A602" s="172"/>
      <c r="N602" s="172"/>
      <c r="AC602" s="172"/>
    </row>
    <row r="603" spans="1:29" x14ac:dyDescent="0.15">
      <c r="A603" s="172"/>
      <c r="N603" s="172"/>
      <c r="AC603" s="172"/>
    </row>
    <row r="604" spans="1:29" x14ac:dyDescent="0.15">
      <c r="A604" s="172"/>
      <c r="N604" s="172"/>
      <c r="AC604" s="172"/>
    </row>
    <row r="605" spans="1:29" x14ac:dyDescent="0.15">
      <c r="A605" s="172"/>
      <c r="N605" s="172"/>
      <c r="AC605" s="172"/>
    </row>
    <row r="606" spans="1:29" x14ac:dyDescent="0.15">
      <c r="A606" s="172"/>
      <c r="N606" s="172"/>
      <c r="AC606" s="172"/>
    </row>
    <row r="607" spans="1:29" x14ac:dyDescent="0.15">
      <c r="A607" s="172"/>
      <c r="N607" s="172"/>
      <c r="AC607" s="172"/>
    </row>
    <row r="608" spans="1:29" x14ac:dyDescent="0.15">
      <c r="A608" s="172"/>
      <c r="N608" s="172"/>
      <c r="AC608" s="172"/>
    </row>
    <row r="609" spans="30:30" s="172" customFormat="1" x14ac:dyDescent="0.15">
      <c r="AD609" s="176"/>
    </row>
    <row r="610" spans="30:30" s="172" customFormat="1" x14ac:dyDescent="0.15">
      <c r="AD610" s="176"/>
    </row>
    <row r="611" spans="30:30" s="172" customFormat="1" x14ac:dyDescent="0.15">
      <c r="AD611" s="176"/>
    </row>
    <row r="612" spans="30:30" s="172" customFormat="1" x14ac:dyDescent="0.15">
      <c r="AD612" s="176"/>
    </row>
    <row r="613" spans="30:30" s="172" customFormat="1" x14ac:dyDescent="0.15">
      <c r="AD613" s="176"/>
    </row>
    <row r="614" spans="30:30" s="172" customFormat="1" x14ac:dyDescent="0.15">
      <c r="AD614" s="176"/>
    </row>
    <row r="615" spans="30:30" s="172" customFormat="1" x14ac:dyDescent="0.15">
      <c r="AD615" s="176"/>
    </row>
    <row r="616" spans="30:30" s="172" customFormat="1" x14ac:dyDescent="0.15">
      <c r="AD616" s="176"/>
    </row>
    <row r="617" spans="30:30" s="172" customFormat="1" x14ac:dyDescent="0.15">
      <c r="AD617" s="176"/>
    </row>
    <row r="618" spans="30:30" s="172" customFormat="1" x14ac:dyDescent="0.15">
      <c r="AD618" s="176"/>
    </row>
    <row r="619" spans="30:30" s="172" customFormat="1" x14ac:dyDescent="0.15">
      <c r="AD619" s="176"/>
    </row>
    <row r="620" spans="30:30" s="172" customFormat="1" x14ac:dyDescent="0.15">
      <c r="AD620" s="176"/>
    </row>
    <row r="621" spans="30:30" s="172" customFormat="1" x14ac:dyDescent="0.15">
      <c r="AD621" s="176"/>
    </row>
    <row r="622" spans="30:30" s="172" customFormat="1" x14ac:dyDescent="0.15">
      <c r="AD622" s="176"/>
    </row>
    <row r="623" spans="30:30" s="172" customFormat="1" x14ac:dyDescent="0.15">
      <c r="AD623" s="176"/>
    </row>
    <row r="624" spans="30:30" s="172" customFormat="1" x14ac:dyDescent="0.15">
      <c r="AD624" s="176"/>
    </row>
    <row r="625" spans="30:30" s="172" customFormat="1" x14ac:dyDescent="0.15">
      <c r="AD625" s="176"/>
    </row>
    <row r="626" spans="30:30" s="172" customFormat="1" x14ac:dyDescent="0.15">
      <c r="AD626" s="176"/>
    </row>
    <row r="627" spans="30:30" s="172" customFormat="1" x14ac:dyDescent="0.15">
      <c r="AD627" s="176"/>
    </row>
    <row r="628" spans="30:30" s="172" customFormat="1" x14ac:dyDescent="0.15">
      <c r="AD628" s="176"/>
    </row>
    <row r="629" spans="30:30" s="172" customFormat="1" x14ac:dyDescent="0.15">
      <c r="AD629" s="176"/>
    </row>
    <row r="630" spans="30:30" s="172" customFormat="1" x14ac:dyDescent="0.15">
      <c r="AD630" s="176"/>
    </row>
    <row r="631" spans="30:30" s="172" customFormat="1" x14ac:dyDescent="0.15">
      <c r="AD631" s="176"/>
    </row>
    <row r="632" spans="30:30" s="172" customFormat="1" x14ac:dyDescent="0.15">
      <c r="AD632" s="176"/>
    </row>
    <row r="633" spans="30:30" s="172" customFormat="1" x14ac:dyDescent="0.15">
      <c r="AD633" s="176"/>
    </row>
    <row r="634" spans="30:30" s="172" customFormat="1" x14ac:dyDescent="0.15">
      <c r="AD634" s="176"/>
    </row>
    <row r="635" spans="30:30" s="172" customFormat="1" x14ac:dyDescent="0.15">
      <c r="AD635" s="176"/>
    </row>
    <row r="636" spans="30:30" s="172" customFormat="1" x14ac:dyDescent="0.15">
      <c r="AD636" s="176"/>
    </row>
    <row r="637" spans="30:30" s="172" customFormat="1" x14ac:dyDescent="0.15">
      <c r="AD637" s="176"/>
    </row>
    <row r="638" spans="30:30" s="172" customFormat="1" x14ac:dyDescent="0.15">
      <c r="AD638" s="176"/>
    </row>
    <row r="639" spans="30:30" s="172" customFormat="1" x14ac:dyDescent="0.15">
      <c r="AD639" s="176"/>
    </row>
    <row r="640" spans="30:30" s="172" customFormat="1" x14ac:dyDescent="0.15">
      <c r="AD640" s="176"/>
    </row>
    <row r="641" spans="30:30" s="172" customFormat="1" x14ac:dyDescent="0.15">
      <c r="AD641" s="176"/>
    </row>
    <row r="642" spans="30:30" s="172" customFormat="1" x14ac:dyDescent="0.15">
      <c r="AD642" s="176"/>
    </row>
    <row r="643" spans="30:30" s="172" customFormat="1" x14ac:dyDescent="0.15">
      <c r="AD643" s="176"/>
    </row>
    <row r="644" spans="30:30" s="172" customFormat="1" x14ac:dyDescent="0.15">
      <c r="AD644" s="176"/>
    </row>
    <row r="645" spans="30:30" s="172" customFormat="1" x14ac:dyDescent="0.15">
      <c r="AD645" s="176"/>
    </row>
    <row r="646" spans="30:30" s="172" customFormat="1" x14ac:dyDescent="0.15">
      <c r="AD646" s="176"/>
    </row>
    <row r="647" spans="30:30" s="172" customFormat="1" x14ac:dyDescent="0.15">
      <c r="AD647" s="176"/>
    </row>
    <row r="648" spans="30:30" s="172" customFormat="1" x14ac:dyDescent="0.15">
      <c r="AD648" s="176"/>
    </row>
    <row r="649" spans="30:30" s="172" customFormat="1" x14ac:dyDescent="0.15">
      <c r="AD649" s="176"/>
    </row>
    <row r="650" spans="30:30" s="172" customFormat="1" x14ac:dyDescent="0.15">
      <c r="AD650" s="176"/>
    </row>
    <row r="651" spans="30:30" s="172" customFormat="1" x14ac:dyDescent="0.15">
      <c r="AD651" s="176"/>
    </row>
    <row r="652" spans="30:30" s="172" customFormat="1" x14ac:dyDescent="0.15">
      <c r="AD652" s="176"/>
    </row>
    <row r="653" spans="30:30" s="172" customFormat="1" x14ac:dyDescent="0.15">
      <c r="AD653" s="176"/>
    </row>
    <row r="654" spans="30:30" s="172" customFormat="1" x14ac:dyDescent="0.15">
      <c r="AD654" s="176"/>
    </row>
    <row r="655" spans="30:30" s="172" customFormat="1" x14ac:dyDescent="0.15">
      <c r="AD655" s="176"/>
    </row>
    <row r="656" spans="30:30" s="172" customFormat="1" x14ac:dyDescent="0.15">
      <c r="AD656" s="176"/>
    </row>
    <row r="657" spans="30:30" s="172" customFormat="1" x14ac:dyDescent="0.15">
      <c r="AD657" s="176"/>
    </row>
    <row r="658" spans="30:30" s="172" customFormat="1" x14ac:dyDescent="0.15">
      <c r="AD658" s="176"/>
    </row>
    <row r="659" spans="30:30" s="172" customFormat="1" x14ac:dyDescent="0.15">
      <c r="AD659" s="176"/>
    </row>
    <row r="660" spans="30:30" s="172" customFormat="1" x14ac:dyDescent="0.15">
      <c r="AD660" s="176"/>
    </row>
    <row r="661" spans="30:30" s="172" customFormat="1" x14ac:dyDescent="0.15">
      <c r="AD661" s="176"/>
    </row>
    <row r="662" spans="30:30" s="172" customFormat="1" x14ac:dyDescent="0.15">
      <c r="AD662" s="176"/>
    </row>
    <row r="663" spans="30:30" s="172" customFormat="1" x14ac:dyDescent="0.15">
      <c r="AD663" s="176"/>
    </row>
    <row r="664" spans="30:30" s="172" customFormat="1" x14ac:dyDescent="0.15">
      <c r="AD664" s="176"/>
    </row>
    <row r="665" spans="30:30" s="172" customFormat="1" x14ac:dyDescent="0.15">
      <c r="AD665" s="176"/>
    </row>
    <row r="666" spans="30:30" s="172" customFormat="1" x14ac:dyDescent="0.15">
      <c r="AD666" s="176"/>
    </row>
    <row r="667" spans="30:30" s="172" customFormat="1" x14ac:dyDescent="0.15">
      <c r="AD667" s="176"/>
    </row>
    <row r="668" spans="30:30" s="172" customFormat="1" x14ac:dyDescent="0.15">
      <c r="AD668" s="176"/>
    </row>
    <row r="669" spans="30:30" s="172" customFormat="1" x14ac:dyDescent="0.15">
      <c r="AD669" s="176"/>
    </row>
    <row r="670" spans="30:30" s="172" customFormat="1" x14ac:dyDescent="0.15">
      <c r="AD670" s="176"/>
    </row>
    <row r="671" spans="30:30" s="172" customFormat="1" x14ac:dyDescent="0.15">
      <c r="AD671" s="176"/>
    </row>
    <row r="672" spans="30:30" s="172" customFormat="1" x14ac:dyDescent="0.15">
      <c r="AD672" s="176"/>
    </row>
    <row r="673" spans="30:30" s="172" customFormat="1" x14ac:dyDescent="0.15">
      <c r="AD673" s="176"/>
    </row>
    <row r="674" spans="30:30" s="172" customFormat="1" x14ac:dyDescent="0.15">
      <c r="AD674" s="176"/>
    </row>
    <row r="675" spans="30:30" s="172" customFormat="1" x14ac:dyDescent="0.15">
      <c r="AD675" s="176"/>
    </row>
    <row r="676" spans="30:30" s="172" customFormat="1" x14ac:dyDescent="0.15">
      <c r="AD676" s="176"/>
    </row>
    <row r="677" spans="30:30" s="172" customFormat="1" x14ac:dyDescent="0.15">
      <c r="AD677" s="176"/>
    </row>
    <row r="678" spans="30:30" s="172" customFormat="1" x14ac:dyDescent="0.15">
      <c r="AD678" s="176"/>
    </row>
    <row r="679" spans="30:30" s="172" customFormat="1" x14ac:dyDescent="0.15">
      <c r="AD679" s="176"/>
    </row>
    <row r="680" spans="30:30" s="172" customFormat="1" x14ac:dyDescent="0.15">
      <c r="AD680" s="176"/>
    </row>
    <row r="681" spans="30:30" s="172" customFormat="1" x14ac:dyDescent="0.15">
      <c r="AD681" s="176"/>
    </row>
    <row r="682" spans="30:30" s="172" customFormat="1" x14ac:dyDescent="0.15">
      <c r="AD682" s="176"/>
    </row>
    <row r="683" spans="30:30" s="172" customFormat="1" x14ac:dyDescent="0.15">
      <c r="AD683" s="176"/>
    </row>
    <row r="684" spans="30:30" s="172" customFormat="1" x14ac:dyDescent="0.15">
      <c r="AD684" s="176"/>
    </row>
    <row r="685" spans="30:30" s="172" customFormat="1" x14ac:dyDescent="0.15">
      <c r="AD685" s="176"/>
    </row>
    <row r="686" spans="30:30" s="172" customFormat="1" x14ac:dyDescent="0.15">
      <c r="AD686" s="176"/>
    </row>
    <row r="687" spans="30:30" s="172" customFormat="1" x14ac:dyDescent="0.15">
      <c r="AD687" s="176"/>
    </row>
    <row r="688" spans="30:30" s="172" customFormat="1" x14ac:dyDescent="0.15">
      <c r="AD688" s="176"/>
    </row>
    <row r="689" spans="30:30" s="172" customFormat="1" x14ac:dyDescent="0.15">
      <c r="AD689" s="176"/>
    </row>
    <row r="690" spans="30:30" s="172" customFormat="1" x14ac:dyDescent="0.15">
      <c r="AD690" s="176"/>
    </row>
    <row r="691" spans="30:30" s="172" customFormat="1" x14ac:dyDescent="0.15">
      <c r="AD691" s="176"/>
    </row>
    <row r="692" spans="30:30" s="172" customFormat="1" x14ac:dyDescent="0.15">
      <c r="AD692" s="176"/>
    </row>
    <row r="693" spans="30:30" s="172" customFormat="1" x14ac:dyDescent="0.15">
      <c r="AD693" s="176"/>
    </row>
    <row r="694" spans="30:30" s="172" customFormat="1" x14ac:dyDescent="0.15">
      <c r="AD694" s="176"/>
    </row>
    <row r="695" spans="30:30" s="172" customFormat="1" x14ac:dyDescent="0.15">
      <c r="AD695" s="176"/>
    </row>
    <row r="696" spans="30:30" s="172" customFormat="1" x14ac:dyDescent="0.15">
      <c r="AD696" s="176"/>
    </row>
    <row r="697" spans="30:30" s="172" customFormat="1" x14ac:dyDescent="0.15">
      <c r="AD697" s="176"/>
    </row>
    <row r="698" spans="30:30" s="172" customFormat="1" x14ac:dyDescent="0.15">
      <c r="AD698" s="176"/>
    </row>
    <row r="699" spans="30:30" s="172" customFormat="1" x14ac:dyDescent="0.15">
      <c r="AD699" s="176"/>
    </row>
    <row r="700" spans="30:30" s="172" customFormat="1" x14ac:dyDescent="0.15">
      <c r="AD700" s="176"/>
    </row>
    <row r="701" spans="30:30" s="172" customFormat="1" x14ac:dyDescent="0.15">
      <c r="AD701" s="176"/>
    </row>
    <row r="702" spans="30:30" s="172" customFormat="1" x14ac:dyDescent="0.15">
      <c r="AD702" s="176"/>
    </row>
    <row r="703" spans="30:30" s="172" customFormat="1" x14ac:dyDescent="0.15">
      <c r="AD703" s="176"/>
    </row>
    <row r="704" spans="30:30" s="172" customFormat="1" x14ac:dyDescent="0.15">
      <c r="AD704" s="176"/>
    </row>
    <row r="705" spans="30:30" s="172" customFormat="1" x14ac:dyDescent="0.15">
      <c r="AD705" s="176"/>
    </row>
    <row r="706" spans="30:30" s="172" customFormat="1" x14ac:dyDescent="0.15">
      <c r="AD706" s="176"/>
    </row>
    <row r="707" spans="30:30" s="172" customFormat="1" x14ac:dyDescent="0.15">
      <c r="AD707" s="176"/>
    </row>
    <row r="708" spans="30:30" s="172" customFormat="1" x14ac:dyDescent="0.15">
      <c r="AD708" s="176"/>
    </row>
    <row r="709" spans="30:30" s="172" customFormat="1" x14ac:dyDescent="0.15">
      <c r="AD709" s="176"/>
    </row>
    <row r="710" spans="30:30" s="172" customFormat="1" x14ac:dyDescent="0.15">
      <c r="AD710" s="176"/>
    </row>
    <row r="711" spans="30:30" s="172" customFormat="1" x14ac:dyDescent="0.15">
      <c r="AD711" s="176"/>
    </row>
    <row r="712" spans="30:30" s="172" customFormat="1" x14ac:dyDescent="0.15">
      <c r="AD712" s="176"/>
    </row>
    <row r="713" spans="30:30" s="172" customFormat="1" x14ac:dyDescent="0.15">
      <c r="AD713" s="176"/>
    </row>
    <row r="714" spans="30:30" s="172" customFormat="1" x14ac:dyDescent="0.15">
      <c r="AD714" s="176"/>
    </row>
    <row r="715" spans="30:30" s="172" customFormat="1" x14ac:dyDescent="0.15">
      <c r="AD715" s="176"/>
    </row>
    <row r="716" spans="30:30" s="172" customFormat="1" x14ac:dyDescent="0.15">
      <c r="AD716" s="176"/>
    </row>
    <row r="717" spans="30:30" s="172" customFormat="1" x14ac:dyDescent="0.15">
      <c r="AD717" s="176"/>
    </row>
    <row r="718" spans="30:30" s="172" customFormat="1" x14ac:dyDescent="0.15">
      <c r="AD718" s="176"/>
    </row>
    <row r="719" spans="30:30" s="172" customFormat="1" x14ac:dyDescent="0.15">
      <c r="AD719" s="176"/>
    </row>
    <row r="720" spans="30:30" s="172" customFormat="1" x14ac:dyDescent="0.15">
      <c r="AD720" s="176"/>
    </row>
    <row r="721" spans="30:30" s="172" customFormat="1" x14ac:dyDescent="0.15">
      <c r="AD721" s="176"/>
    </row>
    <row r="722" spans="30:30" s="172" customFormat="1" x14ac:dyDescent="0.15">
      <c r="AD722" s="176"/>
    </row>
    <row r="723" spans="30:30" s="172" customFormat="1" x14ac:dyDescent="0.15">
      <c r="AD723" s="176"/>
    </row>
    <row r="724" spans="30:30" s="172" customFormat="1" x14ac:dyDescent="0.15">
      <c r="AD724" s="176"/>
    </row>
    <row r="725" spans="30:30" s="172" customFormat="1" x14ac:dyDescent="0.15">
      <c r="AD725" s="176"/>
    </row>
    <row r="726" spans="30:30" s="172" customFormat="1" x14ac:dyDescent="0.15">
      <c r="AD726" s="176"/>
    </row>
    <row r="727" spans="30:30" s="172" customFormat="1" x14ac:dyDescent="0.15">
      <c r="AD727" s="176"/>
    </row>
    <row r="728" spans="30:30" s="172" customFormat="1" x14ac:dyDescent="0.15">
      <c r="AD728" s="176"/>
    </row>
    <row r="729" spans="30:30" s="172" customFormat="1" x14ac:dyDescent="0.15">
      <c r="AD729" s="176"/>
    </row>
    <row r="730" spans="30:30" s="172" customFormat="1" x14ac:dyDescent="0.15">
      <c r="AD730" s="176"/>
    </row>
    <row r="731" spans="30:30" s="172" customFormat="1" x14ac:dyDescent="0.15">
      <c r="AD731" s="176"/>
    </row>
    <row r="732" spans="30:30" s="172" customFormat="1" x14ac:dyDescent="0.15">
      <c r="AD732" s="176"/>
    </row>
    <row r="733" spans="30:30" s="172" customFormat="1" x14ac:dyDescent="0.15">
      <c r="AD733" s="176"/>
    </row>
    <row r="734" spans="30:30" s="172" customFormat="1" x14ac:dyDescent="0.15">
      <c r="AD734" s="176"/>
    </row>
    <row r="735" spans="30:30" s="172" customFormat="1" x14ac:dyDescent="0.15">
      <c r="AD735" s="176"/>
    </row>
    <row r="736" spans="30:30" s="172" customFormat="1" x14ac:dyDescent="0.15">
      <c r="AD736" s="176"/>
    </row>
    <row r="737" spans="30:30" s="172" customFormat="1" x14ac:dyDescent="0.15">
      <c r="AD737" s="176"/>
    </row>
    <row r="738" spans="30:30" s="172" customFormat="1" x14ac:dyDescent="0.15">
      <c r="AD738" s="176"/>
    </row>
    <row r="739" spans="30:30" s="172" customFormat="1" x14ac:dyDescent="0.15">
      <c r="AD739" s="176"/>
    </row>
    <row r="740" spans="30:30" s="172" customFormat="1" x14ac:dyDescent="0.15">
      <c r="AD740" s="176"/>
    </row>
    <row r="741" spans="30:30" s="172" customFormat="1" x14ac:dyDescent="0.15">
      <c r="AD741" s="176"/>
    </row>
    <row r="742" spans="30:30" s="172" customFormat="1" x14ac:dyDescent="0.15">
      <c r="AD742" s="176"/>
    </row>
    <row r="743" spans="30:30" s="172" customFormat="1" x14ac:dyDescent="0.15">
      <c r="AD743" s="176"/>
    </row>
    <row r="744" spans="30:30" s="172" customFormat="1" x14ac:dyDescent="0.15">
      <c r="AD744" s="176"/>
    </row>
    <row r="745" spans="30:30" s="172" customFormat="1" x14ac:dyDescent="0.15">
      <c r="AD745" s="176"/>
    </row>
    <row r="746" spans="30:30" s="172" customFormat="1" x14ac:dyDescent="0.15">
      <c r="AD746" s="176"/>
    </row>
    <row r="747" spans="30:30" s="172" customFormat="1" x14ac:dyDescent="0.15">
      <c r="AD747" s="176"/>
    </row>
    <row r="748" spans="30:30" s="172" customFormat="1" x14ac:dyDescent="0.15">
      <c r="AD748" s="176"/>
    </row>
    <row r="749" spans="30:30" s="172" customFormat="1" x14ac:dyDescent="0.15">
      <c r="AD749" s="176"/>
    </row>
    <row r="750" spans="30:30" s="172" customFormat="1" x14ac:dyDescent="0.15">
      <c r="AD750" s="176"/>
    </row>
    <row r="751" spans="30:30" s="172" customFormat="1" x14ac:dyDescent="0.15">
      <c r="AD751" s="176"/>
    </row>
    <row r="752" spans="30:30" s="172" customFormat="1" x14ac:dyDescent="0.15">
      <c r="AD752" s="176"/>
    </row>
    <row r="753" spans="30:30" s="172" customFormat="1" x14ac:dyDescent="0.15">
      <c r="AD753" s="176"/>
    </row>
    <row r="754" spans="30:30" s="172" customFormat="1" x14ac:dyDescent="0.15">
      <c r="AD754" s="176"/>
    </row>
    <row r="755" spans="30:30" s="172" customFormat="1" x14ac:dyDescent="0.15">
      <c r="AD755" s="176"/>
    </row>
    <row r="756" spans="30:30" s="172" customFormat="1" x14ac:dyDescent="0.15">
      <c r="AD756" s="176"/>
    </row>
    <row r="757" spans="30:30" s="172" customFormat="1" x14ac:dyDescent="0.15">
      <c r="AD757" s="176"/>
    </row>
    <row r="758" spans="30:30" s="172" customFormat="1" x14ac:dyDescent="0.15">
      <c r="AD758" s="176"/>
    </row>
    <row r="759" spans="30:30" s="172" customFormat="1" x14ac:dyDescent="0.15">
      <c r="AD759" s="176"/>
    </row>
    <row r="760" spans="30:30" s="172" customFormat="1" x14ac:dyDescent="0.15">
      <c r="AD760" s="176"/>
    </row>
    <row r="761" spans="30:30" s="172" customFormat="1" x14ac:dyDescent="0.15">
      <c r="AD761" s="176"/>
    </row>
    <row r="762" spans="30:30" s="172" customFormat="1" x14ac:dyDescent="0.15">
      <c r="AD762" s="176"/>
    </row>
    <row r="763" spans="30:30" s="172" customFormat="1" x14ac:dyDescent="0.15">
      <c r="AD763" s="176"/>
    </row>
    <row r="764" spans="30:30" s="172" customFormat="1" x14ac:dyDescent="0.15">
      <c r="AD764" s="176"/>
    </row>
    <row r="765" spans="30:30" s="172" customFormat="1" x14ac:dyDescent="0.15">
      <c r="AD765" s="176"/>
    </row>
    <row r="766" spans="30:30" s="172" customFormat="1" x14ac:dyDescent="0.15">
      <c r="AD766" s="176"/>
    </row>
    <row r="767" spans="30:30" s="172" customFormat="1" x14ac:dyDescent="0.15">
      <c r="AD767" s="176"/>
    </row>
    <row r="768" spans="30:30" s="172" customFormat="1" x14ac:dyDescent="0.15">
      <c r="AD768" s="176"/>
    </row>
    <row r="769" spans="30:30" s="172" customFormat="1" x14ac:dyDescent="0.15">
      <c r="AD769" s="176"/>
    </row>
    <row r="770" spans="30:30" s="172" customFormat="1" x14ac:dyDescent="0.15">
      <c r="AD770" s="176"/>
    </row>
    <row r="771" spans="30:30" s="172" customFormat="1" x14ac:dyDescent="0.15">
      <c r="AD771" s="176"/>
    </row>
    <row r="772" spans="30:30" s="172" customFormat="1" x14ac:dyDescent="0.15">
      <c r="AD772" s="176"/>
    </row>
    <row r="773" spans="30:30" s="172" customFormat="1" x14ac:dyDescent="0.15">
      <c r="AD773" s="176"/>
    </row>
    <row r="774" spans="30:30" s="172" customFormat="1" x14ac:dyDescent="0.15">
      <c r="AD774" s="176"/>
    </row>
    <row r="775" spans="30:30" s="172" customFormat="1" x14ac:dyDescent="0.15">
      <c r="AD775" s="176"/>
    </row>
    <row r="776" spans="30:30" s="172" customFormat="1" x14ac:dyDescent="0.15">
      <c r="AD776" s="176"/>
    </row>
    <row r="777" spans="30:30" s="172" customFormat="1" x14ac:dyDescent="0.15">
      <c r="AD777" s="176"/>
    </row>
    <row r="778" spans="30:30" s="172" customFormat="1" x14ac:dyDescent="0.15">
      <c r="AD778" s="176"/>
    </row>
    <row r="779" spans="30:30" s="172" customFormat="1" x14ac:dyDescent="0.15">
      <c r="AD779" s="176"/>
    </row>
    <row r="780" spans="30:30" s="172" customFormat="1" x14ac:dyDescent="0.15">
      <c r="AD780" s="176"/>
    </row>
    <row r="781" spans="30:30" s="172" customFormat="1" x14ac:dyDescent="0.15">
      <c r="AD781" s="176"/>
    </row>
    <row r="782" spans="30:30" s="172" customFormat="1" x14ac:dyDescent="0.15">
      <c r="AD782" s="176"/>
    </row>
    <row r="783" spans="30:30" s="172" customFormat="1" x14ac:dyDescent="0.15">
      <c r="AD783" s="176"/>
    </row>
    <row r="784" spans="30:30" s="172" customFormat="1" x14ac:dyDescent="0.15">
      <c r="AD784" s="176"/>
    </row>
    <row r="785" spans="30:30" s="172" customFormat="1" x14ac:dyDescent="0.15">
      <c r="AD785" s="176"/>
    </row>
    <row r="786" spans="30:30" s="172" customFormat="1" x14ac:dyDescent="0.15">
      <c r="AD786" s="176"/>
    </row>
    <row r="787" spans="30:30" s="172" customFormat="1" x14ac:dyDescent="0.15">
      <c r="AD787" s="176"/>
    </row>
    <row r="788" spans="30:30" s="172" customFormat="1" x14ac:dyDescent="0.15">
      <c r="AD788" s="176"/>
    </row>
    <row r="789" spans="30:30" s="172" customFormat="1" x14ac:dyDescent="0.15">
      <c r="AD789" s="176"/>
    </row>
    <row r="790" spans="30:30" s="172" customFormat="1" x14ac:dyDescent="0.15">
      <c r="AD790" s="176"/>
    </row>
    <row r="791" spans="30:30" s="172" customFormat="1" x14ac:dyDescent="0.15">
      <c r="AD791" s="176"/>
    </row>
    <row r="792" spans="30:30" s="172" customFormat="1" x14ac:dyDescent="0.15">
      <c r="AD792" s="176"/>
    </row>
    <row r="793" spans="30:30" s="172" customFormat="1" x14ac:dyDescent="0.15">
      <c r="AD793" s="176"/>
    </row>
    <row r="794" spans="30:30" s="172" customFormat="1" x14ac:dyDescent="0.15">
      <c r="AD794" s="176"/>
    </row>
    <row r="795" spans="30:30" s="172" customFormat="1" x14ac:dyDescent="0.15">
      <c r="AD795" s="176"/>
    </row>
    <row r="796" spans="30:30" s="172" customFormat="1" x14ac:dyDescent="0.15">
      <c r="AD796" s="176"/>
    </row>
    <row r="797" spans="30:30" s="172" customFormat="1" x14ac:dyDescent="0.15">
      <c r="AD797" s="176"/>
    </row>
    <row r="798" spans="30:30" s="172" customFormat="1" x14ac:dyDescent="0.15">
      <c r="AD798" s="176"/>
    </row>
    <row r="799" spans="30:30" s="172" customFormat="1" x14ac:dyDescent="0.15">
      <c r="AD799" s="176"/>
    </row>
    <row r="800" spans="30:30" s="172" customFormat="1" x14ac:dyDescent="0.15">
      <c r="AD800" s="176"/>
    </row>
    <row r="801" spans="30:30" s="172" customFormat="1" x14ac:dyDescent="0.15">
      <c r="AD801" s="176"/>
    </row>
    <row r="802" spans="30:30" s="172" customFormat="1" x14ac:dyDescent="0.15">
      <c r="AD802" s="176"/>
    </row>
    <row r="803" spans="30:30" s="172" customFormat="1" x14ac:dyDescent="0.15">
      <c r="AD803" s="176"/>
    </row>
    <row r="804" spans="30:30" s="172" customFormat="1" x14ac:dyDescent="0.15">
      <c r="AD804" s="176"/>
    </row>
    <row r="805" spans="30:30" s="172" customFormat="1" x14ac:dyDescent="0.15">
      <c r="AD805" s="176"/>
    </row>
    <row r="806" spans="30:30" s="172" customFormat="1" x14ac:dyDescent="0.15">
      <c r="AD806" s="176"/>
    </row>
    <row r="807" spans="30:30" s="172" customFormat="1" x14ac:dyDescent="0.15">
      <c r="AD807" s="176"/>
    </row>
    <row r="808" spans="30:30" s="172" customFormat="1" x14ac:dyDescent="0.15">
      <c r="AD808" s="176"/>
    </row>
    <row r="809" spans="30:30" s="172" customFormat="1" x14ac:dyDescent="0.15">
      <c r="AD809" s="176"/>
    </row>
    <row r="810" spans="30:30" s="172" customFormat="1" x14ac:dyDescent="0.15">
      <c r="AD810" s="176"/>
    </row>
    <row r="811" spans="30:30" s="172" customFormat="1" x14ac:dyDescent="0.15">
      <c r="AD811" s="176"/>
    </row>
    <row r="812" spans="30:30" s="172" customFormat="1" x14ac:dyDescent="0.15">
      <c r="AD812" s="176"/>
    </row>
    <row r="813" spans="30:30" s="172" customFormat="1" x14ac:dyDescent="0.15">
      <c r="AD813" s="176"/>
    </row>
    <row r="814" spans="30:30" s="172" customFormat="1" x14ac:dyDescent="0.15">
      <c r="AD814" s="176"/>
    </row>
    <row r="815" spans="30:30" s="172" customFormat="1" x14ac:dyDescent="0.15">
      <c r="AD815" s="176"/>
    </row>
    <row r="816" spans="30:30" s="172" customFormat="1" x14ac:dyDescent="0.15">
      <c r="AD816" s="176"/>
    </row>
    <row r="817" spans="30:30" s="172" customFormat="1" x14ac:dyDescent="0.15">
      <c r="AD817" s="176"/>
    </row>
    <row r="818" spans="30:30" s="172" customFormat="1" x14ac:dyDescent="0.15">
      <c r="AD818" s="176"/>
    </row>
    <row r="819" spans="30:30" s="172" customFormat="1" x14ac:dyDescent="0.15">
      <c r="AD819" s="176"/>
    </row>
    <row r="820" spans="30:30" s="172" customFormat="1" x14ac:dyDescent="0.15">
      <c r="AD820" s="176"/>
    </row>
    <row r="821" spans="30:30" s="172" customFormat="1" x14ac:dyDescent="0.15">
      <c r="AD821" s="176"/>
    </row>
    <row r="822" spans="30:30" s="172" customFormat="1" x14ac:dyDescent="0.15">
      <c r="AD822" s="176"/>
    </row>
    <row r="823" spans="30:30" s="172" customFormat="1" x14ac:dyDescent="0.15">
      <c r="AD823" s="176"/>
    </row>
    <row r="824" spans="30:30" s="172" customFormat="1" x14ac:dyDescent="0.15">
      <c r="AD824" s="176"/>
    </row>
    <row r="825" spans="30:30" s="172" customFormat="1" x14ac:dyDescent="0.15">
      <c r="AD825" s="176"/>
    </row>
    <row r="826" spans="30:30" s="172" customFormat="1" x14ac:dyDescent="0.15">
      <c r="AD826" s="176"/>
    </row>
    <row r="827" spans="30:30" s="172" customFormat="1" x14ac:dyDescent="0.15">
      <c r="AD827" s="176"/>
    </row>
    <row r="828" spans="30:30" s="172" customFormat="1" x14ac:dyDescent="0.15">
      <c r="AD828" s="176"/>
    </row>
    <row r="829" spans="30:30" s="172" customFormat="1" x14ac:dyDescent="0.15">
      <c r="AD829" s="176"/>
    </row>
    <row r="830" spans="30:30" s="172" customFormat="1" x14ac:dyDescent="0.15">
      <c r="AD830" s="176"/>
    </row>
    <row r="831" spans="30:30" s="172" customFormat="1" x14ac:dyDescent="0.15">
      <c r="AD831" s="176"/>
    </row>
    <row r="832" spans="30:30" s="172" customFormat="1" x14ac:dyDescent="0.15">
      <c r="AD832" s="176"/>
    </row>
    <row r="833" spans="30:30" s="172" customFormat="1" x14ac:dyDescent="0.15">
      <c r="AD833" s="176"/>
    </row>
    <row r="834" spans="30:30" s="172" customFormat="1" x14ac:dyDescent="0.15">
      <c r="AD834" s="176"/>
    </row>
    <row r="835" spans="30:30" s="172" customFormat="1" x14ac:dyDescent="0.15">
      <c r="AD835" s="176"/>
    </row>
    <row r="836" spans="30:30" s="172" customFormat="1" x14ac:dyDescent="0.15">
      <c r="AD836" s="176"/>
    </row>
    <row r="837" spans="30:30" s="172" customFormat="1" x14ac:dyDescent="0.15">
      <c r="AD837" s="176"/>
    </row>
    <row r="838" spans="30:30" s="172" customFormat="1" x14ac:dyDescent="0.15">
      <c r="AD838" s="176"/>
    </row>
    <row r="839" spans="30:30" s="172" customFormat="1" x14ac:dyDescent="0.15">
      <c r="AD839" s="176"/>
    </row>
    <row r="840" spans="30:30" s="172" customFormat="1" x14ac:dyDescent="0.15">
      <c r="AD840" s="176"/>
    </row>
    <row r="841" spans="30:30" s="172" customFormat="1" x14ac:dyDescent="0.15">
      <c r="AD841" s="176"/>
    </row>
    <row r="842" spans="30:30" s="172" customFormat="1" x14ac:dyDescent="0.15">
      <c r="AD842" s="176"/>
    </row>
    <row r="843" spans="30:30" s="172" customFormat="1" x14ac:dyDescent="0.15">
      <c r="AD843" s="176"/>
    </row>
    <row r="844" spans="30:30" s="172" customFormat="1" x14ac:dyDescent="0.15">
      <c r="AD844" s="176"/>
    </row>
    <row r="845" spans="30:30" s="172" customFormat="1" x14ac:dyDescent="0.15">
      <c r="AD845" s="176"/>
    </row>
    <row r="846" spans="30:30" s="172" customFormat="1" x14ac:dyDescent="0.15">
      <c r="AD846" s="176"/>
    </row>
    <row r="847" spans="30:30" s="172" customFormat="1" x14ac:dyDescent="0.15">
      <c r="AD847" s="176"/>
    </row>
    <row r="848" spans="30:30" s="172" customFormat="1" x14ac:dyDescent="0.15">
      <c r="AD848" s="176"/>
    </row>
    <row r="849" spans="30:30" s="172" customFormat="1" x14ac:dyDescent="0.15">
      <c r="AD849" s="176"/>
    </row>
    <row r="850" spans="30:30" s="172" customFormat="1" x14ac:dyDescent="0.15">
      <c r="AD850" s="176"/>
    </row>
    <row r="851" spans="30:30" s="172" customFormat="1" x14ac:dyDescent="0.15">
      <c r="AD851" s="176"/>
    </row>
    <row r="852" spans="30:30" s="172" customFormat="1" x14ac:dyDescent="0.15">
      <c r="AD852" s="176"/>
    </row>
    <row r="853" spans="30:30" s="172" customFormat="1" x14ac:dyDescent="0.15">
      <c r="AD853" s="176"/>
    </row>
    <row r="854" spans="30:30" s="172" customFormat="1" x14ac:dyDescent="0.15">
      <c r="AD854" s="176"/>
    </row>
    <row r="855" spans="30:30" s="172" customFormat="1" x14ac:dyDescent="0.15">
      <c r="AD855" s="176"/>
    </row>
    <row r="856" spans="30:30" s="172" customFormat="1" x14ac:dyDescent="0.15">
      <c r="AD856" s="176"/>
    </row>
    <row r="857" spans="30:30" s="172" customFormat="1" x14ac:dyDescent="0.15">
      <c r="AD857" s="176"/>
    </row>
    <row r="858" spans="30:30" s="172" customFormat="1" x14ac:dyDescent="0.15">
      <c r="AD858" s="176"/>
    </row>
    <row r="859" spans="30:30" s="172" customFormat="1" x14ac:dyDescent="0.15">
      <c r="AD859" s="176"/>
    </row>
    <row r="860" spans="30:30" s="172" customFormat="1" x14ac:dyDescent="0.15">
      <c r="AD860" s="176"/>
    </row>
    <row r="861" spans="30:30" s="172" customFormat="1" x14ac:dyDescent="0.15">
      <c r="AD861" s="176"/>
    </row>
    <row r="862" spans="30:30" s="172" customFormat="1" x14ac:dyDescent="0.15">
      <c r="AD862" s="176"/>
    </row>
    <row r="863" spans="30:30" s="172" customFormat="1" x14ac:dyDescent="0.15">
      <c r="AD863" s="176"/>
    </row>
    <row r="864" spans="30:30" s="172" customFormat="1" x14ac:dyDescent="0.15">
      <c r="AD864" s="176"/>
    </row>
    <row r="865" spans="30:30" s="172" customFormat="1" x14ac:dyDescent="0.15">
      <c r="AD865" s="176"/>
    </row>
    <row r="866" spans="30:30" s="172" customFormat="1" x14ac:dyDescent="0.15">
      <c r="AD866" s="176"/>
    </row>
    <row r="867" spans="30:30" s="172" customFormat="1" x14ac:dyDescent="0.15">
      <c r="AD867" s="176"/>
    </row>
    <row r="868" spans="30:30" s="172" customFormat="1" x14ac:dyDescent="0.15">
      <c r="AD868" s="176"/>
    </row>
    <row r="869" spans="30:30" s="172" customFormat="1" x14ac:dyDescent="0.15">
      <c r="AD869" s="176"/>
    </row>
    <row r="870" spans="30:30" s="172" customFormat="1" x14ac:dyDescent="0.15">
      <c r="AD870" s="176"/>
    </row>
    <row r="871" spans="30:30" s="172" customFormat="1" x14ac:dyDescent="0.15">
      <c r="AD871" s="176"/>
    </row>
    <row r="872" spans="30:30" s="172" customFormat="1" x14ac:dyDescent="0.15">
      <c r="AD872" s="176"/>
    </row>
    <row r="873" spans="30:30" s="172" customFormat="1" x14ac:dyDescent="0.15">
      <c r="AD873" s="176"/>
    </row>
    <row r="874" spans="30:30" s="172" customFormat="1" x14ac:dyDescent="0.15">
      <c r="AD874" s="176"/>
    </row>
    <row r="875" spans="30:30" s="172" customFormat="1" x14ac:dyDescent="0.15">
      <c r="AD875" s="176"/>
    </row>
    <row r="876" spans="30:30" s="172" customFormat="1" x14ac:dyDescent="0.15">
      <c r="AD876" s="176"/>
    </row>
    <row r="877" spans="30:30" s="172" customFormat="1" x14ac:dyDescent="0.15">
      <c r="AD877" s="176"/>
    </row>
    <row r="878" spans="30:30" s="172" customFormat="1" x14ac:dyDescent="0.15">
      <c r="AD878" s="176"/>
    </row>
    <row r="879" spans="30:30" s="172" customFormat="1" x14ac:dyDescent="0.15">
      <c r="AD879" s="176"/>
    </row>
    <row r="880" spans="30:30" s="172" customFormat="1" x14ac:dyDescent="0.15">
      <c r="AD880" s="176"/>
    </row>
    <row r="881" spans="30:30" s="172" customFormat="1" x14ac:dyDescent="0.15">
      <c r="AD881" s="176"/>
    </row>
    <row r="882" spans="30:30" s="172" customFormat="1" x14ac:dyDescent="0.15">
      <c r="AD882" s="176"/>
    </row>
    <row r="883" spans="30:30" s="172" customFormat="1" x14ac:dyDescent="0.15">
      <c r="AD883" s="176"/>
    </row>
    <row r="884" spans="30:30" s="172" customFormat="1" x14ac:dyDescent="0.15">
      <c r="AD884" s="176"/>
    </row>
    <row r="885" spans="30:30" s="172" customFormat="1" x14ac:dyDescent="0.15">
      <c r="AD885" s="176"/>
    </row>
    <row r="886" spans="30:30" s="172" customFormat="1" x14ac:dyDescent="0.15">
      <c r="AD886" s="176"/>
    </row>
    <row r="887" spans="30:30" s="172" customFormat="1" x14ac:dyDescent="0.15">
      <c r="AD887" s="176"/>
    </row>
    <row r="888" spans="30:30" s="172" customFormat="1" x14ac:dyDescent="0.15">
      <c r="AD888" s="176"/>
    </row>
    <row r="889" spans="30:30" s="172" customFormat="1" x14ac:dyDescent="0.15">
      <c r="AD889" s="176"/>
    </row>
    <row r="890" spans="30:30" s="172" customFormat="1" x14ac:dyDescent="0.15">
      <c r="AD890" s="176"/>
    </row>
    <row r="891" spans="30:30" s="172" customFormat="1" x14ac:dyDescent="0.15">
      <c r="AD891" s="176"/>
    </row>
    <row r="892" spans="30:30" s="172" customFormat="1" x14ac:dyDescent="0.15">
      <c r="AD892" s="176"/>
    </row>
    <row r="893" spans="30:30" s="172" customFormat="1" x14ac:dyDescent="0.15">
      <c r="AD893" s="176"/>
    </row>
    <row r="894" spans="30:30" s="172" customFormat="1" x14ac:dyDescent="0.15">
      <c r="AD894" s="176"/>
    </row>
    <row r="895" spans="30:30" s="172" customFormat="1" x14ac:dyDescent="0.15">
      <c r="AD895" s="176"/>
    </row>
    <row r="896" spans="30:30" s="172" customFormat="1" x14ac:dyDescent="0.15">
      <c r="AD896" s="176"/>
    </row>
    <row r="897" spans="30:30" s="172" customFormat="1" x14ac:dyDescent="0.15">
      <c r="AD897" s="176"/>
    </row>
    <row r="898" spans="30:30" s="172" customFormat="1" x14ac:dyDescent="0.15">
      <c r="AD898" s="176"/>
    </row>
    <row r="899" spans="30:30" s="172" customFormat="1" x14ac:dyDescent="0.15">
      <c r="AD899" s="176"/>
    </row>
    <row r="900" spans="30:30" s="172" customFormat="1" x14ac:dyDescent="0.15">
      <c r="AD900" s="176"/>
    </row>
    <row r="901" spans="30:30" s="172" customFormat="1" x14ac:dyDescent="0.15">
      <c r="AD901" s="176"/>
    </row>
    <row r="902" spans="30:30" s="172" customFormat="1" x14ac:dyDescent="0.15">
      <c r="AD902" s="176"/>
    </row>
    <row r="903" spans="30:30" s="172" customFormat="1" x14ac:dyDescent="0.15">
      <c r="AD903" s="176"/>
    </row>
    <row r="904" spans="30:30" s="172" customFormat="1" x14ac:dyDescent="0.15">
      <c r="AD904" s="176"/>
    </row>
    <row r="905" spans="30:30" s="172" customFormat="1" x14ac:dyDescent="0.15">
      <c r="AD905" s="176"/>
    </row>
    <row r="906" spans="30:30" s="172" customFormat="1" x14ac:dyDescent="0.15">
      <c r="AD906" s="176"/>
    </row>
    <row r="907" spans="30:30" s="172" customFormat="1" x14ac:dyDescent="0.15">
      <c r="AD907" s="176"/>
    </row>
    <row r="908" spans="30:30" s="172" customFormat="1" x14ac:dyDescent="0.15">
      <c r="AD908" s="176"/>
    </row>
    <row r="909" spans="30:30" s="172" customFormat="1" x14ac:dyDescent="0.15">
      <c r="AD909" s="176"/>
    </row>
    <row r="910" spans="30:30" s="172" customFormat="1" x14ac:dyDescent="0.15">
      <c r="AD910" s="176"/>
    </row>
    <row r="911" spans="30:30" s="172" customFormat="1" x14ac:dyDescent="0.15">
      <c r="AD911" s="176"/>
    </row>
    <row r="912" spans="30:30" s="172" customFormat="1" x14ac:dyDescent="0.15">
      <c r="AD912" s="176"/>
    </row>
    <row r="913" spans="30:30" s="172" customFormat="1" x14ac:dyDescent="0.15">
      <c r="AD913" s="176"/>
    </row>
    <row r="914" spans="30:30" s="172" customFormat="1" x14ac:dyDescent="0.15">
      <c r="AD914" s="176"/>
    </row>
    <row r="915" spans="30:30" s="172" customFormat="1" x14ac:dyDescent="0.15">
      <c r="AD915" s="176"/>
    </row>
    <row r="916" spans="30:30" s="172" customFormat="1" x14ac:dyDescent="0.15">
      <c r="AD916" s="176"/>
    </row>
    <row r="917" spans="30:30" s="172" customFormat="1" x14ac:dyDescent="0.15">
      <c r="AD917" s="176"/>
    </row>
    <row r="918" spans="30:30" s="172" customFormat="1" x14ac:dyDescent="0.15">
      <c r="AD918" s="176"/>
    </row>
    <row r="919" spans="30:30" s="172" customFormat="1" x14ac:dyDescent="0.15">
      <c r="AD919" s="176"/>
    </row>
    <row r="920" spans="30:30" s="172" customFormat="1" x14ac:dyDescent="0.15">
      <c r="AD920" s="176"/>
    </row>
    <row r="921" spans="30:30" s="172" customFormat="1" x14ac:dyDescent="0.15">
      <c r="AD921" s="176"/>
    </row>
    <row r="922" spans="30:30" s="172" customFormat="1" x14ac:dyDescent="0.15">
      <c r="AD922" s="176"/>
    </row>
    <row r="923" spans="30:30" s="172" customFormat="1" x14ac:dyDescent="0.15">
      <c r="AD923" s="176"/>
    </row>
    <row r="924" spans="30:30" s="172" customFormat="1" x14ac:dyDescent="0.15">
      <c r="AD924" s="176"/>
    </row>
    <row r="925" spans="30:30" s="172" customFormat="1" x14ac:dyDescent="0.15">
      <c r="AD925" s="176"/>
    </row>
    <row r="926" spans="30:30" s="172" customFormat="1" x14ac:dyDescent="0.15">
      <c r="AD926" s="176"/>
    </row>
    <row r="927" spans="30:30" s="172" customFormat="1" x14ac:dyDescent="0.15">
      <c r="AD927" s="176"/>
    </row>
    <row r="928" spans="30:30" s="172" customFormat="1" x14ac:dyDescent="0.15">
      <c r="AD928" s="176"/>
    </row>
    <row r="929" spans="30:30" s="172" customFormat="1" x14ac:dyDescent="0.15">
      <c r="AD929" s="176"/>
    </row>
    <row r="930" spans="30:30" s="172" customFormat="1" x14ac:dyDescent="0.15">
      <c r="AD930" s="176"/>
    </row>
    <row r="931" spans="30:30" s="172" customFormat="1" x14ac:dyDescent="0.15">
      <c r="AD931" s="176"/>
    </row>
    <row r="932" spans="30:30" s="172" customFormat="1" x14ac:dyDescent="0.15">
      <c r="AD932" s="176"/>
    </row>
    <row r="933" spans="30:30" s="172" customFormat="1" x14ac:dyDescent="0.15">
      <c r="AD933" s="176"/>
    </row>
    <row r="934" spans="30:30" s="172" customFormat="1" x14ac:dyDescent="0.15">
      <c r="AD934" s="176"/>
    </row>
    <row r="935" spans="30:30" s="172" customFormat="1" x14ac:dyDescent="0.15">
      <c r="AD935" s="176"/>
    </row>
    <row r="936" spans="30:30" s="172" customFormat="1" x14ac:dyDescent="0.15">
      <c r="AD936" s="176"/>
    </row>
    <row r="937" spans="30:30" s="172" customFormat="1" x14ac:dyDescent="0.15">
      <c r="AD937" s="176"/>
    </row>
    <row r="938" spans="30:30" s="172" customFormat="1" x14ac:dyDescent="0.15">
      <c r="AD938" s="176"/>
    </row>
    <row r="939" spans="30:30" s="172" customFormat="1" x14ac:dyDescent="0.15">
      <c r="AD939" s="176"/>
    </row>
    <row r="940" spans="30:30" s="172" customFormat="1" x14ac:dyDescent="0.15">
      <c r="AD940" s="176"/>
    </row>
    <row r="941" spans="30:30" s="172" customFormat="1" x14ac:dyDescent="0.15">
      <c r="AD941" s="176"/>
    </row>
    <row r="942" spans="30:30" s="172" customFormat="1" x14ac:dyDescent="0.15">
      <c r="AD942" s="176"/>
    </row>
    <row r="943" spans="30:30" s="172" customFormat="1" x14ac:dyDescent="0.15">
      <c r="AD943" s="176"/>
    </row>
    <row r="944" spans="30:30" s="172" customFormat="1" x14ac:dyDescent="0.15">
      <c r="AD944" s="176"/>
    </row>
    <row r="945" spans="30:30" s="172" customFormat="1" x14ac:dyDescent="0.15">
      <c r="AD945" s="176"/>
    </row>
    <row r="946" spans="30:30" s="172" customFormat="1" x14ac:dyDescent="0.15">
      <c r="AD946" s="176"/>
    </row>
    <row r="947" spans="30:30" s="172" customFormat="1" x14ac:dyDescent="0.15">
      <c r="AD947" s="176"/>
    </row>
    <row r="948" spans="30:30" s="172" customFormat="1" x14ac:dyDescent="0.15">
      <c r="AD948" s="176"/>
    </row>
    <row r="949" spans="30:30" s="172" customFormat="1" x14ac:dyDescent="0.15">
      <c r="AD949" s="176"/>
    </row>
    <row r="950" spans="30:30" s="172" customFormat="1" x14ac:dyDescent="0.15">
      <c r="AD950" s="176"/>
    </row>
    <row r="951" spans="30:30" s="172" customFormat="1" x14ac:dyDescent="0.15">
      <c r="AD951" s="176"/>
    </row>
    <row r="952" spans="30:30" s="172" customFormat="1" x14ac:dyDescent="0.15">
      <c r="AD952" s="176"/>
    </row>
    <row r="953" spans="30:30" s="172" customFormat="1" x14ac:dyDescent="0.15">
      <c r="AD953" s="176"/>
    </row>
    <row r="954" spans="30:30" s="172" customFormat="1" x14ac:dyDescent="0.15">
      <c r="AD954" s="176"/>
    </row>
    <row r="955" spans="30:30" s="172" customFormat="1" x14ac:dyDescent="0.15">
      <c r="AD955" s="176"/>
    </row>
    <row r="956" spans="30:30" s="172" customFormat="1" x14ac:dyDescent="0.15">
      <c r="AD956" s="176"/>
    </row>
    <row r="957" spans="30:30" s="172" customFormat="1" x14ac:dyDescent="0.15">
      <c r="AD957" s="176"/>
    </row>
    <row r="958" spans="30:30" s="172" customFormat="1" x14ac:dyDescent="0.15">
      <c r="AD958" s="176"/>
    </row>
    <row r="959" spans="30:30" s="172" customFormat="1" x14ac:dyDescent="0.15">
      <c r="AD959" s="176"/>
    </row>
    <row r="960" spans="30:30" s="172" customFormat="1" x14ac:dyDescent="0.15">
      <c r="AD960" s="176"/>
    </row>
    <row r="961" spans="30:30" s="172" customFormat="1" x14ac:dyDescent="0.15">
      <c r="AD961" s="176"/>
    </row>
    <row r="962" spans="30:30" s="172" customFormat="1" x14ac:dyDescent="0.15">
      <c r="AD962" s="176"/>
    </row>
    <row r="963" spans="30:30" s="172" customFormat="1" x14ac:dyDescent="0.15">
      <c r="AD963" s="176"/>
    </row>
    <row r="964" spans="30:30" s="172" customFormat="1" x14ac:dyDescent="0.15">
      <c r="AD964" s="176"/>
    </row>
    <row r="965" spans="30:30" s="172" customFormat="1" x14ac:dyDescent="0.15">
      <c r="AD965" s="176"/>
    </row>
    <row r="966" spans="30:30" s="172" customFormat="1" x14ac:dyDescent="0.15">
      <c r="AD966" s="176"/>
    </row>
    <row r="967" spans="30:30" s="172" customFormat="1" x14ac:dyDescent="0.15">
      <c r="AD967" s="176"/>
    </row>
    <row r="968" spans="30:30" s="172" customFormat="1" x14ac:dyDescent="0.15">
      <c r="AD968" s="176"/>
    </row>
    <row r="969" spans="30:30" s="172" customFormat="1" x14ac:dyDescent="0.15">
      <c r="AD969" s="176"/>
    </row>
    <row r="970" spans="30:30" s="172" customFormat="1" x14ac:dyDescent="0.15">
      <c r="AD970" s="176"/>
    </row>
    <row r="971" spans="30:30" s="172" customFormat="1" x14ac:dyDescent="0.15">
      <c r="AD971" s="176"/>
    </row>
    <row r="972" spans="30:30" s="172" customFormat="1" x14ac:dyDescent="0.15">
      <c r="AD972" s="176"/>
    </row>
    <row r="973" spans="30:30" s="172" customFormat="1" x14ac:dyDescent="0.15">
      <c r="AD973" s="176"/>
    </row>
    <row r="974" spans="30:30" s="172" customFormat="1" x14ac:dyDescent="0.15">
      <c r="AD974" s="176"/>
    </row>
    <row r="975" spans="30:30" s="172" customFormat="1" x14ac:dyDescent="0.15">
      <c r="AD975" s="176"/>
    </row>
    <row r="976" spans="30:30" s="172" customFormat="1" x14ac:dyDescent="0.15">
      <c r="AD976" s="176"/>
    </row>
    <row r="977" spans="30:30" s="172" customFormat="1" x14ac:dyDescent="0.15">
      <c r="AD977" s="176"/>
    </row>
    <row r="978" spans="30:30" s="172" customFormat="1" x14ac:dyDescent="0.15">
      <c r="AD978" s="176"/>
    </row>
    <row r="979" spans="30:30" s="172" customFormat="1" x14ac:dyDescent="0.15">
      <c r="AD979" s="176"/>
    </row>
    <row r="980" spans="30:30" s="172" customFormat="1" x14ac:dyDescent="0.15">
      <c r="AD980" s="176"/>
    </row>
    <row r="981" spans="30:30" s="172" customFormat="1" x14ac:dyDescent="0.15">
      <c r="AD981" s="176"/>
    </row>
    <row r="982" spans="30:30" s="172" customFormat="1" x14ac:dyDescent="0.15">
      <c r="AD982" s="176"/>
    </row>
    <row r="983" spans="30:30" s="172" customFormat="1" x14ac:dyDescent="0.15">
      <c r="AD983" s="176"/>
    </row>
    <row r="984" spans="30:30" s="172" customFormat="1" x14ac:dyDescent="0.15">
      <c r="AD984" s="176"/>
    </row>
    <row r="985" spans="30:30" s="172" customFormat="1" x14ac:dyDescent="0.15">
      <c r="AD985" s="176"/>
    </row>
    <row r="986" spans="30:30" s="172" customFormat="1" x14ac:dyDescent="0.15">
      <c r="AD986" s="176"/>
    </row>
    <row r="987" spans="30:30" s="172" customFormat="1" x14ac:dyDescent="0.15">
      <c r="AD987" s="176"/>
    </row>
    <row r="988" spans="30:30" s="172" customFormat="1" x14ac:dyDescent="0.15">
      <c r="AD988" s="176"/>
    </row>
    <row r="989" spans="30:30" s="172" customFormat="1" x14ac:dyDescent="0.15">
      <c r="AD989" s="176"/>
    </row>
    <row r="990" spans="30:30" s="172" customFormat="1" x14ac:dyDescent="0.15">
      <c r="AD990" s="176"/>
    </row>
    <row r="991" spans="30:30" s="172" customFormat="1" x14ac:dyDescent="0.15">
      <c r="AD991" s="176"/>
    </row>
    <row r="992" spans="30:30" s="172" customFormat="1" x14ac:dyDescent="0.15">
      <c r="AD992" s="176"/>
    </row>
    <row r="993" spans="30:30" s="172" customFormat="1" x14ac:dyDescent="0.15">
      <c r="AD993" s="176"/>
    </row>
    <row r="994" spans="30:30" s="172" customFormat="1" x14ac:dyDescent="0.15">
      <c r="AD994" s="176"/>
    </row>
    <row r="995" spans="30:30" s="172" customFormat="1" x14ac:dyDescent="0.15">
      <c r="AD995" s="176"/>
    </row>
    <row r="996" spans="30:30" s="172" customFormat="1" x14ac:dyDescent="0.15">
      <c r="AD996" s="176"/>
    </row>
    <row r="997" spans="30:30" s="172" customFormat="1" x14ac:dyDescent="0.15">
      <c r="AD997" s="176"/>
    </row>
    <row r="998" spans="30:30" s="172" customFormat="1" x14ac:dyDescent="0.15">
      <c r="AD998" s="176"/>
    </row>
    <row r="999" spans="30:30" s="172" customFormat="1" x14ac:dyDescent="0.15">
      <c r="AD999" s="176"/>
    </row>
    <row r="1000" spans="30:30" s="172" customFormat="1" x14ac:dyDescent="0.15">
      <c r="AD1000" s="176"/>
    </row>
    <row r="1001" spans="30:30" s="172" customFormat="1" x14ac:dyDescent="0.15">
      <c r="AD1001" s="176"/>
    </row>
    <row r="1002" spans="30:30" s="172" customFormat="1" x14ac:dyDescent="0.15">
      <c r="AD1002" s="176"/>
    </row>
    <row r="1003" spans="30:30" s="172" customFormat="1" x14ac:dyDescent="0.15">
      <c r="AD1003" s="176"/>
    </row>
    <row r="1004" spans="30:30" s="172" customFormat="1" x14ac:dyDescent="0.15">
      <c r="AD1004" s="176"/>
    </row>
    <row r="1005" spans="30:30" s="172" customFormat="1" x14ac:dyDescent="0.15">
      <c r="AD1005" s="176"/>
    </row>
    <row r="1006" spans="30:30" s="172" customFormat="1" x14ac:dyDescent="0.15">
      <c r="AD1006" s="176"/>
    </row>
    <row r="1007" spans="30:30" s="172" customFormat="1" x14ac:dyDescent="0.15">
      <c r="AD1007" s="176"/>
    </row>
    <row r="1008" spans="30:30" s="172" customFormat="1" x14ac:dyDescent="0.15">
      <c r="AD1008" s="176"/>
    </row>
    <row r="1009" spans="30:30" s="172" customFormat="1" x14ac:dyDescent="0.15">
      <c r="AD1009" s="176"/>
    </row>
    <row r="1010" spans="30:30" s="172" customFormat="1" x14ac:dyDescent="0.15">
      <c r="AD1010" s="176"/>
    </row>
    <row r="1011" spans="30:30" s="172" customFormat="1" x14ac:dyDescent="0.15">
      <c r="AD1011" s="176"/>
    </row>
    <row r="1012" spans="30:30" s="172" customFormat="1" x14ac:dyDescent="0.15">
      <c r="AD1012" s="176"/>
    </row>
    <row r="1013" spans="30:30" s="172" customFormat="1" x14ac:dyDescent="0.15">
      <c r="AD1013" s="176"/>
    </row>
    <row r="1014" spans="30:30" s="172" customFormat="1" x14ac:dyDescent="0.15">
      <c r="AD1014" s="176"/>
    </row>
    <row r="1015" spans="30:30" s="172" customFormat="1" x14ac:dyDescent="0.15">
      <c r="AD1015" s="176"/>
    </row>
    <row r="1016" spans="30:30" s="172" customFormat="1" x14ac:dyDescent="0.15">
      <c r="AD1016" s="176"/>
    </row>
    <row r="1017" spans="30:30" s="172" customFormat="1" x14ac:dyDescent="0.15">
      <c r="AD1017" s="176"/>
    </row>
    <row r="1018" spans="30:30" s="172" customFormat="1" x14ac:dyDescent="0.15">
      <c r="AD1018" s="176"/>
    </row>
    <row r="1019" spans="30:30" s="172" customFormat="1" x14ac:dyDescent="0.15">
      <c r="AD1019" s="176"/>
    </row>
    <row r="1020" spans="30:30" s="172" customFormat="1" x14ac:dyDescent="0.15">
      <c r="AD1020" s="176"/>
    </row>
    <row r="1021" spans="30:30" s="172" customFormat="1" x14ac:dyDescent="0.15">
      <c r="AD1021" s="176"/>
    </row>
    <row r="1022" spans="30:30" s="172" customFormat="1" x14ac:dyDescent="0.15">
      <c r="AD1022" s="176"/>
    </row>
    <row r="1023" spans="30:30" s="172" customFormat="1" x14ac:dyDescent="0.15">
      <c r="AD1023" s="176"/>
    </row>
    <row r="1024" spans="30:30" s="172" customFormat="1" x14ac:dyDescent="0.15">
      <c r="AD1024" s="176"/>
    </row>
    <row r="1025" spans="30:30" s="172" customFormat="1" x14ac:dyDescent="0.15">
      <c r="AD1025" s="176"/>
    </row>
    <row r="1026" spans="30:30" s="172" customFormat="1" x14ac:dyDescent="0.15">
      <c r="AD1026" s="176"/>
    </row>
    <row r="1027" spans="30:30" s="172" customFormat="1" x14ac:dyDescent="0.15">
      <c r="AD1027" s="176"/>
    </row>
    <row r="1028" spans="30:30" s="172" customFormat="1" x14ac:dyDescent="0.15">
      <c r="AD1028" s="176"/>
    </row>
    <row r="1029" spans="30:30" s="172" customFormat="1" x14ac:dyDescent="0.15">
      <c r="AD1029" s="176"/>
    </row>
    <row r="1030" spans="30:30" s="172" customFormat="1" x14ac:dyDescent="0.15">
      <c r="AD1030" s="176"/>
    </row>
    <row r="1031" spans="30:30" s="172" customFormat="1" x14ac:dyDescent="0.15">
      <c r="AD1031" s="176"/>
    </row>
    <row r="1032" spans="30:30" s="172" customFormat="1" x14ac:dyDescent="0.15">
      <c r="AD1032" s="176"/>
    </row>
    <row r="1033" spans="30:30" s="172" customFormat="1" x14ac:dyDescent="0.15">
      <c r="AD1033" s="176"/>
    </row>
    <row r="1034" spans="30:30" s="172" customFormat="1" x14ac:dyDescent="0.15">
      <c r="AD1034" s="176"/>
    </row>
    <row r="1035" spans="30:30" s="172" customFormat="1" x14ac:dyDescent="0.15">
      <c r="AD1035" s="176"/>
    </row>
    <row r="1036" spans="30:30" s="172" customFormat="1" x14ac:dyDescent="0.15">
      <c r="AD1036" s="176"/>
    </row>
    <row r="1037" spans="30:30" s="172" customFormat="1" x14ac:dyDescent="0.15">
      <c r="AD1037" s="176"/>
    </row>
    <row r="1038" spans="30:30" s="172" customFormat="1" x14ac:dyDescent="0.15">
      <c r="AD1038" s="176"/>
    </row>
    <row r="1039" spans="30:30" s="172" customFormat="1" x14ac:dyDescent="0.15">
      <c r="AD1039" s="176"/>
    </row>
    <row r="1040" spans="30:30" s="172" customFormat="1" x14ac:dyDescent="0.15">
      <c r="AD1040" s="176"/>
    </row>
    <row r="1041" spans="30:30" s="172" customFormat="1" x14ac:dyDescent="0.15">
      <c r="AD1041" s="176"/>
    </row>
    <row r="1042" spans="30:30" s="172" customFormat="1" x14ac:dyDescent="0.15">
      <c r="AD1042" s="176"/>
    </row>
    <row r="1043" spans="30:30" s="172" customFormat="1" x14ac:dyDescent="0.15">
      <c r="AD1043" s="176"/>
    </row>
    <row r="1044" spans="30:30" s="172" customFormat="1" x14ac:dyDescent="0.15">
      <c r="AD1044" s="176"/>
    </row>
    <row r="1045" spans="30:30" s="172" customFormat="1" x14ac:dyDescent="0.15">
      <c r="AD1045" s="176"/>
    </row>
    <row r="1046" spans="30:30" s="172" customFormat="1" x14ac:dyDescent="0.15">
      <c r="AD1046" s="176"/>
    </row>
    <row r="1047" spans="30:30" s="172" customFormat="1" x14ac:dyDescent="0.15">
      <c r="AD1047" s="176"/>
    </row>
    <row r="1048" spans="30:30" s="172" customFormat="1" x14ac:dyDescent="0.15">
      <c r="AD1048" s="176"/>
    </row>
    <row r="1049" spans="30:30" s="172" customFormat="1" x14ac:dyDescent="0.15">
      <c r="AD1049" s="176"/>
    </row>
    <row r="1050" spans="30:30" s="172" customFormat="1" x14ac:dyDescent="0.15">
      <c r="AD1050" s="176"/>
    </row>
    <row r="1051" spans="30:30" s="172" customFormat="1" x14ac:dyDescent="0.15">
      <c r="AD1051" s="176"/>
    </row>
    <row r="1052" spans="30:30" s="172" customFormat="1" x14ac:dyDescent="0.15">
      <c r="AD1052" s="176"/>
    </row>
    <row r="1053" spans="30:30" s="172" customFormat="1" x14ac:dyDescent="0.15">
      <c r="AD1053" s="176"/>
    </row>
    <row r="1054" spans="30:30" s="172" customFormat="1" x14ac:dyDescent="0.15">
      <c r="AD1054" s="176"/>
    </row>
    <row r="1055" spans="30:30" s="172" customFormat="1" x14ac:dyDescent="0.15">
      <c r="AD1055" s="176"/>
    </row>
    <row r="1056" spans="30:30" s="172" customFormat="1" x14ac:dyDescent="0.15">
      <c r="AD1056" s="176"/>
    </row>
    <row r="1057" spans="30:30" s="172" customFormat="1" x14ac:dyDescent="0.15">
      <c r="AD1057" s="176"/>
    </row>
    <row r="1058" spans="30:30" s="172" customFormat="1" x14ac:dyDescent="0.15">
      <c r="AD1058" s="176"/>
    </row>
    <row r="1059" spans="30:30" s="172" customFormat="1" x14ac:dyDescent="0.15">
      <c r="AD1059" s="176"/>
    </row>
    <row r="1060" spans="30:30" s="172" customFormat="1" x14ac:dyDescent="0.15">
      <c r="AD1060" s="176"/>
    </row>
    <row r="1061" spans="30:30" s="172" customFormat="1" x14ac:dyDescent="0.15">
      <c r="AD1061" s="176"/>
    </row>
    <row r="1062" spans="30:30" s="172" customFormat="1" x14ac:dyDescent="0.15">
      <c r="AD1062" s="176"/>
    </row>
    <row r="1063" spans="30:30" s="172" customFormat="1" x14ac:dyDescent="0.15">
      <c r="AD1063" s="176"/>
    </row>
    <row r="1064" spans="30:30" s="172" customFormat="1" x14ac:dyDescent="0.15">
      <c r="AD1064" s="176"/>
    </row>
    <row r="1065" spans="30:30" s="172" customFormat="1" x14ac:dyDescent="0.15">
      <c r="AD1065" s="176"/>
    </row>
    <row r="1066" spans="30:30" s="172" customFormat="1" x14ac:dyDescent="0.15">
      <c r="AD1066" s="176"/>
    </row>
    <row r="1067" spans="30:30" s="172" customFormat="1" x14ac:dyDescent="0.15">
      <c r="AD1067" s="176"/>
    </row>
    <row r="1068" spans="30:30" s="172" customFormat="1" x14ac:dyDescent="0.15">
      <c r="AD1068" s="176"/>
    </row>
    <row r="1069" spans="30:30" s="172" customFormat="1" x14ac:dyDescent="0.15">
      <c r="AD1069" s="176"/>
    </row>
    <row r="1070" spans="30:30" s="172" customFormat="1" x14ac:dyDescent="0.15">
      <c r="AD1070" s="176"/>
    </row>
    <row r="1071" spans="30:30" s="172" customFormat="1" x14ac:dyDescent="0.15">
      <c r="AD1071" s="176"/>
    </row>
    <row r="1072" spans="30:30" s="172" customFormat="1" x14ac:dyDescent="0.15">
      <c r="AD1072" s="176"/>
    </row>
    <row r="1073" spans="30:30" s="172" customFormat="1" x14ac:dyDescent="0.15">
      <c r="AD1073" s="176"/>
    </row>
    <row r="1074" spans="30:30" s="172" customFormat="1" x14ac:dyDescent="0.15">
      <c r="AD1074" s="176"/>
    </row>
    <row r="1075" spans="30:30" s="172" customFormat="1" x14ac:dyDescent="0.15">
      <c r="AD1075" s="176"/>
    </row>
    <row r="1076" spans="30:30" s="172" customFormat="1" x14ac:dyDescent="0.15">
      <c r="AD1076" s="176"/>
    </row>
    <row r="1077" spans="30:30" s="172" customFormat="1" x14ac:dyDescent="0.15">
      <c r="AD1077" s="176"/>
    </row>
    <row r="1078" spans="30:30" s="172" customFormat="1" x14ac:dyDescent="0.15">
      <c r="AD1078" s="176"/>
    </row>
    <row r="1079" spans="30:30" s="172" customFormat="1" x14ac:dyDescent="0.15">
      <c r="AD1079" s="176"/>
    </row>
    <row r="1080" spans="30:30" s="172" customFormat="1" x14ac:dyDescent="0.15">
      <c r="AD1080" s="176"/>
    </row>
    <row r="1081" spans="30:30" s="172" customFormat="1" x14ac:dyDescent="0.15">
      <c r="AD1081" s="176"/>
    </row>
    <row r="1082" spans="30:30" s="172" customFormat="1" x14ac:dyDescent="0.15">
      <c r="AD1082" s="176"/>
    </row>
    <row r="1083" spans="30:30" s="172" customFormat="1" x14ac:dyDescent="0.15">
      <c r="AD1083" s="176"/>
    </row>
    <row r="1084" spans="30:30" s="172" customFormat="1" x14ac:dyDescent="0.15">
      <c r="AD1084" s="176"/>
    </row>
    <row r="1085" spans="30:30" s="172" customFormat="1" x14ac:dyDescent="0.15">
      <c r="AD1085" s="176"/>
    </row>
    <row r="1086" spans="30:30" s="172" customFormat="1" x14ac:dyDescent="0.15">
      <c r="AD1086" s="176"/>
    </row>
    <row r="1087" spans="30:30" s="172" customFormat="1" x14ac:dyDescent="0.15">
      <c r="AD1087" s="176"/>
    </row>
    <row r="1088" spans="30:30" s="172" customFormat="1" x14ac:dyDescent="0.15">
      <c r="AD1088" s="176"/>
    </row>
    <row r="1089" spans="30:30" s="172" customFormat="1" x14ac:dyDescent="0.15">
      <c r="AD1089" s="176"/>
    </row>
    <row r="1090" spans="30:30" s="172" customFormat="1" x14ac:dyDescent="0.15">
      <c r="AD1090" s="176"/>
    </row>
    <row r="1091" spans="30:30" s="172" customFormat="1" x14ac:dyDescent="0.15">
      <c r="AD1091" s="176"/>
    </row>
    <row r="1092" spans="30:30" s="172" customFormat="1" x14ac:dyDescent="0.15">
      <c r="AD1092" s="176"/>
    </row>
    <row r="1093" spans="30:30" s="172" customFormat="1" x14ac:dyDescent="0.15">
      <c r="AD1093" s="176"/>
    </row>
    <row r="1094" spans="30:30" s="172" customFormat="1" x14ac:dyDescent="0.15">
      <c r="AD1094" s="176"/>
    </row>
    <row r="1095" spans="30:30" s="172" customFormat="1" x14ac:dyDescent="0.15">
      <c r="AD1095" s="176"/>
    </row>
    <row r="1096" spans="30:30" s="172" customFormat="1" x14ac:dyDescent="0.15">
      <c r="AD1096" s="176"/>
    </row>
    <row r="1097" spans="30:30" s="172" customFormat="1" x14ac:dyDescent="0.15">
      <c r="AD1097" s="176"/>
    </row>
    <row r="1098" spans="30:30" s="172" customFormat="1" x14ac:dyDescent="0.15">
      <c r="AD1098" s="176"/>
    </row>
    <row r="1099" spans="30:30" s="172" customFormat="1" x14ac:dyDescent="0.15">
      <c r="AD1099" s="176"/>
    </row>
    <row r="1100" spans="30:30" s="172" customFormat="1" x14ac:dyDescent="0.15">
      <c r="AD1100" s="176"/>
    </row>
    <row r="1101" spans="30:30" s="172" customFormat="1" x14ac:dyDescent="0.15">
      <c r="AD1101" s="176"/>
    </row>
    <row r="1102" spans="30:30" s="172" customFormat="1" x14ac:dyDescent="0.15">
      <c r="AD1102" s="176"/>
    </row>
    <row r="1103" spans="30:30" s="172" customFormat="1" x14ac:dyDescent="0.15">
      <c r="AD1103" s="176"/>
    </row>
    <row r="1104" spans="30:30" s="172" customFormat="1" x14ac:dyDescent="0.15">
      <c r="AD1104" s="176"/>
    </row>
    <row r="1105" spans="30:30" s="172" customFormat="1" x14ac:dyDescent="0.15">
      <c r="AD1105" s="176"/>
    </row>
    <row r="1106" spans="30:30" s="172" customFormat="1" x14ac:dyDescent="0.15">
      <c r="AD1106" s="176"/>
    </row>
    <row r="1107" spans="30:30" s="172" customFormat="1" x14ac:dyDescent="0.15">
      <c r="AD1107" s="176"/>
    </row>
    <row r="1108" spans="30:30" s="172" customFormat="1" x14ac:dyDescent="0.15">
      <c r="AD1108" s="176"/>
    </row>
    <row r="1109" spans="30:30" s="172" customFormat="1" x14ac:dyDescent="0.15">
      <c r="AD1109" s="176"/>
    </row>
    <row r="1110" spans="30:30" s="172" customFormat="1" x14ac:dyDescent="0.15">
      <c r="AD1110" s="176"/>
    </row>
    <row r="1111" spans="30:30" s="172" customFormat="1" x14ac:dyDescent="0.15">
      <c r="AD1111" s="176"/>
    </row>
    <row r="1112" spans="30:30" s="172" customFormat="1" x14ac:dyDescent="0.15">
      <c r="AD1112" s="176"/>
    </row>
    <row r="1113" spans="30:30" s="172" customFormat="1" x14ac:dyDescent="0.15">
      <c r="AD1113" s="176"/>
    </row>
    <row r="1114" spans="30:30" s="172" customFormat="1" x14ac:dyDescent="0.15">
      <c r="AD1114" s="176"/>
    </row>
    <row r="1115" spans="30:30" s="172" customFormat="1" x14ac:dyDescent="0.15">
      <c r="AD1115" s="176"/>
    </row>
    <row r="1116" spans="30:30" s="172" customFormat="1" x14ac:dyDescent="0.15">
      <c r="AD1116" s="176"/>
    </row>
    <row r="1117" spans="30:30" s="172" customFormat="1" x14ac:dyDescent="0.15">
      <c r="AD1117" s="176"/>
    </row>
    <row r="1118" spans="30:30" s="172" customFormat="1" x14ac:dyDescent="0.15">
      <c r="AD1118" s="176"/>
    </row>
    <row r="1119" spans="30:30" s="172" customFormat="1" x14ac:dyDescent="0.15">
      <c r="AD1119" s="176"/>
    </row>
    <row r="1120" spans="30:30" s="172" customFormat="1" x14ac:dyDescent="0.15">
      <c r="AD1120" s="176"/>
    </row>
    <row r="1121" spans="30:30" s="172" customFormat="1" x14ac:dyDescent="0.15">
      <c r="AD1121" s="176"/>
    </row>
    <row r="1122" spans="30:30" s="172" customFormat="1" x14ac:dyDescent="0.15">
      <c r="AD1122" s="176"/>
    </row>
    <row r="1123" spans="30:30" s="172" customFormat="1" x14ac:dyDescent="0.15">
      <c r="AD1123" s="176"/>
    </row>
    <row r="1124" spans="30:30" s="172" customFormat="1" x14ac:dyDescent="0.15">
      <c r="AD1124" s="176"/>
    </row>
    <row r="1125" spans="30:30" s="172" customFormat="1" x14ac:dyDescent="0.15">
      <c r="AD1125" s="176"/>
    </row>
    <row r="1126" spans="30:30" s="172" customFormat="1" x14ac:dyDescent="0.15">
      <c r="AD1126" s="176"/>
    </row>
    <row r="1127" spans="30:30" s="172" customFormat="1" x14ac:dyDescent="0.15">
      <c r="AD1127" s="176"/>
    </row>
    <row r="1128" spans="30:30" s="172" customFormat="1" x14ac:dyDescent="0.15">
      <c r="AD1128" s="176"/>
    </row>
    <row r="1129" spans="30:30" s="172" customFormat="1" x14ac:dyDescent="0.15">
      <c r="AD1129" s="176"/>
    </row>
    <row r="1130" spans="30:30" s="172" customFormat="1" x14ac:dyDescent="0.15">
      <c r="AD1130" s="176"/>
    </row>
    <row r="1131" spans="30:30" s="172" customFormat="1" x14ac:dyDescent="0.15">
      <c r="AD1131" s="176"/>
    </row>
    <row r="1132" spans="30:30" s="172" customFormat="1" x14ac:dyDescent="0.15">
      <c r="AD1132" s="176"/>
    </row>
    <row r="1133" spans="30:30" s="172" customFormat="1" x14ac:dyDescent="0.15">
      <c r="AD1133" s="176"/>
    </row>
    <row r="1134" spans="30:30" s="172" customFormat="1" x14ac:dyDescent="0.15">
      <c r="AD1134" s="176"/>
    </row>
    <row r="1135" spans="30:30" s="172" customFormat="1" x14ac:dyDescent="0.15">
      <c r="AD1135" s="176"/>
    </row>
    <row r="1136" spans="30:30" s="172" customFormat="1" x14ac:dyDescent="0.15">
      <c r="AD1136" s="176"/>
    </row>
    <row r="1137" spans="30:30" s="172" customFormat="1" x14ac:dyDescent="0.15">
      <c r="AD1137" s="176"/>
    </row>
    <row r="1138" spans="30:30" s="172" customFormat="1" x14ac:dyDescent="0.15">
      <c r="AD1138" s="176"/>
    </row>
    <row r="1139" spans="30:30" s="172" customFormat="1" x14ac:dyDescent="0.15">
      <c r="AD1139" s="176"/>
    </row>
    <row r="1140" spans="30:30" s="172" customFormat="1" x14ac:dyDescent="0.15">
      <c r="AD1140" s="176"/>
    </row>
    <row r="1141" spans="30:30" s="172" customFormat="1" x14ac:dyDescent="0.15">
      <c r="AD1141" s="176"/>
    </row>
    <row r="1142" spans="30:30" s="172" customFormat="1" x14ac:dyDescent="0.15">
      <c r="AD1142" s="176"/>
    </row>
    <row r="1143" spans="30:30" s="172" customFormat="1" x14ac:dyDescent="0.15">
      <c r="AD1143" s="176"/>
    </row>
    <row r="1144" spans="30:30" s="172" customFormat="1" x14ac:dyDescent="0.15">
      <c r="AD1144" s="176"/>
    </row>
    <row r="1145" spans="30:30" s="172" customFormat="1" x14ac:dyDescent="0.15">
      <c r="AD1145" s="176"/>
    </row>
    <row r="1146" spans="30:30" s="172" customFormat="1" x14ac:dyDescent="0.15">
      <c r="AD1146" s="176"/>
    </row>
    <row r="1147" spans="30:30" s="172" customFormat="1" x14ac:dyDescent="0.15">
      <c r="AD1147" s="176"/>
    </row>
    <row r="1148" spans="30:30" s="172" customFormat="1" x14ac:dyDescent="0.15">
      <c r="AD1148" s="176"/>
    </row>
    <row r="1149" spans="30:30" s="172" customFormat="1" x14ac:dyDescent="0.15">
      <c r="AD1149" s="176"/>
    </row>
    <row r="1150" spans="30:30" s="172" customFormat="1" x14ac:dyDescent="0.15">
      <c r="AD1150" s="176"/>
    </row>
    <row r="1151" spans="30:30" s="172" customFormat="1" x14ac:dyDescent="0.15">
      <c r="AD1151" s="176"/>
    </row>
    <row r="1152" spans="30:30" s="172" customFormat="1" x14ac:dyDescent="0.15">
      <c r="AD1152" s="176"/>
    </row>
    <row r="1153" spans="30:30" s="172" customFormat="1" x14ac:dyDescent="0.15">
      <c r="AD1153" s="176"/>
    </row>
    <row r="1154" spans="30:30" s="172" customFormat="1" x14ac:dyDescent="0.15">
      <c r="AD1154" s="176"/>
    </row>
    <row r="1155" spans="30:30" s="172" customFormat="1" x14ac:dyDescent="0.15">
      <c r="AD1155" s="176"/>
    </row>
    <row r="1156" spans="30:30" s="172" customFormat="1" x14ac:dyDescent="0.15">
      <c r="AD1156" s="176"/>
    </row>
    <row r="1157" spans="30:30" s="172" customFormat="1" x14ac:dyDescent="0.15">
      <c r="AD1157" s="176"/>
    </row>
    <row r="1158" spans="30:30" s="172" customFormat="1" x14ac:dyDescent="0.15">
      <c r="AD1158" s="176"/>
    </row>
    <row r="1159" spans="30:30" s="172" customFormat="1" x14ac:dyDescent="0.15">
      <c r="AD1159" s="176"/>
    </row>
    <row r="1160" spans="30:30" s="172" customFormat="1" x14ac:dyDescent="0.15">
      <c r="AD1160" s="176"/>
    </row>
    <row r="1161" spans="30:30" s="172" customFormat="1" x14ac:dyDescent="0.15">
      <c r="AD1161" s="176"/>
    </row>
    <row r="1162" spans="30:30" s="172" customFormat="1" x14ac:dyDescent="0.15">
      <c r="AD1162" s="176"/>
    </row>
    <row r="1163" spans="30:30" s="172" customFormat="1" x14ac:dyDescent="0.15">
      <c r="AD1163" s="176"/>
    </row>
    <row r="1164" spans="30:30" s="172" customFormat="1" x14ac:dyDescent="0.15">
      <c r="AD1164" s="176"/>
    </row>
    <row r="1165" spans="30:30" s="172" customFormat="1" x14ac:dyDescent="0.15">
      <c r="AD1165" s="176"/>
    </row>
    <row r="1166" spans="30:30" s="172" customFormat="1" x14ac:dyDescent="0.15">
      <c r="AD1166" s="176"/>
    </row>
    <row r="1167" spans="30:30" s="172" customFormat="1" x14ac:dyDescent="0.15">
      <c r="AD1167" s="176"/>
    </row>
    <row r="1168" spans="30:30" s="172" customFormat="1" x14ac:dyDescent="0.15">
      <c r="AD1168" s="176"/>
    </row>
    <row r="1169" spans="30:30" s="172" customFormat="1" x14ac:dyDescent="0.15">
      <c r="AD1169" s="176"/>
    </row>
    <row r="1170" spans="30:30" s="172" customFormat="1" x14ac:dyDescent="0.15">
      <c r="AD1170" s="176"/>
    </row>
    <row r="1171" spans="30:30" s="172" customFormat="1" x14ac:dyDescent="0.15">
      <c r="AD1171" s="176"/>
    </row>
    <row r="1172" spans="30:30" s="172" customFormat="1" x14ac:dyDescent="0.15">
      <c r="AD1172" s="176"/>
    </row>
    <row r="1173" spans="30:30" s="172" customFormat="1" x14ac:dyDescent="0.15">
      <c r="AD1173" s="176"/>
    </row>
    <row r="1174" spans="30:30" s="172" customFormat="1" x14ac:dyDescent="0.15">
      <c r="AD1174" s="176"/>
    </row>
    <row r="1175" spans="30:30" s="172" customFormat="1" x14ac:dyDescent="0.15">
      <c r="AD1175" s="176"/>
    </row>
    <row r="1176" spans="30:30" s="172" customFormat="1" x14ac:dyDescent="0.15">
      <c r="AD1176" s="176"/>
    </row>
    <row r="1177" spans="30:30" s="172" customFormat="1" x14ac:dyDescent="0.15">
      <c r="AD1177" s="176"/>
    </row>
    <row r="1178" spans="30:30" s="172" customFormat="1" x14ac:dyDescent="0.15">
      <c r="AD1178" s="176"/>
    </row>
    <row r="1179" spans="30:30" s="172" customFormat="1" x14ac:dyDescent="0.15">
      <c r="AD1179" s="176"/>
    </row>
    <row r="1180" spans="30:30" s="172" customFormat="1" x14ac:dyDescent="0.15">
      <c r="AD1180" s="176"/>
    </row>
    <row r="1181" spans="30:30" s="172" customFormat="1" x14ac:dyDescent="0.15">
      <c r="AD1181" s="176"/>
    </row>
    <row r="1182" spans="30:30" s="172" customFormat="1" x14ac:dyDescent="0.15">
      <c r="AD1182" s="176"/>
    </row>
    <row r="1183" spans="30:30" s="172" customFormat="1" x14ac:dyDescent="0.15">
      <c r="AD1183" s="176"/>
    </row>
    <row r="1184" spans="30:30" s="172" customFormat="1" x14ac:dyDescent="0.15">
      <c r="AD1184" s="176"/>
    </row>
    <row r="1185" spans="30:30" s="172" customFormat="1" x14ac:dyDescent="0.15">
      <c r="AD1185" s="176"/>
    </row>
    <row r="1186" spans="30:30" s="172" customFormat="1" x14ac:dyDescent="0.15">
      <c r="AD1186" s="176"/>
    </row>
    <row r="1187" spans="30:30" s="172" customFormat="1" x14ac:dyDescent="0.15">
      <c r="AD1187" s="176"/>
    </row>
    <row r="1188" spans="30:30" s="172" customFormat="1" x14ac:dyDescent="0.15">
      <c r="AD1188" s="176"/>
    </row>
    <row r="1189" spans="30:30" s="172" customFormat="1" x14ac:dyDescent="0.15">
      <c r="AD1189" s="176"/>
    </row>
    <row r="1190" spans="30:30" s="172" customFormat="1" x14ac:dyDescent="0.15">
      <c r="AD1190" s="176"/>
    </row>
    <row r="1191" spans="30:30" s="172" customFormat="1" x14ac:dyDescent="0.15">
      <c r="AD1191" s="176"/>
    </row>
    <row r="1192" spans="30:30" s="172" customFormat="1" x14ac:dyDescent="0.15">
      <c r="AD1192" s="176"/>
    </row>
    <row r="1193" spans="30:30" s="172" customFormat="1" x14ac:dyDescent="0.15">
      <c r="AD1193" s="176"/>
    </row>
    <row r="1194" spans="30:30" s="172" customFormat="1" x14ac:dyDescent="0.15">
      <c r="AD1194" s="176"/>
    </row>
    <row r="1195" spans="30:30" s="172" customFormat="1" x14ac:dyDescent="0.15">
      <c r="AD1195" s="176"/>
    </row>
    <row r="1196" spans="30:30" s="172" customFormat="1" x14ac:dyDescent="0.15">
      <c r="AD1196" s="176"/>
    </row>
    <row r="1197" spans="30:30" s="172" customFormat="1" x14ac:dyDescent="0.15">
      <c r="AD1197" s="176"/>
    </row>
    <row r="1198" spans="30:30" s="172" customFormat="1" x14ac:dyDescent="0.15">
      <c r="AD1198" s="176"/>
    </row>
    <row r="1199" spans="30:30" s="172" customFormat="1" x14ac:dyDescent="0.15">
      <c r="AD1199" s="176"/>
    </row>
    <row r="1200" spans="30:30" s="172" customFormat="1" x14ac:dyDescent="0.15">
      <c r="AD1200" s="176"/>
    </row>
    <row r="1201" spans="30:30" s="172" customFormat="1" x14ac:dyDescent="0.15">
      <c r="AD1201" s="176"/>
    </row>
    <row r="1202" spans="30:30" s="172" customFormat="1" x14ac:dyDescent="0.15">
      <c r="AD1202" s="176"/>
    </row>
    <row r="1203" spans="30:30" s="172" customFormat="1" x14ac:dyDescent="0.15">
      <c r="AD1203" s="176"/>
    </row>
    <row r="1204" spans="30:30" s="172" customFormat="1" x14ac:dyDescent="0.15">
      <c r="AD1204" s="176"/>
    </row>
  </sheetData>
  <mergeCells count="107">
    <mergeCell ref="U519:X519"/>
    <mergeCell ref="Y519:AB519"/>
    <mergeCell ref="Q562:T562"/>
    <mergeCell ref="U562:X562"/>
    <mergeCell ref="Y562:AB562"/>
    <mergeCell ref="Q476:T476"/>
    <mergeCell ref="U476:X476"/>
    <mergeCell ref="Y476:AB476"/>
    <mergeCell ref="B476:E476"/>
    <mergeCell ref="F476:I476"/>
    <mergeCell ref="J476:M476"/>
    <mergeCell ref="N476:N477"/>
    <mergeCell ref="B519:E519"/>
    <mergeCell ref="F519:I519"/>
    <mergeCell ref="J519:M519"/>
    <mergeCell ref="N519:N520"/>
    <mergeCell ref="B562:E562"/>
    <mergeCell ref="F562:I562"/>
    <mergeCell ref="J562:M562"/>
    <mergeCell ref="N562:N563"/>
    <mergeCell ref="Q519:T519"/>
    <mergeCell ref="Q304:T304"/>
    <mergeCell ref="U304:X304"/>
    <mergeCell ref="Y304:AB304"/>
    <mergeCell ref="AC304:AC305"/>
    <mergeCell ref="B304:E304"/>
    <mergeCell ref="F304:I304"/>
    <mergeCell ref="J304:M304"/>
    <mergeCell ref="N304:N305"/>
    <mergeCell ref="Q261:T261"/>
    <mergeCell ref="U261:X261"/>
    <mergeCell ref="Y261:AB261"/>
    <mergeCell ref="AC261:AC262"/>
    <mergeCell ref="B261:E261"/>
    <mergeCell ref="F261:I261"/>
    <mergeCell ref="J261:M261"/>
    <mergeCell ref="N261:N262"/>
    <mergeCell ref="Q132:T132"/>
    <mergeCell ref="U132:X132"/>
    <mergeCell ref="Y132:AB132"/>
    <mergeCell ref="AC132:AC133"/>
    <mergeCell ref="B132:E132"/>
    <mergeCell ref="F132:I132"/>
    <mergeCell ref="J132:M132"/>
    <mergeCell ref="N132:N133"/>
    <mergeCell ref="Y89:AB89"/>
    <mergeCell ref="AC89:AC90"/>
    <mergeCell ref="B89:E89"/>
    <mergeCell ref="F89:I89"/>
    <mergeCell ref="J89:M89"/>
    <mergeCell ref="N89:N90"/>
    <mergeCell ref="Q89:T89"/>
    <mergeCell ref="U89:X89"/>
    <mergeCell ref="Y3:AB3"/>
    <mergeCell ref="AC3:AC4"/>
    <mergeCell ref="B46:E46"/>
    <mergeCell ref="F46:I46"/>
    <mergeCell ref="J46:M46"/>
    <mergeCell ref="N46:N47"/>
    <mergeCell ref="Q46:T46"/>
    <mergeCell ref="U46:X46"/>
    <mergeCell ref="Y46:AB46"/>
    <mergeCell ref="AC46:AC47"/>
    <mergeCell ref="B3:E3"/>
    <mergeCell ref="F3:I3"/>
    <mergeCell ref="J3:M3"/>
    <mergeCell ref="N3:N4"/>
    <mergeCell ref="Q3:T3"/>
    <mergeCell ref="U3:X3"/>
    <mergeCell ref="Q175:T175"/>
    <mergeCell ref="U175:X175"/>
    <mergeCell ref="Y175:AB175"/>
    <mergeCell ref="AC175:AC176"/>
    <mergeCell ref="B175:E175"/>
    <mergeCell ref="F175:I175"/>
    <mergeCell ref="J175:M175"/>
    <mergeCell ref="N175:N176"/>
    <mergeCell ref="Q218:T218"/>
    <mergeCell ref="U218:X218"/>
    <mergeCell ref="Y218:AB218"/>
    <mergeCell ref="AC218:AC219"/>
    <mergeCell ref="B218:E218"/>
    <mergeCell ref="F218:I218"/>
    <mergeCell ref="J218:M218"/>
    <mergeCell ref="N218:N219"/>
    <mergeCell ref="AC347:AC348"/>
    <mergeCell ref="B347:E347"/>
    <mergeCell ref="F347:I347"/>
    <mergeCell ref="J347:M347"/>
    <mergeCell ref="N347:N348"/>
    <mergeCell ref="Q347:T347"/>
    <mergeCell ref="Y390:AB390"/>
    <mergeCell ref="U390:X390"/>
    <mergeCell ref="Q390:T390"/>
    <mergeCell ref="B390:E390"/>
    <mergeCell ref="F390:I390"/>
    <mergeCell ref="J390:M390"/>
    <mergeCell ref="N390:N391"/>
    <mergeCell ref="Q433:T433"/>
    <mergeCell ref="U433:X433"/>
    <mergeCell ref="Y433:AB433"/>
    <mergeCell ref="B433:E433"/>
    <mergeCell ref="F433:I433"/>
    <mergeCell ref="J433:M433"/>
    <mergeCell ref="N433:N434"/>
    <mergeCell ref="U347:X347"/>
    <mergeCell ref="Y347:AB347"/>
  </mergeCells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通常サイズ（M～LL）</vt:lpstr>
      <vt:lpstr>大サイズ(3L～5L）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2026-06-18T06:10:56Z</dcterms:modified>
</cp:coreProperties>
</file>